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tables/table9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tables/table10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xessgroup.sharepoint.com/sites/axessGY/Shared Documents/Operations/Power BI/"/>
    </mc:Choice>
  </mc:AlternateContent>
  <xr:revisionPtr revIDLastSave="15185" documentId="114_{DEDFC16C-A866-4A45-BDE8-CA592F7E1515}" xr6:coauthVersionLast="47" xr6:coauthVersionMax="47" xr10:uidLastSave="{FB44714E-CA6E-45DB-9FEA-C578B2DAD5B1}"/>
  <bookViews>
    <workbookView xWindow="-96" yWindow="-96" windowWidth="23232" windowHeight="12432" tabRatio="629" firstSheet="23" activeTab="23" xr2:uid="{00000000-000D-0000-FFFF-FFFF00000000}"/>
  </bookViews>
  <sheets>
    <sheet name="DATA Sheet - Old" sheetId="1" state="hidden" r:id="rId1"/>
    <sheet name="Pivot" sheetId="11" state="hidden" r:id="rId2"/>
    <sheet name="Budget and Revenew per Rig" sheetId="6" state="hidden" r:id="rId3"/>
    <sheet name="Leads" sheetId="7" state="hidden" r:id="rId4"/>
    <sheet name="Forecast By Rig Pivot" sheetId="4" state="hidden" r:id="rId5"/>
    <sheet name="Forecast By Service Pivot" sheetId="5" state="hidden" r:id="rId6"/>
    <sheet name="Contact information" sheetId="3" state="hidden" r:id="rId7"/>
    <sheet name="Validation" sheetId="2" state="hidden" r:id="rId8"/>
    <sheet name="ANA TO Budget 2019" sheetId="8" state="hidden" r:id="rId9"/>
    <sheet name="postback_planner" sheetId="20" state="hidden" r:id="rId10"/>
    <sheet name="headcust" sheetId="21" state="hidden" r:id="rId11"/>
    <sheet name="installation" sheetId="22" state="hidden" r:id="rId12"/>
    <sheet name="service" sheetId="23" state="hidden" r:id="rId13"/>
    <sheet name="forecast" sheetId="24" state="hidden" r:id="rId14"/>
    <sheet name="client" sheetId="25" state="hidden" r:id="rId15"/>
    <sheet name="account (M)" sheetId="19" state="hidden" r:id="rId16"/>
    <sheet name="input_template old price" sheetId="18" state="hidden" r:id="rId17"/>
    <sheet name="input_template - Old format" sheetId="26" state="hidden" r:id="rId18"/>
    <sheet name="input_template New price" sheetId="16" state="hidden" r:id="rId19"/>
    <sheet name="Forecast - HO" sheetId="17" state="hidden" r:id="rId20"/>
    <sheet name="Pivot - Forecast" sheetId="15" state="hidden" r:id="rId21"/>
    <sheet name="Forecast Old" sheetId="9" state="hidden" r:id="rId22"/>
    <sheet name="Noble contract " sheetId="36" r:id="rId23"/>
    <sheet name="Axess Glass Inc" sheetId="35" r:id="rId24"/>
    <sheet name="Guyana" sheetId="31" r:id="rId25"/>
    <sheet name="2025.06.13" sheetId="34" r:id="rId26"/>
  </sheets>
  <definedNames>
    <definedName name="_xlnm._FilterDatabase" localSheetId="23" hidden="1">Guyana!$B$1:$M$1</definedName>
    <definedName name="_xlnm._FilterDatabase" localSheetId="0" hidden="1">'DATA Sheet - Old'!$A$2:$AT$2</definedName>
    <definedName name="_xlnm._FilterDatabase" localSheetId="19" hidden="1">'Forecast - HO'!$A$3:$P$3</definedName>
    <definedName name="_xlnm._FilterDatabase" localSheetId="21" hidden="1">'Forecast Old'!$A$3:$P$3</definedName>
    <definedName name="_xlnm._FilterDatabase" localSheetId="24" hidden="1">Guyana!$B$1:$M$1</definedName>
    <definedName name="_xlnm._FilterDatabase" localSheetId="17" hidden="1">'input_template - Old format'!$A$1:$AI$92</definedName>
    <definedName name="_xlnm._FilterDatabase" localSheetId="18" hidden="1">'input_template New price'!$A$1:$AG$90</definedName>
    <definedName name="_xlnm._FilterDatabase" localSheetId="16" hidden="1">'input_template old price'!$A$1:$AG$89</definedName>
    <definedName name="_xlnm._FilterDatabase" localSheetId="3" hidden="1">Leads!$A$5:$U$5</definedName>
    <definedName name="_xlnm._FilterDatabase" localSheetId="22" hidden="1">Guyana!$B$1:$M$1</definedName>
  </definedNames>
  <calcPr calcId="191028"/>
  <pivotCaches>
    <pivotCache cacheId="9976" r:id="rId27"/>
    <pivotCache cacheId="9977" r:id="rId28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5" i="35" l="1"/>
  <c r="U46" i="35"/>
  <c r="U47" i="35"/>
  <c r="U48" i="35"/>
  <c r="U49" i="35"/>
  <c r="U50" i="35"/>
  <c r="U51" i="35"/>
  <c r="U52" i="35"/>
  <c r="X45" i="35"/>
  <c r="X46" i="35"/>
  <c r="X47" i="35"/>
  <c r="X48" i="35"/>
  <c r="X49" i="35"/>
  <c r="X50" i="35"/>
  <c r="X51" i="35"/>
  <c r="X52" i="35"/>
  <c r="Y45" i="35"/>
  <c r="Y46" i="35"/>
  <c r="Y47" i="35"/>
  <c r="Y48" i="35"/>
  <c r="Y49" i="35"/>
  <c r="Y50" i="35"/>
  <c r="Y51" i="35"/>
  <c r="Y52" i="35"/>
  <c r="AA45" i="35"/>
  <c r="AA46" i="35"/>
  <c r="AA47" i="35"/>
  <c r="AA48" i="35"/>
  <c r="AA49" i="35"/>
  <c r="AA50" i="35"/>
  <c r="AA51" i="35"/>
  <c r="AA52" i="35"/>
  <c r="U44" i="35"/>
  <c r="X44" i="35"/>
  <c r="Y44" i="35"/>
  <c r="AA44" i="35"/>
  <c r="U43" i="35"/>
  <c r="X43" i="35"/>
  <c r="Y43" i="35"/>
  <c r="AA43" i="35"/>
  <c r="M15" i="34"/>
  <c r="M14" i="34"/>
  <c r="M16" i="34"/>
  <c r="U29" i="35"/>
  <c r="U30" i="35"/>
  <c r="U31" i="35"/>
  <c r="U32" i="35"/>
  <c r="U33" i="35"/>
  <c r="U34" i="35"/>
  <c r="U35" i="35"/>
  <c r="U36" i="35"/>
  <c r="U37" i="35"/>
  <c r="U38" i="35"/>
  <c r="U39" i="35"/>
  <c r="U40" i="35"/>
  <c r="X29" i="35"/>
  <c r="X30" i="35"/>
  <c r="X31" i="35"/>
  <c r="X32" i="35"/>
  <c r="X33" i="35"/>
  <c r="X34" i="35"/>
  <c r="X35" i="35"/>
  <c r="X36" i="35"/>
  <c r="X37" i="35"/>
  <c r="X38" i="35"/>
  <c r="X39" i="35"/>
  <c r="X40" i="35"/>
  <c r="Y29" i="35"/>
  <c r="Y30" i="35"/>
  <c r="Y31" i="35"/>
  <c r="Y32" i="35"/>
  <c r="Y33" i="35"/>
  <c r="AA33" i="35" s="1"/>
  <c r="Y34" i="35"/>
  <c r="Y35" i="35"/>
  <c r="Y36" i="35"/>
  <c r="Y37" i="35"/>
  <c r="Y38" i="35"/>
  <c r="Y39" i="35"/>
  <c r="Y40" i="35"/>
  <c r="AA29" i="35"/>
  <c r="AA30" i="35"/>
  <c r="AA31" i="35"/>
  <c r="AA32" i="35"/>
  <c r="AA34" i="35"/>
  <c r="AA35" i="35"/>
  <c r="AA36" i="35"/>
  <c r="AA37" i="35"/>
  <c r="AA38" i="35"/>
  <c r="AA39" i="35"/>
  <c r="AA40" i="35"/>
  <c r="U19" i="35"/>
  <c r="U20" i="35"/>
  <c r="U21" i="35"/>
  <c r="U22" i="35"/>
  <c r="U23" i="35"/>
  <c r="U24" i="35"/>
  <c r="U25" i="35"/>
  <c r="U26" i="35"/>
  <c r="X19" i="35"/>
  <c r="X20" i="35"/>
  <c r="X21" i="35"/>
  <c r="X22" i="35"/>
  <c r="X23" i="35"/>
  <c r="X24" i="35"/>
  <c r="X25" i="35"/>
  <c r="X26" i="35"/>
  <c r="Y19" i="35"/>
  <c r="Y20" i="35"/>
  <c r="Y21" i="35"/>
  <c r="Y22" i="35"/>
  <c r="Y23" i="35"/>
  <c r="Y24" i="35"/>
  <c r="Y25" i="35"/>
  <c r="Y26" i="35"/>
  <c r="AA19" i="35"/>
  <c r="AA20" i="35"/>
  <c r="AA21" i="35"/>
  <c r="AA22" i="35"/>
  <c r="AA23" i="35"/>
  <c r="AA24" i="35"/>
  <c r="AA25" i="35"/>
  <c r="AA26" i="35"/>
  <c r="U27" i="35"/>
  <c r="U28" i="35"/>
  <c r="X27" i="35"/>
  <c r="X28" i="35"/>
  <c r="Y27" i="35"/>
  <c r="Y28" i="35"/>
  <c r="AA27" i="35"/>
  <c r="AA28" i="35"/>
  <c r="AA221" i="35"/>
  <c r="Y221" i="35"/>
  <c r="X221" i="35"/>
  <c r="U221" i="35"/>
  <c r="AA220" i="35"/>
  <c r="Y220" i="35"/>
  <c r="X220" i="35"/>
  <c r="U220" i="35"/>
  <c r="AA219" i="35"/>
  <c r="Y219" i="35"/>
  <c r="X219" i="35"/>
  <c r="U219" i="35"/>
  <c r="AA218" i="35"/>
  <c r="Y218" i="35"/>
  <c r="X218" i="35"/>
  <c r="U218" i="35"/>
  <c r="AA217" i="35"/>
  <c r="Y217" i="35"/>
  <c r="X217" i="35"/>
  <c r="T217" i="35"/>
  <c r="S217" i="35"/>
  <c r="C217" i="35"/>
  <c r="AA216" i="35"/>
  <c r="Y216" i="35"/>
  <c r="X216" i="35"/>
  <c r="U216" i="35"/>
  <c r="AA215" i="35"/>
  <c r="Y215" i="35"/>
  <c r="X215" i="35"/>
  <c r="U215" i="35"/>
  <c r="AA214" i="35"/>
  <c r="Y214" i="35"/>
  <c r="X214" i="35"/>
  <c r="U214" i="35"/>
  <c r="AA213" i="35"/>
  <c r="Y213" i="35"/>
  <c r="X213" i="35"/>
  <c r="U213" i="35"/>
  <c r="AA212" i="35"/>
  <c r="Y212" i="35"/>
  <c r="X212" i="35"/>
  <c r="U212" i="35"/>
  <c r="AA211" i="35"/>
  <c r="Y211" i="35"/>
  <c r="X211" i="35"/>
  <c r="U211" i="35"/>
  <c r="AA210" i="35"/>
  <c r="Y210" i="35"/>
  <c r="X210" i="35"/>
  <c r="U210" i="35"/>
  <c r="AA209" i="35"/>
  <c r="Y209" i="35"/>
  <c r="X209" i="35"/>
  <c r="U209" i="35"/>
  <c r="AA208" i="35"/>
  <c r="Y208" i="35"/>
  <c r="X208" i="35"/>
  <c r="U208" i="35"/>
  <c r="AA207" i="35"/>
  <c r="Y207" i="35"/>
  <c r="X207" i="35"/>
  <c r="U207" i="35"/>
  <c r="AA206" i="35"/>
  <c r="Y206" i="35"/>
  <c r="X206" i="35"/>
  <c r="U206" i="35"/>
  <c r="AA205" i="35"/>
  <c r="Y205" i="35"/>
  <c r="X205" i="35"/>
  <c r="U205" i="35"/>
  <c r="AA204" i="35"/>
  <c r="Y204" i="35"/>
  <c r="X204" i="35"/>
  <c r="U204" i="35"/>
  <c r="AA203" i="35"/>
  <c r="Y203" i="35"/>
  <c r="X203" i="35"/>
  <c r="U203" i="35"/>
  <c r="AA202" i="35"/>
  <c r="Y202" i="35"/>
  <c r="X202" i="35"/>
  <c r="U202" i="35"/>
  <c r="AA201" i="35"/>
  <c r="Y201" i="35"/>
  <c r="X201" i="35"/>
  <c r="U201" i="35"/>
  <c r="AA200" i="35"/>
  <c r="Y200" i="35"/>
  <c r="X200" i="35"/>
  <c r="U200" i="35"/>
  <c r="AA199" i="35"/>
  <c r="Y199" i="35"/>
  <c r="X199" i="35"/>
  <c r="U199" i="35"/>
  <c r="AA198" i="35"/>
  <c r="Y198" i="35"/>
  <c r="X198" i="35"/>
  <c r="U198" i="35"/>
  <c r="AA197" i="35"/>
  <c r="Y197" i="35"/>
  <c r="X197" i="35"/>
  <c r="U197" i="35"/>
  <c r="AA196" i="35"/>
  <c r="Y196" i="35"/>
  <c r="X196" i="35"/>
  <c r="U196" i="35"/>
  <c r="AA195" i="35"/>
  <c r="Y195" i="35"/>
  <c r="X195" i="35"/>
  <c r="U195" i="35"/>
  <c r="AA194" i="35"/>
  <c r="Y194" i="35"/>
  <c r="X194" i="35"/>
  <c r="U194" i="35"/>
  <c r="AA193" i="35"/>
  <c r="Y193" i="35"/>
  <c r="X193" i="35"/>
  <c r="U193" i="35"/>
  <c r="AA192" i="35"/>
  <c r="Y192" i="35"/>
  <c r="X192" i="35"/>
  <c r="U192" i="35"/>
  <c r="AA191" i="35"/>
  <c r="Y191" i="35"/>
  <c r="X191" i="35"/>
  <c r="U191" i="35"/>
  <c r="AA190" i="35"/>
  <c r="Y190" i="35"/>
  <c r="X190" i="35"/>
  <c r="U190" i="35"/>
  <c r="AA189" i="35"/>
  <c r="Y189" i="35"/>
  <c r="X189" i="35"/>
  <c r="U189" i="35"/>
  <c r="AA188" i="35"/>
  <c r="Y188" i="35"/>
  <c r="X188" i="35"/>
  <c r="U188" i="35"/>
  <c r="AA187" i="35"/>
  <c r="Y187" i="35"/>
  <c r="X187" i="35"/>
  <c r="U187" i="35"/>
  <c r="AA186" i="35"/>
  <c r="Y186" i="35"/>
  <c r="X186" i="35"/>
  <c r="U186" i="35"/>
  <c r="AA185" i="35"/>
  <c r="Y185" i="35"/>
  <c r="X185" i="35"/>
  <c r="U185" i="35"/>
  <c r="AA184" i="35"/>
  <c r="Y184" i="35"/>
  <c r="X184" i="35"/>
  <c r="U184" i="35"/>
  <c r="AA183" i="35"/>
  <c r="Y183" i="35"/>
  <c r="X183" i="35"/>
  <c r="U183" i="35"/>
  <c r="AA182" i="35"/>
  <c r="Y182" i="35"/>
  <c r="X182" i="35"/>
  <c r="U182" i="35"/>
  <c r="AA181" i="35"/>
  <c r="Y181" i="35"/>
  <c r="X181" i="35"/>
  <c r="U181" i="35"/>
  <c r="AA180" i="35"/>
  <c r="Y180" i="35"/>
  <c r="X180" i="35"/>
  <c r="U180" i="35"/>
  <c r="AA179" i="35"/>
  <c r="Y179" i="35"/>
  <c r="X179" i="35"/>
  <c r="U179" i="35"/>
  <c r="AA178" i="35"/>
  <c r="Y178" i="35"/>
  <c r="X178" i="35"/>
  <c r="U178" i="35"/>
  <c r="AA177" i="35"/>
  <c r="Y177" i="35"/>
  <c r="X177" i="35"/>
  <c r="U177" i="35"/>
  <c r="AA176" i="35"/>
  <c r="Y176" i="35"/>
  <c r="X176" i="35"/>
  <c r="U176" i="35"/>
  <c r="AA175" i="35"/>
  <c r="Y175" i="35"/>
  <c r="X175" i="35"/>
  <c r="U175" i="35"/>
  <c r="AA174" i="35"/>
  <c r="Y174" i="35"/>
  <c r="X174" i="35"/>
  <c r="U174" i="35"/>
  <c r="AA173" i="35"/>
  <c r="Y173" i="35"/>
  <c r="X173" i="35"/>
  <c r="U173" i="35"/>
  <c r="AA172" i="35"/>
  <c r="Y172" i="35"/>
  <c r="X172" i="35"/>
  <c r="U172" i="35"/>
  <c r="AA171" i="35"/>
  <c r="Y171" i="35"/>
  <c r="X171" i="35"/>
  <c r="U171" i="35"/>
  <c r="AA170" i="35"/>
  <c r="Y170" i="35"/>
  <c r="X170" i="35"/>
  <c r="U170" i="35"/>
  <c r="AA169" i="35"/>
  <c r="Y169" i="35"/>
  <c r="X169" i="35"/>
  <c r="U169" i="35"/>
  <c r="AA168" i="35"/>
  <c r="Y168" i="35"/>
  <c r="X168" i="35"/>
  <c r="U168" i="35"/>
  <c r="AA167" i="35"/>
  <c r="Y167" i="35"/>
  <c r="X167" i="35"/>
  <c r="U167" i="35"/>
  <c r="AA166" i="35"/>
  <c r="Y166" i="35"/>
  <c r="X166" i="35"/>
  <c r="U166" i="35"/>
  <c r="AA165" i="35"/>
  <c r="Y165" i="35"/>
  <c r="X165" i="35"/>
  <c r="U165" i="35"/>
  <c r="AA164" i="35"/>
  <c r="Y164" i="35"/>
  <c r="X164" i="35"/>
  <c r="U164" i="35"/>
  <c r="AA163" i="35"/>
  <c r="Y163" i="35"/>
  <c r="X163" i="35"/>
  <c r="U163" i="35"/>
  <c r="AA162" i="35"/>
  <c r="Y162" i="35"/>
  <c r="X162" i="35"/>
  <c r="U162" i="35"/>
  <c r="AA161" i="35"/>
  <c r="Y161" i="35"/>
  <c r="X161" i="35"/>
  <c r="U161" i="35"/>
  <c r="AA160" i="35"/>
  <c r="Y160" i="35"/>
  <c r="X160" i="35"/>
  <c r="U160" i="35"/>
  <c r="AA159" i="35"/>
  <c r="Y159" i="35"/>
  <c r="X159" i="35"/>
  <c r="U159" i="35"/>
  <c r="AA158" i="35"/>
  <c r="Y158" i="35"/>
  <c r="X158" i="35"/>
  <c r="U158" i="35"/>
  <c r="AA157" i="35"/>
  <c r="Y157" i="35"/>
  <c r="X157" i="35"/>
  <c r="U157" i="35"/>
  <c r="AA156" i="35"/>
  <c r="Y156" i="35"/>
  <c r="X156" i="35"/>
  <c r="U156" i="35"/>
  <c r="AA155" i="35"/>
  <c r="Y155" i="35"/>
  <c r="X155" i="35"/>
  <c r="U155" i="35"/>
  <c r="AA154" i="35"/>
  <c r="Y154" i="35"/>
  <c r="X154" i="35"/>
  <c r="U154" i="35"/>
  <c r="AA153" i="35"/>
  <c r="Y153" i="35"/>
  <c r="X153" i="35"/>
  <c r="U153" i="35"/>
  <c r="AA152" i="35"/>
  <c r="Y152" i="35"/>
  <c r="X152" i="35"/>
  <c r="U152" i="35"/>
  <c r="AA151" i="35"/>
  <c r="Y151" i="35"/>
  <c r="X151" i="35"/>
  <c r="U151" i="35"/>
  <c r="AA150" i="35"/>
  <c r="Y150" i="35"/>
  <c r="X150" i="35"/>
  <c r="U150" i="35"/>
  <c r="AA149" i="35"/>
  <c r="Y149" i="35"/>
  <c r="X149" i="35"/>
  <c r="U149" i="35"/>
  <c r="AA148" i="35"/>
  <c r="Y148" i="35"/>
  <c r="X148" i="35"/>
  <c r="U148" i="35"/>
  <c r="AA147" i="35"/>
  <c r="Y147" i="35"/>
  <c r="X147" i="35"/>
  <c r="U147" i="35"/>
  <c r="AA146" i="35"/>
  <c r="Y146" i="35"/>
  <c r="X146" i="35"/>
  <c r="U146" i="35"/>
  <c r="AA145" i="35"/>
  <c r="Y145" i="35"/>
  <c r="X145" i="35"/>
  <c r="U145" i="35"/>
  <c r="AA144" i="35"/>
  <c r="Y144" i="35"/>
  <c r="X144" i="35"/>
  <c r="U144" i="35"/>
  <c r="AA143" i="35"/>
  <c r="Y143" i="35"/>
  <c r="X143" i="35"/>
  <c r="U143" i="35"/>
  <c r="AA142" i="35"/>
  <c r="Y142" i="35"/>
  <c r="X142" i="35"/>
  <c r="U142" i="35"/>
  <c r="AA141" i="35"/>
  <c r="Y141" i="35"/>
  <c r="X141" i="35"/>
  <c r="U141" i="35"/>
  <c r="AA140" i="35"/>
  <c r="Y140" i="35"/>
  <c r="X140" i="35"/>
  <c r="U140" i="35"/>
  <c r="AA139" i="35"/>
  <c r="Y139" i="35"/>
  <c r="X139" i="35"/>
  <c r="U139" i="35"/>
  <c r="AA138" i="35"/>
  <c r="Y138" i="35"/>
  <c r="X138" i="35"/>
  <c r="U138" i="35"/>
  <c r="AA137" i="35"/>
  <c r="Y137" i="35"/>
  <c r="X137" i="35"/>
  <c r="U137" i="35"/>
  <c r="AA136" i="35"/>
  <c r="Y136" i="35"/>
  <c r="X136" i="35"/>
  <c r="U136" i="35"/>
  <c r="AA135" i="35"/>
  <c r="Y135" i="35"/>
  <c r="X135" i="35"/>
  <c r="U135" i="35"/>
  <c r="AA134" i="35"/>
  <c r="Y134" i="35"/>
  <c r="X134" i="35"/>
  <c r="U134" i="35"/>
  <c r="AA133" i="35"/>
  <c r="Y133" i="35"/>
  <c r="X133" i="35"/>
  <c r="U133" i="35"/>
  <c r="AA132" i="35"/>
  <c r="Y132" i="35"/>
  <c r="X132" i="35"/>
  <c r="U132" i="35"/>
  <c r="AA131" i="35"/>
  <c r="Y131" i="35"/>
  <c r="X131" i="35"/>
  <c r="U131" i="35"/>
  <c r="AA130" i="35"/>
  <c r="Y130" i="35"/>
  <c r="X130" i="35"/>
  <c r="U130" i="35"/>
  <c r="AA129" i="35"/>
  <c r="Y129" i="35"/>
  <c r="X129" i="35"/>
  <c r="U129" i="35"/>
  <c r="AA128" i="35"/>
  <c r="Y128" i="35"/>
  <c r="X128" i="35"/>
  <c r="U128" i="35"/>
  <c r="AA127" i="35"/>
  <c r="Y127" i="35"/>
  <c r="X127" i="35"/>
  <c r="U127" i="35"/>
  <c r="AA126" i="35"/>
  <c r="Y126" i="35"/>
  <c r="X126" i="35"/>
  <c r="U126" i="35"/>
  <c r="AA125" i="35"/>
  <c r="Y125" i="35"/>
  <c r="X125" i="35"/>
  <c r="U125" i="35"/>
  <c r="AA124" i="35"/>
  <c r="Y124" i="35"/>
  <c r="X124" i="35"/>
  <c r="U124" i="35"/>
  <c r="AA123" i="35"/>
  <c r="Y123" i="35"/>
  <c r="X123" i="35"/>
  <c r="U123" i="35"/>
  <c r="AA122" i="35"/>
  <c r="Y122" i="35"/>
  <c r="X122" i="35"/>
  <c r="U122" i="35"/>
  <c r="AA121" i="35"/>
  <c r="Y121" i="35"/>
  <c r="X121" i="35"/>
  <c r="U121" i="35"/>
  <c r="AA120" i="35"/>
  <c r="Y120" i="35"/>
  <c r="X120" i="35"/>
  <c r="U120" i="35"/>
  <c r="AA119" i="35"/>
  <c r="Y119" i="35"/>
  <c r="X119" i="35"/>
  <c r="U119" i="35"/>
  <c r="AA118" i="35"/>
  <c r="Y118" i="35"/>
  <c r="X118" i="35"/>
  <c r="U118" i="35"/>
  <c r="AA117" i="35"/>
  <c r="Y117" i="35"/>
  <c r="X117" i="35"/>
  <c r="U117" i="35"/>
  <c r="AA116" i="35"/>
  <c r="Y116" i="35"/>
  <c r="X116" i="35"/>
  <c r="U116" i="35"/>
  <c r="AA115" i="35"/>
  <c r="Y115" i="35"/>
  <c r="X115" i="35"/>
  <c r="U115" i="35"/>
  <c r="AA53" i="35"/>
  <c r="Y53" i="35"/>
  <c r="X53" i="35"/>
  <c r="U53" i="35"/>
  <c r="AA42" i="35"/>
  <c r="Y42" i="35"/>
  <c r="X42" i="35"/>
  <c r="U42" i="35"/>
  <c r="AA41" i="35"/>
  <c r="Y41" i="35"/>
  <c r="X41" i="35"/>
  <c r="U41" i="35"/>
  <c r="Y18" i="35"/>
  <c r="AA18" i="35" s="1"/>
  <c r="X18" i="35"/>
  <c r="U18" i="35"/>
  <c r="AA17" i="35"/>
  <c r="Y17" i="35"/>
  <c r="X17" i="35"/>
  <c r="U17" i="35"/>
  <c r="AA16" i="35"/>
  <c r="Y16" i="35"/>
  <c r="X16" i="35"/>
  <c r="U16" i="35"/>
  <c r="AA15" i="35"/>
  <c r="Y15" i="35"/>
  <c r="X15" i="35"/>
  <c r="U15" i="35"/>
  <c r="AA14" i="35"/>
  <c r="Y14" i="35"/>
  <c r="X14" i="35"/>
  <c r="U14" i="35"/>
  <c r="AA13" i="35"/>
  <c r="Y13" i="35"/>
  <c r="X13" i="35"/>
  <c r="U13" i="35"/>
  <c r="AA12" i="35"/>
  <c r="Y12" i="35"/>
  <c r="X12" i="35"/>
  <c r="U12" i="35"/>
  <c r="Y11" i="35"/>
  <c r="AA11" i="35" s="1"/>
  <c r="X11" i="35"/>
  <c r="U11" i="35"/>
  <c r="AA10" i="35"/>
  <c r="Y10" i="35"/>
  <c r="X10" i="35"/>
  <c r="U10" i="35"/>
  <c r="AA9" i="35"/>
  <c r="Y9" i="35"/>
  <c r="X9" i="35"/>
  <c r="U9" i="35"/>
  <c r="AA8" i="35"/>
  <c r="Y8" i="35"/>
  <c r="X8" i="35"/>
  <c r="U8" i="35"/>
  <c r="AA7" i="35"/>
  <c r="Y7" i="35"/>
  <c r="X7" i="35"/>
  <c r="U7" i="35"/>
  <c r="AA6" i="35"/>
  <c r="Y6" i="35"/>
  <c r="X6" i="35"/>
  <c r="U6" i="35"/>
  <c r="AA5" i="35"/>
  <c r="Y5" i="35"/>
  <c r="X5" i="35"/>
  <c r="U5" i="35"/>
  <c r="Y4" i="35"/>
  <c r="AA4" i="35" s="1"/>
  <c r="X4" i="35"/>
  <c r="U4" i="35"/>
  <c r="Y3" i="35"/>
  <c r="AA3" i="35" s="1"/>
  <c r="X3" i="35"/>
  <c r="U3" i="35"/>
  <c r="M12" i="34"/>
  <c r="M11" i="34"/>
  <c r="M4" i="34"/>
  <c r="M5" i="34"/>
  <c r="M6" i="34"/>
  <c r="M7" i="34"/>
  <c r="M3" i="34"/>
  <c r="M13" i="34"/>
  <c r="U74" i="31"/>
  <c r="U75" i="31"/>
  <c r="U76" i="31"/>
  <c r="X74" i="31"/>
  <c r="X75" i="31"/>
  <c r="X76" i="31"/>
  <c r="Y74" i="31"/>
  <c r="Y75" i="31"/>
  <c r="Y76" i="31"/>
  <c r="AA74" i="31"/>
  <c r="AA75" i="31"/>
  <c r="AA76" i="31"/>
  <c r="U77" i="31"/>
  <c r="U78" i="31"/>
  <c r="U79" i="31"/>
  <c r="X77" i="31"/>
  <c r="X78" i="31"/>
  <c r="X79" i="31"/>
  <c r="Y77" i="31"/>
  <c r="Y78" i="31"/>
  <c r="Y79" i="31"/>
  <c r="AA77" i="31"/>
  <c r="AA78" i="31"/>
  <c r="AA79" i="31"/>
  <c r="U80" i="31"/>
  <c r="U81" i="31"/>
  <c r="X80" i="31"/>
  <c r="X81" i="31"/>
  <c r="Y80" i="31"/>
  <c r="Y81" i="31"/>
  <c r="AA80" i="31"/>
  <c r="AA81" i="31"/>
  <c r="U69" i="31"/>
  <c r="U70" i="31"/>
  <c r="X69" i="31"/>
  <c r="X70" i="31"/>
  <c r="Y69" i="31"/>
  <c r="Y70" i="31"/>
  <c r="AA69" i="31"/>
  <c r="AA70" i="31"/>
  <c r="U71" i="31"/>
  <c r="U72" i="31"/>
  <c r="X71" i="31"/>
  <c r="X72" i="31"/>
  <c r="Y71" i="31"/>
  <c r="Y72" i="31"/>
  <c r="AA71" i="31"/>
  <c r="AA72" i="31"/>
  <c r="M2" i="34"/>
  <c r="Y62" i="31"/>
  <c r="AA62" i="31" s="1"/>
  <c r="X62" i="31"/>
  <c r="U62" i="31"/>
  <c r="Y61" i="31"/>
  <c r="AA61" i="31" s="1"/>
  <c r="X61" i="31"/>
  <c r="U61" i="31"/>
  <c r="U59" i="31"/>
  <c r="X59" i="31"/>
  <c r="Y59" i="31"/>
  <c r="AA59" i="31"/>
  <c r="U63" i="31"/>
  <c r="X63" i="31"/>
  <c r="Y63" i="31"/>
  <c r="AA63" i="31"/>
  <c r="U64" i="31"/>
  <c r="X64" i="31"/>
  <c r="Y64" i="31"/>
  <c r="AA64" i="31"/>
  <c r="U66" i="31"/>
  <c r="X66" i="31"/>
  <c r="Y66" i="31"/>
  <c r="AA66" i="31" s="1"/>
  <c r="U67" i="31"/>
  <c r="U68" i="31"/>
  <c r="U73" i="31"/>
  <c r="U82" i="31"/>
  <c r="X67" i="31"/>
  <c r="X68" i="31"/>
  <c r="X73" i="31"/>
  <c r="X82" i="31"/>
  <c r="Y67" i="31"/>
  <c r="Y68" i="31"/>
  <c r="Y73" i="31"/>
  <c r="Y82" i="31"/>
  <c r="AA67" i="31"/>
  <c r="AA68" i="31"/>
  <c r="AA73" i="31"/>
  <c r="AA82" i="31"/>
  <c r="Y65" i="31"/>
  <c r="AA65" i="31" s="1"/>
  <c r="X65" i="31"/>
  <c r="U65" i="31"/>
  <c r="Y60" i="31"/>
  <c r="AA60" i="31" s="1"/>
  <c r="X60" i="31"/>
  <c r="U60" i="31"/>
  <c r="U53" i="31"/>
  <c r="X51" i="31"/>
  <c r="Y51" i="31"/>
  <c r="AA51" i="31" s="1"/>
  <c r="X53" i="31"/>
  <c r="Y53" i="31"/>
  <c r="AA53" i="31"/>
  <c r="C247" i="31"/>
  <c r="U56" i="31"/>
  <c r="U57" i="31"/>
  <c r="X56" i="31"/>
  <c r="X57" i="31"/>
  <c r="Y56" i="31"/>
  <c r="Y57" i="31"/>
  <c r="AA57" i="31" s="1"/>
  <c r="AA56" i="31"/>
  <c r="U58" i="31"/>
  <c r="X58" i="31"/>
  <c r="Y58" i="31"/>
  <c r="AA58" i="31" s="1"/>
  <c r="U55" i="31"/>
  <c r="U54" i="31"/>
  <c r="X54" i="31"/>
  <c r="Y54" i="31"/>
  <c r="AA54" i="31" s="1"/>
  <c r="U48" i="31"/>
  <c r="U49" i="31"/>
  <c r="U50" i="31"/>
  <c r="U52" i="31"/>
  <c r="U39" i="31"/>
  <c r="U40" i="31"/>
  <c r="Y18" i="31"/>
  <c r="AA18" i="31" s="1"/>
  <c r="X18" i="31"/>
  <c r="U18" i="31"/>
  <c r="U45" i="31"/>
  <c r="U46" i="31"/>
  <c r="U28" i="31"/>
  <c r="U47" i="31"/>
  <c r="X46" i="31"/>
  <c r="X47" i="31"/>
  <c r="Y46" i="31"/>
  <c r="Y47" i="31"/>
  <c r="AA46" i="31"/>
  <c r="AA47" i="31"/>
  <c r="U35" i="31"/>
  <c r="U21" i="31"/>
  <c r="U43" i="31"/>
  <c r="X43" i="31"/>
  <c r="Y43" i="31"/>
  <c r="AA43" i="31"/>
  <c r="AA83" i="31"/>
  <c r="Y83" i="31"/>
  <c r="X83" i="31"/>
  <c r="U83" i="31"/>
  <c r="AA251" i="31"/>
  <c r="Y251" i="31"/>
  <c r="X251" i="31"/>
  <c r="U251" i="31"/>
  <c r="X40" i="31"/>
  <c r="Y40" i="31"/>
  <c r="AA40" i="31"/>
  <c r="U32" i="31"/>
  <c r="U17" i="31"/>
  <c r="X17" i="31"/>
  <c r="Y17" i="31"/>
  <c r="AA17" i="31" s="1"/>
  <c r="U38" i="31"/>
  <c r="U37" i="31"/>
  <c r="U36" i="31"/>
  <c r="Y30" i="31"/>
  <c r="AA30" i="31" s="1"/>
  <c r="X30" i="31"/>
  <c r="U30" i="31"/>
  <c r="U11" i="31"/>
  <c r="X11" i="31"/>
  <c r="Y11" i="31"/>
  <c r="AA11" i="31" s="1"/>
  <c r="Y13" i="31"/>
  <c r="AA13" i="31" s="1"/>
  <c r="X13" i="31"/>
  <c r="U13" i="31"/>
  <c r="U19" i="31"/>
  <c r="X19" i="31"/>
  <c r="Y19" i="31"/>
  <c r="AA19" i="31"/>
  <c r="X21" i="31"/>
  <c r="Y21" i="31"/>
  <c r="AA21" i="31" s="1"/>
  <c r="U22" i="31"/>
  <c r="X22" i="31"/>
  <c r="Y22" i="31"/>
  <c r="AA22" i="31" s="1"/>
  <c r="X3" i="31"/>
  <c r="U3" i="31"/>
  <c r="U4" i="31"/>
  <c r="X4" i="31"/>
  <c r="Y3" i="31"/>
  <c r="Y4" i="31"/>
  <c r="AA4" i="31" s="1"/>
  <c r="AA3" i="31"/>
  <c r="U5" i="31"/>
  <c r="U6" i="31"/>
  <c r="U7" i="31"/>
  <c r="U9" i="31"/>
  <c r="U10" i="31"/>
  <c r="X5" i="31"/>
  <c r="X6" i="31"/>
  <c r="X7" i="31"/>
  <c r="X9" i="31"/>
  <c r="X10" i="31"/>
  <c r="Y5" i="31"/>
  <c r="AA5" i="31" s="1"/>
  <c r="Y6" i="31"/>
  <c r="AA6" i="31" s="1"/>
  <c r="Y7" i="31"/>
  <c r="AA7" i="31" s="1"/>
  <c r="Y9" i="31"/>
  <c r="AA9" i="31" s="1"/>
  <c r="Y10" i="31"/>
  <c r="AA10" i="31" s="1"/>
  <c r="U217" i="35" l="1"/>
  <c r="U12" i="31"/>
  <c r="X12" i="31"/>
  <c r="Y12" i="31"/>
  <c r="AA12" i="31" s="1"/>
  <c r="U15" i="31"/>
  <c r="U16" i="31"/>
  <c r="U20" i="31"/>
  <c r="X15" i="31"/>
  <c r="X16" i="31"/>
  <c r="X20" i="31"/>
  <c r="Y15" i="31"/>
  <c r="AA15" i="31" s="1"/>
  <c r="Y16" i="31"/>
  <c r="AA16" i="31" s="1"/>
  <c r="Y20" i="31"/>
  <c r="AA20" i="31"/>
  <c r="U29" i="31" l="1"/>
  <c r="X29" i="31"/>
  <c r="Y29" i="31"/>
  <c r="AA29" i="31" s="1"/>
  <c r="U26" i="31"/>
  <c r="X26" i="31"/>
  <c r="Y26" i="31"/>
  <c r="AA26" i="31" s="1"/>
  <c r="U25" i="31"/>
  <c r="U27" i="31"/>
  <c r="U31" i="31"/>
  <c r="U34" i="31"/>
  <c r="U33" i="31"/>
  <c r="U8" i="31" l="1"/>
  <c r="U14" i="31"/>
  <c r="U23" i="31"/>
  <c r="U24" i="31"/>
  <c r="U246" i="31"/>
  <c r="U245" i="31"/>
  <c r="U244" i="31"/>
  <c r="U243" i="31"/>
  <c r="U242" i="31"/>
  <c r="U241" i="31"/>
  <c r="U240" i="31"/>
  <c r="U239" i="31"/>
  <c r="U238" i="31"/>
  <c r="U237" i="31"/>
  <c r="U236" i="31"/>
  <c r="U235" i="31"/>
  <c r="U234" i="31"/>
  <c r="U233" i="31"/>
  <c r="U232" i="31"/>
  <c r="U231" i="31"/>
  <c r="U230" i="31"/>
  <c r="U229" i="31"/>
  <c r="U228" i="31"/>
  <c r="U227" i="31"/>
  <c r="U226" i="31"/>
  <c r="U225" i="31"/>
  <c r="U224" i="31"/>
  <c r="U223" i="31"/>
  <c r="U222" i="31"/>
  <c r="U221" i="31"/>
  <c r="U220" i="31"/>
  <c r="U219" i="31"/>
  <c r="U218" i="31"/>
  <c r="U217" i="31"/>
  <c r="U216" i="31"/>
  <c r="U215" i="31"/>
  <c r="U214" i="31"/>
  <c r="U213" i="31"/>
  <c r="U212" i="31"/>
  <c r="U211" i="31"/>
  <c r="U210" i="31"/>
  <c r="U209" i="31"/>
  <c r="U208" i="31"/>
  <c r="U207" i="31"/>
  <c r="U206" i="31"/>
  <c r="U205" i="31"/>
  <c r="U204" i="31"/>
  <c r="U203" i="31"/>
  <c r="U202" i="31"/>
  <c r="U201" i="31"/>
  <c r="U200" i="31"/>
  <c r="U199" i="31"/>
  <c r="U198" i="31"/>
  <c r="U197" i="31"/>
  <c r="U196" i="31"/>
  <c r="U195" i="31"/>
  <c r="U194" i="31"/>
  <c r="U193" i="31"/>
  <c r="U192" i="31"/>
  <c r="U191" i="31"/>
  <c r="U190" i="31"/>
  <c r="U189" i="31"/>
  <c r="U188" i="31"/>
  <c r="U187" i="31"/>
  <c r="U186" i="31"/>
  <c r="U185" i="31"/>
  <c r="U184" i="31"/>
  <c r="U183" i="31"/>
  <c r="U182" i="31"/>
  <c r="U181" i="31"/>
  <c r="U180" i="31"/>
  <c r="U179" i="31"/>
  <c r="U178" i="31"/>
  <c r="U177" i="31"/>
  <c r="U176" i="31"/>
  <c r="U175" i="31"/>
  <c r="U174" i="31"/>
  <c r="U173" i="31"/>
  <c r="U172" i="31"/>
  <c r="U171" i="31"/>
  <c r="U170" i="31"/>
  <c r="U169" i="31"/>
  <c r="U168" i="31"/>
  <c r="U167" i="31"/>
  <c r="U166" i="31"/>
  <c r="U165" i="31"/>
  <c r="U164" i="31"/>
  <c r="U163" i="31"/>
  <c r="U162" i="31"/>
  <c r="U161" i="31"/>
  <c r="U160" i="31"/>
  <c r="U159" i="31"/>
  <c r="U158" i="31"/>
  <c r="U157" i="31"/>
  <c r="U156" i="31"/>
  <c r="U155" i="31"/>
  <c r="U154" i="31"/>
  <c r="U153" i="31"/>
  <c r="U152" i="31"/>
  <c r="U151" i="31"/>
  <c r="U150" i="31"/>
  <c r="U149" i="31"/>
  <c r="U148" i="31"/>
  <c r="U147" i="31"/>
  <c r="U146" i="31"/>
  <c r="U145" i="31"/>
  <c r="S247" i="31"/>
  <c r="AA247" i="31" l="1"/>
  <c r="AA246" i="31"/>
  <c r="AA245" i="31"/>
  <c r="AA244" i="31"/>
  <c r="AA243" i="31"/>
  <c r="AA242" i="31"/>
  <c r="AA241" i="31"/>
  <c r="AA240" i="31"/>
  <c r="AA239" i="31"/>
  <c r="AA238" i="31"/>
  <c r="AA237" i="31"/>
  <c r="AA236" i="31"/>
  <c r="AA235" i="31"/>
  <c r="AA234" i="31"/>
  <c r="AA233" i="31"/>
  <c r="AA232" i="31"/>
  <c r="AA231" i="31"/>
  <c r="AA230" i="31"/>
  <c r="AA229" i="31"/>
  <c r="AA228" i="31"/>
  <c r="AA227" i="31"/>
  <c r="AA226" i="31"/>
  <c r="AA225" i="31"/>
  <c r="AA224" i="31"/>
  <c r="AA223" i="31"/>
  <c r="AA222" i="31"/>
  <c r="AA221" i="31"/>
  <c r="AA220" i="31"/>
  <c r="AA219" i="31"/>
  <c r="AA218" i="31"/>
  <c r="AA217" i="31"/>
  <c r="AA216" i="31"/>
  <c r="AA215" i="31"/>
  <c r="AA214" i="31"/>
  <c r="AA213" i="31"/>
  <c r="AA212" i="31"/>
  <c r="AA211" i="31"/>
  <c r="AA210" i="31"/>
  <c r="AA209" i="31"/>
  <c r="AA208" i="31"/>
  <c r="AA207" i="31"/>
  <c r="AA206" i="31"/>
  <c r="AA205" i="31"/>
  <c r="AA204" i="31"/>
  <c r="AA203" i="31"/>
  <c r="AA202" i="31"/>
  <c r="AA201" i="31"/>
  <c r="AA200" i="31"/>
  <c r="AA199" i="31"/>
  <c r="AA198" i="31"/>
  <c r="AA197" i="31"/>
  <c r="AA196" i="31"/>
  <c r="AA195" i="31"/>
  <c r="AA194" i="31"/>
  <c r="AA193" i="31"/>
  <c r="AA192" i="31"/>
  <c r="AA191" i="31"/>
  <c r="AA190" i="31"/>
  <c r="AA189" i="31"/>
  <c r="AA188" i="31"/>
  <c r="AA187" i="31"/>
  <c r="AA186" i="31"/>
  <c r="AA185" i="31"/>
  <c r="AA184" i="31"/>
  <c r="AA183" i="31"/>
  <c r="AA182" i="31"/>
  <c r="AA181" i="31"/>
  <c r="AA180" i="31"/>
  <c r="AA179" i="31"/>
  <c r="AA178" i="31"/>
  <c r="AA177" i="31"/>
  <c r="AA176" i="31"/>
  <c r="AA175" i="31"/>
  <c r="AA174" i="31"/>
  <c r="AA173" i="31"/>
  <c r="AA172" i="31"/>
  <c r="AA171" i="31"/>
  <c r="AA170" i="31"/>
  <c r="AA169" i="31"/>
  <c r="AA168" i="31"/>
  <c r="AA167" i="31"/>
  <c r="AA166" i="31"/>
  <c r="AA165" i="31"/>
  <c r="AA164" i="31"/>
  <c r="AA163" i="31"/>
  <c r="AA162" i="31"/>
  <c r="AA161" i="31"/>
  <c r="AA160" i="31"/>
  <c r="AA159" i="31"/>
  <c r="AA158" i="31"/>
  <c r="AA157" i="31"/>
  <c r="AA156" i="31"/>
  <c r="AA155" i="31"/>
  <c r="AA154" i="31"/>
  <c r="AA153" i="31"/>
  <c r="AA152" i="31"/>
  <c r="AA151" i="31"/>
  <c r="AA150" i="31"/>
  <c r="AA149" i="31"/>
  <c r="AA148" i="31"/>
  <c r="AA147" i="31"/>
  <c r="AA146" i="31"/>
  <c r="AA145" i="31"/>
  <c r="X8" i="31" l="1"/>
  <c r="Y8" i="31"/>
  <c r="AA8" i="31" s="1"/>
  <c r="X14" i="31"/>
  <c r="Y14" i="31"/>
  <c r="AA14" i="31" s="1"/>
  <c r="X23" i="31"/>
  <c r="Y23" i="31"/>
  <c r="AA23" i="31" s="1"/>
  <c r="X24" i="31"/>
  <c r="Y24" i="31"/>
  <c r="AA24" i="31" s="1"/>
  <c r="AA250" i="31" l="1"/>
  <c r="Y250" i="31"/>
  <c r="X250" i="31"/>
  <c r="U250" i="31"/>
  <c r="AA249" i="31"/>
  <c r="Y249" i="31"/>
  <c r="X249" i="31"/>
  <c r="U249" i="31"/>
  <c r="AA248" i="31"/>
  <c r="Y248" i="31"/>
  <c r="X248" i="31"/>
  <c r="U248" i="31"/>
  <c r="Y247" i="31"/>
  <c r="X247" i="31"/>
  <c r="Y246" i="31"/>
  <c r="X246" i="31"/>
  <c r="Y245" i="31"/>
  <c r="X245" i="31"/>
  <c r="Y244" i="31"/>
  <c r="X244" i="31"/>
  <c r="Y243" i="31"/>
  <c r="X243" i="31"/>
  <c r="Y242" i="31"/>
  <c r="X242" i="31"/>
  <c r="Y241" i="31"/>
  <c r="X241" i="31"/>
  <c r="Y240" i="31"/>
  <c r="X240" i="31"/>
  <c r="Y239" i="31"/>
  <c r="X239" i="31"/>
  <c r="Y238" i="31"/>
  <c r="X238" i="31"/>
  <c r="Y237" i="31"/>
  <c r="X237" i="31"/>
  <c r="Y236" i="31"/>
  <c r="X236" i="31"/>
  <c r="Y235" i="31"/>
  <c r="X235" i="31"/>
  <c r="Y234" i="31"/>
  <c r="X234" i="31"/>
  <c r="Y233" i="31"/>
  <c r="X233" i="31"/>
  <c r="Y232" i="31"/>
  <c r="X232" i="31"/>
  <c r="Y231" i="31"/>
  <c r="X231" i="31"/>
  <c r="Y230" i="31"/>
  <c r="X230" i="31"/>
  <c r="Y229" i="31"/>
  <c r="X229" i="31"/>
  <c r="Y228" i="31"/>
  <c r="X228" i="31"/>
  <c r="Y227" i="31"/>
  <c r="X227" i="31"/>
  <c r="Y226" i="31"/>
  <c r="X226" i="31"/>
  <c r="Y225" i="31"/>
  <c r="X225" i="31"/>
  <c r="Y224" i="31"/>
  <c r="X224" i="31"/>
  <c r="Y223" i="31"/>
  <c r="X223" i="31"/>
  <c r="Y222" i="31"/>
  <c r="X222" i="31"/>
  <c r="Y221" i="31"/>
  <c r="X221" i="31"/>
  <c r="Y220" i="31"/>
  <c r="X220" i="31"/>
  <c r="Y219" i="31"/>
  <c r="X219" i="31"/>
  <c r="Y218" i="31"/>
  <c r="X218" i="31"/>
  <c r="Y217" i="31"/>
  <c r="X217" i="31"/>
  <c r="Y216" i="31"/>
  <c r="X216" i="31"/>
  <c r="Y215" i="31"/>
  <c r="X215" i="31"/>
  <c r="Y214" i="31"/>
  <c r="X214" i="31"/>
  <c r="Y213" i="31"/>
  <c r="X213" i="31"/>
  <c r="Y212" i="31"/>
  <c r="X212" i="31"/>
  <c r="Y211" i="31"/>
  <c r="X211" i="31"/>
  <c r="Y210" i="31"/>
  <c r="X210" i="31"/>
  <c r="Y209" i="31"/>
  <c r="X209" i="31"/>
  <c r="Y208" i="31"/>
  <c r="X208" i="31"/>
  <c r="Y207" i="31"/>
  <c r="X207" i="31"/>
  <c r="Y206" i="31"/>
  <c r="X206" i="31"/>
  <c r="Y205" i="31"/>
  <c r="X205" i="31"/>
  <c r="Y204" i="31"/>
  <c r="X204" i="31"/>
  <c r="Y203" i="31"/>
  <c r="X203" i="31"/>
  <c r="Y202" i="31"/>
  <c r="X202" i="31"/>
  <c r="Y201" i="31"/>
  <c r="X201" i="31"/>
  <c r="Y200" i="31"/>
  <c r="X200" i="31"/>
  <c r="Y199" i="31"/>
  <c r="X199" i="31"/>
  <c r="Y198" i="31"/>
  <c r="X198" i="31"/>
  <c r="Y197" i="31"/>
  <c r="X197" i="31"/>
  <c r="Y196" i="31"/>
  <c r="X196" i="31"/>
  <c r="Y195" i="31"/>
  <c r="X195" i="31"/>
  <c r="Y194" i="31"/>
  <c r="X194" i="31"/>
  <c r="Y193" i="31"/>
  <c r="X193" i="31"/>
  <c r="Y192" i="31"/>
  <c r="X192" i="31"/>
  <c r="Y191" i="31"/>
  <c r="X191" i="31"/>
  <c r="Y190" i="31"/>
  <c r="X190" i="31"/>
  <c r="Y189" i="31"/>
  <c r="X189" i="31"/>
  <c r="Y188" i="31"/>
  <c r="X188" i="31"/>
  <c r="Y187" i="31"/>
  <c r="X187" i="31"/>
  <c r="Y186" i="31"/>
  <c r="X186" i="31"/>
  <c r="Y185" i="31"/>
  <c r="X185" i="31"/>
  <c r="Y184" i="31"/>
  <c r="X184" i="31"/>
  <c r="Y183" i="31"/>
  <c r="X183" i="31"/>
  <c r="Y182" i="31"/>
  <c r="X182" i="31"/>
  <c r="Y181" i="31"/>
  <c r="X181" i="31"/>
  <c r="Y180" i="31"/>
  <c r="X180" i="31"/>
  <c r="Y179" i="31"/>
  <c r="X179" i="31"/>
  <c r="Y178" i="31"/>
  <c r="X178" i="31"/>
  <c r="Y177" i="31"/>
  <c r="X177" i="31"/>
  <c r="Y176" i="31"/>
  <c r="X176" i="31"/>
  <c r="Y175" i="31"/>
  <c r="X175" i="31"/>
  <c r="Y174" i="31"/>
  <c r="X174" i="31"/>
  <c r="Y173" i="31"/>
  <c r="X173" i="31"/>
  <c r="Y172" i="31"/>
  <c r="X172" i="31"/>
  <c r="Y171" i="31"/>
  <c r="X171" i="31"/>
  <c r="Y170" i="31"/>
  <c r="X170" i="31"/>
  <c r="Y169" i="31"/>
  <c r="X169" i="31"/>
  <c r="Y168" i="31"/>
  <c r="X168" i="31"/>
  <c r="Y167" i="31"/>
  <c r="X167" i="31"/>
  <c r="Y166" i="31"/>
  <c r="X166" i="31"/>
  <c r="Y165" i="31"/>
  <c r="X165" i="31"/>
  <c r="Y164" i="31"/>
  <c r="X164" i="31"/>
  <c r="Y163" i="31"/>
  <c r="X163" i="31"/>
  <c r="Y162" i="31"/>
  <c r="X162" i="31"/>
  <c r="Y161" i="31"/>
  <c r="X161" i="31"/>
  <c r="Y160" i="31"/>
  <c r="X160" i="31"/>
  <c r="Y159" i="31"/>
  <c r="X159" i="31"/>
  <c r="Y158" i="31"/>
  <c r="X158" i="31"/>
  <c r="Y157" i="31"/>
  <c r="X157" i="31"/>
  <c r="Y156" i="31"/>
  <c r="X156" i="31"/>
  <c r="Y155" i="31"/>
  <c r="X155" i="31"/>
  <c r="Y154" i="31"/>
  <c r="X154" i="31"/>
  <c r="Y153" i="31"/>
  <c r="X153" i="31"/>
  <c r="Y152" i="31"/>
  <c r="X152" i="31"/>
  <c r="Y151" i="31"/>
  <c r="X151" i="31"/>
  <c r="Y150" i="31"/>
  <c r="X150" i="31"/>
  <c r="Y149" i="31"/>
  <c r="X149" i="31"/>
  <c r="Y148" i="31"/>
  <c r="X148" i="31"/>
  <c r="Y147" i="31"/>
  <c r="X147" i="31"/>
  <c r="Y146" i="31"/>
  <c r="X146" i="31"/>
  <c r="Y145" i="31"/>
  <c r="X145" i="31"/>
  <c r="T247" i="31" l="1"/>
  <c r="U247" i="31" s="1"/>
  <c r="AH89" i="26"/>
  <c r="AG89" i="26"/>
  <c r="V89" i="26"/>
  <c r="X76" i="26" l="1"/>
  <c r="X89" i="26" s="1"/>
  <c r="W76" i="26"/>
  <c r="Z75" i="26"/>
  <c r="Z89" i="26" s="1"/>
  <c r="AF75" i="26"/>
  <c r="AF89" i="26" s="1"/>
  <c r="AB74" i="26"/>
  <c r="W37" i="26"/>
  <c r="W31" i="26"/>
  <c r="W89" i="26" l="1"/>
  <c r="AA78" i="26"/>
  <c r="AA89" i="26" s="1"/>
  <c r="Y78" i="26"/>
  <c r="AE73" i="26"/>
  <c r="AD73" i="26"/>
  <c r="AC73" i="26"/>
  <c r="AC89" i="26" s="1"/>
  <c r="AE72" i="26"/>
  <c r="AD72" i="26"/>
  <c r="AE31" i="26"/>
  <c r="AB31" i="26"/>
  <c r="AB89" i="26" s="1"/>
  <c r="Y31" i="26"/>
  <c r="O1" i="26"/>
  <c r="P1" i="26" s="1"/>
  <c r="Q1" i="26" s="1"/>
  <c r="R1" i="26" s="1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AC1" i="26" s="1"/>
  <c r="AD1" i="26" s="1"/>
  <c r="AE1" i="26" s="1"/>
  <c r="AF1" i="26" s="1"/>
  <c r="AG1" i="26" s="1"/>
  <c r="AH1" i="26" s="1"/>
  <c r="AD89" i="26" l="1"/>
  <c r="AE89" i="26"/>
  <c r="Y89" i="26"/>
  <c r="AI84" i="20" l="1"/>
  <c r="AI87" i="20" s="1"/>
  <c r="X81" i="20"/>
  <c r="BO78" i="20"/>
  <c r="BP78" i="20" s="1"/>
  <c r="BQ78" i="20" s="1"/>
  <c r="BR78" i="20" s="1"/>
  <c r="BS78" i="20" s="1"/>
  <c r="BT78" i="20" s="1"/>
  <c r="BU78" i="20" s="1"/>
  <c r="BV78" i="20" s="1"/>
  <c r="BW78" i="20" s="1"/>
  <c r="BX78" i="20" s="1"/>
  <c r="BY78" i="20" s="1"/>
  <c r="BK84" i="20"/>
  <c r="AB84" i="20" l="1"/>
  <c r="AB87" i="20" s="1"/>
  <c r="AC84" i="20"/>
  <c r="AC87" i="20" s="1"/>
  <c r="AD84" i="20"/>
  <c r="AD87" i="20" s="1"/>
  <c r="Y80" i="20"/>
  <c r="AE84" i="20"/>
  <c r="AE87" i="20" s="1"/>
  <c r="X84" i="20"/>
  <c r="X87" i="20" s="1"/>
  <c r="AF84" i="20"/>
  <c r="AF87" i="20" s="1"/>
  <c r="Y84" i="20"/>
  <c r="Y87" i="20" s="1"/>
  <c r="AG84" i="20"/>
  <c r="AG87" i="20" s="1"/>
  <c r="Z84" i="20"/>
  <c r="Z87" i="20" s="1"/>
  <c r="AH84" i="20"/>
  <c r="AH87" i="20" s="1"/>
  <c r="AA84" i="20"/>
  <c r="AA87" i="20" s="1"/>
  <c r="Y81" i="20" l="1"/>
  <c r="Z80" i="20"/>
  <c r="Z81" i="20" l="1"/>
  <c r="AA80" i="20"/>
  <c r="AB80" i="20" l="1"/>
  <c r="AA81" i="20"/>
  <c r="AC80" i="20" l="1"/>
  <c r="AB81" i="20"/>
  <c r="AC81" i="20" l="1"/>
  <c r="AD80" i="20"/>
  <c r="AD81" i="20" l="1"/>
  <c r="AE80" i="20"/>
  <c r="AF80" i="20" l="1"/>
  <c r="AE81" i="20"/>
  <c r="AF81" i="20" l="1"/>
  <c r="AG80" i="20"/>
  <c r="AG81" i="20" l="1"/>
  <c r="AH80" i="20"/>
  <c r="AI80" i="20" l="1"/>
  <c r="AI81" i="20" s="1"/>
  <c r="AH81" i="20"/>
  <c r="X89" i="20" l="1"/>
  <c r="Y89" i="20"/>
  <c r="Z89" i="20" l="1"/>
  <c r="AA89" i="20" l="1"/>
  <c r="AB89" i="20" l="1"/>
  <c r="AC89" i="20" l="1"/>
  <c r="AD89" i="20" l="1"/>
  <c r="AE89" i="20" l="1"/>
  <c r="AF89" i="20" l="1"/>
  <c r="AG89" i="20" l="1"/>
  <c r="AH89" i="20" l="1"/>
  <c r="AI89" i="20" l="1"/>
  <c r="AI91" i="20" s="1"/>
  <c r="AF85" i="18" l="1"/>
  <c r="V85" i="18"/>
  <c r="U85" i="18"/>
  <c r="AC83" i="18"/>
  <c r="AB83" i="18"/>
  <c r="AB85" i="18" s="1"/>
  <c r="AA83" i="18"/>
  <c r="AE76" i="18"/>
  <c r="AD76" i="18"/>
  <c r="AC76" i="18"/>
  <c r="AA76" i="18"/>
  <c r="Y76" i="18"/>
  <c r="W76" i="18"/>
  <c r="W85" i="18" s="1"/>
  <c r="Z75" i="18"/>
  <c r="Z85" i="18" s="1"/>
  <c r="Y75" i="18"/>
  <c r="X75" i="18"/>
  <c r="AE74" i="18"/>
  <c r="AD74" i="18"/>
  <c r="AC74" i="18"/>
  <c r="AE73" i="18"/>
  <c r="Y73" i="18"/>
  <c r="X72" i="18"/>
  <c r="AE60" i="18"/>
  <c r="AD60" i="18"/>
  <c r="AC60" i="18"/>
  <c r="AE59" i="18"/>
  <c r="AD59" i="18"/>
  <c r="O1" i="18"/>
  <c r="P1" i="18" s="1"/>
  <c r="Q1" i="18" s="1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AC1" i="18" s="1"/>
  <c r="AD1" i="18" s="1"/>
  <c r="AE1" i="18" s="1"/>
  <c r="AF1" i="18" s="1"/>
  <c r="X73" i="16"/>
  <c r="AF86" i="16"/>
  <c r="V86" i="16"/>
  <c r="U86" i="16"/>
  <c r="AA85" i="18" l="1"/>
  <c r="X85" i="18"/>
  <c r="AE85" i="18"/>
  <c r="Y85" i="18"/>
  <c r="AC85" i="18"/>
  <c r="AD85" i="18"/>
  <c r="P698" i="17"/>
  <c r="N698" i="17"/>
  <c r="P697" i="17"/>
  <c r="N697" i="17"/>
  <c r="P696" i="17"/>
  <c r="N696" i="17"/>
  <c r="P695" i="17"/>
  <c r="N695" i="17"/>
  <c r="P694" i="17"/>
  <c r="P693" i="17"/>
  <c r="P692" i="17"/>
  <c r="P691" i="17"/>
  <c r="P690" i="17"/>
  <c r="P689" i="17"/>
  <c r="N689" i="17"/>
  <c r="P688" i="17"/>
  <c r="N688" i="17"/>
  <c r="P687" i="17"/>
  <c r="N687" i="17"/>
  <c r="P686" i="17"/>
  <c r="P685" i="17"/>
  <c r="N685" i="17"/>
  <c r="P684" i="17"/>
  <c r="P683" i="17"/>
  <c r="P682" i="17"/>
  <c r="N682" i="17"/>
  <c r="P681" i="17"/>
  <c r="P680" i="17"/>
  <c r="P679" i="17"/>
  <c r="P678" i="17"/>
  <c r="P677" i="17"/>
  <c r="N677" i="17"/>
  <c r="P676" i="17"/>
  <c r="N676" i="17"/>
  <c r="P675" i="17"/>
  <c r="N675" i="17"/>
  <c r="P674" i="17"/>
  <c r="N674" i="17"/>
  <c r="P673" i="17"/>
  <c r="N673" i="17"/>
  <c r="P672" i="17"/>
  <c r="N672" i="17"/>
  <c r="P671" i="17"/>
  <c r="N671" i="17"/>
  <c r="P670" i="17"/>
  <c r="N670" i="17"/>
  <c r="P669" i="17"/>
  <c r="N669" i="17"/>
  <c r="P668" i="17"/>
  <c r="N668" i="17"/>
  <c r="P667" i="17"/>
  <c r="N667" i="17"/>
  <c r="P666" i="17"/>
  <c r="N666" i="17"/>
  <c r="P665" i="17"/>
  <c r="N665" i="17"/>
  <c r="P664" i="17"/>
  <c r="N664" i="17"/>
  <c r="P663" i="17"/>
  <c r="N663" i="17"/>
  <c r="P662" i="17"/>
  <c r="N662" i="17"/>
  <c r="P661" i="17"/>
  <c r="N661" i="17"/>
  <c r="P660" i="17"/>
  <c r="N660" i="17"/>
  <c r="P659" i="17"/>
  <c r="N659" i="17"/>
  <c r="P649" i="17"/>
  <c r="N649" i="17"/>
  <c r="P648" i="17"/>
  <c r="N648" i="17"/>
  <c r="P647" i="17"/>
  <c r="N647" i="17"/>
  <c r="P646" i="17"/>
  <c r="N646" i="17"/>
  <c r="P645" i="17"/>
  <c r="N645" i="17"/>
  <c r="P644" i="17"/>
  <c r="N644" i="17"/>
  <c r="P643" i="17"/>
  <c r="N643" i="17"/>
  <c r="P642" i="17"/>
  <c r="N642" i="17"/>
  <c r="P641" i="17"/>
  <c r="N641" i="17"/>
  <c r="P640" i="17"/>
  <c r="N640" i="17"/>
  <c r="P639" i="17"/>
  <c r="N639" i="17"/>
  <c r="P638" i="17"/>
  <c r="N638" i="17"/>
  <c r="P637" i="17"/>
  <c r="N637" i="17"/>
  <c r="P636" i="17"/>
  <c r="N636" i="17"/>
  <c r="P635" i="17"/>
  <c r="N635" i="17"/>
  <c r="P634" i="17"/>
  <c r="N634" i="17"/>
  <c r="P633" i="17"/>
  <c r="N633" i="17"/>
  <c r="N631" i="17"/>
  <c r="N630" i="17"/>
  <c r="N629" i="17"/>
  <c r="N628" i="17"/>
  <c r="N627" i="17"/>
  <c r="P626" i="17"/>
  <c r="N626" i="17"/>
  <c r="P625" i="17"/>
  <c r="N625" i="17"/>
  <c r="P624" i="17"/>
  <c r="N624" i="17"/>
  <c r="P623" i="17"/>
  <c r="N623" i="17"/>
  <c r="P622" i="17"/>
  <c r="N622" i="17"/>
  <c r="P621" i="17"/>
  <c r="N621" i="17"/>
  <c r="P620" i="17"/>
  <c r="N620" i="17"/>
  <c r="P619" i="17"/>
  <c r="N619" i="17"/>
  <c r="P618" i="17"/>
  <c r="N618" i="17"/>
  <c r="P616" i="17"/>
  <c r="N616" i="17"/>
  <c r="P615" i="17"/>
  <c r="N615" i="17"/>
  <c r="P614" i="17"/>
  <c r="N614" i="17"/>
  <c r="P613" i="17"/>
  <c r="P611" i="17"/>
  <c r="P610" i="17"/>
  <c r="P609" i="17"/>
  <c r="N609" i="17"/>
  <c r="P608" i="17"/>
  <c r="N608" i="17"/>
  <c r="P607" i="17"/>
  <c r="P606" i="17"/>
  <c r="N606" i="17"/>
  <c r="N605" i="17"/>
  <c r="N604" i="17"/>
  <c r="N602" i="17"/>
  <c r="N601" i="17"/>
  <c r="N600" i="17"/>
  <c r="N599" i="17"/>
  <c r="N598" i="17"/>
  <c r="N597" i="17"/>
  <c r="P597" i="17" s="1"/>
  <c r="N596" i="17"/>
  <c r="P595" i="17"/>
  <c r="N595" i="17"/>
  <c r="P594" i="17"/>
  <c r="N594" i="17"/>
  <c r="P593" i="17"/>
  <c r="N593" i="17"/>
  <c r="P592" i="17"/>
  <c r="N592" i="17"/>
  <c r="P591" i="17"/>
  <c r="N591" i="17"/>
  <c r="P590" i="17"/>
  <c r="N590" i="17"/>
  <c r="P589" i="17"/>
  <c r="N589" i="17"/>
  <c r="P588" i="17"/>
  <c r="N588" i="17"/>
  <c r="P587" i="17"/>
  <c r="N587" i="17"/>
  <c r="P586" i="17"/>
  <c r="N586" i="17"/>
  <c r="P585" i="17"/>
  <c r="N585" i="17"/>
  <c r="P584" i="17"/>
  <c r="N584" i="17"/>
  <c r="P583" i="17"/>
  <c r="N583" i="17"/>
  <c r="P582" i="17"/>
  <c r="N582" i="17"/>
  <c r="P581" i="17"/>
  <c r="N581" i="17"/>
  <c r="P580" i="17"/>
  <c r="N580" i="17"/>
  <c r="P579" i="17"/>
  <c r="N579" i="17"/>
  <c r="P578" i="17"/>
  <c r="N578" i="17"/>
  <c r="P577" i="17"/>
  <c r="N577" i="17"/>
  <c r="P576" i="17"/>
  <c r="N576" i="17"/>
  <c r="P575" i="17"/>
  <c r="N575" i="17"/>
  <c r="P574" i="17"/>
  <c r="N574" i="17"/>
  <c r="P573" i="17"/>
  <c r="N573" i="17"/>
  <c r="P572" i="17"/>
  <c r="N572" i="17"/>
  <c r="P571" i="17"/>
  <c r="N571" i="17"/>
  <c r="P570" i="17"/>
  <c r="N570" i="17"/>
  <c r="P569" i="17"/>
  <c r="N569" i="17"/>
  <c r="P568" i="17"/>
  <c r="N568" i="17"/>
  <c r="P567" i="17"/>
  <c r="N567" i="17"/>
  <c r="P566" i="17"/>
  <c r="N566" i="17"/>
  <c r="P565" i="17"/>
  <c r="N565" i="17"/>
  <c r="P564" i="17"/>
  <c r="N564" i="17"/>
  <c r="P563" i="17"/>
  <c r="N563" i="17"/>
  <c r="P562" i="17"/>
  <c r="N562" i="17"/>
  <c r="P561" i="17"/>
  <c r="N561" i="17"/>
  <c r="P560" i="17"/>
  <c r="N560" i="17"/>
  <c r="P559" i="17"/>
  <c r="N559" i="17"/>
  <c r="P558" i="17"/>
  <c r="N558" i="17"/>
  <c r="P557" i="17"/>
  <c r="N557" i="17"/>
  <c r="P556" i="17"/>
  <c r="N556" i="17"/>
  <c r="P555" i="17"/>
  <c r="N555" i="17"/>
  <c r="P554" i="17"/>
  <c r="N554" i="17"/>
  <c r="P553" i="17"/>
  <c r="N553" i="17"/>
  <c r="P552" i="17"/>
  <c r="N552" i="17"/>
  <c r="P551" i="17"/>
  <c r="N551" i="17"/>
  <c r="P550" i="17"/>
  <c r="N550" i="17"/>
  <c r="P549" i="17"/>
  <c r="N549" i="17"/>
  <c r="P548" i="17"/>
  <c r="N548" i="17"/>
  <c r="P547" i="17"/>
  <c r="N547" i="17"/>
  <c r="P546" i="17"/>
  <c r="N546" i="17"/>
  <c r="P545" i="17"/>
  <c r="N545" i="17"/>
  <c r="P544" i="17"/>
  <c r="N544" i="17"/>
  <c r="P543" i="17"/>
  <c r="N543" i="17"/>
  <c r="P542" i="17"/>
  <c r="N542" i="17"/>
  <c r="P541" i="17"/>
  <c r="N541" i="17"/>
  <c r="P540" i="17"/>
  <c r="N540" i="17"/>
  <c r="P539" i="17"/>
  <c r="N539" i="17"/>
  <c r="P538" i="17"/>
  <c r="N538" i="17"/>
  <c r="P537" i="17"/>
  <c r="N537" i="17"/>
  <c r="P536" i="17"/>
  <c r="N536" i="17"/>
  <c r="P535" i="17"/>
  <c r="N535" i="17"/>
  <c r="P534" i="17"/>
  <c r="N534" i="17"/>
  <c r="P533" i="17"/>
  <c r="N533" i="17"/>
  <c r="P532" i="17"/>
  <c r="N532" i="17"/>
  <c r="P531" i="17"/>
  <c r="N531" i="17"/>
  <c r="P530" i="17"/>
  <c r="N530" i="17"/>
  <c r="P529" i="17"/>
  <c r="N529" i="17"/>
  <c r="P528" i="17"/>
  <c r="N528" i="17"/>
  <c r="P527" i="17"/>
  <c r="N527" i="17"/>
  <c r="P526" i="17"/>
  <c r="N526" i="17"/>
  <c r="P525" i="17"/>
  <c r="N525" i="17"/>
  <c r="P524" i="17"/>
  <c r="N524" i="17"/>
  <c r="P523" i="17"/>
  <c r="N523" i="17"/>
  <c r="P522" i="17"/>
  <c r="N522" i="17"/>
  <c r="P521" i="17"/>
  <c r="N521" i="17"/>
  <c r="P520" i="17"/>
  <c r="N520" i="17"/>
  <c r="P519" i="17"/>
  <c r="N519" i="17"/>
  <c r="P518" i="17"/>
  <c r="N518" i="17"/>
  <c r="P517" i="17"/>
  <c r="N517" i="17"/>
  <c r="P516" i="17"/>
  <c r="N516" i="17"/>
  <c r="P515" i="17"/>
  <c r="N515" i="17"/>
  <c r="P514" i="17"/>
  <c r="N514" i="17"/>
  <c r="P513" i="17"/>
  <c r="N513" i="17"/>
  <c r="P512" i="17"/>
  <c r="N512" i="17"/>
  <c r="P511" i="17"/>
  <c r="N511" i="17"/>
  <c r="P510" i="17"/>
  <c r="N510" i="17"/>
  <c r="P509" i="17"/>
  <c r="N509" i="17"/>
  <c r="P508" i="17"/>
  <c r="N508" i="17"/>
  <c r="P507" i="17"/>
  <c r="N507" i="17"/>
  <c r="P506" i="17"/>
  <c r="N506" i="17"/>
  <c r="P505" i="17"/>
  <c r="N505" i="17"/>
  <c r="P504" i="17"/>
  <c r="N504" i="17"/>
  <c r="P503" i="17"/>
  <c r="N503" i="17"/>
  <c r="P502" i="17"/>
  <c r="N502" i="17"/>
  <c r="P501" i="17"/>
  <c r="N501" i="17"/>
  <c r="P500" i="17"/>
  <c r="N500" i="17"/>
  <c r="P499" i="17"/>
  <c r="N499" i="17"/>
  <c r="P498" i="17"/>
  <c r="N498" i="17"/>
  <c r="P497" i="17"/>
  <c r="N497" i="17"/>
  <c r="P496" i="17"/>
  <c r="N496" i="17"/>
  <c r="P495" i="17"/>
  <c r="N495" i="17"/>
  <c r="P494" i="17"/>
  <c r="N494" i="17"/>
  <c r="P493" i="17"/>
  <c r="N493" i="17"/>
  <c r="P492" i="17"/>
  <c r="N492" i="17"/>
  <c r="P491" i="17"/>
  <c r="N491" i="17"/>
  <c r="P490" i="17"/>
  <c r="N490" i="17"/>
  <c r="P489" i="17"/>
  <c r="N489" i="17"/>
  <c r="P488" i="17"/>
  <c r="N488" i="17"/>
  <c r="P487" i="17"/>
  <c r="N487" i="17"/>
  <c r="P486" i="17"/>
  <c r="N486" i="17"/>
  <c r="P485" i="17"/>
  <c r="N485" i="17"/>
  <c r="P484" i="17"/>
  <c r="N484" i="17"/>
  <c r="P483" i="17"/>
  <c r="N483" i="17"/>
  <c r="P482" i="17"/>
  <c r="N482" i="17"/>
  <c r="P481" i="17"/>
  <c r="N481" i="17"/>
  <c r="P480" i="17"/>
  <c r="N480" i="17"/>
  <c r="P479" i="17"/>
  <c r="N479" i="17"/>
  <c r="P478" i="17"/>
  <c r="N478" i="17"/>
  <c r="P477" i="17"/>
  <c r="N477" i="17"/>
  <c r="P476" i="17"/>
  <c r="N476" i="17"/>
  <c r="N467" i="17"/>
  <c r="P467" i="17" s="1"/>
  <c r="N466" i="17"/>
  <c r="P466" i="17" s="1"/>
  <c r="N458" i="17"/>
  <c r="P458" i="17" s="1"/>
  <c r="N454" i="17"/>
  <c r="N453" i="17"/>
  <c r="P453" i="17" s="1"/>
  <c r="N452" i="17"/>
  <c r="P452" i="17" s="1"/>
  <c r="N450" i="17"/>
  <c r="P450" i="17" s="1"/>
  <c r="N449" i="17"/>
  <c r="P449" i="17" s="1"/>
  <c r="N448" i="17"/>
  <c r="P448" i="17" s="1"/>
  <c r="N446" i="17"/>
  <c r="P446" i="17" s="1"/>
  <c r="N440" i="17"/>
  <c r="P440" i="17" s="1"/>
  <c r="P439" i="17"/>
  <c r="N438" i="17"/>
  <c r="P438" i="17" s="1"/>
  <c r="N437" i="17"/>
  <c r="P437" i="17" s="1"/>
  <c r="N436" i="17"/>
  <c r="P436" i="17" s="1"/>
  <c r="N435" i="17"/>
  <c r="P435" i="17" s="1"/>
  <c r="N434" i="17"/>
  <c r="P434" i="17" s="1"/>
  <c r="N433" i="17"/>
  <c r="P433" i="17" s="1"/>
  <c r="N432" i="17"/>
  <c r="P432" i="17" s="1"/>
  <c r="N431" i="17"/>
  <c r="P431" i="17" s="1"/>
  <c r="N430" i="17"/>
  <c r="P430" i="17" s="1"/>
  <c r="N429" i="17"/>
  <c r="P429" i="17" s="1"/>
  <c r="M428" i="17"/>
  <c r="M699" i="17" s="1"/>
  <c r="N427" i="17"/>
  <c r="P427" i="17" s="1"/>
  <c r="N426" i="17"/>
  <c r="P426" i="17" s="1"/>
  <c r="N425" i="17"/>
  <c r="P425" i="17" s="1"/>
  <c r="P424" i="17"/>
  <c r="N424" i="17"/>
  <c r="P423" i="17"/>
  <c r="N423" i="17"/>
  <c r="P422" i="17"/>
  <c r="N422" i="17"/>
  <c r="P421" i="17"/>
  <c r="N421" i="17"/>
  <c r="P420" i="17"/>
  <c r="N420" i="17"/>
  <c r="P419" i="17"/>
  <c r="N419" i="17"/>
  <c r="P418" i="17"/>
  <c r="N418" i="17"/>
  <c r="P417" i="17"/>
  <c r="N417" i="17"/>
  <c r="P416" i="17"/>
  <c r="N416" i="17"/>
  <c r="P415" i="17"/>
  <c r="N415" i="17"/>
  <c r="P414" i="17"/>
  <c r="N414" i="17"/>
  <c r="P413" i="17"/>
  <c r="N413" i="17"/>
  <c r="P412" i="17"/>
  <c r="N412" i="17"/>
  <c r="P411" i="17"/>
  <c r="N411" i="17"/>
  <c r="P410" i="17"/>
  <c r="N410" i="17"/>
  <c r="P409" i="17"/>
  <c r="N409" i="17"/>
  <c r="P408" i="17"/>
  <c r="N408" i="17"/>
  <c r="P407" i="17"/>
  <c r="N407" i="17"/>
  <c r="P406" i="17"/>
  <c r="N406" i="17"/>
  <c r="P405" i="17"/>
  <c r="N405" i="17"/>
  <c r="P404" i="17"/>
  <c r="N404" i="17"/>
  <c r="P403" i="17"/>
  <c r="N403" i="17"/>
  <c r="P402" i="17"/>
  <c r="N402" i="17"/>
  <c r="P401" i="17"/>
  <c r="N401" i="17"/>
  <c r="P400" i="17"/>
  <c r="N400" i="17"/>
  <c r="P399" i="17"/>
  <c r="N399" i="17"/>
  <c r="P398" i="17"/>
  <c r="N398" i="17"/>
  <c r="P397" i="17"/>
  <c r="N397" i="17"/>
  <c r="P396" i="17"/>
  <c r="N396" i="17"/>
  <c r="P395" i="17"/>
  <c r="N395" i="17"/>
  <c r="P394" i="17"/>
  <c r="N394" i="17"/>
  <c r="P393" i="17"/>
  <c r="N393" i="17"/>
  <c r="P392" i="17"/>
  <c r="N392" i="17"/>
  <c r="P391" i="17"/>
  <c r="N391" i="17"/>
  <c r="P390" i="17"/>
  <c r="N390" i="17"/>
  <c r="P389" i="17"/>
  <c r="N389" i="17"/>
  <c r="P388" i="17"/>
  <c r="N388" i="17"/>
  <c r="P387" i="17"/>
  <c r="N387" i="17"/>
  <c r="P386" i="17"/>
  <c r="N386" i="17"/>
  <c r="P385" i="17"/>
  <c r="N385" i="17"/>
  <c r="P384" i="17"/>
  <c r="P383" i="17"/>
  <c r="N383" i="17"/>
  <c r="P382" i="17"/>
  <c r="N382" i="17"/>
  <c r="P381" i="17"/>
  <c r="P380" i="17"/>
  <c r="P379" i="17"/>
  <c r="N379" i="17"/>
  <c r="P378" i="17"/>
  <c r="P377" i="17"/>
  <c r="N377" i="17"/>
  <c r="P376" i="17"/>
  <c r="P375" i="17"/>
  <c r="P374" i="17"/>
  <c r="N374" i="17"/>
  <c r="N373" i="17"/>
  <c r="P372" i="17"/>
  <c r="P371" i="17"/>
  <c r="N371" i="17"/>
  <c r="P370" i="17"/>
  <c r="N370" i="17"/>
  <c r="P369" i="17"/>
  <c r="N369" i="17"/>
  <c r="P368" i="17"/>
  <c r="N368" i="17"/>
  <c r="P367" i="17"/>
  <c r="P366" i="17"/>
  <c r="N366" i="17"/>
  <c r="M365" i="17"/>
  <c r="P365" i="17" s="1"/>
  <c r="P364" i="17"/>
  <c r="N364" i="17"/>
  <c r="P363" i="17"/>
  <c r="N363" i="17"/>
  <c r="P362" i="17"/>
  <c r="P361" i="17"/>
  <c r="N361" i="17"/>
  <c r="P360" i="17"/>
  <c r="P358" i="17"/>
  <c r="P356" i="17"/>
  <c r="N356" i="17"/>
  <c r="P355" i="17"/>
  <c r="M354" i="17"/>
  <c r="P354" i="17" s="1"/>
  <c r="P353" i="17"/>
  <c r="P352" i="17"/>
  <c r="N352" i="17"/>
  <c r="P351" i="17"/>
  <c r="N351" i="17"/>
  <c r="P350" i="17"/>
  <c r="N350" i="17"/>
  <c r="P349" i="17"/>
  <c r="N349" i="17"/>
  <c r="P348" i="17"/>
  <c r="N348" i="17"/>
  <c r="P347" i="17"/>
  <c r="N347" i="17"/>
  <c r="P346" i="17"/>
  <c r="N346" i="17"/>
  <c r="P345" i="17"/>
  <c r="N345" i="17"/>
  <c r="N344" i="17"/>
  <c r="P343" i="17"/>
  <c r="N341" i="17"/>
  <c r="P340" i="17"/>
  <c r="N340" i="17"/>
  <c r="P339" i="17"/>
  <c r="N339" i="17"/>
  <c r="P338" i="17"/>
  <c r="N338" i="17"/>
  <c r="P337" i="17"/>
  <c r="N337" i="17"/>
  <c r="P336" i="17"/>
  <c r="N336" i="17"/>
  <c r="P335" i="17"/>
  <c r="N335" i="17"/>
  <c r="M334" i="17"/>
  <c r="P334" i="17" s="1"/>
  <c r="P333" i="17"/>
  <c r="N333" i="17"/>
  <c r="P332" i="17"/>
  <c r="N332" i="17"/>
  <c r="P331" i="17"/>
  <c r="N331" i="17"/>
  <c r="P330" i="17"/>
  <c r="N330" i="17"/>
  <c r="P329" i="17"/>
  <c r="N329" i="17"/>
  <c r="P328" i="17"/>
  <c r="N328" i="17"/>
  <c r="P327" i="17"/>
  <c r="N327" i="17"/>
  <c r="P326" i="17"/>
  <c r="N326" i="17"/>
  <c r="P325" i="17"/>
  <c r="N325" i="17"/>
  <c r="P324" i="17"/>
  <c r="N324" i="17"/>
  <c r="P323" i="17"/>
  <c r="N323" i="17"/>
  <c r="P322" i="17"/>
  <c r="N322" i="17"/>
  <c r="P321" i="17"/>
  <c r="N321" i="17"/>
  <c r="P320" i="17"/>
  <c r="N320" i="17"/>
  <c r="P319" i="17"/>
  <c r="N319" i="17"/>
  <c r="P318" i="17"/>
  <c r="N318" i="17"/>
  <c r="P317" i="17"/>
  <c r="N317" i="17"/>
  <c r="P316" i="17"/>
  <c r="N316" i="17"/>
  <c r="P315" i="17"/>
  <c r="N315" i="17"/>
  <c r="P314" i="17"/>
  <c r="N314" i="17"/>
  <c r="P313" i="17"/>
  <c r="N313" i="17"/>
  <c r="P312" i="17"/>
  <c r="N312" i="17"/>
  <c r="P311" i="17"/>
  <c r="N311" i="17"/>
  <c r="P310" i="17"/>
  <c r="N310" i="17"/>
  <c r="P309" i="17"/>
  <c r="N309" i="17"/>
  <c r="N308" i="17"/>
  <c r="P307" i="17"/>
  <c r="N307" i="17"/>
  <c r="P306" i="17"/>
  <c r="N306" i="17"/>
  <c r="P305" i="17"/>
  <c r="N305" i="17"/>
  <c r="P304" i="17"/>
  <c r="N304" i="17"/>
  <c r="P303" i="17"/>
  <c r="N303" i="17"/>
  <c r="P302" i="17"/>
  <c r="N302" i="17"/>
  <c r="P301" i="17"/>
  <c r="N301" i="17"/>
  <c r="P300" i="17"/>
  <c r="N300" i="17"/>
  <c r="N299" i="17"/>
  <c r="P298" i="17"/>
  <c r="N298" i="17"/>
  <c r="N297" i="17"/>
  <c r="N296" i="17"/>
  <c r="N295" i="17"/>
  <c r="P293" i="17"/>
  <c r="N293" i="17"/>
  <c r="P292" i="17"/>
  <c r="N292" i="17"/>
  <c r="N291" i="17"/>
  <c r="P290" i="17"/>
  <c r="N290" i="17"/>
  <c r="P289" i="17"/>
  <c r="N289" i="17"/>
  <c r="P288" i="17"/>
  <c r="N288" i="17"/>
  <c r="P287" i="17"/>
  <c r="N287" i="17"/>
  <c r="P286" i="17"/>
  <c r="N286" i="17"/>
  <c r="P285" i="17"/>
  <c r="N285" i="17"/>
  <c r="P284" i="17"/>
  <c r="N284" i="17"/>
  <c r="P283" i="17"/>
  <c r="N283" i="17"/>
  <c r="P282" i="17"/>
  <c r="N282" i="17"/>
  <c r="M281" i="17"/>
  <c r="P281" i="17" s="1"/>
  <c r="M280" i="17"/>
  <c r="P280" i="17" s="1"/>
  <c r="P279" i="17"/>
  <c r="N279" i="17"/>
  <c r="P278" i="17"/>
  <c r="N278" i="17"/>
  <c r="P277" i="17"/>
  <c r="N277" i="17"/>
  <c r="P276" i="17"/>
  <c r="N276" i="17"/>
  <c r="P275" i="17"/>
  <c r="N275" i="17"/>
  <c r="P274" i="17"/>
  <c r="N274" i="17"/>
  <c r="P273" i="17"/>
  <c r="N273" i="17"/>
  <c r="P272" i="17"/>
  <c r="N272" i="17"/>
  <c r="P271" i="17"/>
  <c r="N271" i="17"/>
  <c r="P270" i="17"/>
  <c r="N270" i="17"/>
  <c r="P269" i="17"/>
  <c r="N269" i="17"/>
  <c r="P268" i="17"/>
  <c r="N268" i="17"/>
  <c r="P267" i="17"/>
  <c r="N267" i="17"/>
  <c r="P266" i="17"/>
  <c r="N266" i="17"/>
  <c r="P265" i="17"/>
  <c r="N265" i="17"/>
  <c r="P264" i="17"/>
  <c r="N264" i="17"/>
  <c r="P263" i="17"/>
  <c r="N263" i="17"/>
  <c r="P262" i="17"/>
  <c r="N262" i="17"/>
  <c r="P261" i="17"/>
  <c r="N261" i="17"/>
  <c r="M260" i="17"/>
  <c r="N260" i="17" s="1"/>
  <c r="P259" i="17"/>
  <c r="N259" i="17"/>
  <c r="P258" i="17"/>
  <c r="N258" i="17"/>
  <c r="P257" i="17"/>
  <c r="N257" i="17"/>
  <c r="P256" i="17"/>
  <c r="N256" i="17"/>
  <c r="P255" i="17"/>
  <c r="N255" i="17"/>
  <c r="P254" i="17"/>
  <c r="N254" i="17"/>
  <c r="P253" i="17"/>
  <c r="N253" i="17"/>
  <c r="P252" i="17"/>
  <c r="P251" i="17"/>
  <c r="N251" i="17"/>
  <c r="M250" i="17"/>
  <c r="P250" i="17" s="1"/>
  <c r="P249" i="17"/>
  <c r="N249" i="17"/>
  <c r="P248" i="17"/>
  <c r="N248" i="17"/>
  <c r="P247" i="17"/>
  <c r="N247" i="17"/>
  <c r="P246" i="17"/>
  <c r="N246" i="17"/>
  <c r="P245" i="17"/>
  <c r="N245" i="17"/>
  <c r="P244" i="17"/>
  <c r="N244" i="17"/>
  <c r="P243" i="17"/>
  <c r="N243" i="17"/>
  <c r="P242" i="17"/>
  <c r="N242" i="17"/>
  <c r="M241" i="17"/>
  <c r="P241" i="17" s="1"/>
  <c r="P240" i="17"/>
  <c r="N240" i="17"/>
  <c r="M239" i="17"/>
  <c r="P239" i="17" s="1"/>
  <c r="P238" i="17"/>
  <c r="N238" i="17"/>
  <c r="P237" i="17"/>
  <c r="N237" i="17"/>
  <c r="P236" i="17"/>
  <c r="N236" i="17"/>
  <c r="P235" i="17"/>
  <c r="N235" i="17"/>
  <c r="P234" i="17"/>
  <c r="N234" i="17"/>
  <c r="P233" i="17"/>
  <c r="N233" i="17"/>
  <c r="P232" i="17"/>
  <c r="N232" i="17"/>
  <c r="P231" i="17"/>
  <c r="N231" i="17"/>
  <c r="P230" i="17"/>
  <c r="N230" i="17"/>
  <c r="M229" i="17"/>
  <c r="N229" i="17" s="1"/>
  <c r="P228" i="17"/>
  <c r="N228" i="17"/>
  <c r="P227" i="17"/>
  <c r="N227" i="17"/>
  <c r="N226" i="17"/>
  <c r="P225" i="17"/>
  <c r="N225" i="17"/>
  <c r="M224" i="17"/>
  <c r="P224" i="17" s="1"/>
  <c r="N223" i="17"/>
  <c r="P222" i="17"/>
  <c r="N222" i="17"/>
  <c r="M221" i="17"/>
  <c r="N221" i="17" s="1"/>
  <c r="P220" i="17"/>
  <c r="N220" i="17"/>
  <c r="M219" i="17"/>
  <c r="P219" i="17" s="1"/>
  <c r="P218" i="17"/>
  <c r="N218" i="17"/>
  <c r="P217" i="17"/>
  <c r="N217" i="17"/>
  <c r="P216" i="17"/>
  <c r="N216" i="17"/>
  <c r="P215" i="17"/>
  <c r="N215" i="17"/>
  <c r="P214" i="17"/>
  <c r="N214" i="17"/>
  <c r="P213" i="17"/>
  <c r="N213" i="17"/>
  <c r="P212" i="17"/>
  <c r="N212" i="17"/>
  <c r="P211" i="17"/>
  <c r="N211" i="17"/>
  <c r="P210" i="17"/>
  <c r="N210" i="17"/>
  <c r="P209" i="17"/>
  <c r="N209" i="17"/>
  <c r="P208" i="17"/>
  <c r="N208" i="17"/>
  <c r="P207" i="17"/>
  <c r="N207" i="17"/>
  <c r="P206" i="17"/>
  <c r="N206" i="17"/>
  <c r="P205" i="17"/>
  <c r="N205" i="17"/>
  <c r="P204" i="17"/>
  <c r="N204" i="17"/>
  <c r="P203" i="17"/>
  <c r="N203" i="17"/>
  <c r="P202" i="17"/>
  <c r="N202" i="17"/>
  <c r="P201" i="17"/>
  <c r="N201" i="17"/>
  <c r="P200" i="17"/>
  <c r="N200" i="17"/>
  <c r="P199" i="17"/>
  <c r="N199" i="17"/>
  <c r="P198" i="17"/>
  <c r="N198" i="17"/>
  <c r="P197" i="17"/>
  <c r="N197" i="17"/>
  <c r="P196" i="17"/>
  <c r="N196" i="17"/>
  <c r="P195" i="17"/>
  <c r="N195" i="17"/>
  <c r="P194" i="17"/>
  <c r="N194" i="17"/>
  <c r="P193" i="17"/>
  <c r="N193" i="17"/>
  <c r="P192" i="17"/>
  <c r="N192" i="17"/>
  <c r="M191" i="17"/>
  <c r="P191" i="17" s="1"/>
  <c r="P190" i="17"/>
  <c r="N190" i="17"/>
  <c r="P189" i="17"/>
  <c r="N189" i="17"/>
  <c r="P188" i="17"/>
  <c r="N188" i="17"/>
  <c r="P187" i="17"/>
  <c r="N187" i="17"/>
  <c r="P186" i="17"/>
  <c r="N186" i="17"/>
  <c r="P185" i="17"/>
  <c r="N185" i="17"/>
  <c r="P184" i="17"/>
  <c r="N184" i="17"/>
  <c r="P183" i="17"/>
  <c r="N183" i="17"/>
  <c r="P182" i="17"/>
  <c r="N182" i="17"/>
  <c r="P181" i="17"/>
  <c r="N181" i="17"/>
  <c r="P180" i="17"/>
  <c r="N180" i="17"/>
  <c r="P179" i="17"/>
  <c r="N179" i="17"/>
  <c r="P178" i="17"/>
  <c r="N178" i="17"/>
  <c r="P177" i="17"/>
  <c r="N177" i="17"/>
  <c r="P176" i="17"/>
  <c r="N176" i="17"/>
  <c r="P175" i="17"/>
  <c r="N175" i="17"/>
  <c r="P174" i="17"/>
  <c r="N174" i="17"/>
  <c r="P173" i="17"/>
  <c r="N173" i="17"/>
  <c r="P172" i="17"/>
  <c r="N172" i="17"/>
  <c r="P171" i="17"/>
  <c r="N171" i="17"/>
  <c r="P170" i="17"/>
  <c r="N170" i="17"/>
  <c r="P169" i="17"/>
  <c r="N169" i="17"/>
  <c r="P168" i="17"/>
  <c r="N168" i="17"/>
  <c r="P167" i="17"/>
  <c r="N167" i="17"/>
  <c r="P166" i="17"/>
  <c r="N166" i="17"/>
  <c r="P165" i="17"/>
  <c r="N165" i="17"/>
  <c r="M164" i="17"/>
  <c r="P164" i="17" s="1"/>
  <c r="P163" i="17"/>
  <c r="N163" i="17"/>
  <c r="P162" i="17"/>
  <c r="N162" i="17"/>
  <c r="P161" i="17"/>
  <c r="N161" i="17"/>
  <c r="P160" i="17"/>
  <c r="N160" i="17"/>
  <c r="P159" i="17"/>
  <c r="N159" i="17"/>
  <c r="P158" i="17"/>
  <c r="N158" i="17"/>
  <c r="P157" i="17"/>
  <c r="N157" i="17"/>
  <c r="P156" i="17"/>
  <c r="N156" i="17"/>
  <c r="P155" i="17"/>
  <c r="N155" i="17"/>
  <c r="P154" i="17"/>
  <c r="N154" i="17"/>
  <c r="P153" i="17"/>
  <c r="N153" i="17"/>
  <c r="P152" i="17"/>
  <c r="N152" i="17"/>
  <c r="P151" i="17"/>
  <c r="N151" i="17"/>
  <c r="P150" i="17"/>
  <c r="N150" i="17"/>
  <c r="P149" i="17"/>
  <c r="N149" i="17"/>
  <c r="M148" i="17"/>
  <c r="P148" i="17" s="1"/>
  <c r="M147" i="17"/>
  <c r="N147" i="17" s="1"/>
  <c r="P146" i="17"/>
  <c r="N146" i="17"/>
  <c r="P145" i="17"/>
  <c r="N145" i="17"/>
  <c r="M144" i="17"/>
  <c r="P144" i="17" s="1"/>
  <c r="M143" i="17"/>
  <c r="P143" i="17" s="1"/>
  <c r="M142" i="17"/>
  <c r="N142" i="17" s="1"/>
  <c r="P141" i="17"/>
  <c r="N141" i="17"/>
  <c r="P140" i="17"/>
  <c r="N140" i="17"/>
  <c r="P139" i="17"/>
  <c r="N139" i="17"/>
  <c r="P138" i="17"/>
  <c r="N138" i="17"/>
  <c r="P137" i="17"/>
  <c r="N137" i="17"/>
  <c r="P136" i="17"/>
  <c r="N136" i="17"/>
  <c r="P135" i="17"/>
  <c r="N135" i="17"/>
  <c r="M134" i="17"/>
  <c r="N134" i="17" s="1"/>
  <c r="M133" i="17"/>
  <c r="P133" i="17" s="1"/>
  <c r="P132" i="17"/>
  <c r="N132" i="17"/>
  <c r="M131" i="17"/>
  <c r="N131" i="17" s="1"/>
  <c r="P130" i="17"/>
  <c r="N130" i="17"/>
  <c r="P129" i="17"/>
  <c r="N129" i="17"/>
  <c r="M128" i="17"/>
  <c r="P128" i="17" s="1"/>
  <c r="P127" i="17"/>
  <c r="N127" i="17"/>
  <c r="P126" i="17"/>
  <c r="N126" i="17"/>
  <c r="P125" i="17"/>
  <c r="N125" i="17"/>
  <c r="P124" i="17"/>
  <c r="N124" i="17"/>
  <c r="P123" i="17"/>
  <c r="N123" i="17"/>
  <c r="M122" i="17"/>
  <c r="P122" i="17" s="1"/>
  <c r="P121" i="17"/>
  <c r="N121" i="17"/>
  <c r="M120" i="17"/>
  <c r="P120" i="17" s="1"/>
  <c r="M118" i="17"/>
  <c r="M119" i="17" s="1"/>
  <c r="P117" i="17"/>
  <c r="N117" i="17"/>
  <c r="P116" i="17"/>
  <c r="N116" i="17"/>
  <c r="P115" i="17"/>
  <c r="N115" i="17"/>
  <c r="M114" i="17"/>
  <c r="N114" i="17" s="1"/>
  <c r="P113" i="17"/>
  <c r="N113" i="17"/>
  <c r="P112" i="17"/>
  <c r="N112" i="17"/>
  <c r="M111" i="17"/>
  <c r="P111" i="17" s="1"/>
  <c r="M110" i="17"/>
  <c r="P110" i="17" s="1"/>
  <c r="P109" i="17"/>
  <c r="N109" i="17"/>
  <c r="M108" i="17"/>
  <c r="P108" i="17" s="1"/>
  <c r="M107" i="17"/>
  <c r="P107" i="17" s="1"/>
  <c r="P106" i="17"/>
  <c r="N106" i="17"/>
  <c r="M105" i="17"/>
  <c r="P105" i="17" s="1"/>
  <c r="P104" i="17"/>
  <c r="N104" i="17"/>
  <c r="P103" i="17"/>
  <c r="N103" i="17"/>
  <c r="M102" i="17"/>
  <c r="N102" i="17" s="1"/>
  <c r="M101" i="17"/>
  <c r="P101" i="17" s="1"/>
  <c r="P100" i="17"/>
  <c r="N100" i="17"/>
  <c r="M99" i="17"/>
  <c r="N99" i="17" s="1"/>
  <c r="P98" i="17"/>
  <c r="N98" i="17"/>
  <c r="P97" i="17"/>
  <c r="N97" i="17"/>
  <c r="P96" i="17"/>
  <c r="N96" i="17"/>
  <c r="P95" i="17"/>
  <c r="N95" i="17"/>
  <c r="P94" i="17"/>
  <c r="N94" i="17"/>
  <c r="M93" i="17"/>
  <c r="P93" i="17" s="1"/>
  <c r="P92" i="17"/>
  <c r="N92" i="17"/>
  <c r="P91" i="17"/>
  <c r="N91" i="17"/>
  <c r="P90" i="17"/>
  <c r="N90" i="17"/>
  <c r="P89" i="17"/>
  <c r="N89" i="17"/>
  <c r="P88" i="17"/>
  <c r="N88" i="17"/>
  <c r="P87" i="17"/>
  <c r="N87" i="17"/>
  <c r="P86" i="17"/>
  <c r="N86" i="17"/>
  <c r="M85" i="17"/>
  <c r="P85" i="17" s="1"/>
  <c r="P84" i="17"/>
  <c r="N84" i="17"/>
  <c r="P83" i="17"/>
  <c r="N83" i="17"/>
  <c r="M82" i="17"/>
  <c r="P82" i="17" s="1"/>
  <c r="M81" i="17"/>
  <c r="N81" i="17" s="1"/>
  <c r="P80" i="17"/>
  <c r="N80" i="17"/>
  <c r="P79" i="17"/>
  <c r="N79" i="17"/>
  <c r="P78" i="17"/>
  <c r="N78" i="17"/>
  <c r="P77" i="17"/>
  <c r="N77" i="17"/>
  <c r="P76" i="17"/>
  <c r="N76" i="17"/>
  <c r="P75" i="17"/>
  <c r="N75" i="17"/>
  <c r="P74" i="17"/>
  <c r="N74" i="17"/>
  <c r="P73" i="17"/>
  <c r="N73" i="17"/>
  <c r="P72" i="17"/>
  <c r="N72" i="17"/>
  <c r="P71" i="17"/>
  <c r="N71" i="17"/>
  <c r="P70" i="17"/>
  <c r="N70" i="17"/>
  <c r="N69" i="17"/>
  <c r="N68" i="17"/>
  <c r="P67" i="17"/>
  <c r="N67" i="17"/>
  <c r="N66" i="17"/>
  <c r="N65" i="17"/>
  <c r="M64" i="17"/>
  <c r="N64" i="17" s="1"/>
  <c r="M63" i="17"/>
  <c r="N63" i="17" s="1"/>
  <c r="P62" i="17"/>
  <c r="N62" i="17"/>
  <c r="M61" i="17"/>
  <c r="N61" i="17" s="1"/>
  <c r="P60" i="17"/>
  <c r="N60" i="17"/>
  <c r="M59" i="17"/>
  <c r="P59" i="17" s="1"/>
  <c r="N58" i="17"/>
  <c r="N57" i="17"/>
  <c r="N56" i="17"/>
  <c r="N55" i="17"/>
  <c r="N54" i="17"/>
  <c r="P53" i="17"/>
  <c r="N53" i="17"/>
  <c r="P52" i="17"/>
  <c r="N52" i="17"/>
  <c r="P51" i="17"/>
  <c r="N51" i="17"/>
  <c r="P50" i="17"/>
  <c r="N50" i="17"/>
  <c r="N49" i="17"/>
  <c r="P48" i="17"/>
  <c r="N48" i="17"/>
  <c r="P47" i="17"/>
  <c r="N47" i="17"/>
  <c r="M46" i="17"/>
  <c r="P46" i="17" s="1"/>
  <c r="M45" i="17"/>
  <c r="P45" i="17" s="1"/>
  <c r="P44" i="17"/>
  <c r="N44" i="17"/>
  <c r="P43" i="17"/>
  <c r="N43" i="17"/>
  <c r="P42" i="17"/>
  <c r="N42" i="17"/>
  <c r="P41" i="17"/>
  <c r="N41" i="17"/>
  <c r="P40" i="17"/>
  <c r="N40" i="17"/>
  <c r="P39" i="17"/>
  <c r="N39" i="17"/>
  <c r="P38" i="17"/>
  <c r="N38" i="17"/>
  <c r="P37" i="17"/>
  <c r="N37" i="17"/>
  <c r="P36" i="17"/>
  <c r="N36" i="17"/>
  <c r="P35" i="17"/>
  <c r="N35" i="17"/>
  <c r="P34" i="17"/>
  <c r="N34" i="17"/>
  <c r="P33" i="17"/>
  <c r="N33" i="17"/>
  <c r="P32" i="17"/>
  <c r="N32" i="17"/>
  <c r="P31" i="17"/>
  <c r="N31" i="17"/>
  <c r="N30" i="17"/>
  <c r="M29" i="17"/>
  <c r="P29" i="17" s="1"/>
  <c r="M28" i="17"/>
  <c r="N28" i="17" s="1"/>
  <c r="M27" i="17"/>
  <c r="N27" i="17" s="1"/>
  <c r="P26" i="17"/>
  <c r="N26" i="17"/>
  <c r="P25" i="17"/>
  <c r="N25" i="17"/>
  <c r="P24" i="17"/>
  <c r="N24" i="17"/>
  <c r="P23" i="17"/>
  <c r="N23" i="17"/>
  <c r="P22" i="17"/>
  <c r="N22" i="17"/>
  <c r="N21" i="17"/>
  <c r="P20" i="17"/>
  <c r="N20" i="17"/>
  <c r="P19" i="17"/>
  <c r="N19" i="17"/>
  <c r="P18" i="17"/>
  <c r="N18" i="17"/>
  <c r="P17" i="17"/>
  <c r="N17" i="17"/>
  <c r="P16" i="17"/>
  <c r="N16" i="17"/>
  <c r="P15" i="17"/>
  <c r="N15" i="17"/>
  <c r="P14" i="17"/>
  <c r="N14" i="17"/>
  <c r="P13" i="17"/>
  <c r="N13" i="17"/>
  <c r="P12" i="17"/>
  <c r="N12" i="17"/>
  <c r="P11" i="17"/>
  <c r="N11" i="17"/>
  <c r="P10" i="17"/>
  <c r="N10" i="17"/>
  <c r="P9" i="17"/>
  <c r="N9" i="17"/>
  <c r="P8" i="17"/>
  <c r="N8" i="17"/>
  <c r="N7" i="17"/>
  <c r="P6" i="17"/>
  <c r="N6" i="17"/>
  <c r="P5" i="17"/>
  <c r="N5" i="17"/>
  <c r="P4" i="17"/>
  <c r="N4" i="17"/>
  <c r="N59" i="17" l="1"/>
  <c r="N108" i="17"/>
  <c r="P260" i="17"/>
  <c r="N280" i="17"/>
  <c r="P99" i="17"/>
  <c r="P102" i="17"/>
  <c r="N111" i="17"/>
  <c r="P81" i="17"/>
  <c r="P142" i="17"/>
  <c r="P221" i="17"/>
  <c r="N239" i="17"/>
  <c r="N105" i="17"/>
  <c r="N143" i="17"/>
  <c r="P63" i="17"/>
  <c r="P131" i="17"/>
  <c r="P118" i="17"/>
  <c r="P229" i="17"/>
  <c r="N241" i="17"/>
  <c r="P428" i="17"/>
  <c r="N219" i="17"/>
  <c r="N45" i="17"/>
  <c r="N354" i="17"/>
  <c r="N29" i="17"/>
  <c r="N164" i="17"/>
  <c r="P119" i="17"/>
  <c r="N119" i="17"/>
  <c r="N46" i="17"/>
  <c r="N128" i="17"/>
  <c r="N148" i="17"/>
  <c r="N191" i="17"/>
  <c r="N250" i="17"/>
  <c r="N334" i="17"/>
  <c r="P27" i="17"/>
  <c r="N107" i="17"/>
  <c r="N110" i="17"/>
  <c r="N365" i="17"/>
  <c r="N85" i="17"/>
  <c r="N101" i="17"/>
  <c r="P114" i="17"/>
  <c r="N118" i="17"/>
  <c r="N122" i="17"/>
  <c r="P134" i="17"/>
  <c r="P147" i="17"/>
  <c r="N281" i="17"/>
  <c r="N428" i="17"/>
  <c r="N699" i="17" s="1"/>
  <c r="N82" i="17"/>
  <c r="N93" i="17"/>
  <c r="N133" i="17"/>
  <c r="N224" i="17"/>
  <c r="P64" i="17"/>
  <c r="P28" i="17"/>
  <c r="N120" i="17"/>
  <c r="N144" i="17"/>
  <c r="P61" i="17"/>
  <c r="AC84" i="16" l="1"/>
  <c r="AB84" i="16"/>
  <c r="AB86" i="16" s="1"/>
  <c r="AA84" i="16"/>
  <c r="AA78" i="16"/>
  <c r="Y78" i="16"/>
  <c r="W78" i="16"/>
  <c r="W86" i="16" s="1"/>
  <c r="Z77" i="16"/>
  <c r="Z86" i="16" s="1"/>
  <c r="Y77" i="16"/>
  <c r="X77" i="16"/>
  <c r="X86" i="16" s="1"/>
  <c r="AE76" i="16"/>
  <c r="AD76" i="16"/>
  <c r="AC76" i="16"/>
  <c r="AE74" i="16"/>
  <c r="Y74" i="16"/>
  <c r="AE61" i="16"/>
  <c r="AD61" i="16"/>
  <c r="AC61" i="16"/>
  <c r="AE60" i="16"/>
  <c r="AD60" i="16"/>
  <c r="O1" i="16"/>
  <c r="P1" i="16" s="1"/>
  <c r="Q1" i="16" s="1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AC1" i="16" s="1"/>
  <c r="AD1" i="16" s="1"/>
  <c r="AE1" i="16" s="1"/>
  <c r="AF1" i="16" s="1"/>
  <c r="AC86" i="16" l="1"/>
  <c r="Y86" i="16"/>
  <c r="AA86" i="16"/>
  <c r="AE86" i="16"/>
  <c r="AD86" i="16"/>
  <c r="P236" i="9" l="1"/>
  <c r="N236" i="9"/>
  <c r="P305" i="9"/>
  <c r="N305" i="9"/>
  <c r="P248" i="9"/>
  <c r="N248" i="9"/>
  <c r="P345" i="9" l="1"/>
  <c r="P343" i="9"/>
  <c r="P342" i="9"/>
  <c r="P340" i="9"/>
  <c r="P338" i="9"/>
  <c r="P337" i="9"/>
  <c r="P336" i="9"/>
  <c r="P312" i="9"/>
  <c r="P309" i="9"/>
  <c r="P301" i="9"/>
  <c r="P279" i="9"/>
  <c r="N647" i="9"/>
  <c r="N648" i="9"/>
  <c r="N649" i="9"/>
  <c r="P647" i="9"/>
  <c r="P648" i="9"/>
  <c r="P649" i="9"/>
  <c r="N650" i="9"/>
  <c r="N651" i="9"/>
  <c r="N652" i="9"/>
  <c r="N653" i="9"/>
  <c r="N654" i="9"/>
  <c r="N655" i="9"/>
  <c r="N656" i="9"/>
  <c r="N657" i="9"/>
  <c r="P650" i="9"/>
  <c r="P651" i="9"/>
  <c r="P652" i="9"/>
  <c r="P653" i="9"/>
  <c r="P654" i="9"/>
  <c r="P655" i="9"/>
  <c r="P656" i="9"/>
  <c r="P657" i="9"/>
  <c r="N658" i="9"/>
  <c r="N659" i="9"/>
  <c r="N660" i="9"/>
  <c r="N661" i="9"/>
  <c r="P658" i="9"/>
  <c r="P659" i="9"/>
  <c r="P660" i="9"/>
  <c r="P661" i="9"/>
  <c r="N662" i="9"/>
  <c r="N663" i="9"/>
  <c r="P662" i="9"/>
  <c r="P663" i="9"/>
  <c r="N664" i="9"/>
  <c r="P664" i="9"/>
  <c r="N665" i="9"/>
  <c r="P665" i="9"/>
  <c r="N337" i="9"/>
  <c r="P363" i="9"/>
  <c r="N363" i="9"/>
  <c r="N342" i="9"/>
  <c r="P356" i="9"/>
  <c r="N356" i="9"/>
  <c r="M280" i="9"/>
  <c r="P280" i="9" s="1"/>
  <c r="N304" i="9"/>
  <c r="P334" i="9"/>
  <c r="N334" i="9"/>
  <c r="P335" i="9"/>
  <c r="P333" i="9"/>
  <c r="P344" i="9"/>
  <c r="P332" i="9"/>
  <c r="P330" i="9"/>
  <c r="N332" i="9"/>
  <c r="P300" i="9"/>
  <c r="N300" i="9"/>
  <c r="N620" i="9" l="1"/>
  <c r="N619" i="9"/>
  <c r="N618" i="9"/>
  <c r="N617" i="9"/>
  <c r="N616" i="9"/>
  <c r="N615" i="9"/>
  <c r="N614" i="9"/>
  <c r="N368" i="9"/>
  <c r="P368" i="9"/>
  <c r="N346" i="9"/>
  <c r="P346" i="9"/>
  <c r="N301" i="9" l="1"/>
  <c r="N194" i="9"/>
  <c r="P194" i="9"/>
  <c r="P237" i="9"/>
  <c r="N237" i="9"/>
  <c r="M331" i="9"/>
  <c r="P331" i="9" s="1"/>
  <c r="M219" i="9"/>
  <c r="M281" i="9"/>
  <c r="P281" i="9" s="1"/>
  <c r="N621" i="9"/>
  <c r="P621" i="9"/>
  <c r="N622" i="9"/>
  <c r="N623" i="9"/>
  <c r="N624" i="9"/>
  <c r="N625" i="9"/>
  <c r="N626" i="9"/>
  <c r="N627" i="9"/>
  <c r="N628" i="9"/>
  <c r="N629" i="9"/>
  <c r="P622" i="9"/>
  <c r="P623" i="9"/>
  <c r="P624" i="9"/>
  <c r="P625" i="9"/>
  <c r="P626" i="9"/>
  <c r="P627" i="9"/>
  <c r="P628" i="9"/>
  <c r="P629" i="9"/>
  <c r="N630" i="9"/>
  <c r="N631" i="9"/>
  <c r="N632" i="9"/>
  <c r="N633" i="9"/>
  <c r="P630" i="9"/>
  <c r="P631" i="9"/>
  <c r="P632" i="9"/>
  <c r="P633" i="9"/>
  <c r="N634" i="9"/>
  <c r="N635" i="9"/>
  <c r="P634" i="9"/>
  <c r="P635" i="9"/>
  <c r="N636" i="9"/>
  <c r="P636" i="9"/>
  <c r="N637" i="9"/>
  <c r="P637" i="9"/>
  <c r="N309" i="9"/>
  <c r="P235" i="9"/>
  <c r="N235" i="9"/>
  <c r="P369" i="9"/>
  <c r="N369" i="9"/>
  <c r="P251" i="9"/>
  <c r="N251" i="9"/>
  <c r="P347" i="9"/>
  <c r="N347" i="9"/>
  <c r="P341" i="9"/>
  <c r="N341" i="9"/>
  <c r="P282" i="9"/>
  <c r="N282" i="9"/>
  <c r="N219" i="9" l="1"/>
  <c r="P219" i="9"/>
  <c r="N331" i="9"/>
  <c r="N281" i="9"/>
  <c r="AR268" i="1" l="1"/>
  <c r="AP268" i="1"/>
  <c r="AO268" i="1"/>
  <c r="W268" i="1"/>
  <c r="V268" i="1"/>
  <c r="Y268" i="1" s="1"/>
  <c r="C268" i="1"/>
  <c r="Y267" i="1"/>
  <c r="W267" i="1"/>
  <c r="V267" i="1"/>
  <c r="C266" i="1"/>
  <c r="C267" i="1"/>
  <c r="C269" i="1"/>
  <c r="C270" i="1"/>
  <c r="V266" i="1"/>
  <c r="V269" i="1"/>
  <c r="V270" i="1"/>
  <c r="W266" i="1"/>
  <c r="W269" i="1"/>
  <c r="W270" i="1"/>
  <c r="Y266" i="1"/>
  <c r="Y269" i="1"/>
  <c r="Y270" i="1"/>
  <c r="AO266" i="1"/>
  <c r="AO267" i="1"/>
  <c r="AO269" i="1"/>
  <c r="AO270" i="1"/>
  <c r="AP266" i="1"/>
  <c r="AR266" i="1" s="1"/>
  <c r="AP267" i="1"/>
  <c r="AR267" i="1" s="1"/>
  <c r="AP269" i="1"/>
  <c r="AP270" i="1"/>
  <c r="AR269" i="1"/>
  <c r="AR270" i="1"/>
  <c r="C271" i="1"/>
  <c r="C272" i="1"/>
  <c r="V271" i="1"/>
  <c r="V272" i="1"/>
  <c r="W271" i="1"/>
  <c r="W272" i="1"/>
  <c r="Y271" i="1"/>
  <c r="Y272" i="1"/>
  <c r="AO271" i="1"/>
  <c r="AO272" i="1"/>
  <c r="AP271" i="1"/>
  <c r="AP272" i="1"/>
  <c r="AR271" i="1"/>
  <c r="AR272" i="1"/>
  <c r="C273" i="1"/>
  <c r="V273" i="1"/>
  <c r="W273" i="1"/>
  <c r="Y273" i="1"/>
  <c r="AO273" i="1"/>
  <c r="AP273" i="1"/>
  <c r="AR273" i="1"/>
  <c r="C274" i="1"/>
  <c r="V274" i="1"/>
  <c r="W274" i="1"/>
  <c r="Y274" i="1"/>
  <c r="AO274" i="1"/>
  <c r="AP274" i="1"/>
  <c r="AR274" i="1"/>
  <c r="W265" i="1"/>
  <c r="V265" i="1"/>
  <c r="Y265" i="1" s="1"/>
  <c r="AR264" i="1"/>
  <c r="AP264" i="1"/>
  <c r="AO264" i="1"/>
  <c r="W264" i="1"/>
  <c r="V264" i="1"/>
  <c r="Y264" i="1" s="1"/>
  <c r="C264" i="1"/>
  <c r="W263" i="1"/>
  <c r="V263" i="1"/>
  <c r="Y263" i="1" s="1"/>
  <c r="W262" i="1"/>
  <c r="V262" i="1"/>
  <c r="Y262" i="1" s="1"/>
  <c r="C262" i="1"/>
  <c r="W260" i="1"/>
  <c r="V260" i="1"/>
  <c r="Y260" i="1" s="1"/>
  <c r="C260" i="1"/>
  <c r="AR259" i="1"/>
  <c r="AP259" i="1"/>
  <c r="AO259" i="1"/>
  <c r="W259" i="1"/>
  <c r="V259" i="1"/>
  <c r="Y259" i="1" s="1"/>
  <c r="C259" i="1"/>
  <c r="C256" i="1"/>
  <c r="N603" i="9" l="1"/>
  <c r="N602" i="9"/>
  <c r="N354" i="9"/>
  <c r="N374" i="9"/>
  <c r="N360" i="9"/>
  <c r="N362" i="9"/>
  <c r="N596" i="9"/>
  <c r="N355" i="9"/>
  <c r="N594" i="9"/>
  <c r="N593" i="9"/>
  <c r="N592" i="9"/>
  <c r="N591" i="9"/>
  <c r="N590" i="9"/>
  <c r="N589" i="9"/>
  <c r="N588" i="9"/>
  <c r="N587" i="9"/>
  <c r="N586" i="9"/>
  <c r="N585" i="9"/>
  <c r="P355" i="9"/>
  <c r="P596" i="9"/>
  <c r="P362" i="9"/>
  <c r="P594" i="9"/>
  <c r="P360" i="9"/>
  <c r="P374" i="9"/>
  <c r="P354" i="9"/>
  <c r="P602" i="9"/>
  <c r="P603" i="9"/>
  <c r="N605" i="9" l="1"/>
  <c r="P605" i="9"/>
  <c r="N606" i="9"/>
  <c r="N607" i="9"/>
  <c r="N608" i="9"/>
  <c r="N609" i="9"/>
  <c r="P606" i="9"/>
  <c r="P607" i="9"/>
  <c r="P608" i="9"/>
  <c r="P609" i="9"/>
  <c r="N610" i="9"/>
  <c r="N611" i="9"/>
  <c r="P610" i="9"/>
  <c r="P611" i="9"/>
  <c r="N612" i="9"/>
  <c r="P612" i="9"/>
  <c r="N613" i="9"/>
  <c r="P613" i="9"/>
  <c r="P297" i="9"/>
  <c r="N297" i="9"/>
  <c r="P306" i="9"/>
  <c r="N306" i="9"/>
  <c r="P252" i="9"/>
  <c r="N252" i="9"/>
  <c r="P322" i="9"/>
  <c r="N322" i="9"/>
  <c r="P276" i="9"/>
  <c r="N276" i="9"/>
  <c r="P231" i="9"/>
  <c r="N231" i="9"/>
  <c r="N68" i="9"/>
  <c r="P273" i="9"/>
  <c r="N273" i="9"/>
  <c r="P234" i="9" l="1"/>
  <c r="N234" i="9"/>
  <c r="P233" i="9"/>
  <c r="N233" i="9"/>
  <c r="P232" i="9"/>
  <c r="N232" i="9"/>
  <c r="N291" i="9" l="1"/>
  <c r="N69" i="9" l="1"/>
  <c r="N230" i="9"/>
  <c r="N249" i="9"/>
  <c r="N262" i="9"/>
  <c r="N269" i="9"/>
  <c r="N271" i="9"/>
  <c r="P303" i="9" l="1"/>
  <c r="N303" i="9"/>
  <c r="N323" i="9"/>
  <c r="P323" i="9"/>
  <c r="P230" i="9"/>
  <c r="P271" i="9"/>
  <c r="P285" i="9"/>
  <c r="N285" i="9"/>
  <c r="P265" i="9"/>
  <c r="N265" i="9"/>
  <c r="P262" i="9"/>
  <c r="N444" i="9" l="1"/>
  <c r="P444" i="9" s="1"/>
  <c r="N441" i="9"/>
  <c r="P441" i="9" s="1"/>
  <c r="N440" i="9"/>
  <c r="P440" i="9" s="1"/>
  <c r="N439" i="9"/>
  <c r="P439" i="9" s="1"/>
  <c r="N438" i="9"/>
  <c r="P438" i="9" s="1"/>
  <c r="N436" i="9"/>
  <c r="P436" i="9" s="1"/>
  <c r="N429" i="9"/>
  <c r="P429" i="9" s="1"/>
  <c r="N420" i="9"/>
  <c r="P420" i="9" s="1"/>
  <c r="N418" i="9"/>
  <c r="P418" i="9" s="1"/>
  <c r="N417" i="9"/>
  <c r="P417" i="9" s="1"/>
  <c r="N416" i="9"/>
  <c r="P416" i="9" s="1"/>
  <c r="N415" i="9"/>
  <c r="P415" i="9" s="1"/>
  <c r="N456" i="9"/>
  <c r="P456" i="9" s="1"/>
  <c r="N448" i="9"/>
  <c r="P448" i="9" s="1"/>
  <c r="N443" i="9"/>
  <c r="P443" i="9" s="1"/>
  <c r="N430" i="9"/>
  <c r="P430" i="9" s="1"/>
  <c r="N428" i="9"/>
  <c r="P428" i="9" s="1"/>
  <c r="N427" i="9"/>
  <c r="P427" i="9" s="1"/>
  <c r="N426" i="9"/>
  <c r="P426" i="9" s="1"/>
  <c r="N425" i="9"/>
  <c r="P425" i="9" s="1"/>
  <c r="N424" i="9"/>
  <c r="P424" i="9" s="1"/>
  <c r="N423" i="9"/>
  <c r="P423" i="9" s="1"/>
  <c r="N422" i="9"/>
  <c r="P422" i="9" s="1"/>
  <c r="N421" i="9"/>
  <c r="P421" i="9" s="1"/>
  <c r="N419" i="9"/>
  <c r="P419" i="9" s="1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N569" i="9"/>
  <c r="N570" i="9"/>
  <c r="N571" i="9"/>
  <c r="N572" i="9"/>
  <c r="N573" i="9"/>
  <c r="N574" i="9"/>
  <c r="N575" i="9"/>
  <c r="N576" i="9"/>
  <c r="P569" i="9"/>
  <c r="P570" i="9"/>
  <c r="P571" i="9"/>
  <c r="P572" i="9"/>
  <c r="P573" i="9"/>
  <c r="P574" i="9"/>
  <c r="P575" i="9"/>
  <c r="P576" i="9"/>
  <c r="N577" i="9"/>
  <c r="N578" i="9"/>
  <c r="N579" i="9"/>
  <c r="N580" i="9"/>
  <c r="P577" i="9"/>
  <c r="P578" i="9"/>
  <c r="P579" i="9"/>
  <c r="P580" i="9"/>
  <c r="N581" i="9"/>
  <c r="N582" i="9"/>
  <c r="P581" i="9"/>
  <c r="P582" i="9"/>
  <c r="N583" i="9"/>
  <c r="P583" i="9"/>
  <c r="N584" i="9"/>
  <c r="P584" i="9"/>
  <c r="B61" i="8" l="1"/>
  <c r="B60" i="8"/>
  <c r="B58" i="8"/>
  <c r="B57" i="8"/>
  <c r="B53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J16" i="8"/>
  <c r="I16" i="8"/>
  <c r="H16" i="8"/>
  <c r="G16" i="8"/>
  <c r="F16" i="8"/>
  <c r="E16" i="8"/>
  <c r="D16" i="8"/>
  <c r="C16" i="8"/>
  <c r="B16" i="8"/>
  <c r="J15" i="8"/>
  <c r="I15" i="8"/>
  <c r="H15" i="8"/>
  <c r="G15" i="8"/>
  <c r="E15" i="8"/>
  <c r="D15" i="8"/>
  <c r="C15" i="8"/>
  <c r="B15" i="8"/>
  <c r="K14" i="8"/>
  <c r="K13" i="8"/>
  <c r="K12" i="8"/>
  <c r="K11" i="8"/>
  <c r="K10" i="8"/>
  <c r="K9" i="8"/>
  <c r="K8" i="8"/>
  <c r="K7" i="8"/>
  <c r="K6" i="8"/>
  <c r="K5" i="8"/>
  <c r="K4" i="8"/>
  <c r="AG27" i="5"/>
  <c r="AD27" i="5"/>
  <c r="AA27" i="5"/>
  <c r="X27" i="5"/>
  <c r="U27" i="5"/>
  <c r="R27" i="5"/>
  <c r="O27" i="5"/>
  <c r="L27" i="5"/>
  <c r="I27" i="5"/>
  <c r="F27" i="5"/>
  <c r="C27" i="5"/>
  <c r="BW24" i="5"/>
  <c r="BT24" i="5"/>
  <c r="BQ24" i="5"/>
  <c r="BN24" i="5"/>
  <c r="BK24" i="5"/>
  <c r="BH24" i="5"/>
  <c r="BE24" i="5"/>
  <c r="BB24" i="5"/>
  <c r="AY24" i="5"/>
  <c r="AV24" i="5"/>
  <c r="AS24" i="5"/>
  <c r="AP24" i="5"/>
  <c r="AJ24" i="5"/>
  <c r="AG24" i="5"/>
  <c r="AD24" i="5"/>
  <c r="AA24" i="5"/>
  <c r="X24" i="5"/>
  <c r="U24" i="5"/>
  <c r="R24" i="5"/>
  <c r="O24" i="5"/>
  <c r="L24" i="5"/>
  <c r="I24" i="5"/>
  <c r="F24" i="5"/>
  <c r="C24" i="5"/>
  <c r="BW23" i="5"/>
  <c r="BT23" i="5"/>
  <c r="BQ23" i="5"/>
  <c r="BN23" i="5"/>
  <c r="BK23" i="5"/>
  <c r="BH23" i="5"/>
  <c r="BE23" i="5"/>
  <c r="BB23" i="5"/>
  <c r="AY23" i="5"/>
  <c r="AV23" i="5"/>
  <c r="AS23" i="5"/>
  <c r="AP23" i="5"/>
  <c r="AJ23" i="5"/>
  <c r="AG23" i="5"/>
  <c r="AD23" i="5"/>
  <c r="AA23" i="5"/>
  <c r="X23" i="5"/>
  <c r="U23" i="5"/>
  <c r="R23" i="5"/>
  <c r="O23" i="5"/>
  <c r="L23" i="5"/>
  <c r="I23" i="5"/>
  <c r="F23" i="5"/>
  <c r="C23" i="5"/>
  <c r="BW22" i="5"/>
  <c r="BT22" i="5"/>
  <c r="BQ22" i="5"/>
  <c r="BN22" i="5"/>
  <c r="BK22" i="5"/>
  <c r="BH22" i="5"/>
  <c r="BE22" i="5"/>
  <c r="BB22" i="5"/>
  <c r="AY22" i="5"/>
  <c r="AV22" i="5"/>
  <c r="AS22" i="5"/>
  <c r="AP22" i="5"/>
  <c r="AJ22" i="5"/>
  <c r="AG22" i="5"/>
  <c r="AD22" i="5"/>
  <c r="AA22" i="5"/>
  <c r="X22" i="5"/>
  <c r="U22" i="5"/>
  <c r="R22" i="5"/>
  <c r="O22" i="5"/>
  <c r="L22" i="5"/>
  <c r="I22" i="5"/>
  <c r="F22" i="5"/>
  <c r="C22" i="5"/>
  <c r="BW21" i="5"/>
  <c r="BT21" i="5"/>
  <c r="BQ21" i="5"/>
  <c r="BN21" i="5"/>
  <c r="BK21" i="5"/>
  <c r="BH21" i="5"/>
  <c r="BE21" i="5"/>
  <c r="BB21" i="5"/>
  <c r="AY21" i="5"/>
  <c r="AV21" i="5"/>
  <c r="AS21" i="5"/>
  <c r="AP21" i="5"/>
  <c r="AJ21" i="5"/>
  <c r="AG21" i="5"/>
  <c r="AD21" i="5"/>
  <c r="AA21" i="5"/>
  <c r="X21" i="5"/>
  <c r="U21" i="5"/>
  <c r="R21" i="5"/>
  <c r="O21" i="5"/>
  <c r="L21" i="5"/>
  <c r="I21" i="5"/>
  <c r="F21" i="5"/>
  <c r="C21" i="5"/>
  <c r="BW20" i="5"/>
  <c r="BT20" i="5"/>
  <c r="BQ20" i="5"/>
  <c r="BN20" i="5"/>
  <c r="BK20" i="5"/>
  <c r="BH20" i="5"/>
  <c r="BE20" i="5"/>
  <c r="BB20" i="5"/>
  <c r="AY20" i="5"/>
  <c r="AV20" i="5"/>
  <c r="AS20" i="5"/>
  <c r="AP20" i="5"/>
  <c r="AJ20" i="5"/>
  <c r="AG20" i="5"/>
  <c r="AD20" i="5"/>
  <c r="AA20" i="5"/>
  <c r="X20" i="5"/>
  <c r="U20" i="5"/>
  <c r="R20" i="5"/>
  <c r="O20" i="5"/>
  <c r="L20" i="5"/>
  <c r="I20" i="5"/>
  <c r="F20" i="5"/>
  <c r="C20" i="5"/>
  <c r="BW19" i="5"/>
  <c r="BT19" i="5"/>
  <c r="BQ19" i="5"/>
  <c r="BN19" i="5"/>
  <c r="BK19" i="5"/>
  <c r="BH19" i="5"/>
  <c r="BE19" i="5"/>
  <c r="BB19" i="5"/>
  <c r="AY19" i="5"/>
  <c r="AV19" i="5"/>
  <c r="AS19" i="5"/>
  <c r="AP19" i="5"/>
  <c r="AJ19" i="5"/>
  <c r="AG19" i="5"/>
  <c r="AD19" i="5"/>
  <c r="AA19" i="5"/>
  <c r="X19" i="5"/>
  <c r="U19" i="5"/>
  <c r="R19" i="5"/>
  <c r="O19" i="5"/>
  <c r="L19" i="5"/>
  <c r="I19" i="5"/>
  <c r="F19" i="5"/>
  <c r="C19" i="5"/>
  <c r="AJ18" i="5"/>
  <c r="AG18" i="5"/>
  <c r="AD18" i="5"/>
  <c r="AA18" i="5"/>
  <c r="X18" i="5"/>
  <c r="U18" i="5"/>
  <c r="R18" i="5"/>
  <c r="O18" i="5"/>
  <c r="L18" i="5"/>
  <c r="I18" i="5"/>
  <c r="F18" i="5"/>
  <c r="C18" i="5"/>
  <c r="BW17" i="5"/>
  <c r="BT17" i="5"/>
  <c r="BQ17" i="5"/>
  <c r="BN17" i="5"/>
  <c r="BK17" i="5"/>
  <c r="BH17" i="5"/>
  <c r="BE17" i="5"/>
  <c r="BB17" i="5"/>
  <c r="AY17" i="5"/>
  <c r="AV17" i="5"/>
  <c r="AS17" i="5"/>
  <c r="AP17" i="5"/>
  <c r="AJ17" i="5"/>
  <c r="AG17" i="5"/>
  <c r="AD17" i="5"/>
  <c r="AA17" i="5"/>
  <c r="X17" i="5"/>
  <c r="U17" i="5"/>
  <c r="R17" i="5"/>
  <c r="O17" i="5"/>
  <c r="L17" i="5"/>
  <c r="I17" i="5"/>
  <c r="F17" i="5"/>
  <c r="C17" i="5"/>
  <c r="BW16" i="5"/>
  <c r="BT16" i="5"/>
  <c r="BQ16" i="5"/>
  <c r="BN16" i="5"/>
  <c r="BK16" i="5"/>
  <c r="BH16" i="5"/>
  <c r="BE16" i="5"/>
  <c r="BB16" i="5"/>
  <c r="AY16" i="5"/>
  <c r="AV16" i="5"/>
  <c r="AS16" i="5"/>
  <c r="AP16" i="5"/>
  <c r="AJ16" i="5"/>
  <c r="AG16" i="5"/>
  <c r="AD16" i="5"/>
  <c r="AA16" i="5"/>
  <c r="X16" i="5"/>
  <c r="U16" i="5"/>
  <c r="R16" i="5"/>
  <c r="O16" i="5"/>
  <c r="L16" i="5"/>
  <c r="I16" i="5"/>
  <c r="F16" i="5"/>
  <c r="C16" i="5"/>
  <c r="BW15" i="5"/>
  <c r="BT15" i="5"/>
  <c r="BQ15" i="5"/>
  <c r="BN15" i="5"/>
  <c r="BK15" i="5"/>
  <c r="BH15" i="5"/>
  <c r="BE15" i="5"/>
  <c r="BB15" i="5"/>
  <c r="AY15" i="5"/>
  <c r="AV15" i="5"/>
  <c r="AS15" i="5"/>
  <c r="AP15" i="5"/>
  <c r="AJ15" i="5"/>
  <c r="AG15" i="5"/>
  <c r="AD15" i="5"/>
  <c r="AA15" i="5"/>
  <c r="X15" i="5"/>
  <c r="U15" i="5"/>
  <c r="R15" i="5"/>
  <c r="O15" i="5"/>
  <c r="L15" i="5"/>
  <c r="I15" i="5"/>
  <c r="F15" i="5"/>
  <c r="C15" i="5"/>
  <c r="BW14" i="5"/>
  <c r="BT14" i="5"/>
  <c r="BQ14" i="5"/>
  <c r="BN14" i="5"/>
  <c r="BK14" i="5"/>
  <c r="BH14" i="5"/>
  <c r="BE14" i="5"/>
  <c r="BB14" i="5"/>
  <c r="AY14" i="5"/>
  <c r="AV14" i="5"/>
  <c r="AS14" i="5"/>
  <c r="AP14" i="5"/>
  <c r="AJ14" i="5"/>
  <c r="AG14" i="5"/>
  <c r="AD14" i="5"/>
  <c r="AA14" i="5"/>
  <c r="X14" i="5"/>
  <c r="U14" i="5"/>
  <c r="R14" i="5"/>
  <c r="O14" i="5"/>
  <c r="L14" i="5"/>
  <c r="I14" i="5"/>
  <c r="F14" i="5"/>
  <c r="C14" i="5"/>
  <c r="BW13" i="5"/>
  <c r="BN13" i="5"/>
  <c r="BK13" i="5"/>
  <c r="AJ13" i="5"/>
  <c r="AG13" i="5"/>
  <c r="AD13" i="5"/>
  <c r="AA13" i="5"/>
  <c r="X13" i="5"/>
  <c r="U13" i="5"/>
  <c r="R13" i="5"/>
  <c r="O13" i="5"/>
  <c r="L13" i="5"/>
  <c r="I13" i="5"/>
  <c r="F13" i="5"/>
  <c r="C13" i="5"/>
  <c r="BW12" i="5"/>
  <c r="BT12" i="5"/>
  <c r="BQ12" i="5"/>
  <c r="BN12" i="5"/>
  <c r="BK12" i="5"/>
  <c r="BH12" i="5"/>
  <c r="BE12" i="5"/>
  <c r="BB12" i="5"/>
  <c r="AY12" i="5"/>
  <c r="AV12" i="5"/>
  <c r="AS12" i="5"/>
  <c r="AP12" i="5"/>
  <c r="AJ12" i="5"/>
  <c r="AG12" i="5"/>
  <c r="AD12" i="5"/>
  <c r="AA12" i="5"/>
  <c r="X12" i="5"/>
  <c r="U12" i="5"/>
  <c r="R12" i="5"/>
  <c r="O12" i="5"/>
  <c r="L12" i="5"/>
  <c r="I12" i="5"/>
  <c r="F12" i="5"/>
  <c r="C12" i="5"/>
  <c r="BK11" i="5"/>
  <c r="AV11" i="5"/>
  <c r="AS11" i="5"/>
  <c r="AJ11" i="5"/>
  <c r="AG11" i="5"/>
  <c r="AD11" i="5"/>
  <c r="AA11" i="5"/>
  <c r="X11" i="5"/>
  <c r="U11" i="5"/>
  <c r="R11" i="5"/>
  <c r="O11" i="5"/>
  <c r="L11" i="5"/>
  <c r="I11" i="5"/>
  <c r="F11" i="5"/>
  <c r="C11" i="5"/>
  <c r="BW10" i="5"/>
  <c r="BT10" i="5"/>
  <c r="BQ10" i="5"/>
  <c r="BN10" i="5"/>
  <c r="BK10" i="5"/>
  <c r="BH10" i="5"/>
  <c r="BE10" i="5"/>
  <c r="BB10" i="5"/>
  <c r="AY10" i="5"/>
  <c r="AV10" i="5"/>
  <c r="AS10" i="5"/>
  <c r="AP10" i="5"/>
  <c r="AJ10" i="5"/>
  <c r="AG10" i="5"/>
  <c r="AD10" i="5"/>
  <c r="AA10" i="5"/>
  <c r="X10" i="5"/>
  <c r="U10" i="5"/>
  <c r="R10" i="5"/>
  <c r="O10" i="5"/>
  <c r="L10" i="5"/>
  <c r="I10" i="5"/>
  <c r="F10" i="5"/>
  <c r="C10" i="5"/>
  <c r="BW9" i="5"/>
  <c r="BT9" i="5"/>
  <c r="BQ9" i="5"/>
  <c r="BN9" i="5"/>
  <c r="BK9" i="5"/>
  <c r="BE9" i="5"/>
  <c r="BB9" i="5"/>
  <c r="AY9" i="5"/>
  <c r="AV9" i="5"/>
  <c r="AS9" i="5"/>
  <c r="AP9" i="5"/>
  <c r="AJ9" i="5"/>
  <c r="AG9" i="5"/>
  <c r="AD9" i="5"/>
  <c r="AA9" i="5"/>
  <c r="X9" i="5"/>
  <c r="U9" i="5"/>
  <c r="R9" i="5"/>
  <c r="O9" i="5"/>
  <c r="L9" i="5"/>
  <c r="I9" i="5"/>
  <c r="F9" i="5"/>
  <c r="C9" i="5"/>
  <c r="AY8" i="5"/>
  <c r="AP8" i="5"/>
  <c r="AJ8" i="5"/>
  <c r="AG8" i="5"/>
  <c r="AD8" i="5"/>
  <c r="AA8" i="5"/>
  <c r="X8" i="5"/>
  <c r="U8" i="5"/>
  <c r="R8" i="5"/>
  <c r="O8" i="5"/>
  <c r="L8" i="5"/>
  <c r="I8" i="5"/>
  <c r="F8" i="5"/>
  <c r="C8" i="5"/>
  <c r="BT7" i="5"/>
  <c r="AP7" i="5"/>
  <c r="AG7" i="5"/>
  <c r="AD7" i="5"/>
  <c r="AA7" i="5"/>
  <c r="X7" i="5"/>
  <c r="U7" i="5"/>
  <c r="R7" i="5"/>
  <c r="O7" i="5"/>
  <c r="L7" i="5"/>
  <c r="I7" i="5"/>
  <c r="F7" i="5"/>
  <c r="C7" i="5"/>
  <c r="AG6" i="5"/>
  <c r="AD6" i="5"/>
  <c r="AA6" i="5"/>
  <c r="X6" i="5"/>
  <c r="U6" i="5"/>
  <c r="R6" i="5"/>
  <c r="O6" i="5"/>
  <c r="L6" i="5"/>
  <c r="I6" i="5"/>
  <c r="F6" i="5"/>
  <c r="C6" i="5"/>
  <c r="BW5" i="5"/>
  <c r="BT5" i="5"/>
  <c r="BQ5" i="5"/>
  <c r="BN5" i="5"/>
  <c r="BK5" i="5"/>
  <c r="BH5" i="5"/>
  <c r="BE5" i="5"/>
  <c r="BB5" i="5"/>
  <c r="AY5" i="5"/>
  <c r="AV5" i="5"/>
  <c r="AS5" i="5"/>
  <c r="AP5" i="5"/>
  <c r="AJ5" i="5"/>
  <c r="AG5" i="5"/>
  <c r="AD5" i="5"/>
  <c r="AA5" i="5"/>
  <c r="X5" i="5"/>
  <c r="U5" i="5"/>
  <c r="R5" i="5"/>
  <c r="BQ4" i="5"/>
  <c r="BN4" i="5"/>
  <c r="BK4" i="5"/>
  <c r="BH4" i="5"/>
  <c r="BE4" i="5"/>
  <c r="AS4" i="5"/>
  <c r="AJ4" i="5"/>
  <c r="AG4" i="5"/>
  <c r="AD4" i="5"/>
  <c r="AA4" i="5"/>
  <c r="X4" i="5"/>
  <c r="U4" i="5"/>
  <c r="R4" i="5"/>
  <c r="O4" i="5"/>
  <c r="L4" i="5"/>
  <c r="I4" i="5"/>
  <c r="F4" i="5"/>
  <c r="C4" i="5"/>
  <c r="AG50" i="4"/>
  <c r="AD50" i="4"/>
  <c r="AA50" i="4"/>
  <c r="X50" i="4"/>
  <c r="U50" i="4"/>
  <c r="R50" i="4"/>
  <c r="O50" i="4"/>
  <c r="L50" i="4"/>
  <c r="I50" i="4"/>
  <c r="F50" i="4"/>
  <c r="C50" i="4"/>
  <c r="BW47" i="4"/>
  <c r="BT47" i="4"/>
  <c r="BQ47" i="4"/>
  <c r="BN47" i="4"/>
  <c r="BK47" i="4"/>
  <c r="BH47" i="4"/>
  <c r="BE47" i="4"/>
  <c r="BB47" i="4"/>
  <c r="AY47" i="4"/>
  <c r="AV47" i="4"/>
  <c r="AS47" i="4"/>
  <c r="AP47" i="4"/>
  <c r="AJ47" i="4"/>
  <c r="AG47" i="4"/>
  <c r="AD47" i="4"/>
  <c r="AA47" i="4"/>
  <c r="X47" i="4"/>
  <c r="U47" i="4"/>
  <c r="R47" i="4"/>
  <c r="O47" i="4"/>
  <c r="L47" i="4"/>
  <c r="I47" i="4"/>
  <c r="F47" i="4"/>
  <c r="C47" i="4"/>
  <c r="BW46" i="4"/>
  <c r="BT46" i="4"/>
  <c r="BQ46" i="4"/>
  <c r="BH46" i="4"/>
  <c r="BE46" i="4"/>
  <c r="BB46" i="4"/>
  <c r="AY46" i="4"/>
  <c r="AV46" i="4"/>
  <c r="AS46" i="4"/>
  <c r="AP46" i="4"/>
  <c r="AJ46" i="4"/>
  <c r="AG46" i="4"/>
  <c r="AD46" i="4"/>
  <c r="AA46" i="4"/>
  <c r="X46" i="4"/>
  <c r="U46" i="4"/>
  <c r="BW45" i="4"/>
  <c r="BT45" i="4"/>
  <c r="BQ45" i="4"/>
  <c r="BN45" i="4"/>
  <c r="BK45" i="4"/>
  <c r="BH45" i="4"/>
  <c r="BE45" i="4"/>
  <c r="BB45" i="4"/>
  <c r="AY45" i="4"/>
  <c r="AV45" i="4"/>
  <c r="AS45" i="4"/>
  <c r="AP45" i="4"/>
  <c r="AJ45" i="4"/>
  <c r="AG45" i="4"/>
  <c r="AD45" i="4"/>
  <c r="AA45" i="4"/>
  <c r="X45" i="4"/>
  <c r="U45" i="4"/>
  <c r="BW44" i="4"/>
  <c r="BT44" i="4"/>
  <c r="BQ44" i="4"/>
  <c r="BN44" i="4"/>
  <c r="BK44" i="4"/>
  <c r="BH44" i="4"/>
  <c r="BE44" i="4"/>
  <c r="BB44" i="4"/>
  <c r="AY44" i="4"/>
  <c r="AV44" i="4"/>
  <c r="AS44" i="4"/>
  <c r="AP44" i="4"/>
  <c r="AJ44" i="4"/>
  <c r="AG44" i="4"/>
  <c r="AD44" i="4"/>
  <c r="AA44" i="4"/>
  <c r="X44" i="4"/>
  <c r="U44" i="4"/>
  <c r="AJ43" i="4"/>
  <c r="AG43" i="4"/>
  <c r="AD43" i="4"/>
  <c r="AA43" i="4"/>
  <c r="X43" i="4"/>
  <c r="U43" i="4"/>
  <c r="BW42" i="4"/>
  <c r="BQ42" i="4"/>
  <c r="BE42" i="4"/>
  <c r="BB42" i="4"/>
  <c r="AY42" i="4"/>
  <c r="AV42" i="4"/>
  <c r="AS42" i="4"/>
  <c r="AP42" i="4"/>
  <c r="AJ42" i="4"/>
  <c r="AG42" i="4"/>
  <c r="AD42" i="4"/>
  <c r="AA42" i="4"/>
  <c r="X42" i="4"/>
  <c r="U42" i="4"/>
  <c r="BW41" i="4"/>
  <c r="BE41" i="4"/>
  <c r="BB41" i="4"/>
  <c r="AY41" i="4"/>
  <c r="AV41" i="4"/>
  <c r="AS41" i="4"/>
  <c r="AP41" i="4"/>
  <c r="AJ41" i="4"/>
  <c r="AG41" i="4"/>
  <c r="AD41" i="4"/>
  <c r="AA41" i="4"/>
  <c r="X41" i="4"/>
  <c r="U41" i="4"/>
  <c r="BW40" i="4"/>
  <c r="BN40" i="4"/>
  <c r="BH40" i="4"/>
  <c r="AV40" i="4"/>
  <c r="AS40" i="4"/>
  <c r="AP40" i="4"/>
  <c r="AJ40" i="4"/>
  <c r="AG40" i="4"/>
  <c r="AD40" i="4"/>
  <c r="AA40" i="4"/>
  <c r="X40" i="4"/>
  <c r="U40" i="4"/>
  <c r="BW39" i="4"/>
  <c r="BN39" i="4"/>
  <c r="BK39" i="4"/>
  <c r="BH39" i="4"/>
  <c r="AJ39" i="4"/>
  <c r="AG39" i="4"/>
  <c r="AD39" i="4"/>
  <c r="AA39" i="4"/>
  <c r="X39" i="4"/>
  <c r="U39" i="4"/>
  <c r="BW38" i="4"/>
  <c r="BT38" i="4"/>
  <c r="BQ38" i="4"/>
  <c r="BN38" i="4"/>
  <c r="BK38" i="4"/>
  <c r="BH38" i="4"/>
  <c r="BE38" i="4"/>
  <c r="BB38" i="4"/>
  <c r="AY38" i="4"/>
  <c r="AV38" i="4"/>
  <c r="AS38" i="4"/>
  <c r="AP38" i="4"/>
  <c r="AJ38" i="4"/>
  <c r="AG38" i="4"/>
  <c r="AD38" i="4"/>
  <c r="AA38" i="4"/>
  <c r="X38" i="4"/>
  <c r="U38" i="4"/>
  <c r="BW37" i="4"/>
  <c r="BT37" i="4"/>
  <c r="BQ37" i="4"/>
  <c r="BN37" i="4"/>
  <c r="BK37" i="4"/>
  <c r="BH37" i="4"/>
  <c r="BE37" i="4"/>
  <c r="BB37" i="4"/>
  <c r="AY37" i="4"/>
  <c r="AV37" i="4"/>
  <c r="AS37" i="4"/>
  <c r="AP37" i="4"/>
  <c r="AJ37" i="4"/>
  <c r="AG37" i="4"/>
  <c r="AD37" i="4"/>
  <c r="AA37" i="4"/>
  <c r="X37" i="4"/>
  <c r="U37" i="4"/>
  <c r="R37" i="4"/>
  <c r="O37" i="4"/>
  <c r="L37" i="4"/>
  <c r="I37" i="4"/>
  <c r="F37" i="4"/>
  <c r="C37" i="4"/>
  <c r="BW36" i="4"/>
  <c r="BT36" i="4"/>
  <c r="BQ36" i="4"/>
  <c r="BN36" i="4"/>
  <c r="BK36" i="4"/>
  <c r="BH36" i="4"/>
  <c r="BE36" i="4"/>
  <c r="BB36" i="4"/>
  <c r="AY36" i="4"/>
  <c r="AV36" i="4"/>
  <c r="AS36" i="4"/>
  <c r="AP36" i="4"/>
  <c r="AJ36" i="4"/>
  <c r="AG36" i="4"/>
  <c r="AD36" i="4"/>
  <c r="AA36" i="4"/>
  <c r="X36" i="4"/>
  <c r="U36" i="4"/>
  <c r="R36" i="4"/>
  <c r="O36" i="4"/>
  <c r="L36" i="4"/>
  <c r="I36" i="4"/>
  <c r="F36" i="4"/>
  <c r="C36" i="4"/>
  <c r="BW35" i="4"/>
  <c r="BT35" i="4"/>
  <c r="BQ35" i="4"/>
  <c r="BN35" i="4"/>
  <c r="BE35" i="4"/>
  <c r="BB35" i="4"/>
  <c r="AY35" i="4"/>
  <c r="AV35" i="4"/>
  <c r="AS35" i="4"/>
  <c r="AP35" i="4"/>
  <c r="BW34" i="4"/>
  <c r="BT34" i="4"/>
  <c r="BQ34" i="4"/>
  <c r="BN34" i="4"/>
  <c r="BK34" i="4"/>
  <c r="BE34" i="4"/>
  <c r="BB34" i="4"/>
  <c r="AY34" i="4"/>
  <c r="AV34" i="4"/>
  <c r="AS34" i="4"/>
  <c r="AP34" i="4"/>
  <c r="AJ34" i="4"/>
  <c r="AG34" i="4"/>
  <c r="AD34" i="4"/>
  <c r="AA34" i="4"/>
  <c r="X34" i="4"/>
  <c r="U34" i="4"/>
  <c r="R34" i="4"/>
  <c r="O34" i="4"/>
  <c r="L34" i="4"/>
  <c r="I34" i="4"/>
  <c r="F34" i="4"/>
  <c r="C34" i="4"/>
  <c r="BW33" i="4"/>
  <c r="BT33" i="4"/>
  <c r="BQ33" i="4"/>
  <c r="BN33" i="4"/>
  <c r="BK33" i="4"/>
  <c r="BH33" i="4"/>
  <c r="BE33" i="4"/>
  <c r="BB33" i="4"/>
  <c r="AY33" i="4"/>
  <c r="AV33" i="4"/>
  <c r="AS33" i="4"/>
  <c r="AP33" i="4"/>
  <c r="AJ33" i="4"/>
  <c r="AG33" i="4"/>
  <c r="AD33" i="4"/>
  <c r="AA33" i="4"/>
  <c r="X33" i="4"/>
  <c r="U33" i="4"/>
  <c r="R33" i="4"/>
  <c r="O33" i="4"/>
  <c r="L33" i="4"/>
  <c r="I33" i="4"/>
  <c r="F33" i="4"/>
  <c r="C33" i="4"/>
  <c r="BW32" i="4"/>
  <c r="BT32" i="4"/>
  <c r="BQ32" i="4"/>
  <c r="BN32" i="4"/>
  <c r="BK32" i="4"/>
  <c r="BH32" i="4"/>
  <c r="BE32" i="4"/>
  <c r="BB32" i="4"/>
  <c r="AY32" i="4"/>
  <c r="AV32" i="4"/>
  <c r="AS32" i="4"/>
  <c r="AP32" i="4"/>
  <c r="AJ32" i="4"/>
  <c r="AG32" i="4"/>
  <c r="AD32" i="4"/>
  <c r="AA32" i="4"/>
  <c r="X32" i="4"/>
  <c r="U32" i="4"/>
  <c r="R32" i="4"/>
  <c r="O32" i="4"/>
  <c r="L32" i="4"/>
  <c r="I32" i="4"/>
  <c r="F32" i="4"/>
  <c r="C32" i="4"/>
  <c r="BW31" i="4"/>
  <c r="BT31" i="4"/>
  <c r="BQ31" i="4"/>
  <c r="BN31" i="4"/>
  <c r="BK31" i="4"/>
  <c r="BH31" i="4"/>
  <c r="BE31" i="4"/>
  <c r="BB31" i="4"/>
  <c r="AY31" i="4"/>
  <c r="AV31" i="4"/>
  <c r="AS31" i="4"/>
  <c r="AP31" i="4"/>
  <c r="AJ31" i="4"/>
  <c r="AG31" i="4"/>
  <c r="AD31" i="4"/>
  <c r="AA31" i="4"/>
  <c r="X31" i="4"/>
  <c r="U31" i="4"/>
  <c r="R31" i="4"/>
  <c r="O31" i="4"/>
  <c r="L31" i="4"/>
  <c r="I31" i="4"/>
  <c r="F31" i="4"/>
  <c r="C31" i="4"/>
  <c r="BW30" i="4"/>
  <c r="BT30" i="4"/>
  <c r="BQ30" i="4"/>
  <c r="BN30" i="4"/>
  <c r="BK30" i="4"/>
  <c r="BH30" i="4"/>
  <c r="BE30" i="4"/>
  <c r="BB30" i="4"/>
  <c r="AY30" i="4"/>
  <c r="AV30" i="4"/>
  <c r="AS30" i="4"/>
  <c r="AP30" i="4"/>
  <c r="AJ30" i="4"/>
  <c r="AG30" i="4"/>
  <c r="AD30" i="4"/>
  <c r="AA30" i="4"/>
  <c r="X30" i="4"/>
  <c r="U30" i="4"/>
  <c r="R30" i="4"/>
  <c r="O30" i="4"/>
  <c r="L30" i="4"/>
  <c r="I30" i="4"/>
  <c r="F30" i="4"/>
  <c r="C30" i="4"/>
  <c r="BW29" i="4"/>
  <c r="BT29" i="4"/>
  <c r="BQ29" i="4"/>
  <c r="BN29" i="4"/>
  <c r="BK29" i="4"/>
  <c r="BH29" i="4"/>
  <c r="BE29" i="4"/>
  <c r="BB29" i="4"/>
  <c r="AY29" i="4"/>
  <c r="AV29" i="4"/>
  <c r="AS29" i="4"/>
  <c r="AP29" i="4"/>
  <c r="AJ29" i="4"/>
  <c r="AG29" i="4"/>
  <c r="AD29" i="4"/>
  <c r="AA29" i="4"/>
  <c r="X29" i="4"/>
  <c r="U29" i="4"/>
  <c r="R29" i="4"/>
  <c r="O29" i="4"/>
  <c r="L29" i="4"/>
  <c r="I29" i="4"/>
  <c r="F29" i="4"/>
  <c r="C29" i="4"/>
  <c r="BW28" i="4"/>
  <c r="BT28" i="4"/>
  <c r="BQ28" i="4"/>
  <c r="BN28" i="4"/>
  <c r="BK28" i="4"/>
  <c r="BH28" i="4"/>
  <c r="BE28" i="4"/>
  <c r="BB28" i="4"/>
  <c r="AY28" i="4"/>
  <c r="AV28" i="4"/>
  <c r="AS28" i="4"/>
  <c r="AP28" i="4"/>
  <c r="AJ28" i="4"/>
  <c r="AG28" i="4"/>
  <c r="AD28" i="4"/>
  <c r="AA28" i="4"/>
  <c r="X28" i="4"/>
  <c r="U28" i="4"/>
  <c r="R28" i="4"/>
  <c r="O28" i="4"/>
  <c r="L28" i="4"/>
  <c r="I28" i="4"/>
  <c r="F28" i="4"/>
  <c r="C28" i="4"/>
  <c r="BW27" i="4"/>
  <c r="BT27" i="4"/>
  <c r="BQ27" i="4"/>
  <c r="BN27" i="4"/>
  <c r="BK27" i="4"/>
  <c r="BH27" i="4"/>
  <c r="BE27" i="4"/>
  <c r="BB27" i="4"/>
  <c r="AY27" i="4"/>
  <c r="AV27" i="4"/>
  <c r="AS27" i="4"/>
  <c r="AP27" i="4"/>
  <c r="AJ27" i="4"/>
  <c r="AG27" i="4"/>
  <c r="AD27" i="4"/>
  <c r="AA27" i="4"/>
  <c r="X27" i="4"/>
  <c r="U27" i="4"/>
  <c r="R27" i="4"/>
  <c r="O27" i="4"/>
  <c r="L27" i="4"/>
  <c r="I27" i="4"/>
  <c r="F27" i="4"/>
  <c r="C27" i="4"/>
  <c r="BW26" i="4"/>
  <c r="BT26" i="4"/>
  <c r="BQ26" i="4"/>
  <c r="BN26" i="4"/>
  <c r="BK26" i="4"/>
  <c r="BH26" i="4"/>
  <c r="BE26" i="4"/>
  <c r="BB26" i="4"/>
  <c r="AY26" i="4"/>
  <c r="AV26" i="4"/>
  <c r="AS26" i="4"/>
  <c r="AP26" i="4"/>
  <c r="AJ26" i="4"/>
  <c r="AG26" i="4"/>
  <c r="AD26" i="4"/>
  <c r="AA26" i="4"/>
  <c r="X26" i="4"/>
  <c r="U26" i="4"/>
  <c r="R26" i="4"/>
  <c r="O26" i="4"/>
  <c r="L26" i="4"/>
  <c r="I26" i="4"/>
  <c r="F26" i="4"/>
  <c r="C26" i="4"/>
  <c r="BW25" i="4"/>
  <c r="BT25" i="4"/>
  <c r="BQ25" i="4"/>
  <c r="BN25" i="4"/>
  <c r="BK25" i="4"/>
  <c r="BH25" i="4"/>
  <c r="BE25" i="4"/>
  <c r="BB25" i="4"/>
  <c r="AY25" i="4"/>
  <c r="AV25" i="4"/>
  <c r="AS25" i="4"/>
  <c r="AP25" i="4"/>
  <c r="AJ25" i="4"/>
  <c r="AG25" i="4"/>
  <c r="AD25" i="4"/>
  <c r="AA25" i="4"/>
  <c r="X25" i="4"/>
  <c r="U25" i="4"/>
  <c r="R25" i="4"/>
  <c r="O25" i="4"/>
  <c r="L25" i="4"/>
  <c r="I25" i="4"/>
  <c r="F25" i="4"/>
  <c r="C25" i="4"/>
  <c r="BW24" i="4"/>
  <c r="BT24" i="4"/>
  <c r="BK24" i="4"/>
  <c r="BH24" i="4"/>
  <c r="BE24" i="4"/>
  <c r="BB24" i="4"/>
  <c r="AY24" i="4"/>
  <c r="AV24" i="4"/>
  <c r="AS24" i="4"/>
  <c r="AP24" i="4"/>
  <c r="AJ24" i="4"/>
  <c r="AG24" i="4"/>
  <c r="AD24" i="4"/>
  <c r="AA24" i="4"/>
  <c r="X24" i="4"/>
  <c r="U24" i="4"/>
  <c r="R24" i="4"/>
  <c r="O24" i="4"/>
  <c r="L24" i="4"/>
  <c r="I24" i="4"/>
  <c r="F24" i="4"/>
  <c r="C24" i="4"/>
  <c r="BW23" i="4"/>
  <c r="BT23" i="4"/>
  <c r="BQ23" i="4"/>
  <c r="BN23" i="4"/>
  <c r="BK23" i="4"/>
  <c r="BH23" i="4"/>
  <c r="BE23" i="4"/>
  <c r="BB23" i="4"/>
  <c r="AY23" i="4"/>
  <c r="AV23" i="4"/>
  <c r="AS23" i="4"/>
  <c r="AP23" i="4"/>
  <c r="AJ23" i="4"/>
  <c r="AG23" i="4"/>
  <c r="AD23" i="4"/>
  <c r="AA23" i="4"/>
  <c r="X23" i="4"/>
  <c r="U23" i="4"/>
  <c r="R23" i="4"/>
  <c r="O23" i="4"/>
  <c r="L23" i="4"/>
  <c r="I23" i="4"/>
  <c r="F23" i="4"/>
  <c r="C23" i="4"/>
  <c r="BW22" i="4"/>
  <c r="BT22" i="4"/>
  <c r="BQ22" i="4"/>
  <c r="BN22" i="4"/>
  <c r="BK22" i="4"/>
  <c r="BH22" i="4"/>
  <c r="BE22" i="4"/>
  <c r="BB22" i="4"/>
  <c r="AY22" i="4"/>
  <c r="AV22" i="4"/>
  <c r="AS22" i="4"/>
  <c r="AP22" i="4"/>
  <c r="AJ22" i="4"/>
  <c r="AG22" i="4"/>
  <c r="AD22" i="4"/>
  <c r="AA22" i="4"/>
  <c r="X22" i="4"/>
  <c r="U22" i="4"/>
  <c r="R22" i="4"/>
  <c r="O22" i="4"/>
  <c r="L22" i="4"/>
  <c r="I22" i="4"/>
  <c r="F22" i="4"/>
  <c r="C22" i="4"/>
  <c r="BW21" i="4"/>
  <c r="BT21" i="4"/>
  <c r="BQ21" i="4"/>
  <c r="BN21" i="4"/>
  <c r="BK21" i="4"/>
  <c r="BH21" i="4"/>
  <c r="BE21" i="4"/>
  <c r="BB21" i="4"/>
  <c r="AY21" i="4"/>
  <c r="AV21" i="4"/>
  <c r="AS21" i="4"/>
  <c r="AP21" i="4"/>
  <c r="AJ21" i="4"/>
  <c r="AG21" i="4"/>
  <c r="AD21" i="4"/>
  <c r="AA21" i="4"/>
  <c r="X21" i="4"/>
  <c r="U21" i="4"/>
  <c r="R21" i="4"/>
  <c r="O21" i="4"/>
  <c r="L21" i="4"/>
  <c r="I21" i="4"/>
  <c r="F21" i="4"/>
  <c r="C21" i="4"/>
  <c r="BW20" i="4"/>
  <c r="BT20" i="4"/>
  <c r="BQ20" i="4"/>
  <c r="BN20" i="4"/>
  <c r="BK20" i="4"/>
  <c r="BH20" i="4"/>
  <c r="BE20" i="4"/>
  <c r="BB20" i="4"/>
  <c r="AY20" i="4"/>
  <c r="AV20" i="4"/>
  <c r="AS20" i="4"/>
  <c r="AP20" i="4"/>
  <c r="AJ20" i="4"/>
  <c r="AG20" i="4"/>
  <c r="AD20" i="4"/>
  <c r="AA20" i="4"/>
  <c r="X20" i="4"/>
  <c r="U20" i="4"/>
  <c r="R20" i="4"/>
  <c r="O20" i="4"/>
  <c r="L20" i="4"/>
  <c r="I20" i="4"/>
  <c r="F20" i="4"/>
  <c r="C20" i="4"/>
  <c r="BW19" i="4"/>
  <c r="BT19" i="4"/>
  <c r="BQ19" i="4"/>
  <c r="BN19" i="4"/>
  <c r="BK19" i="4"/>
  <c r="BH19" i="4"/>
  <c r="BE19" i="4"/>
  <c r="BB19" i="4"/>
  <c r="AY19" i="4"/>
  <c r="AV19" i="4"/>
  <c r="AS19" i="4"/>
  <c r="AJ19" i="4"/>
  <c r="AG19" i="4"/>
  <c r="AD19" i="4"/>
  <c r="AA19" i="4"/>
  <c r="X19" i="4"/>
  <c r="U19" i="4"/>
  <c r="R19" i="4"/>
  <c r="O19" i="4"/>
  <c r="L19" i="4"/>
  <c r="I19" i="4"/>
  <c r="F19" i="4"/>
  <c r="C19" i="4"/>
  <c r="BW18" i="4"/>
  <c r="BQ18" i="4"/>
  <c r="BN18" i="4"/>
  <c r="BH18" i="4"/>
  <c r="BE18" i="4"/>
  <c r="BB18" i="4"/>
  <c r="AY18" i="4"/>
  <c r="AV18" i="4"/>
  <c r="AJ18" i="4"/>
  <c r="AG18" i="4"/>
  <c r="AD18" i="4"/>
  <c r="AA18" i="4"/>
  <c r="X18" i="4"/>
  <c r="U18" i="4"/>
  <c r="R18" i="4"/>
  <c r="O18" i="4"/>
  <c r="L18" i="4"/>
  <c r="I18" i="4"/>
  <c r="F18" i="4"/>
  <c r="C18" i="4"/>
  <c r="BW17" i="4"/>
  <c r="BT17" i="4"/>
  <c r="BQ17" i="4"/>
  <c r="BN17" i="4"/>
  <c r="BK17" i="4"/>
  <c r="BH17" i="4"/>
  <c r="BE17" i="4"/>
  <c r="BB17" i="4"/>
  <c r="AY17" i="4"/>
  <c r="AV17" i="4"/>
  <c r="AS17" i="4"/>
  <c r="AP17" i="4"/>
  <c r="AJ17" i="4"/>
  <c r="AG17" i="4"/>
  <c r="AD17" i="4"/>
  <c r="AA17" i="4"/>
  <c r="X17" i="4"/>
  <c r="U17" i="4"/>
  <c r="R17" i="4"/>
  <c r="O17" i="4"/>
  <c r="L17" i="4"/>
  <c r="I17" i="4"/>
  <c r="F17" i="4"/>
  <c r="C17" i="4"/>
  <c r="BW16" i="4"/>
  <c r="BT16" i="4"/>
  <c r="BQ16" i="4"/>
  <c r="BN16" i="4"/>
  <c r="BK16" i="4"/>
  <c r="BH16" i="4"/>
  <c r="BE16" i="4"/>
  <c r="BB16" i="4"/>
  <c r="AV16" i="4"/>
  <c r="AS16" i="4"/>
  <c r="AP16" i="4"/>
  <c r="AJ16" i="4"/>
  <c r="AG16" i="4"/>
  <c r="AD16" i="4"/>
  <c r="AA16" i="4"/>
  <c r="X16" i="4"/>
  <c r="U16" i="4"/>
  <c r="R16" i="4"/>
  <c r="O16" i="4"/>
  <c r="L16" i="4"/>
  <c r="I16" i="4"/>
  <c r="F16" i="4"/>
  <c r="C16" i="4"/>
  <c r="BW15" i="4"/>
  <c r="BT15" i="4"/>
  <c r="BQ15" i="4"/>
  <c r="BN15" i="4"/>
  <c r="BK15" i="4"/>
  <c r="BH15" i="4"/>
  <c r="BE15" i="4"/>
  <c r="BB15" i="4"/>
  <c r="AS15" i="4"/>
  <c r="AJ15" i="4"/>
  <c r="AG15" i="4"/>
  <c r="AD15" i="4"/>
  <c r="AA15" i="4"/>
  <c r="X15" i="4"/>
  <c r="U15" i="4"/>
  <c r="R15" i="4"/>
  <c r="O15" i="4"/>
  <c r="L15" i="4"/>
  <c r="I15" i="4"/>
  <c r="F15" i="4"/>
  <c r="C15" i="4"/>
  <c r="BT14" i="4"/>
  <c r="BQ14" i="4"/>
  <c r="BN14" i="4"/>
  <c r="BB14" i="4"/>
  <c r="AP14" i="4"/>
  <c r="AG14" i="4"/>
  <c r="AD14" i="4"/>
  <c r="AA14" i="4"/>
  <c r="X14" i="4"/>
  <c r="U14" i="4"/>
  <c r="R14" i="4"/>
  <c r="O14" i="4"/>
  <c r="L14" i="4"/>
  <c r="I14" i="4"/>
  <c r="F14" i="4"/>
  <c r="C14" i="4"/>
  <c r="BB13" i="4"/>
  <c r="AY13" i="4"/>
  <c r="AJ13" i="4"/>
  <c r="AG13" i="4"/>
  <c r="AD13" i="4"/>
  <c r="AA13" i="4"/>
  <c r="X13" i="4"/>
  <c r="U13" i="4"/>
  <c r="R13" i="4"/>
  <c r="O13" i="4"/>
  <c r="L13" i="4"/>
  <c r="I13" i="4"/>
  <c r="F13" i="4"/>
  <c r="C13" i="4"/>
  <c r="BQ12" i="4"/>
  <c r="BN12" i="4"/>
  <c r="BB12" i="4"/>
  <c r="AS12" i="4"/>
  <c r="AJ12" i="4"/>
  <c r="AG12" i="4"/>
  <c r="AD12" i="4"/>
  <c r="AA12" i="4"/>
  <c r="X12" i="4"/>
  <c r="U12" i="4"/>
  <c r="R12" i="4"/>
  <c r="O12" i="4"/>
  <c r="L12" i="4"/>
  <c r="I12" i="4"/>
  <c r="F12" i="4"/>
  <c r="C12" i="4"/>
  <c r="BQ11" i="4"/>
  <c r="BK11" i="4"/>
  <c r="BH11" i="4"/>
  <c r="BE11" i="4"/>
  <c r="BB11" i="4"/>
  <c r="AS11" i="4"/>
  <c r="AJ11" i="4"/>
  <c r="AG11" i="4"/>
  <c r="AD11" i="4"/>
  <c r="AA11" i="4"/>
  <c r="X11" i="4"/>
  <c r="U11" i="4"/>
  <c r="R11" i="4"/>
  <c r="O11" i="4"/>
  <c r="L11" i="4"/>
  <c r="I11" i="4"/>
  <c r="F11" i="4"/>
  <c r="C11" i="4"/>
  <c r="BQ10" i="4"/>
  <c r="BN10" i="4"/>
  <c r="BE10" i="4"/>
  <c r="BB10" i="4"/>
  <c r="AS10" i="4"/>
  <c r="AJ10" i="4"/>
  <c r="AG10" i="4"/>
  <c r="AD10" i="4"/>
  <c r="AA10" i="4"/>
  <c r="X10" i="4"/>
  <c r="U10" i="4"/>
  <c r="R10" i="4"/>
  <c r="O10" i="4"/>
  <c r="L10" i="4"/>
  <c r="I10" i="4"/>
  <c r="F10" i="4"/>
  <c r="C10" i="4"/>
  <c r="BW9" i="4"/>
  <c r="BT9" i="4"/>
  <c r="BQ9" i="4"/>
  <c r="BN9" i="4"/>
  <c r="BK9" i="4"/>
  <c r="BH9" i="4"/>
  <c r="BE9" i="4"/>
  <c r="BB9" i="4"/>
  <c r="AY9" i="4"/>
  <c r="AV9" i="4"/>
  <c r="AS9" i="4"/>
  <c r="AP9" i="4"/>
  <c r="AJ9" i="4"/>
  <c r="AG9" i="4"/>
  <c r="AD9" i="4"/>
  <c r="AA9" i="4"/>
  <c r="X9" i="4"/>
  <c r="U9" i="4"/>
  <c r="R9" i="4"/>
  <c r="O9" i="4"/>
  <c r="L9" i="4"/>
  <c r="I9" i="4"/>
  <c r="F9" i="4"/>
  <c r="C9" i="4"/>
  <c r="BN8" i="4"/>
  <c r="BE8" i="4"/>
  <c r="AG8" i="4"/>
  <c r="AD8" i="4"/>
  <c r="AA8" i="4"/>
  <c r="X8" i="4"/>
  <c r="U8" i="4"/>
  <c r="R8" i="4"/>
  <c r="O8" i="4"/>
  <c r="L8" i="4"/>
  <c r="I8" i="4"/>
  <c r="F8" i="4"/>
  <c r="C8" i="4"/>
  <c r="BW7" i="4"/>
  <c r="BT7" i="4"/>
  <c r="BQ7" i="4"/>
  <c r="BN7" i="4"/>
  <c r="BH7" i="4"/>
  <c r="BE7" i="4"/>
  <c r="BB7" i="4"/>
  <c r="AY7" i="4"/>
  <c r="AV7" i="4"/>
  <c r="AS7" i="4"/>
  <c r="AP7" i="4"/>
  <c r="AJ7" i="4"/>
  <c r="AG7" i="4"/>
  <c r="AD7" i="4"/>
  <c r="AA7" i="4"/>
  <c r="X7" i="4"/>
  <c r="U7" i="4"/>
  <c r="R7" i="4"/>
  <c r="O7" i="4"/>
  <c r="L7" i="4"/>
  <c r="I7" i="4"/>
  <c r="F7" i="4"/>
  <c r="C7" i="4"/>
  <c r="BT6" i="4"/>
  <c r="BQ6" i="4"/>
  <c r="BN6" i="4"/>
  <c r="BE6" i="4"/>
  <c r="AS6" i="4"/>
  <c r="AJ6" i="4"/>
  <c r="AG6" i="4"/>
  <c r="AD6" i="4"/>
  <c r="AA6" i="4"/>
  <c r="X6" i="4"/>
  <c r="U6" i="4"/>
  <c r="R6" i="4"/>
  <c r="O6" i="4"/>
  <c r="L6" i="4"/>
  <c r="I6" i="4"/>
  <c r="F6" i="4"/>
  <c r="C6" i="4"/>
  <c r="BT5" i="4"/>
  <c r="BQ5" i="4"/>
  <c r="BH5" i="4"/>
  <c r="BB5" i="4"/>
  <c r="AY5" i="4"/>
  <c r="AS5" i="4"/>
  <c r="AG5" i="4"/>
  <c r="AD5" i="4"/>
  <c r="AA5" i="4"/>
  <c r="X5" i="4"/>
  <c r="U5" i="4"/>
  <c r="R5" i="4"/>
  <c r="O5" i="4"/>
  <c r="L5" i="4"/>
  <c r="I5" i="4"/>
  <c r="F5" i="4"/>
  <c r="C5" i="4"/>
  <c r="BW4" i="4"/>
  <c r="BT4" i="4"/>
  <c r="BQ4" i="4"/>
  <c r="BN4" i="4"/>
  <c r="BK4" i="4"/>
  <c r="BH4" i="4"/>
  <c r="BE4" i="4"/>
  <c r="BB4" i="4"/>
  <c r="AY4" i="4"/>
  <c r="AV4" i="4"/>
  <c r="AS4" i="4"/>
  <c r="AP4" i="4"/>
  <c r="AJ4" i="4"/>
  <c r="AG4" i="4"/>
  <c r="AD4" i="4"/>
  <c r="AA4" i="4"/>
  <c r="X4" i="4"/>
  <c r="U4" i="4"/>
  <c r="R4" i="4"/>
  <c r="O4" i="4"/>
  <c r="L4" i="4"/>
  <c r="I4" i="4"/>
  <c r="F4" i="4"/>
  <c r="C4" i="4"/>
  <c r="R68" i="7"/>
  <c r="P68" i="7"/>
  <c r="R67" i="7"/>
  <c r="P67" i="7"/>
  <c r="O66" i="7"/>
  <c r="P66" i="7" s="1"/>
  <c r="R65" i="7"/>
  <c r="P65" i="7"/>
  <c r="R64" i="7"/>
  <c r="P64" i="7"/>
  <c r="R63" i="7"/>
  <c r="P63" i="7"/>
  <c r="R62" i="7"/>
  <c r="P62" i="7"/>
  <c r="R61" i="7"/>
  <c r="P61" i="7"/>
  <c r="R60" i="7"/>
  <c r="P60" i="7"/>
  <c r="R59" i="7"/>
  <c r="P59" i="7"/>
  <c r="R58" i="7"/>
  <c r="P58" i="7"/>
  <c r="R57" i="7"/>
  <c r="R56" i="7"/>
  <c r="P56" i="7"/>
  <c r="R55" i="7"/>
  <c r="P55" i="7"/>
  <c r="R54" i="7"/>
  <c r="P54" i="7"/>
  <c r="R53" i="7"/>
  <c r="P53" i="7"/>
  <c r="R52" i="7"/>
  <c r="P52" i="7"/>
  <c r="R51" i="7"/>
  <c r="P51" i="7"/>
  <c r="R50" i="7"/>
  <c r="P50" i="7"/>
  <c r="R49" i="7"/>
  <c r="P49" i="7"/>
  <c r="R48" i="7"/>
  <c r="P48" i="7"/>
  <c r="R47" i="7"/>
  <c r="P47" i="7"/>
  <c r="R46" i="7"/>
  <c r="P46" i="7"/>
  <c r="R45" i="7"/>
  <c r="P45" i="7"/>
  <c r="R44" i="7"/>
  <c r="P44" i="7"/>
  <c r="R43" i="7"/>
  <c r="P43" i="7"/>
  <c r="R42" i="7"/>
  <c r="P42" i="7"/>
  <c r="R41" i="7"/>
  <c r="P41" i="7"/>
  <c r="R40" i="7"/>
  <c r="P40" i="7"/>
  <c r="R39" i="7"/>
  <c r="P39" i="7"/>
  <c r="R38" i="7"/>
  <c r="P38" i="7"/>
  <c r="R37" i="7"/>
  <c r="P37" i="7"/>
  <c r="R36" i="7"/>
  <c r="P36" i="7"/>
  <c r="R35" i="7"/>
  <c r="P35" i="7"/>
  <c r="R34" i="7"/>
  <c r="P34" i="7"/>
  <c r="R33" i="7"/>
  <c r="P33" i="7"/>
  <c r="R32" i="7"/>
  <c r="P32" i="7"/>
  <c r="R31" i="7"/>
  <c r="P31" i="7"/>
  <c r="R30" i="7"/>
  <c r="P30" i="7"/>
  <c r="R29" i="7"/>
  <c r="P29" i="7"/>
  <c r="R28" i="7"/>
  <c r="P28" i="7"/>
  <c r="R27" i="7"/>
  <c r="P27" i="7"/>
  <c r="R26" i="7"/>
  <c r="P26" i="7"/>
  <c r="R25" i="7"/>
  <c r="P25" i="7"/>
  <c r="R24" i="7"/>
  <c r="P24" i="7"/>
  <c r="R23" i="7"/>
  <c r="P23" i="7"/>
  <c r="R22" i="7"/>
  <c r="P22" i="7"/>
  <c r="R21" i="7"/>
  <c r="P21" i="7"/>
  <c r="R20" i="7"/>
  <c r="P20" i="7"/>
  <c r="R19" i="7"/>
  <c r="P19" i="7"/>
  <c r="R18" i="7"/>
  <c r="R17" i="7"/>
  <c r="R16" i="7"/>
  <c r="P16" i="7"/>
  <c r="R15" i="7"/>
  <c r="P15" i="7"/>
  <c r="R14" i="7"/>
  <c r="P14" i="7"/>
  <c r="R13" i="7"/>
  <c r="P13" i="7"/>
  <c r="R12" i="7"/>
  <c r="P12" i="7"/>
  <c r="R11" i="7"/>
  <c r="P11" i="7"/>
  <c r="R10" i="7"/>
  <c r="P10" i="7"/>
  <c r="R9" i="7"/>
  <c r="P9" i="7"/>
  <c r="R8" i="7"/>
  <c r="P8" i="7"/>
  <c r="R7" i="7"/>
  <c r="P7" i="7"/>
  <c r="R6" i="7"/>
  <c r="P6" i="7"/>
  <c r="BT54" i="6"/>
  <c r="AY54" i="6"/>
  <c r="AP54" i="6"/>
  <c r="AM54" i="6"/>
  <c r="AJ54" i="6"/>
  <c r="AG54" i="6"/>
  <c r="AD54" i="6"/>
  <c r="AA54" i="6"/>
  <c r="X54" i="6"/>
  <c r="U54" i="6"/>
  <c r="R54" i="6"/>
  <c r="O54" i="6"/>
  <c r="L54" i="6"/>
  <c r="I54" i="6"/>
  <c r="F54" i="6"/>
  <c r="C54" i="6"/>
  <c r="CC52" i="6"/>
  <c r="BX51" i="6"/>
  <c r="BW51" i="6"/>
  <c r="BU51" i="6"/>
  <c r="BT51" i="6"/>
  <c r="BR51" i="6"/>
  <c r="BQ51" i="6"/>
  <c r="BO51" i="6"/>
  <c r="BN51" i="6"/>
  <c r="BL51" i="6"/>
  <c r="BK51" i="6"/>
  <c r="BI51" i="6"/>
  <c r="BH51" i="6"/>
  <c r="BF51" i="6"/>
  <c r="BE51" i="6"/>
  <c r="BC51" i="6"/>
  <c r="BB51" i="6"/>
  <c r="AZ51" i="6"/>
  <c r="AY51" i="6"/>
  <c r="AW51" i="6"/>
  <c r="AV51" i="6"/>
  <c r="AT51" i="6"/>
  <c r="AS51" i="6"/>
  <c r="AQ51" i="6"/>
  <c r="AP51" i="6"/>
  <c r="AJ51" i="6"/>
  <c r="AG51" i="6"/>
  <c r="AD51" i="6"/>
  <c r="AA51" i="6"/>
  <c r="X51" i="6"/>
  <c r="U51" i="6"/>
  <c r="R51" i="6"/>
  <c r="O51" i="6"/>
  <c r="L51" i="6"/>
  <c r="I51" i="6"/>
  <c r="F51" i="6"/>
  <c r="C51" i="6"/>
  <c r="BX50" i="6"/>
  <c r="BW50" i="6"/>
  <c r="BU50" i="6"/>
  <c r="BT50" i="6"/>
  <c r="BR50" i="6"/>
  <c r="BQ50" i="6"/>
  <c r="BO50" i="6"/>
  <c r="BN50" i="6"/>
  <c r="BL50" i="6"/>
  <c r="BK50" i="6"/>
  <c r="BI50" i="6"/>
  <c r="BH50" i="6"/>
  <c r="BF50" i="6"/>
  <c r="BE50" i="6"/>
  <c r="BC50" i="6"/>
  <c r="BB50" i="6"/>
  <c r="AZ50" i="6"/>
  <c r="AY50" i="6"/>
  <c r="AW50" i="6"/>
  <c r="AV50" i="6"/>
  <c r="AT50" i="6"/>
  <c r="AS50" i="6"/>
  <c r="AQ50" i="6"/>
  <c r="AP50" i="6"/>
  <c r="AJ50" i="6"/>
  <c r="AG50" i="6"/>
  <c r="AD50" i="6"/>
  <c r="AA50" i="6"/>
  <c r="X50" i="6"/>
  <c r="U50" i="6"/>
  <c r="BX49" i="6"/>
  <c r="BW49" i="6"/>
  <c r="BU49" i="6"/>
  <c r="BT49" i="6"/>
  <c r="BR49" i="6"/>
  <c r="BQ49" i="6"/>
  <c r="BO49" i="6"/>
  <c r="BN49" i="6"/>
  <c r="BL49" i="6"/>
  <c r="BK49" i="6"/>
  <c r="BI49" i="6"/>
  <c r="BH49" i="6"/>
  <c r="BF49" i="6"/>
  <c r="BE49" i="6"/>
  <c r="BC49" i="6"/>
  <c r="BB49" i="6"/>
  <c r="AZ49" i="6"/>
  <c r="AY49" i="6"/>
  <c r="AW49" i="6"/>
  <c r="AV49" i="6"/>
  <c r="AT49" i="6"/>
  <c r="AS49" i="6"/>
  <c r="AQ49" i="6"/>
  <c r="AP49" i="6"/>
  <c r="AJ49" i="6"/>
  <c r="AG49" i="6"/>
  <c r="AD49" i="6"/>
  <c r="AA49" i="6"/>
  <c r="X49" i="6"/>
  <c r="U49" i="6"/>
  <c r="BX48" i="6"/>
  <c r="BW48" i="6"/>
  <c r="BU48" i="6"/>
  <c r="BT48" i="6"/>
  <c r="BR48" i="6"/>
  <c r="BQ48" i="6"/>
  <c r="BO48" i="6"/>
  <c r="BN48" i="6"/>
  <c r="BL48" i="6"/>
  <c r="BK48" i="6"/>
  <c r="BI48" i="6"/>
  <c r="BH48" i="6"/>
  <c r="BF48" i="6"/>
  <c r="BE48" i="6"/>
  <c r="BC48" i="6"/>
  <c r="BB48" i="6"/>
  <c r="AZ48" i="6"/>
  <c r="AY48" i="6"/>
  <c r="AW48" i="6"/>
  <c r="AV48" i="6"/>
  <c r="AT48" i="6"/>
  <c r="AS48" i="6"/>
  <c r="AQ48" i="6"/>
  <c r="AP48" i="6"/>
  <c r="AJ48" i="6"/>
  <c r="AG48" i="6"/>
  <c r="AD48" i="6"/>
  <c r="AA48" i="6"/>
  <c r="X48" i="6"/>
  <c r="U48" i="6"/>
  <c r="BX47" i="6"/>
  <c r="BW47" i="6"/>
  <c r="BU47" i="6"/>
  <c r="BT47" i="6"/>
  <c r="BR47" i="6"/>
  <c r="BQ47" i="6"/>
  <c r="BO47" i="6"/>
  <c r="BN47" i="6"/>
  <c r="BL47" i="6"/>
  <c r="BK47" i="6"/>
  <c r="BI47" i="6"/>
  <c r="BH47" i="6"/>
  <c r="BF47" i="6"/>
  <c r="BE47" i="6"/>
  <c r="BC47" i="6"/>
  <c r="BB47" i="6"/>
  <c r="AZ47" i="6"/>
  <c r="AY47" i="6"/>
  <c r="AW47" i="6"/>
  <c r="AV47" i="6"/>
  <c r="AT47" i="6"/>
  <c r="AS47" i="6"/>
  <c r="AQ47" i="6"/>
  <c r="AP47" i="6"/>
  <c r="AJ47" i="6"/>
  <c r="AG47" i="6"/>
  <c r="AD47" i="6"/>
  <c r="AA47" i="6"/>
  <c r="X47" i="6"/>
  <c r="U47" i="6"/>
  <c r="BX46" i="6"/>
  <c r="BW46" i="6"/>
  <c r="BU46" i="6"/>
  <c r="BT46" i="6"/>
  <c r="BR46" i="6"/>
  <c r="BQ46" i="6"/>
  <c r="BO46" i="6"/>
  <c r="BN46" i="6"/>
  <c r="BL46" i="6"/>
  <c r="BK46" i="6"/>
  <c r="BI46" i="6"/>
  <c r="BH46" i="6"/>
  <c r="BF46" i="6"/>
  <c r="BE46" i="6"/>
  <c r="BC46" i="6"/>
  <c r="BB46" i="6"/>
  <c r="AZ46" i="6"/>
  <c r="AY46" i="6"/>
  <c r="AW46" i="6"/>
  <c r="AV46" i="6"/>
  <c r="AT46" i="6"/>
  <c r="AS46" i="6"/>
  <c r="AQ46" i="6"/>
  <c r="AP46" i="6"/>
  <c r="AJ46" i="6"/>
  <c r="AG46" i="6"/>
  <c r="AD46" i="6"/>
  <c r="AA46" i="6"/>
  <c r="X46" i="6"/>
  <c r="U46" i="6"/>
  <c r="BX45" i="6"/>
  <c r="BW45" i="6"/>
  <c r="BU45" i="6"/>
  <c r="BT45" i="6"/>
  <c r="BR45" i="6"/>
  <c r="BQ45" i="6"/>
  <c r="BO45" i="6"/>
  <c r="BN45" i="6"/>
  <c r="BL45" i="6"/>
  <c r="BK45" i="6"/>
  <c r="BI45" i="6"/>
  <c r="BH45" i="6"/>
  <c r="BF45" i="6"/>
  <c r="BE45" i="6"/>
  <c r="BC45" i="6"/>
  <c r="BB45" i="6"/>
  <c r="AZ45" i="6"/>
  <c r="AY45" i="6"/>
  <c r="AW45" i="6"/>
  <c r="AV45" i="6"/>
  <c r="AT45" i="6"/>
  <c r="AS45" i="6"/>
  <c r="AQ45" i="6"/>
  <c r="AP45" i="6"/>
  <c r="AJ45" i="6"/>
  <c r="AG45" i="6"/>
  <c r="AD45" i="6"/>
  <c r="AA45" i="6"/>
  <c r="X45" i="6"/>
  <c r="U45" i="6"/>
  <c r="BX44" i="6"/>
  <c r="BW44" i="6"/>
  <c r="BU44" i="6"/>
  <c r="BT44" i="6"/>
  <c r="BR44" i="6"/>
  <c r="BQ44" i="6"/>
  <c r="BO44" i="6"/>
  <c r="BN44" i="6"/>
  <c r="BL44" i="6"/>
  <c r="BK44" i="6"/>
  <c r="BI44" i="6"/>
  <c r="BH44" i="6"/>
  <c r="BF44" i="6"/>
  <c r="BE44" i="6"/>
  <c r="BC44" i="6"/>
  <c r="BB44" i="6"/>
  <c r="AZ44" i="6"/>
  <c r="AY44" i="6"/>
  <c r="AW44" i="6"/>
  <c r="AV44" i="6"/>
  <c r="AT44" i="6"/>
  <c r="AS44" i="6"/>
  <c r="AQ44" i="6"/>
  <c r="AP44" i="6"/>
  <c r="AJ44" i="6"/>
  <c r="AG44" i="6"/>
  <c r="AD44" i="6"/>
  <c r="AA44" i="6"/>
  <c r="X44" i="6"/>
  <c r="U44" i="6"/>
  <c r="BX43" i="6"/>
  <c r="BW43" i="6"/>
  <c r="BU43" i="6"/>
  <c r="BT43" i="6"/>
  <c r="BR43" i="6"/>
  <c r="BQ43" i="6"/>
  <c r="BO43" i="6"/>
  <c r="BN43" i="6"/>
  <c r="BL43" i="6"/>
  <c r="BK43" i="6"/>
  <c r="BI43" i="6"/>
  <c r="BH43" i="6"/>
  <c r="BF43" i="6"/>
  <c r="BE43" i="6"/>
  <c r="BC43" i="6"/>
  <c r="BB43" i="6"/>
  <c r="AZ43" i="6"/>
  <c r="AY43" i="6"/>
  <c r="AW43" i="6"/>
  <c r="AV43" i="6"/>
  <c r="AT43" i="6"/>
  <c r="AS43" i="6"/>
  <c r="AQ43" i="6"/>
  <c r="AP43" i="6"/>
  <c r="AJ43" i="6"/>
  <c r="AG43" i="6"/>
  <c r="AD43" i="6"/>
  <c r="AA43" i="6"/>
  <c r="X43" i="6"/>
  <c r="U43" i="6"/>
  <c r="BX42" i="6"/>
  <c r="BW42" i="6"/>
  <c r="BU42" i="6"/>
  <c r="BT42" i="6"/>
  <c r="BR42" i="6"/>
  <c r="BQ42" i="6"/>
  <c r="BO42" i="6"/>
  <c r="BN42" i="6"/>
  <c r="BL42" i="6"/>
  <c r="BK42" i="6"/>
  <c r="BI42" i="6"/>
  <c r="BH42" i="6"/>
  <c r="BF42" i="6"/>
  <c r="BE42" i="6"/>
  <c r="BC42" i="6"/>
  <c r="BB42" i="6"/>
  <c r="AZ42" i="6"/>
  <c r="AY42" i="6"/>
  <c r="AW42" i="6"/>
  <c r="AV42" i="6"/>
  <c r="AT42" i="6"/>
  <c r="AS42" i="6"/>
  <c r="AQ42" i="6"/>
  <c r="AP42" i="6"/>
  <c r="AJ42" i="6"/>
  <c r="AG42" i="6"/>
  <c r="AD42" i="6"/>
  <c r="AA42" i="6"/>
  <c r="X42" i="6"/>
  <c r="U42" i="6"/>
  <c r="BX41" i="6"/>
  <c r="BW41" i="6"/>
  <c r="BU41" i="6"/>
  <c r="BT41" i="6"/>
  <c r="BR41" i="6"/>
  <c r="BQ41" i="6"/>
  <c r="BO41" i="6"/>
  <c r="BN41" i="6"/>
  <c r="BL41" i="6"/>
  <c r="BK41" i="6"/>
  <c r="BI41" i="6"/>
  <c r="BH41" i="6"/>
  <c r="BF41" i="6"/>
  <c r="BE41" i="6"/>
  <c r="BC41" i="6"/>
  <c r="BB41" i="6"/>
  <c r="AZ41" i="6"/>
  <c r="AY41" i="6"/>
  <c r="AW41" i="6"/>
  <c r="AV41" i="6"/>
  <c r="AT41" i="6"/>
  <c r="AS41" i="6"/>
  <c r="AQ41" i="6"/>
  <c r="AP41" i="6"/>
  <c r="AJ41" i="6"/>
  <c r="AG41" i="6"/>
  <c r="AD41" i="6"/>
  <c r="AA41" i="6"/>
  <c r="X41" i="6"/>
  <c r="U41" i="6"/>
  <c r="R41" i="6"/>
  <c r="O41" i="6"/>
  <c r="L41" i="6"/>
  <c r="I41" i="6"/>
  <c r="F41" i="6"/>
  <c r="C41" i="6"/>
  <c r="BX40" i="6"/>
  <c r="BW40" i="6"/>
  <c r="BU40" i="6"/>
  <c r="BT40" i="6"/>
  <c r="BR40" i="6"/>
  <c r="BQ40" i="6"/>
  <c r="BO40" i="6"/>
  <c r="BN40" i="6"/>
  <c r="BL40" i="6"/>
  <c r="BK40" i="6"/>
  <c r="BI40" i="6"/>
  <c r="BH40" i="6"/>
  <c r="BF40" i="6"/>
  <c r="BE40" i="6"/>
  <c r="BC40" i="6"/>
  <c r="BB40" i="6"/>
  <c r="AZ40" i="6"/>
  <c r="AY40" i="6"/>
  <c r="AW40" i="6"/>
  <c r="AV40" i="6"/>
  <c r="AT40" i="6"/>
  <c r="AS40" i="6"/>
  <c r="AQ40" i="6"/>
  <c r="AP40" i="6"/>
  <c r="AJ40" i="6"/>
  <c r="AG40" i="6"/>
  <c r="AD40" i="6"/>
  <c r="AA40" i="6"/>
  <c r="X40" i="6"/>
  <c r="U40" i="6"/>
  <c r="R40" i="6"/>
  <c r="O40" i="6"/>
  <c r="L40" i="6"/>
  <c r="I40" i="6"/>
  <c r="F40" i="6"/>
  <c r="C40" i="6"/>
  <c r="BX39" i="6"/>
  <c r="BW39" i="6"/>
  <c r="BU39" i="6"/>
  <c r="BT39" i="6"/>
  <c r="BR39" i="6"/>
  <c r="BQ39" i="6"/>
  <c r="BO39" i="6"/>
  <c r="BN39" i="6"/>
  <c r="BL39" i="6"/>
  <c r="BK39" i="6"/>
  <c r="BI39" i="6"/>
  <c r="BH39" i="6"/>
  <c r="BF39" i="6"/>
  <c r="BE39" i="6"/>
  <c r="BC39" i="6"/>
  <c r="BB39" i="6"/>
  <c r="AZ39" i="6"/>
  <c r="AY39" i="6"/>
  <c r="AW39" i="6"/>
  <c r="AV39" i="6"/>
  <c r="AT39" i="6"/>
  <c r="AS39" i="6"/>
  <c r="AQ39" i="6"/>
  <c r="AP39" i="6"/>
  <c r="AJ39" i="6"/>
  <c r="AG39" i="6"/>
  <c r="AD39" i="6"/>
  <c r="AA39" i="6"/>
  <c r="X39" i="6"/>
  <c r="U39" i="6"/>
  <c r="R39" i="6"/>
  <c r="O39" i="6"/>
  <c r="L39" i="6"/>
  <c r="I39" i="6"/>
  <c r="F39" i="6"/>
  <c r="C39" i="6"/>
  <c r="BX38" i="6"/>
  <c r="BW38" i="6"/>
  <c r="BU38" i="6"/>
  <c r="BT38" i="6"/>
  <c r="BR38" i="6"/>
  <c r="BQ38" i="6"/>
  <c r="BO38" i="6"/>
  <c r="BN38" i="6"/>
  <c r="BL38" i="6"/>
  <c r="BK38" i="6"/>
  <c r="BI38" i="6"/>
  <c r="BH38" i="6"/>
  <c r="BF38" i="6"/>
  <c r="BE38" i="6"/>
  <c r="BC38" i="6"/>
  <c r="BB38" i="6"/>
  <c r="AZ38" i="6"/>
  <c r="AY38" i="6"/>
  <c r="AW38" i="6"/>
  <c r="AV38" i="6"/>
  <c r="AT38" i="6"/>
  <c r="AS38" i="6"/>
  <c r="AQ38" i="6"/>
  <c r="AP38" i="6"/>
  <c r="AJ38" i="6"/>
  <c r="AG38" i="6"/>
  <c r="AD38" i="6"/>
  <c r="AA38" i="6"/>
  <c r="X38" i="6"/>
  <c r="U38" i="6"/>
  <c r="R38" i="6"/>
  <c r="O38" i="6"/>
  <c r="L38" i="6"/>
  <c r="I38" i="6"/>
  <c r="F38" i="6"/>
  <c r="C38" i="6"/>
  <c r="BX37" i="6"/>
  <c r="BW37" i="6"/>
  <c r="BU37" i="6"/>
  <c r="BT37" i="6"/>
  <c r="BR37" i="6"/>
  <c r="BQ37" i="6"/>
  <c r="BO37" i="6"/>
  <c r="BN37" i="6"/>
  <c r="BL37" i="6"/>
  <c r="BK37" i="6"/>
  <c r="BI37" i="6"/>
  <c r="BH37" i="6"/>
  <c r="BF37" i="6"/>
  <c r="BE37" i="6"/>
  <c r="BC37" i="6"/>
  <c r="BB37" i="6"/>
  <c r="AZ37" i="6"/>
  <c r="AY37" i="6"/>
  <c r="AW37" i="6"/>
  <c r="AV37" i="6"/>
  <c r="AT37" i="6"/>
  <c r="AS37" i="6"/>
  <c r="AQ37" i="6"/>
  <c r="AP37" i="6"/>
  <c r="AJ37" i="6"/>
  <c r="AG37" i="6"/>
  <c r="AD37" i="6"/>
  <c r="AA37" i="6"/>
  <c r="X37" i="6"/>
  <c r="U37" i="6"/>
  <c r="R37" i="6"/>
  <c r="O37" i="6"/>
  <c r="L37" i="6"/>
  <c r="I37" i="6"/>
  <c r="F37" i="6"/>
  <c r="C37" i="6"/>
  <c r="BX36" i="6"/>
  <c r="BW36" i="6"/>
  <c r="BU36" i="6"/>
  <c r="BT36" i="6"/>
  <c r="BR36" i="6"/>
  <c r="BQ36" i="6"/>
  <c r="BO36" i="6"/>
  <c r="BN36" i="6"/>
  <c r="BL36" i="6"/>
  <c r="BK36" i="6"/>
  <c r="BI36" i="6"/>
  <c r="BH36" i="6"/>
  <c r="BF36" i="6"/>
  <c r="BE36" i="6"/>
  <c r="BC36" i="6"/>
  <c r="BB36" i="6"/>
  <c r="AZ36" i="6"/>
  <c r="AY36" i="6"/>
  <c r="AW36" i="6"/>
  <c r="AV36" i="6"/>
  <c r="AT36" i="6"/>
  <c r="AS36" i="6"/>
  <c r="AQ36" i="6"/>
  <c r="AP36" i="6"/>
  <c r="AJ36" i="6"/>
  <c r="AG36" i="6"/>
  <c r="AD36" i="6"/>
  <c r="AA36" i="6"/>
  <c r="X36" i="6"/>
  <c r="U36" i="6"/>
  <c r="R36" i="6"/>
  <c r="O36" i="6"/>
  <c r="L36" i="6"/>
  <c r="I36" i="6"/>
  <c r="F36" i="6"/>
  <c r="C36" i="6"/>
  <c r="BX35" i="6"/>
  <c r="BW35" i="6"/>
  <c r="BU35" i="6"/>
  <c r="BT35" i="6"/>
  <c r="BR35" i="6"/>
  <c r="BQ35" i="6"/>
  <c r="BO35" i="6"/>
  <c r="BN35" i="6"/>
  <c r="BL35" i="6"/>
  <c r="BK35" i="6"/>
  <c r="BI35" i="6"/>
  <c r="BH35" i="6"/>
  <c r="BF35" i="6"/>
  <c r="BE35" i="6"/>
  <c r="BC35" i="6"/>
  <c r="BB35" i="6"/>
  <c r="AZ35" i="6"/>
  <c r="AY35" i="6"/>
  <c r="AW35" i="6"/>
  <c r="AV35" i="6"/>
  <c r="AT35" i="6"/>
  <c r="AS35" i="6"/>
  <c r="AQ35" i="6"/>
  <c r="AP35" i="6"/>
  <c r="AJ35" i="6"/>
  <c r="AG35" i="6"/>
  <c r="AD35" i="6"/>
  <c r="AA35" i="6"/>
  <c r="X35" i="6"/>
  <c r="U35" i="6"/>
  <c r="R35" i="6"/>
  <c r="O35" i="6"/>
  <c r="L35" i="6"/>
  <c r="I35" i="6"/>
  <c r="F35" i="6"/>
  <c r="C35" i="6"/>
  <c r="BX34" i="6"/>
  <c r="BW34" i="6"/>
  <c r="BU34" i="6"/>
  <c r="BT34" i="6"/>
  <c r="BR34" i="6"/>
  <c r="BQ34" i="6"/>
  <c r="BO34" i="6"/>
  <c r="BN34" i="6"/>
  <c r="BL34" i="6"/>
  <c r="BK34" i="6"/>
  <c r="BI34" i="6"/>
  <c r="BH34" i="6"/>
  <c r="BF34" i="6"/>
  <c r="BE34" i="6"/>
  <c r="BC34" i="6"/>
  <c r="BB34" i="6"/>
  <c r="AZ34" i="6"/>
  <c r="AY34" i="6"/>
  <c r="AW34" i="6"/>
  <c r="AV34" i="6"/>
  <c r="AT34" i="6"/>
  <c r="AS34" i="6"/>
  <c r="AQ34" i="6"/>
  <c r="AP34" i="6"/>
  <c r="AJ34" i="6"/>
  <c r="AG34" i="6"/>
  <c r="AD34" i="6"/>
  <c r="AA34" i="6"/>
  <c r="X34" i="6"/>
  <c r="U34" i="6"/>
  <c r="R34" i="6"/>
  <c r="O34" i="6"/>
  <c r="L34" i="6"/>
  <c r="I34" i="6"/>
  <c r="F34" i="6"/>
  <c r="C34" i="6"/>
  <c r="BX33" i="6"/>
  <c r="BW33" i="6"/>
  <c r="BU33" i="6"/>
  <c r="BT33" i="6"/>
  <c r="BR33" i="6"/>
  <c r="BQ33" i="6"/>
  <c r="BO33" i="6"/>
  <c r="BN33" i="6"/>
  <c r="BL33" i="6"/>
  <c r="BK33" i="6"/>
  <c r="BI33" i="6"/>
  <c r="BH33" i="6"/>
  <c r="BF33" i="6"/>
  <c r="BE33" i="6"/>
  <c r="BC33" i="6"/>
  <c r="BB33" i="6"/>
  <c r="AZ33" i="6"/>
  <c r="AY33" i="6"/>
  <c r="AW33" i="6"/>
  <c r="AV33" i="6"/>
  <c r="AT33" i="6"/>
  <c r="AS33" i="6"/>
  <c r="AQ33" i="6"/>
  <c r="AP33" i="6"/>
  <c r="AJ33" i="6"/>
  <c r="AG33" i="6"/>
  <c r="AD33" i="6"/>
  <c r="AA33" i="6"/>
  <c r="X33" i="6"/>
  <c r="U33" i="6"/>
  <c r="R33" i="6"/>
  <c r="O33" i="6"/>
  <c r="L33" i="6"/>
  <c r="I33" i="6"/>
  <c r="F33" i="6"/>
  <c r="C33" i="6"/>
  <c r="BX32" i="6"/>
  <c r="BW32" i="6"/>
  <c r="BU32" i="6"/>
  <c r="BT32" i="6"/>
  <c r="BR32" i="6"/>
  <c r="BQ32" i="6"/>
  <c r="BO32" i="6"/>
  <c r="BN32" i="6"/>
  <c r="BL32" i="6"/>
  <c r="BK32" i="6"/>
  <c r="BI32" i="6"/>
  <c r="BH32" i="6"/>
  <c r="BF32" i="6"/>
  <c r="BE32" i="6"/>
  <c r="BC32" i="6"/>
  <c r="BB32" i="6"/>
  <c r="AZ32" i="6"/>
  <c r="AY32" i="6"/>
  <c r="AW32" i="6"/>
  <c r="AV32" i="6"/>
  <c r="AT32" i="6"/>
  <c r="AS32" i="6"/>
  <c r="AQ32" i="6"/>
  <c r="AP32" i="6"/>
  <c r="AJ32" i="6"/>
  <c r="AG32" i="6"/>
  <c r="AD32" i="6"/>
  <c r="AA32" i="6"/>
  <c r="X32" i="6"/>
  <c r="U32" i="6"/>
  <c r="R32" i="6"/>
  <c r="O32" i="6"/>
  <c r="L32" i="6"/>
  <c r="I32" i="6"/>
  <c r="F32" i="6"/>
  <c r="C32" i="6"/>
  <c r="BX31" i="6"/>
  <c r="BW31" i="6"/>
  <c r="BU31" i="6"/>
  <c r="BT31" i="6"/>
  <c r="BR31" i="6"/>
  <c r="BQ31" i="6"/>
  <c r="BO31" i="6"/>
  <c r="BN31" i="6"/>
  <c r="BL31" i="6"/>
  <c r="BK31" i="6"/>
  <c r="BI31" i="6"/>
  <c r="BH31" i="6"/>
  <c r="BF31" i="6"/>
  <c r="BE31" i="6"/>
  <c r="BC31" i="6"/>
  <c r="BB31" i="6"/>
  <c r="AZ31" i="6"/>
  <c r="AY31" i="6"/>
  <c r="AW31" i="6"/>
  <c r="AV31" i="6"/>
  <c r="AT31" i="6"/>
  <c r="AS31" i="6"/>
  <c r="AQ31" i="6"/>
  <c r="AP31" i="6"/>
  <c r="AJ31" i="6"/>
  <c r="AG31" i="6"/>
  <c r="AD31" i="6"/>
  <c r="AA31" i="6"/>
  <c r="X31" i="6"/>
  <c r="U31" i="6"/>
  <c r="R31" i="6"/>
  <c r="O31" i="6"/>
  <c r="L31" i="6"/>
  <c r="I31" i="6"/>
  <c r="F31" i="6"/>
  <c r="C31" i="6"/>
  <c r="BX30" i="6"/>
  <c r="BW30" i="6"/>
  <c r="BU30" i="6"/>
  <c r="BT30" i="6"/>
  <c r="BR30" i="6"/>
  <c r="BQ30" i="6"/>
  <c r="BO30" i="6"/>
  <c r="BN30" i="6"/>
  <c r="BL30" i="6"/>
  <c r="BK30" i="6"/>
  <c r="BI30" i="6"/>
  <c r="BH30" i="6"/>
  <c r="BF30" i="6"/>
  <c r="BE30" i="6"/>
  <c r="BC30" i="6"/>
  <c r="BB30" i="6"/>
  <c r="AZ30" i="6"/>
  <c r="AY30" i="6"/>
  <c r="AW30" i="6"/>
  <c r="AV30" i="6"/>
  <c r="AT30" i="6"/>
  <c r="AS30" i="6"/>
  <c r="AQ30" i="6"/>
  <c r="AP30" i="6"/>
  <c r="AJ30" i="6"/>
  <c r="AG30" i="6"/>
  <c r="AD30" i="6"/>
  <c r="AA30" i="6"/>
  <c r="X30" i="6"/>
  <c r="U30" i="6"/>
  <c r="R30" i="6"/>
  <c r="O30" i="6"/>
  <c r="L30" i="6"/>
  <c r="I30" i="6"/>
  <c r="F30" i="6"/>
  <c r="C30" i="6"/>
  <c r="BX29" i="6"/>
  <c r="BW29" i="6"/>
  <c r="BU29" i="6"/>
  <c r="BT29" i="6"/>
  <c r="BR29" i="6"/>
  <c r="BQ29" i="6"/>
  <c r="BO29" i="6"/>
  <c r="BN29" i="6"/>
  <c r="BL29" i="6"/>
  <c r="BK29" i="6"/>
  <c r="BI29" i="6"/>
  <c r="BH29" i="6"/>
  <c r="BF29" i="6"/>
  <c r="BE29" i="6"/>
  <c r="BC29" i="6"/>
  <c r="BB29" i="6"/>
  <c r="AZ29" i="6"/>
  <c r="AY29" i="6"/>
  <c r="AW29" i="6"/>
  <c r="AV29" i="6"/>
  <c r="AT29" i="6"/>
  <c r="AS29" i="6"/>
  <c r="AQ29" i="6"/>
  <c r="AP29" i="6"/>
  <c r="AJ29" i="6"/>
  <c r="AG29" i="6"/>
  <c r="AD29" i="6"/>
  <c r="AA29" i="6"/>
  <c r="X29" i="6"/>
  <c r="U29" i="6"/>
  <c r="R29" i="6"/>
  <c r="O29" i="6"/>
  <c r="L29" i="6"/>
  <c r="I29" i="6"/>
  <c r="F29" i="6"/>
  <c r="C29" i="6"/>
  <c r="BX28" i="6"/>
  <c r="BW28" i="6"/>
  <c r="BU28" i="6"/>
  <c r="BT28" i="6"/>
  <c r="BR28" i="6"/>
  <c r="BQ28" i="6"/>
  <c r="BO28" i="6"/>
  <c r="BN28" i="6"/>
  <c r="BL28" i="6"/>
  <c r="BK28" i="6"/>
  <c r="BI28" i="6"/>
  <c r="BH28" i="6"/>
  <c r="BF28" i="6"/>
  <c r="BE28" i="6"/>
  <c r="BC28" i="6"/>
  <c r="BB28" i="6"/>
  <c r="AZ28" i="6"/>
  <c r="AY28" i="6"/>
  <c r="AW28" i="6"/>
  <c r="AV28" i="6"/>
  <c r="AT28" i="6"/>
  <c r="AS28" i="6"/>
  <c r="AQ28" i="6"/>
  <c r="AP28" i="6"/>
  <c r="AJ28" i="6"/>
  <c r="AG28" i="6"/>
  <c r="AD28" i="6"/>
  <c r="AA28" i="6"/>
  <c r="X28" i="6"/>
  <c r="U28" i="6"/>
  <c r="R28" i="6"/>
  <c r="O28" i="6"/>
  <c r="L28" i="6"/>
  <c r="I28" i="6"/>
  <c r="F28" i="6"/>
  <c r="C28" i="6"/>
  <c r="BX27" i="6"/>
  <c r="BW27" i="6"/>
  <c r="BU27" i="6"/>
  <c r="BT27" i="6"/>
  <c r="BR27" i="6"/>
  <c r="BQ27" i="6"/>
  <c r="BO27" i="6"/>
  <c r="BN27" i="6"/>
  <c r="BL27" i="6"/>
  <c r="BK27" i="6"/>
  <c r="BI27" i="6"/>
  <c r="BH27" i="6"/>
  <c r="BF27" i="6"/>
  <c r="BE27" i="6"/>
  <c r="BC27" i="6"/>
  <c r="BB27" i="6"/>
  <c r="AZ27" i="6"/>
  <c r="AY27" i="6"/>
  <c r="AW27" i="6"/>
  <c r="AV27" i="6"/>
  <c r="AT27" i="6"/>
  <c r="AS27" i="6"/>
  <c r="AQ27" i="6"/>
  <c r="AP27" i="6"/>
  <c r="AJ27" i="6"/>
  <c r="AG27" i="6"/>
  <c r="AD27" i="6"/>
  <c r="AA27" i="6"/>
  <c r="X27" i="6"/>
  <c r="U27" i="6"/>
  <c r="R27" i="6"/>
  <c r="O27" i="6"/>
  <c r="L27" i="6"/>
  <c r="I27" i="6"/>
  <c r="F27" i="6"/>
  <c r="C27" i="6"/>
  <c r="BX26" i="6"/>
  <c r="BW26" i="6"/>
  <c r="BU26" i="6"/>
  <c r="BT26" i="6"/>
  <c r="BR26" i="6"/>
  <c r="BQ26" i="6"/>
  <c r="BO26" i="6"/>
  <c r="BN26" i="6"/>
  <c r="BL26" i="6"/>
  <c r="BK26" i="6"/>
  <c r="BI26" i="6"/>
  <c r="BH26" i="6"/>
  <c r="BF26" i="6"/>
  <c r="BE26" i="6"/>
  <c r="BC26" i="6"/>
  <c r="BB26" i="6"/>
  <c r="AZ26" i="6"/>
  <c r="AY26" i="6"/>
  <c r="AW26" i="6"/>
  <c r="AV26" i="6"/>
  <c r="AT26" i="6"/>
  <c r="AS26" i="6"/>
  <c r="AQ26" i="6"/>
  <c r="AP26" i="6"/>
  <c r="AJ26" i="6"/>
  <c r="AG26" i="6"/>
  <c r="AD26" i="6"/>
  <c r="AA26" i="6"/>
  <c r="X26" i="6"/>
  <c r="U26" i="6"/>
  <c r="R26" i="6"/>
  <c r="O26" i="6"/>
  <c r="L26" i="6"/>
  <c r="I26" i="6"/>
  <c r="F26" i="6"/>
  <c r="C26" i="6"/>
  <c r="BX25" i="6"/>
  <c r="BW25" i="6"/>
  <c r="BU25" i="6"/>
  <c r="BT25" i="6"/>
  <c r="BR25" i="6"/>
  <c r="BQ25" i="6"/>
  <c r="BO25" i="6"/>
  <c r="BN25" i="6"/>
  <c r="BL25" i="6"/>
  <c r="BK25" i="6"/>
  <c r="BI25" i="6"/>
  <c r="BH25" i="6"/>
  <c r="BF25" i="6"/>
  <c r="BE25" i="6"/>
  <c r="BC25" i="6"/>
  <c r="BB25" i="6"/>
  <c r="AZ25" i="6"/>
  <c r="AY25" i="6"/>
  <c r="AW25" i="6"/>
  <c r="AV25" i="6"/>
  <c r="AT25" i="6"/>
  <c r="AS25" i="6"/>
  <c r="AQ25" i="6"/>
  <c r="AP25" i="6"/>
  <c r="AJ25" i="6"/>
  <c r="AG25" i="6"/>
  <c r="AD25" i="6"/>
  <c r="AA25" i="6"/>
  <c r="X25" i="6"/>
  <c r="U25" i="6"/>
  <c r="R25" i="6"/>
  <c r="O25" i="6"/>
  <c r="L25" i="6"/>
  <c r="I25" i="6"/>
  <c r="F25" i="6"/>
  <c r="C25" i="6"/>
  <c r="BX24" i="6"/>
  <c r="BW24" i="6"/>
  <c r="BU24" i="6"/>
  <c r="BT24" i="6"/>
  <c r="BR24" i="6"/>
  <c r="BQ24" i="6"/>
  <c r="BO24" i="6"/>
  <c r="BN24" i="6"/>
  <c r="BL24" i="6"/>
  <c r="BK24" i="6"/>
  <c r="BI24" i="6"/>
  <c r="BH24" i="6"/>
  <c r="BF24" i="6"/>
  <c r="BE24" i="6"/>
  <c r="BC24" i="6"/>
  <c r="BB24" i="6"/>
  <c r="AZ24" i="6"/>
  <c r="AY24" i="6"/>
  <c r="AW24" i="6"/>
  <c r="AV24" i="6"/>
  <c r="AT24" i="6"/>
  <c r="AS24" i="6"/>
  <c r="AQ24" i="6"/>
  <c r="AP24" i="6"/>
  <c r="AJ24" i="6"/>
  <c r="AG24" i="6"/>
  <c r="AD24" i="6"/>
  <c r="AA24" i="6"/>
  <c r="X24" i="6"/>
  <c r="U24" i="6"/>
  <c r="R24" i="6"/>
  <c r="O24" i="6"/>
  <c r="L24" i="6"/>
  <c r="I24" i="6"/>
  <c r="F24" i="6"/>
  <c r="C24" i="6"/>
  <c r="BX23" i="6"/>
  <c r="BW23" i="6"/>
  <c r="BU23" i="6"/>
  <c r="BT23" i="6"/>
  <c r="BR23" i="6"/>
  <c r="BQ23" i="6"/>
  <c r="BO23" i="6"/>
  <c r="BN23" i="6"/>
  <c r="BL23" i="6"/>
  <c r="BK23" i="6"/>
  <c r="BI23" i="6"/>
  <c r="BH23" i="6"/>
  <c r="BF23" i="6"/>
  <c r="BE23" i="6"/>
  <c r="BC23" i="6"/>
  <c r="BB23" i="6"/>
  <c r="AZ23" i="6"/>
  <c r="AY23" i="6"/>
  <c r="AW23" i="6"/>
  <c r="AV23" i="6"/>
  <c r="AT23" i="6"/>
  <c r="AS23" i="6"/>
  <c r="AQ23" i="6"/>
  <c r="AP23" i="6"/>
  <c r="BX22" i="6"/>
  <c r="BW22" i="6"/>
  <c r="BU22" i="6"/>
  <c r="BT22" i="6"/>
  <c r="BR22" i="6"/>
  <c r="BQ22" i="6"/>
  <c r="BO22" i="6"/>
  <c r="BN22" i="6"/>
  <c r="BL22" i="6"/>
  <c r="BK22" i="6"/>
  <c r="BI22" i="6"/>
  <c r="BH22" i="6"/>
  <c r="BF22" i="6"/>
  <c r="BE22" i="6"/>
  <c r="BC22" i="6"/>
  <c r="BB22" i="6"/>
  <c r="AZ22" i="6"/>
  <c r="AY22" i="6"/>
  <c r="AW22" i="6"/>
  <c r="AV22" i="6"/>
  <c r="AT22" i="6"/>
  <c r="AS22" i="6"/>
  <c r="AQ22" i="6"/>
  <c r="AP22" i="6"/>
  <c r="BX21" i="6"/>
  <c r="BW21" i="6"/>
  <c r="BU21" i="6"/>
  <c r="BT21" i="6"/>
  <c r="BR21" i="6"/>
  <c r="BQ21" i="6"/>
  <c r="BO21" i="6"/>
  <c r="BN21" i="6"/>
  <c r="BL21" i="6"/>
  <c r="BK21" i="6"/>
  <c r="BI21" i="6"/>
  <c r="BH21" i="6"/>
  <c r="BF21" i="6"/>
  <c r="BE21" i="6"/>
  <c r="BC21" i="6"/>
  <c r="BB21" i="6"/>
  <c r="AZ21" i="6"/>
  <c r="AY21" i="6"/>
  <c r="AW21" i="6"/>
  <c r="AV21" i="6"/>
  <c r="AT21" i="6"/>
  <c r="AS21" i="6"/>
  <c r="AQ21" i="6"/>
  <c r="AP21" i="6"/>
  <c r="AJ21" i="6"/>
  <c r="AG21" i="6"/>
  <c r="AD21" i="6"/>
  <c r="AA21" i="6"/>
  <c r="X21" i="6"/>
  <c r="U21" i="6"/>
  <c r="R21" i="6"/>
  <c r="O21" i="6"/>
  <c r="L21" i="6"/>
  <c r="I21" i="6"/>
  <c r="F21" i="6"/>
  <c r="C21" i="6"/>
  <c r="BX20" i="6"/>
  <c r="BW20" i="6"/>
  <c r="BU20" i="6"/>
  <c r="BT20" i="6"/>
  <c r="BR20" i="6"/>
  <c r="BQ20" i="6"/>
  <c r="BO20" i="6"/>
  <c r="BN20" i="6"/>
  <c r="BL20" i="6"/>
  <c r="BK20" i="6"/>
  <c r="BI20" i="6"/>
  <c r="BH20" i="6"/>
  <c r="BF20" i="6"/>
  <c r="BE20" i="6"/>
  <c r="BC20" i="6"/>
  <c r="BB20" i="6"/>
  <c r="AZ20" i="6"/>
  <c r="AY20" i="6"/>
  <c r="AW20" i="6"/>
  <c r="AV20" i="6"/>
  <c r="AT20" i="6"/>
  <c r="AS20" i="6"/>
  <c r="AQ20" i="6"/>
  <c r="AP20" i="6"/>
  <c r="AJ20" i="6"/>
  <c r="AG20" i="6"/>
  <c r="AD20" i="6"/>
  <c r="AA20" i="6"/>
  <c r="X20" i="6"/>
  <c r="U20" i="6"/>
  <c r="R20" i="6"/>
  <c r="O20" i="6"/>
  <c r="L20" i="6"/>
  <c r="I20" i="6"/>
  <c r="F20" i="6"/>
  <c r="C20" i="6"/>
  <c r="BX19" i="6"/>
  <c r="BW19" i="6"/>
  <c r="BU19" i="6"/>
  <c r="BT19" i="6"/>
  <c r="BR19" i="6"/>
  <c r="BQ19" i="6"/>
  <c r="BO19" i="6"/>
  <c r="BN19" i="6"/>
  <c r="BL19" i="6"/>
  <c r="BK19" i="6"/>
  <c r="BI19" i="6"/>
  <c r="BH19" i="6"/>
  <c r="BF19" i="6"/>
  <c r="BE19" i="6"/>
  <c r="BC19" i="6"/>
  <c r="BB19" i="6"/>
  <c r="AZ19" i="6"/>
  <c r="AY19" i="6"/>
  <c r="AW19" i="6"/>
  <c r="AV19" i="6"/>
  <c r="AT19" i="6"/>
  <c r="AS19" i="6"/>
  <c r="AQ19" i="6"/>
  <c r="AP19" i="6"/>
  <c r="AJ19" i="6"/>
  <c r="AG19" i="6"/>
  <c r="AD19" i="6"/>
  <c r="AA19" i="6"/>
  <c r="X19" i="6"/>
  <c r="U19" i="6"/>
  <c r="R19" i="6"/>
  <c r="O19" i="6"/>
  <c r="L19" i="6"/>
  <c r="I19" i="6"/>
  <c r="F19" i="6"/>
  <c r="C19" i="6"/>
  <c r="BX18" i="6"/>
  <c r="BW18" i="6"/>
  <c r="BU18" i="6"/>
  <c r="BT18" i="6"/>
  <c r="BR18" i="6"/>
  <c r="BQ18" i="6"/>
  <c r="BO18" i="6"/>
  <c r="BN18" i="6"/>
  <c r="BL18" i="6"/>
  <c r="BK18" i="6"/>
  <c r="BI18" i="6"/>
  <c r="BH18" i="6"/>
  <c r="BF18" i="6"/>
  <c r="BE18" i="6"/>
  <c r="BC18" i="6"/>
  <c r="BB18" i="6"/>
  <c r="AZ18" i="6"/>
  <c r="AY18" i="6"/>
  <c r="AW18" i="6"/>
  <c r="AV18" i="6"/>
  <c r="AT18" i="6"/>
  <c r="AS18" i="6"/>
  <c r="AQ18" i="6"/>
  <c r="AP18" i="6"/>
  <c r="AJ18" i="6"/>
  <c r="AG18" i="6"/>
  <c r="AD18" i="6"/>
  <c r="AA18" i="6"/>
  <c r="X18" i="6"/>
  <c r="U18" i="6"/>
  <c r="R18" i="6"/>
  <c r="O18" i="6"/>
  <c r="L18" i="6"/>
  <c r="I18" i="6"/>
  <c r="F18" i="6"/>
  <c r="C18" i="6"/>
  <c r="BX17" i="6"/>
  <c r="BW17" i="6"/>
  <c r="BU17" i="6"/>
  <c r="BT17" i="6"/>
  <c r="BR17" i="6"/>
  <c r="BQ17" i="6"/>
  <c r="BO17" i="6"/>
  <c r="BN17" i="6"/>
  <c r="BL17" i="6"/>
  <c r="BK17" i="6"/>
  <c r="BI17" i="6"/>
  <c r="BH17" i="6"/>
  <c r="BF17" i="6"/>
  <c r="BE17" i="6"/>
  <c r="BC17" i="6"/>
  <c r="BB17" i="6"/>
  <c r="AZ17" i="6"/>
  <c r="AY17" i="6"/>
  <c r="AW17" i="6"/>
  <c r="AV17" i="6"/>
  <c r="AT17" i="6"/>
  <c r="AS17" i="6"/>
  <c r="AQ17" i="6"/>
  <c r="AP17" i="6"/>
  <c r="BX16" i="6"/>
  <c r="BW16" i="6"/>
  <c r="BU16" i="6"/>
  <c r="BT16" i="6"/>
  <c r="BR16" i="6"/>
  <c r="BQ16" i="6"/>
  <c r="BO16" i="6"/>
  <c r="BN16" i="6"/>
  <c r="BL16" i="6"/>
  <c r="BK16" i="6"/>
  <c r="BI16" i="6"/>
  <c r="BH16" i="6"/>
  <c r="BF16" i="6"/>
  <c r="BE16" i="6"/>
  <c r="BC16" i="6"/>
  <c r="BB16" i="6"/>
  <c r="AZ16" i="6"/>
  <c r="AY16" i="6"/>
  <c r="AW16" i="6"/>
  <c r="AV16" i="6"/>
  <c r="AT16" i="6"/>
  <c r="AS16" i="6"/>
  <c r="AQ16" i="6"/>
  <c r="AP16" i="6"/>
  <c r="BX15" i="6"/>
  <c r="BW15" i="6"/>
  <c r="BU15" i="6"/>
  <c r="BT15" i="6"/>
  <c r="BR15" i="6"/>
  <c r="BQ15" i="6"/>
  <c r="BO15" i="6"/>
  <c r="BN15" i="6"/>
  <c r="BL15" i="6"/>
  <c r="BK15" i="6"/>
  <c r="BI15" i="6"/>
  <c r="BH15" i="6"/>
  <c r="BF15" i="6"/>
  <c r="BE15" i="6"/>
  <c r="BC15" i="6"/>
  <c r="BB15" i="6"/>
  <c r="AZ15" i="6"/>
  <c r="AY15" i="6"/>
  <c r="AW15" i="6"/>
  <c r="AV15" i="6"/>
  <c r="AT15" i="6"/>
  <c r="AS15" i="6"/>
  <c r="AQ15" i="6"/>
  <c r="AP15" i="6"/>
  <c r="AJ15" i="6"/>
  <c r="AG15" i="6"/>
  <c r="AD15" i="6"/>
  <c r="AA15" i="6"/>
  <c r="X15" i="6"/>
  <c r="U15" i="6"/>
  <c r="R15" i="6"/>
  <c r="O15" i="6"/>
  <c r="L15" i="6"/>
  <c r="I15" i="6"/>
  <c r="F15" i="6"/>
  <c r="C15" i="6"/>
  <c r="BX14" i="6"/>
  <c r="BW14" i="6"/>
  <c r="BU14" i="6"/>
  <c r="BT14" i="6"/>
  <c r="BR14" i="6"/>
  <c r="BQ14" i="6"/>
  <c r="BO14" i="6"/>
  <c r="BN14" i="6"/>
  <c r="BL14" i="6"/>
  <c r="BK14" i="6"/>
  <c r="BI14" i="6"/>
  <c r="BH14" i="6"/>
  <c r="BF14" i="6"/>
  <c r="BE14" i="6"/>
  <c r="BC14" i="6"/>
  <c r="BB14" i="6"/>
  <c r="AZ14" i="6"/>
  <c r="AY14" i="6"/>
  <c r="AW14" i="6"/>
  <c r="AV14" i="6"/>
  <c r="AT14" i="6"/>
  <c r="AS14" i="6"/>
  <c r="AQ14" i="6"/>
  <c r="AP14" i="6"/>
  <c r="AJ14" i="6"/>
  <c r="AG14" i="6"/>
  <c r="AD14" i="6"/>
  <c r="AA14" i="6"/>
  <c r="X14" i="6"/>
  <c r="U14" i="6"/>
  <c r="R14" i="6"/>
  <c r="O14" i="6"/>
  <c r="L14" i="6"/>
  <c r="I14" i="6"/>
  <c r="F14" i="6"/>
  <c r="C14" i="6"/>
  <c r="BX13" i="6"/>
  <c r="BW13" i="6"/>
  <c r="BU13" i="6"/>
  <c r="BT13" i="6"/>
  <c r="BR13" i="6"/>
  <c r="BQ13" i="6"/>
  <c r="BO13" i="6"/>
  <c r="BN13" i="6"/>
  <c r="BL13" i="6"/>
  <c r="BK13" i="6"/>
  <c r="BI13" i="6"/>
  <c r="BH13" i="6"/>
  <c r="BF13" i="6"/>
  <c r="BE13" i="6"/>
  <c r="BC13" i="6"/>
  <c r="BB13" i="6"/>
  <c r="AZ13" i="6"/>
  <c r="AY13" i="6"/>
  <c r="AW13" i="6"/>
  <c r="AV13" i="6"/>
  <c r="AT13" i="6"/>
  <c r="AS13" i="6"/>
  <c r="AQ13" i="6"/>
  <c r="AP13" i="6"/>
  <c r="AJ13" i="6"/>
  <c r="AG13" i="6"/>
  <c r="AD13" i="6"/>
  <c r="AA13" i="6"/>
  <c r="X13" i="6"/>
  <c r="U13" i="6"/>
  <c r="R13" i="6"/>
  <c r="O13" i="6"/>
  <c r="L13" i="6"/>
  <c r="I13" i="6"/>
  <c r="F13" i="6"/>
  <c r="C13" i="6"/>
  <c r="BX12" i="6"/>
  <c r="BW12" i="6"/>
  <c r="BU12" i="6"/>
  <c r="BT12" i="6"/>
  <c r="BR12" i="6"/>
  <c r="BQ12" i="6"/>
  <c r="BO12" i="6"/>
  <c r="BN12" i="6"/>
  <c r="BL12" i="6"/>
  <c r="BK12" i="6"/>
  <c r="BI12" i="6"/>
  <c r="BH12" i="6"/>
  <c r="BE12" i="6"/>
  <c r="BC12" i="6"/>
  <c r="BB12" i="6"/>
  <c r="AZ12" i="6"/>
  <c r="AY12" i="6"/>
  <c r="AW12" i="6"/>
  <c r="AV12" i="6"/>
  <c r="AT12" i="6"/>
  <c r="AS12" i="6"/>
  <c r="AQ12" i="6"/>
  <c r="AP12" i="6"/>
  <c r="BX11" i="6"/>
  <c r="BW11" i="6"/>
  <c r="BU11" i="6"/>
  <c r="BT11" i="6"/>
  <c r="BR11" i="6"/>
  <c r="BQ11" i="6"/>
  <c r="BO11" i="6"/>
  <c r="BN11" i="6"/>
  <c r="BL11" i="6"/>
  <c r="BK11" i="6"/>
  <c r="BI11" i="6"/>
  <c r="BH11" i="6"/>
  <c r="BE11" i="6"/>
  <c r="BC11" i="6"/>
  <c r="BB11" i="6"/>
  <c r="AZ11" i="6"/>
  <c r="AY11" i="6"/>
  <c r="AW11" i="6"/>
  <c r="AV11" i="6"/>
  <c r="AT11" i="6"/>
  <c r="AS11" i="6"/>
  <c r="AQ11" i="6"/>
  <c r="AP11" i="6"/>
  <c r="BX10" i="6"/>
  <c r="BW10" i="6"/>
  <c r="BU10" i="6"/>
  <c r="BT10" i="6"/>
  <c r="BR10" i="6"/>
  <c r="BQ10" i="6"/>
  <c r="BO10" i="6"/>
  <c r="BN10" i="6"/>
  <c r="BL10" i="6"/>
  <c r="BK10" i="6"/>
  <c r="BI10" i="6"/>
  <c r="BH10" i="6"/>
  <c r="BF10" i="6"/>
  <c r="BE10" i="6"/>
  <c r="BC10" i="6"/>
  <c r="BB10" i="6"/>
  <c r="AZ10" i="6"/>
  <c r="AY10" i="6"/>
  <c r="AW10" i="6"/>
  <c r="AV10" i="6"/>
  <c r="AT10" i="6"/>
  <c r="AS10" i="6"/>
  <c r="AQ10" i="6"/>
  <c r="AP10" i="6"/>
  <c r="AJ10" i="6"/>
  <c r="AG10" i="6"/>
  <c r="AD10" i="6"/>
  <c r="AA10" i="6"/>
  <c r="X10" i="6"/>
  <c r="U10" i="6"/>
  <c r="R10" i="6"/>
  <c r="O10" i="6"/>
  <c r="L10" i="6"/>
  <c r="I10" i="6"/>
  <c r="F10" i="6"/>
  <c r="C10" i="6"/>
  <c r="BX9" i="6"/>
  <c r="BW9" i="6"/>
  <c r="BU9" i="6"/>
  <c r="BT9" i="6"/>
  <c r="BR9" i="6"/>
  <c r="BQ9" i="6"/>
  <c r="BO9" i="6"/>
  <c r="BN9" i="6"/>
  <c r="BL9" i="6"/>
  <c r="BK9" i="6"/>
  <c r="BI9" i="6"/>
  <c r="BH9" i="6"/>
  <c r="BF9" i="6"/>
  <c r="BE9" i="6"/>
  <c r="BC9" i="6"/>
  <c r="BB9" i="6"/>
  <c r="AZ9" i="6"/>
  <c r="AY9" i="6"/>
  <c r="AW9" i="6"/>
  <c r="AV9" i="6"/>
  <c r="AT9" i="6"/>
  <c r="AS9" i="6"/>
  <c r="AQ9" i="6"/>
  <c r="AP9" i="6"/>
  <c r="AJ9" i="6"/>
  <c r="AG9" i="6"/>
  <c r="AD9" i="6"/>
  <c r="AA9" i="6"/>
  <c r="X9" i="6"/>
  <c r="U9" i="6"/>
  <c r="R9" i="6"/>
  <c r="O9" i="6"/>
  <c r="L9" i="6"/>
  <c r="I9" i="6"/>
  <c r="F9" i="6"/>
  <c r="C9" i="6"/>
  <c r="BX8" i="6"/>
  <c r="BW8" i="6"/>
  <c r="BU8" i="6"/>
  <c r="BT8" i="6"/>
  <c r="BR8" i="6"/>
  <c r="BQ8" i="6"/>
  <c r="BO8" i="6"/>
  <c r="BN8" i="6"/>
  <c r="BL8" i="6"/>
  <c r="BK8" i="6"/>
  <c r="BI8" i="6"/>
  <c r="BH8" i="6"/>
  <c r="BF8" i="6"/>
  <c r="BE8" i="6"/>
  <c r="BC8" i="6"/>
  <c r="BB8" i="6"/>
  <c r="AZ8" i="6"/>
  <c r="AY8" i="6"/>
  <c r="AW8" i="6"/>
  <c r="AV8" i="6"/>
  <c r="AT8" i="6"/>
  <c r="AS8" i="6"/>
  <c r="AQ8" i="6"/>
  <c r="AP8" i="6"/>
  <c r="AJ8" i="6"/>
  <c r="AG8" i="6"/>
  <c r="AD8" i="6"/>
  <c r="AA8" i="6"/>
  <c r="X8" i="6"/>
  <c r="U8" i="6"/>
  <c r="R8" i="6"/>
  <c r="O8" i="6"/>
  <c r="L8" i="6"/>
  <c r="I8" i="6"/>
  <c r="F8" i="6"/>
  <c r="C8" i="6"/>
  <c r="BX7" i="6"/>
  <c r="BW7" i="6"/>
  <c r="BU7" i="6"/>
  <c r="BT7" i="6"/>
  <c r="BR7" i="6"/>
  <c r="BQ7" i="6"/>
  <c r="BO7" i="6"/>
  <c r="BN7" i="6"/>
  <c r="BL7" i="6"/>
  <c r="BK7" i="6"/>
  <c r="BI7" i="6"/>
  <c r="BH7" i="6"/>
  <c r="BF7" i="6"/>
  <c r="BE7" i="6"/>
  <c r="BC7" i="6"/>
  <c r="BB7" i="6"/>
  <c r="AZ7" i="6"/>
  <c r="AY7" i="6"/>
  <c r="AW7" i="6"/>
  <c r="AV7" i="6"/>
  <c r="AT7" i="6"/>
  <c r="AS7" i="6"/>
  <c r="AQ7" i="6"/>
  <c r="AP7" i="6"/>
  <c r="AJ7" i="6"/>
  <c r="AG7" i="6"/>
  <c r="AD7" i="6"/>
  <c r="AA7" i="6"/>
  <c r="X7" i="6"/>
  <c r="U7" i="6"/>
  <c r="R7" i="6"/>
  <c r="O7" i="6"/>
  <c r="L7" i="6"/>
  <c r="I7" i="6"/>
  <c r="F7" i="6"/>
  <c r="C7" i="6"/>
  <c r="BX6" i="6"/>
  <c r="BW6" i="6"/>
  <c r="BU6" i="6"/>
  <c r="BT6" i="6"/>
  <c r="BR6" i="6"/>
  <c r="BQ6" i="6"/>
  <c r="BO6" i="6"/>
  <c r="BN6" i="6"/>
  <c r="BL6" i="6"/>
  <c r="BK6" i="6"/>
  <c r="BI6" i="6"/>
  <c r="BH6" i="6"/>
  <c r="BF6" i="6"/>
  <c r="BE6" i="6"/>
  <c r="BC6" i="6"/>
  <c r="BB6" i="6"/>
  <c r="AZ6" i="6"/>
  <c r="AY6" i="6"/>
  <c r="AW6" i="6"/>
  <c r="AV6" i="6"/>
  <c r="AT6" i="6"/>
  <c r="AS6" i="6"/>
  <c r="AQ6" i="6"/>
  <c r="AP6" i="6"/>
  <c r="AJ6" i="6"/>
  <c r="AG6" i="6"/>
  <c r="AD6" i="6"/>
  <c r="AA6" i="6"/>
  <c r="X6" i="6"/>
  <c r="U6" i="6"/>
  <c r="R6" i="6"/>
  <c r="O6" i="6"/>
  <c r="L6" i="6"/>
  <c r="I6" i="6"/>
  <c r="F6" i="6"/>
  <c r="C6" i="6"/>
  <c r="BX5" i="6"/>
  <c r="BW5" i="6"/>
  <c r="BU5" i="6"/>
  <c r="BT5" i="6"/>
  <c r="BR5" i="6"/>
  <c r="BQ5" i="6"/>
  <c r="BO5" i="6"/>
  <c r="BN5" i="6"/>
  <c r="BL5" i="6"/>
  <c r="BK5" i="6"/>
  <c r="BI5" i="6"/>
  <c r="BH5" i="6"/>
  <c r="BF5" i="6"/>
  <c r="BE5" i="6"/>
  <c r="BC5" i="6"/>
  <c r="BB5" i="6"/>
  <c r="AZ5" i="6"/>
  <c r="AY5" i="6"/>
  <c r="AW5" i="6"/>
  <c r="AV5" i="6"/>
  <c r="AT5" i="6"/>
  <c r="AS5" i="6"/>
  <c r="AQ5" i="6"/>
  <c r="AP5" i="6"/>
  <c r="AJ5" i="6"/>
  <c r="AG5" i="6"/>
  <c r="AD5" i="6"/>
  <c r="AA5" i="6"/>
  <c r="X5" i="6"/>
  <c r="U5" i="6"/>
  <c r="R5" i="6"/>
  <c r="O5" i="6"/>
  <c r="L5" i="6"/>
  <c r="I5" i="6"/>
  <c r="F5" i="6"/>
  <c r="C5" i="6"/>
  <c r="P414" i="9"/>
  <c r="N414" i="9"/>
  <c r="P413" i="9"/>
  <c r="N413" i="9"/>
  <c r="P412" i="9"/>
  <c r="N412" i="9"/>
  <c r="P411" i="9"/>
  <c r="N411" i="9"/>
  <c r="P410" i="9"/>
  <c r="N410" i="9"/>
  <c r="P409" i="9"/>
  <c r="N409" i="9"/>
  <c r="P408" i="9"/>
  <c r="N408" i="9"/>
  <c r="P407" i="9"/>
  <c r="N407" i="9"/>
  <c r="P406" i="9"/>
  <c r="N406" i="9"/>
  <c r="P405" i="9"/>
  <c r="N405" i="9"/>
  <c r="P404" i="9"/>
  <c r="N404" i="9"/>
  <c r="P403" i="9"/>
  <c r="N403" i="9"/>
  <c r="P402" i="9"/>
  <c r="N402" i="9"/>
  <c r="P401" i="9"/>
  <c r="N401" i="9"/>
  <c r="P400" i="9"/>
  <c r="N400" i="9"/>
  <c r="P399" i="9"/>
  <c r="N399" i="9"/>
  <c r="P398" i="9"/>
  <c r="N398" i="9"/>
  <c r="P397" i="9"/>
  <c r="N397" i="9"/>
  <c r="P396" i="9"/>
  <c r="N396" i="9"/>
  <c r="P395" i="9"/>
  <c r="N395" i="9"/>
  <c r="P394" i="9"/>
  <c r="N394" i="9"/>
  <c r="P393" i="9"/>
  <c r="N393" i="9"/>
  <c r="P392" i="9"/>
  <c r="N392" i="9"/>
  <c r="P391" i="9"/>
  <c r="N391" i="9"/>
  <c r="P390" i="9"/>
  <c r="N390" i="9"/>
  <c r="P389" i="9"/>
  <c r="N389" i="9"/>
  <c r="P388" i="9"/>
  <c r="N388" i="9"/>
  <c r="P387" i="9"/>
  <c r="N387" i="9"/>
  <c r="P386" i="9"/>
  <c r="N386" i="9"/>
  <c r="P385" i="9"/>
  <c r="N385" i="9"/>
  <c r="P384" i="9"/>
  <c r="N384" i="9"/>
  <c r="P383" i="9"/>
  <c r="N383" i="9"/>
  <c r="P382" i="9"/>
  <c r="N382" i="9"/>
  <c r="P381" i="9"/>
  <c r="N381" i="9"/>
  <c r="P380" i="9"/>
  <c r="N380" i="9"/>
  <c r="P379" i="9"/>
  <c r="N379" i="9"/>
  <c r="P378" i="9"/>
  <c r="N378" i="9"/>
  <c r="P359" i="9"/>
  <c r="N359" i="9"/>
  <c r="P375" i="9"/>
  <c r="N375" i="9"/>
  <c r="P372" i="9"/>
  <c r="N372" i="9"/>
  <c r="P272" i="9"/>
  <c r="N272" i="9"/>
  <c r="P367" i="9"/>
  <c r="N367" i="9"/>
  <c r="P366" i="9"/>
  <c r="N366" i="9"/>
  <c r="P361" i="9"/>
  <c r="N361" i="9"/>
  <c r="P600" i="9"/>
  <c r="N600" i="9"/>
  <c r="P599" i="9"/>
  <c r="N599" i="9"/>
  <c r="P598" i="9"/>
  <c r="N598" i="9"/>
  <c r="P352" i="9"/>
  <c r="N352" i="9"/>
  <c r="P373" i="9"/>
  <c r="N373" i="9"/>
  <c r="P597" i="9"/>
  <c r="N597" i="9"/>
  <c r="P353" i="9"/>
  <c r="N353" i="9"/>
  <c r="P358" i="9"/>
  <c r="N358" i="9"/>
  <c r="P376" i="9"/>
  <c r="N376" i="9"/>
  <c r="P595" i="9"/>
  <c r="N595" i="9"/>
  <c r="P377" i="9"/>
  <c r="N377" i="9"/>
  <c r="P365" i="9"/>
  <c r="N365" i="9"/>
  <c r="P364" i="9"/>
  <c r="N364" i="9"/>
  <c r="P348" i="9"/>
  <c r="N348" i="9"/>
  <c r="N345" i="9"/>
  <c r="N343" i="9"/>
  <c r="N339" i="9"/>
  <c r="N344" i="9"/>
  <c r="N312" i="9"/>
  <c r="N338" i="9"/>
  <c r="N333" i="9"/>
  <c r="N280" i="9"/>
  <c r="N279" i="9"/>
  <c r="N340" i="9"/>
  <c r="P371" i="9"/>
  <c r="N371" i="9"/>
  <c r="P370" i="9"/>
  <c r="N370" i="9"/>
  <c r="P357" i="9"/>
  <c r="N357" i="9"/>
  <c r="P308" i="9"/>
  <c r="N308" i="9"/>
  <c r="P329" i="9"/>
  <c r="N329" i="9"/>
  <c r="P328" i="9"/>
  <c r="N328" i="9"/>
  <c r="P327" i="9"/>
  <c r="N327" i="9"/>
  <c r="P326" i="9"/>
  <c r="N326" i="9"/>
  <c r="P325" i="9"/>
  <c r="N325" i="9"/>
  <c r="P315" i="9"/>
  <c r="N315" i="9"/>
  <c r="P277" i="9"/>
  <c r="N277" i="9"/>
  <c r="P324" i="9"/>
  <c r="N324" i="9"/>
  <c r="P319" i="9"/>
  <c r="N319" i="9"/>
  <c r="P318" i="9"/>
  <c r="N318" i="9"/>
  <c r="P317" i="9"/>
  <c r="N317" i="9"/>
  <c r="P316" i="9"/>
  <c r="N316" i="9"/>
  <c r="P314" i="9"/>
  <c r="N314" i="9"/>
  <c r="P313" i="9"/>
  <c r="N313" i="9"/>
  <c r="P311" i="9"/>
  <c r="N311" i="9"/>
  <c r="P320" i="9"/>
  <c r="N320" i="9"/>
  <c r="P307" i="9"/>
  <c r="N307" i="9"/>
  <c r="P274" i="9"/>
  <c r="N274" i="9"/>
  <c r="P302" i="9"/>
  <c r="N302" i="9"/>
  <c r="P351" i="9"/>
  <c r="N351" i="9"/>
  <c r="P299" i="9"/>
  <c r="N299" i="9"/>
  <c r="P298" i="9"/>
  <c r="N298" i="9"/>
  <c r="P294" i="9"/>
  <c r="N294" i="9"/>
  <c r="N295" i="9"/>
  <c r="N335" i="9"/>
  <c r="P293" i="9"/>
  <c r="N293" i="9"/>
  <c r="P292" i="9"/>
  <c r="N292" i="9"/>
  <c r="P290" i="9"/>
  <c r="N290" i="9"/>
  <c r="P289" i="9"/>
  <c r="N289" i="9"/>
  <c r="P288" i="9"/>
  <c r="N288" i="9"/>
  <c r="P287" i="9"/>
  <c r="N287" i="9"/>
  <c r="P286" i="9"/>
  <c r="N286" i="9"/>
  <c r="P284" i="9"/>
  <c r="N284" i="9"/>
  <c r="P283" i="9"/>
  <c r="N283" i="9"/>
  <c r="P278" i="9"/>
  <c r="N278" i="9"/>
  <c r="P275" i="9"/>
  <c r="N275" i="9"/>
  <c r="P269" i="9"/>
  <c r="P270" i="9"/>
  <c r="N270" i="9"/>
  <c r="P268" i="9"/>
  <c r="N268" i="9"/>
  <c r="P267" i="9"/>
  <c r="N267" i="9"/>
  <c r="P266" i="9"/>
  <c r="N266" i="9"/>
  <c r="P264" i="9"/>
  <c r="N264" i="9"/>
  <c r="P263" i="9"/>
  <c r="N263" i="9"/>
  <c r="P321" i="9"/>
  <c r="N321" i="9"/>
  <c r="P261" i="9"/>
  <c r="N261" i="9"/>
  <c r="M260" i="9"/>
  <c r="N260" i="9" s="1"/>
  <c r="P259" i="9"/>
  <c r="N259" i="9"/>
  <c r="P258" i="9"/>
  <c r="N258" i="9"/>
  <c r="P257" i="9"/>
  <c r="N257" i="9"/>
  <c r="P256" i="9"/>
  <c r="N256" i="9"/>
  <c r="P255" i="9"/>
  <c r="N255" i="9"/>
  <c r="P254" i="9"/>
  <c r="N254" i="9"/>
  <c r="P253" i="9"/>
  <c r="N253" i="9"/>
  <c r="N330" i="9"/>
  <c r="P310" i="9"/>
  <c r="N310" i="9"/>
  <c r="M250" i="9"/>
  <c r="P250" i="9" s="1"/>
  <c r="P249" i="9"/>
  <c r="P601" i="9"/>
  <c r="N601" i="9"/>
  <c r="P247" i="9"/>
  <c r="N247" i="9"/>
  <c r="P246" i="9"/>
  <c r="N246" i="9"/>
  <c r="P245" i="9"/>
  <c r="N245" i="9"/>
  <c r="P244" i="9"/>
  <c r="N244" i="9"/>
  <c r="P243" i="9"/>
  <c r="N243" i="9"/>
  <c r="P242" i="9"/>
  <c r="N242" i="9"/>
  <c r="M241" i="9"/>
  <c r="P241" i="9" s="1"/>
  <c r="P240" i="9"/>
  <c r="N240" i="9"/>
  <c r="M239" i="9"/>
  <c r="P239" i="9" s="1"/>
  <c r="P238" i="9"/>
  <c r="N238" i="9"/>
  <c r="N336" i="9"/>
  <c r="M229" i="9"/>
  <c r="P229" i="9" s="1"/>
  <c r="P228" i="9"/>
  <c r="N228" i="9"/>
  <c r="P227" i="9"/>
  <c r="N227" i="9"/>
  <c r="N226" i="9"/>
  <c r="P225" i="9"/>
  <c r="N225" i="9"/>
  <c r="M224" i="9"/>
  <c r="N224" i="9" s="1"/>
  <c r="N223" i="9"/>
  <c r="P222" i="9"/>
  <c r="N222" i="9"/>
  <c r="M221" i="9"/>
  <c r="P221" i="9" s="1"/>
  <c r="P220" i="9"/>
  <c r="N220" i="9"/>
  <c r="P350" i="9"/>
  <c r="N350" i="9"/>
  <c r="P218" i="9"/>
  <c r="N218" i="9"/>
  <c r="P217" i="9"/>
  <c r="N217" i="9"/>
  <c r="P216" i="9"/>
  <c r="N216" i="9"/>
  <c r="P215" i="9"/>
  <c r="N215" i="9"/>
  <c r="P214" i="9"/>
  <c r="N214" i="9"/>
  <c r="P213" i="9"/>
  <c r="N213" i="9"/>
  <c r="P212" i="9"/>
  <c r="N212" i="9"/>
  <c r="P211" i="9"/>
  <c r="N211" i="9"/>
  <c r="P210" i="9"/>
  <c r="N210" i="9"/>
  <c r="P209" i="9"/>
  <c r="N209" i="9"/>
  <c r="P208" i="9"/>
  <c r="N208" i="9"/>
  <c r="P207" i="9"/>
  <c r="N207" i="9"/>
  <c r="BB8" i="5" s="1"/>
  <c r="P206" i="9"/>
  <c r="N206" i="9"/>
  <c r="P205" i="9"/>
  <c r="N205" i="9"/>
  <c r="P204" i="9"/>
  <c r="N204" i="9"/>
  <c r="P203" i="9"/>
  <c r="N203" i="9"/>
  <c r="P202" i="9"/>
  <c r="N202" i="9"/>
  <c r="P201" i="9"/>
  <c r="N201" i="9"/>
  <c r="P200" i="9"/>
  <c r="N200" i="9"/>
  <c r="P199" i="9"/>
  <c r="N199" i="9"/>
  <c r="P198" i="9"/>
  <c r="N198" i="9"/>
  <c r="BN46" i="4" s="1"/>
  <c r="P197" i="9"/>
  <c r="N197" i="9"/>
  <c r="P196" i="9"/>
  <c r="N196" i="9"/>
  <c r="BK18" i="4" s="1"/>
  <c r="P195" i="9"/>
  <c r="N195" i="9"/>
  <c r="P349" i="9"/>
  <c r="N349" i="9"/>
  <c r="P193" i="9"/>
  <c r="N193" i="9"/>
  <c r="AP39" i="4" s="1"/>
  <c r="P192" i="9"/>
  <c r="N192" i="9"/>
  <c r="BQ40" i="4" s="1"/>
  <c r="M191" i="9"/>
  <c r="P191" i="9" s="1"/>
  <c r="P190" i="9"/>
  <c r="N190" i="9"/>
  <c r="P189" i="9"/>
  <c r="N189" i="9"/>
  <c r="P188" i="9"/>
  <c r="N188" i="9"/>
  <c r="BK40" i="4" s="1"/>
  <c r="P187" i="9"/>
  <c r="N187" i="9"/>
  <c r="AY40" i="4" s="1"/>
  <c r="P186" i="9"/>
  <c r="N186" i="9"/>
  <c r="BN24" i="4" s="1"/>
  <c r="P185" i="9"/>
  <c r="N185" i="9"/>
  <c r="P184" i="9"/>
  <c r="N184" i="9"/>
  <c r="P183" i="9"/>
  <c r="N183" i="9"/>
  <c r="P182" i="9"/>
  <c r="N182" i="9"/>
  <c r="P181" i="9"/>
  <c r="N181" i="9"/>
  <c r="P180" i="9"/>
  <c r="N180" i="9"/>
  <c r="P179" i="9"/>
  <c r="N179" i="9"/>
  <c r="BN41" i="4" s="1"/>
  <c r="P178" i="9"/>
  <c r="N178" i="9"/>
  <c r="P177" i="9"/>
  <c r="N177" i="9"/>
  <c r="BH41" i="4" s="1"/>
  <c r="P176" i="9"/>
  <c r="N176" i="9"/>
  <c r="BK41" i="4" s="1"/>
  <c r="P175" i="9"/>
  <c r="N175" i="9"/>
  <c r="P174" i="9"/>
  <c r="N174" i="9"/>
  <c r="P173" i="9"/>
  <c r="N173" i="9"/>
  <c r="BN42" i="4" s="1"/>
  <c r="P172" i="9"/>
  <c r="N172" i="9"/>
  <c r="P171" i="9"/>
  <c r="N171" i="9"/>
  <c r="P170" i="9"/>
  <c r="N170" i="9"/>
  <c r="BK42" i="4" s="1"/>
  <c r="P169" i="9"/>
  <c r="N169" i="9"/>
  <c r="BB4" i="5" s="1"/>
  <c r="P168" i="9"/>
  <c r="N168" i="9"/>
  <c r="P167" i="9"/>
  <c r="N167" i="9"/>
  <c r="P166" i="9"/>
  <c r="N166" i="9"/>
  <c r="P165" i="9"/>
  <c r="N165" i="9"/>
  <c r="BK35" i="4" s="1"/>
  <c r="M164" i="9"/>
  <c r="N164" i="9" s="1"/>
  <c r="BT18" i="4" s="1"/>
  <c r="P163" i="9"/>
  <c r="N163" i="9"/>
  <c r="P162" i="9"/>
  <c r="N162" i="9"/>
  <c r="P161" i="9"/>
  <c r="N161" i="9"/>
  <c r="P160" i="9"/>
  <c r="N160" i="9"/>
  <c r="P159" i="9"/>
  <c r="N159" i="9"/>
  <c r="BE39" i="4" s="1"/>
  <c r="P158" i="9"/>
  <c r="N158" i="9"/>
  <c r="AP13" i="4" s="1"/>
  <c r="P157" i="9"/>
  <c r="N157" i="9"/>
  <c r="P156" i="9"/>
  <c r="N156" i="9"/>
  <c r="P155" i="9"/>
  <c r="N155" i="9"/>
  <c r="P154" i="9"/>
  <c r="N154" i="9"/>
  <c r="BT42" i="4" s="1"/>
  <c r="P153" i="9"/>
  <c r="N153" i="9"/>
  <c r="P152" i="9"/>
  <c r="N152" i="9"/>
  <c r="P151" i="9"/>
  <c r="N151" i="9"/>
  <c r="P150" i="9"/>
  <c r="N150" i="9"/>
  <c r="P296" i="9"/>
  <c r="N296" i="9"/>
  <c r="P149" i="9"/>
  <c r="N149" i="9"/>
  <c r="BW13" i="4" s="1"/>
  <c r="M148" i="9"/>
  <c r="P148" i="9" s="1"/>
  <c r="M147" i="9"/>
  <c r="N147" i="9" s="1"/>
  <c r="P146" i="9"/>
  <c r="N146" i="9"/>
  <c r="P145" i="9"/>
  <c r="N145" i="9"/>
  <c r="M144" i="9"/>
  <c r="P144" i="9" s="1"/>
  <c r="M143" i="9"/>
  <c r="P143" i="9" s="1"/>
  <c r="M142" i="9"/>
  <c r="N142" i="9" s="1"/>
  <c r="P141" i="9"/>
  <c r="N141" i="9"/>
  <c r="P140" i="9"/>
  <c r="N140" i="9"/>
  <c r="P139" i="9"/>
  <c r="N139" i="9"/>
  <c r="P138" i="9"/>
  <c r="N138" i="9"/>
  <c r="P137" i="9"/>
  <c r="N137" i="9"/>
  <c r="AP12" i="4" s="1"/>
  <c r="P136" i="9"/>
  <c r="N136" i="9"/>
  <c r="BN13" i="4" s="1"/>
  <c r="P135" i="9"/>
  <c r="N135" i="9"/>
  <c r="M134" i="9"/>
  <c r="P134" i="9" s="1"/>
  <c r="M133" i="9"/>
  <c r="P133" i="9" s="1"/>
  <c r="P132" i="9"/>
  <c r="N132" i="9"/>
  <c r="BW12" i="4" s="1"/>
  <c r="M131" i="9"/>
  <c r="N131" i="9" s="1"/>
  <c r="BK13" i="4" s="1"/>
  <c r="P130" i="9"/>
  <c r="N130" i="9"/>
  <c r="AS13" i="4" s="1"/>
  <c r="P129" i="9"/>
  <c r="N129" i="9"/>
  <c r="M128" i="9"/>
  <c r="P128" i="9" s="1"/>
  <c r="P127" i="9"/>
  <c r="N127" i="9"/>
  <c r="P126" i="9"/>
  <c r="N126" i="9"/>
  <c r="BE12" i="4" s="1"/>
  <c r="P125" i="9"/>
  <c r="N125" i="9"/>
  <c r="AP11" i="4" s="1"/>
  <c r="P124" i="9"/>
  <c r="N124" i="9"/>
  <c r="BT12" i="4" s="1"/>
  <c r="P123" i="9"/>
  <c r="N123" i="9"/>
  <c r="M122" i="9"/>
  <c r="P122" i="9" s="1"/>
  <c r="P121" i="9"/>
  <c r="N121" i="9"/>
  <c r="M120" i="9"/>
  <c r="P120" i="9" s="1"/>
  <c r="M118" i="9"/>
  <c r="M119" i="9" s="1"/>
  <c r="P119" i="9" s="1"/>
  <c r="P117" i="9"/>
  <c r="N117" i="9"/>
  <c r="P116" i="9"/>
  <c r="N116" i="9"/>
  <c r="P115" i="9"/>
  <c r="N115" i="9"/>
  <c r="M114" i="9"/>
  <c r="N114" i="9" s="1"/>
  <c r="P113" i="9"/>
  <c r="N113" i="9"/>
  <c r="P112" i="9"/>
  <c r="N112" i="9"/>
  <c r="M111" i="9"/>
  <c r="N111" i="9" s="1"/>
  <c r="BN11" i="4" s="1"/>
  <c r="M110" i="9"/>
  <c r="N110" i="9" s="1"/>
  <c r="AV11" i="4" s="1"/>
  <c r="P109" i="9"/>
  <c r="N109" i="9"/>
  <c r="AP10" i="4" s="1"/>
  <c r="M108" i="9"/>
  <c r="N108" i="9" s="1"/>
  <c r="AY11" i="4" s="1"/>
  <c r="M107" i="9"/>
  <c r="N107" i="9" s="1"/>
  <c r="BW10" i="4" s="1"/>
  <c r="P106" i="9"/>
  <c r="N106" i="9"/>
  <c r="M105" i="9"/>
  <c r="P105" i="9" s="1"/>
  <c r="P104" i="9"/>
  <c r="N104" i="9"/>
  <c r="P103" i="9"/>
  <c r="N103" i="9"/>
  <c r="AP8" i="4" s="1"/>
  <c r="M102" i="9"/>
  <c r="P102" i="9" s="1"/>
  <c r="M101" i="9"/>
  <c r="P101" i="9" s="1"/>
  <c r="P100" i="9"/>
  <c r="N100" i="9"/>
  <c r="M99" i="9"/>
  <c r="P99" i="9" s="1"/>
  <c r="P98" i="9"/>
  <c r="N98" i="9"/>
  <c r="P97" i="9"/>
  <c r="N97" i="9"/>
  <c r="P96" i="9"/>
  <c r="N96" i="9"/>
  <c r="P95" i="9"/>
  <c r="N95" i="9"/>
  <c r="P94" i="9"/>
  <c r="N94" i="9"/>
  <c r="M93" i="9"/>
  <c r="P93" i="9" s="1"/>
  <c r="P92" i="9"/>
  <c r="N92" i="9"/>
  <c r="P91" i="9"/>
  <c r="N91" i="9"/>
  <c r="P90" i="9"/>
  <c r="N90" i="9"/>
  <c r="P89" i="9"/>
  <c r="N89" i="9"/>
  <c r="P88" i="9"/>
  <c r="N88" i="9"/>
  <c r="P87" i="9"/>
  <c r="N87" i="9"/>
  <c r="BH9" i="5" s="1"/>
  <c r="P86" i="9"/>
  <c r="N86" i="9"/>
  <c r="M85" i="9"/>
  <c r="P85" i="9" s="1"/>
  <c r="P84" i="9"/>
  <c r="N84" i="9"/>
  <c r="P83" i="9"/>
  <c r="N83" i="9"/>
  <c r="M82" i="9"/>
  <c r="P82" i="9" s="1"/>
  <c r="M81" i="9"/>
  <c r="P81" i="9" s="1"/>
  <c r="P80" i="9"/>
  <c r="N80" i="9"/>
  <c r="P79" i="9"/>
  <c r="N79" i="9"/>
  <c r="P78" i="9"/>
  <c r="N78" i="9"/>
  <c r="P77" i="9"/>
  <c r="N77" i="9"/>
  <c r="P76" i="9"/>
  <c r="N76" i="9"/>
  <c r="P75" i="9"/>
  <c r="N75" i="9"/>
  <c r="P74" i="9"/>
  <c r="N74" i="9"/>
  <c r="P73" i="9"/>
  <c r="N73" i="9"/>
  <c r="P72" i="9"/>
  <c r="N72" i="9"/>
  <c r="P71" i="9"/>
  <c r="N71" i="9"/>
  <c r="P70" i="9"/>
  <c r="N70" i="9"/>
  <c r="P67" i="9"/>
  <c r="N67" i="9"/>
  <c r="N66" i="9"/>
  <c r="N65" i="9"/>
  <c r="M64" i="9"/>
  <c r="N64" i="9" s="1"/>
  <c r="BB8" i="4" s="1"/>
  <c r="M63" i="9"/>
  <c r="P63" i="9" s="1"/>
  <c r="P62" i="9"/>
  <c r="N62" i="9"/>
  <c r="BH8" i="4" s="1"/>
  <c r="M61" i="9"/>
  <c r="N61" i="9" s="1"/>
  <c r="BK8" i="4" s="1"/>
  <c r="N60" i="9"/>
  <c r="M59" i="9"/>
  <c r="P59" i="9" s="1"/>
  <c r="N58" i="9"/>
  <c r="N57" i="9"/>
  <c r="N56" i="9"/>
  <c r="N55" i="9"/>
  <c r="N54" i="9"/>
  <c r="P53" i="9"/>
  <c r="N53" i="9"/>
  <c r="P52" i="9"/>
  <c r="N52" i="9"/>
  <c r="P51" i="9"/>
  <c r="N51" i="9"/>
  <c r="P50" i="9"/>
  <c r="N50" i="9"/>
  <c r="N49" i="9"/>
  <c r="P48" i="9"/>
  <c r="N48" i="9"/>
  <c r="P47" i="9"/>
  <c r="N47" i="9"/>
  <c r="AV4" i="5" s="1"/>
  <c r="M46" i="9"/>
  <c r="P46" i="9" s="1"/>
  <c r="M45" i="9"/>
  <c r="P45" i="9" s="1"/>
  <c r="P44" i="9"/>
  <c r="N44" i="9"/>
  <c r="P43" i="9"/>
  <c r="N43" i="9"/>
  <c r="P42" i="9"/>
  <c r="N42" i="9"/>
  <c r="P41" i="9"/>
  <c r="N41" i="9"/>
  <c r="P40" i="9"/>
  <c r="N40" i="9"/>
  <c r="P39" i="9"/>
  <c r="N39" i="9"/>
  <c r="P38" i="9"/>
  <c r="N38" i="9"/>
  <c r="AY6" i="4" s="1"/>
  <c r="P37" i="9"/>
  <c r="N37" i="9"/>
  <c r="P36" i="9"/>
  <c r="N36" i="9"/>
  <c r="P35" i="9"/>
  <c r="N35" i="9"/>
  <c r="P34" i="9"/>
  <c r="N34" i="9"/>
  <c r="P33" i="9"/>
  <c r="N33" i="9"/>
  <c r="P32" i="9"/>
  <c r="N32" i="9"/>
  <c r="P31" i="9"/>
  <c r="N31" i="9"/>
  <c r="N30" i="9"/>
  <c r="M29" i="9"/>
  <c r="P29" i="9" s="1"/>
  <c r="M28" i="9"/>
  <c r="P28" i="9" s="1"/>
  <c r="M27" i="9"/>
  <c r="P27" i="9" s="1"/>
  <c r="P26" i="9"/>
  <c r="N26" i="9"/>
  <c r="P25" i="9"/>
  <c r="N25" i="9"/>
  <c r="P24" i="9"/>
  <c r="N24" i="9"/>
  <c r="P23" i="9"/>
  <c r="N23" i="9"/>
  <c r="P22" i="9"/>
  <c r="N22" i="9"/>
  <c r="N21" i="9"/>
  <c r="P20" i="9"/>
  <c r="N20" i="9"/>
  <c r="P19" i="9"/>
  <c r="N19" i="9"/>
  <c r="P18" i="9"/>
  <c r="N18" i="9"/>
  <c r="P17" i="9"/>
  <c r="N17" i="9"/>
  <c r="P16" i="9"/>
  <c r="N16" i="9"/>
  <c r="P15" i="9"/>
  <c r="N15" i="9"/>
  <c r="P14" i="9"/>
  <c r="N14" i="9"/>
  <c r="P13" i="9"/>
  <c r="N13" i="9"/>
  <c r="P12" i="9"/>
  <c r="N12" i="9"/>
  <c r="P11" i="9"/>
  <c r="N11" i="9"/>
  <c r="P10" i="9"/>
  <c r="N10" i="9"/>
  <c r="P9" i="9"/>
  <c r="N9" i="9"/>
  <c r="P8" i="9"/>
  <c r="N8" i="9"/>
  <c r="N7" i="9"/>
  <c r="P6" i="9"/>
  <c r="N6" i="9"/>
  <c r="P5" i="9"/>
  <c r="N5" i="9"/>
  <c r="P4" i="9"/>
  <c r="N4" i="9"/>
  <c r="AR275" i="1"/>
  <c r="AP275" i="1"/>
  <c r="AO275" i="1"/>
  <c r="W275" i="1"/>
  <c r="V275" i="1"/>
  <c r="Y275" i="1" s="1"/>
  <c r="C275" i="1"/>
  <c r="AR265" i="1"/>
  <c r="AP265" i="1"/>
  <c r="AO265" i="1"/>
  <c r="C265" i="1"/>
  <c r="AR263" i="1"/>
  <c r="AP263" i="1"/>
  <c r="AO263" i="1"/>
  <c r="C263" i="1"/>
  <c r="AR262" i="1"/>
  <c r="AP262" i="1"/>
  <c r="AO262" i="1"/>
  <c r="AR261" i="1"/>
  <c r="AP261" i="1"/>
  <c r="AO261" i="1"/>
  <c r="W261" i="1"/>
  <c r="V261" i="1"/>
  <c r="Y261" i="1" s="1"/>
  <c r="C261" i="1"/>
  <c r="AR260" i="1"/>
  <c r="AP260" i="1"/>
  <c r="AO260" i="1"/>
  <c r="AR258" i="1"/>
  <c r="AP258" i="1"/>
  <c r="AO258" i="1"/>
  <c r="W258" i="1"/>
  <c r="V258" i="1"/>
  <c r="Y258" i="1" s="1"/>
  <c r="C258" i="1"/>
  <c r="AR257" i="1"/>
  <c r="AP257" i="1"/>
  <c r="AO257" i="1"/>
  <c r="W257" i="1"/>
  <c r="V257" i="1"/>
  <c r="Y257" i="1" s="1"/>
  <c r="C257" i="1"/>
  <c r="AR256" i="1"/>
  <c r="AP256" i="1"/>
  <c r="AO256" i="1"/>
  <c r="W256" i="1"/>
  <c r="V256" i="1"/>
  <c r="Y256" i="1" s="1"/>
  <c r="AR255" i="1"/>
  <c r="AP255" i="1"/>
  <c r="AO255" i="1"/>
  <c r="W255" i="1"/>
  <c r="V255" i="1"/>
  <c r="Y255" i="1" s="1"/>
  <c r="C255" i="1"/>
  <c r="AR254" i="1"/>
  <c r="AP254" i="1"/>
  <c r="AO254" i="1"/>
  <c r="W254" i="1"/>
  <c r="V254" i="1"/>
  <c r="Y254" i="1" s="1"/>
  <c r="C254" i="1"/>
  <c r="Y253" i="1"/>
  <c r="W253" i="1"/>
  <c r="V253" i="1"/>
  <c r="C253" i="1"/>
  <c r="Y252" i="1"/>
  <c r="W252" i="1"/>
  <c r="V252" i="1"/>
  <c r="C252" i="1"/>
  <c r="Y251" i="1"/>
  <c r="W251" i="1"/>
  <c r="V251" i="1"/>
  <c r="C251" i="1"/>
  <c r="AR250" i="1"/>
  <c r="AP250" i="1"/>
  <c r="AO250" i="1"/>
  <c r="Y250" i="1"/>
  <c r="W250" i="1"/>
  <c r="V250" i="1"/>
  <c r="C250" i="1"/>
  <c r="AR249" i="1"/>
  <c r="AP249" i="1"/>
  <c r="AO249" i="1"/>
  <c r="Y249" i="1"/>
  <c r="W249" i="1"/>
  <c r="V249" i="1"/>
  <c r="C249" i="1"/>
  <c r="AR248" i="1"/>
  <c r="AP248" i="1"/>
  <c r="AO248" i="1"/>
  <c r="Y248" i="1"/>
  <c r="W248" i="1"/>
  <c r="V248" i="1"/>
  <c r="C248" i="1"/>
  <c r="AR247" i="1"/>
  <c r="AP247" i="1"/>
  <c r="AO247" i="1"/>
  <c r="Y247" i="1"/>
  <c r="W247" i="1"/>
  <c r="V247" i="1"/>
  <c r="C247" i="1"/>
  <c r="AR246" i="1"/>
  <c r="AP246" i="1"/>
  <c r="AO246" i="1"/>
  <c r="Y246" i="1"/>
  <c r="W246" i="1"/>
  <c r="V246" i="1"/>
  <c r="C246" i="1"/>
  <c r="AR245" i="1"/>
  <c r="AP245" i="1"/>
  <c r="AO245" i="1"/>
  <c r="Y245" i="1"/>
  <c r="W245" i="1"/>
  <c r="V245" i="1"/>
  <c r="C245" i="1"/>
  <c r="AR244" i="1"/>
  <c r="AP244" i="1"/>
  <c r="AO244" i="1"/>
  <c r="Y244" i="1"/>
  <c r="W244" i="1"/>
  <c r="V244" i="1"/>
  <c r="C244" i="1"/>
  <c r="AR243" i="1"/>
  <c r="AP243" i="1"/>
  <c r="AO243" i="1"/>
  <c r="Y243" i="1"/>
  <c r="W243" i="1"/>
  <c r="V243" i="1"/>
  <c r="C243" i="1"/>
  <c r="AR242" i="1"/>
  <c r="AP242" i="1"/>
  <c r="AO242" i="1"/>
  <c r="Y242" i="1"/>
  <c r="W242" i="1"/>
  <c r="V242" i="1"/>
  <c r="C242" i="1"/>
  <c r="AR241" i="1"/>
  <c r="AP241" i="1"/>
  <c r="AO241" i="1"/>
  <c r="Y241" i="1"/>
  <c r="W241" i="1"/>
  <c r="V241" i="1"/>
  <c r="C241" i="1"/>
  <c r="AR240" i="1"/>
  <c r="AP240" i="1"/>
  <c r="AO240" i="1"/>
  <c r="W240" i="1"/>
  <c r="V240" i="1"/>
  <c r="Y240" i="1" s="1"/>
  <c r="C240" i="1"/>
  <c r="AR239" i="1"/>
  <c r="AP239" i="1"/>
  <c r="AO239" i="1"/>
  <c r="W239" i="1"/>
  <c r="V239" i="1"/>
  <c r="Y239" i="1" s="1"/>
  <c r="C239" i="1"/>
  <c r="AR238" i="1"/>
  <c r="AP238" i="1"/>
  <c r="AO238" i="1"/>
  <c r="Y238" i="1"/>
  <c r="W238" i="1"/>
  <c r="V238" i="1"/>
  <c r="C238" i="1"/>
  <c r="AR237" i="1"/>
  <c r="AP237" i="1"/>
  <c r="AO237" i="1"/>
  <c r="Y237" i="1"/>
  <c r="W237" i="1"/>
  <c r="V237" i="1"/>
  <c r="C237" i="1"/>
  <c r="AR236" i="1"/>
  <c r="AP236" i="1"/>
  <c r="AO236" i="1"/>
  <c r="Y236" i="1"/>
  <c r="W236" i="1"/>
  <c r="V236" i="1"/>
  <c r="C236" i="1"/>
  <c r="Y235" i="1"/>
  <c r="W235" i="1"/>
  <c r="V235" i="1"/>
  <c r="C235" i="1"/>
  <c r="Y234" i="1"/>
  <c r="W234" i="1"/>
  <c r="V234" i="1"/>
  <c r="C234" i="1"/>
  <c r="AR233" i="1"/>
  <c r="AP233" i="1"/>
  <c r="AO233" i="1"/>
  <c r="Y233" i="1"/>
  <c r="W233" i="1"/>
  <c r="V233" i="1"/>
  <c r="C233" i="1"/>
  <c r="AR232" i="1"/>
  <c r="AP232" i="1"/>
  <c r="AO232" i="1"/>
  <c r="W232" i="1"/>
  <c r="U232" i="1"/>
  <c r="BQ54" i="6" s="1"/>
  <c r="C232" i="1"/>
  <c r="AR231" i="1"/>
  <c r="AP231" i="1"/>
  <c r="AO231" i="1"/>
  <c r="W231" i="1"/>
  <c r="U231" i="1"/>
  <c r="Y231" i="1" s="1"/>
  <c r="C231" i="1"/>
  <c r="AR230" i="1"/>
  <c r="AP230" i="1"/>
  <c r="AO230" i="1"/>
  <c r="W230" i="1"/>
  <c r="U230" i="1"/>
  <c r="C230" i="1"/>
  <c r="AR229" i="1"/>
  <c r="AP229" i="1"/>
  <c r="AO229" i="1"/>
  <c r="W229" i="1"/>
  <c r="U229" i="1"/>
  <c r="V229" i="1" s="1"/>
  <c r="C229" i="1"/>
  <c r="AR228" i="1"/>
  <c r="AP228" i="1"/>
  <c r="AO228" i="1"/>
  <c r="W228" i="1"/>
  <c r="U228" i="1"/>
  <c r="V228" i="1" s="1"/>
  <c r="C228" i="1"/>
  <c r="AR227" i="1"/>
  <c r="AP227" i="1"/>
  <c r="AO227" i="1"/>
  <c r="W227" i="1"/>
  <c r="U227" i="1"/>
  <c r="Y227" i="1" s="1"/>
  <c r="C227" i="1"/>
  <c r="AR226" i="1"/>
  <c r="AP226" i="1"/>
  <c r="AO226" i="1"/>
  <c r="W226" i="1"/>
  <c r="U226" i="1"/>
  <c r="V226" i="1" s="1"/>
  <c r="C226" i="1"/>
  <c r="AR225" i="1"/>
  <c r="AP225" i="1"/>
  <c r="AO225" i="1"/>
  <c r="W225" i="1"/>
  <c r="U225" i="1"/>
  <c r="Y225" i="1" s="1"/>
  <c r="C225" i="1"/>
  <c r="AR224" i="1"/>
  <c r="AP224" i="1"/>
  <c r="AO224" i="1"/>
  <c r="W224" i="1"/>
  <c r="U224" i="1"/>
  <c r="Y224" i="1" s="1"/>
  <c r="C224" i="1"/>
  <c r="AR223" i="1"/>
  <c r="AP223" i="1"/>
  <c r="AO223" i="1"/>
  <c r="W223" i="1"/>
  <c r="U223" i="1"/>
  <c r="Y223" i="1" s="1"/>
  <c r="C223" i="1"/>
  <c r="AR222" i="1"/>
  <c r="AP222" i="1"/>
  <c r="AO222" i="1"/>
  <c r="W222" i="1"/>
  <c r="U222" i="1"/>
  <c r="Y222" i="1" s="1"/>
  <c r="C222" i="1"/>
  <c r="AR221" i="1"/>
  <c r="AP221" i="1"/>
  <c r="AO221" i="1"/>
  <c r="W221" i="1"/>
  <c r="U221" i="1"/>
  <c r="Y221" i="1" s="1"/>
  <c r="C221" i="1"/>
  <c r="AR220" i="1"/>
  <c r="AP220" i="1"/>
  <c r="AO220" i="1"/>
  <c r="W220" i="1"/>
  <c r="U220" i="1"/>
  <c r="Y220" i="1" s="1"/>
  <c r="C220" i="1"/>
  <c r="AR219" i="1"/>
  <c r="AP219" i="1"/>
  <c r="AO219" i="1"/>
  <c r="W219" i="1"/>
  <c r="U219" i="1"/>
  <c r="V219" i="1" s="1"/>
  <c r="C219" i="1"/>
  <c r="AR218" i="1"/>
  <c r="AP218" i="1"/>
  <c r="AO218" i="1"/>
  <c r="W218" i="1"/>
  <c r="U218" i="1"/>
  <c r="V218" i="1" s="1"/>
  <c r="C218" i="1"/>
  <c r="AR217" i="1"/>
  <c r="AP217" i="1"/>
  <c r="AO217" i="1"/>
  <c r="W217" i="1"/>
  <c r="U217" i="1"/>
  <c r="V217" i="1" s="1"/>
  <c r="C217" i="1"/>
  <c r="AR216" i="1"/>
  <c r="AP216" i="1"/>
  <c r="AO216" i="1"/>
  <c r="W216" i="1"/>
  <c r="U216" i="1"/>
  <c r="C216" i="1"/>
  <c r="AR215" i="1"/>
  <c r="AP215" i="1"/>
  <c r="AO215" i="1"/>
  <c r="W215" i="1"/>
  <c r="U215" i="1"/>
  <c r="V215" i="1" s="1"/>
  <c r="C215" i="1"/>
  <c r="AR214" i="1"/>
  <c r="AP214" i="1"/>
  <c r="AO214" i="1"/>
  <c r="W214" i="1"/>
  <c r="U214" i="1"/>
  <c r="C214" i="1"/>
  <c r="AR213" i="1"/>
  <c r="AP213" i="1"/>
  <c r="AO213" i="1"/>
  <c r="W213" i="1"/>
  <c r="U213" i="1"/>
  <c r="V213" i="1" s="1"/>
  <c r="C213" i="1"/>
  <c r="AR212" i="1"/>
  <c r="AP212" i="1"/>
  <c r="AO212" i="1"/>
  <c r="W212" i="1"/>
  <c r="U212" i="1"/>
  <c r="Y212" i="1" s="1"/>
  <c r="C212" i="1"/>
  <c r="AR211" i="1"/>
  <c r="AP211" i="1"/>
  <c r="AO211" i="1"/>
  <c r="W211" i="1"/>
  <c r="U211" i="1"/>
  <c r="V211" i="1" s="1"/>
  <c r="C211" i="1"/>
  <c r="AR210" i="1"/>
  <c r="AP210" i="1"/>
  <c r="AO210" i="1"/>
  <c r="W210" i="1"/>
  <c r="U210" i="1"/>
  <c r="V210" i="1" s="1"/>
  <c r="C210" i="1"/>
  <c r="AR209" i="1"/>
  <c r="AP209" i="1"/>
  <c r="AO209" i="1"/>
  <c r="W209" i="1"/>
  <c r="U209" i="1"/>
  <c r="Y209" i="1" s="1"/>
  <c r="C209" i="1"/>
  <c r="AR208" i="1"/>
  <c r="AP208" i="1"/>
  <c r="AO208" i="1"/>
  <c r="W208" i="1"/>
  <c r="U208" i="1"/>
  <c r="C208" i="1"/>
  <c r="AR207" i="1"/>
  <c r="AP207" i="1"/>
  <c r="AO207" i="1"/>
  <c r="W207" i="1"/>
  <c r="U207" i="1"/>
  <c r="Y207" i="1" s="1"/>
  <c r="C207" i="1"/>
  <c r="AR206" i="1"/>
  <c r="AP206" i="1"/>
  <c r="AO206" i="1"/>
  <c r="W206" i="1"/>
  <c r="U206" i="1"/>
  <c r="V206" i="1" s="1"/>
  <c r="C206" i="1"/>
  <c r="AR205" i="1"/>
  <c r="AP205" i="1"/>
  <c r="AO205" i="1"/>
  <c r="W205" i="1"/>
  <c r="U205" i="1"/>
  <c r="V205" i="1" s="1"/>
  <c r="C205" i="1"/>
  <c r="AR204" i="1"/>
  <c r="AP204" i="1"/>
  <c r="AO204" i="1"/>
  <c r="W204" i="1"/>
  <c r="U204" i="1"/>
  <c r="Y204" i="1" s="1"/>
  <c r="C204" i="1"/>
  <c r="AR203" i="1"/>
  <c r="AP203" i="1"/>
  <c r="AO203" i="1"/>
  <c r="W203" i="1"/>
  <c r="U203" i="1"/>
  <c r="V203" i="1" s="1"/>
  <c r="C203" i="1"/>
  <c r="AR202" i="1"/>
  <c r="AP202" i="1"/>
  <c r="AO202" i="1"/>
  <c r="W202" i="1"/>
  <c r="U202" i="1"/>
  <c r="V202" i="1" s="1"/>
  <c r="Y202" i="1" s="1"/>
  <c r="C202" i="1"/>
  <c r="AR201" i="1"/>
  <c r="AP201" i="1"/>
  <c r="AO201" i="1"/>
  <c r="W201" i="1"/>
  <c r="U201" i="1"/>
  <c r="Y201" i="1" s="1"/>
  <c r="C201" i="1"/>
  <c r="AR200" i="1"/>
  <c r="AP200" i="1"/>
  <c r="AO200" i="1"/>
  <c r="W200" i="1"/>
  <c r="U200" i="1"/>
  <c r="Y200" i="1" s="1"/>
  <c r="C200" i="1"/>
  <c r="AR199" i="1"/>
  <c r="AP199" i="1"/>
  <c r="AO199" i="1"/>
  <c r="Y199" i="1"/>
  <c r="W199" i="1"/>
  <c r="V199" i="1"/>
  <c r="C199" i="1"/>
  <c r="AR198" i="1"/>
  <c r="AP198" i="1"/>
  <c r="AO198" i="1"/>
  <c r="Y198" i="1"/>
  <c r="W198" i="1"/>
  <c r="V198" i="1"/>
  <c r="C198" i="1"/>
  <c r="AR197" i="1"/>
  <c r="AP197" i="1"/>
  <c r="AO197" i="1"/>
  <c r="Y197" i="1"/>
  <c r="W197" i="1"/>
  <c r="V197" i="1"/>
  <c r="C197" i="1"/>
  <c r="AR196" i="1"/>
  <c r="AP196" i="1"/>
  <c r="AO196" i="1"/>
  <c r="Y196" i="1"/>
  <c r="W196" i="1"/>
  <c r="V196" i="1"/>
  <c r="C196" i="1"/>
  <c r="AR195" i="1"/>
  <c r="AP195" i="1"/>
  <c r="AO195" i="1"/>
  <c r="Y195" i="1"/>
  <c r="W195" i="1"/>
  <c r="V195" i="1"/>
  <c r="C195" i="1"/>
  <c r="AR194" i="1"/>
  <c r="AP194" i="1"/>
  <c r="AO194" i="1"/>
  <c r="Y194" i="1"/>
  <c r="W194" i="1"/>
  <c r="V194" i="1"/>
  <c r="C194" i="1"/>
  <c r="AR193" i="1"/>
  <c r="AP193" i="1"/>
  <c r="AO193" i="1"/>
  <c r="W193" i="1"/>
  <c r="V193" i="1"/>
  <c r="Y193" i="1" s="1"/>
  <c r="C193" i="1"/>
  <c r="AR192" i="1"/>
  <c r="AP192" i="1"/>
  <c r="AO192" i="1"/>
  <c r="Y192" i="1"/>
  <c r="W192" i="1"/>
  <c r="V192" i="1"/>
  <c r="C192" i="1"/>
  <c r="AR191" i="1"/>
  <c r="AP191" i="1"/>
  <c r="AO191" i="1"/>
  <c r="Y191" i="1"/>
  <c r="W191" i="1"/>
  <c r="V191" i="1"/>
  <c r="C191" i="1"/>
  <c r="AR190" i="1"/>
  <c r="AP190" i="1"/>
  <c r="AO190" i="1"/>
  <c r="W190" i="1"/>
  <c r="V190" i="1"/>
  <c r="Y190" i="1" s="1"/>
  <c r="C190" i="1"/>
  <c r="AR189" i="1"/>
  <c r="AP189" i="1"/>
  <c r="AO189" i="1"/>
  <c r="Y189" i="1"/>
  <c r="W189" i="1"/>
  <c r="V189" i="1"/>
  <c r="C189" i="1"/>
  <c r="AR188" i="1"/>
  <c r="AP188" i="1"/>
  <c r="AO188" i="1"/>
  <c r="W188" i="1"/>
  <c r="U188" i="1"/>
  <c r="Y188" i="1" s="1"/>
  <c r="C188" i="1"/>
  <c r="AR187" i="1"/>
  <c r="AP187" i="1"/>
  <c r="AO187" i="1"/>
  <c r="W187" i="1"/>
  <c r="U187" i="1"/>
  <c r="C187" i="1"/>
  <c r="AR186" i="1"/>
  <c r="AP186" i="1"/>
  <c r="AO186" i="1"/>
  <c r="Y186" i="1"/>
  <c r="W186" i="1"/>
  <c r="V186" i="1"/>
  <c r="C186" i="1"/>
  <c r="AR185" i="1"/>
  <c r="AP185" i="1"/>
  <c r="AO185" i="1"/>
  <c r="Y185" i="1"/>
  <c r="W185" i="1"/>
  <c r="V185" i="1"/>
  <c r="C185" i="1"/>
  <c r="AR184" i="1"/>
  <c r="AP184" i="1"/>
  <c r="AO184" i="1"/>
  <c r="Y184" i="1"/>
  <c r="W184" i="1"/>
  <c r="V184" i="1"/>
  <c r="C184" i="1"/>
  <c r="AR183" i="1"/>
  <c r="AP183" i="1"/>
  <c r="AO183" i="1"/>
  <c r="W183" i="1"/>
  <c r="U183" i="1"/>
  <c r="Y183" i="1" s="1"/>
  <c r="C183" i="1"/>
  <c r="AR182" i="1"/>
  <c r="AP182" i="1"/>
  <c r="AO182" i="1"/>
  <c r="Y182" i="1"/>
  <c r="W182" i="1"/>
  <c r="V182" i="1"/>
  <c r="C182" i="1"/>
  <c r="AR181" i="1"/>
  <c r="AP181" i="1"/>
  <c r="AO181" i="1"/>
  <c r="Y181" i="1"/>
  <c r="W181" i="1"/>
  <c r="V181" i="1"/>
  <c r="C181" i="1"/>
  <c r="AR180" i="1"/>
  <c r="AP180" i="1"/>
  <c r="AO180" i="1"/>
  <c r="Y180" i="1"/>
  <c r="W180" i="1"/>
  <c r="V180" i="1"/>
  <c r="C180" i="1"/>
  <c r="AR179" i="1"/>
  <c r="AP179" i="1"/>
  <c r="AO179" i="1"/>
  <c r="Y179" i="1"/>
  <c r="W179" i="1"/>
  <c r="V179" i="1"/>
  <c r="C179" i="1"/>
  <c r="AR178" i="1"/>
  <c r="AP178" i="1"/>
  <c r="AO178" i="1"/>
  <c r="Y178" i="1"/>
  <c r="W178" i="1"/>
  <c r="V178" i="1"/>
  <c r="C178" i="1"/>
  <c r="AR177" i="1"/>
  <c r="AP177" i="1"/>
  <c r="AO177" i="1"/>
  <c r="Y177" i="1"/>
  <c r="W177" i="1"/>
  <c r="V177" i="1"/>
  <c r="C177" i="1"/>
  <c r="AR176" i="1"/>
  <c r="AP176" i="1"/>
  <c r="AO176" i="1"/>
  <c r="Y176" i="1"/>
  <c r="W176" i="1"/>
  <c r="V176" i="1"/>
  <c r="C176" i="1"/>
  <c r="AR175" i="1"/>
  <c r="AP175" i="1"/>
  <c r="AO175" i="1"/>
  <c r="Y175" i="1"/>
  <c r="W175" i="1"/>
  <c r="V175" i="1"/>
  <c r="C175" i="1"/>
  <c r="Y174" i="1"/>
  <c r="W174" i="1"/>
  <c r="V174" i="1"/>
  <c r="C174" i="1"/>
  <c r="Y173" i="1"/>
  <c r="W173" i="1"/>
  <c r="V173" i="1"/>
  <c r="C173" i="1"/>
  <c r="AR172" i="1"/>
  <c r="AP172" i="1"/>
  <c r="AO172" i="1"/>
  <c r="W172" i="1"/>
  <c r="V172" i="1"/>
  <c r="Y172" i="1" s="1"/>
  <c r="C172" i="1"/>
  <c r="AR171" i="1"/>
  <c r="AP171" i="1"/>
  <c r="AO171" i="1"/>
  <c r="Y171" i="1"/>
  <c r="W171" i="1"/>
  <c r="V171" i="1"/>
  <c r="C171" i="1"/>
  <c r="AR170" i="1"/>
  <c r="AP170" i="1"/>
  <c r="AO170" i="1"/>
  <c r="Y170" i="1"/>
  <c r="W170" i="1"/>
  <c r="V170" i="1"/>
  <c r="C170" i="1"/>
  <c r="AR169" i="1"/>
  <c r="AP169" i="1"/>
  <c r="AO169" i="1"/>
  <c r="Y169" i="1"/>
  <c r="W169" i="1"/>
  <c r="V169" i="1"/>
  <c r="C169" i="1"/>
  <c r="AR168" i="1"/>
  <c r="AP168" i="1"/>
  <c r="AO168" i="1"/>
  <c r="Y168" i="1"/>
  <c r="W168" i="1"/>
  <c r="V168" i="1"/>
  <c r="C168" i="1"/>
  <c r="AR167" i="1"/>
  <c r="AP167" i="1"/>
  <c r="AO167" i="1"/>
  <c r="Y167" i="1"/>
  <c r="W167" i="1"/>
  <c r="V167" i="1"/>
  <c r="C167" i="1"/>
  <c r="AR166" i="1"/>
  <c r="AP166" i="1"/>
  <c r="AO166" i="1"/>
  <c r="W166" i="1"/>
  <c r="V166" i="1"/>
  <c r="Y166" i="1" s="1"/>
  <c r="C166" i="1"/>
  <c r="AR165" i="1"/>
  <c r="AP165" i="1"/>
  <c r="AO165" i="1"/>
  <c r="Y165" i="1"/>
  <c r="W165" i="1"/>
  <c r="V165" i="1"/>
  <c r="C165" i="1"/>
  <c r="AR164" i="1"/>
  <c r="AP164" i="1"/>
  <c r="AO164" i="1"/>
  <c r="Y164" i="1"/>
  <c r="W164" i="1"/>
  <c r="V164" i="1"/>
  <c r="C164" i="1"/>
  <c r="AR163" i="1"/>
  <c r="AP163" i="1"/>
  <c r="AO163" i="1"/>
  <c r="Y163" i="1"/>
  <c r="W163" i="1"/>
  <c r="V163" i="1"/>
  <c r="C163" i="1"/>
  <c r="AR162" i="1"/>
  <c r="AP162" i="1"/>
  <c r="AO162" i="1"/>
  <c r="Y162" i="1"/>
  <c r="W162" i="1"/>
  <c r="V162" i="1"/>
  <c r="C162" i="1"/>
  <c r="AR161" i="1"/>
  <c r="AP161" i="1"/>
  <c r="AO161" i="1"/>
  <c r="W161" i="1"/>
  <c r="U161" i="1"/>
  <c r="C161" i="1"/>
  <c r="AR160" i="1"/>
  <c r="AP160" i="1"/>
  <c r="AO160" i="1"/>
  <c r="Y160" i="1"/>
  <c r="W160" i="1"/>
  <c r="V160" i="1"/>
  <c r="C160" i="1"/>
  <c r="AR159" i="1"/>
  <c r="AP159" i="1"/>
  <c r="AO159" i="1"/>
  <c r="Y159" i="1"/>
  <c r="W159" i="1"/>
  <c r="V159" i="1"/>
  <c r="C159" i="1"/>
  <c r="AR158" i="1"/>
  <c r="AP158" i="1"/>
  <c r="AO158" i="1"/>
  <c r="Y158" i="1"/>
  <c r="W158" i="1"/>
  <c r="V158" i="1"/>
  <c r="C158" i="1"/>
  <c r="AR157" i="1"/>
  <c r="AP157" i="1"/>
  <c r="AO157" i="1"/>
  <c r="Y157" i="1"/>
  <c r="W157" i="1"/>
  <c r="V157" i="1"/>
  <c r="C157" i="1"/>
  <c r="AR156" i="1"/>
  <c r="AP156" i="1"/>
  <c r="AO156" i="1"/>
  <c r="W156" i="1"/>
  <c r="V156" i="1"/>
  <c r="Y156" i="1" s="1"/>
  <c r="C156" i="1"/>
  <c r="AR155" i="1"/>
  <c r="AP155" i="1"/>
  <c r="AO155" i="1"/>
  <c r="Y155" i="1"/>
  <c r="W155" i="1"/>
  <c r="V155" i="1"/>
  <c r="C155" i="1"/>
  <c r="AR154" i="1"/>
  <c r="AP154" i="1"/>
  <c r="AO154" i="1"/>
  <c r="Y154" i="1"/>
  <c r="W154" i="1"/>
  <c r="V154" i="1"/>
  <c r="C154" i="1"/>
  <c r="AR153" i="1"/>
  <c r="AP153" i="1"/>
  <c r="AO153" i="1"/>
  <c r="Y153" i="1"/>
  <c r="W153" i="1"/>
  <c r="V153" i="1"/>
  <c r="C153" i="1"/>
  <c r="AR152" i="1"/>
  <c r="AP152" i="1"/>
  <c r="AO152" i="1"/>
  <c r="Y152" i="1"/>
  <c r="W152" i="1"/>
  <c r="V152" i="1"/>
  <c r="C152" i="1"/>
  <c r="AR151" i="1"/>
  <c r="AP151" i="1"/>
  <c r="AO151" i="1"/>
  <c r="Y151" i="1"/>
  <c r="W151" i="1"/>
  <c r="V151" i="1"/>
  <c r="C151" i="1"/>
  <c r="AR150" i="1"/>
  <c r="AP150" i="1"/>
  <c r="AO150" i="1"/>
  <c r="Y150" i="1"/>
  <c r="W150" i="1"/>
  <c r="V150" i="1"/>
  <c r="C150" i="1"/>
  <c r="AR149" i="1"/>
  <c r="AP149" i="1"/>
  <c r="AO149" i="1"/>
  <c r="Y149" i="1"/>
  <c r="W149" i="1"/>
  <c r="V149" i="1"/>
  <c r="C149" i="1"/>
  <c r="AR148" i="1"/>
  <c r="AP148" i="1"/>
  <c r="AO148" i="1"/>
  <c r="W148" i="1"/>
  <c r="V148" i="1"/>
  <c r="Y148" i="1" s="1"/>
  <c r="C148" i="1"/>
  <c r="AR147" i="1"/>
  <c r="AP147" i="1"/>
  <c r="AO147" i="1"/>
  <c r="Y147" i="1"/>
  <c r="W147" i="1"/>
  <c r="V147" i="1"/>
  <c r="C147" i="1"/>
  <c r="AR146" i="1"/>
  <c r="AP146" i="1"/>
  <c r="AO146" i="1"/>
  <c r="Y146" i="1"/>
  <c r="W146" i="1"/>
  <c r="V146" i="1"/>
  <c r="C146" i="1"/>
  <c r="AR145" i="1"/>
  <c r="AP145" i="1"/>
  <c r="AO145" i="1"/>
  <c r="Y145" i="1"/>
  <c r="W145" i="1"/>
  <c r="V145" i="1"/>
  <c r="C145" i="1"/>
  <c r="AR144" i="1"/>
  <c r="AP144" i="1"/>
  <c r="AO144" i="1"/>
  <c r="Y144" i="1"/>
  <c r="W144" i="1"/>
  <c r="V144" i="1"/>
  <c r="C144" i="1"/>
  <c r="AR143" i="1"/>
  <c r="AP143" i="1"/>
  <c r="AO143" i="1"/>
  <c r="Y143" i="1"/>
  <c r="W143" i="1"/>
  <c r="V143" i="1"/>
  <c r="C143" i="1"/>
  <c r="AR142" i="1"/>
  <c r="AP142" i="1"/>
  <c r="AO142" i="1"/>
  <c r="Y142" i="1"/>
  <c r="W142" i="1"/>
  <c r="V142" i="1"/>
  <c r="C142" i="1"/>
  <c r="AR141" i="1"/>
  <c r="AP141" i="1"/>
  <c r="AO141" i="1"/>
  <c r="Y141" i="1"/>
  <c r="W141" i="1"/>
  <c r="V141" i="1"/>
  <c r="AJ8" i="4" s="1"/>
  <c r="C141" i="1"/>
  <c r="AR140" i="1"/>
  <c r="AP140" i="1"/>
  <c r="Y140" i="1"/>
  <c r="W140" i="1"/>
  <c r="V140" i="1"/>
  <c r="C140" i="1"/>
  <c r="AR139" i="1"/>
  <c r="AP139" i="1"/>
  <c r="AO139" i="1"/>
  <c r="Y139" i="1"/>
  <c r="W139" i="1"/>
  <c r="V139" i="1"/>
  <c r="C139" i="1"/>
  <c r="AR138" i="1"/>
  <c r="AP138" i="1"/>
  <c r="AO138" i="1"/>
  <c r="W138" i="1"/>
  <c r="V138" i="1"/>
  <c r="Y138" i="1" s="1"/>
  <c r="C138" i="1"/>
  <c r="AR137" i="1"/>
  <c r="AP137" i="1"/>
  <c r="AO137" i="1"/>
  <c r="W137" i="1"/>
  <c r="V137" i="1"/>
  <c r="Y137" i="1" s="1"/>
  <c r="C137" i="1"/>
  <c r="AR136" i="1"/>
  <c r="AP136" i="1"/>
  <c r="AO136" i="1"/>
  <c r="W136" i="1"/>
  <c r="V136" i="1"/>
  <c r="Y136" i="1" s="1"/>
  <c r="C136" i="1"/>
  <c r="AR135" i="1"/>
  <c r="AP135" i="1"/>
  <c r="AO135" i="1"/>
  <c r="W135" i="1"/>
  <c r="V135" i="1"/>
  <c r="Y135" i="1" s="1"/>
  <c r="C135" i="1"/>
  <c r="AR134" i="1"/>
  <c r="AP134" i="1"/>
  <c r="AO134" i="1"/>
  <c r="W134" i="1"/>
  <c r="V134" i="1"/>
  <c r="Y134" i="1" s="1"/>
  <c r="C134" i="1"/>
  <c r="AR133" i="1"/>
  <c r="AP133" i="1"/>
  <c r="AO133" i="1"/>
  <c r="W133" i="1"/>
  <c r="V133" i="1"/>
  <c r="Y133" i="1" s="1"/>
  <c r="C133" i="1"/>
  <c r="AR132" i="1"/>
  <c r="AP132" i="1"/>
  <c r="AO132" i="1"/>
  <c r="W132" i="1"/>
  <c r="V132" i="1"/>
  <c r="Y132" i="1" s="1"/>
  <c r="C132" i="1"/>
  <c r="AR131" i="1"/>
  <c r="AP131" i="1"/>
  <c r="AO131" i="1"/>
  <c r="W131" i="1"/>
  <c r="V131" i="1"/>
  <c r="Y131" i="1" s="1"/>
  <c r="C131" i="1"/>
  <c r="AR130" i="1"/>
  <c r="AP130" i="1"/>
  <c r="AO130" i="1"/>
  <c r="W130" i="1"/>
  <c r="V130" i="1"/>
  <c r="Y130" i="1" s="1"/>
  <c r="C130" i="1"/>
  <c r="AR129" i="1"/>
  <c r="AP129" i="1"/>
  <c r="AO129" i="1"/>
  <c r="W129" i="1"/>
  <c r="V129" i="1"/>
  <c r="Y129" i="1" s="1"/>
  <c r="C129" i="1"/>
  <c r="AR128" i="1"/>
  <c r="AP128" i="1"/>
  <c r="AO128" i="1"/>
  <c r="W128" i="1"/>
  <c r="V128" i="1"/>
  <c r="Y128" i="1" s="1"/>
  <c r="C128" i="1"/>
  <c r="AR127" i="1"/>
  <c r="AP127" i="1"/>
  <c r="AO127" i="1"/>
  <c r="W127" i="1"/>
  <c r="V127" i="1"/>
  <c r="Y127" i="1" s="1"/>
  <c r="C127" i="1"/>
  <c r="AR126" i="1"/>
  <c r="AP126" i="1"/>
  <c r="AO126" i="1"/>
  <c r="W126" i="1"/>
  <c r="V126" i="1"/>
  <c r="Y126" i="1" s="1"/>
  <c r="C126" i="1"/>
  <c r="AR125" i="1"/>
  <c r="AP125" i="1"/>
  <c r="AO125" i="1"/>
  <c r="W125" i="1"/>
  <c r="V125" i="1"/>
  <c r="Y125" i="1" s="1"/>
  <c r="C125" i="1"/>
  <c r="AR124" i="1"/>
  <c r="AP124" i="1"/>
  <c r="AO124" i="1"/>
  <c r="W124" i="1"/>
  <c r="V124" i="1"/>
  <c r="Y124" i="1" s="1"/>
  <c r="C124" i="1"/>
  <c r="AR123" i="1"/>
  <c r="AP123" i="1"/>
  <c r="AO123" i="1"/>
  <c r="W123" i="1"/>
  <c r="V123" i="1"/>
  <c r="Y123" i="1" s="1"/>
  <c r="C123" i="1"/>
  <c r="AR122" i="1"/>
  <c r="AP122" i="1"/>
  <c r="AO122" i="1"/>
  <c r="W122" i="1"/>
  <c r="V122" i="1"/>
  <c r="Y122" i="1" s="1"/>
  <c r="C122" i="1"/>
  <c r="AR121" i="1"/>
  <c r="AP121" i="1"/>
  <c r="AO121" i="1"/>
  <c r="W121" i="1"/>
  <c r="V121" i="1"/>
  <c r="Y121" i="1" s="1"/>
  <c r="C121" i="1"/>
  <c r="AR120" i="1"/>
  <c r="AP120" i="1"/>
  <c r="AO120" i="1"/>
  <c r="W120" i="1"/>
  <c r="V120" i="1"/>
  <c r="Y120" i="1" s="1"/>
  <c r="C120" i="1"/>
  <c r="AR119" i="1"/>
  <c r="AP119" i="1"/>
  <c r="AO119" i="1"/>
  <c r="W119" i="1"/>
  <c r="V119" i="1"/>
  <c r="Y119" i="1" s="1"/>
  <c r="C119" i="1"/>
  <c r="AR118" i="1"/>
  <c r="AP118" i="1"/>
  <c r="AO118" i="1"/>
  <c r="W118" i="1"/>
  <c r="V118" i="1"/>
  <c r="Y118" i="1" s="1"/>
  <c r="C118" i="1"/>
  <c r="AR117" i="1"/>
  <c r="AP117" i="1"/>
  <c r="AO117" i="1"/>
  <c r="W117" i="1"/>
  <c r="V117" i="1"/>
  <c r="Y117" i="1" s="1"/>
  <c r="C117" i="1"/>
  <c r="AR116" i="1"/>
  <c r="AP116" i="1"/>
  <c r="AO116" i="1"/>
  <c r="W116" i="1"/>
  <c r="U116" i="1"/>
  <c r="Y116" i="1" s="1"/>
  <c r="C116" i="1"/>
  <c r="AR115" i="1"/>
  <c r="AP115" i="1"/>
  <c r="AO115" i="1"/>
  <c r="AG115" i="1"/>
  <c r="W115" i="1"/>
  <c r="V115" i="1"/>
  <c r="Y115" i="1" s="1"/>
  <c r="C115" i="1"/>
  <c r="AR114" i="1"/>
  <c r="AP114" i="1"/>
  <c r="AO114" i="1"/>
  <c r="W114" i="1"/>
  <c r="V114" i="1"/>
  <c r="Y114" i="1" s="1"/>
  <c r="C114" i="1"/>
  <c r="AR113" i="1"/>
  <c r="AP113" i="1"/>
  <c r="AO113" i="1"/>
  <c r="W113" i="1"/>
  <c r="V113" i="1"/>
  <c r="Y113" i="1" s="1"/>
  <c r="C113" i="1"/>
  <c r="AR112" i="1"/>
  <c r="AP112" i="1"/>
  <c r="AO112" i="1"/>
  <c r="W112" i="1"/>
  <c r="V112" i="1"/>
  <c r="Y112" i="1" s="1"/>
  <c r="C112" i="1"/>
  <c r="AR111" i="1"/>
  <c r="AP111" i="1"/>
  <c r="AO111" i="1"/>
  <c r="AH111" i="1"/>
  <c r="AS111" i="1" s="1"/>
  <c r="W111" i="1"/>
  <c r="V111" i="1"/>
  <c r="Y111" i="1" s="1"/>
  <c r="C111" i="1"/>
  <c r="AR110" i="1"/>
  <c r="AP110" i="1"/>
  <c r="AO110" i="1"/>
  <c r="W110" i="1"/>
  <c r="V110" i="1"/>
  <c r="Y110" i="1" s="1"/>
  <c r="C110" i="1"/>
  <c r="AR109" i="1"/>
  <c r="AP109" i="1"/>
  <c r="AO109" i="1"/>
  <c r="W109" i="1"/>
  <c r="V109" i="1"/>
  <c r="Y109" i="1" s="1"/>
  <c r="C109" i="1"/>
  <c r="AR108" i="1"/>
  <c r="AP108" i="1"/>
  <c r="AO108" i="1"/>
  <c r="W108" i="1"/>
  <c r="V108" i="1"/>
  <c r="Y108" i="1" s="1"/>
  <c r="C108" i="1"/>
  <c r="AR107" i="1"/>
  <c r="AP107" i="1"/>
  <c r="AO107" i="1"/>
  <c r="AH107" i="1"/>
  <c r="W107" i="1"/>
  <c r="V107" i="1"/>
  <c r="Y107" i="1" s="1"/>
  <c r="C107" i="1"/>
  <c r="AR106" i="1"/>
  <c r="AP106" i="1"/>
  <c r="AO106" i="1"/>
  <c r="W106" i="1"/>
  <c r="V106" i="1"/>
  <c r="Y106" i="1" s="1"/>
  <c r="C106" i="1"/>
  <c r="AR105" i="1"/>
  <c r="AP105" i="1"/>
  <c r="AO105" i="1"/>
  <c r="W105" i="1"/>
  <c r="V105" i="1"/>
  <c r="Y105" i="1" s="1"/>
  <c r="C105" i="1"/>
  <c r="AR104" i="1"/>
  <c r="AP104" i="1"/>
  <c r="AO104" i="1"/>
  <c r="W104" i="1"/>
  <c r="V104" i="1"/>
  <c r="Y104" i="1" s="1"/>
  <c r="C104" i="1"/>
  <c r="AR103" i="1"/>
  <c r="AP103" i="1"/>
  <c r="AO103" i="1"/>
  <c r="W103" i="1"/>
  <c r="V103" i="1"/>
  <c r="Y103" i="1" s="1"/>
  <c r="C103" i="1"/>
  <c r="AR102" i="1"/>
  <c r="AP102" i="1"/>
  <c r="AO102" i="1"/>
  <c r="V102" i="1"/>
  <c r="Y102" i="1" s="1"/>
  <c r="C102" i="1"/>
  <c r="AR101" i="1"/>
  <c r="AP101" i="1"/>
  <c r="AO101" i="1"/>
  <c r="W101" i="1"/>
  <c r="V101" i="1"/>
  <c r="Y101" i="1" s="1"/>
  <c r="C101" i="1"/>
  <c r="AR100" i="1"/>
  <c r="AP100" i="1"/>
  <c r="AO100" i="1"/>
  <c r="W100" i="1"/>
  <c r="V100" i="1"/>
  <c r="Y100" i="1" s="1"/>
  <c r="C100" i="1"/>
  <c r="AR99" i="1"/>
  <c r="AP99" i="1"/>
  <c r="AO99" i="1"/>
  <c r="AH99" i="1"/>
  <c r="W99" i="1"/>
  <c r="V99" i="1"/>
  <c r="Y99" i="1" s="1"/>
  <c r="C99" i="1"/>
  <c r="AR98" i="1"/>
  <c r="AP98" i="1"/>
  <c r="AO98" i="1"/>
  <c r="W98" i="1"/>
  <c r="V98" i="1"/>
  <c r="Y98" i="1" s="1"/>
  <c r="C98" i="1"/>
  <c r="AR97" i="1"/>
  <c r="AP97" i="1"/>
  <c r="AO97" i="1"/>
  <c r="W97" i="1"/>
  <c r="V97" i="1"/>
  <c r="Y97" i="1" s="1"/>
  <c r="C97" i="1"/>
  <c r="AR96" i="1"/>
  <c r="AP96" i="1"/>
  <c r="AO96" i="1"/>
  <c r="W96" i="1"/>
  <c r="V96" i="1"/>
  <c r="Y96" i="1" s="1"/>
  <c r="C96" i="1"/>
  <c r="AR95" i="1"/>
  <c r="AP95" i="1"/>
  <c r="AO95" i="1"/>
  <c r="W95" i="1"/>
  <c r="V95" i="1"/>
  <c r="Y95" i="1" s="1"/>
  <c r="C95" i="1"/>
  <c r="AR94" i="1"/>
  <c r="AP94" i="1"/>
  <c r="AO94" i="1"/>
  <c r="W94" i="1"/>
  <c r="V94" i="1"/>
  <c r="Y94" i="1" s="1"/>
  <c r="C94" i="1"/>
  <c r="AR93" i="1"/>
  <c r="AP93" i="1"/>
  <c r="AO93" i="1"/>
  <c r="W93" i="1"/>
  <c r="V93" i="1"/>
  <c r="Y93" i="1" s="1"/>
  <c r="C93" i="1"/>
  <c r="AR92" i="1"/>
  <c r="AP92" i="1"/>
  <c r="AO92" i="1"/>
  <c r="W92" i="1"/>
  <c r="V92" i="1"/>
  <c r="Y92" i="1" s="1"/>
  <c r="C92" i="1"/>
  <c r="AR91" i="1"/>
  <c r="AP91" i="1"/>
  <c r="AO91" i="1"/>
  <c r="W91" i="1"/>
  <c r="V91" i="1"/>
  <c r="Y91" i="1" s="1"/>
  <c r="C91" i="1"/>
  <c r="AR90" i="1"/>
  <c r="AP90" i="1"/>
  <c r="AO90" i="1"/>
  <c r="W90" i="1"/>
  <c r="V90" i="1"/>
  <c r="Y90" i="1" s="1"/>
  <c r="C90" i="1"/>
  <c r="AR89" i="1"/>
  <c r="AP89" i="1"/>
  <c r="AO89" i="1"/>
  <c r="W89" i="1"/>
  <c r="V89" i="1"/>
  <c r="Y89" i="1" s="1"/>
  <c r="C89" i="1"/>
  <c r="AR88" i="1"/>
  <c r="AP88" i="1"/>
  <c r="AO88" i="1"/>
  <c r="W88" i="1"/>
  <c r="V88" i="1"/>
  <c r="Y88" i="1" s="1"/>
  <c r="C88" i="1"/>
  <c r="AR87" i="1"/>
  <c r="AP87" i="1"/>
  <c r="AO87" i="1"/>
  <c r="W87" i="1"/>
  <c r="V87" i="1"/>
  <c r="Y87" i="1" s="1"/>
  <c r="C87" i="1"/>
  <c r="AR86" i="1"/>
  <c r="AP86" i="1"/>
  <c r="AO86" i="1"/>
  <c r="W86" i="1"/>
  <c r="V86" i="1"/>
  <c r="Y86" i="1" s="1"/>
  <c r="C86" i="1"/>
  <c r="AR85" i="1"/>
  <c r="AP85" i="1"/>
  <c r="AO85" i="1"/>
  <c r="W85" i="1"/>
  <c r="V85" i="1"/>
  <c r="Y85" i="1" s="1"/>
  <c r="C85" i="1"/>
  <c r="AR84" i="1"/>
  <c r="AP84" i="1"/>
  <c r="AO84" i="1"/>
  <c r="W84" i="1"/>
  <c r="V84" i="1"/>
  <c r="Y84" i="1" s="1"/>
  <c r="C84" i="1"/>
  <c r="AR83" i="1"/>
  <c r="AP83" i="1"/>
  <c r="AO83" i="1"/>
  <c r="W83" i="1"/>
  <c r="V83" i="1"/>
  <c r="Y83" i="1" s="1"/>
  <c r="C83" i="1"/>
  <c r="V82" i="1"/>
  <c r="Y82" i="1" s="1"/>
  <c r="C82" i="1"/>
  <c r="AR81" i="1"/>
  <c r="AP81" i="1"/>
  <c r="AO81" i="1"/>
  <c r="W81" i="1"/>
  <c r="V81" i="1"/>
  <c r="Y81" i="1" s="1"/>
  <c r="C81" i="1"/>
  <c r="AR80" i="1"/>
  <c r="AP80" i="1"/>
  <c r="AO80" i="1"/>
  <c r="W80" i="1"/>
  <c r="V80" i="1"/>
  <c r="Y80" i="1" s="1"/>
  <c r="C80" i="1"/>
  <c r="AR79" i="1"/>
  <c r="AP79" i="1"/>
  <c r="AO79" i="1"/>
  <c r="W79" i="1"/>
  <c r="V79" i="1"/>
  <c r="Y79" i="1" s="1"/>
  <c r="C79" i="1"/>
  <c r="AR78" i="1"/>
  <c r="AP78" i="1"/>
  <c r="AO78" i="1"/>
  <c r="W78" i="1"/>
  <c r="V78" i="1"/>
  <c r="Y78" i="1" s="1"/>
  <c r="C78" i="1"/>
  <c r="AS77" i="1"/>
  <c r="AR77" i="1"/>
  <c r="AP77" i="1"/>
  <c r="AO77" i="1"/>
  <c r="W77" i="1"/>
  <c r="V77" i="1"/>
  <c r="Y77" i="1" s="1"/>
  <c r="C77" i="1"/>
  <c r="AR76" i="1"/>
  <c r="AP76" i="1"/>
  <c r="AO76" i="1"/>
  <c r="W76" i="1"/>
  <c r="V76" i="1"/>
  <c r="Y76" i="1" s="1"/>
  <c r="C76" i="1"/>
  <c r="AR75" i="1"/>
  <c r="AP75" i="1"/>
  <c r="AO75" i="1"/>
  <c r="W75" i="1"/>
  <c r="V75" i="1"/>
  <c r="Y75" i="1" s="1"/>
  <c r="C75" i="1"/>
  <c r="AR74" i="1"/>
  <c r="AP74" i="1"/>
  <c r="AO74" i="1"/>
  <c r="W74" i="1"/>
  <c r="V74" i="1"/>
  <c r="Y74" i="1" s="1"/>
  <c r="C74" i="1"/>
  <c r="AR73" i="1"/>
  <c r="AP73" i="1"/>
  <c r="AO73" i="1"/>
  <c r="W73" i="1"/>
  <c r="V73" i="1"/>
  <c r="Y73" i="1" s="1"/>
  <c r="C73" i="1"/>
  <c r="AR72" i="1"/>
  <c r="AP72" i="1"/>
  <c r="AO72" i="1"/>
  <c r="W72" i="1"/>
  <c r="V72" i="1"/>
  <c r="Y72" i="1" s="1"/>
  <c r="C72" i="1"/>
  <c r="AR71" i="1"/>
  <c r="AP71" i="1"/>
  <c r="AO71" i="1"/>
  <c r="W71" i="1"/>
  <c r="V71" i="1"/>
  <c r="Y71" i="1" s="1"/>
  <c r="C71" i="1"/>
  <c r="AR70" i="1"/>
  <c r="AP70" i="1"/>
  <c r="AO70" i="1"/>
  <c r="W70" i="1"/>
  <c r="V70" i="1"/>
  <c r="Y70" i="1" s="1"/>
  <c r="C70" i="1"/>
  <c r="AR69" i="1"/>
  <c r="AP69" i="1"/>
  <c r="AO69" i="1"/>
  <c r="W69" i="1"/>
  <c r="V69" i="1"/>
  <c r="Y69" i="1" s="1"/>
  <c r="C69" i="1"/>
  <c r="AR68" i="1"/>
  <c r="AP68" i="1"/>
  <c r="AO68" i="1"/>
  <c r="W68" i="1"/>
  <c r="V68" i="1"/>
  <c r="Y68" i="1" s="1"/>
  <c r="C68" i="1"/>
  <c r="AR67" i="1"/>
  <c r="AP67" i="1"/>
  <c r="AO67" i="1"/>
  <c r="W67" i="1"/>
  <c r="V67" i="1"/>
  <c r="Y67" i="1" s="1"/>
  <c r="C67" i="1"/>
  <c r="AR66" i="1"/>
  <c r="AP66" i="1"/>
  <c r="AO66" i="1"/>
  <c r="W66" i="1"/>
  <c r="V66" i="1"/>
  <c r="Y66" i="1" s="1"/>
  <c r="C66" i="1"/>
  <c r="AR64" i="1"/>
  <c r="AP64" i="1"/>
  <c r="AO64" i="1"/>
  <c r="V64" i="1"/>
  <c r="Y64" i="1" s="1"/>
  <c r="C64" i="1"/>
  <c r="AR63" i="1"/>
  <c r="AP63" i="1"/>
  <c r="AO63" i="1"/>
  <c r="W63" i="1"/>
  <c r="V63" i="1"/>
  <c r="C63" i="1"/>
  <c r="AR62" i="1"/>
  <c r="AP62" i="1"/>
  <c r="AO62" i="1"/>
  <c r="V62" i="1"/>
  <c r="Y62" i="1" s="1"/>
  <c r="C62" i="1"/>
  <c r="AR61" i="1"/>
  <c r="AP61" i="1"/>
  <c r="AO61" i="1"/>
  <c r="V61" i="1"/>
  <c r="Y61" i="1" s="1"/>
  <c r="C61" i="1"/>
  <c r="AR60" i="1"/>
  <c r="AP60" i="1"/>
  <c r="AO60" i="1"/>
  <c r="V60" i="1"/>
  <c r="Y60" i="1" s="1"/>
  <c r="C60" i="1"/>
  <c r="AR59" i="1"/>
  <c r="AP59" i="1"/>
  <c r="AO59" i="1"/>
  <c r="V59" i="1"/>
  <c r="Y59" i="1" s="1"/>
  <c r="C59" i="1"/>
  <c r="AR58" i="1"/>
  <c r="AP58" i="1"/>
  <c r="AO58" i="1"/>
  <c r="V58" i="1"/>
  <c r="Y58" i="1" s="1"/>
  <c r="C58" i="1"/>
  <c r="AR57" i="1"/>
  <c r="AP57" i="1"/>
  <c r="AO57" i="1"/>
  <c r="W57" i="1"/>
  <c r="V57" i="1"/>
  <c r="C57" i="1"/>
  <c r="AR56" i="1"/>
  <c r="AP56" i="1"/>
  <c r="AO56" i="1"/>
  <c r="W56" i="1"/>
  <c r="V56" i="1"/>
  <c r="C56" i="1"/>
  <c r="AS55" i="1"/>
  <c r="AR55" i="1"/>
  <c r="AP55" i="1"/>
  <c r="AO55" i="1"/>
  <c r="W55" i="1"/>
  <c r="V55" i="1"/>
  <c r="Y55" i="1" s="1"/>
  <c r="C55" i="1"/>
  <c r="AR54" i="1"/>
  <c r="AP54" i="1"/>
  <c r="AO54" i="1"/>
  <c r="W54" i="1"/>
  <c r="V54" i="1"/>
  <c r="Y54" i="1" s="1"/>
  <c r="C54" i="1"/>
  <c r="AR53" i="1"/>
  <c r="AP53" i="1"/>
  <c r="AO53" i="1"/>
  <c r="W53" i="1"/>
  <c r="V53" i="1"/>
  <c r="Y53" i="1" s="1"/>
  <c r="C53" i="1"/>
  <c r="AR52" i="1"/>
  <c r="AP52" i="1"/>
  <c r="AO52" i="1"/>
  <c r="W52" i="1"/>
  <c r="V52" i="1"/>
  <c r="Y52" i="1" s="1"/>
  <c r="C52" i="1"/>
  <c r="AR51" i="1"/>
  <c r="AP51" i="1"/>
  <c r="AO51" i="1"/>
  <c r="W51" i="1"/>
  <c r="V51" i="1"/>
  <c r="Y51" i="1" s="1"/>
  <c r="C51" i="1"/>
  <c r="AR50" i="1"/>
  <c r="AP50" i="1"/>
  <c r="AO50" i="1"/>
  <c r="W50" i="1"/>
  <c r="V50" i="1"/>
  <c r="Y50" i="1" s="1"/>
  <c r="C50" i="1"/>
  <c r="AR49" i="1"/>
  <c r="AP49" i="1"/>
  <c r="AO49" i="1"/>
  <c r="W49" i="1"/>
  <c r="V49" i="1"/>
  <c r="Y49" i="1" s="1"/>
  <c r="C49" i="1"/>
  <c r="AR48" i="1"/>
  <c r="AP48" i="1"/>
  <c r="AO48" i="1"/>
  <c r="W48" i="1"/>
  <c r="V48" i="1"/>
  <c r="Y48" i="1" s="1"/>
  <c r="C48" i="1"/>
  <c r="AR47" i="1"/>
  <c r="AP47" i="1"/>
  <c r="AO47" i="1"/>
  <c r="W47" i="1"/>
  <c r="V47" i="1"/>
  <c r="Y47" i="1" s="1"/>
  <c r="C47" i="1"/>
  <c r="AR46" i="1"/>
  <c r="AP46" i="1"/>
  <c r="AO46" i="1"/>
  <c r="W46" i="1"/>
  <c r="V46" i="1"/>
  <c r="Y46" i="1" s="1"/>
  <c r="C46" i="1"/>
  <c r="AR45" i="1"/>
  <c r="AP45" i="1"/>
  <c r="AO45" i="1"/>
  <c r="W45" i="1"/>
  <c r="V45" i="1"/>
  <c r="Y45" i="1" s="1"/>
  <c r="C45" i="1"/>
  <c r="AR44" i="1"/>
  <c r="AP44" i="1"/>
  <c r="AO44" i="1"/>
  <c r="W44" i="1"/>
  <c r="V44" i="1"/>
  <c r="Y44" i="1" s="1"/>
  <c r="C44" i="1"/>
  <c r="W43" i="1"/>
  <c r="AR42" i="1"/>
  <c r="AP42" i="1"/>
  <c r="AO42" i="1"/>
  <c r="W42" i="1"/>
  <c r="V42" i="1"/>
  <c r="Y42" i="1" s="1"/>
  <c r="C42" i="1"/>
  <c r="AR41" i="1"/>
  <c r="AP41" i="1"/>
  <c r="AO41" i="1"/>
  <c r="W41" i="1"/>
  <c r="V41" i="1"/>
  <c r="Y41" i="1" s="1"/>
  <c r="C41" i="1"/>
  <c r="AR40" i="1"/>
  <c r="AP40" i="1"/>
  <c r="AO40" i="1"/>
  <c r="W40" i="1"/>
  <c r="V40" i="1"/>
  <c r="Y40" i="1" s="1"/>
  <c r="C40" i="1"/>
  <c r="AR39" i="1"/>
  <c r="AP39" i="1"/>
  <c r="AO39" i="1"/>
  <c r="W39" i="1"/>
  <c r="V39" i="1"/>
  <c r="Y39" i="1" s="1"/>
  <c r="C39" i="1"/>
  <c r="AR38" i="1"/>
  <c r="AP38" i="1"/>
  <c r="AO38" i="1"/>
  <c r="W38" i="1"/>
  <c r="V38" i="1"/>
  <c r="Y38" i="1" s="1"/>
  <c r="C38" i="1"/>
  <c r="AR37" i="1"/>
  <c r="AP37" i="1"/>
  <c r="AO37" i="1"/>
  <c r="W37" i="1"/>
  <c r="V37" i="1"/>
  <c r="Y37" i="1" s="1"/>
  <c r="C37" i="1"/>
  <c r="AR36" i="1"/>
  <c r="AP36" i="1"/>
  <c r="AO36" i="1"/>
  <c r="W36" i="1"/>
  <c r="V36" i="1"/>
  <c r="Y36" i="1" s="1"/>
  <c r="C36" i="1"/>
  <c r="AR35" i="1"/>
  <c r="AP35" i="1"/>
  <c r="AO35" i="1"/>
  <c r="W35" i="1"/>
  <c r="V35" i="1"/>
  <c r="Y35" i="1" s="1"/>
  <c r="C35" i="1"/>
  <c r="AR34" i="1"/>
  <c r="AP34" i="1"/>
  <c r="AO34" i="1"/>
  <c r="W34" i="1"/>
  <c r="V34" i="1"/>
  <c r="Y34" i="1" s="1"/>
  <c r="C34" i="1"/>
  <c r="AR33" i="1"/>
  <c r="AP33" i="1"/>
  <c r="AO33" i="1"/>
  <c r="W33" i="1"/>
  <c r="V33" i="1"/>
  <c r="Y33" i="1" s="1"/>
  <c r="C33" i="1"/>
  <c r="AR32" i="1"/>
  <c r="AP32" i="1"/>
  <c r="AO32" i="1"/>
  <c r="W32" i="1"/>
  <c r="V32" i="1"/>
  <c r="Y32" i="1" s="1"/>
  <c r="C32" i="1"/>
  <c r="AR31" i="1"/>
  <c r="AP31" i="1"/>
  <c r="AO31" i="1"/>
  <c r="W31" i="1"/>
  <c r="V31" i="1"/>
  <c r="Y31" i="1" s="1"/>
  <c r="C31" i="1"/>
  <c r="AR30" i="1"/>
  <c r="AP30" i="1"/>
  <c r="AO30" i="1"/>
  <c r="W30" i="1"/>
  <c r="V30" i="1"/>
  <c r="Y30" i="1" s="1"/>
  <c r="C30" i="1"/>
  <c r="AR29" i="1"/>
  <c r="AP29" i="1"/>
  <c r="AO29" i="1"/>
  <c r="W29" i="1"/>
  <c r="V29" i="1"/>
  <c r="Y29" i="1" s="1"/>
  <c r="C29" i="1"/>
  <c r="AR28" i="1"/>
  <c r="AP28" i="1"/>
  <c r="AO28" i="1"/>
  <c r="W28" i="1"/>
  <c r="V28" i="1"/>
  <c r="Y28" i="1" s="1"/>
  <c r="C28" i="1"/>
  <c r="AR27" i="1"/>
  <c r="AP27" i="1"/>
  <c r="AO27" i="1"/>
  <c r="W27" i="1"/>
  <c r="V27" i="1"/>
  <c r="Y27" i="1" s="1"/>
  <c r="C27" i="1"/>
  <c r="AR26" i="1"/>
  <c r="AP26" i="1"/>
  <c r="AO26" i="1"/>
  <c r="W26" i="1"/>
  <c r="V26" i="1"/>
  <c r="Y26" i="1" s="1"/>
  <c r="C26" i="1"/>
  <c r="AR25" i="1"/>
  <c r="AP25" i="1"/>
  <c r="AO25" i="1"/>
  <c r="W25" i="1"/>
  <c r="V25" i="1"/>
  <c r="Y25" i="1" s="1"/>
  <c r="C25" i="1"/>
  <c r="AR24" i="1"/>
  <c r="AP24" i="1"/>
  <c r="AO24" i="1"/>
  <c r="W24" i="1"/>
  <c r="V24" i="1"/>
  <c r="Y24" i="1" s="1"/>
  <c r="C24" i="1"/>
  <c r="AR23" i="1"/>
  <c r="AP23" i="1"/>
  <c r="AO23" i="1"/>
  <c r="W23" i="1"/>
  <c r="V23" i="1"/>
  <c r="Y23" i="1" s="1"/>
  <c r="C23" i="1"/>
  <c r="AR22" i="1"/>
  <c r="AP22" i="1"/>
  <c r="AO22" i="1"/>
  <c r="W22" i="1"/>
  <c r="V22" i="1"/>
  <c r="Y22" i="1" s="1"/>
  <c r="C22" i="1"/>
  <c r="AR21" i="1"/>
  <c r="AP21" i="1"/>
  <c r="AO21" i="1"/>
  <c r="W21" i="1"/>
  <c r="V21" i="1"/>
  <c r="Y21" i="1" s="1"/>
  <c r="C21" i="1"/>
  <c r="AR20" i="1"/>
  <c r="AP20" i="1"/>
  <c r="AO20" i="1"/>
  <c r="W20" i="1"/>
  <c r="V20" i="1"/>
  <c r="Y20" i="1" s="1"/>
  <c r="C20" i="1"/>
  <c r="AR19" i="1"/>
  <c r="AP19" i="1"/>
  <c r="AO19" i="1"/>
  <c r="W19" i="1"/>
  <c r="V19" i="1"/>
  <c r="Y19" i="1" s="1"/>
  <c r="C19" i="1"/>
  <c r="AR18" i="1"/>
  <c r="AP18" i="1"/>
  <c r="AO18" i="1"/>
  <c r="W18" i="1"/>
  <c r="V18" i="1"/>
  <c r="Y18" i="1" s="1"/>
  <c r="C18" i="1"/>
  <c r="AR17" i="1"/>
  <c r="AP17" i="1"/>
  <c r="AO17" i="1"/>
  <c r="W17" i="1"/>
  <c r="V17" i="1"/>
  <c r="Y17" i="1" s="1"/>
  <c r="C17" i="1"/>
  <c r="AR16" i="1"/>
  <c r="AP16" i="1"/>
  <c r="AO16" i="1"/>
  <c r="W16" i="1"/>
  <c r="V16" i="1"/>
  <c r="Y16" i="1" s="1"/>
  <c r="C16" i="1"/>
  <c r="AR15" i="1"/>
  <c r="AP15" i="1"/>
  <c r="AO15" i="1"/>
  <c r="W15" i="1"/>
  <c r="V15" i="1"/>
  <c r="Y15" i="1" s="1"/>
  <c r="C15" i="1"/>
  <c r="AR14" i="1"/>
  <c r="AP14" i="1"/>
  <c r="AO14" i="1"/>
  <c r="W14" i="1"/>
  <c r="V14" i="1"/>
  <c r="Y14" i="1" s="1"/>
  <c r="C14" i="1"/>
  <c r="AR13" i="1"/>
  <c r="AP13" i="1"/>
  <c r="AO13" i="1"/>
  <c r="W13" i="1"/>
  <c r="V13" i="1"/>
  <c r="Y13" i="1" s="1"/>
  <c r="C13" i="1"/>
  <c r="AR12" i="1"/>
  <c r="AP12" i="1"/>
  <c r="AO12" i="1"/>
  <c r="Y12" i="1"/>
  <c r="W12" i="1"/>
  <c r="C12" i="1"/>
  <c r="AR11" i="1"/>
  <c r="AP11" i="1"/>
  <c r="AO11" i="1"/>
  <c r="W11" i="1"/>
  <c r="V11" i="1"/>
  <c r="Y11" i="1" s="1"/>
  <c r="C11" i="1"/>
  <c r="AR10" i="1"/>
  <c r="AP10" i="1"/>
  <c r="AO10" i="1"/>
  <c r="W10" i="1"/>
  <c r="V10" i="1"/>
  <c r="Y10" i="1" s="1"/>
  <c r="C10" i="1"/>
  <c r="AR9" i="1"/>
  <c r="AP9" i="1"/>
  <c r="AO9" i="1"/>
  <c r="W9" i="1"/>
  <c r="V9" i="1"/>
  <c r="Y9" i="1" s="1"/>
  <c r="C9" i="1"/>
  <c r="AR8" i="1"/>
  <c r="AP8" i="1"/>
  <c r="AO8" i="1"/>
  <c r="W8" i="1"/>
  <c r="V8" i="1"/>
  <c r="Y8" i="1" s="1"/>
  <c r="C8" i="1"/>
  <c r="AR7" i="1"/>
  <c r="AP7" i="1"/>
  <c r="AO7" i="1"/>
  <c r="W7" i="1"/>
  <c r="V7" i="1"/>
  <c r="Y7" i="1" s="1"/>
  <c r="C7" i="1"/>
  <c r="AR6" i="1"/>
  <c r="AP6" i="1"/>
  <c r="AO6" i="1"/>
  <c r="W6" i="1"/>
  <c r="V6" i="1"/>
  <c r="Y6" i="1" s="1"/>
  <c r="C6" i="1"/>
  <c r="AR5" i="1"/>
  <c r="AP5" i="1"/>
  <c r="AO5" i="1"/>
  <c r="W5" i="1"/>
  <c r="V5" i="1"/>
  <c r="Y5" i="1" s="1"/>
  <c r="C5" i="1"/>
  <c r="AR4" i="1"/>
  <c r="AP4" i="1"/>
  <c r="AO4" i="1"/>
  <c r="W4" i="1"/>
  <c r="V4" i="1"/>
  <c r="Y4" i="1" s="1"/>
  <c r="C4" i="1"/>
  <c r="AR3" i="1"/>
  <c r="AP3" i="1"/>
  <c r="AO3" i="1"/>
  <c r="W3" i="1"/>
  <c r="V3" i="1"/>
  <c r="C3" i="1"/>
  <c r="Y219" i="1" l="1"/>
  <c r="AX9" i="6"/>
  <c r="BV9" i="6"/>
  <c r="AR10" i="6"/>
  <c r="BD10" i="6"/>
  <c r="BP10" i="6"/>
  <c r="BY13" i="6"/>
  <c r="AU14" i="6"/>
  <c r="BG14" i="6"/>
  <c r="BM15" i="6"/>
  <c r="BA16" i="6"/>
  <c r="BM49" i="6"/>
  <c r="AR50" i="6"/>
  <c r="BV8" i="6"/>
  <c r="AR44" i="6"/>
  <c r="AR48" i="6"/>
  <c r="AU9" i="6"/>
  <c r="AX19" i="6"/>
  <c r="AU6" i="6"/>
  <c r="BS6" i="6"/>
  <c r="BA7" i="6"/>
  <c r="BM7" i="6"/>
  <c r="BY7" i="6"/>
  <c r="BS8" i="6"/>
  <c r="BS42" i="6"/>
  <c r="BY48" i="6"/>
  <c r="BP30" i="6"/>
  <c r="BJ31" i="6"/>
  <c r="AU44" i="6"/>
  <c r="BS44" i="6"/>
  <c r="AX45" i="6"/>
  <c r="BJ45" i="6"/>
  <c r="BV45" i="6"/>
  <c r="BA46" i="6"/>
  <c r="BM46" i="6"/>
  <c r="BD47" i="6"/>
  <c r="BJ32" i="6"/>
  <c r="BJ10" i="6"/>
  <c r="BM12" i="6"/>
  <c r="AU15" i="6"/>
  <c r="BY18" i="6"/>
  <c r="AU7" i="6"/>
  <c r="BG7" i="6"/>
  <c r="BD12" i="6"/>
  <c r="BJ26" i="6"/>
  <c r="AR27" i="6"/>
  <c r="BG17" i="6"/>
  <c r="BM28" i="6"/>
  <c r="AU31" i="6"/>
  <c r="BG9" i="6"/>
  <c r="BM10" i="6"/>
  <c r="BJ16" i="6"/>
  <c r="AX17" i="6"/>
  <c r="BJ17" i="6"/>
  <c r="BP18" i="6"/>
  <c r="AU19" i="6"/>
  <c r="AU22" i="6"/>
  <c r="BG23" i="6"/>
  <c r="BS23" i="6"/>
  <c r="BM24" i="6"/>
  <c r="BY24" i="6"/>
  <c r="AU25" i="6"/>
  <c r="BM26" i="6"/>
  <c r="BY26" i="6"/>
  <c r="BP33" i="6"/>
  <c r="AX34" i="6"/>
  <c r="BP37" i="6"/>
  <c r="AX38" i="6"/>
  <c r="AX40" i="6"/>
  <c r="BJ40" i="6"/>
  <c r="BA44" i="6"/>
  <c r="BM44" i="6"/>
  <c r="BY44" i="6"/>
  <c r="BD45" i="6"/>
  <c r="BG46" i="6"/>
  <c r="AU50" i="6"/>
  <c r="Y63" i="1"/>
  <c r="X63" i="1" s="1"/>
  <c r="BJ19" i="6"/>
  <c r="BD26" i="6"/>
  <c r="BJ29" i="6"/>
  <c r="AU49" i="6"/>
  <c r="BJ50" i="6"/>
  <c r="BD51" i="6"/>
  <c r="BV39" i="6"/>
  <c r="BJ41" i="6"/>
  <c r="BD43" i="6"/>
  <c r="BV12" i="6"/>
  <c r="AR19" i="6"/>
  <c r="BM22" i="6"/>
  <c r="BA23" i="6"/>
  <c r="BY23" i="6"/>
  <c r="CA26" i="6"/>
  <c r="BY33" i="6"/>
  <c r="AU34" i="6"/>
  <c r="BY35" i="6"/>
  <c r="AU36" i="6"/>
  <c r="BG36" i="6"/>
  <c r="BM37" i="6"/>
  <c r="BY37" i="6"/>
  <c r="AU38" i="6"/>
  <c r="BY39" i="6"/>
  <c r="AU40" i="6"/>
  <c r="BG40" i="6"/>
  <c r="BM41" i="6"/>
  <c r="BY41" i="6"/>
  <c r="BP42" i="6"/>
  <c r="AU43" i="6"/>
  <c r="BS15" i="6"/>
  <c r="AU16" i="6"/>
  <c r="BP27" i="6"/>
  <c r="BJ28" i="6"/>
  <c r="BD29" i="6"/>
  <c r="AX30" i="6"/>
  <c r="BP31" i="6"/>
  <c r="AU47" i="6"/>
  <c r="BM14" i="6"/>
  <c r="BS16" i="6"/>
  <c r="AU17" i="6"/>
  <c r="BA18" i="6"/>
  <c r="BM18" i="6"/>
  <c r="BD21" i="6"/>
  <c r="BP21" i="6"/>
  <c r="AR22" i="6"/>
  <c r="BD22" i="6"/>
  <c r="BP22" i="6"/>
  <c r="BP23" i="6"/>
  <c r="BD25" i="6"/>
  <c r="BM27" i="6"/>
  <c r="BM29" i="6"/>
  <c r="BY29" i="6"/>
  <c r="AU30" i="6"/>
  <c r="AX33" i="6"/>
  <c r="BP34" i="6"/>
  <c r="BJ35" i="6"/>
  <c r="AX37" i="6"/>
  <c r="BP38" i="6"/>
  <c r="BM43" i="6"/>
  <c r="BY43" i="6"/>
  <c r="BJ47" i="6"/>
  <c r="BV47" i="6"/>
  <c r="BP50" i="6"/>
  <c r="BY10" i="6"/>
  <c r="BA11" i="6"/>
  <c r="BP12" i="6"/>
  <c r="AX13" i="6"/>
  <c r="BJ13" i="6"/>
  <c r="BD14" i="6"/>
  <c r="BP14" i="6"/>
  <c r="AX15" i="6"/>
  <c r="BJ15" i="6"/>
  <c r="AX16" i="6"/>
  <c r="AM42" i="6"/>
  <c r="BY42" i="6"/>
  <c r="BP44" i="6"/>
  <c r="BG45" i="6"/>
  <c r="BS45" i="6"/>
  <c r="AX46" i="6"/>
  <c r="BJ46" i="6"/>
  <c r="BV46" i="6"/>
  <c r="BA47" i="6"/>
  <c r="BD49" i="6"/>
  <c r="BG50" i="6"/>
  <c r="V183" i="1"/>
  <c r="BG21" i="6"/>
  <c r="BS25" i="6"/>
  <c r="BA26" i="6"/>
  <c r="BD27" i="6"/>
  <c r="BV16" i="6"/>
  <c r="AR5" i="6"/>
  <c r="AX6" i="6"/>
  <c r="BJ6" i="6"/>
  <c r="BV6" i="6"/>
  <c r="BS11" i="6"/>
  <c r="BM16" i="6"/>
  <c r="BY16" i="6"/>
  <c r="AX21" i="6"/>
  <c r="BJ21" i="6"/>
  <c r="BJ22" i="6"/>
  <c r="BV22" i="6"/>
  <c r="BV25" i="6"/>
  <c r="AU27" i="6"/>
  <c r="BG27" i="6"/>
  <c r="BS27" i="6"/>
  <c r="BG29" i="6"/>
  <c r="BS29" i="6"/>
  <c r="AR31" i="6"/>
  <c r="BV34" i="6"/>
  <c r="AR35" i="6"/>
  <c r="BP35" i="6"/>
  <c r="BJ36" i="6"/>
  <c r="BV38" i="6"/>
  <c r="AR39" i="6"/>
  <c r="BD41" i="6"/>
  <c r="AU42" i="6"/>
  <c r="BG42" i="6"/>
  <c r="BG43" i="6"/>
  <c r="AR47" i="6"/>
  <c r="AU48" i="6"/>
  <c r="BS48" i="6"/>
  <c r="BS49" i="6"/>
  <c r="BD7" i="6"/>
  <c r="AX8" i="6"/>
  <c r="BJ8" i="6"/>
  <c r="BA9" i="6"/>
  <c r="BY9" i="6"/>
  <c r="BG10" i="6"/>
  <c r="BD13" i="6"/>
  <c r="BP13" i="6"/>
  <c r="BA30" i="6"/>
  <c r="BY30" i="6"/>
  <c r="BS31" i="6"/>
  <c r="BA32" i="6"/>
  <c r="Y57" i="1"/>
  <c r="X57" i="1" s="1"/>
  <c r="BA6" i="6"/>
  <c r="BY6" i="6"/>
  <c r="AX12" i="6"/>
  <c r="BP16" i="6"/>
  <c r="BD17" i="6"/>
  <c r="BA19" i="6"/>
  <c r="AU20" i="6"/>
  <c r="BG20" i="6"/>
  <c r="BS20" i="6"/>
  <c r="BY21" i="6"/>
  <c r="BG24" i="6"/>
  <c r="BS24" i="6"/>
  <c r="BG26" i="6"/>
  <c r="BS26" i="6"/>
  <c r="BM32" i="6"/>
  <c r="BG33" i="6"/>
  <c r="BS33" i="6"/>
  <c r="BA34" i="6"/>
  <c r="BM36" i="6"/>
  <c r="BG37" i="6"/>
  <c r="BS37" i="6"/>
  <c r="AU39" i="6"/>
  <c r="BS39" i="6"/>
  <c r="BA40" i="6"/>
  <c r="BM40" i="6"/>
  <c r="BG41" i="6"/>
  <c r="BS41" i="6"/>
  <c r="BD46" i="6"/>
  <c r="BP46" i="6"/>
  <c r="BG47" i="6"/>
  <c r="BJ51" i="6"/>
  <c r="AY52" i="6"/>
  <c r="AY55" i="6" s="1"/>
  <c r="CA13" i="6"/>
  <c r="CA21" i="6"/>
  <c r="AU24" i="6"/>
  <c r="BV27" i="6"/>
  <c r="AX51" i="6"/>
  <c r="BV51" i="6"/>
  <c r="Y56" i="1"/>
  <c r="X56" i="1" s="1"/>
  <c r="V188" i="1"/>
  <c r="V227" i="1"/>
  <c r="AZ52" i="6"/>
  <c r="BL52" i="6"/>
  <c r="BX52" i="6"/>
  <c r="BJ7" i="6"/>
  <c r="BS9" i="6"/>
  <c r="AX11" i="6"/>
  <c r="BM11" i="6"/>
  <c r="BY11" i="6"/>
  <c r="BY12" i="6"/>
  <c r="AU13" i="6"/>
  <c r="BS13" i="6"/>
  <c r="BA14" i="6"/>
  <c r="BP15" i="6"/>
  <c r="BD16" i="6"/>
  <c r="BY17" i="6"/>
  <c r="AU18" i="6"/>
  <c r="BG18" i="6"/>
  <c r="BM20" i="6"/>
  <c r="BY20" i="6"/>
  <c r="BS21" i="6"/>
  <c r="AX24" i="6"/>
  <c r="BJ25" i="6"/>
  <c r="AX29" i="6"/>
  <c r="AX32" i="6"/>
  <c r="BD33" i="6"/>
  <c r="BV35" i="6"/>
  <c r="CA36" i="6"/>
  <c r="BA38" i="6"/>
  <c r="BY38" i="6"/>
  <c r="BP39" i="6"/>
  <c r="BP45" i="6"/>
  <c r="BS46" i="6"/>
  <c r="AX48" i="6"/>
  <c r="BJ48" i="6"/>
  <c r="BV49" i="6"/>
  <c r="AX50" i="6"/>
  <c r="BS50" i="6"/>
  <c r="BA51" i="6"/>
  <c r="BM51" i="6"/>
  <c r="BY51" i="6"/>
  <c r="AM20" i="6"/>
  <c r="BD5" i="6"/>
  <c r="BY14" i="6"/>
  <c r="AR17" i="6"/>
  <c r="BM25" i="6"/>
  <c r="BJ37" i="6"/>
  <c r="BP41" i="6"/>
  <c r="BZ49" i="6"/>
  <c r="Y215" i="1"/>
  <c r="AS52" i="6"/>
  <c r="BQ52" i="6"/>
  <c r="BQ55" i="6" s="1"/>
  <c r="AM6" i="6"/>
  <c r="BP11" i="6"/>
  <c r="BG16" i="6"/>
  <c r="AX18" i="6"/>
  <c r="Y213" i="1"/>
  <c r="Y211" i="1"/>
  <c r="BG5" i="6"/>
  <c r="BR52" i="6"/>
  <c r="BS12" i="6"/>
  <c r="BS17" i="6"/>
  <c r="BV23" i="6"/>
  <c r="BV31" i="6"/>
  <c r="AX36" i="6"/>
  <c r="BJ39" i="6"/>
  <c r="AX42" i="6"/>
  <c r="CA48" i="6"/>
  <c r="BP48" i="6"/>
  <c r="BP49" i="6"/>
  <c r="BS51" i="6"/>
  <c r="V223" i="1"/>
  <c r="BH52" i="6"/>
  <c r="AR6" i="6"/>
  <c r="BP6" i="6"/>
  <c r="BS10" i="6"/>
  <c r="AU11" i="6"/>
  <c r="BJ12" i="6"/>
  <c r="BM13" i="6"/>
  <c r="BS14" i="6"/>
  <c r="BA15" i="6"/>
  <c r="BV15" i="6"/>
  <c r="BA22" i="6"/>
  <c r="BM23" i="6"/>
  <c r="BP24" i="6"/>
  <c r="BG25" i="6"/>
  <c r="AX27" i="6"/>
  <c r="BP29" i="6"/>
  <c r="BV30" i="6"/>
  <c r="BY31" i="6"/>
  <c r="BG32" i="6"/>
  <c r="BJ33" i="6"/>
  <c r="AU35" i="6"/>
  <c r="BS35" i="6"/>
  <c r="BA36" i="6"/>
  <c r="BD37" i="6"/>
  <c r="AX41" i="6"/>
  <c r="BA42" i="6"/>
  <c r="BM42" i="6"/>
  <c r="BA43" i="6"/>
  <c r="BJ43" i="6"/>
  <c r="BV43" i="6"/>
  <c r="AX44" i="6"/>
  <c r="BJ44" i="6"/>
  <c r="BV44" i="6"/>
  <c r="BA45" i="6"/>
  <c r="BM45" i="6"/>
  <c r="BY45" i="6"/>
  <c r="BG49" i="6"/>
  <c r="N134" i="9"/>
  <c r="AV13" i="4" s="1"/>
  <c r="P142" i="9"/>
  <c r="N191" i="9"/>
  <c r="BT40" i="4" s="1"/>
  <c r="P111" i="9"/>
  <c r="N143" i="9"/>
  <c r="AV6" i="5" s="1"/>
  <c r="N101" i="9"/>
  <c r="BW11" i="5" s="1"/>
  <c r="N105" i="9"/>
  <c r="P118" i="9"/>
  <c r="P260" i="9"/>
  <c r="P61" i="9"/>
  <c r="N82" i="9"/>
  <c r="BK10" i="4" s="1"/>
  <c r="P108" i="9"/>
  <c r="P131" i="9"/>
  <c r="G7" i="6"/>
  <c r="N120" i="9"/>
  <c r="BW11" i="4" s="1"/>
  <c r="N128" i="9"/>
  <c r="BH27" i="5" s="1"/>
  <c r="AQ52" i="6"/>
  <c r="BI52" i="6"/>
  <c r="BU52" i="6"/>
  <c r="BA8" i="6"/>
  <c r="BZ12" i="6"/>
  <c r="AR12" i="6"/>
  <c r="BV20" i="6"/>
  <c r="Y203" i="1"/>
  <c r="BK54" i="6"/>
  <c r="V221" i="1"/>
  <c r="Y229" i="1"/>
  <c r="BB54" i="6"/>
  <c r="Y217" i="1"/>
  <c r="Y218" i="1"/>
  <c r="P64" i="9"/>
  <c r="P164" i="9"/>
  <c r="BB52" i="6"/>
  <c r="BK52" i="6"/>
  <c r="BW52" i="6"/>
  <c r="BY52" i="6" s="1"/>
  <c r="AR7" i="6"/>
  <c r="AR8" i="6"/>
  <c r="BM8" i="6"/>
  <c r="BD11" i="6"/>
  <c r="CA14" i="6"/>
  <c r="BA20" i="6"/>
  <c r="BZ42" i="6"/>
  <c r="AR42" i="6"/>
  <c r="AU46" i="6"/>
  <c r="CA9" i="6"/>
  <c r="BV19" i="6"/>
  <c r="BZ20" i="6"/>
  <c r="CD20" i="6" s="1"/>
  <c r="BS22" i="6"/>
  <c r="AU23" i="6"/>
  <c r="BG28" i="6"/>
  <c r="AS83" i="1"/>
  <c r="P110" i="9"/>
  <c r="N241" i="9"/>
  <c r="CA5" i="6"/>
  <c r="BD6" i="6"/>
  <c r="BZ7" i="6"/>
  <c r="CD7" i="6" s="1"/>
  <c r="V207" i="1"/>
  <c r="N133" i="9"/>
  <c r="BE13" i="4" s="1"/>
  <c r="Y205" i="1"/>
  <c r="Y206" i="1"/>
  <c r="P114" i="9"/>
  <c r="N118" i="9"/>
  <c r="AY12" i="4" s="1"/>
  <c r="N221" i="9"/>
  <c r="AU5" i="6"/>
  <c r="BO52" i="6"/>
  <c r="BG6" i="6"/>
  <c r="BP7" i="6"/>
  <c r="CA8" i="6"/>
  <c r="AR13" i="6"/>
  <c r="AM18" i="6"/>
  <c r="BJ18" i="6"/>
  <c r="AX22" i="6"/>
  <c r="BH54" i="6"/>
  <c r="V231" i="1"/>
  <c r="N63" i="9"/>
  <c r="AV8" i="4" s="1"/>
  <c r="P147" i="9"/>
  <c r="N239" i="9"/>
  <c r="N250" i="9"/>
  <c r="BS7" i="6"/>
  <c r="AM8" i="6"/>
  <c r="BM21" i="6"/>
  <c r="BY34" i="6"/>
  <c r="M7" i="6"/>
  <c r="Y228" i="1"/>
  <c r="BZ6" i="6"/>
  <c r="CD6" i="6" s="1"/>
  <c r="BZ16" i="6"/>
  <c r="BZ21" i="6"/>
  <c r="CD21" i="6" s="1"/>
  <c r="AR21" i="6"/>
  <c r="BV11" i="6"/>
  <c r="BG13" i="6"/>
  <c r="AX14" i="6"/>
  <c r="BJ14" i="6"/>
  <c r="BM17" i="6"/>
  <c r="BD18" i="6"/>
  <c r="BP19" i="6"/>
  <c r="CA22" i="6"/>
  <c r="BY22" i="6"/>
  <c r="BA24" i="6"/>
  <c r="BV24" i="6"/>
  <c r="BA25" i="6"/>
  <c r="BV26" i="6"/>
  <c r="BJ27" i="6"/>
  <c r="BA28" i="6"/>
  <c r="CA31" i="6"/>
  <c r="CA39" i="6"/>
  <c r="CA40" i="6"/>
  <c r="BD42" i="6"/>
  <c r="AR43" i="6"/>
  <c r="CA44" i="6"/>
  <c r="AM46" i="6"/>
  <c r="CA46" i="6"/>
  <c r="CA50" i="6"/>
  <c r="BM50" i="6"/>
  <c r="BV50" i="6"/>
  <c r="AR51" i="6"/>
  <c r="BZ46" i="6"/>
  <c r="CA51" i="6"/>
  <c r="AM10" i="4"/>
  <c r="AM20" i="4"/>
  <c r="BV14" i="6"/>
  <c r="BZ15" i="6"/>
  <c r="CD15" i="6" s="1"/>
  <c r="BZ17" i="6"/>
  <c r="AM19" i="6"/>
  <c r="BG19" i="6"/>
  <c r="BZ23" i="6"/>
  <c r="AR24" i="6"/>
  <c r="AR25" i="6"/>
  <c r="BA27" i="6"/>
  <c r="BD28" i="6"/>
  <c r="BV28" i="6"/>
  <c r="BD30" i="6"/>
  <c r="BD31" i="6"/>
  <c r="BP32" i="6"/>
  <c r="BJ34" i="6"/>
  <c r="AX35" i="6"/>
  <c r="BV36" i="6"/>
  <c r="AR37" i="6"/>
  <c r="BD38" i="6"/>
  <c r="BD39" i="6"/>
  <c r="BP40" i="6"/>
  <c r="BP43" i="6"/>
  <c r="BD44" i="6"/>
  <c r="AR45" i="6"/>
  <c r="AX49" i="6"/>
  <c r="BD50" i="6"/>
  <c r="BY50" i="6"/>
  <c r="AU51" i="6"/>
  <c r="AM13" i="4"/>
  <c r="AM8" i="5"/>
  <c r="CA7" i="6"/>
  <c r="BP8" i="6"/>
  <c r="BY8" i="6"/>
  <c r="BD9" i="6"/>
  <c r="BP9" i="6"/>
  <c r="AU10" i="6"/>
  <c r="BA13" i="6"/>
  <c r="BV13" i="6"/>
  <c r="BZ14" i="6"/>
  <c r="CD14" i="6" s="1"/>
  <c r="CA15" i="6"/>
  <c r="BD15" i="6"/>
  <c r="BY15" i="6"/>
  <c r="BP17" i="6"/>
  <c r="BS18" i="6"/>
  <c r="BS19" i="6"/>
  <c r="AX20" i="6"/>
  <c r="BJ20" i="6"/>
  <c r="BA21" i="6"/>
  <c r="BV21" i="6"/>
  <c r="BG22" i="6"/>
  <c r="CA23" i="6"/>
  <c r="BD23" i="6"/>
  <c r="BZ24" i="6"/>
  <c r="CD24" i="6" s="1"/>
  <c r="BD24" i="6"/>
  <c r="BZ25" i="6"/>
  <c r="BY25" i="6"/>
  <c r="AU26" i="6"/>
  <c r="BP26" i="6"/>
  <c r="BY28" i="6"/>
  <c r="AU29" i="6"/>
  <c r="BS30" i="6"/>
  <c r="BG31" i="6"/>
  <c r="BA33" i="6"/>
  <c r="BV33" i="6"/>
  <c r="AM34" i="6"/>
  <c r="BM34" i="6"/>
  <c r="AM35" i="6"/>
  <c r="BZ35" i="6"/>
  <c r="BA35" i="6"/>
  <c r="BM35" i="6"/>
  <c r="BD36" i="6"/>
  <c r="BY36" i="6"/>
  <c r="AU37" i="6"/>
  <c r="BG38" i="6"/>
  <c r="BS38" i="6"/>
  <c r="BG39" i="6"/>
  <c r="BS40" i="6"/>
  <c r="BA41" i="6"/>
  <c r="BV41" i="6"/>
  <c r="BJ42" i="6"/>
  <c r="AX43" i="6"/>
  <c r="BS43" i="6"/>
  <c r="BG44" i="6"/>
  <c r="AU45" i="6"/>
  <c r="AR46" i="6"/>
  <c r="BY46" i="6"/>
  <c r="BZ47" i="6"/>
  <c r="BM47" i="6"/>
  <c r="BY47" i="6"/>
  <c r="BZ48" i="6"/>
  <c r="BA48" i="6"/>
  <c r="BM48" i="6"/>
  <c r="BV48" i="6"/>
  <c r="AM50" i="6"/>
  <c r="BG51" i="6"/>
  <c r="BP51" i="6"/>
  <c r="BY27" i="6"/>
  <c r="AU28" i="6"/>
  <c r="BA49" i="6"/>
  <c r="BJ49" i="6"/>
  <c r="AM7" i="4"/>
  <c r="AM26" i="4"/>
  <c r="AM30" i="4"/>
  <c r="AM34" i="4"/>
  <c r="B65" i="8"/>
  <c r="B69" i="8" s="1"/>
  <c r="BG15" i="6"/>
  <c r="CA16" i="6"/>
  <c r="BV18" i="6"/>
  <c r="AM25" i="6"/>
  <c r="BP25" i="6"/>
  <c r="AX26" i="6"/>
  <c r="BP28" i="6"/>
  <c r="BJ30" i="6"/>
  <c r="AM31" i="6"/>
  <c r="AX31" i="6"/>
  <c r="BV32" i="6"/>
  <c r="BD34" i="6"/>
  <c r="BD35" i="6"/>
  <c r="BP36" i="6"/>
  <c r="BJ38" i="6"/>
  <c r="AM39" i="6"/>
  <c r="AX39" i="6"/>
  <c r="BV40" i="6"/>
  <c r="AR41" i="6"/>
  <c r="CA42" i="6"/>
  <c r="BV42" i="6"/>
  <c r="AM44" i="6"/>
  <c r="BP47" i="6"/>
  <c r="BD48" i="6"/>
  <c r="AR49" i="6"/>
  <c r="AM11" i="4"/>
  <c r="AM16" i="4"/>
  <c r="K15" i="8"/>
  <c r="K16" i="8"/>
  <c r="BJ9" i="6"/>
  <c r="BA10" i="6"/>
  <c r="BV10" i="6"/>
  <c r="BJ11" i="6"/>
  <c r="AU12" i="6"/>
  <c r="BA17" i="6"/>
  <c r="BV17" i="6"/>
  <c r="BZ18" i="6"/>
  <c r="CD18" i="6" s="1"/>
  <c r="CA19" i="6"/>
  <c r="BZ19" i="6"/>
  <c r="CD19" i="6" s="1"/>
  <c r="BM19" i="6"/>
  <c r="BY19" i="6"/>
  <c r="BD20" i="6"/>
  <c r="BP20" i="6"/>
  <c r="AU21" i="6"/>
  <c r="BZ22" i="6"/>
  <c r="CB22" i="6" s="1"/>
  <c r="AX23" i="6"/>
  <c r="BJ23" i="6"/>
  <c r="BJ24" i="6"/>
  <c r="CA25" i="6"/>
  <c r="AX28" i="6"/>
  <c r="BA29" i="6"/>
  <c r="BV29" i="6"/>
  <c r="BM30" i="6"/>
  <c r="BZ31" i="6"/>
  <c r="BA31" i="6"/>
  <c r="BM31" i="6"/>
  <c r="BD32" i="6"/>
  <c r="BY32" i="6"/>
  <c r="AU33" i="6"/>
  <c r="BG34" i="6"/>
  <c r="BS34" i="6"/>
  <c r="BG35" i="6"/>
  <c r="BS36" i="6"/>
  <c r="BA37" i="6"/>
  <c r="BV37" i="6"/>
  <c r="AM38" i="6"/>
  <c r="BZ38" i="6"/>
  <c r="BM38" i="6"/>
  <c r="BZ39" i="6"/>
  <c r="BA39" i="6"/>
  <c r="BM39" i="6"/>
  <c r="BD40" i="6"/>
  <c r="BY40" i="6"/>
  <c r="AU41" i="6"/>
  <c r="BZ44" i="6"/>
  <c r="CB44" i="6" s="1"/>
  <c r="AX47" i="6"/>
  <c r="BS47" i="6"/>
  <c r="AM48" i="6"/>
  <c r="BG48" i="6"/>
  <c r="BY49" i="6"/>
  <c r="BZ50" i="6"/>
  <c r="BA50" i="6"/>
  <c r="AM15" i="4"/>
  <c r="AM25" i="4"/>
  <c r="AM29" i="4"/>
  <c r="AM33" i="4"/>
  <c r="E42" i="8"/>
  <c r="BE13" i="5"/>
  <c r="AP4" i="5"/>
  <c r="BB6" i="5"/>
  <c r="BW6" i="5"/>
  <c r="N144" i="9"/>
  <c r="BK14" i="4" s="1"/>
  <c r="BN8" i="5"/>
  <c r="BW14" i="4"/>
  <c r="CU36" i="4"/>
  <c r="BZ5" i="5"/>
  <c r="BZ17" i="5"/>
  <c r="CU21" i="4"/>
  <c r="CU22" i="4"/>
  <c r="CU27" i="4"/>
  <c r="CU31" i="4"/>
  <c r="AP5" i="4"/>
  <c r="BT13" i="4"/>
  <c r="CU38" i="4"/>
  <c r="CU44" i="4"/>
  <c r="BE14" i="4"/>
  <c r="CU37" i="4"/>
  <c r="CU9" i="4"/>
  <c r="CY9" i="4" s="1"/>
  <c r="CU47" i="4"/>
  <c r="BK7" i="4"/>
  <c r="CU7" i="4" s="1"/>
  <c r="CY7" i="4" s="1"/>
  <c r="BH6" i="5"/>
  <c r="CU45" i="4"/>
  <c r="BT6" i="5"/>
  <c r="CU25" i="4"/>
  <c r="CU26" i="4"/>
  <c r="CU28" i="4"/>
  <c r="CU29" i="4"/>
  <c r="CU30" i="4"/>
  <c r="CU32" i="4"/>
  <c r="CU33" i="4"/>
  <c r="BZ24" i="5"/>
  <c r="BE54" i="6"/>
  <c r="Y208" i="1"/>
  <c r="AY18" i="5"/>
  <c r="AY43" i="4"/>
  <c r="BH18" i="5"/>
  <c r="BH43" i="4"/>
  <c r="BQ18" i="5"/>
  <c r="BQ27" i="5"/>
  <c r="BQ50" i="4"/>
  <c r="BQ43" i="4"/>
  <c r="BH7" i="5"/>
  <c r="BH6" i="4"/>
  <c r="AS7" i="5"/>
  <c r="BH11" i="5"/>
  <c r="BH14" i="4"/>
  <c r="AY13" i="5"/>
  <c r="AY39" i="4"/>
  <c r="AV13" i="5"/>
  <c r="AV39" i="4"/>
  <c r="M666" i="9"/>
  <c r="S5" i="6"/>
  <c r="AB5" i="6"/>
  <c r="AK5" i="6"/>
  <c r="BJ5" i="6"/>
  <c r="CA6" i="6"/>
  <c r="V7" i="6"/>
  <c r="P8" i="6"/>
  <c r="G9" i="6"/>
  <c r="S9" i="6"/>
  <c r="Y10" i="6"/>
  <c r="V187" i="1"/>
  <c r="Y187" i="1" s="1"/>
  <c r="V208" i="1"/>
  <c r="V209" i="1"/>
  <c r="V220" i="1"/>
  <c r="V230" i="1"/>
  <c r="BE11" i="5"/>
  <c r="BE40" i="4"/>
  <c r="N28" i="9"/>
  <c r="BQ6" i="5"/>
  <c r="BQ24" i="4"/>
  <c r="CU24" i="4" s="1"/>
  <c r="C52" i="6"/>
  <c r="C55" i="6" s="1"/>
  <c r="L52" i="6"/>
  <c r="L55" i="6" s="1"/>
  <c r="AT52" i="6"/>
  <c r="BC52" i="6"/>
  <c r="BS5" i="6"/>
  <c r="AB6" i="6"/>
  <c r="AK6" i="6"/>
  <c r="BM6" i="6"/>
  <c r="G8" i="6"/>
  <c r="AE8" i="6"/>
  <c r="BD8" i="6"/>
  <c r="BZ10" i="6"/>
  <c r="P13" i="6"/>
  <c r="M5" i="6"/>
  <c r="AB10" i="6"/>
  <c r="V200" i="1"/>
  <c r="V201" i="1"/>
  <c r="Y210" i="1"/>
  <c r="V212" i="1"/>
  <c r="V222" i="1"/>
  <c r="Y230" i="1"/>
  <c r="V232" i="1"/>
  <c r="Y232" i="1" s="1"/>
  <c r="BB11" i="5"/>
  <c r="BB40" i="4"/>
  <c r="BK6" i="5"/>
  <c r="BK5" i="4"/>
  <c r="N29" i="9"/>
  <c r="BN7" i="5" s="1"/>
  <c r="N45" i="9"/>
  <c r="AV6" i="4" s="1"/>
  <c r="BT11" i="5"/>
  <c r="BT8" i="4"/>
  <c r="N59" i="9"/>
  <c r="AS8" i="4" s="1"/>
  <c r="BH10" i="4"/>
  <c r="N99" i="9"/>
  <c r="BW6" i="4" s="1"/>
  <c r="N102" i="9"/>
  <c r="BW8" i="5" s="1"/>
  <c r="BH12" i="4"/>
  <c r="N119" i="9"/>
  <c r="BK12" i="4" s="1"/>
  <c r="N122" i="9"/>
  <c r="AV12" i="4" s="1"/>
  <c r="P224" i="9"/>
  <c r="V5" i="6"/>
  <c r="AE5" i="6"/>
  <c r="AV52" i="6"/>
  <c r="AX5" i="6"/>
  <c r="BE52" i="6"/>
  <c r="BM5" i="6"/>
  <c r="Y7" i="6"/>
  <c r="AX7" i="6"/>
  <c r="V8" i="6"/>
  <c r="AH8" i="6"/>
  <c r="AU8" i="6"/>
  <c r="BG8" i="6"/>
  <c r="AM9" i="6"/>
  <c r="AM10" i="6"/>
  <c r="AM13" i="6"/>
  <c r="BZ13" i="6"/>
  <c r="AV8" i="5"/>
  <c r="BT41" i="4"/>
  <c r="U52" i="6"/>
  <c r="U55" i="6" s="1"/>
  <c r="P10" i="6"/>
  <c r="CA10" i="6"/>
  <c r="BQ7" i="5"/>
  <c r="BQ8" i="4"/>
  <c r="AP27" i="5"/>
  <c r="AP6" i="5"/>
  <c r="AP50" i="4"/>
  <c r="AP18" i="4"/>
  <c r="AP13" i="5"/>
  <c r="AP19" i="4"/>
  <c r="CU19" i="4" s="1"/>
  <c r="BT13" i="5"/>
  <c r="BT39" i="4"/>
  <c r="BK8" i="5"/>
  <c r="BK46" i="4"/>
  <c r="CU46" i="4" s="1"/>
  <c r="BT18" i="5"/>
  <c r="BT43" i="4"/>
  <c r="N229" i="9"/>
  <c r="F52" i="6"/>
  <c r="F55" i="6" s="1"/>
  <c r="O52" i="6"/>
  <c r="O55" i="6" s="1"/>
  <c r="AW52" i="6"/>
  <c r="D6" i="6"/>
  <c r="M6" i="6"/>
  <c r="V6" i="6"/>
  <c r="AE6" i="6"/>
  <c r="AM7" i="6"/>
  <c r="J8" i="6"/>
  <c r="BZ8" i="6"/>
  <c r="D10" i="6"/>
  <c r="BE8" i="5"/>
  <c r="J6" i="6"/>
  <c r="AK7" i="6"/>
  <c r="AV18" i="5"/>
  <c r="AV43" i="4"/>
  <c r="AV54" i="6"/>
  <c r="V161" i="1"/>
  <c r="V204" i="1"/>
  <c r="V214" i="1"/>
  <c r="Y214" i="1" s="1"/>
  <c r="V224" i="1"/>
  <c r="V225" i="1"/>
  <c r="AS18" i="4"/>
  <c r="AV15" i="4"/>
  <c r="N81" i="9"/>
  <c r="AY10" i="4" s="1"/>
  <c r="BH13" i="5"/>
  <c r="BH35" i="4"/>
  <c r="BQ8" i="5"/>
  <c r="BQ41" i="4"/>
  <c r="G5" i="6"/>
  <c r="P5" i="6"/>
  <c r="X52" i="6"/>
  <c r="X55" i="6" s="1"/>
  <c r="AG52" i="6"/>
  <c r="AG55" i="6" s="1"/>
  <c r="BZ9" i="6"/>
  <c r="BZ11" i="6"/>
  <c r="AY4" i="5"/>
  <c r="AY8" i="4"/>
  <c r="AS13" i="5"/>
  <c r="AS39" i="4"/>
  <c r="AS18" i="5"/>
  <c r="AS43" i="4"/>
  <c r="AJ6" i="5"/>
  <c r="AM6" i="5" s="1"/>
  <c r="AJ5" i="4"/>
  <c r="AM5" i="4" s="1"/>
  <c r="AH51" i="6"/>
  <c r="J51" i="6"/>
  <c r="AB49" i="6"/>
  <c r="AB47" i="6"/>
  <c r="AB45" i="6"/>
  <c r="AB43" i="6"/>
  <c r="AB41" i="6"/>
  <c r="D41" i="6"/>
  <c r="AH40" i="6"/>
  <c r="J40" i="6"/>
  <c r="P39" i="6"/>
  <c r="V38" i="6"/>
  <c r="AB37" i="6"/>
  <c r="D37" i="6"/>
  <c r="AH36" i="6"/>
  <c r="J36" i="6"/>
  <c r="P35" i="6"/>
  <c r="V34" i="6"/>
  <c r="AB33" i="6"/>
  <c r="D33" i="6"/>
  <c r="AH32" i="6"/>
  <c r="J32" i="6"/>
  <c r="P31" i="6"/>
  <c r="V30" i="6"/>
  <c r="AB29" i="6"/>
  <c r="D29" i="6"/>
  <c r="AH28" i="6"/>
  <c r="J28" i="6"/>
  <c r="P27" i="6"/>
  <c r="V26" i="6"/>
  <c r="BZ54" i="6"/>
  <c r="Y51" i="6"/>
  <c r="AE50" i="6"/>
  <c r="AE48" i="6"/>
  <c r="AE46" i="6"/>
  <c r="AE44" i="6"/>
  <c r="AE42" i="6"/>
  <c r="S41" i="6"/>
  <c r="Y40" i="6"/>
  <c r="AE39" i="6"/>
  <c r="G39" i="6"/>
  <c r="AK38" i="6"/>
  <c r="M38" i="6"/>
  <c r="BW54" i="6"/>
  <c r="P51" i="6"/>
  <c r="V50" i="6"/>
  <c r="AH49" i="6"/>
  <c r="V48" i="6"/>
  <c r="AH47" i="6"/>
  <c r="V46" i="6"/>
  <c r="AH45" i="6"/>
  <c r="V44" i="6"/>
  <c r="AH43" i="6"/>
  <c r="V42" i="6"/>
  <c r="AH41" i="6"/>
  <c r="J41" i="6"/>
  <c r="P40" i="6"/>
  <c r="V39" i="6"/>
  <c r="AB38" i="6"/>
  <c r="D38" i="6"/>
  <c r="AH37" i="6"/>
  <c r="J37" i="6"/>
  <c r="P36" i="6"/>
  <c r="V35" i="6"/>
  <c r="AB34" i="6"/>
  <c r="D34" i="6"/>
  <c r="AH33" i="6"/>
  <c r="J33" i="6"/>
  <c r="P32" i="6"/>
  <c r="V31" i="6"/>
  <c r="AB30" i="6"/>
  <c r="D30" i="6"/>
  <c r="AH29" i="6"/>
  <c r="J29" i="6"/>
  <c r="P28" i="6"/>
  <c r="V27" i="6"/>
  <c r="AB26" i="6"/>
  <c r="D26" i="6"/>
  <c r="AH25" i="6"/>
  <c r="AE51" i="6"/>
  <c r="G51" i="6"/>
  <c r="AK50" i="6"/>
  <c r="Y49" i="6"/>
  <c r="AK48" i="6"/>
  <c r="Y47" i="6"/>
  <c r="AK46" i="6"/>
  <c r="Y45" i="6"/>
  <c r="AK44" i="6"/>
  <c r="Y43" i="6"/>
  <c r="AK42" i="6"/>
  <c r="Y41" i="6"/>
  <c r="AE40" i="6"/>
  <c r="G40" i="6"/>
  <c r="AK39" i="6"/>
  <c r="M39" i="6"/>
  <c r="S38" i="6"/>
  <c r="Y37" i="6"/>
  <c r="AE36" i="6"/>
  <c r="G36" i="6"/>
  <c r="AK35" i="6"/>
  <c r="M35" i="6"/>
  <c r="S34" i="6"/>
  <c r="Y33" i="6"/>
  <c r="AE32" i="6"/>
  <c r="G32" i="6"/>
  <c r="AK31" i="6"/>
  <c r="M31" i="6"/>
  <c r="S30" i="6"/>
  <c r="Y29" i="6"/>
  <c r="AE28" i="6"/>
  <c r="G28" i="6"/>
  <c r="AK27" i="6"/>
  <c r="M27" i="6"/>
  <c r="S26" i="6"/>
  <c r="V51" i="6"/>
  <c r="AB50" i="6"/>
  <c r="AB48" i="6"/>
  <c r="AB46" i="6"/>
  <c r="AB44" i="6"/>
  <c r="AB42" i="6"/>
  <c r="P41" i="6"/>
  <c r="V40" i="6"/>
  <c r="AB39" i="6"/>
  <c r="D39" i="6"/>
  <c r="AH38" i="6"/>
  <c r="J38" i="6"/>
  <c r="P37" i="6"/>
  <c r="V36" i="6"/>
  <c r="AB35" i="6"/>
  <c r="D35" i="6"/>
  <c r="AH34" i="6"/>
  <c r="AK51" i="6"/>
  <c r="M51" i="6"/>
  <c r="AE49" i="6"/>
  <c r="AE47" i="6"/>
  <c r="AE45" i="6"/>
  <c r="AE43" i="6"/>
  <c r="AE41" i="6"/>
  <c r="G41" i="6"/>
  <c r="AK40" i="6"/>
  <c r="M40" i="6"/>
  <c r="S39" i="6"/>
  <c r="Y38" i="6"/>
  <c r="AE37" i="6"/>
  <c r="G37" i="6"/>
  <c r="AK36" i="6"/>
  <c r="M36" i="6"/>
  <c r="S35" i="6"/>
  <c r="Y34" i="6"/>
  <c r="AE33" i="6"/>
  <c r="G33" i="6"/>
  <c r="AK32" i="6"/>
  <c r="M32" i="6"/>
  <c r="S31" i="6"/>
  <c r="Y30" i="6"/>
  <c r="AE29" i="6"/>
  <c r="G29" i="6"/>
  <c r="AK28" i="6"/>
  <c r="M28" i="6"/>
  <c r="AB51" i="6"/>
  <c r="D51" i="6"/>
  <c r="AH50" i="6"/>
  <c r="V49" i="6"/>
  <c r="AH48" i="6"/>
  <c r="V47" i="6"/>
  <c r="AH46" i="6"/>
  <c r="V45" i="6"/>
  <c r="AH44" i="6"/>
  <c r="V43" i="6"/>
  <c r="AH42" i="6"/>
  <c r="V41" i="6"/>
  <c r="AB40" i="6"/>
  <c r="D40" i="6"/>
  <c r="AH39" i="6"/>
  <c r="J39" i="6"/>
  <c r="P38" i="6"/>
  <c r="V37" i="6"/>
  <c r="AB36" i="6"/>
  <c r="D36" i="6"/>
  <c r="AH35" i="6"/>
  <c r="J35" i="6"/>
  <c r="P34" i="6"/>
  <c r="V33" i="6"/>
  <c r="AB32" i="6"/>
  <c r="D32" i="6"/>
  <c r="AH31" i="6"/>
  <c r="J31" i="6"/>
  <c r="P30" i="6"/>
  <c r="V29" i="6"/>
  <c r="AB28" i="6"/>
  <c r="D28" i="6"/>
  <c r="S51" i="6"/>
  <c r="Y50" i="6"/>
  <c r="AK49" i="6"/>
  <c r="Y48" i="6"/>
  <c r="AK47" i="6"/>
  <c r="Y46" i="6"/>
  <c r="AK45" i="6"/>
  <c r="Y44" i="6"/>
  <c r="AK43" i="6"/>
  <c r="Y42" i="6"/>
  <c r="AK41" i="6"/>
  <c r="M41" i="6"/>
  <c r="S40" i="6"/>
  <c r="Y39" i="6"/>
  <c r="AE38" i="6"/>
  <c r="G38" i="6"/>
  <c r="AK37" i="6"/>
  <c r="M37" i="6"/>
  <c r="S36" i="6"/>
  <c r="Y35" i="6"/>
  <c r="AE34" i="6"/>
  <c r="G34" i="6"/>
  <c r="AK33" i="6"/>
  <c r="M33" i="6"/>
  <c r="S32" i="6"/>
  <c r="Y31" i="6"/>
  <c r="AE30" i="6"/>
  <c r="G30" i="6"/>
  <c r="AK29" i="6"/>
  <c r="G35" i="6"/>
  <c r="P29" i="6"/>
  <c r="AE27" i="6"/>
  <c r="J27" i="6"/>
  <c r="AE26" i="6"/>
  <c r="M25" i="6"/>
  <c r="AB24" i="6"/>
  <c r="D24" i="6"/>
  <c r="Y21" i="6"/>
  <c r="P20" i="6"/>
  <c r="AE19" i="6"/>
  <c r="G19" i="6"/>
  <c r="V18" i="6"/>
  <c r="S15" i="6"/>
  <c r="AH14" i="6"/>
  <c r="J14" i="6"/>
  <c r="Y13" i="6"/>
  <c r="M34" i="6"/>
  <c r="V32" i="6"/>
  <c r="D31" i="6"/>
  <c r="AH30" i="6"/>
  <c r="S28" i="6"/>
  <c r="J26" i="6"/>
  <c r="AK25" i="6"/>
  <c r="AB25" i="6"/>
  <c r="D25" i="6"/>
  <c r="S24" i="6"/>
  <c r="P21" i="6"/>
  <c r="AE20" i="6"/>
  <c r="G20" i="6"/>
  <c r="V19" i="6"/>
  <c r="AK18" i="6"/>
  <c r="M18" i="6"/>
  <c r="AH15" i="6"/>
  <c r="J15" i="6"/>
  <c r="Y14" i="6"/>
  <c r="M29" i="6"/>
  <c r="AB27" i="6"/>
  <c r="S27" i="6"/>
  <c r="G27" i="6"/>
  <c r="S25" i="6"/>
  <c r="AH24" i="6"/>
  <c r="J24" i="6"/>
  <c r="AE21" i="6"/>
  <c r="G21" i="6"/>
  <c r="V20" i="6"/>
  <c r="AK19" i="6"/>
  <c r="M19" i="6"/>
  <c r="AB18" i="6"/>
  <c r="D18" i="6"/>
  <c r="Y15" i="6"/>
  <c r="P14" i="6"/>
  <c r="AE13" i="6"/>
  <c r="G13" i="6"/>
  <c r="AE10" i="6"/>
  <c r="G10" i="6"/>
  <c r="V9" i="6"/>
  <c r="AK8" i="6"/>
  <c r="M8" i="6"/>
  <c r="AB7" i="6"/>
  <c r="D7" i="6"/>
  <c r="S6" i="6"/>
  <c r="AH5" i="6"/>
  <c r="J5" i="6"/>
  <c r="V116" i="1"/>
  <c r="J34" i="6"/>
  <c r="AE31" i="6"/>
  <c r="M30" i="6"/>
  <c r="AK26" i="6"/>
  <c r="P26" i="6"/>
  <c r="J25" i="6"/>
  <c r="Y24" i="6"/>
  <c r="V21" i="6"/>
  <c r="AK20" i="6"/>
  <c r="M20" i="6"/>
  <c r="AB19" i="6"/>
  <c r="D19" i="6"/>
  <c r="S18" i="6"/>
  <c r="P15" i="6"/>
  <c r="AE14" i="6"/>
  <c r="G14" i="6"/>
  <c r="V13" i="6"/>
  <c r="V10" i="6"/>
  <c r="AK9" i="6"/>
  <c r="M9" i="6"/>
  <c r="AB8" i="6"/>
  <c r="D8" i="6"/>
  <c r="S7" i="6"/>
  <c r="Y36" i="6"/>
  <c r="S33" i="6"/>
  <c r="D27" i="6"/>
  <c r="G26" i="6"/>
  <c r="Y25" i="6"/>
  <c r="P24" i="6"/>
  <c r="AK21" i="6"/>
  <c r="M21" i="6"/>
  <c r="AB20" i="6"/>
  <c r="D20" i="6"/>
  <c r="S19" i="6"/>
  <c r="AH18" i="6"/>
  <c r="J18" i="6"/>
  <c r="AE15" i="6"/>
  <c r="G15" i="6"/>
  <c r="V14" i="6"/>
  <c r="AK13" i="6"/>
  <c r="M13" i="6"/>
  <c r="AK10" i="6"/>
  <c r="M10" i="6"/>
  <c r="AB9" i="6"/>
  <c r="D9" i="6"/>
  <c r="S8" i="6"/>
  <c r="AH7" i="6"/>
  <c r="J7" i="6"/>
  <c r="Y6" i="6"/>
  <c r="S37" i="6"/>
  <c r="AB31" i="6"/>
  <c r="J30" i="6"/>
  <c r="Y28" i="6"/>
  <c r="Y27" i="6"/>
  <c r="AH26" i="6"/>
  <c r="Y26" i="6"/>
  <c r="P25" i="6"/>
  <c r="AE24" i="6"/>
  <c r="G24" i="6"/>
  <c r="AB21" i="6"/>
  <c r="D21" i="6"/>
  <c r="S20" i="6"/>
  <c r="AH19" i="6"/>
  <c r="J19" i="6"/>
  <c r="Y18" i="6"/>
  <c r="V15" i="6"/>
  <c r="AK14" i="6"/>
  <c r="M14" i="6"/>
  <c r="AB13" i="6"/>
  <c r="D13" i="6"/>
  <c r="AE35" i="6"/>
  <c r="P33" i="6"/>
  <c r="S29" i="6"/>
  <c r="AH27" i="6"/>
  <c r="M26" i="6"/>
  <c r="AE25" i="6"/>
  <c r="G25" i="6"/>
  <c r="V24" i="6"/>
  <c r="S21" i="6"/>
  <c r="AH20" i="6"/>
  <c r="J20" i="6"/>
  <c r="Y19" i="6"/>
  <c r="P18" i="6"/>
  <c r="AK15" i="6"/>
  <c r="M15" i="6"/>
  <c r="AB14" i="6"/>
  <c r="D14" i="6"/>
  <c r="S13" i="6"/>
  <c r="S10" i="6"/>
  <c r="AH9" i="6"/>
  <c r="J9" i="6"/>
  <c r="Y8" i="6"/>
  <c r="P7" i="6"/>
  <c r="AK34" i="6"/>
  <c r="Y32" i="6"/>
  <c r="G31" i="6"/>
  <c r="AK30" i="6"/>
  <c r="V28" i="6"/>
  <c r="V25" i="6"/>
  <c r="AK24" i="6"/>
  <c r="M24" i="6"/>
  <c r="AH21" i="6"/>
  <c r="J21" i="6"/>
  <c r="Y20" i="6"/>
  <c r="P19" i="6"/>
  <c r="AE18" i="6"/>
  <c r="G18" i="6"/>
  <c r="AB15" i="6"/>
  <c r="D15" i="6"/>
  <c r="S14" i="6"/>
  <c r="AH13" i="6"/>
  <c r="J13" i="6"/>
  <c r="AH10" i="6"/>
  <c r="J10" i="6"/>
  <c r="Y9" i="6"/>
  <c r="BN6" i="5"/>
  <c r="AY11" i="5"/>
  <c r="AP18" i="5"/>
  <c r="AP43" i="4"/>
  <c r="AP11" i="5"/>
  <c r="AP6" i="4"/>
  <c r="N148" i="9"/>
  <c r="AY14" i="4"/>
  <c r="BB13" i="5"/>
  <c r="BB39" i="4"/>
  <c r="BQ13" i="5"/>
  <c r="BQ39" i="4"/>
  <c r="Y5" i="6"/>
  <c r="BP5" i="6"/>
  <c r="BY5" i="6"/>
  <c r="P9" i="6"/>
  <c r="AE9" i="6"/>
  <c r="BM9" i="6"/>
  <c r="AX10" i="6"/>
  <c r="CA11" i="6"/>
  <c r="D5" i="6"/>
  <c r="AD52" i="6"/>
  <c r="AD55" i="6" s="1"/>
  <c r="AM5" i="6"/>
  <c r="BT52" i="6"/>
  <c r="BV5" i="6"/>
  <c r="Y3" i="1"/>
  <c r="AY15" i="4"/>
  <c r="BB18" i="5"/>
  <c r="BB43" i="4"/>
  <c r="AY6" i="5"/>
  <c r="AY16" i="4"/>
  <c r="CU16" i="4" s="1"/>
  <c r="CY16" i="4" s="1"/>
  <c r="N27" i="9"/>
  <c r="BK7" i="5"/>
  <c r="BK6" i="4"/>
  <c r="N46" i="9"/>
  <c r="N85" i="9"/>
  <c r="AV10" i="4" s="1"/>
  <c r="Y161" i="1"/>
  <c r="AS54" i="6"/>
  <c r="V216" i="1"/>
  <c r="Y216" i="1" s="1"/>
  <c r="Y226" i="1"/>
  <c r="BN11" i="5"/>
  <c r="N93" i="9"/>
  <c r="P107" i="9"/>
  <c r="BH34" i="4"/>
  <c r="CU34" i="4" s="1"/>
  <c r="BH42" i="4"/>
  <c r="CU42" i="4" s="1"/>
  <c r="I52" i="6"/>
  <c r="I55" i="6" s="1"/>
  <c r="AA52" i="6"/>
  <c r="AA55" i="6" s="1"/>
  <c r="AJ52" i="6"/>
  <c r="AJ55" i="6" s="1"/>
  <c r="BA5" i="6"/>
  <c r="BZ5" i="6"/>
  <c r="G6" i="6"/>
  <c r="P6" i="6"/>
  <c r="AH6" i="6"/>
  <c r="AE7" i="6"/>
  <c r="BV7" i="6"/>
  <c r="CA12" i="6"/>
  <c r="CB12" i="6" s="1"/>
  <c r="BA12" i="6"/>
  <c r="AR15" i="6"/>
  <c r="AR16" i="6"/>
  <c r="CA18" i="6"/>
  <c r="BD19" i="6"/>
  <c r="BZ26" i="6"/>
  <c r="CB26" i="6" s="1"/>
  <c r="AR26" i="6"/>
  <c r="CA32" i="6"/>
  <c r="AR11" i="6"/>
  <c r="AR14" i="6"/>
  <c r="AR23" i="6"/>
  <c r="AX25" i="6"/>
  <c r="BZ30" i="6"/>
  <c r="AR30" i="6"/>
  <c r="AU32" i="6"/>
  <c r="BZ32" i="6"/>
  <c r="BZ34" i="6"/>
  <c r="CA35" i="6"/>
  <c r="CA17" i="6"/>
  <c r="AM24" i="6"/>
  <c r="CA24" i="6"/>
  <c r="AM33" i="6"/>
  <c r="AR9" i="6"/>
  <c r="AM15" i="6"/>
  <c r="AR20" i="6"/>
  <c r="AM27" i="6"/>
  <c r="CA28" i="6"/>
  <c r="AR28" i="6"/>
  <c r="BS32" i="6"/>
  <c r="AM37" i="6"/>
  <c r="AM14" i="6"/>
  <c r="CA27" i="6"/>
  <c r="AR29" i="6"/>
  <c r="CA29" i="6"/>
  <c r="AM27" i="5"/>
  <c r="AJ27" i="5"/>
  <c r="AJ50" i="4"/>
  <c r="AJ7" i="5"/>
  <c r="AM50" i="4"/>
  <c r="AJ14" i="4"/>
  <c r="BN54" i="6"/>
  <c r="BK27" i="5"/>
  <c r="BK18" i="5"/>
  <c r="BK50" i="4"/>
  <c r="BK43" i="4"/>
  <c r="BE18" i="5"/>
  <c r="BE43" i="4"/>
  <c r="BN18" i="5"/>
  <c r="BN43" i="4"/>
  <c r="BT4" i="5"/>
  <c r="BT10" i="4"/>
  <c r="AP15" i="4"/>
  <c r="BT11" i="4"/>
  <c r="BW4" i="5"/>
  <c r="BQ11" i="5"/>
  <c r="BQ13" i="4"/>
  <c r="AS8" i="5"/>
  <c r="AS14" i="4"/>
  <c r="BE6" i="5"/>
  <c r="BW18" i="5"/>
  <c r="BW43" i="4"/>
  <c r="R52" i="6"/>
  <c r="R55" i="6" s="1"/>
  <c r="AP52" i="6"/>
  <c r="BF52" i="6"/>
  <c r="BN52" i="6"/>
  <c r="AR18" i="6"/>
  <c r="AM21" i="6"/>
  <c r="AM26" i="6"/>
  <c r="BZ27" i="6"/>
  <c r="AM28" i="6"/>
  <c r="BZ28" i="6"/>
  <c r="AM30" i="6"/>
  <c r="BG30" i="6"/>
  <c r="BM33" i="6"/>
  <c r="CA20" i="6"/>
  <c r="AM29" i="6"/>
  <c r="AR33" i="6"/>
  <c r="CA33" i="6"/>
  <c r="BS28" i="6"/>
  <c r="CA30" i="6"/>
  <c r="CA34" i="6"/>
  <c r="CA38" i="6"/>
  <c r="R66" i="7"/>
  <c r="F48" i="4"/>
  <c r="F51" i="4" s="1"/>
  <c r="AD48" i="4"/>
  <c r="AD51" i="4" s="1"/>
  <c r="AM4" i="4"/>
  <c r="BZ29" i="6"/>
  <c r="AR32" i="6"/>
  <c r="BZ33" i="6"/>
  <c r="AR36" i="6"/>
  <c r="BZ37" i="6"/>
  <c r="AR40" i="6"/>
  <c r="BZ41" i="6"/>
  <c r="BZ43" i="6"/>
  <c r="BZ45" i="6"/>
  <c r="O48" i="4"/>
  <c r="O51" i="4" s="1"/>
  <c r="CA37" i="6"/>
  <c r="AM41" i="6"/>
  <c r="CA41" i="6"/>
  <c r="AM43" i="6"/>
  <c r="CA43" i="6"/>
  <c r="AM45" i="6"/>
  <c r="CA45" i="6"/>
  <c r="AM47" i="6"/>
  <c r="CA47" i="6"/>
  <c r="AM49" i="6"/>
  <c r="CA49" i="6"/>
  <c r="X48" i="4"/>
  <c r="X51" i="4" s="1"/>
  <c r="AG48" i="4"/>
  <c r="AG51" i="4" s="1"/>
  <c r="AM12" i="4"/>
  <c r="AM17" i="4"/>
  <c r="BZ36" i="6"/>
  <c r="CB36" i="6" s="1"/>
  <c r="BZ40" i="6"/>
  <c r="CB40" i="6" s="1"/>
  <c r="BZ51" i="6"/>
  <c r="I48" i="4"/>
  <c r="I51" i="4" s="1"/>
  <c r="CU4" i="4"/>
  <c r="AM32" i="6"/>
  <c r="AM36" i="6"/>
  <c r="AM40" i="6"/>
  <c r="AM51" i="6"/>
  <c r="R48" i="4"/>
  <c r="R51" i="4" s="1"/>
  <c r="AR34" i="6"/>
  <c r="AR38" i="6"/>
  <c r="C48" i="4"/>
  <c r="C51" i="4" s="1"/>
  <c r="AA48" i="4"/>
  <c r="AA51" i="4" s="1"/>
  <c r="L48" i="4"/>
  <c r="L51" i="4" s="1"/>
  <c r="AM6" i="4"/>
  <c r="U48" i="4"/>
  <c r="U51" i="4" s="1"/>
  <c r="AM9" i="4"/>
  <c r="AM8" i="4"/>
  <c r="CU17" i="4"/>
  <c r="CY17" i="4" s="1"/>
  <c r="AM18" i="4"/>
  <c r="CU20" i="4"/>
  <c r="AM22" i="4"/>
  <c r="AM21" i="4"/>
  <c r="AM23" i="4"/>
  <c r="CU23" i="4"/>
  <c r="AM19" i="4"/>
  <c r="AM24" i="4"/>
  <c r="AM28" i="4"/>
  <c r="AM32" i="4"/>
  <c r="AM27" i="4"/>
  <c r="AM31" i="4"/>
  <c r="AM36" i="4"/>
  <c r="AM38" i="4"/>
  <c r="AM40" i="4"/>
  <c r="AM42" i="4"/>
  <c r="AM44" i="4"/>
  <c r="AM47" i="4"/>
  <c r="C25" i="5"/>
  <c r="AM4" i="5"/>
  <c r="AM37" i="4"/>
  <c r="AM39" i="4"/>
  <c r="AM41" i="4"/>
  <c r="AM43" i="4"/>
  <c r="AM45" i="4"/>
  <c r="AM46" i="4"/>
  <c r="AA25" i="5"/>
  <c r="L25" i="5"/>
  <c r="BZ14" i="5"/>
  <c r="U25" i="5"/>
  <c r="F25" i="5"/>
  <c r="AD25" i="5"/>
  <c r="AM5" i="5"/>
  <c r="BZ12" i="5"/>
  <c r="O25" i="5"/>
  <c r="AM15" i="5"/>
  <c r="X25" i="5"/>
  <c r="BZ9" i="5"/>
  <c r="I25" i="5"/>
  <c r="AG25" i="5"/>
  <c r="BZ15" i="5"/>
  <c r="R25" i="5"/>
  <c r="AM10" i="5"/>
  <c r="BZ10" i="5"/>
  <c r="AM9" i="5"/>
  <c r="AM13" i="5"/>
  <c r="BZ19" i="5"/>
  <c r="AM12" i="5"/>
  <c r="AM19" i="5"/>
  <c r="BZ20" i="5"/>
  <c r="BZ21" i="5"/>
  <c r="AM11" i="5"/>
  <c r="BZ16" i="5"/>
  <c r="AM16" i="5"/>
  <c r="AM14" i="5"/>
  <c r="AM17" i="5"/>
  <c r="AM21" i="5"/>
  <c r="BZ23" i="5"/>
  <c r="BZ22" i="5"/>
  <c r="AM18" i="5"/>
  <c r="AM22" i="5"/>
  <c r="AM20" i="5"/>
  <c r="AM23" i="5"/>
  <c r="Q14" i="6" l="1"/>
  <c r="BD52" i="6"/>
  <c r="T37" i="6"/>
  <c r="BW55" i="6"/>
  <c r="CB38" i="6"/>
  <c r="CB35" i="6"/>
  <c r="BA52" i="6"/>
  <c r="N51" i="6"/>
  <c r="E24" i="6"/>
  <c r="AI19" i="6"/>
  <c r="W6" i="6"/>
  <c r="Z30" i="6"/>
  <c r="Z25" i="6"/>
  <c r="E29" i="6"/>
  <c r="H8" i="6"/>
  <c r="Q18" i="6"/>
  <c r="AI6" i="6"/>
  <c r="AI32" i="6"/>
  <c r="W9" i="6"/>
  <c r="N26" i="6"/>
  <c r="H14" i="6"/>
  <c r="AI40" i="6"/>
  <c r="K14" i="6"/>
  <c r="AC10" i="6"/>
  <c r="W21" i="6"/>
  <c r="N29" i="6"/>
  <c r="H6" i="6"/>
  <c r="AL28" i="6"/>
  <c r="Q27" i="6"/>
  <c r="AF21" i="6"/>
  <c r="AI9" i="6"/>
  <c r="K13" i="6"/>
  <c r="AC9" i="6"/>
  <c r="K37" i="6"/>
  <c r="Q10" i="6"/>
  <c r="Z20" i="6"/>
  <c r="K18" i="6"/>
  <c r="H20" i="6"/>
  <c r="AC5" i="6"/>
  <c r="E7" i="6"/>
  <c r="W8" i="6"/>
  <c r="AL8" i="6"/>
  <c r="H7" i="6"/>
  <c r="AF8" i="6"/>
  <c r="H19" i="6"/>
  <c r="AF26" i="6"/>
  <c r="Q8" i="6"/>
  <c r="AC15" i="6"/>
  <c r="AL24" i="6"/>
  <c r="E14" i="6"/>
  <c r="T21" i="6"/>
  <c r="K8" i="6"/>
  <c r="AL14" i="6"/>
  <c r="H24" i="6"/>
  <c r="Q32" i="6"/>
  <c r="AL13" i="6"/>
  <c r="AC20" i="6"/>
  <c r="H33" i="6"/>
  <c r="N9" i="6"/>
  <c r="E19" i="6"/>
  <c r="AC26" i="6"/>
  <c r="N19" i="6"/>
  <c r="T27" i="6"/>
  <c r="AI15" i="6"/>
  <c r="E25" i="6"/>
  <c r="AC29" i="6"/>
  <c r="AI36" i="6"/>
  <c r="AC45" i="6"/>
  <c r="AL37" i="6"/>
  <c r="AL5" i="6"/>
  <c r="N7" i="6"/>
  <c r="AF10" i="6"/>
  <c r="T10" i="6"/>
  <c r="N8" i="6"/>
  <c r="Q9" i="6"/>
  <c r="AF19" i="6"/>
  <c r="K27" i="6"/>
  <c r="Z9" i="6"/>
  <c r="H18" i="6"/>
  <c r="W25" i="6"/>
  <c r="AC14" i="6"/>
  <c r="W24" i="6"/>
  <c r="AI8" i="6"/>
  <c r="W15" i="6"/>
  <c r="AF24" i="6"/>
  <c r="AI7" i="6"/>
  <c r="W14" i="6"/>
  <c r="N21" i="6"/>
  <c r="AC34" i="6"/>
  <c r="AL9" i="6"/>
  <c r="AC19" i="6"/>
  <c r="T31" i="6"/>
  <c r="AL19" i="6"/>
  <c r="AI28" i="6"/>
  <c r="N18" i="6"/>
  <c r="AC25" i="6"/>
  <c r="W30" i="6"/>
  <c r="E37" i="6"/>
  <c r="K51" i="6"/>
  <c r="H38" i="6"/>
  <c r="W7" i="6"/>
  <c r="AL7" i="6"/>
  <c r="E6" i="6"/>
  <c r="H13" i="6"/>
  <c r="Z8" i="6"/>
  <c r="Z10" i="6"/>
  <c r="Q20" i="6"/>
  <c r="W27" i="6"/>
  <c r="K10" i="6"/>
  <c r="AF18" i="6"/>
  <c r="E26" i="6"/>
  <c r="N15" i="6"/>
  <c r="H25" i="6"/>
  <c r="T9" i="6"/>
  <c r="Z18" i="6"/>
  <c r="Q25" i="6"/>
  <c r="T8" i="6"/>
  <c r="H15" i="6"/>
  <c r="AL21" i="6"/>
  <c r="Z5" i="6"/>
  <c r="W10" i="6"/>
  <c r="N20" i="6"/>
  <c r="AL32" i="6"/>
  <c r="W20" i="6"/>
  <c r="AF29" i="6"/>
  <c r="AL18" i="6"/>
  <c r="AL25" i="6"/>
  <c r="Q31" i="6"/>
  <c r="AC37" i="6"/>
  <c r="AI51" i="6"/>
  <c r="AI27" i="6"/>
  <c r="K5" i="6"/>
  <c r="H9" i="6"/>
  <c r="K9" i="6"/>
  <c r="N6" i="6"/>
  <c r="T6" i="6"/>
  <c r="H10" i="6"/>
  <c r="Z13" i="6"/>
  <c r="Z21" i="6"/>
  <c r="K28" i="6"/>
  <c r="AI10" i="6"/>
  <c r="Q19" i="6"/>
  <c r="H29" i="6"/>
  <c r="AL15" i="6"/>
  <c r="AF25" i="6"/>
  <c r="E10" i="6"/>
  <c r="K19" i="6"/>
  <c r="Z26" i="6"/>
  <c r="E9" i="6"/>
  <c r="AF15" i="6"/>
  <c r="Q24" i="6"/>
  <c r="K6" i="6"/>
  <c r="W13" i="6"/>
  <c r="AL20" i="6"/>
  <c r="W35" i="6"/>
  <c r="H21" i="6"/>
  <c r="K33" i="6"/>
  <c r="W19" i="6"/>
  <c r="K26" i="6"/>
  <c r="K32" i="6"/>
  <c r="K40" i="6"/>
  <c r="T28" i="6"/>
  <c r="Q34" i="6"/>
  <c r="Q6" i="6"/>
  <c r="AL6" i="6"/>
  <c r="AC6" i="6"/>
  <c r="AF6" i="6"/>
  <c r="H5" i="6"/>
  <c r="Z6" i="6"/>
  <c r="AI14" i="6"/>
  <c r="AC24" i="6"/>
  <c r="AI29" i="6"/>
  <c r="AI13" i="6"/>
  <c r="K21" i="6"/>
  <c r="N32" i="6"/>
  <c r="Z19" i="6"/>
  <c r="N28" i="6"/>
  <c r="E13" i="6"/>
  <c r="T20" i="6"/>
  <c r="Z27" i="6"/>
  <c r="N10" i="6"/>
  <c r="AI18" i="6"/>
  <c r="AI25" i="6"/>
  <c r="T7" i="6"/>
  <c r="AF14" i="6"/>
  <c r="Z24" i="6"/>
  <c r="Z15" i="6"/>
  <c r="K24" i="6"/>
  <c r="Q13" i="6"/>
  <c r="AF20" i="6"/>
  <c r="E30" i="6"/>
  <c r="W34" i="6"/>
  <c r="E41" i="6"/>
  <c r="AL29" i="6"/>
  <c r="K7" i="6"/>
  <c r="E5" i="6"/>
  <c r="W5" i="6"/>
  <c r="Q7" i="6"/>
  <c r="Q5" i="6"/>
  <c r="AF9" i="6"/>
  <c r="T15" i="6"/>
  <c r="N25" i="6"/>
  <c r="AF33" i="6"/>
  <c r="T14" i="6"/>
  <c r="AI21" i="6"/>
  <c r="E34" i="6"/>
  <c r="K20" i="6"/>
  <c r="AI33" i="6"/>
  <c r="AC13" i="6"/>
  <c r="E21" i="6"/>
  <c r="K29" i="6"/>
  <c r="AL10" i="6"/>
  <c r="T19" i="6"/>
  <c r="H26" i="6"/>
  <c r="E8" i="6"/>
  <c r="Q15" i="6"/>
  <c r="K25" i="6"/>
  <c r="E18" i="6"/>
  <c r="AI24" i="6"/>
  <c r="Z14" i="6"/>
  <c r="Q21" i="6"/>
  <c r="W31" i="6"/>
  <c r="Q35" i="6"/>
  <c r="AC41" i="6"/>
  <c r="H30" i="6"/>
  <c r="T5" i="6"/>
  <c r="N5" i="6"/>
  <c r="AF5" i="6"/>
  <c r="AC7" i="6"/>
  <c r="AI5" i="6"/>
  <c r="AF13" i="6"/>
  <c r="W18" i="6"/>
  <c r="W26" i="6"/>
  <c r="AF7" i="6"/>
  <c r="E15" i="6"/>
  <c r="N24" i="6"/>
  <c r="T13" i="6"/>
  <c r="AI20" i="6"/>
  <c r="Z7" i="6"/>
  <c r="N14" i="6"/>
  <c r="AC21" i="6"/>
  <c r="AC30" i="6"/>
  <c r="N13" i="6"/>
  <c r="E20" i="6"/>
  <c r="Q28" i="6"/>
  <c r="AC8" i="6"/>
  <c r="T18" i="6"/>
  <c r="Q26" i="6"/>
  <c r="AC18" i="6"/>
  <c r="T25" i="6"/>
  <c r="K15" i="6"/>
  <c r="T24" i="6"/>
  <c r="Q36" i="6"/>
  <c r="K36" i="6"/>
  <c r="AC43" i="6"/>
  <c r="H34" i="6"/>
  <c r="AS55" i="6"/>
  <c r="W29" i="6"/>
  <c r="Q30" i="6"/>
  <c r="N41" i="6"/>
  <c r="AL45" i="6"/>
  <c r="Z46" i="6"/>
  <c r="AF34" i="6"/>
  <c r="AL43" i="6"/>
  <c r="E28" i="6"/>
  <c r="K35" i="6"/>
  <c r="Z35" i="6"/>
  <c r="Z44" i="6"/>
  <c r="AC28" i="6"/>
  <c r="K39" i="6"/>
  <c r="Z43" i="6"/>
  <c r="T32" i="6"/>
  <c r="AF38" i="6"/>
  <c r="AL47" i="6"/>
  <c r="E32" i="6"/>
  <c r="N33" i="6"/>
  <c r="Z39" i="6"/>
  <c r="Z48" i="6"/>
  <c r="AC32" i="6"/>
  <c r="AL33" i="6"/>
  <c r="T40" i="6"/>
  <c r="T51" i="6"/>
  <c r="W33" i="6"/>
  <c r="E40" i="6"/>
  <c r="AC51" i="6"/>
  <c r="AI35" i="6"/>
  <c r="W37" i="6"/>
  <c r="Q38" i="6"/>
  <c r="Z34" i="6"/>
  <c r="Z38" i="6"/>
  <c r="W43" i="6"/>
  <c r="AI44" i="6"/>
  <c r="W45" i="6"/>
  <c r="T39" i="6"/>
  <c r="N40" i="6"/>
  <c r="E51" i="6"/>
  <c r="CB17" i="6"/>
  <c r="BB55" i="6"/>
  <c r="BH55" i="6"/>
  <c r="BJ52" i="6"/>
  <c r="CB49" i="6"/>
  <c r="CB24" i="6"/>
  <c r="AI26" i="6"/>
  <c r="N36" i="6"/>
  <c r="E35" i="6"/>
  <c r="AC35" i="6"/>
  <c r="AF47" i="6"/>
  <c r="W40" i="6"/>
  <c r="Q41" i="6"/>
  <c r="N27" i="6"/>
  <c r="K30" i="6"/>
  <c r="Q29" i="6"/>
  <c r="H36" i="6"/>
  <c r="Q37" i="6"/>
  <c r="AF49" i="6"/>
  <c r="T26" i="6"/>
  <c r="H32" i="6"/>
  <c r="AL31" i="6"/>
  <c r="AI30" i="6"/>
  <c r="AC44" i="6"/>
  <c r="W47" i="6"/>
  <c r="H41" i="6"/>
  <c r="AC31" i="6"/>
  <c r="W51" i="6"/>
  <c r="AI34" i="6"/>
  <c r="AF36" i="6"/>
  <c r="H28" i="6"/>
  <c r="AC39" i="6"/>
  <c r="N31" i="6"/>
  <c r="Z33" i="6"/>
  <c r="Z37" i="6"/>
  <c r="AF50" i="6"/>
  <c r="H51" i="6"/>
  <c r="Z45" i="6"/>
  <c r="Q40" i="6"/>
  <c r="N39" i="6"/>
  <c r="Z41" i="6"/>
  <c r="AL42" i="6"/>
  <c r="N666" i="9"/>
  <c r="AI43" i="6"/>
  <c r="H35" i="6"/>
  <c r="AI37" i="6"/>
  <c r="Z49" i="6"/>
  <c r="AL50" i="6"/>
  <c r="AI47" i="6"/>
  <c r="AI41" i="6"/>
  <c r="Z28" i="6"/>
  <c r="K41" i="6"/>
  <c r="AL34" i="6"/>
  <c r="AF31" i="6"/>
  <c r="W48" i="6"/>
  <c r="AI49" i="6"/>
  <c r="Q51" i="6"/>
  <c r="Z36" i="6"/>
  <c r="T29" i="6"/>
  <c r="N30" i="6"/>
  <c r="AI39" i="6"/>
  <c r="AI46" i="6"/>
  <c r="T35" i="6"/>
  <c r="AL40" i="6"/>
  <c r="AL51" i="6"/>
  <c r="E31" i="6"/>
  <c r="W36" i="6"/>
  <c r="AC42" i="6"/>
  <c r="AL27" i="6"/>
  <c r="AF32" i="6"/>
  <c r="T38" i="6"/>
  <c r="AL44" i="6"/>
  <c r="AF51" i="6"/>
  <c r="W42" i="6"/>
  <c r="W50" i="6"/>
  <c r="H31" i="6"/>
  <c r="AF46" i="6"/>
  <c r="AC40" i="6"/>
  <c r="AI48" i="6"/>
  <c r="AL36" i="6"/>
  <c r="AF41" i="6"/>
  <c r="E27" i="6"/>
  <c r="W32" i="6"/>
  <c r="K38" i="6"/>
  <c r="AC46" i="6"/>
  <c r="AF28" i="6"/>
  <c r="T34" i="6"/>
  <c r="AL39" i="6"/>
  <c r="AL46" i="6"/>
  <c r="E38" i="6"/>
  <c r="W44" i="6"/>
  <c r="AL26" i="6"/>
  <c r="Z32" i="6"/>
  <c r="E33" i="6"/>
  <c r="W38" i="6"/>
  <c r="AC47" i="6"/>
  <c r="AF30" i="6"/>
  <c r="T36" i="6"/>
  <c r="AL41" i="6"/>
  <c r="AL49" i="6"/>
  <c r="K31" i="6"/>
  <c r="E36" i="6"/>
  <c r="W41" i="6"/>
  <c r="W49" i="6"/>
  <c r="H37" i="6"/>
  <c r="AF43" i="6"/>
  <c r="AC27" i="6"/>
  <c r="Q33" i="6"/>
  <c r="AI38" i="6"/>
  <c r="AC48" i="6"/>
  <c r="Z29" i="6"/>
  <c r="N35" i="6"/>
  <c r="H40" i="6"/>
  <c r="Z47" i="6"/>
  <c r="AC38" i="6"/>
  <c r="AI45" i="6"/>
  <c r="H27" i="6"/>
  <c r="N34" i="6"/>
  <c r="AC33" i="6"/>
  <c r="Q39" i="6"/>
  <c r="AC49" i="6"/>
  <c r="Z31" i="6"/>
  <c r="N37" i="6"/>
  <c r="Z42" i="6"/>
  <c r="Z50" i="6"/>
  <c r="AI31" i="6"/>
  <c r="AC36" i="6"/>
  <c r="AI42" i="6"/>
  <c r="AI50" i="6"/>
  <c r="AF37" i="6"/>
  <c r="AF45" i="6"/>
  <c r="W28" i="6"/>
  <c r="K34" i="6"/>
  <c r="E39" i="6"/>
  <c r="AC50" i="6"/>
  <c r="T30" i="6"/>
  <c r="AL35" i="6"/>
  <c r="AF40" i="6"/>
  <c r="AL48" i="6"/>
  <c r="W39" i="6"/>
  <c r="W46" i="6"/>
  <c r="AF27" i="6"/>
  <c r="AF39" i="6"/>
  <c r="AJ25" i="5"/>
  <c r="AJ28" i="5" s="1"/>
  <c r="Z40" i="6"/>
  <c r="AL30" i="6"/>
  <c r="AF35" i="6"/>
  <c r="AF44" i="6"/>
  <c r="N38" i="6"/>
  <c r="AF42" i="6"/>
  <c r="T33" i="6"/>
  <c r="AL38" i="6"/>
  <c r="H39" i="6"/>
  <c r="CB18" i="6"/>
  <c r="AJ48" i="4"/>
  <c r="AJ51" i="4" s="1"/>
  <c r="AU52" i="6"/>
  <c r="AF48" i="6"/>
  <c r="Z51" i="6"/>
  <c r="T41" i="6"/>
  <c r="AN44" i="6"/>
  <c r="BT8" i="5"/>
  <c r="BT27" i="5"/>
  <c r="BT50" i="4"/>
  <c r="CB50" i="6"/>
  <c r="AN51" i="6"/>
  <c r="AN40" i="6"/>
  <c r="CB39" i="6"/>
  <c r="BM52" i="6"/>
  <c r="CB31" i="6"/>
  <c r="Q10" i="5"/>
  <c r="K6" i="5"/>
  <c r="AN31" i="6"/>
  <c r="CB46" i="6"/>
  <c r="BK55" i="6"/>
  <c r="CB15" i="6"/>
  <c r="CB23" i="6"/>
  <c r="BS52" i="6"/>
  <c r="CB51" i="6"/>
  <c r="CB6" i="6"/>
  <c r="CB19" i="6"/>
  <c r="CB47" i="6"/>
  <c r="CB21" i="6"/>
  <c r="CB20" i="6"/>
  <c r="CB14" i="6"/>
  <c r="K13" i="5"/>
  <c r="AN14" i="6"/>
  <c r="CB7" i="6"/>
  <c r="AI18" i="5"/>
  <c r="AN36" i="6"/>
  <c r="CB43" i="6"/>
  <c r="Z20" i="5"/>
  <c r="AV14" i="4"/>
  <c r="CU14" i="4" s="1"/>
  <c r="CY14" i="4" s="1"/>
  <c r="Z24" i="5"/>
  <c r="AL10" i="5"/>
  <c r="AI24" i="5"/>
  <c r="CB41" i="6"/>
  <c r="Y52" i="6"/>
  <c r="Q21" i="5"/>
  <c r="W5" i="5"/>
  <c r="AM14" i="4"/>
  <c r="AM48" i="4" s="1"/>
  <c r="AM51" i="4" s="1"/>
  <c r="CB32" i="6"/>
  <c r="K21" i="5"/>
  <c r="E22" i="5"/>
  <c r="N14" i="5"/>
  <c r="W16" i="5"/>
  <c r="Z15" i="5"/>
  <c r="W24" i="5"/>
  <c r="AL16" i="5"/>
  <c r="AI21" i="5"/>
  <c r="AI11" i="5"/>
  <c r="Q12" i="5"/>
  <c r="N13" i="5"/>
  <c r="Q6" i="5"/>
  <c r="E21" i="5"/>
  <c r="H11" i="5"/>
  <c r="N9" i="5"/>
  <c r="T9" i="5"/>
  <c r="CB28" i="6"/>
  <c r="H21" i="5"/>
  <c r="T17" i="5"/>
  <c r="AC10" i="5"/>
  <c r="W4" i="5"/>
  <c r="CB29" i="6"/>
  <c r="P52" i="6"/>
  <c r="CB48" i="6"/>
  <c r="BH8" i="5"/>
  <c r="BH25" i="5" s="1"/>
  <c r="BH28" i="5" s="1"/>
  <c r="BH50" i="4"/>
  <c r="BH13" i="4"/>
  <c r="CU13" i="4" s="1"/>
  <c r="CY13" i="4" s="1"/>
  <c r="CU41" i="4"/>
  <c r="AN33" i="6"/>
  <c r="AK52" i="6"/>
  <c r="AN34" i="6"/>
  <c r="AN25" i="6"/>
  <c r="AB52" i="6"/>
  <c r="AN39" i="6"/>
  <c r="AN38" i="6"/>
  <c r="AN46" i="6"/>
  <c r="AN26" i="6"/>
  <c r="AN42" i="6"/>
  <c r="AN50" i="6"/>
  <c r="AN32" i="6"/>
  <c r="AN37" i="6"/>
  <c r="S52" i="6"/>
  <c r="AN35" i="6"/>
  <c r="G52" i="6"/>
  <c r="AE52" i="6"/>
  <c r="AR17" i="4"/>
  <c r="AH52" i="6"/>
  <c r="CB42" i="6"/>
  <c r="CB45" i="6"/>
  <c r="AN15" i="6"/>
  <c r="AN24" i="6"/>
  <c r="J52" i="6"/>
  <c r="E19" i="5"/>
  <c r="AM7" i="5"/>
  <c r="AM25" i="5" s="1"/>
  <c r="AN7" i="6"/>
  <c r="V52" i="6"/>
  <c r="T8" i="5"/>
  <c r="N4" i="5"/>
  <c r="CB25" i="6"/>
  <c r="CB16" i="6"/>
  <c r="AY7" i="5"/>
  <c r="BA7" i="5" s="1"/>
  <c r="BN50" i="4"/>
  <c r="BN27" i="5"/>
  <c r="BK25" i="5"/>
  <c r="AS6" i="5"/>
  <c r="AS25" i="5" s="1"/>
  <c r="AY48" i="4"/>
  <c r="CU40" i="4"/>
  <c r="CU8" i="4"/>
  <c r="CY8" i="4" s="1"/>
  <c r="AS27" i="5"/>
  <c r="CU12" i="4"/>
  <c r="CY12" i="4" s="1"/>
  <c r="AS50" i="4"/>
  <c r="BJ10" i="5"/>
  <c r="BN5" i="4"/>
  <c r="BN48" i="4" s="1"/>
  <c r="BD21" i="5"/>
  <c r="AU5" i="5"/>
  <c r="BJ24" i="5"/>
  <c r="AS48" i="4"/>
  <c r="AX24" i="5"/>
  <c r="BS9" i="5"/>
  <c r="BG21" i="5"/>
  <c r="AU11" i="5"/>
  <c r="BJ22" i="5"/>
  <c r="AX16" i="5"/>
  <c r="BV9" i="5"/>
  <c r="BQ48" i="4"/>
  <c r="BQ51" i="4" s="1"/>
  <c r="AU20" i="5"/>
  <c r="BS16" i="5"/>
  <c r="BQ25" i="5"/>
  <c r="BQ28" i="5" s="1"/>
  <c r="CU39" i="4"/>
  <c r="CU10" i="4"/>
  <c r="CY10" i="4" s="1"/>
  <c r="BD4" i="5"/>
  <c r="BK48" i="4"/>
  <c r="BK51" i="4" s="1"/>
  <c r="AR21" i="5"/>
  <c r="AP48" i="4"/>
  <c r="AP51" i="4" s="1"/>
  <c r="BY18" i="5"/>
  <c r="BZ18" i="5"/>
  <c r="AU16" i="5"/>
  <c r="BD14" i="5"/>
  <c r="BP18" i="5"/>
  <c r="M22" i="5"/>
  <c r="Y16" i="5"/>
  <c r="AB22" i="5"/>
  <c r="H20" i="5"/>
  <c r="G20" i="5"/>
  <c r="V24" i="5"/>
  <c r="D19" i="5"/>
  <c r="M24" i="5"/>
  <c r="W21" i="5"/>
  <c r="T24" i="5"/>
  <c r="M21" i="5"/>
  <c r="AC17" i="5"/>
  <c r="AH20" i="5"/>
  <c r="D20" i="5"/>
  <c r="V13" i="5"/>
  <c r="D8" i="5"/>
  <c r="Y15" i="5"/>
  <c r="E13" i="5"/>
  <c r="V19" i="5"/>
  <c r="AH15" i="5"/>
  <c r="V10" i="5"/>
  <c r="Y12" i="5"/>
  <c r="S19" i="5"/>
  <c r="K14" i="5"/>
  <c r="H18" i="5"/>
  <c r="D15" i="5"/>
  <c r="V12" i="5"/>
  <c r="Y14" i="5"/>
  <c r="G9" i="5"/>
  <c r="E8" i="5"/>
  <c r="AI4" i="5"/>
  <c r="AL8" i="5"/>
  <c r="AI5" i="5"/>
  <c r="AI10" i="5"/>
  <c r="K8" i="5"/>
  <c r="Y4" i="5"/>
  <c r="Y9" i="5"/>
  <c r="BL47" i="4"/>
  <c r="AC11" i="5"/>
  <c r="AE4" i="5"/>
  <c r="BY46" i="4"/>
  <c r="T14" i="5"/>
  <c r="Y8" i="5"/>
  <c r="AT47" i="4"/>
  <c r="P6" i="5"/>
  <c r="AC47" i="4"/>
  <c r="M11" i="5"/>
  <c r="Q7" i="5"/>
  <c r="AI47" i="4"/>
  <c r="AX45" i="4"/>
  <c r="BV43" i="4"/>
  <c r="AL42" i="4"/>
  <c r="BJ40" i="4"/>
  <c r="Z39" i="4"/>
  <c r="AX37" i="4"/>
  <c r="H36" i="4"/>
  <c r="AW45" i="4"/>
  <c r="BM43" i="4"/>
  <c r="BU41" i="4"/>
  <c r="AC40" i="4"/>
  <c r="AK38" i="4"/>
  <c r="BC36" i="4"/>
  <c r="AL46" i="4"/>
  <c r="AR44" i="4"/>
  <c r="AR42" i="4"/>
  <c r="AR40" i="4"/>
  <c r="AR38" i="4"/>
  <c r="BJ36" i="4"/>
  <c r="BL34" i="4"/>
  <c r="BS45" i="4"/>
  <c r="AI44" i="4"/>
  <c r="AQ42" i="4"/>
  <c r="BG40" i="4"/>
  <c r="BO38" i="4"/>
  <c r="W37" i="4"/>
  <c r="E36" i="4"/>
  <c r="BL46" i="4"/>
  <c r="V45" i="4"/>
  <c r="AT43" i="4"/>
  <c r="BR41" i="4"/>
  <c r="AH40" i="4"/>
  <c r="BF38" i="4"/>
  <c r="S4" i="5"/>
  <c r="BI45" i="4"/>
  <c r="BY43" i="4"/>
  <c r="Y42" i="4"/>
  <c r="AW40" i="4"/>
  <c r="BM38" i="4"/>
  <c r="M37" i="4"/>
  <c r="BM47" i="4"/>
  <c r="AB45" i="4"/>
  <c r="AB43" i="4"/>
  <c r="AB41" i="4"/>
  <c r="AB39" i="4"/>
  <c r="AB37" i="4"/>
  <c r="J36" i="4"/>
  <c r="BS46" i="4"/>
  <c r="AI45" i="4"/>
  <c r="AQ43" i="4"/>
  <c r="BG41" i="4"/>
  <c r="BO39" i="4"/>
  <c r="W38" i="4"/>
  <c r="BM36" i="4"/>
  <c r="BC35" i="4"/>
  <c r="BP33" i="4"/>
  <c r="AX32" i="4"/>
  <c r="H31" i="4"/>
  <c r="BP29" i="4"/>
  <c r="S21" i="5"/>
  <c r="Q16" i="5"/>
  <c r="T22" i="5"/>
  <c r="AE24" i="5"/>
  <c r="AK19" i="5"/>
  <c r="AB23" i="5"/>
  <c r="AH18" i="5"/>
  <c r="E24" i="5"/>
  <c r="G21" i="5"/>
  <c r="D24" i="5"/>
  <c r="S20" i="5"/>
  <c r="M17" i="5"/>
  <c r="J20" i="5"/>
  <c r="Z19" i="5"/>
  <c r="AB12" i="5"/>
  <c r="J23" i="5"/>
  <c r="Q15" i="5"/>
  <c r="AI12" i="5"/>
  <c r="J19" i="5"/>
  <c r="P15" i="5"/>
  <c r="AB9" i="5"/>
  <c r="AE11" i="5"/>
  <c r="Y18" i="5"/>
  <c r="Y13" i="5"/>
  <c r="AE17" i="5"/>
  <c r="AH14" i="5"/>
  <c r="N12" i="5"/>
  <c r="AE13" i="5"/>
  <c r="AK11" i="5"/>
  <c r="AF7" i="5"/>
  <c r="AE15" i="5"/>
  <c r="AE7" i="5"/>
  <c r="S5" i="5"/>
  <c r="K10" i="5"/>
  <c r="V7" i="5"/>
  <c r="Q4" i="5"/>
  <c r="M9" i="5"/>
  <c r="BD47" i="4"/>
  <c r="Q11" i="5"/>
  <c r="G4" i="5"/>
  <c r="BI46" i="4"/>
  <c r="AH13" i="5"/>
  <c r="P8" i="5"/>
  <c r="AL47" i="4"/>
  <c r="V5" i="5"/>
  <c r="M47" i="4"/>
  <c r="AB10" i="5"/>
  <c r="AE6" i="5"/>
  <c r="N47" i="4"/>
  <c r="AH45" i="4"/>
  <c r="BF43" i="4"/>
  <c r="V42" i="4"/>
  <c r="AT40" i="4"/>
  <c r="BR38" i="4"/>
  <c r="AH37" i="4"/>
  <c r="K4" i="5"/>
  <c r="Y45" i="4"/>
  <c r="AW43" i="4"/>
  <c r="BM41" i="4"/>
  <c r="BU39" i="4"/>
  <c r="AC38" i="4"/>
  <c r="AU36" i="4"/>
  <c r="AB46" i="4"/>
  <c r="AB44" i="4"/>
  <c r="AB42" i="4"/>
  <c r="AB40" i="4"/>
  <c r="AB38" i="4"/>
  <c r="AT36" i="4"/>
  <c r="BD34" i="4"/>
  <c r="BC45" i="4"/>
  <c r="BS43" i="4"/>
  <c r="AI42" i="4"/>
  <c r="AQ40" i="4"/>
  <c r="BG38" i="4"/>
  <c r="G37" i="4"/>
  <c r="T4" i="5"/>
  <c r="AR46" i="4"/>
  <c r="BV44" i="4"/>
  <c r="AL43" i="4"/>
  <c r="BJ41" i="4"/>
  <c r="Z40" i="4"/>
  <c r="AX38" i="4"/>
  <c r="AZ47" i="4"/>
  <c r="BA45" i="4"/>
  <c r="BI43" i="4"/>
  <c r="BY41" i="4"/>
  <c r="Y40" i="4"/>
  <c r="AW38" i="4"/>
  <c r="E37" i="4"/>
  <c r="Z47" i="4"/>
  <c r="BL44" i="4"/>
  <c r="BL42" i="4"/>
  <c r="BL40" i="4"/>
  <c r="BL38" i="4"/>
  <c r="T37" i="4"/>
  <c r="BY35" i="4"/>
  <c r="BG46" i="4"/>
  <c r="BS44" i="4"/>
  <c r="AI43" i="4"/>
  <c r="AQ41" i="4"/>
  <c r="BG39" i="4"/>
  <c r="BO37" i="4"/>
  <c r="AW36" i="4"/>
  <c r="AR35" i="4"/>
  <c r="AZ33" i="4"/>
  <c r="AH32" i="4"/>
  <c r="BR30" i="4"/>
  <c r="AZ29" i="4"/>
  <c r="AH28" i="4"/>
  <c r="Y20" i="5"/>
  <c r="AF24" i="5"/>
  <c r="D22" i="5"/>
  <c r="G24" i="5"/>
  <c r="M19" i="5"/>
  <c r="D23" i="5"/>
  <c r="J18" i="5"/>
  <c r="AI23" i="5"/>
  <c r="AK20" i="5"/>
  <c r="S24" i="5"/>
  <c r="Y19" i="5"/>
  <c r="AH24" i="5"/>
  <c r="P19" i="5"/>
  <c r="AF18" i="5"/>
  <c r="D12" i="5"/>
  <c r="H22" i="5"/>
  <c r="AE14" i="5"/>
  <c r="S12" i="5"/>
  <c r="AB18" i="5"/>
  <c r="V14" i="5"/>
  <c r="Z23" i="5"/>
  <c r="G11" i="5"/>
  <c r="P22" i="5"/>
  <c r="Q13" i="5"/>
  <c r="E17" i="5"/>
  <c r="Z14" i="5"/>
  <c r="AH23" i="5"/>
  <c r="G13" i="5"/>
  <c r="V11" i="5"/>
  <c r="P7" i="5"/>
  <c r="N15" i="5"/>
  <c r="W7" i="5"/>
  <c r="AH4" i="5"/>
  <c r="AK9" i="5"/>
  <c r="N7" i="5"/>
  <c r="D14" i="5"/>
  <c r="J8" i="5"/>
  <c r="AF47" i="4"/>
  <c r="D11" i="5"/>
  <c r="BS47" i="4"/>
  <c r="BA46" i="4"/>
  <c r="AF12" i="5"/>
  <c r="S7" i="5"/>
  <c r="K16" i="5"/>
  <c r="AK4" i="5"/>
  <c r="E47" i="4"/>
  <c r="D10" i="5"/>
  <c r="W6" i="5"/>
  <c r="BF46" i="4"/>
  <c r="Z45" i="4"/>
  <c r="AX43" i="4"/>
  <c r="BV41" i="4"/>
  <c r="AL40" i="4"/>
  <c r="BJ38" i="4"/>
  <c r="Z37" i="4"/>
  <c r="BG47" i="4"/>
  <c r="BY44" i="4"/>
  <c r="Y43" i="4"/>
  <c r="AW41" i="4"/>
  <c r="BM39" i="4"/>
  <c r="BU37" i="4"/>
  <c r="AE36" i="4"/>
  <c r="BL45" i="4"/>
  <c r="BL43" i="4"/>
  <c r="BL41" i="4"/>
  <c r="BL39" i="4"/>
  <c r="BL37" i="4"/>
  <c r="AL36" i="4"/>
  <c r="BP47" i="4"/>
  <c r="AU45" i="4"/>
  <c r="BC43" i="4"/>
  <c r="BS41" i="4"/>
  <c r="AI40" i="4"/>
  <c r="AQ38" i="4"/>
  <c r="BY36" i="4"/>
  <c r="D4" i="5"/>
  <c r="AI46" i="4"/>
  <c r="BF44" i="4"/>
  <c r="V43" i="4"/>
  <c r="AT41" i="4"/>
  <c r="BR39" i="4"/>
  <c r="AH38" i="4"/>
  <c r="BU46" i="4"/>
  <c r="AK45" i="4"/>
  <c r="BA43" i="4"/>
  <c r="BI41" i="4"/>
  <c r="BY39" i="4"/>
  <c r="Y38" i="4"/>
  <c r="BO36" i="4"/>
  <c r="Q47" i="4"/>
  <c r="BD44" i="4"/>
  <c r="BD42" i="4"/>
  <c r="BD40" i="4"/>
  <c r="BD38" i="4"/>
  <c r="D37" i="4"/>
  <c r="BI35" i="4"/>
  <c r="AX46" i="4"/>
  <c r="BC44" i="4"/>
  <c r="BS42" i="4"/>
  <c r="AI41" i="4"/>
  <c r="AQ39" i="4"/>
  <c r="BG37" i="4"/>
  <c r="Y36" i="4"/>
  <c r="BU34" i="4"/>
  <c r="AE19" i="5"/>
  <c r="P24" i="5"/>
  <c r="AH21" i="5"/>
  <c r="AK23" i="5"/>
  <c r="S18" i="5"/>
  <c r="AH22" i="5"/>
  <c r="P17" i="5"/>
  <c r="S23" i="5"/>
  <c r="AC20" i="5"/>
  <c r="Y23" i="5"/>
  <c r="Q19" i="5"/>
  <c r="J24" i="5"/>
  <c r="V18" i="5"/>
  <c r="D18" i="5"/>
  <c r="AH11" i="5"/>
  <c r="K19" i="5"/>
  <c r="W14" i="5"/>
  <c r="K12" i="5"/>
  <c r="P18" i="5"/>
  <c r="AB13" i="5"/>
  <c r="W17" i="5"/>
  <c r="AK10" i="5"/>
  <c r="T16" i="5"/>
  <c r="AE12" i="5"/>
  <c r="AF16" i="5"/>
  <c r="J14" i="5"/>
  <c r="AF22" i="5"/>
  <c r="AK12" i="5"/>
  <c r="AC9" i="5"/>
  <c r="H7" i="5"/>
  <c r="AB14" i="5"/>
  <c r="G7" i="5"/>
  <c r="Z4" i="5"/>
  <c r="Z9" i="5"/>
  <c r="AB6" i="5"/>
  <c r="P12" i="5"/>
  <c r="AK7" i="5"/>
  <c r="P47" i="4"/>
  <c r="AH9" i="5"/>
  <c r="BC47" i="4"/>
  <c r="AK46" i="4"/>
  <c r="AB11" i="5"/>
  <c r="Y6" i="5"/>
  <c r="S10" i="5"/>
  <c r="M4" i="5"/>
  <c r="BO46" i="4"/>
  <c r="H9" i="5"/>
  <c r="G6" i="5"/>
  <c r="AW46" i="4"/>
  <c r="BR44" i="4"/>
  <c r="AH43" i="4"/>
  <c r="BF41" i="4"/>
  <c r="V40" i="4"/>
  <c r="AT38" i="4"/>
  <c r="J37" i="4"/>
  <c r="AH47" i="4"/>
  <c r="BI44" i="4"/>
  <c r="BY42" i="4"/>
  <c r="Y41" i="4"/>
  <c r="AW39" i="4"/>
  <c r="BM37" i="4"/>
  <c r="BF47" i="4"/>
  <c r="BD45" i="4"/>
  <c r="BD43" i="4"/>
  <c r="BD41" i="4"/>
  <c r="BD39" i="4"/>
  <c r="BD37" i="4"/>
  <c r="V36" i="4"/>
  <c r="AR47" i="4"/>
  <c r="AE45" i="4"/>
  <c r="AU43" i="4"/>
  <c r="BC41" i="4"/>
  <c r="BS39" i="4"/>
  <c r="AI38" i="4"/>
  <c r="BI36" i="4"/>
  <c r="BO47" i="4"/>
  <c r="Z46" i="4"/>
  <c r="AX44" i="4"/>
  <c r="BV42" i="4"/>
  <c r="AL41" i="4"/>
  <c r="BJ39" i="4"/>
  <c r="Z38" i="4"/>
  <c r="AZ46" i="4"/>
  <c r="AC45" i="4"/>
  <c r="AK43" i="4"/>
  <c r="BA41" i="4"/>
  <c r="BI39" i="4"/>
  <c r="BY37" i="4"/>
  <c r="BG36" i="4"/>
  <c r="D47" i="4"/>
  <c r="AF44" i="4"/>
  <c r="AF42" i="4"/>
  <c r="AF40" i="4"/>
  <c r="AF38" i="4"/>
  <c r="BV36" i="4"/>
  <c r="BA35" i="4"/>
  <c r="AF46" i="4"/>
  <c r="AU44" i="4"/>
  <c r="BC42" i="4"/>
  <c r="BS40" i="4"/>
  <c r="AI39" i="4"/>
  <c r="AQ37" i="4"/>
  <c r="Q36" i="4"/>
  <c r="AT34" i="4"/>
  <c r="AB33" i="4"/>
  <c r="J32" i="4"/>
  <c r="AT30" i="4"/>
  <c r="AB29" i="4"/>
  <c r="J28" i="4"/>
  <c r="AT26" i="4"/>
  <c r="AB25" i="4"/>
  <c r="J24" i="4"/>
  <c r="AQ35" i="4"/>
  <c r="BG33" i="4"/>
  <c r="Y32" i="4"/>
  <c r="BY30" i="4"/>
  <c r="BG29" i="4"/>
  <c r="Y28" i="4"/>
  <c r="Y24" i="5"/>
  <c r="G19" i="5"/>
  <c r="H24" i="5"/>
  <c r="Z21" i="5"/>
  <c r="M23" i="5"/>
  <c r="Y17" i="5"/>
  <c r="J22" i="5"/>
  <c r="V16" i="5"/>
  <c r="K23" i="5"/>
  <c r="M20" i="5"/>
  <c r="Q23" i="5"/>
  <c r="AE18" i="5"/>
  <c r="P23" i="5"/>
  <c r="AB17" i="5"/>
  <c r="N17" i="5"/>
  <c r="J11" i="5"/>
  <c r="Q18" i="5"/>
  <c r="G14" i="5"/>
  <c r="Y11" i="5"/>
  <c r="AL17" i="5"/>
  <c r="D13" i="5"/>
  <c r="G15" i="5"/>
  <c r="M10" i="5"/>
  <c r="M15" i="5"/>
  <c r="W12" i="5"/>
  <c r="S16" i="5"/>
  <c r="AF13" i="5"/>
  <c r="N19" i="5"/>
  <c r="M12" i="5"/>
  <c r="Q9" i="5"/>
  <c r="V6" i="5"/>
  <c r="Z13" i="5"/>
  <c r="AK6" i="5"/>
  <c r="J4" i="5"/>
  <c r="D9" i="5"/>
  <c r="T6" i="5"/>
  <c r="E11" i="5"/>
  <c r="M7" i="5"/>
  <c r="H47" i="4"/>
  <c r="AB7" i="5"/>
  <c r="AU47" i="4"/>
  <c r="AC46" i="4"/>
  <c r="AE10" i="5"/>
  <c r="AE5" i="5"/>
  <c r="AF9" i="5"/>
  <c r="BY47" i="4"/>
  <c r="V17" i="5"/>
  <c r="AF8" i="5"/>
  <c r="AK5" i="5"/>
  <c r="AE46" i="4"/>
  <c r="BJ44" i="4"/>
  <c r="Z43" i="4"/>
  <c r="AX41" i="4"/>
  <c r="BV39" i="4"/>
  <c r="AL38" i="4"/>
  <c r="BL36" i="4"/>
  <c r="V47" i="4"/>
  <c r="BA44" i="4"/>
  <c r="BI42" i="4"/>
  <c r="BY40" i="4"/>
  <c r="Y39" i="4"/>
  <c r="AW37" i="4"/>
  <c r="K47" i="4"/>
  <c r="AF45" i="4"/>
  <c r="AF43" i="4"/>
  <c r="AF41" i="4"/>
  <c r="AF39" i="4"/>
  <c r="AF37" i="4"/>
  <c r="N36" i="4"/>
  <c r="T47" i="4"/>
  <c r="W45" i="4"/>
  <c r="AE43" i="4"/>
  <c r="AU41" i="4"/>
  <c r="BC39" i="4"/>
  <c r="BS37" i="4"/>
  <c r="BA36" i="4"/>
  <c r="AQ47" i="4"/>
  <c r="BR45" i="4"/>
  <c r="AH44" i="4"/>
  <c r="BF42" i="4"/>
  <c r="V41" i="4"/>
  <c r="AT39" i="4"/>
  <c r="BR37" i="4"/>
  <c r="AQ46" i="4"/>
  <c r="BU44" i="4"/>
  <c r="AC43" i="4"/>
  <c r="AK41" i="4"/>
  <c r="BA39" i="4"/>
  <c r="BI37" i="4"/>
  <c r="AQ36" i="4"/>
  <c r="BX45" i="4"/>
  <c r="BX43" i="4"/>
  <c r="BX41" i="4"/>
  <c r="BX39" i="4"/>
  <c r="BX37" i="4"/>
  <c r="BF36" i="4"/>
  <c r="BX34" i="4"/>
  <c r="W46" i="4"/>
  <c r="AE44" i="4"/>
  <c r="AU42" i="4"/>
  <c r="BC40" i="4"/>
  <c r="BS38" i="4"/>
  <c r="AI37" i="4"/>
  <c r="G23" i="5"/>
  <c r="M18" i="5"/>
  <c r="V23" i="5"/>
  <c r="AF20" i="5"/>
  <c r="Y21" i="5"/>
  <c r="G16" i="5"/>
  <c r="V20" i="5"/>
  <c r="AK24" i="5"/>
  <c r="Q22" i="5"/>
  <c r="AI19" i="5"/>
  <c r="G22" i="5"/>
  <c r="G18" i="5"/>
  <c r="AB21" i="5"/>
  <c r="AH16" i="5"/>
  <c r="J15" i="5"/>
  <c r="V9" i="5"/>
  <c r="AB16" i="5"/>
  <c r="AC13" i="5"/>
  <c r="T20" i="5"/>
  <c r="AK16" i="5"/>
  <c r="J12" i="5"/>
  <c r="M14" i="5"/>
  <c r="AL21" i="5"/>
  <c r="AI14" i="5"/>
  <c r="N21" i="5"/>
  <c r="AC15" i="5"/>
  <c r="H13" i="5"/>
  <c r="AL15" i="5"/>
  <c r="Y10" i="5"/>
  <c r="V8" i="5"/>
  <c r="AB5" i="5"/>
  <c r="P9" i="5"/>
  <c r="M6" i="5"/>
  <c r="AH17" i="5"/>
  <c r="AC8" i="5"/>
  <c r="AH5" i="5"/>
  <c r="W10" i="5"/>
  <c r="Y5" i="5"/>
  <c r="BJ46" i="4"/>
  <c r="AH6" i="5"/>
  <c r="W47" i="4"/>
  <c r="AI16" i="5"/>
  <c r="J9" i="5"/>
  <c r="BR47" i="4"/>
  <c r="AH7" i="5"/>
  <c r="BA47" i="4"/>
  <c r="H12" i="5"/>
  <c r="N8" i="5"/>
  <c r="BU47" i="4"/>
  <c r="BV45" i="4"/>
  <c r="AL44" i="4"/>
  <c r="BJ42" i="4"/>
  <c r="Z41" i="4"/>
  <c r="AX39" i="4"/>
  <c r="BV37" i="4"/>
  <c r="AF36" i="4"/>
  <c r="BU45" i="4"/>
  <c r="AC44" i="4"/>
  <c r="AK42" i="4"/>
  <c r="BA40" i="4"/>
  <c r="BI38" i="4"/>
  <c r="Q37" i="4"/>
  <c r="BD46" i="4"/>
  <c r="BP44" i="4"/>
  <c r="BP42" i="4"/>
  <c r="BP40" i="4"/>
  <c r="BP38" i="4"/>
  <c r="H37" i="4"/>
  <c r="BM35" i="4"/>
  <c r="BM46" i="4"/>
  <c r="BG44" i="4"/>
  <c r="BO42" i="4"/>
  <c r="W41" i="4"/>
  <c r="AE39" i="4"/>
  <c r="AU37" i="4"/>
  <c r="AC36" i="4"/>
  <c r="S47" i="4"/>
  <c r="AT45" i="4"/>
  <c r="BR43" i="4"/>
  <c r="AH42" i="4"/>
  <c r="BF40" i="4"/>
  <c r="V39" i="4"/>
  <c r="AT37" i="4"/>
  <c r="Y46" i="4"/>
  <c r="AW44" i="4"/>
  <c r="BM42" i="4"/>
  <c r="BU40" i="4"/>
  <c r="AC39" i="4"/>
  <c r="AK37" i="4"/>
  <c r="AC5" i="5"/>
  <c r="AZ45" i="4"/>
  <c r="AZ43" i="4"/>
  <c r="AZ41" i="4"/>
  <c r="AZ39" i="4"/>
  <c r="AZ37" i="4"/>
  <c r="AH36" i="4"/>
  <c r="AX47" i="4"/>
  <c r="BG45" i="4"/>
  <c r="BO43" i="4"/>
  <c r="W42" i="4"/>
  <c r="AE40" i="4"/>
  <c r="AU38" i="4"/>
  <c r="K37" i="4"/>
  <c r="AZ35" i="4"/>
  <c r="N34" i="4"/>
  <c r="BV32" i="4"/>
  <c r="AK22" i="5"/>
  <c r="S17" i="5"/>
  <c r="N23" i="5"/>
  <c r="P20" i="5"/>
  <c r="AE20" i="5"/>
  <c r="AK15" i="5"/>
  <c r="AB19" i="5"/>
  <c r="AC24" i="5"/>
  <c r="AE21" i="5"/>
  <c r="AB24" i="5"/>
  <c r="AK21" i="5"/>
  <c r="AK17" i="5"/>
  <c r="D21" i="5"/>
  <c r="J16" i="5"/>
  <c r="P14" i="5"/>
  <c r="AB8" i="5"/>
  <c r="D16" i="5"/>
  <c r="M13" i="5"/>
  <c r="AL19" i="5"/>
  <c r="M16" i="5"/>
  <c r="P11" i="5"/>
  <c r="S13" i="5"/>
  <c r="AH19" i="5"/>
  <c r="S14" i="5"/>
  <c r="AB20" i="5"/>
  <c r="T15" i="5"/>
  <c r="AL12" i="5"/>
  <c r="S15" i="5"/>
  <c r="AE9" i="5"/>
  <c r="M8" i="5"/>
  <c r="T5" i="5"/>
  <c r="E9" i="5"/>
  <c r="E6" i="5"/>
  <c r="T11" i="5"/>
  <c r="S8" i="5"/>
  <c r="Z5" i="5"/>
  <c r="J10" i="5"/>
  <c r="P4" i="5"/>
  <c r="AT46" i="4"/>
  <c r="J6" i="5"/>
  <c r="G47" i="4"/>
  <c r="V15" i="5"/>
  <c r="AH8" i="5"/>
  <c r="BJ47" i="4"/>
  <c r="J7" i="5"/>
  <c r="AK47" i="4"/>
  <c r="AL11" i="5"/>
  <c r="Y7" i="5"/>
  <c r="AW47" i="4"/>
  <c r="BF45" i="4"/>
  <c r="V44" i="4"/>
  <c r="AT42" i="4"/>
  <c r="BR40" i="4"/>
  <c r="AH39" i="4"/>
  <c r="BF37" i="4"/>
  <c r="P36" i="4"/>
  <c r="BM45" i="4"/>
  <c r="BU43" i="4"/>
  <c r="AC42" i="4"/>
  <c r="AK40" i="4"/>
  <c r="BA38" i="4"/>
  <c r="BS36" i="4"/>
  <c r="AU46" i="4"/>
  <c r="AZ44" i="4"/>
  <c r="AZ42" i="4"/>
  <c r="AZ40" i="4"/>
  <c r="AZ38" i="4"/>
  <c r="BR36" i="4"/>
  <c r="AW35" i="4"/>
  <c r="BC46" i="4"/>
  <c r="AQ44" i="4"/>
  <c r="BG42" i="4"/>
  <c r="BO40" i="4"/>
  <c r="W39" i="4"/>
  <c r="AE37" i="4"/>
  <c r="M36" i="4"/>
  <c r="BV46" i="4"/>
  <c r="AL45" i="4"/>
  <c r="BJ43" i="4"/>
  <c r="Z42" i="4"/>
  <c r="AX40" i="4"/>
  <c r="BV38" i="4"/>
  <c r="AL37" i="4"/>
  <c r="BY45" i="4"/>
  <c r="Y44" i="4"/>
  <c r="AW42" i="4"/>
  <c r="BM40" i="4"/>
  <c r="BU38" i="4"/>
  <c r="AC37" i="4"/>
  <c r="BX47" i="4"/>
  <c r="AR45" i="4"/>
  <c r="AR43" i="4"/>
  <c r="AR41" i="4"/>
  <c r="AR39" i="4"/>
  <c r="AR37" i="4"/>
  <c r="Z36" i="4"/>
  <c r="Y47" i="4"/>
  <c r="AQ45" i="4"/>
  <c r="BG43" i="4"/>
  <c r="BO41" i="4"/>
  <c r="W40" i="4"/>
  <c r="AE38" i="4"/>
  <c r="BU36" i="4"/>
  <c r="AZ36" i="4"/>
  <c r="BX33" i="4"/>
  <c r="BF32" i="4"/>
  <c r="AE23" i="5"/>
  <c r="Y22" i="5"/>
  <c r="Z17" i="5"/>
  <c r="G12" i="5"/>
  <c r="AC6" i="5"/>
  <c r="AE47" i="4"/>
  <c r="AB4" i="5"/>
  <c r="BP46" i="4"/>
  <c r="BX42" i="4"/>
  <c r="AE41" i="4"/>
  <c r="BV40" i="4"/>
  <c r="BA37" i="4"/>
  <c r="BP34" i="4"/>
  <c r="BP35" i="4"/>
  <c r="BD31" i="4"/>
  <c r="AR29" i="4"/>
  <c r="BD27" i="4"/>
  <c r="N26" i="4"/>
  <c r="BF24" i="4"/>
  <c r="N37" i="4"/>
  <c r="E34" i="4"/>
  <c r="AW32" i="4"/>
  <c r="BI30" i="4"/>
  <c r="AI29" i="4"/>
  <c r="BC27" i="4"/>
  <c r="AK26" i="4"/>
  <c r="S25" i="4"/>
  <c r="BC23" i="4"/>
  <c r="AR34" i="4"/>
  <c r="Z33" i="4"/>
  <c r="BJ31" i="4"/>
  <c r="AR30" i="4"/>
  <c r="Z29" i="4"/>
  <c r="BJ27" i="4"/>
  <c r="AR26" i="4"/>
  <c r="Z25" i="4"/>
  <c r="BJ23" i="4"/>
  <c r="AQ34" i="4"/>
  <c r="Q33" i="4"/>
  <c r="BI31" i="4"/>
  <c r="AQ30" i="4"/>
  <c r="Q29" i="4"/>
  <c r="BI27" i="4"/>
  <c r="AQ26" i="4"/>
  <c r="Q25" i="4"/>
  <c r="BI23" i="4"/>
  <c r="BG34" i="4"/>
  <c r="P33" i="4"/>
  <c r="BX31" i="4"/>
  <c r="BF30" i="4"/>
  <c r="P29" i="4"/>
  <c r="BX27" i="4"/>
  <c r="BF26" i="4"/>
  <c r="P25" i="4"/>
  <c r="BX23" i="4"/>
  <c r="G36" i="4"/>
  <c r="Y34" i="4"/>
  <c r="BY32" i="4"/>
  <c r="BG31" i="4"/>
  <c r="Y30" i="4"/>
  <c r="BY28" i="4"/>
  <c r="BG27" i="4"/>
  <c r="Y26" i="4"/>
  <c r="AT35" i="4"/>
  <c r="V33" i="4"/>
  <c r="D32" i="4"/>
  <c r="BD30" i="4"/>
  <c r="V29" i="4"/>
  <c r="D28" i="4"/>
  <c r="BD26" i="4"/>
  <c r="V25" i="4"/>
  <c r="D24" i="4"/>
  <c r="BV34" i="4"/>
  <c r="BI33" i="4"/>
  <c r="AQ32" i="4"/>
  <c r="Q31" i="4"/>
  <c r="BI29" i="4"/>
  <c r="AQ28" i="4"/>
  <c r="Q27" i="4"/>
  <c r="BI25" i="4"/>
  <c r="AQ24" i="4"/>
  <c r="BA24" i="4"/>
  <c r="AC22" i="4"/>
  <c r="K21" i="4"/>
  <c r="AU19" i="4"/>
  <c r="V18" i="4"/>
  <c r="G23" i="4"/>
  <c r="BG22" i="4"/>
  <c r="Y21" i="4"/>
  <c r="BY19" i="4"/>
  <c r="BP18" i="4"/>
  <c r="E24" i="4"/>
  <c r="J22" i="4"/>
  <c r="AT20" i="4"/>
  <c r="AB19" i="4"/>
  <c r="K18" i="4"/>
  <c r="BM16" i="4"/>
  <c r="H15" i="4"/>
  <c r="AK12" i="4"/>
  <c r="BG23" i="4"/>
  <c r="BC21" i="4"/>
  <c r="AK20" i="4"/>
  <c r="S19" i="4"/>
  <c r="K23" i="4"/>
  <c r="AT21" i="4"/>
  <c r="AB20" i="4"/>
  <c r="J19" i="4"/>
  <c r="S23" i="4"/>
  <c r="BY21" i="4"/>
  <c r="BG20" i="4"/>
  <c r="Y19" i="4"/>
  <c r="BC17" i="4"/>
  <c r="AL16" i="4"/>
  <c r="M15" i="4"/>
  <c r="D14" i="4"/>
  <c r="BF12" i="4"/>
  <c r="BJ22" i="4"/>
  <c r="AR21" i="4"/>
  <c r="Z20" i="4"/>
  <c r="BC18" i="4"/>
  <c r="AF17" i="4"/>
  <c r="N15" i="4"/>
  <c r="T13" i="4"/>
  <c r="G11" i="4"/>
  <c r="BI9" i="4"/>
  <c r="AZ8" i="4"/>
  <c r="AI7" i="4"/>
  <c r="J6" i="4"/>
  <c r="AF4" i="4"/>
  <c r="S17" i="4"/>
  <c r="BJ15" i="4"/>
  <c r="BY13" i="4"/>
  <c r="BS11" i="4"/>
  <c r="BA10" i="4"/>
  <c r="AR9" i="4"/>
  <c r="S8" i="4"/>
  <c r="BU6" i="4"/>
  <c r="BX17" i="4"/>
  <c r="BR15" i="4"/>
  <c r="BX13" i="4"/>
  <c r="AB12" i="4"/>
  <c r="E11" i="4"/>
  <c r="BO9" i="4"/>
  <c r="AX8" i="4"/>
  <c r="Q7" i="4"/>
  <c r="AU5" i="4"/>
  <c r="AW17" i="4"/>
  <c r="BG15" i="4"/>
  <c r="Y14" i="4"/>
  <c r="AU12" i="4"/>
  <c r="BO10" i="4"/>
  <c r="AX9" i="4"/>
  <c r="Q8" i="4"/>
  <c r="AU6" i="4"/>
  <c r="V5" i="4"/>
  <c r="P17" i="4"/>
  <c r="BF15" i="4"/>
  <c r="E14" i="4"/>
  <c r="Y12" i="4"/>
  <c r="S11" i="4"/>
  <c r="BU9" i="4"/>
  <c r="P8" i="4"/>
  <c r="AK18" i="5"/>
  <c r="E20" i="5"/>
  <c r="AK13" i="5"/>
  <c r="H16" i="5"/>
  <c r="BV47" i="4"/>
  <c r="G17" i="5"/>
  <c r="V46" i="4"/>
  <c r="AK44" i="4"/>
  <c r="BX40" i="4"/>
  <c r="AU39" i="4"/>
  <c r="AL39" i="4"/>
  <c r="AI36" i="4"/>
  <c r="BO45" i="4"/>
  <c r="AL34" i="4"/>
  <c r="AF31" i="4"/>
  <c r="T29" i="4"/>
  <c r="AF27" i="4"/>
  <c r="BX25" i="4"/>
  <c r="AX24" i="4"/>
  <c r="AB36" i="4"/>
  <c r="BO33" i="4"/>
  <c r="Q32" i="4"/>
  <c r="BA30" i="4"/>
  <c r="S29" i="4"/>
  <c r="AU27" i="4"/>
  <c r="AC26" i="4"/>
  <c r="K25" i="4"/>
  <c r="AU23" i="4"/>
  <c r="AB34" i="4"/>
  <c r="J33" i="4"/>
  <c r="AT31" i="4"/>
  <c r="AB30" i="4"/>
  <c r="J29" i="4"/>
  <c r="AT27" i="4"/>
  <c r="AB26" i="4"/>
  <c r="J25" i="4"/>
  <c r="AT23" i="4"/>
  <c r="AI34" i="4"/>
  <c r="BS32" i="4"/>
  <c r="BA31" i="4"/>
  <c r="AI30" i="4"/>
  <c r="BS28" i="4"/>
  <c r="BA27" i="4"/>
  <c r="AI26" i="4"/>
  <c r="BS24" i="4"/>
  <c r="BA23" i="4"/>
  <c r="AX34" i="4"/>
  <c r="H33" i="4"/>
  <c r="BP31" i="4"/>
  <c r="AX30" i="4"/>
  <c r="H29" i="4"/>
  <c r="BP27" i="4"/>
  <c r="AX26" i="4"/>
  <c r="H25" i="4"/>
  <c r="BP23" i="4"/>
  <c r="BR35" i="4"/>
  <c r="Q34" i="4"/>
  <c r="BI32" i="4"/>
  <c r="AQ31" i="4"/>
  <c r="Q30" i="4"/>
  <c r="BI28" i="4"/>
  <c r="AQ27" i="4"/>
  <c r="Q26" i="4"/>
  <c r="AF34" i="4"/>
  <c r="N33" i="4"/>
  <c r="BV31" i="4"/>
  <c r="AF30" i="4"/>
  <c r="N29" i="4"/>
  <c r="BV27" i="4"/>
  <c r="AF26" i="4"/>
  <c r="N25" i="4"/>
  <c r="BV23" i="4"/>
  <c r="BM34" i="4"/>
  <c r="BA33" i="4"/>
  <c r="AI32" i="4"/>
  <c r="BS30" i="4"/>
  <c r="BA29" i="4"/>
  <c r="AI28" i="4"/>
  <c r="BS26" i="4"/>
  <c r="BA25" i="4"/>
  <c r="AI24" i="4"/>
  <c r="BO23" i="4"/>
  <c r="M22" i="4"/>
  <c r="BU20" i="4"/>
  <c r="AE19" i="4"/>
  <c r="N18" i="4"/>
  <c r="BX22" i="4"/>
  <c r="AQ22" i="4"/>
  <c r="Q21" i="4"/>
  <c r="BI19" i="4"/>
  <c r="AZ18" i="4"/>
  <c r="M23" i="4"/>
  <c r="BL21" i="4"/>
  <c r="AL20" i="4"/>
  <c r="T19" i="4"/>
  <c r="BV17" i="4"/>
  <c r="AW16" i="4"/>
  <c r="BS14" i="4"/>
  <c r="AT13" i="4"/>
  <c r="AC12" i="4"/>
  <c r="W23" i="4"/>
  <c r="AU21" i="4"/>
  <c r="AC20" i="4"/>
  <c r="K19" i="4"/>
  <c r="BL22" i="4"/>
  <c r="AL21" i="4"/>
  <c r="T20" i="4"/>
  <c r="BU18" i="4"/>
  <c r="J23" i="4"/>
  <c r="BI21" i="4"/>
  <c r="AQ20" i="4"/>
  <c r="Q19" i="4"/>
  <c r="AU17" i="4"/>
  <c r="V16" i="4"/>
  <c r="E15" i="4"/>
  <c r="BO13" i="4"/>
  <c r="AX12" i="4"/>
  <c r="AT22" i="4"/>
  <c r="AB21" i="4"/>
  <c r="J20" i="4"/>
  <c r="AU18" i="4"/>
  <c r="T17" i="4"/>
  <c r="BI14" i="4"/>
  <c r="BR12" i="4"/>
  <c r="BR10" i="4"/>
  <c r="BA9" i="4"/>
  <c r="AR8" i="4"/>
  <c r="S7" i="4"/>
  <c r="BU5" i="4"/>
  <c r="J21" i="4"/>
  <c r="K17" i="4"/>
  <c r="AE15" i="4"/>
  <c r="BD13" i="4"/>
  <c r="BJ11" i="4"/>
  <c r="AK10" i="4"/>
  <c r="AB9" i="4"/>
  <c r="K8" i="4"/>
  <c r="BM6" i="4"/>
  <c r="BL17" i="4"/>
  <c r="AX15" i="4"/>
  <c r="BM13" i="4"/>
  <c r="S12" i="4"/>
  <c r="BX10" i="4"/>
  <c r="BG9" i="4"/>
  <c r="AH8" i="4"/>
  <c r="BL6" i="4"/>
  <c r="AE5" i="4"/>
  <c r="Q17" i="4"/>
  <c r="AW15" i="4"/>
  <c r="BV13" i="4"/>
  <c r="AL12" i="4"/>
  <c r="BG10" i="4"/>
  <c r="AH9" i="4"/>
  <c r="BL7" i="4"/>
  <c r="AE6" i="4"/>
  <c r="N5" i="4"/>
  <c r="BL16" i="4"/>
  <c r="AU15" i="4"/>
  <c r="BU13" i="4"/>
  <c r="Q12" i="4"/>
  <c r="K11" i="4"/>
  <c r="BM9" i="4"/>
  <c r="H8" i="4"/>
  <c r="P20" i="4"/>
  <c r="BO15" i="4"/>
  <c r="AL23" i="5"/>
  <c r="AE22" i="5"/>
  <c r="V21" i="5"/>
  <c r="P13" i="5"/>
  <c r="AK8" i="5"/>
  <c r="G10" i="5"/>
  <c r="AT44" i="4"/>
  <c r="BA42" i="4"/>
  <c r="BX38" i="4"/>
  <c r="BC37" i="4"/>
  <c r="BJ37" i="4"/>
  <c r="BP45" i="4"/>
  <c r="W44" i="4"/>
  <c r="V34" i="4"/>
  <c r="P31" i="4"/>
  <c r="D29" i="4"/>
  <c r="P27" i="4"/>
  <c r="BP25" i="4"/>
  <c r="AH24" i="4"/>
  <c r="BL35" i="4"/>
  <c r="AQ33" i="4"/>
  <c r="BS31" i="4"/>
  <c r="AK30" i="4"/>
  <c r="K29" i="4"/>
  <c r="AE27" i="4"/>
  <c r="M26" i="4"/>
  <c r="BU24" i="4"/>
  <c r="AE23" i="4"/>
  <c r="T34" i="4"/>
  <c r="BL32" i="4"/>
  <c r="AL31" i="4"/>
  <c r="T30" i="4"/>
  <c r="BL28" i="4"/>
  <c r="AL27" i="4"/>
  <c r="T26" i="4"/>
  <c r="BL24" i="4"/>
  <c r="AL23" i="4"/>
  <c r="S34" i="4"/>
  <c r="BC32" i="4"/>
  <c r="AK31" i="4"/>
  <c r="S30" i="4"/>
  <c r="BC28" i="4"/>
  <c r="AK27" i="4"/>
  <c r="S26" i="4"/>
  <c r="BC24" i="4"/>
  <c r="AK23" i="4"/>
  <c r="AH34" i="4"/>
  <c r="BR32" i="4"/>
  <c r="AZ31" i="4"/>
  <c r="AH30" i="4"/>
  <c r="BR28" i="4"/>
  <c r="AZ27" i="4"/>
  <c r="AH26" i="4"/>
  <c r="BR24" i="4"/>
  <c r="AZ23" i="4"/>
  <c r="BF35" i="4"/>
  <c r="BS33" i="4"/>
  <c r="BA32" i="4"/>
  <c r="AI31" i="4"/>
  <c r="BS29" i="4"/>
  <c r="BA28" i="4"/>
  <c r="AI27" i="4"/>
  <c r="BS25" i="4"/>
  <c r="P34" i="4"/>
  <c r="BX32" i="4"/>
  <c r="BF31" i="4"/>
  <c r="P30" i="4"/>
  <c r="BX28" i="4"/>
  <c r="BF27" i="4"/>
  <c r="P26" i="4"/>
  <c r="BX24" i="4"/>
  <c r="BF23" i="4"/>
  <c r="BC34" i="4"/>
  <c r="AK33" i="4"/>
  <c r="S32" i="4"/>
  <c r="BC30" i="4"/>
  <c r="AK29" i="4"/>
  <c r="S28" i="4"/>
  <c r="BC26" i="4"/>
  <c r="AK25" i="4"/>
  <c r="S24" i="4"/>
  <c r="Q23" i="4"/>
  <c r="E22" i="4"/>
  <c r="BM20" i="4"/>
  <c r="W19" i="4"/>
  <c r="BY17" i="4"/>
  <c r="BP22" i="4"/>
  <c r="AI22" i="4"/>
  <c r="BS20" i="4"/>
  <c r="BA19" i="4"/>
  <c r="AR18" i="4"/>
  <c r="E23" i="4"/>
  <c r="BD21" i="4"/>
  <c r="V20" i="4"/>
  <c r="D19" i="4"/>
  <c r="BF17" i="4"/>
  <c r="Y16" i="4"/>
  <c r="BC14" i="4"/>
  <c r="AL13" i="4"/>
  <c r="M12" i="4"/>
  <c r="BU22" i="4"/>
  <c r="AE21" i="4"/>
  <c r="M20" i="4"/>
  <c r="BV18" i="4"/>
  <c r="BD22" i="4"/>
  <c r="V21" i="4"/>
  <c r="D20" i="4"/>
  <c r="BM18" i="4"/>
  <c r="BS22" i="4"/>
  <c r="BA21" i="4"/>
  <c r="AI20" i="4"/>
  <c r="BL18" i="4"/>
  <c r="AE17" i="4"/>
  <c r="N16" i="4"/>
  <c r="BX14" i="4"/>
  <c r="BG13" i="4"/>
  <c r="AH12" i="4"/>
  <c r="AL22" i="4"/>
  <c r="T21" i="4"/>
  <c r="BL19" i="4"/>
  <c r="AE18" i="4"/>
  <c r="BG16" i="4"/>
  <c r="AX14" i="4"/>
  <c r="BJ12" i="4"/>
  <c r="BJ10" i="4"/>
  <c r="AK9" i="4"/>
  <c r="AB8" i="4"/>
  <c r="K7" i="4"/>
  <c r="BM5" i="4"/>
  <c r="H20" i="4"/>
  <c r="BP16" i="4"/>
  <c r="V15" i="4"/>
  <c r="AK13" i="4"/>
  <c r="AT11" i="4"/>
  <c r="AC10" i="4"/>
  <c r="T9" i="4"/>
  <c r="BV7" i="4"/>
  <c r="AW6" i="4"/>
  <c r="AB17" i="4"/>
  <c r="K15" i="4"/>
  <c r="BC13" i="4"/>
  <c r="BR11" i="4"/>
  <c r="BP10" i="4"/>
  <c r="AQ9" i="4"/>
  <c r="Z8" i="4"/>
  <c r="W5" i="4"/>
  <c r="H17" i="4"/>
  <c r="AB15" i="4"/>
  <c r="BL13" i="4"/>
  <c r="H12" i="4"/>
  <c r="AQ10" i="4"/>
  <c r="Z9" i="4"/>
  <c r="BD7" i="4"/>
  <c r="W6" i="4"/>
  <c r="BY4" i="4"/>
  <c r="BC16" i="4"/>
  <c r="AL15" i="4"/>
  <c r="BA13" i="4"/>
  <c r="J21" i="5"/>
  <c r="W18" i="5"/>
  <c r="J17" i="5"/>
  <c r="T18" i="5"/>
  <c r="D6" i="5"/>
  <c r="V4" i="5"/>
  <c r="BR42" i="4"/>
  <c r="BI40" i="4"/>
  <c r="P37" i="4"/>
  <c r="AK36" i="4"/>
  <c r="AH46" i="4"/>
  <c r="BP43" i="4"/>
  <c r="AE42" i="4"/>
  <c r="AR33" i="4"/>
  <c r="BJ30" i="4"/>
  <c r="BV28" i="4"/>
  <c r="H27" i="4"/>
  <c r="AZ25" i="4"/>
  <c r="Z24" i="4"/>
  <c r="BJ34" i="4"/>
  <c r="AI33" i="4"/>
  <c r="BC31" i="4"/>
  <c r="AC30" i="4"/>
  <c r="BU28" i="4"/>
  <c r="W27" i="4"/>
  <c r="E26" i="4"/>
  <c r="BM24" i="4"/>
  <c r="BP36" i="4"/>
  <c r="D34" i="4"/>
  <c r="BD32" i="4"/>
  <c r="V31" i="4"/>
  <c r="D30" i="4"/>
  <c r="BD28" i="4"/>
  <c r="V27" i="4"/>
  <c r="D26" i="4"/>
  <c r="BD24" i="4"/>
  <c r="V23" i="4"/>
  <c r="K34" i="4"/>
  <c r="AU32" i="4"/>
  <c r="AC31" i="4"/>
  <c r="K30" i="4"/>
  <c r="AU28" i="4"/>
  <c r="AC27" i="4"/>
  <c r="K26" i="4"/>
  <c r="AU24" i="4"/>
  <c r="AC23" i="4"/>
  <c r="Z34" i="4"/>
  <c r="BJ32" i="4"/>
  <c r="AR31" i="4"/>
  <c r="Z30" i="4"/>
  <c r="BJ28" i="4"/>
  <c r="AR27" i="4"/>
  <c r="Z26" i="4"/>
  <c r="BJ24" i="4"/>
  <c r="AR23" i="4"/>
  <c r="AU35" i="4"/>
  <c r="BC33" i="4"/>
  <c r="AK32" i="4"/>
  <c r="S31" i="4"/>
  <c r="BC29" i="4"/>
  <c r="AK28" i="4"/>
  <c r="S27" i="4"/>
  <c r="BC25" i="4"/>
  <c r="H34" i="4"/>
  <c r="BP32" i="4"/>
  <c r="AX31" i="4"/>
  <c r="H30" i="4"/>
  <c r="BP28" i="4"/>
  <c r="AX27" i="4"/>
  <c r="H26" i="4"/>
  <c r="BP24" i="4"/>
  <c r="AX23" i="4"/>
  <c r="AU34" i="4"/>
  <c r="AC33" i="4"/>
  <c r="K32" i="4"/>
  <c r="AU30" i="4"/>
  <c r="AC29" i="4"/>
  <c r="K28" i="4"/>
  <c r="AU26" i="4"/>
  <c r="AC25" i="4"/>
  <c r="K24" i="4"/>
  <c r="H23" i="4"/>
  <c r="BO21" i="4"/>
  <c r="AW20" i="4"/>
  <c r="G19" i="4"/>
  <c r="BI17" i="4"/>
  <c r="AZ22" i="4"/>
  <c r="S22" i="4"/>
  <c r="BC20" i="4"/>
  <c r="AK19" i="4"/>
  <c r="AB18" i="4"/>
  <c r="BV22" i="4"/>
  <c r="AF21" i="4"/>
  <c r="N20" i="4"/>
  <c r="BO18" i="4"/>
  <c r="AX17" i="4"/>
  <c r="Q16" i="4"/>
  <c r="AU14" i="4"/>
  <c r="V13" i="4"/>
  <c r="E12" i="4"/>
  <c r="BM22" i="4"/>
  <c r="W21" i="4"/>
  <c r="E20" i="4"/>
  <c r="BF18" i="4"/>
  <c r="AF22" i="4"/>
  <c r="N21" i="4"/>
  <c r="BV19" i="4"/>
  <c r="AW18" i="4"/>
  <c r="BC22" i="4"/>
  <c r="AK21" i="4"/>
  <c r="S20" i="4"/>
  <c r="BD18" i="4"/>
  <c r="W17" i="4"/>
  <c r="BY15" i="4"/>
  <c r="BP14" i="4"/>
  <c r="AQ13" i="4"/>
  <c r="Z12" i="4"/>
  <c r="V22" i="4"/>
  <c r="D21" i="4"/>
  <c r="BD19" i="4"/>
  <c r="W18" i="4"/>
  <c r="AE16" i="4"/>
  <c r="AC14" i="4"/>
  <c r="AE12" i="4"/>
  <c r="AT10" i="4"/>
  <c r="AC9" i="4"/>
  <c r="T8" i="4"/>
  <c r="BV6" i="4"/>
  <c r="AW5" i="4"/>
  <c r="AT19" i="4"/>
  <c r="BF16" i="4"/>
  <c r="BR14" i="4"/>
  <c r="AB13" i="4"/>
  <c r="AL11" i="4"/>
  <c r="M10" i="4"/>
  <c r="D9" i="4"/>
  <c r="BF7" i="4"/>
  <c r="AX21" i="4"/>
  <c r="BY16" i="4"/>
  <c r="BF14" i="4"/>
  <c r="AU13" i="4"/>
  <c r="BI11" i="4"/>
  <c r="AZ10" i="4"/>
  <c r="AI9" i="4"/>
  <c r="J8" i="4"/>
  <c r="S22" i="5"/>
  <c r="V22" i="5"/>
  <c r="AH12" i="5"/>
  <c r="S11" i="5"/>
  <c r="AH10" i="5"/>
  <c r="G8" i="5"/>
  <c r="AH41" i="4"/>
  <c r="BY38" i="4"/>
  <c r="BU35" i="4"/>
  <c r="AB47" i="4"/>
  <c r="BM44" i="4"/>
  <c r="BP41" i="4"/>
  <c r="AU40" i="4"/>
  <c r="T33" i="4"/>
  <c r="AL30" i="4"/>
  <c r="BF28" i="4"/>
  <c r="BR26" i="4"/>
  <c r="AR25" i="4"/>
  <c r="BL23" i="4"/>
  <c r="BA34" i="4"/>
  <c r="S33" i="4"/>
  <c r="AU31" i="4"/>
  <c r="M30" i="4"/>
  <c r="BM28" i="4"/>
  <c r="G27" i="4"/>
  <c r="BO25" i="4"/>
  <c r="AW24" i="4"/>
  <c r="BV35" i="4"/>
  <c r="BV33" i="4"/>
  <c r="AF32" i="4"/>
  <c r="N31" i="4"/>
  <c r="BV29" i="4"/>
  <c r="AF28" i="4"/>
  <c r="N27" i="4"/>
  <c r="BV25" i="4"/>
  <c r="AF24" i="4"/>
  <c r="K36" i="4"/>
  <c r="BU33" i="4"/>
  <c r="AE32" i="4"/>
  <c r="M31" i="4"/>
  <c r="BU29" i="4"/>
  <c r="AE28" i="4"/>
  <c r="M27" i="4"/>
  <c r="BU25" i="4"/>
  <c r="AE24" i="4"/>
  <c r="AR36" i="4"/>
  <c r="J34" i="4"/>
  <c r="AT32" i="4"/>
  <c r="AB31" i="4"/>
  <c r="J30" i="4"/>
  <c r="AT28" i="4"/>
  <c r="AB27" i="4"/>
  <c r="J26" i="4"/>
  <c r="AT24" i="4"/>
  <c r="AB23" i="4"/>
  <c r="BY34" i="4"/>
  <c r="AU33" i="4"/>
  <c r="AC32" i="4"/>
  <c r="K31" i="4"/>
  <c r="AU29" i="4"/>
  <c r="AC28" i="4"/>
  <c r="K27" i="4"/>
  <c r="AU25" i="4"/>
  <c r="BR33" i="4"/>
  <c r="AZ32" i="4"/>
  <c r="AH31" i="4"/>
  <c r="BR29" i="4"/>
  <c r="AZ28" i="4"/>
  <c r="AH27" i="4"/>
  <c r="BR25" i="4"/>
  <c r="AZ24" i="4"/>
  <c r="S36" i="4"/>
  <c r="AE34" i="4"/>
  <c r="M33" i="4"/>
  <c r="BU31" i="4"/>
  <c r="AE30" i="4"/>
  <c r="M29" i="4"/>
  <c r="BU27" i="4"/>
  <c r="AE26" i="4"/>
  <c r="M25" i="4"/>
  <c r="BU23" i="4"/>
  <c r="BY22" i="4"/>
  <c r="BG21" i="4"/>
  <c r="Y20" i="4"/>
  <c r="BR18" i="4"/>
  <c r="BA17" i="4"/>
  <c r="AQ23" i="4"/>
  <c r="K22" i="4"/>
  <c r="AU20" i="4"/>
  <c r="AC19" i="4"/>
  <c r="T18" i="4"/>
  <c r="BF22" i="4"/>
  <c r="P21" i="4"/>
  <c r="BX19" i="4"/>
  <c r="BG18" i="4"/>
  <c r="AH17" i="4"/>
  <c r="BL15" i="4"/>
  <c r="AE14" i="4"/>
  <c r="N13" i="4"/>
  <c r="BX11" i="4"/>
  <c r="AW22" i="4"/>
  <c r="G21" i="4"/>
  <c r="BO19" i="4"/>
  <c r="AX18" i="4"/>
  <c r="P22" i="4"/>
  <c r="BX20" i="4"/>
  <c r="BF19" i="4"/>
  <c r="Y18" i="4"/>
  <c r="AU22" i="4"/>
  <c r="AC21" i="4"/>
  <c r="K20" i="4"/>
  <c r="AF18" i="4"/>
  <c r="G17" i="4"/>
  <c r="BI15" i="4"/>
  <c r="AZ14" i="4"/>
  <c r="AI13" i="4"/>
  <c r="J12" i="4"/>
  <c r="N22" i="4"/>
  <c r="BV20" i="4"/>
  <c r="AF19" i="4"/>
  <c r="G18" i="4"/>
  <c r="K16" i="4"/>
  <c r="J14" i="4"/>
  <c r="BC11" i="4"/>
  <c r="AL10" i="4"/>
  <c r="M9" i="4"/>
  <c r="D8" i="4"/>
  <c r="BF6" i="4"/>
  <c r="Y5" i="4"/>
  <c r="V19" i="4"/>
  <c r="AX16" i="4"/>
  <c r="BG14" i="4"/>
  <c r="H13" i="4"/>
  <c r="V11" i="4"/>
  <c r="E10" i="4"/>
  <c r="BO8" i="4"/>
  <c r="AX7" i="4"/>
  <c r="BL20" i="4"/>
  <c r="BO16" i="4"/>
  <c r="AK14" i="4"/>
  <c r="Q13" i="4"/>
  <c r="BA11" i="4"/>
  <c r="AR10" i="4"/>
  <c r="S9" i="4"/>
  <c r="BU7" i="4"/>
  <c r="P6" i="4"/>
  <c r="Z21" i="4"/>
  <c r="BD16" i="4"/>
  <c r="J15" i="4"/>
  <c r="Z13" i="4"/>
  <c r="AR11" i="4"/>
  <c r="S10" i="4"/>
  <c r="BU8" i="4"/>
  <c r="P7" i="4"/>
  <c r="BR5" i="4"/>
  <c r="BU17" i="4"/>
  <c r="P16" i="4"/>
  <c r="BY14" i="4"/>
  <c r="Y13" i="4"/>
  <c r="BO11" i="4"/>
  <c r="AE16" i="5"/>
  <c r="D17" i="5"/>
  <c r="AK14" i="5"/>
  <c r="AE8" i="5"/>
  <c r="S6" i="5"/>
  <c r="BI47" i="4"/>
  <c r="BF39" i="4"/>
  <c r="Y37" i="4"/>
  <c r="J47" i="4"/>
  <c r="BJ45" i="4"/>
  <c r="BU42" i="4"/>
  <c r="BP39" i="4"/>
  <c r="BC38" i="4"/>
  <c r="D33" i="4"/>
  <c r="V30" i="4"/>
  <c r="AX28" i="4"/>
  <c r="BJ26" i="4"/>
  <c r="T25" i="4"/>
  <c r="BD23" i="4"/>
  <c r="AK34" i="4"/>
  <c r="K33" i="4"/>
  <c r="AE31" i="4"/>
  <c r="E30" i="4"/>
  <c r="AW28" i="4"/>
  <c r="BY26" i="4"/>
  <c r="BG25" i="4"/>
  <c r="Y24" i="4"/>
  <c r="BS34" i="4"/>
  <c r="BF33" i="4"/>
  <c r="P32" i="4"/>
  <c r="BX30" i="4"/>
  <c r="BF29" i="4"/>
  <c r="P28" i="4"/>
  <c r="BX26" i="4"/>
  <c r="BF25" i="4"/>
  <c r="P24" i="4"/>
  <c r="BJ35" i="4"/>
  <c r="BM33" i="4"/>
  <c r="W32" i="4"/>
  <c r="E31" i="4"/>
  <c r="BM29" i="4"/>
  <c r="W28" i="4"/>
  <c r="E27" i="4"/>
  <c r="BM25" i="4"/>
  <c r="W24" i="4"/>
  <c r="W36" i="4"/>
  <c r="BL33" i="4"/>
  <c r="AL32" i="4"/>
  <c r="T31" i="4"/>
  <c r="BL29" i="4"/>
  <c r="AL28" i="4"/>
  <c r="T27" i="4"/>
  <c r="BL25" i="4"/>
  <c r="AL24" i="4"/>
  <c r="T23" i="4"/>
  <c r="BO34" i="4"/>
  <c r="AE33" i="4"/>
  <c r="M32" i="4"/>
  <c r="BU30" i="4"/>
  <c r="AE29" i="4"/>
  <c r="M28" i="4"/>
  <c r="BU26" i="4"/>
  <c r="AE25" i="4"/>
  <c r="BJ33" i="4"/>
  <c r="AR32" i="4"/>
  <c r="Z31" i="4"/>
  <c r="BJ29" i="4"/>
  <c r="AR28" i="4"/>
  <c r="Z27" i="4"/>
  <c r="BJ25" i="4"/>
  <c r="AR24" i="4"/>
  <c r="D36" i="4"/>
  <c r="W34" i="4"/>
  <c r="E33" i="4"/>
  <c r="BM31" i="4"/>
  <c r="W30" i="4"/>
  <c r="E29" i="4"/>
  <c r="BM27" i="4"/>
  <c r="W26" i="4"/>
  <c r="E25" i="4"/>
  <c r="BM23" i="4"/>
  <c r="BI22" i="4"/>
  <c r="AQ21" i="4"/>
  <c r="Q20" i="4"/>
  <c r="BJ18" i="4"/>
  <c r="AK17" i="4"/>
  <c r="Z23" i="4"/>
  <c r="BU21" i="4"/>
  <c r="AE20" i="4"/>
  <c r="M19" i="4"/>
  <c r="D18" i="4"/>
  <c r="AX22" i="4"/>
  <c r="H21" i="4"/>
  <c r="BP19" i="4"/>
  <c r="AQ18" i="4"/>
  <c r="Z17" i="4"/>
  <c r="BD15" i="4"/>
  <c r="W14" i="4"/>
  <c r="BY12" i="4"/>
  <c r="BP11" i="4"/>
  <c r="Y22" i="4"/>
  <c r="BY20" i="4"/>
  <c r="BG19" i="4"/>
  <c r="AH18" i="4"/>
  <c r="H22" i="4"/>
  <c r="BP20" i="4"/>
  <c r="AX19" i="4"/>
  <c r="Q18" i="4"/>
  <c r="AE22" i="4"/>
  <c r="M21" i="4"/>
  <c r="BU19" i="4"/>
  <c r="P18" i="4"/>
  <c r="BR16" i="4"/>
  <c r="BA15" i="4"/>
  <c r="AR14" i="4"/>
  <c r="S13" i="4"/>
  <c r="BY24" i="4"/>
  <c r="BX21" i="4"/>
  <c r="BF20" i="4"/>
  <c r="P19" i="4"/>
  <c r="BR17" i="4"/>
  <c r="AZ15" i="4"/>
  <c r="BP13" i="4"/>
  <c r="AU11" i="4"/>
  <c r="V10" i="4"/>
  <c r="E9" i="4"/>
  <c r="BO7" i="4"/>
  <c r="P21" i="5"/>
  <c r="P16" i="5"/>
  <c r="S9" i="5"/>
  <c r="N6" i="5"/>
  <c r="BR46" i="4"/>
  <c r="J13" i="5"/>
  <c r="V38" i="4"/>
  <c r="BX46" i="4"/>
  <c r="BO44" i="4"/>
  <c r="Z44" i="4"/>
  <c r="AC41" i="4"/>
  <c r="BP37" i="4"/>
  <c r="S37" i="4"/>
  <c r="Z32" i="4"/>
  <c r="N30" i="4"/>
  <c r="Z28" i="4"/>
  <c r="AL26" i="4"/>
  <c r="D25" i="4"/>
  <c r="AF23" i="4"/>
  <c r="AC34" i="4"/>
  <c r="BU32" i="4"/>
  <c r="W31" i="4"/>
  <c r="BO29" i="4"/>
  <c r="Q28" i="4"/>
  <c r="BI26" i="4"/>
  <c r="AQ25" i="4"/>
  <c r="Q24" i="4"/>
  <c r="BI34" i="4"/>
  <c r="AX33" i="4"/>
  <c r="H32" i="4"/>
  <c r="BP30" i="4"/>
  <c r="AX29" i="4"/>
  <c r="H28" i="4"/>
  <c r="BP26" i="4"/>
  <c r="AX25" i="4"/>
  <c r="H24" i="4"/>
  <c r="AX35" i="4"/>
  <c r="AW33" i="4"/>
  <c r="G32" i="4"/>
  <c r="BO30" i="4"/>
  <c r="AW29" i="4"/>
  <c r="G28" i="4"/>
  <c r="BO26" i="4"/>
  <c r="AW25" i="4"/>
  <c r="G24" i="4"/>
  <c r="BS35" i="4"/>
  <c r="BD33" i="4"/>
  <c r="V32" i="4"/>
  <c r="D31" i="4"/>
  <c r="BD29" i="4"/>
  <c r="V28" i="4"/>
  <c r="D27" i="4"/>
  <c r="BD25" i="4"/>
  <c r="V24" i="4"/>
  <c r="D23" i="4"/>
  <c r="BF34" i="4"/>
  <c r="W33" i="4"/>
  <c r="E32" i="4"/>
  <c r="BM30" i="4"/>
  <c r="W29" i="4"/>
  <c r="E28" i="4"/>
  <c r="BM26" i="4"/>
  <c r="BX36" i="4"/>
  <c r="AT33" i="4"/>
  <c r="AB32" i="4"/>
  <c r="J31" i="4"/>
  <c r="AT29" i="4"/>
  <c r="AB28" i="4"/>
  <c r="J27" i="4"/>
  <c r="AT25" i="4"/>
  <c r="AB24" i="4"/>
  <c r="BO35" i="4"/>
  <c r="G34" i="4"/>
  <c r="BO32" i="4"/>
  <c r="AW31" i="4"/>
  <c r="G30" i="4"/>
  <c r="BO28" i="4"/>
  <c r="AW27" i="4"/>
  <c r="G26" i="4"/>
  <c r="BO24" i="4"/>
  <c r="AW23" i="4"/>
  <c r="BA22" i="4"/>
  <c r="AI21" i="4"/>
  <c r="BS19" i="4"/>
  <c r="AT18" i="4"/>
  <c r="AC17" i="4"/>
  <c r="N23" i="4"/>
  <c r="BM21" i="4"/>
  <c r="W20" i="4"/>
  <c r="E19" i="4"/>
  <c r="BO17" i="4"/>
  <c r="AH22" i="4"/>
  <c r="BR20" i="4"/>
  <c r="AZ19" i="4"/>
  <c r="AI18" i="4"/>
  <c r="J17" i="4"/>
  <c r="AF15" i="4"/>
  <c r="G14" i="4"/>
  <c r="BI12" i="4"/>
  <c r="G25" i="4"/>
  <c r="Q22" i="4"/>
  <c r="BI20" i="4"/>
  <c r="AQ19" i="4"/>
  <c r="AK24" i="4"/>
  <c r="BR21" i="4"/>
  <c r="AZ20" i="4"/>
  <c r="AH19" i="4"/>
  <c r="W25" i="4"/>
  <c r="W22" i="4"/>
  <c r="E21" i="4"/>
  <c r="BM19" i="4"/>
  <c r="H18" i="4"/>
  <c r="BJ16" i="4"/>
  <c r="AK15" i="4"/>
  <c r="AB14" i="4"/>
  <c r="K13" i="4"/>
  <c r="M24" i="4"/>
  <c r="BP21" i="4"/>
  <c r="AX20" i="4"/>
  <c r="H19" i="4"/>
  <c r="BV21" i="4"/>
  <c r="AQ15" i="4"/>
  <c r="AW13" i="4"/>
  <c r="AE11" i="4"/>
  <c r="N10" i="4"/>
  <c r="BX8" i="4"/>
  <c r="BG7" i="4"/>
  <c r="AH6" i="4"/>
  <c r="BL4" i="4"/>
  <c r="BM17" i="4"/>
  <c r="J16" i="4"/>
  <c r="AL14" i="4"/>
  <c r="T12" i="4"/>
  <c r="BY10" i="4"/>
  <c r="BP9" i="4"/>
  <c r="AQ8" i="4"/>
  <c r="AB15" i="5"/>
  <c r="P10" i="5"/>
  <c r="E15" i="5"/>
  <c r="Z10" i="5"/>
  <c r="D7" i="5"/>
  <c r="W8" i="5"/>
  <c r="BD36" i="4"/>
  <c r="BX44" i="4"/>
  <c r="W43" i="4"/>
  <c r="AX42" i="4"/>
  <c r="AK39" i="4"/>
  <c r="AX36" i="4"/>
  <c r="BX35" i="4"/>
  <c r="BL31" i="4"/>
  <c r="BX29" i="4"/>
  <c r="BL27" i="4"/>
  <c r="V26" i="4"/>
  <c r="BV24" i="4"/>
  <c r="P23" i="4"/>
  <c r="M34" i="4"/>
  <c r="BM32" i="4"/>
  <c r="G31" i="4"/>
  <c r="AQ29" i="4"/>
  <c r="BS27" i="4"/>
  <c r="BA26" i="4"/>
  <c r="AI25" i="4"/>
  <c r="BS23" i="4"/>
  <c r="AZ34" i="4"/>
  <c r="AH33" i="4"/>
  <c r="BR31" i="4"/>
  <c r="AZ30" i="4"/>
  <c r="AH29" i="4"/>
  <c r="BR27" i="4"/>
  <c r="AZ26" i="4"/>
  <c r="AH25" i="4"/>
  <c r="BR23" i="4"/>
  <c r="BR34" i="4"/>
  <c r="Y33" i="4"/>
  <c r="BY31" i="4"/>
  <c r="BG30" i="4"/>
  <c r="Y29" i="4"/>
  <c r="BY27" i="4"/>
  <c r="BG26" i="4"/>
  <c r="Y25" i="4"/>
  <c r="BY23" i="4"/>
  <c r="BG35" i="4"/>
  <c r="AF33" i="4"/>
  <c r="N32" i="4"/>
  <c r="BV30" i="4"/>
  <c r="AF29" i="4"/>
  <c r="N28" i="4"/>
  <c r="BV26" i="4"/>
  <c r="AF25" i="4"/>
  <c r="N24" i="4"/>
  <c r="V37" i="4"/>
  <c r="AW34" i="4"/>
  <c r="G33" i="4"/>
  <c r="BO31" i="4"/>
  <c r="AW30" i="4"/>
  <c r="G29" i="4"/>
  <c r="BO27" i="4"/>
  <c r="AW26" i="4"/>
  <c r="T36" i="4"/>
  <c r="AL33" i="4"/>
  <c r="T32" i="4"/>
  <c r="BL30" i="4"/>
  <c r="AL29" i="4"/>
  <c r="T28" i="4"/>
  <c r="BL26" i="4"/>
  <c r="AL25" i="4"/>
  <c r="T24" i="4"/>
  <c r="BD35" i="4"/>
  <c r="BY33" i="4"/>
  <c r="BG32" i="4"/>
  <c r="Y31" i="4"/>
  <c r="BY29" i="4"/>
  <c r="BG28" i="4"/>
  <c r="Y27" i="4"/>
  <c r="BY25" i="4"/>
  <c r="BG24" i="4"/>
  <c r="Y23" i="4"/>
  <c r="AK22" i="4"/>
  <c r="S21" i="4"/>
  <c r="BC19" i="4"/>
  <c r="AL18" i="4"/>
  <c r="AC24" i="4"/>
  <c r="BO22" i="4"/>
  <c r="AW21" i="4"/>
  <c r="G20" i="4"/>
  <c r="BX18" i="4"/>
  <c r="BG17" i="4"/>
  <c r="Z22" i="4"/>
  <c r="BJ20" i="4"/>
  <c r="AR19" i="4"/>
  <c r="S18" i="4"/>
  <c r="BU16" i="4"/>
  <c r="P15" i="4"/>
  <c r="BR13" i="4"/>
  <c r="BA12" i="4"/>
  <c r="BI24" i="4"/>
  <c r="BS21" i="4"/>
  <c r="BA20" i="4"/>
  <c r="AI19" i="4"/>
  <c r="AI23" i="4"/>
  <c r="BJ21" i="4"/>
  <c r="AR20" i="4"/>
  <c r="Z19" i="4"/>
  <c r="AH23" i="4"/>
  <c r="G22" i="4"/>
  <c r="BO20" i="4"/>
  <c r="AW19" i="4"/>
  <c r="BS17" i="4"/>
  <c r="AT16" i="4"/>
  <c r="AC15" i="4"/>
  <c r="T14" i="4"/>
  <c r="BV12" i="4"/>
  <c r="BR22" i="4"/>
  <c r="AZ21" i="4"/>
  <c r="AH20" i="4"/>
  <c r="BS18" i="4"/>
  <c r="AQ17" i="4"/>
  <c r="W15" i="4"/>
  <c r="AC13" i="4"/>
  <c r="W11" i="4"/>
  <c r="BY9" i="4"/>
  <c r="BP8" i="4"/>
  <c r="AQ7" i="4"/>
  <c r="Z6" i="4"/>
  <c r="BD4" i="4"/>
  <c r="AZ17" i="4"/>
  <c r="BS15" i="4"/>
  <c r="Q14" i="4"/>
  <c r="K12" i="4"/>
  <c r="BI10" i="4"/>
  <c r="AZ9" i="4"/>
  <c r="AI8" i="4"/>
  <c r="J7" i="4"/>
  <c r="AC18" i="4"/>
  <c r="S16" i="4"/>
  <c r="H14" i="4"/>
  <c r="BG12" i="4"/>
  <c r="M11" i="4"/>
  <c r="D10" i="4"/>
  <c r="BF8" i="4"/>
  <c r="Y7" i="4"/>
  <c r="BC5" i="4"/>
  <c r="J18" i="4"/>
  <c r="H16" i="4"/>
  <c r="AI14" i="4"/>
  <c r="BO12" i="4"/>
  <c r="D11" i="4"/>
  <c r="BF9" i="4"/>
  <c r="Y8" i="4"/>
  <c r="BC6" i="4"/>
  <c r="AL5" i="4"/>
  <c r="Y17" i="4"/>
  <c r="BP15" i="4"/>
  <c r="N14" i="4"/>
  <c r="AT12" i="4"/>
  <c r="AI11" i="4"/>
  <c r="J10" i="4"/>
  <c r="AF8" i="4"/>
  <c r="G7" i="4"/>
  <c r="AH16" i="4"/>
  <c r="V14" i="4"/>
  <c r="BM12" i="4"/>
  <c r="J11" i="4"/>
  <c r="AN47" i="6"/>
  <c r="AU18" i="5"/>
  <c r="AY27" i="5"/>
  <c r="AY50" i="4"/>
  <c r="AV27" i="5"/>
  <c r="BM8" i="5"/>
  <c r="CU18" i="4"/>
  <c r="CY18" i="4" s="1"/>
  <c r="N4" i="4"/>
  <c r="AT9" i="4"/>
  <c r="G4" i="4"/>
  <c r="AQ5" i="4"/>
  <c r="P4" i="4"/>
  <c r="BV5" i="4"/>
  <c r="AE10" i="4"/>
  <c r="Y4" i="4"/>
  <c r="BD11" i="4"/>
  <c r="AZ4" i="4"/>
  <c r="N6" i="4"/>
  <c r="AF20" i="4"/>
  <c r="BL5" i="4"/>
  <c r="T4" i="4"/>
  <c r="AT6" i="4"/>
  <c r="N12" i="4"/>
  <c r="AL4" i="4"/>
  <c r="D6" i="4"/>
  <c r="D16" i="4"/>
  <c r="BX6" i="4"/>
  <c r="N8" i="4"/>
  <c r="AE9" i="4"/>
  <c r="BL10" i="4"/>
  <c r="AR12" i="4"/>
  <c r="BV14" i="4"/>
  <c r="AQ16" i="4"/>
  <c r="AK18" i="4"/>
  <c r="AR5" i="4"/>
  <c r="BA6" i="4"/>
  <c r="BR7" i="4"/>
  <c r="P9" i="4"/>
  <c r="BU10" i="4"/>
  <c r="BU12" i="4"/>
  <c r="BM14" i="4"/>
  <c r="AT17" i="4"/>
  <c r="BD8" i="4"/>
  <c r="BF10" i="4"/>
  <c r="AR13" i="4"/>
  <c r="BJ17" i="4"/>
  <c r="AW8" i="4"/>
  <c r="AZ11" i="4"/>
  <c r="AU16" i="4"/>
  <c r="AW7" i="4"/>
  <c r="BP12" i="4"/>
  <c r="Z7" i="4"/>
  <c r="M18" i="4"/>
  <c r="C28" i="5"/>
  <c r="AN20" i="6"/>
  <c r="BJ20" i="5"/>
  <c r="BA15" i="5"/>
  <c r="BD23" i="5"/>
  <c r="AU19" i="5"/>
  <c r="BA23" i="5"/>
  <c r="W20" i="5"/>
  <c r="BY19" i="5"/>
  <c r="AR24" i="5"/>
  <c r="AL20" i="5"/>
  <c r="Z16" i="5"/>
  <c r="BM24" i="5"/>
  <c r="T21" i="5"/>
  <c r="K24" i="5"/>
  <c r="BV20" i="5"/>
  <c r="AF15" i="5"/>
  <c r="BS20" i="5"/>
  <c r="BV22" i="5"/>
  <c r="AF17" i="5"/>
  <c r="E12" i="5"/>
  <c r="Z12" i="5"/>
  <c r="BA14" i="5"/>
  <c r="N10" i="5"/>
  <c r="K15" i="5"/>
  <c r="H15" i="5"/>
  <c r="AI9" i="5"/>
  <c r="F28" i="5"/>
  <c r="BD10" i="5"/>
  <c r="Q14" i="5"/>
  <c r="AC4" i="5"/>
  <c r="AC7" i="5"/>
  <c r="BP10" i="5"/>
  <c r="E4" i="5"/>
  <c r="N11" i="5"/>
  <c r="BZ4" i="5"/>
  <c r="BY4" i="5"/>
  <c r="CB30" i="6"/>
  <c r="BP11" i="5"/>
  <c r="BM7" i="5"/>
  <c r="AF52" i="6"/>
  <c r="AR18" i="5"/>
  <c r="BS8" i="5"/>
  <c r="AN6" i="6"/>
  <c r="V4" i="4"/>
  <c r="G10" i="4"/>
  <c r="W4" i="4"/>
  <c r="BF5" i="4"/>
  <c r="AX4" i="4"/>
  <c r="K6" i="4"/>
  <c r="H11" i="4"/>
  <c r="AH4" i="4"/>
  <c r="AZ12" i="4"/>
  <c r="BI4" i="4"/>
  <c r="Y6" i="4"/>
  <c r="K4" i="4"/>
  <c r="BO6" i="4"/>
  <c r="AB4" i="4"/>
  <c r="AB7" i="4"/>
  <c r="AF12" i="4"/>
  <c r="AU4" i="4"/>
  <c r="BR6" i="4"/>
  <c r="BS16" i="4"/>
  <c r="E7" i="4"/>
  <c r="V8" i="4"/>
  <c r="AU9" i="4"/>
  <c r="Q11" i="4"/>
  <c r="BL12" i="4"/>
  <c r="Q15" i="4"/>
  <c r="BA16" i="4"/>
  <c r="BI18" i="4"/>
  <c r="AZ5" i="4"/>
  <c r="BI6" i="4"/>
  <c r="G8" i="4"/>
  <c r="AF9" i="4"/>
  <c r="Z11" i="4"/>
  <c r="D13" i="4"/>
  <c r="G15" i="4"/>
  <c r="N19" i="4"/>
  <c r="BL8" i="4"/>
  <c r="BV10" i="4"/>
  <c r="AH14" i="4"/>
  <c r="Z18" i="4"/>
  <c r="BM8" i="4"/>
  <c r="BX12" i="4"/>
  <c r="BX16" i="4"/>
  <c r="BM7" i="4"/>
  <c r="G13" i="4"/>
  <c r="AH7" i="4"/>
  <c r="Q5" i="4"/>
  <c r="AD28" i="5"/>
  <c r="BB7" i="5"/>
  <c r="BB6" i="4"/>
  <c r="BB48" i="4" s="1"/>
  <c r="BB27" i="5"/>
  <c r="BB50" i="4"/>
  <c r="BP24" i="5"/>
  <c r="BG15" i="5"/>
  <c r="BA12" i="5"/>
  <c r="L28" i="5"/>
  <c r="BS11" i="5"/>
  <c r="BY24" i="5"/>
  <c r="BS22" i="5"/>
  <c r="AR17" i="5"/>
  <c r="AF23" i="5"/>
  <c r="BS23" i="5"/>
  <c r="BP17" i="5"/>
  <c r="Q24" i="5"/>
  <c r="BD19" i="5"/>
  <c r="N16" i="5"/>
  <c r="AL24" i="5"/>
  <c r="AR23" i="5"/>
  <c r="N20" i="5"/>
  <c r="K20" i="5"/>
  <c r="N22" i="5"/>
  <c r="Q17" i="5"/>
  <c r="BY10" i="5"/>
  <c r="E10" i="5"/>
  <c r="BM12" i="5"/>
  <c r="BV7" i="5"/>
  <c r="BY15" i="5"/>
  <c r="W13" i="5"/>
  <c r="E7" i="5"/>
  <c r="BM14" i="5"/>
  <c r="BJ16" i="5"/>
  <c r="W9" i="5"/>
  <c r="AF10" i="5"/>
  <c r="BP13" i="5"/>
  <c r="AA28" i="5"/>
  <c r="AR10" i="5"/>
  <c r="Z8" i="5"/>
  <c r="AR52" i="6"/>
  <c r="AP55" i="6"/>
  <c r="CU11" i="4"/>
  <c r="CY11" i="4" s="1"/>
  <c r="BE7" i="5"/>
  <c r="BG7" i="5" s="1"/>
  <c r="BE5" i="4"/>
  <c r="BE48" i="4" s="1"/>
  <c r="AX4" i="5"/>
  <c r="BU20" i="5"/>
  <c r="BS15" i="5"/>
  <c r="BX22" i="5"/>
  <c r="BD20" i="5"/>
  <c r="AW21" i="5"/>
  <c r="BI15" i="5"/>
  <c r="BR20" i="5"/>
  <c r="BX15" i="5"/>
  <c r="BM22" i="5"/>
  <c r="BO19" i="5"/>
  <c r="AT24" i="5"/>
  <c r="BM19" i="5"/>
  <c r="BR22" i="5"/>
  <c r="BX17" i="5"/>
  <c r="BR15" i="5"/>
  <c r="BL10" i="5"/>
  <c r="AW18" i="5"/>
  <c r="AU14" i="5"/>
  <c r="AT14" i="5"/>
  <c r="AZ9" i="5"/>
  <c r="BO13" i="5"/>
  <c r="BL18" i="5"/>
  <c r="BO14" i="5"/>
  <c r="AU12" i="5"/>
  <c r="BJ15" i="5"/>
  <c r="AT12" i="5"/>
  <c r="BO16" i="5"/>
  <c r="AQ11" i="5"/>
  <c r="BL7" i="5"/>
  <c r="BG4" i="5"/>
  <c r="BC7" i="5"/>
  <c r="BY9" i="5"/>
  <c r="AZ6" i="5"/>
  <c r="BF10" i="5"/>
  <c r="BL4" i="5"/>
  <c r="AQ8" i="5"/>
  <c r="BR8" i="5"/>
  <c r="BM15" i="5"/>
  <c r="BR5" i="5"/>
  <c r="AW8" i="5"/>
  <c r="BX4" i="5"/>
  <c r="BJ6" i="5"/>
  <c r="AW20" i="5"/>
  <c r="BC15" i="5"/>
  <c r="BP22" i="5"/>
  <c r="BR19" i="5"/>
  <c r="BC20" i="5"/>
  <c r="BE27" i="5"/>
  <c r="AT20" i="5"/>
  <c r="AZ15" i="5"/>
  <c r="AW22" i="5"/>
  <c r="BG19" i="5"/>
  <c r="BU23" i="5"/>
  <c r="AW19" i="5"/>
  <c r="AT22" i="5"/>
  <c r="AZ17" i="5"/>
  <c r="AU15" i="5"/>
  <c r="BR9" i="5"/>
  <c r="BY16" i="5"/>
  <c r="BY13" i="5"/>
  <c r="AW11" i="5"/>
  <c r="BX13" i="5"/>
  <c r="BJ21" i="5"/>
  <c r="AQ13" i="5"/>
  <c r="AZ20" i="5"/>
  <c r="BG14" i="5"/>
  <c r="BF23" i="5"/>
  <c r="AW15" i="5"/>
  <c r="BX11" i="5"/>
  <c r="BD16" i="5"/>
  <c r="BU10" i="5"/>
  <c r="BR6" i="5"/>
  <c r="AQ4" i="5"/>
  <c r="BI6" i="5"/>
  <c r="BL9" i="5"/>
  <c r="BV5" i="5"/>
  <c r="AU10" i="5"/>
  <c r="CU50" i="4"/>
  <c r="AZ7" i="5"/>
  <c r="BI8" i="5"/>
  <c r="BX14" i="5"/>
  <c r="AT5" i="5"/>
  <c r="AW7" i="5"/>
  <c r="BP4" i="5"/>
  <c r="BX24" i="5"/>
  <c r="BC19" i="5"/>
  <c r="BO24" i="5"/>
  <c r="AZ22" i="5"/>
  <c r="BJ19" i="5"/>
  <c r="BI19" i="5"/>
  <c r="BU24" i="5"/>
  <c r="BX19" i="5"/>
  <c r="BZ27" i="5"/>
  <c r="BS21" i="5"/>
  <c r="AQ19" i="5"/>
  <c r="AW23" i="5"/>
  <c r="BC18" i="5"/>
  <c r="BX21" i="5"/>
  <c r="BF16" i="5"/>
  <c r="BL14" i="5"/>
  <c r="AT9" i="5"/>
  <c r="BL16" i="5"/>
  <c r="BI13" i="5"/>
  <c r="AX23" i="5"/>
  <c r="AZ13" i="5"/>
  <c r="BX20" i="5"/>
  <c r="BU12" i="5"/>
  <c r="AX19" i="5"/>
  <c r="AQ14" i="5"/>
  <c r="BD22" i="5"/>
  <c r="BV14" i="5"/>
  <c r="AZ11" i="5"/>
  <c r="AQ16" i="5"/>
  <c r="AW10" i="5"/>
  <c r="AT6" i="5"/>
  <c r="BJ17" i="5"/>
  <c r="BO5" i="5"/>
  <c r="BU8" i="5"/>
  <c r="BF5" i="5"/>
  <c r="BR7" i="5"/>
  <c r="AR14" i="5"/>
  <c r="BF6" i="5"/>
  <c r="AQ7" i="5"/>
  <c r="BO10" i="5"/>
  <c r="BI4" i="5"/>
  <c r="BC6" i="5"/>
  <c r="BD8" i="5"/>
  <c r="AZ24" i="5"/>
  <c r="BI18" i="5"/>
  <c r="BG24" i="5"/>
  <c r="AR22" i="5"/>
  <c r="BF24" i="5"/>
  <c r="BO18" i="5"/>
  <c r="AW24" i="5"/>
  <c r="AZ19" i="5"/>
  <c r="BL24" i="5"/>
  <c r="BC21" i="5"/>
  <c r="BS24" i="5"/>
  <c r="BC22" i="5"/>
  <c r="BY17" i="5"/>
  <c r="AZ21" i="5"/>
  <c r="BL15" i="5"/>
  <c r="BR13" i="5"/>
  <c r="BX8" i="5"/>
  <c r="BA16" i="5"/>
  <c r="BO12" i="5"/>
  <c r="BL22" i="5"/>
  <c r="BF12" i="5"/>
  <c r="BV19" i="5"/>
  <c r="AW12" i="5"/>
  <c r="BV17" i="5"/>
  <c r="BU13" i="5"/>
  <c r="BF17" i="5"/>
  <c r="BF14" i="5"/>
  <c r="BR21" i="5"/>
  <c r="BU14" i="5"/>
  <c r="BC9" i="5"/>
  <c r="BX5" i="5"/>
  <c r="BF13" i="5"/>
  <c r="BG5" i="5"/>
  <c r="BL8" i="5"/>
  <c r="AX5" i="5"/>
  <c r="BI7" i="5"/>
  <c r="BD12" i="5"/>
  <c r="BL5" i="5"/>
  <c r="BU6" i="5"/>
  <c r="AQ10" i="5"/>
  <c r="BX10" i="5"/>
  <c r="BY5" i="5"/>
  <c r="BY6" i="5"/>
  <c r="BC23" i="5"/>
  <c r="BO17" i="5"/>
  <c r="AQ24" i="5"/>
  <c r="BV21" i="5"/>
  <c r="BI23" i="5"/>
  <c r="AQ18" i="5"/>
  <c r="BX23" i="5"/>
  <c r="BF18" i="5"/>
  <c r="BO23" i="5"/>
  <c r="AU21" i="5"/>
  <c r="BC24" i="5"/>
  <c r="BI21" i="5"/>
  <c r="BI17" i="5"/>
  <c r="BF20" i="5"/>
  <c r="BU18" i="5"/>
  <c r="AT13" i="5"/>
  <c r="AZ8" i="5"/>
  <c r="BF15" i="5"/>
  <c r="BG12" i="5"/>
  <c r="BX16" i="5"/>
  <c r="BL11" i="5"/>
  <c r="AX17" i="5"/>
  <c r="BC11" i="5"/>
  <c r="AU17" i="5"/>
  <c r="BM13" i="5"/>
  <c r="AT17" i="5"/>
  <c r="AX14" i="5"/>
  <c r="BP20" i="5"/>
  <c r="AW14" i="5"/>
  <c r="AZ14" i="5"/>
  <c r="BP5" i="5"/>
  <c r="BV10" i="5"/>
  <c r="AQ5" i="5"/>
  <c r="BC8" i="5"/>
  <c r="BU4" i="5"/>
  <c r="BO6" i="5"/>
  <c r="BR11" i="5"/>
  <c r="BC4" i="5"/>
  <c r="AW6" i="5"/>
  <c r="BX7" i="5"/>
  <c r="AZ10" i="5"/>
  <c r="BI5" i="5"/>
  <c r="BP8" i="5"/>
  <c r="BJ9" i="5"/>
  <c r="BI22" i="5"/>
  <c r="AQ17" i="5"/>
  <c r="BR23" i="5"/>
  <c r="BF21" i="5"/>
  <c r="BO22" i="5"/>
  <c r="BU17" i="5"/>
  <c r="AZ23" i="5"/>
  <c r="BL17" i="5"/>
  <c r="BG23" i="5"/>
  <c r="BY20" i="5"/>
  <c r="AU24" i="5"/>
  <c r="BO20" i="5"/>
  <c r="BA17" i="5"/>
  <c r="BL19" i="5"/>
  <c r="AZ18" i="5"/>
  <c r="BX12" i="5"/>
  <c r="AT21" i="5"/>
  <c r="AT15" i="5"/>
  <c r="AQ12" i="5"/>
  <c r="AZ16" i="5"/>
  <c r="BR10" i="5"/>
  <c r="BI16" i="5"/>
  <c r="BI10" i="5"/>
  <c r="BG16" i="5"/>
  <c r="AW13" i="5"/>
  <c r="BP16" i="5"/>
  <c r="BL13" i="5"/>
  <c r="AT19" i="5"/>
  <c r="BC13" i="5"/>
  <c r="BL12" i="5"/>
  <c r="AZ5" i="5"/>
  <c r="BO21" i="5"/>
  <c r="BU16" i="5"/>
  <c r="BJ23" i="5"/>
  <c r="AX21" i="5"/>
  <c r="AQ22" i="5"/>
  <c r="AW17" i="5"/>
  <c r="BF22" i="5"/>
  <c r="BR16" i="5"/>
  <c r="AQ23" i="5"/>
  <c r="BI20" i="5"/>
  <c r="BV23" i="5"/>
  <c r="AQ20" i="5"/>
  <c r="BI24" i="5"/>
  <c r="BR18" i="5"/>
  <c r="BR17" i="5"/>
  <c r="AZ12" i="5"/>
  <c r="AR20" i="5"/>
  <c r="BS14" i="5"/>
  <c r="BU11" i="5"/>
  <c r="BO15" i="5"/>
  <c r="AT10" i="5"/>
  <c r="AQ15" i="5"/>
  <c r="BO9" i="5"/>
  <c r="BV15" i="5"/>
  <c r="BS12" i="5"/>
  <c r="AR16" i="5"/>
  <c r="BR12" i="5"/>
  <c r="BX18" i="5"/>
  <c r="BI12" i="5"/>
  <c r="BI11" i="5"/>
  <c r="AR5" i="5"/>
  <c r="BM9" i="5"/>
  <c r="BP14" i="5"/>
  <c r="AT7" i="5"/>
  <c r="AW4" i="5"/>
  <c r="BU5" i="5"/>
  <c r="BI9" i="5"/>
  <c r="BU9" i="5"/>
  <c r="BR4" i="5"/>
  <c r="BF7" i="5"/>
  <c r="BO8" i="5"/>
  <c r="AZ4" i="5"/>
  <c r="AQ21" i="5"/>
  <c r="AW16" i="5"/>
  <c r="AT23" i="5"/>
  <c r="BL20" i="5"/>
  <c r="BU21" i="5"/>
  <c r="BC16" i="5"/>
  <c r="BL21" i="5"/>
  <c r="AT16" i="5"/>
  <c r="BU22" i="5"/>
  <c r="BA20" i="5"/>
  <c r="BR24" i="5"/>
  <c r="BU19" i="5"/>
  <c r="BL23" i="5"/>
  <c r="AT18" i="5"/>
  <c r="BC17" i="5"/>
  <c r="BF11" i="5"/>
  <c r="BF19" i="5"/>
  <c r="BC14" i="5"/>
  <c r="BM11" i="5"/>
  <c r="BR14" i="5"/>
  <c r="BX9" i="5"/>
  <c r="BI14" i="5"/>
  <c r="AQ9" i="5"/>
  <c r="AX15" i="5"/>
  <c r="BC12" i="5"/>
  <c r="BU15" i="5"/>
  <c r="BJ12" i="5"/>
  <c r="BS17" i="5"/>
  <c r="BO11" i="5"/>
  <c r="BU7" i="5"/>
  <c r="BO4" i="5"/>
  <c r="BA9" i="5"/>
  <c r="BG10" i="5"/>
  <c r="BX6" i="5"/>
  <c r="BS10" i="5"/>
  <c r="AW5" i="5"/>
  <c r="AW9" i="5"/>
  <c r="BF9" i="5"/>
  <c r="AT4" i="5"/>
  <c r="BL6" i="5"/>
  <c r="BF8" i="5"/>
  <c r="BE50" i="4"/>
  <c r="BC5" i="5"/>
  <c r="AX10" i="5"/>
  <c r="BO7" i="5"/>
  <c r="BF4" i="5"/>
  <c r="BD9" i="5"/>
  <c r="AT8" i="5"/>
  <c r="BA5" i="5"/>
  <c r="BM4" i="5"/>
  <c r="AQ6" i="5"/>
  <c r="AT11" i="5"/>
  <c r="BC10" i="5"/>
  <c r="AN5" i="6"/>
  <c r="D52" i="6"/>
  <c r="BD13" i="5"/>
  <c r="AN13" i="6"/>
  <c r="AN8" i="6"/>
  <c r="AN49" i="6"/>
  <c r="AU13" i="5"/>
  <c r="AX6" i="5"/>
  <c r="AN10" i="6"/>
  <c r="AR6" i="5"/>
  <c r="BV4" i="4"/>
  <c r="BS12" i="4"/>
  <c r="AE4" i="4"/>
  <c r="BA8" i="4"/>
  <c r="BG4" i="4"/>
  <c r="V6" i="4"/>
  <c r="V12" i="4"/>
  <c r="AQ4" i="4"/>
  <c r="BF13" i="4"/>
  <c r="BR4" i="4"/>
  <c r="AQ6" i="4"/>
  <c r="S4" i="4"/>
  <c r="AL9" i="4"/>
  <c r="AK4" i="4"/>
  <c r="M8" i="4"/>
  <c r="W16" i="4"/>
  <c r="BC4" i="4"/>
  <c r="AZ7" i="4"/>
  <c r="BR19" i="4"/>
  <c r="M7" i="4"/>
  <c r="AL8" i="4"/>
  <c r="BC9" i="4"/>
  <c r="Y11" i="4"/>
  <c r="W13" i="4"/>
  <c r="Y15" i="4"/>
  <c r="BI16" i="4"/>
  <c r="BD20" i="4"/>
  <c r="BY6" i="4"/>
  <c r="W8" i="4"/>
  <c r="BD9" i="4"/>
  <c r="AH11" i="4"/>
  <c r="M13" i="4"/>
  <c r="Z15" i="4"/>
  <c r="D22" i="4"/>
  <c r="Q9" i="4"/>
  <c r="AQ11" i="4"/>
  <c r="BD14" i="4"/>
  <c r="AT5" i="4"/>
  <c r="J9" i="4"/>
  <c r="P13" i="4"/>
  <c r="AL19" i="4"/>
  <c r="BV8" i="4"/>
  <c r="P14" i="4"/>
  <c r="BG8" i="4"/>
  <c r="AX6" i="4"/>
  <c r="AN18" i="6"/>
  <c r="AR9" i="5"/>
  <c r="CU43" i="4"/>
  <c r="AX22" i="5"/>
  <c r="AC23" i="5"/>
  <c r="W19" i="5"/>
  <c r="AI20" i="5"/>
  <c r="W23" i="5"/>
  <c r="BP19" i="5"/>
  <c r="BA21" i="5"/>
  <c r="N18" i="5"/>
  <c r="AR12" i="5"/>
  <c r="AC14" i="5"/>
  <c r="AX11" i="5"/>
  <c r="AF4" i="5"/>
  <c r="BS4" i="5"/>
  <c r="BJ14" i="5"/>
  <c r="AR8" i="5"/>
  <c r="AR15" i="5"/>
  <c r="H10" i="5"/>
  <c r="BP12" i="5"/>
  <c r="AR7" i="5"/>
  <c r="BA8" i="5"/>
  <c r="BM5" i="5"/>
  <c r="T10" i="5"/>
  <c r="AF6" i="5"/>
  <c r="T7" i="5"/>
  <c r="Z6" i="5"/>
  <c r="CB37" i="6"/>
  <c r="AN28" i="6"/>
  <c r="CU15" i="4"/>
  <c r="CY15" i="4" s="1"/>
  <c r="BG18" i="5"/>
  <c r="AL7" i="5"/>
  <c r="AN27" i="6"/>
  <c r="BA11" i="5"/>
  <c r="AN21" i="6"/>
  <c r="AN9" i="6"/>
  <c r="AN29" i="6"/>
  <c r="CB11" i="6"/>
  <c r="BJ13" i="5"/>
  <c r="CD8" i="6"/>
  <c r="CB8" i="6"/>
  <c r="H52" i="6"/>
  <c r="BV13" i="5"/>
  <c r="AC5" i="4"/>
  <c r="AX13" i="4"/>
  <c r="AW4" i="4"/>
  <c r="BC10" i="4"/>
  <c r="BP4" i="4"/>
  <c r="AL6" i="4"/>
  <c r="AR15" i="4"/>
  <c r="S5" i="4"/>
  <c r="BU14" i="4"/>
  <c r="J5" i="4"/>
  <c r="D7" i="4"/>
  <c r="BA4" i="4"/>
  <c r="J13" i="4"/>
  <c r="AT4" i="4"/>
  <c r="M17" i="4"/>
  <c r="BM4" i="4"/>
  <c r="AK8" i="4"/>
  <c r="T6" i="4"/>
  <c r="AC7" i="4"/>
  <c r="AT8" i="4"/>
  <c r="BS9" i="4"/>
  <c r="AW11" i="4"/>
  <c r="AE13" i="4"/>
  <c r="AI15" i="4"/>
  <c r="D17" i="4"/>
  <c r="BF21" i="4"/>
  <c r="BX5" i="4"/>
  <c r="N7" i="4"/>
  <c r="AE8" i="4"/>
  <c r="BL9" i="4"/>
  <c r="AX11" i="4"/>
  <c r="AF13" i="4"/>
  <c r="AT15" i="4"/>
  <c r="W7" i="4"/>
  <c r="Y9" i="4"/>
  <c r="BG11" i="4"/>
  <c r="S15" i="4"/>
  <c r="BJ5" i="4"/>
  <c r="BV9" i="4"/>
  <c r="AH13" i="4"/>
  <c r="BJ19" i="4"/>
  <c r="K9" i="4"/>
  <c r="Z14" i="4"/>
  <c r="BX9" i="4"/>
  <c r="BG20" i="5"/>
  <c r="BG17" i="5"/>
  <c r="BJ5" i="5"/>
  <c r="CY4" i="4"/>
  <c r="BP52" i="6"/>
  <c r="BN55" i="6"/>
  <c r="BS13" i="5"/>
  <c r="BA22" i="5"/>
  <c r="BM16" i="5"/>
  <c r="BP15" i="5"/>
  <c r="BS19" i="5"/>
  <c r="Z18" i="5"/>
  <c r="BY23" i="5"/>
  <c r="K22" i="5"/>
  <c r="E16" i="5"/>
  <c r="AC22" i="5"/>
  <c r="E18" i="5"/>
  <c r="AU22" i="5"/>
  <c r="H23" i="5"/>
  <c r="AC18" i="5"/>
  <c r="BD15" i="5"/>
  <c r="BM23" i="5"/>
  <c r="Q20" i="5"/>
  <c r="BG22" i="5"/>
  <c r="T19" i="5"/>
  <c r="K18" i="5"/>
  <c r="T23" i="5"/>
  <c r="AF21" i="5"/>
  <c r="AC16" i="5"/>
  <c r="BM10" i="5"/>
  <c r="BN25" i="5"/>
  <c r="H14" i="5"/>
  <c r="AG28" i="5"/>
  <c r="AF11" i="5"/>
  <c r="AL13" i="5"/>
  <c r="BK28" i="5"/>
  <c r="BZ13" i="5"/>
  <c r="H8" i="5"/>
  <c r="W15" i="5"/>
  <c r="BG9" i="5"/>
  <c r="AX12" i="5"/>
  <c r="BJ4" i="5"/>
  <c r="AI7" i="5"/>
  <c r="AL5" i="5"/>
  <c r="AI8" i="5"/>
  <c r="H6" i="5"/>
  <c r="BT48" i="4"/>
  <c r="BT51" i="4" s="1"/>
  <c r="CB27" i="6"/>
  <c r="BA6" i="5"/>
  <c r="BP6" i="5"/>
  <c r="AN19" i="6"/>
  <c r="AN43" i="6"/>
  <c r="BA4" i="5"/>
  <c r="CD9" i="6"/>
  <c r="CB9" i="6"/>
  <c r="BD5" i="4"/>
  <c r="AH15" i="4"/>
  <c r="BF4" i="4"/>
  <c r="BU11" i="4"/>
  <c r="BX4" i="4"/>
  <c r="BG6" i="4"/>
  <c r="AF16" i="4"/>
  <c r="BJ6" i="4"/>
  <c r="J4" i="4"/>
  <c r="AH5" i="4"/>
  <c r="BP7" i="4"/>
  <c r="BJ4" i="4"/>
  <c r="S14" i="4"/>
  <c r="Z5" i="4"/>
  <c r="BJ9" i="4"/>
  <c r="AH21" i="4"/>
  <c r="BU4" i="4"/>
  <c r="V9" i="4"/>
  <c r="AB6" i="4"/>
  <c r="AK7" i="4"/>
  <c r="BJ8" i="4"/>
  <c r="H10" i="4"/>
  <c r="BM11" i="4"/>
  <c r="BS13" i="4"/>
  <c r="BC15" i="4"/>
  <c r="N17" i="4"/>
  <c r="AR22" i="4"/>
  <c r="E6" i="4"/>
  <c r="V7" i="4"/>
  <c r="AU8" i="4"/>
  <c r="Q10" i="4"/>
  <c r="BF11" i="4"/>
  <c r="AZ13" i="4"/>
  <c r="Z16" i="4"/>
  <c r="AE7" i="4"/>
  <c r="AW9" i="4"/>
  <c r="BY11" i="4"/>
  <c r="BX15" i="4"/>
  <c r="G6" i="4"/>
  <c r="K10" i="4"/>
  <c r="AT14" i="4"/>
  <c r="AB22" i="4"/>
  <c r="T10" i="4"/>
  <c r="AC16" i="4"/>
  <c r="N11" i="4"/>
  <c r="BD24" i="5"/>
  <c r="O28" i="5"/>
  <c r="BG6" i="5"/>
  <c r="AR19" i="5"/>
  <c r="BP23" i="5"/>
  <c r="N24" i="5"/>
  <c r="E23" i="5"/>
  <c r="AC21" i="5"/>
  <c r="BP21" i="5"/>
  <c r="BD17" i="5"/>
  <c r="Z22" i="5"/>
  <c r="W22" i="5"/>
  <c r="BM17" i="5"/>
  <c r="BY14" i="5"/>
  <c r="AU23" i="5"/>
  <c r="BA19" i="5"/>
  <c r="AL22" i="5"/>
  <c r="AI17" i="5"/>
  <c r="BY22" i="5"/>
  <c r="AF19" i="5"/>
  <c r="AX20" i="5"/>
  <c r="AI15" i="5"/>
  <c r="BA10" i="5"/>
  <c r="BP9" i="5"/>
  <c r="W11" i="5"/>
  <c r="X28" i="5"/>
  <c r="T13" i="5"/>
  <c r="AL14" i="5"/>
  <c r="AU9" i="5"/>
  <c r="U28" i="5"/>
  <c r="AC12" i="5"/>
  <c r="K7" i="5"/>
  <c r="AX9" i="5"/>
  <c r="Z7" i="5"/>
  <c r="AF5" i="5"/>
  <c r="BD5" i="5"/>
  <c r="CB33" i="6"/>
  <c r="T52" i="6"/>
  <c r="AU8" i="5"/>
  <c r="BT25" i="5"/>
  <c r="BV4" i="5"/>
  <c r="CB34" i="6"/>
  <c r="BT55" i="6"/>
  <c r="BV52" i="6"/>
  <c r="BG13" i="5"/>
  <c r="AN30" i="6"/>
  <c r="AN48" i="6"/>
  <c r="AN41" i="6"/>
  <c r="BD6" i="5"/>
  <c r="AR4" i="5"/>
  <c r="AU6" i="5"/>
  <c r="BV6" i="5"/>
  <c r="BS7" i="5"/>
  <c r="BV8" i="5"/>
  <c r="S6" i="4"/>
  <c r="BM15" i="4"/>
  <c r="BO4" i="4"/>
  <c r="AQ12" i="4"/>
  <c r="H5" i="4"/>
  <c r="T7" i="4"/>
  <c r="BP17" i="4"/>
  <c r="AR7" i="4"/>
  <c r="Z4" i="4"/>
  <c r="AC8" i="4"/>
  <c r="BS4" i="4"/>
  <c r="D15" i="4"/>
  <c r="AK5" i="4"/>
  <c r="W10" i="4"/>
  <c r="E4" i="4"/>
  <c r="E5" i="4"/>
  <c r="AU10" i="4"/>
  <c r="AR6" i="4"/>
  <c r="BA7" i="4"/>
  <c r="BR8" i="4"/>
  <c r="P10" i="4"/>
  <c r="BV11" i="4"/>
  <c r="AF14" i="4"/>
  <c r="BV15" i="4"/>
  <c r="V17" i="4"/>
  <c r="D5" i="4"/>
  <c r="M6" i="4"/>
  <c r="AL7" i="4"/>
  <c r="BC8" i="4"/>
  <c r="Y10" i="4"/>
  <c r="P12" i="4"/>
  <c r="BI13" i="4"/>
  <c r="AR16" i="4"/>
  <c r="AU7" i="4"/>
  <c r="Z10" i="4"/>
  <c r="G12" i="4"/>
  <c r="G16" i="4"/>
  <c r="BS6" i="4"/>
  <c r="AI10" i="4"/>
  <c r="BO14" i="4"/>
  <c r="BS5" i="4"/>
  <c r="AB10" i="4"/>
  <c r="AK16" i="4"/>
  <c r="AW12" i="4"/>
  <c r="AR11" i="5"/>
  <c r="BM20" i="5"/>
  <c r="BA24" i="5"/>
  <c r="BV24" i="5"/>
  <c r="BM21" i="5"/>
  <c r="K17" i="5"/>
  <c r="E14" i="5"/>
  <c r="H19" i="5"/>
  <c r="BY21" i="5"/>
  <c r="H17" i="5"/>
  <c r="AI22" i="5"/>
  <c r="AL18" i="5"/>
  <c r="AC19" i="5"/>
  <c r="AF14" i="5"/>
  <c r="BV16" i="5"/>
  <c r="K11" i="5"/>
  <c r="R28" i="5"/>
  <c r="T12" i="5"/>
  <c r="I28" i="5"/>
  <c r="AL9" i="5"/>
  <c r="H4" i="5"/>
  <c r="BY12" i="5"/>
  <c r="AU4" i="5"/>
  <c r="BV12" i="5"/>
  <c r="AI13" i="5"/>
  <c r="K9" i="5"/>
  <c r="Z11" i="5"/>
  <c r="BS5" i="5"/>
  <c r="Q8" i="5"/>
  <c r="AI6" i="5"/>
  <c r="AL4" i="5"/>
  <c r="BM18" i="5"/>
  <c r="AC52" i="6"/>
  <c r="BD18" i="5"/>
  <c r="AM52" i="6"/>
  <c r="AM55" i="6" s="1"/>
  <c r="AN45" i="6"/>
  <c r="AL6" i="5"/>
  <c r="AP25" i="5"/>
  <c r="AV50" i="4"/>
  <c r="BG8" i="5"/>
  <c r="BV18" i="5"/>
  <c r="AI6" i="4"/>
  <c r="AZ16" i="4"/>
  <c r="G5" i="4"/>
  <c r="K14" i="4"/>
  <c r="AF5" i="4"/>
  <c r="E8" i="4"/>
  <c r="T22" i="4"/>
  <c r="BI8" i="4"/>
  <c r="AI4" i="4"/>
  <c r="BI5" i="4"/>
  <c r="AF11" i="4"/>
  <c r="K5" i="4"/>
  <c r="BD17" i="4"/>
  <c r="BA5" i="4"/>
  <c r="BS10" i="4"/>
  <c r="M4" i="4"/>
  <c r="M5" i="4"/>
  <c r="BL11" i="4"/>
  <c r="AZ6" i="4"/>
  <c r="BI7" i="4"/>
  <c r="G9" i="4"/>
  <c r="AF10" i="4"/>
  <c r="D12" i="4"/>
  <c r="BA14" i="4"/>
  <c r="E16" i="4"/>
  <c r="AI17" i="4"/>
  <c r="T5" i="4"/>
  <c r="AC6" i="4"/>
  <c r="AT7" i="4"/>
  <c r="BS8" i="4"/>
  <c r="AW10" i="4"/>
  <c r="AI12" i="4"/>
  <c r="M14" i="4"/>
  <c r="BV16" i="4"/>
  <c r="BC7" i="4"/>
  <c r="AH10" i="4"/>
  <c r="BD12" i="4"/>
  <c r="AI16" i="4"/>
  <c r="H7" i="4"/>
  <c r="T11" i="4"/>
  <c r="T15" i="4"/>
  <c r="H6" i="4"/>
  <c r="AC11" i="4"/>
  <c r="BA18" i="4"/>
  <c r="AW14" i="4"/>
  <c r="BZ52" i="6"/>
  <c r="CD5" i="6"/>
  <c r="CB5" i="6"/>
  <c r="BW27" i="5"/>
  <c r="BW50" i="4"/>
  <c r="BW7" i="5"/>
  <c r="BW5" i="4"/>
  <c r="AX18" i="5"/>
  <c r="AR13" i="5"/>
  <c r="AX8" i="5"/>
  <c r="BX7" i="4"/>
  <c r="P5" i="4"/>
  <c r="H4" i="4"/>
  <c r="BR9" i="4"/>
  <c r="Q4" i="4"/>
  <c r="N9" i="4"/>
  <c r="AR4" i="4"/>
  <c r="BU15" i="4"/>
  <c r="AI5" i="4"/>
  <c r="D4" i="4"/>
  <c r="Q6" i="4"/>
  <c r="P11" i="4"/>
  <c r="AC4" i="4"/>
  <c r="BO5" i="4"/>
  <c r="BJ14" i="4"/>
  <c r="BP6" i="4"/>
  <c r="BY7" i="4"/>
  <c r="W9" i="4"/>
  <c r="BD10" i="4"/>
  <c r="W12" i="4"/>
  <c r="BL14" i="4"/>
  <c r="M16" i="4"/>
  <c r="E18" i="4"/>
  <c r="AB5" i="4"/>
  <c r="AK6" i="4"/>
  <c r="BJ7" i="4"/>
  <c r="H9" i="4"/>
  <c r="BM10" i="4"/>
  <c r="BC12" i="4"/>
  <c r="AQ14" i="4"/>
  <c r="E17" i="4"/>
  <c r="BS7" i="4"/>
  <c r="AX10" i="4"/>
  <c r="E13" i="4"/>
  <c r="AL17" i="4"/>
  <c r="AF7" i="4"/>
  <c r="AB11" i="4"/>
  <c r="AB16" i="4"/>
  <c r="AF6" i="4"/>
  <c r="AK11" i="4"/>
  <c r="BY18" i="4"/>
  <c r="T16" i="4"/>
  <c r="BZ6" i="5"/>
  <c r="AO21" i="6"/>
  <c r="AV7" i="5"/>
  <c r="AX7" i="5" s="1"/>
  <c r="AV5" i="4"/>
  <c r="AX5" i="4" s="1"/>
  <c r="M52" i="6"/>
  <c r="BY8" i="5"/>
  <c r="BA13" i="5"/>
  <c r="CA52" i="6"/>
  <c r="CD13" i="6"/>
  <c r="CB13" i="6"/>
  <c r="BP7" i="5"/>
  <c r="AO6" i="6"/>
  <c r="BJ11" i="5"/>
  <c r="BJ18" i="5"/>
  <c r="AO10" i="6"/>
  <c r="BM6" i="5"/>
  <c r="CB10" i="6"/>
  <c r="BW8" i="4"/>
  <c r="BY8" i="4" s="1"/>
  <c r="BJ7" i="5"/>
  <c r="AO44" i="6"/>
  <c r="BG52" i="6"/>
  <c r="BE55" i="6"/>
  <c r="BZ11" i="5"/>
  <c r="BY11" i="5"/>
  <c r="AO13" i="6"/>
  <c r="AO36" i="6"/>
  <c r="AO8" i="6"/>
  <c r="AO18" i="6"/>
  <c r="AV55" i="6"/>
  <c r="AX52" i="6"/>
  <c r="BV11" i="5"/>
  <c r="BD11" i="5"/>
  <c r="BS6" i="5"/>
  <c r="AX13" i="5"/>
  <c r="AU7" i="5"/>
  <c r="BG11" i="5"/>
  <c r="BS18" i="5"/>
  <c r="BA18" i="5"/>
  <c r="AO14" i="6"/>
  <c r="AO25" i="6"/>
  <c r="AO48" i="6"/>
  <c r="AO19" i="6" l="1"/>
  <c r="K52" i="6"/>
  <c r="AO15" i="6"/>
  <c r="AO7" i="6"/>
  <c r="AO5" i="6"/>
  <c r="N52" i="6"/>
  <c r="AO9" i="6"/>
  <c r="AO24" i="6"/>
  <c r="AO20" i="6"/>
  <c r="AI52" i="6"/>
  <c r="AO26" i="6"/>
  <c r="W52" i="6"/>
  <c r="E52" i="6"/>
  <c r="Q52" i="6"/>
  <c r="AO43" i="6"/>
  <c r="AO46" i="6"/>
  <c r="AO32" i="6"/>
  <c r="AO40" i="6"/>
  <c r="AO38" i="6"/>
  <c r="AO34" i="6"/>
  <c r="AO51" i="6"/>
  <c r="AO28" i="6"/>
  <c r="BP5" i="4"/>
  <c r="BP48" i="4" s="1"/>
  <c r="AO47" i="6"/>
  <c r="Z52" i="6"/>
  <c r="AO35" i="6"/>
  <c r="AO39" i="6"/>
  <c r="AO31" i="6"/>
  <c r="AO30" i="6"/>
  <c r="AL52" i="6"/>
  <c r="AO45" i="6"/>
  <c r="AO33" i="6"/>
  <c r="AO49" i="6"/>
  <c r="AO29" i="6"/>
  <c r="AO50" i="6"/>
  <c r="AO41" i="6"/>
  <c r="AO37" i="6"/>
  <c r="AO27" i="6"/>
  <c r="AO42" i="6"/>
  <c r="AO40" i="4"/>
  <c r="AY25" i="5"/>
  <c r="AY28" i="5" s="1"/>
  <c r="BJ8" i="5"/>
  <c r="BJ25" i="5" s="1"/>
  <c r="BJ26" i="5" s="1"/>
  <c r="BZ8" i="5"/>
  <c r="AN38" i="4"/>
  <c r="AO43" i="4"/>
  <c r="AO18" i="4"/>
  <c r="Q25" i="5"/>
  <c r="Q26" i="5" s="1"/>
  <c r="AO21" i="4"/>
  <c r="AL25" i="5"/>
  <c r="AL26" i="5" s="1"/>
  <c r="AO46" i="4"/>
  <c r="CB22" i="5"/>
  <c r="BJ13" i="4"/>
  <c r="CW13" i="4" s="1"/>
  <c r="BH48" i="4"/>
  <c r="BH51" i="4" s="1"/>
  <c r="H25" i="5"/>
  <c r="H26" i="5" s="1"/>
  <c r="AC25" i="5"/>
  <c r="AC26" i="5" s="1"/>
  <c r="AO8" i="4"/>
  <c r="AO27" i="4"/>
  <c r="AY51" i="4"/>
  <c r="AN52" i="6"/>
  <c r="CB19" i="5"/>
  <c r="Z25" i="5"/>
  <c r="Z26" i="5" s="1"/>
  <c r="CB21" i="5"/>
  <c r="AO22" i="5"/>
  <c r="AI25" i="5"/>
  <c r="AI26" i="5" s="1"/>
  <c r="T25" i="5"/>
  <c r="T26" i="5" s="1"/>
  <c r="AN27" i="4"/>
  <c r="H48" i="4"/>
  <c r="K25" i="5"/>
  <c r="K26" i="5" s="1"/>
  <c r="AN7" i="4"/>
  <c r="AO21" i="5"/>
  <c r="AF25" i="5"/>
  <c r="AF26" i="5" s="1"/>
  <c r="W25" i="5"/>
  <c r="W26" i="5" s="1"/>
  <c r="N25" i="5"/>
  <c r="N26" i="5" s="1"/>
  <c r="AO32" i="4"/>
  <c r="CV25" i="4"/>
  <c r="AN25" i="4"/>
  <c r="AO26" i="4"/>
  <c r="BN51" i="4"/>
  <c r="BG5" i="4"/>
  <c r="BG48" i="4" s="1"/>
  <c r="CW22" i="4"/>
  <c r="AS28" i="5"/>
  <c r="AS51" i="4"/>
  <c r="BP25" i="5"/>
  <c r="BP26" i="5" s="1"/>
  <c r="BM25" i="5"/>
  <c r="BM26" i="5" s="1"/>
  <c r="BW48" i="4"/>
  <c r="BW51" i="4" s="1"/>
  <c r="AU25" i="5"/>
  <c r="AU26" i="5" s="1"/>
  <c r="BG25" i="5"/>
  <c r="BU25" i="5"/>
  <c r="AX25" i="5"/>
  <c r="CU6" i="4"/>
  <c r="CY6" i="4" s="1"/>
  <c r="BS48" i="4"/>
  <c r="BV25" i="5"/>
  <c r="BV26" i="5" s="1"/>
  <c r="CW17" i="4"/>
  <c r="AR25" i="5"/>
  <c r="AR26" i="5" s="1"/>
  <c r="BA25" i="5"/>
  <c r="BS25" i="5"/>
  <c r="BS26" i="5" s="1"/>
  <c r="AC48" i="4"/>
  <c r="CB14" i="5"/>
  <c r="AO14" i="5"/>
  <c r="AO4" i="4"/>
  <c r="E48" i="4"/>
  <c r="CW7" i="4"/>
  <c r="BU48" i="4"/>
  <c r="J48" i="4"/>
  <c r="BR48" i="4"/>
  <c r="AB48" i="4"/>
  <c r="CB12" i="5"/>
  <c r="AO12" i="5"/>
  <c r="T48" i="4"/>
  <c r="CW14" i="4"/>
  <c r="AN18" i="4"/>
  <c r="CV21" i="4"/>
  <c r="CV13" i="4"/>
  <c r="AO12" i="4"/>
  <c r="CW27" i="4"/>
  <c r="AN20" i="4"/>
  <c r="CW18" i="4"/>
  <c r="AO22" i="4"/>
  <c r="CV22" i="4"/>
  <c r="CV32" i="4"/>
  <c r="CW26" i="4"/>
  <c r="CW41" i="4"/>
  <c r="CA21" i="5"/>
  <c r="AN21" i="5"/>
  <c r="AN4" i="5"/>
  <c r="D25" i="5"/>
  <c r="CA4" i="5"/>
  <c r="CA14" i="5"/>
  <c r="AN14" i="5"/>
  <c r="AO37" i="4"/>
  <c r="CV40" i="4"/>
  <c r="CA5" i="5"/>
  <c r="AN5" i="5"/>
  <c r="CB52" i="6"/>
  <c r="BZ55" i="6"/>
  <c r="Q48" i="4"/>
  <c r="AP28" i="5"/>
  <c r="BA48" i="4"/>
  <c r="BC48" i="4"/>
  <c r="BV48" i="4"/>
  <c r="AQ25" i="5"/>
  <c r="P48" i="4"/>
  <c r="AO15" i="5"/>
  <c r="CB15" i="5"/>
  <c r="AO33" i="4"/>
  <c r="CA17" i="5"/>
  <c r="AN17" i="5"/>
  <c r="CW25" i="4"/>
  <c r="AN26" i="4"/>
  <c r="BD6" i="4"/>
  <c r="CW6" i="4" s="1"/>
  <c r="CW8" i="4"/>
  <c r="CV20" i="4"/>
  <c r="AN46" i="4"/>
  <c r="AF48" i="4"/>
  <c r="AN32" i="4"/>
  <c r="CW43" i="4"/>
  <c r="CV47" i="4"/>
  <c r="AO11" i="5"/>
  <c r="CB11" i="5"/>
  <c r="AN13" i="5"/>
  <c r="CA13" i="5"/>
  <c r="AN22" i="5"/>
  <c r="CA22" i="5"/>
  <c r="G25" i="5"/>
  <c r="AO36" i="4"/>
  <c r="Y25" i="5"/>
  <c r="CB10" i="5"/>
  <c r="AO10" i="5"/>
  <c r="AO7" i="4"/>
  <c r="K48" i="4"/>
  <c r="AO4" i="5"/>
  <c r="CB4" i="5"/>
  <c r="CV5" i="4"/>
  <c r="CW20" i="4"/>
  <c r="CV15" i="4"/>
  <c r="AO19" i="4"/>
  <c r="CW32" i="4"/>
  <c r="CV27" i="4"/>
  <c r="CV24" i="4"/>
  <c r="CV30" i="4"/>
  <c r="CW45" i="4"/>
  <c r="AN44" i="4"/>
  <c r="CV46" i="4"/>
  <c r="AN47" i="4"/>
  <c r="CV38" i="4"/>
  <c r="CV43" i="4"/>
  <c r="S25" i="5"/>
  <c r="CW38" i="4"/>
  <c r="AQ48" i="4"/>
  <c r="CV4" i="4"/>
  <c r="AO13" i="4"/>
  <c r="D48" i="4"/>
  <c r="AN4" i="4"/>
  <c r="BZ7" i="5"/>
  <c r="BZ25" i="5" s="1"/>
  <c r="BY7" i="5"/>
  <c r="BY25" i="5" s="1"/>
  <c r="AN15" i="4"/>
  <c r="AN17" i="4"/>
  <c r="AT25" i="5"/>
  <c r="BO25" i="5"/>
  <c r="BE51" i="4"/>
  <c r="BB51" i="4"/>
  <c r="W48" i="4"/>
  <c r="AN16" i="4"/>
  <c r="G48" i="4"/>
  <c r="CV17" i="4"/>
  <c r="BL48" i="4"/>
  <c r="AN31" i="4"/>
  <c r="AO25" i="4"/>
  <c r="AN36" i="4"/>
  <c r="AO31" i="4"/>
  <c r="CW31" i="4"/>
  <c r="CV10" i="4"/>
  <c r="CV9" i="4"/>
  <c r="AN29" i="4"/>
  <c r="CW9" i="4"/>
  <c r="AN24" i="4"/>
  <c r="CW30" i="4"/>
  <c r="CW29" i="4"/>
  <c r="CV45" i="4"/>
  <c r="AO39" i="4"/>
  <c r="AO42" i="4"/>
  <c r="AN9" i="5"/>
  <c r="CA9" i="5"/>
  <c r="AH25" i="5"/>
  <c r="CB17" i="5"/>
  <c r="AO17" i="5"/>
  <c r="CW40" i="4"/>
  <c r="CA15" i="5"/>
  <c r="AN15" i="5"/>
  <c r="AO13" i="5"/>
  <c r="CB13" i="5"/>
  <c r="BE25" i="5"/>
  <c r="BF25" i="5" s="1"/>
  <c r="AV25" i="5"/>
  <c r="BD7" i="5"/>
  <c r="BD25" i="5" s="1"/>
  <c r="BB25" i="5"/>
  <c r="CV16" i="4"/>
  <c r="AN6" i="4"/>
  <c r="AZ48" i="4"/>
  <c r="CV8" i="4"/>
  <c r="CV18" i="4"/>
  <c r="CW24" i="4"/>
  <c r="AO30" i="4"/>
  <c r="CW11" i="4"/>
  <c r="CW10" i="4"/>
  <c r="AO10" i="4"/>
  <c r="AN8" i="4"/>
  <c r="CV23" i="4"/>
  <c r="AN9" i="4"/>
  <c r="AN30" i="4"/>
  <c r="AN19" i="4"/>
  <c r="AO14" i="4"/>
  <c r="AO11" i="4"/>
  <c r="CW21" i="4"/>
  <c r="AB25" i="5"/>
  <c r="AO6" i="5"/>
  <c r="CB6" i="5"/>
  <c r="CA16" i="5"/>
  <c r="AN16" i="5"/>
  <c r="CV36" i="4"/>
  <c r="J25" i="5"/>
  <c r="CW46" i="4"/>
  <c r="CW42" i="4"/>
  <c r="CV12" i="4"/>
  <c r="CB23" i="5"/>
  <c r="AO23" i="5"/>
  <c r="AO18" i="5"/>
  <c r="CB18" i="5"/>
  <c r="BM48" i="4"/>
  <c r="AO16" i="4"/>
  <c r="AI48" i="4"/>
  <c r="AN5" i="4"/>
  <c r="BO48" i="4"/>
  <c r="AO6" i="4"/>
  <c r="CV11" i="4"/>
  <c r="BR25" i="5"/>
  <c r="BI25" i="5"/>
  <c r="E25" i="5"/>
  <c r="E26" i="5" s="1"/>
  <c r="AM28" i="5"/>
  <c r="AO7" i="5"/>
  <c r="CB7" i="5"/>
  <c r="AN13" i="4"/>
  <c r="AU48" i="4"/>
  <c r="V48" i="4"/>
  <c r="AL48" i="4"/>
  <c r="N48" i="4"/>
  <c r="AN11" i="4"/>
  <c r="AN10" i="4"/>
  <c r="CV7" i="4"/>
  <c r="CV29" i="4"/>
  <c r="CV19" i="4"/>
  <c r="AN23" i="4"/>
  <c r="AO9" i="4"/>
  <c r="AN33" i="4"/>
  <c r="CW36" i="4"/>
  <c r="AN21" i="4"/>
  <c r="AO20" i="4"/>
  <c r="CW23" i="4"/>
  <c r="AO15" i="4"/>
  <c r="CV31" i="4"/>
  <c r="CV28" i="4"/>
  <c r="CV34" i="4"/>
  <c r="AO9" i="5"/>
  <c r="CB9" i="5"/>
  <c r="AN39" i="4"/>
  <c r="AN41" i="4"/>
  <c r="AN37" i="4"/>
  <c r="AN43" i="4"/>
  <c r="AN10" i="5"/>
  <c r="CA10" i="5"/>
  <c r="CA11" i="5"/>
  <c r="AN11" i="5"/>
  <c r="AN12" i="5"/>
  <c r="CA12" i="5"/>
  <c r="CV41" i="4"/>
  <c r="AN42" i="4"/>
  <c r="CV42" i="4"/>
  <c r="CW44" i="4"/>
  <c r="AE25" i="5"/>
  <c r="CA8" i="5"/>
  <c r="AN8" i="5"/>
  <c r="AK48" i="4"/>
  <c r="AO17" i="4"/>
  <c r="BY5" i="4"/>
  <c r="M48" i="4"/>
  <c r="CW16" i="4"/>
  <c r="BF48" i="4"/>
  <c r="BN28" i="5"/>
  <c r="AO16" i="5"/>
  <c r="CB16" i="5"/>
  <c r="CW15" i="4"/>
  <c r="S48" i="4"/>
  <c r="AH48" i="4"/>
  <c r="CW12" i="4"/>
  <c r="Y48" i="4"/>
  <c r="CW19" i="4"/>
  <c r="AO29" i="4"/>
  <c r="CW33" i="4"/>
  <c r="V25" i="5"/>
  <c r="CV33" i="4"/>
  <c r="AO44" i="4"/>
  <c r="CB20" i="5"/>
  <c r="AO20" i="5"/>
  <c r="AN28" i="4"/>
  <c r="CW34" i="4"/>
  <c r="AO34" i="4"/>
  <c r="CW37" i="4"/>
  <c r="CV44" i="4"/>
  <c r="CB5" i="5"/>
  <c r="AO5" i="5"/>
  <c r="AO41" i="4"/>
  <c r="CV37" i="4"/>
  <c r="AN18" i="5"/>
  <c r="CA18" i="5"/>
  <c r="AO47" i="4"/>
  <c r="CA23" i="5"/>
  <c r="AN23" i="5"/>
  <c r="AN19" i="5"/>
  <c r="CA19" i="5"/>
  <c r="CU5" i="4"/>
  <c r="AV48" i="4"/>
  <c r="AV51" i="4" s="1"/>
  <c r="CV14" i="4"/>
  <c r="AR48" i="4"/>
  <c r="CW4" i="4"/>
  <c r="AN12" i="4"/>
  <c r="AO19" i="5"/>
  <c r="AO5" i="4"/>
  <c r="Z48" i="4"/>
  <c r="BT28" i="5"/>
  <c r="AT48" i="4"/>
  <c r="AN22" i="4"/>
  <c r="CV6" i="4"/>
  <c r="AE48" i="4"/>
  <c r="BL25" i="5"/>
  <c r="BW25" i="5"/>
  <c r="AN7" i="5"/>
  <c r="CA7" i="5"/>
  <c r="AO28" i="4"/>
  <c r="CW28" i="4"/>
  <c r="AN34" i="4"/>
  <c r="CA6" i="5"/>
  <c r="AN6" i="5"/>
  <c r="AO23" i="4"/>
  <c r="AN14" i="4"/>
  <c r="AO24" i="4"/>
  <c r="CV26" i="4"/>
  <c r="CW39" i="4"/>
  <c r="P25" i="5"/>
  <c r="AO45" i="4"/>
  <c r="CW47" i="4"/>
  <c r="AN40" i="4"/>
  <c r="M25" i="5"/>
  <c r="CV39" i="4"/>
  <c r="AK25" i="5"/>
  <c r="AO38" i="4"/>
  <c r="AN45" i="4"/>
  <c r="CB8" i="5"/>
  <c r="AO8" i="5"/>
  <c r="AN20" i="5"/>
  <c r="CA20" i="5"/>
  <c r="AO52" i="6" l="1"/>
  <c r="BA26" i="5"/>
  <c r="AZ25" i="5"/>
  <c r="BI48" i="4"/>
  <c r="BJ48" i="4"/>
  <c r="CW5" i="4"/>
  <c r="BX48" i="4"/>
  <c r="BD48" i="4"/>
  <c r="CA25" i="5"/>
  <c r="BB28" i="5"/>
  <c r="BD26" i="5"/>
  <c r="CY5" i="4"/>
  <c r="CU48" i="4"/>
  <c r="CU51" i="4" s="1"/>
  <c r="AO48" i="4"/>
  <c r="BY48" i="4"/>
  <c r="AX26" i="5"/>
  <c r="AV28" i="5"/>
  <c r="CB25" i="5"/>
  <c r="CB26" i="5" s="1"/>
  <c r="BW28" i="5"/>
  <c r="BY26" i="5"/>
  <c r="BZ28" i="5"/>
  <c r="BE28" i="5"/>
  <c r="BG26" i="5"/>
  <c r="AN48" i="4"/>
  <c r="AO25" i="5"/>
  <c r="AO26" i="5" s="1"/>
  <c r="BC25" i="5"/>
  <c r="AW25" i="5"/>
  <c r="AW48" i="4"/>
  <c r="AN25" i="5"/>
  <c r="BX25" i="5"/>
  <c r="AX48" i="4"/>
  <c r="CW48" i="4" l="1"/>
  <c r="CV4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Vitor Andrade Soares</author>
  </authors>
  <commentList>
    <comment ref="D23" authorId="0" shapeId="0" xr:uid="{1E5819B1-0C26-48AC-AC29-DCFEBA5D9930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We started to receive new special project scopes. We estimate we can reach 75 KUSD in 2019 based on that.</t>
        </r>
      </text>
    </comment>
    <comment ref="D24" authorId="0" shapeId="0" xr:uid="{D3EB840C-D777-4546-86E3-9F896B3CA63B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We will run after that.</t>
        </r>
      </text>
    </comment>
    <comment ref="D25" authorId="0" shapeId="0" xr:uid="{50250CA4-2E6A-4334-B035-F73C31AC35CA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Ad-hoc in 1800 days PMs</t>
        </r>
      </text>
    </comment>
    <comment ref="D26" authorId="0" shapeId="0" xr:uid="{D1B07405-0D9F-4168-9F48-440E513F085C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New Ad-hoc scopes. We need to get it with special projects.
</t>
        </r>
      </text>
    </comment>
    <comment ref="D27" authorId="0" shapeId="0" xr:uid="{06699E16-78BE-4EA5-B9B4-E6C202AC24AA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Calibration and special projects - Flareboom installation, salas...</t>
        </r>
      </text>
    </comment>
    <comment ref="D28" authorId="0" shapeId="0" xr:uid="{DBCB402B-251F-4511-B9A6-0822B3F60A87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Special projects and 1800 days PMs.</t>
        </r>
      </text>
    </comment>
    <comment ref="D29" authorId="0" shapeId="0" xr:uid="{F8B23899-1ACF-4FEA-9107-8C33FE1F17CD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1800 PMs and special projects (padeyes installation, flare boom...)</t>
        </r>
      </text>
    </comment>
    <comment ref="D30" authorId="0" shapeId="0" xr:uid="{4C59FEEE-D2D2-4748-A887-D351E4C66601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Special projects - phased array.</t>
        </r>
      </text>
    </comment>
    <comment ref="D33" authorId="0" shapeId="0" xr:uid="{88C93E57-DDED-4B28-A8CA-27DC7956665A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LEC
DROPS
Shipyard
</t>
        </r>
      </text>
    </comment>
    <comment ref="D34" authorId="0" shapeId="0" xr:uid="{10C3EE3E-0DBF-499C-805B-E87847928482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LEC
Load path
Derrick inspection
DROPS
</t>
        </r>
      </text>
    </comment>
    <comment ref="D35" authorId="0" shapeId="0" xr:uid="{50267E3B-06D5-4A59-91FA-E0FDE33981C1}">
      <text>
        <r>
          <rPr>
            <b/>
            <sz val="9"/>
            <color indexed="81"/>
            <rFont val="Tahoma"/>
            <family val="2"/>
          </rPr>
          <t>Vitor Andrade Soares:</t>
        </r>
        <r>
          <rPr>
            <sz val="9"/>
            <color indexed="81"/>
            <rFont val="Tahoma"/>
            <family val="2"/>
          </rPr>
          <t xml:space="preserve">
DROPS
LEC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vitor.soares</author>
  </authors>
  <commentList>
    <comment ref="J214" authorId="0" shapeId="0" xr:uid="{DE66454B-976C-4128-84C6-E3FEC96D1D23}">
      <text>
        <r>
          <rPr>
            <b/>
            <sz val="9"/>
            <color indexed="81"/>
            <rFont val="Tahoma"/>
            <family val="2"/>
          </rPr>
          <t xml:space="preserve">vitor.soares:
Dec 2020
</t>
        </r>
      </text>
    </comment>
    <comment ref="J215" authorId="0" shapeId="0" xr:uid="{2C67AB9D-F3C3-4CF9-AA94-2FEDE284BEB7}">
      <text>
        <r>
          <rPr>
            <b/>
            <sz val="9"/>
            <color indexed="81"/>
            <rFont val="Tahoma"/>
            <family val="2"/>
          </rPr>
          <t xml:space="preserve">vitor.soares:
Dec 2020
</t>
        </r>
      </text>
    </comment>
    <comment ref="J216" authorId="0" shapeId="0" xr:uid="{CAB8DB80-AC6B-4C87-9EEF-0059CEA89DF5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  <comment ref="J218" authorId="0" shapeId="0" xr:uid="{7A6AAE57-C22C-4F56-822E-1B3760E9D98E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  <comment ref="J351" authorId="0" shapeId="0" xr:uid="{0A0AAC02-2901-457C-B79B-CB39065765A3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vitor.soares</author>
  </authors>
  <commentList>
    <comment ref="J214" authorId="0" shapeId="0" xr:uid="{8DBCC410-AF66-45C1-A87F-1F0F20893292}">
      <text>
        <r>
          <rPr>
            <b/>
            <sz val="9"/>
            <color indexed="81"/>
            <rFont val="Tahoma"/>
            <family val="2"/>
          </rPr>
          <t xml:space="preserve">vitor.soares:
Dec 2020
</t>
        </r>
      </text>
    </comment>
    <comment ref="J215" authorId="0" shapeId="0" xr:uid="{F9D34AC6-61DC-462B-AC9F-AF6AE7ADD8CE}">
      <text>
        <r>
          <rPr>
            <b/>
            <sz val="9"/>
            <color indexed="81"/>
            <rFont val="Tahoma"/>
            <family val="2"/>
          </rPr>
          <t xml:space="preserve">vitor.soares:
Dec 2020
</t>
        </r>
      </text>
    </comment>
    <comment ref="J216" authorId="0" shapeId="0" xr:uid="{CB5CF3FE-0170-48B7-97CB-5C19B3670B66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  <comment ref="J218" authorId="0" shapeId="0" xr:uid="{140E314F-21D8-4D99-B33B-C2AEAD3632F5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  <comment ref="J349" authorId="0" shapeId="0" xr:uid="{C5EA76AB-1379-4CFC-A2BE-E675CFAF1246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  <comment ref="J350" authorId="0" shapeId="0" xr:uid="{468E63A8-AD5B-48F4-9249-780B27C5189D}">
      <text>
        <r>
          <rPr>
            <b/>
            <sz val="9"/>
            <color indexed="81"/>
            <rFont val="Tahoma"/>
            <family val="2"/>
          </rPr>
          <t xml:space="preserve">vitor.soares:
Sep 2020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tc={C4BD95D0-BA06-406D-BFB4-B4344543E623}</author>
  </authors>
  <commentList>
    <comment ref="O2" authorId="0" shapeId="0" xr:uid="{C4BD95D0-BA06-406D-BFB4-B4344543E6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Notes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tc={B6711862-DFF1-43E1-ACF3-EAD55EEB1709}</author>
  </authors>
  <commentList>
    <comment ref="O2" authorId="0" shapeId="0" xr:uid="{B6711862-DFF1-43E1-ACF3-EAD55EEB17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Notes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tc={92D99111-5A86-4AB2-BE63-B92DBCA58268}</author>
  </authors>
  <commentList>
    <comment ref="O2" authorId="0" shapeId="0" xr:uid="{92D99111-5A86-4AB2-BE63-B92DBCA582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Notes 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tc={8D01AC5C-CFE1-4260-A07A-501F9362E24A}</author>
  </authors>
  <commentList>
    <comment ref="N1" authorId="0" shapeId="0" xr:uid="{8D01AC5C-CFE1-4260-A07A-501F9362E2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Notes </t>
      </text>
    </comment>
  </commentList>
</comments>
</file>

<file path=xl/sharedStrings.xml><?xml version="1.0" encoding="utf-8"?>
<sst xmlns="http://schemas.openxmlformats.org/spreadsheetml/2006/main" count="22499" uniqueCount="3909">
  <si>
    <t>Project information</t>
  </si>
  <si>
    <t>Sales</t>
  </si>
  <si>
    <t>Financial</t>
  </si>
  <si>
    <t>Deliverables</t>
  </si>
  <si>
    <t>Meetings</t>
  </si>
  <si>
    <t>Warehouse</t>
  </si>
  <si>
    <t>Client Evaluation</t>
  </si>
  <si>
    <t>Project</t>
  </si>
  <si>
    <t>WO</t>
  </si>
  <si>
    <t>Work Order Number</t>
  </si>
  <si>
    <t>Installation</t>
  </si>
  <si>
    <t>Client</t>
  </si>
  <si>
    <t>Segment</t>
  </si>
  <si>
    <t>Operational Status</t>
  </si>
  <si>
    <t>PM</t>
  </si>
  <si>
    <t>Description:</t>
  </si>
  <si>
    <t>Service</t>
  </si>
  <si>
    <t>Axess Entity</t>
  </si>
  <si>
    <t>BD Responsible2</t>
  </si>
  <si>
    <t>BD Status</t>
  </si>
  <si>
    <t xml:space="preserve">Country </t>
  </si>
  <si>
    <t>Quote No.</t>
  </si>
  <si>
    <t>Client Contact Person</t>
  </si>
  <si>
    <t>Client Contact Email</t>
  </si>
  <si>
    <t>Projected 
Month</t>
  </si>
  <si>
    <t>Projected 
Year</t>
  </si>
  <si>
    <t>Probability</t>
  </si>
  <si>
    <t>Expected Revenue</t>
  </si>
  <si>
    <t>Rev. Based on PROB</t>
  </si>
  <si>
    <t>Expected Costs</t>
  </si>
  <si>
    <t>Expected CMR</t>
  </si>
  <si>
    <t>Expected Contribution</t>
  </si>
  <si>
    <t>PM2</t>
  </si>
  <si>
    <t>PO received</t>
  </si>
  <si>
    <t>PO Number</t>
  </si>
  <si>
    <t>PO Value</t>
  </si>
  <si>
    <t>Start (mob date)</t>
  </si>
  <si>
    <t>Finish (demob)</t>
  </si>
  <si>
    <t>Accrual Month</t>
  </si>
  <si>
    <t>Accrued Revenue</t>
  </si>
  <si>
    <t>Accrued Cost</t>
  </si>
  <si>
    <t>Comments</t>
  </si>
  <si>
    <t>Why cost accrual</t>
  </si>
  <si>
    <t>Final Invoice Status</t>
  </si>
  <si>
    <t>Invoice Value</t>
  </si>
  <si>
    <t>Total cost</t>
  </si>
  <si>
    <t>Invoice date</t>
  </si>
  <si>
    <t>Reports due for QA:</t>
  </si>
  <si>
    <t>Reports Due to Client</t>
  </si>
  <si>
    <t>Date Report is delivered:</t>
  </si>
  <si>
    <t>Status</t>
  </si>
  <si>
    <t>Start-Up Meeting</t>
  </si>
  <si>
    <t>Close-up Meeting</t>
  </si>
  <si>
    <t>Equipment sent</t>
  </si>
  <si>
    <t>Equipment return</t>
  </si>
  <si>
    <t>03</t>
  </si>
  <si>
    <t>Deepwater Mykonos</t>
  </si>
  <si>
    <t>Transocean</t>
  </si>
  <si>
    <t>Drilling</t>
  </si>
  <si>
    <t>Operation</t>
  </si>
  <si>
    <t>CW</t>
  </si>
  <si>
    <t>Ad-hoc</t>
  </si>
  <si>
    <t>LEC</t>
  </si>
  <si>
    <t>AX Houston</t>
  </si>
  <si>
    <t>Chris Walker</t>
  </si>
  <si>
    <t>Won</t>
  </si>
  <si>
    <t>Brazil</t>
  </si>
  <si>
    <t>NA</t>
  </si>
  <si>
    <t>Dec</t>
  </si>
  <si>
    <t>12</t>
  </si>
  <si>
    <t>DROPS Closing</t>
  </si>
  <si>
    <t>DROPS</t>
  </si>
  <si>
    <t>07</t>
  </si>
  <si>
    <t>Deepwater Asgard</t>
  </si>
  <si>
    <t>NK</t>
  </si>
  <si>
    <t>Annual EX Assessment</t>
  </si>
  <si>
    <t>Nathan Kyser</t>
  </si>
  <si>
    <t>GOM</t>
  </si>
  <si>
    <t>Regulo Salas</t>
  </si>
  <si>
    <t>Regulo.Salas@deepwater.com</t>
  </si>
  <si>
    <t>Feb</t>
  </si>
  <si>
    <t>06</t>
  </si>
  <si>
    <t>Annual Elevators</t>
  </si>
  <si>
    <t>EX</t>
  </si>
  <si>
    <t>Aug</t>
  </si>
  <si>
    <t>Deepwater Corcovado</t>
  </si>
  <si>
    <t>05</t>
  </si>
  <si>
    <t>Annual Pressurized Systems</t>
  </si>
  <si>
    <t>Pressurized Systems</t>
  </si>
  <si>
    <t>May</t>
  </si>
  <si>
    <t>04</t>
  </si>
  <si>
    <t>Annual RWNDT Q1</t>
  </si>
  <si>
    <t>NDT</t>
  </si>
  <si>
    <t>Jan</t>
  </si>
  <si>
    <t>All travel cost was booked under the RWNDT (5 guys from UK and Asia).</t>
  </si>
  <si>
    <t>Luke and Gair</t>
  </si>
  <si>
    <t>Annual RWNDT Q2</t>
  </si>
  <si>
    <t>Annual RWNDT Q3</t>
  </si>
  <si>
    <t>11</t>
  </si>
  <si>
    <t>Ad-Hoc</t>
  </si>
  <si>
    <t>Yes</t>
  </si>
  <si>
    <t>Annual RWNDT Q4</t>
  </si>
  <si>
    <t>Oct</t>
  </si>
  <si>
    <t>01</t>
  </si>
  <si>
    <t>Deepwater Conqueror</t>
  </si>
  <si>
    <t>VAS</t>
  </si>
  <si>
    <t>Annual CCE</t>
  </si>
  <si>
    <t>CCE</t>
  </si>
  <si>
    <t>Vitor Soares</t>
  </si>
  <si>
    <t>Thomas Iverson</t>
  </si>
  <si>
    <t>Thomas.Iverson@deepwater.com</t>
  </si>
  <si>
    <t>02</t>
  </si>
  <si>
    <t>Annual DROPS</t>
  </si>
  <si>
    <t>Annual LGI</t>
  </si>
  <si>
    <t>Discoverer Inspiration</t>
  </si>
  <si>
    <t>Gregory Emberley</t>
  </si>
  <si>
    <t>Gregory.Emberley@deepwater.com</t>
  </si>
  <si>
    <t>Deepwater Invictus</t>
  </si>
  <si>
    <t>Vishruti Jakhar</t>
  </si>
  <si>
    <t>Vishruti.Jakhar@deepwater.com</t>
  </si>
  <si>
    <t>All travel cost was booked under this workorder and the guys embarked on the second to last day of the month.</t>
  </si>
  <si>
    <t>Subcontractors (Afandi and Luke)</t>
  </si>
  <si>
    <t>Deepwater Pontus</t>
  </si>
  <si>
    <t>MM</t>
  </si>
  <si>
    <t>Matthew Martinak</t>
  </si>
  <si>
    <t>Valaris 8505</t>
  </si>
  <si>
    <t>Valaris</t>
  </si>
  <si>
    <t>Cranes inspection and lubrication</t>
  </si>
  <si>
    <t>It was strategic to give Valaris some vantage on that.</t>
  </si>
  <si>
    <t>202009-04</t>
  </si>
  <si>
    <t>Deepwater Poseidon</t>
  </si>
  <si>
    <t>The team started from the most dificult part.</t>
  </si>
  <si>
    <t>ok</t>
  </si>
  <si>
    <t>13</t>
  </si>
  <si>
    <t>Ad-hoc Elevator supervision</t>
  </si>
  <si>
    <t>Elevator</t>
  </si>
  <si>
    <t>yes</t>
  </si>
  <si>
    <t>Deepwater Proteus</t>
  </si>
  <si>
    <t>DPT - Annual CCE</t>
  </si>
  <si>
    <t>Apr</t>
  </si>
  <si>
    <t>April</t>
  </si>
  <si>
    <t>Reports were not delivered</t>
  </si>
  <si>
    <t>DPT - Annual DROPS</t>
  </si>
  <si>
    <t>DPT - Annual RWNDT Q2</t>
  </si>
  <si>
    <t>No</t>
  </si>
  <si>
    <t>202011-04</t>
  </si>
  <si>
    <t>Deepwater Thalassa</t>
  </si>
  <si>
    <t>DTH Adhoc 5-year 2020</t>
  </si>
  <si>
    <t/>
  </si>
  <si>
    <t>Deepwater Developer 3</t>
  </si>
  <si>
    <t>Borr CME1</t>
  </si>
  <si>
    <t>Borr</t>
  </si>
  <si>
    <t>UWILD</t>
  </si>
  <si>
    <t>Dive team and Lolo and Alvin</t>
  </si>
  <si>
    <t>Drill Equipment - PAUT</t>
  </si>
  <si>
    <t>Corbin OT</t>
  </si>
  <si>
    <t>Q5000</t>
  </si>
  <si>
    <t>Helix</t>
  </si>
  <si>
    <t>Energy</t>
  </si>
  <si>
    <t>MPD</t>
  </si>
  <si>
    <t>Various</t>
  </si>
  <si>
    <t>Mike DeSantis</t>
  </si>
  <si>
    <t>Arjuna Perera</t>
  </si>
  <si>
    <t>aperera@helixesg.com</t>
  </si>
  <si>
    <t>Hotel, Rental Equipment and Subcontractors (Gair, Ahmad)</t>
  </si>
  <si>
    <t>Elevator Supervision</t>
  </si>
  <si>
    <t>Zammam</t>
  </si>
  <si>
    <t>Corbin Park and Urbano - 90% of the RWNDT happens in the Q1</t>
  </si>
  <si>
    <t>The fixed price is very good if compared to the total work to be performed.</t>
  </si>
  <si>
    <t>Corbin Park and Urbano</t>
  </si>
  <si>
    <t>It was only performed the total Derrick inspection (API+DROPS)</t>
  </si>
  <si>
    <t>Peregrino Phase II</t>
  </si>
  <si>
    <t>Equinor</t>
  </si>
  <si>
    <t>Flare tip removal study</t>
  </si>
  <si>
    <t>Material handling</t>
  </si>
  <si>
    <t>20</t>
  </si>
  <si>
    <t>Mexico</t>
  </si>
  <si>
    <t>MX Operations 2020</t>
  </si>
  <si>
    <t>Daniel Lee</t>
  </si>
  <si>
    <t>Borr Grid</t>
  </si>
  <si>
    <t>2019 - LEC 6 Months</t>
  </si>
  <si>
    <t>Saipem Jindal Pioneer</t>
  </si>
  <si>
    <t>Maersk Valiant</t>
  </si>
  <si>
    <t>Crane NDT</t>
  </si>
  <si>
    <t>FPSO N'Gomma</t>
  </si>
  <si>
    <t>SBM</t>
  </si>
  <si>
    <t>FPSO</t>
  </si>
  <si>
    <t>Lifting and rigging</t>
  </si>
  <si>
    <t>Pablo Didone (support on updating lifting plan)</t>
  </si>
  <si>
    <t>West Capricorn</t>
  </si>
  <si>
    <t>NRK</t>
  </si>
  <si>
    <t>Lightship/Incline</t>
  </si>
  <si>
    <t>DTH Ad-hoc 2019</t>
  </si>
  <si>
    <t>Jostein</t>
  </si>
  <si>
    <t>Kevin Weiss</t>
  </si>
  <si>
    <t>Kevin.Weiss@deepwater.com</t>
  </si>
  <si>
    <t>Ad-Hoc - 1800 day PM</t>
  </si>
  <si>
    <t>Karsten Petersen</t>
  </si>
  <si>
    <t>Karsten.Petersen@deepwater.com</t>
  </si>
  <si>
    <t>0001863198</t>
  </si>
  <si>
    <t>0001872958</t>
  </si>
  <si>
    <t>Ad-hoc - Mud pump NDE</t>
  </si>
  <si>
    <t>Gregg Besozzi</t>
  </si>
  <si>
    <t>Gregory.Besozzi@deepwater.com</t>
  </si>
  <si>
    <t>0001867415</t>
  </si>
  <si>
    <t>Ad-hoc - Phased array - MDDM</t>
  </si>
  <si>
    <t>0001886678</t>
  </si>
  <si>
    <t>no</t>
  </si>
  <si>
    <t>Ad-Hoc - Rope access support</t>
  </si>
  <si>
    <t>AIM</t>
  </si>
  <si>
    <t>ad-hoc - Water bag rental</t>
  </si>
  <si>
    <t>Travis McGuire</t>
  </si>
  <si>
    <t xml:space="preserve">Travis.McGuire@deepwater.com  </t>
  </si>
  <si>
    <t>0001867921</t>
  </si>
  <si>
    <t>Ad-Hoc Phased array</t>
  </si>
  <si>
    <t>Ross Cameron</t>
  </si>
  <si>
    <t>Ross.Cameron@deepwater.com</t>
  </si>
  <si>
    <t>Chris</t>
  </si>
  <si>
    <t>0001882148</t>
  </si>
  <si>
    <t>Jul</t>
  </si>
  <si>
    <t>Nathan Irwin</t>
  </si>
  <si>
    <t xml:space="preserve">Nathan.Irwin@deepwater.com </t>
  </si>
  <si>
    <t>Jun</t>
  </si>
  <si>
    <t>Ian Laird</t>
  </si>
  <si>
    <t>Ian.Laird@deepwater.com</t>
  </si>
  <si>
    <t>Discoverer Clear Leader</t>
  </si>
  <si>
    <t>stacked</t>
  </si>
  <si>
    <t>Justin Richardson</t>
  </si>
  <si>
    <t>Justin.Richardson@deepwater.com</t>
  </si>
  <si>
    <t>Sep</t>
  </si>
  <si>
    <t>Mar</t>
  </si>
  <si>
    <t>Nov</t>
  </si>
  <si>
    <t xml:space="preserve">Annual Elevators </t>
  </si>
  <si>
    <t>DST</t>
  </si>
  <si>
    <t>Darrin</t>
  </si>
  <si>
    <t>Development Driller III</t>
  </si>
  <si>
    <t>Reactivation</t>
  </si>
  <si>
    <t>0001883059</t>
  </si>
  <si>
    <t>Corrosion assessment</t>
  </si>
  <si>
    <t>Misc LAG</t>
  </si>
  <si>
    <t>Mike</t>
  </si>
  <si>
    <t>jan</t>
  </si>
  <si>
    <t>Mud pump inspection</t>
  </si>
  <si>
    <t>NDT on padeyes</t>
  </si>
  <si>
    <t>0001880339</t>
  </si>
  <si>
    <t>0001880359</t>
  </si>
  <si>
    <t>15</t>
  </si>
  <si>
    <t>Post load test NDT</t>
  </si>
  <si>
    <t>0001879187</t>
  </si>
  <si>
    <t>PRV calibration</t>
  </si>
  <si>
    <t>0001881094</t>
  </si>
  <si>
    <t>TRIM</t>
  </si>
  <si>
    <t xml:space="preserve">Resocketing of 76mm KB2 </t>
  </si>
  <si>
    <t>FPSO Commsa</t>
  </si>
  <si>
    <t>Commsa</t>
  </si>
  <si>
    <t>Rigging support</t>
  </si>
  <si>
    <t>WOn</t>
  </si>
  <si>
    <t>Quoted</t>
  </si>
  <si>
    <t>Vitor</t>
  </si>
  <si>
    <t>Q-HO-14061</t>
  </si>
  <si>
    <t>HP1</t>
  </si>
  <si>
    <t>Shipyard</t>
  </si>
  <si>
    <t>Operations</t>
  </si>
  <si>
    <t>BR</t>
  </si>
  <si>
    <t>Ben</t>
  </si>
  <si>
    <t>0002009023</t>
  </si>
  <si>
    <t>RWNDT 3rd Quarter</t>
  </si>
  <si>
    <t>0001974598</t>
  </si>
  <si>
    <t>Virginia Windfarm</t>
  </si>
  <si>
    <t>Subsea 7</t>
  </si>
  <si>
    <t>Cable Pulling</t>
  </si>
  <si>
    <t>Rope access</t>
  </si>
  <si>
    <t>E-Mag inspection</t>
  </si>
  <si>
    <t>Phased Array</t>
  </si>
  <si>
    <t>Stand-by Miami</t>
  </si>
  <si>
    <t>Deepwater Inspiration</t>
  </si>
  <si>
    <t>LARS inspection</t>
  </si>
  <si>
    <t>RWNDT 2nd Quarter</t>
  </si>
  <si>
    <t>SSV Carolina</t>
  </si>
  <si>
    <t>Ventura Petroleo</t>
  </si>
  <si>
    <t>Sea trial</t>
  </si>
  <si>
    <t>Marine</t>
  </si>
  <si>
    <t>Sevan Louisiana</t>
  </si>
  <si>
    <t>Seadrill</t>
  </si>
  <si>
    <t>Towing padeyes inspection</t>
  </si>
  <si>
    <t>Sum of Rev. Based on PROB</t>
  </si>
  <si>
    <t>Column Labels</t>
  </si>
  <si>
    <t>Row Labels</t>
  </si>
  <si>
    <t>(blank)</t>
  </si>
  <si>
    <t>Grand Total</t>
  </si>
  <si>
    <t>Order backlog</t>
  </si>
  <si>
    <t>Crane</t>
  </si>
  <si>
    <t xml:space="preserve">Elevator </t>
  </si>
  <si>
    <t>Engineering</t>
  </si>
  <si>
    <t>Solutions / Marine</t>
  </si>
  <si>
    <t xml:space="preserve">Order backlog </t>
  </si>
  <si>
    <t>Out of the blue</t>
  </si>
  <si>
    <t>Pipeline</t>
  </si>
  <si>
    <t>PRV</t>
  </si>
  <si>
    <t>Year</t>
  </si>
  <si>
    <t>Month</t>
  </si>
  <si>
    <t>Total</t>
  </si>
  <si>
    <t>Budget Target</t>
  </si>
  <si>
    <t>Diference</t>
  </si>
  <si>
    <t>Rig</t>
  </si>
  <si>
    <t>(Weighted) Probability</t>
  </si>
  <si>
    <t>(Weighted) CMR</t>
  </si>
  <si>
    <t>Revenue</t>
  </si>
  <si>
    <t>Cost</t>
  </si>
  <si>
    <t>Q4000</t>
  </si>
  <si>
    <t>General</t>
  </si>
  <si>
    <t>Noble</t>
  </si>
  <si>
    <t>Globetrotter 1</t>
  </si>
  <si>
    <t>Delta Admiral</t>
  </si>
  <si>
    <t>Noble Bob Duglas</t>
  </si>
  <si>
    <t>VT Marine</t>
  </si>
  <si>
    <t>POSH Xanadu</t>
  </si>
  <si>
    <t>Jackup</t>
  </si>
  <si>
    <t>Fleet</t>
  </si>
  <si>
    <t>Projects</t>
  </si>
  <si>
    <t>Noble Buly I</t>
  </si>
  <si>
    <t>Fleet / Operations</t>
  </si>
  <si>
    <t>West Auriga</t>
  </si>
  <si>
    <t>West Vela</t>
  </si>
  <si>
    <t>Spartan 151</t>
  </si>
  <si>
    <t>Petrobras 10001</t>
  </si>
  <si>
    <t>Q4001</t>
  </si>
  <si>
    <t>Drillship</t>
  </si>
  <si>
    <t>Discoverer America</t>
  </si>
  <si>
    <t>Baffin</t>
  </si>
  <si>
    <t>Internal</t>
  </si>
  <si>
    <t>Check Totals</t>
  </si>
  <si>
    <t>Difference</t>
  </si>
  <si>
    <t>LEADS - 2019</t>
  </si>
  <si>
    <t>BD Responsible</t>
  </si>
  <si>
    <t>Contribution</t>
  </si>
  <si>
    <t>Zadok</t>
  </si>
  <si>
    <t>Rope access cable run</t>
  </si>
  <si>
    <t>Lead</t>
  </si>
  <si>
    <t>Darrel White</t>
  </si>
  <si>
    <t>dawhite@zdoktech.com</t>
  </si>
  <si>
    <t>TBC</t>
  </si>
  <si>
    <t>Noble Drilling</t>
  </si>
  <si>
    <t>NDT/Drops/Crane/Marine</t>
  </si>
  <si>
    <t>Espen</t>
  </si>
  <si>
    <t>TBA</t>
  </si>
  <si>
    <t>TBD</t>
  </si>
  <si>
    <t>BP</t>
  </si>
  <si>
    <t>Operator</t>
  </si>
  <si>
    <t>Kai Christensen</t>
  </si>
  <si>
    <t>kai.christensen@bp.com</t>
  </si>
  <si>
    <t>Dry docking inspection cycle</t>
  </si>
  <si>
    <t>Pemex</t>
  </si>
  <si>
    <t>Asset Integrity</t>
  </si>
  <si>
    <t>Daniel Cazon</t>
  </si>
  <si>
    <t>daniel.cazon@apcas.no</t>
  </si>
  <si>
    <t>Global Contract</t>
  </si>
  <si>
    <t>Nick Collier</t>
  </si>
  <si>
    <t>Discoverer Clear leader</t>
  </si>
  <si>
    <t xml:space="preserve">VT Marine </t>
  </si>
  <si>
    <t xml:space="preserve">CMC Installation </t>
  </si>
  <si>
    <t>Walker</t>
  </si>
  <si>
    <t>Jeffrey Gehrmann</t>
  </si>
  <si>
    <t>JGehrmann@vt-marine.com</t>
  </si>
  <si>
    <t>Chevron</t>
  </si>
  <si>
    <t>NDT/Crane/Marine</t>
  </si>
  <si>
    <t>AIM/Marine</t>
  </si>
  <si>
    <t>Edvard Na</t>
  </si>
  <si>
    <t>New FPS</t>
  </si>
  <si>
    <t>LLOG</t>
  </si>
  <si>
    <t>New build - FPS</t>
  </si>
  <si>
    <t>New Build</t>
  </si>
  <si>
    <t>Mark Farrow / Craig Mullett</t>
  </si>
  <si>
    <t>Ensco</t>
  </si>
  <si>
    <t>Crane inspection and maintenance</t>
  </si>
  <si>
    <t>Survey for new padeyes installation</t>
  </si>
  <si>
    <t>CMID/OVID/FMEA/Trials</t>
  </si>
  <si>
    <t>Asset Support</t>
  </si>
  <si>
    <t>Kyser</t>
  </si>
  <si>
    <t>Steve Velzis</t>
  </si>
  <si>
    <t>Steve.Velzis@bp.com</t>
  </si>
  <si>
    <t>Marine Assurance - Approved Vendor</t>
  </si>
  <si>
    <t>Jessica Dennis</t>
  </si>
  <si>
    <t>jdennis@chevron.com</t>
  </si>
  <si>
    <t>Chevron ETC</t>
  </si>
  <si>
    <t>Marine Assurance - SIVAP</t>
  </si>
  <si>
    <t>Operation/Projects</t>
  </si>
  <si>
    <t>Edward Nakajima</t>
  </si>
  <si>
    <t>enakajima@chevron.com</t>
  </si>
  <si>
    <t>Chouest</t>
  </si>
  <si>
    <t>DP FMEA/Trials/Crane</t>
  </si>
  <si>
    <t>Kerry Gregory/Helga Kleven</t>
  </si>
  <si>
    <t>DP FMEA/Trials for Rowan Rigs</t>
  </si>
  <si>
    <t>Operation/New Intake</t>
  </si>
  <si>
    <t>Kevin Murphy</t>
  </si>
  <si>
    <t>kmurphy@enscoplc.com</t>
  </si>
  <si>
    <t>Marine Logistics</t>
  </si>
  <si>
    <t>Tony Zimaro</t>
  </si>
  <si>
    <t>Exxon</t>
  </si>
  <si>
    <t>Vessel Assurance - OVIDs</t>
  </si>
  <si>
    <t>Patrick Boyle/David Vaughn</t>
  </si>
  <si>
    <t>GulfMark</t>
  </si>
  <si>
    <t>Harvey Gulf</t>
  </si>
  <si>
    <t>Emile Parra</t>
  </si>
  <si>
    <t>Hess</t>
  </si>
  <si>
    <t>MWS / Vessel Assurance</t>
  </si>
  <si>
    <t>Paul Baker, Carla Reeves</t>
  </si>
  <si>
    <t>pbaker@hess.com</t>
  </si>
  <si>
    <t>Hornbeck</t>
  </si>
  <si>
    <t>Kosmos</t>
  </si>
  <si>
    <t>Marine Assurance</t>
  </si>
  <si>
    <t>David Stroud</t>
  </si>
  <si>
    <t>david.stroud@kosmos.com</t>
  </si>
  <si>
    <t>West Neptune</t>
  </si>
  <si>
    <t>DP Annual Trials</t>
  </si>
  <si>
    <t>Warren Nichols / Jon Shaw</t>
  </si>
  <si>
    <t>tsl.wneptune@seadrill.com</t>
  </si>
  <si>
    <t>Andrew Juran</t>
  </si>
  <si>
    <t>andrew.juran@seadrill.com</t>
  </si>
  <si>
    <t>Heath Lavergne</t>
  </si>
  <si>
    <t>heath.lavergne@seadrill.com</t>
  </si>
  <si>
    <t>Shell</t>
  </si>
  <si>
    <t>Marine Concultancy</t>
  </si>
  <si>
    <t>Suman Muddusetti</t>
  </si>
  <si>
    <t>Tidewater</t>
  </si>
  <si>
    <t>DP FMEA/Trials</t>
  </si>
  <si>
    <t>Surveying</t>
  </si>
  <si>
    <t>Marine Integrity Reviews</t>
  </si>
  <si>
    <t>Mike Wright</t>
  </si>
  <si>
    <t>mike.wright@deepwater.com</t>
  </si>
  <si>
    <t>Vantage</t>
  </si>
  <si>
    <t>Viggo Werth</t>
  </si>
  <si>
    <t>viggo.werth@vantagedrilling.com</t>
  </si>
  <si>
    <t>Anadarko</t>
  </si>
  <si>
    <t>Mozambique</t>
  </si>
  <si>
    <t>Marine/AIM</t>
  </si>
  <si>
    <t>Gulf Copper</t>
  </si>
  <si>
    <t>Inspection Services</t>
  </si>
  <si>
    <t>Orcena</t>
  </si>
  <si>
    <t>Pacific Mistral, Scirocco, Meltem and Khamsin</t>
  </si>
  <si>
    <t>Pacific Drilling</t>
  </si>
  <si>
    <t>Moving two drillships to GOM from Las Palmas</t>
  </si>
  <si>
    <t>Decommisioning</t>
  </si>
  <si>
    <t>Quanta</t>
  </si>
  <si>
    <t>Sabine</t>
  </si>
  <si>
    <t>Liza</t>
  </si>
  <si>
    <t>Liza Field</t>
  </si>
  <si>
    <t>New Build/ops</t>
  </si>
  <si>
    <t>Stena Carron</t>
  </si>
  <si>
    <t>Stena Drilling</t>
  </si>
  <si>
    <t>New rig to Guyana</t>
  </si>
  <si>
    <t>Upgrade DP-2 to DP-3</t>
  </si>
  <si>
    <t>Williams Energy</t>
  </si>
  <si>
    <t>Frame agreement</t>
  </si>
  <si>
    <t>Opeation/project</t>
  </si>
  <si>
    <t xml:space="preserve">Clements, Blake </t>
  </si>
  <si>
    <t>Blake.Clements@williams.com</t>
  </si>
  <si>
    <t>ENSCO</t>
  </si>
  <si>
    <t>Fleetwide Crane contract</t>
  </si>
  <si>
    <t>ENI Mizton Platform</t>
  </si>
  <si>
    <t>US Site Visit</t>
  </si>
  <si>
    <t>Advisory</t>
  </si>
  <si>
    <t>New market</t>
  </si>
  <si>
    <t>In Planning</t>
  </si>
  <si>
    <t xml:space="preserve">Ad-hoc Swapping Lifting Gear and Secondary Retention in Derrick </t>
  </si>
  <si>
    <t xml:space="preserve">Jim Saunders </t>
  </si>
  <si>
    <t>maintsup.dgd@deepwater.com</t>
  </si>
  <si>
    <t>Ad-hoc Derrick Measurements</t>
  </si>
  <si>
    <t>Stephen Rossini</t>
  </si>
  <si>
    <t>NRA Wire Rope Inspection</t>
  </si>
  <si>
    <t>Arild Bo</t>
  </si>
  <si>
    <t>DROPS Closing and Pad-eye Testing</t>
  </si>
  <si>
    <t>DWL</t>
  </si>
  <si>
    <t>Cable Run for Shaker House and Mud Pit Room</t>
  </si>
  <si>
    <t>Jeffery J Klibert</t>
  </si>
  <si>
    <t>Cable Run Survey</t>
  </si>
  <si>
    <t>Hardness test - Lifeboat T hooks</t>
  </si>
  <si>
    <t>Load testing utility winch and NDT</t>
  </si>
  <si>
    <t>Resocketing KB #2 900 PM</t>
  </si>
  <si>
    <t>Repsol</t>
  </si>
  <si>
    <t>LEC - Brazilian Compliance</t>
  </si>
  <si>
    <t>Vitor Soares/Chris</t>
  </si>
  <si>
    <t>Forecast Year</t>
  </si>
  <si>
    <t>Forecast Month</t>
  </si>
  <si>
    <t>Discoverer India</t>
  </si>
  <si>
    <t>Petrobras 10000</t>
  </si>
  <si>
    <t>Ensco 8505</t>
  </si>
  <si>
    <t>DD3</t>
  </si>
  <si>
    <t>Borr Odin</t>
  </si>
  <si>
    <t>Husky</t>
  </si>
  <si>
    <t>CMR</t>
  </si>
  <si>
    <t>RBI</t>
  </si>
  <si>
    <t>DREQ</t>
  </si>
  <si>
    <t>Electro</t>
  </si>
  <si>
    <t>MH</t>
  </si>
  <si>
    <t>QC</t>
  </si>
  <si>
    <t>NRs</t>
  </si>
  <si>
    <t>NR</t>
  </si>
  <si>
    <t>NR-10</t>
  </si>
  <si>
    <t>NR-13</t>
  </si>
  <si>
    <t>SLO</t>
  </si>
  <si>
    <t>Accruals +</t>
  </si>
  <si>
    <t>Accruals -</t>
  </si>
  <si>
    <t>Company</t>
  </si>
  <si>
    <t>Title</t>
  </si>
  <si>
    <t>Phone</t>
  </si>
  <si>
    <t>Email</t>
  </si>
  <si>
    <t>Location</t>
  </si>
  <si>
    <t>Notes</t>
  </si>
  <si>
    <t>Category Manager</t>
  </si>
  <si>
    <t>832-212-6925</t>
  </si>
  <si>
    <t>Nicholas.Colyer@seadrill.com</t>
  </si>
  <si>
    <t>Houston</t>
  </si>
  <si>
    <t>Will be in charge of global bid process</t>
  </si>
  <si>
    <t>Director of supply chain</t>
  </si>
  <si>
    <t>832-231-0859</t>
  </si>
  <si>
    <t>Rex.Pigg@seadrill.com</t>
  </si>
  <si>
    <t>Responsible for western hemisphere</t>
  </si>
  <si>
    <t>Statoil</t>
  </si>
  <si>
    <t>VP PM &amp; Control PM</t>
  </si>
  <si>
    <t>281-974-6195</t>
  </si>
  <si>
    <t>rolha@statoil.com</t>
  </si>
  <si>
    <t>Meet with Svein and Lisa 6.10.17</t>
  </si>
  <si>
    <t>281-848-0739</t>
  </si>
  <si>
    <t>pviteri@helixesg.com</t>
  </si>
  <si>
    <t>Pablo Viteri-Mel</t>
  </si>
  <si>
    <t xml:space="preserve">Rig Manager </t>
  </si>
  <si>
    <t>713-789-1400</t>
  </si>
  <si>
    <t>jfreeman@enscoplc.com</t>
  </si>
  <si>
    <t>Josh Freeman E68</t>
  </si>
  <si>
    <t>rgreen@enscoplc.com</t>
  </si>
  <si>
    <t>Richard Green E75 &amp; E87</t>
  </si>
  <si>
    <t>rward@enscoplc.com</t>
  </si>
  <si>
    <t>Robert Ward E8503</t>
  </si>
  <si>
    <t>tchaumont@enscoplc.com</t>
  </si>
  <si>
    <t>Terry Chaumont E8508</t>
  </si>
  <si>
    <t>Gjohnson@enscoplc.com</t>
  </si>
  <si>
    <t>Garret Johnson DS-3</t>
  </si>
  <si>
    <t>Garret Johnson DS-5</t>
  </si>
  <si>
    <t>jfisher@enscoplc.com</t>
  </si>
  <si>
    <t>Josh Fisher DS-9</t>
  </si>
  <si>
    <t>Jlanteigne@enscoplc.com</t>
  </si>
  <si>
    <t>Jame Lanteigne DS-11</t>
  </si>
  <si>
    <t>rstrong@enscoplc.com</t>
  </si>
  <si>
    <t>Rob Strong   Thunderhorse</t>
  </si>
  <si>
    <t>Jhollis@enscoplc</t>
  </si>
  <si>
    <t>Jon Hollis   Mad Dog</t>
  </si>
  <si>
    <t>713-329-1150</t>
  </si>
  <si>
    <t>randy.atwood@seadrill.com</t>
  </si>
  <si>
    <t>Randy Atwood  Neptune</t>
  </si>
  <si>
    <t>malcolm.glass@seadrill.com</t>
  </si>
  <si>
    <t>Malcom (Mally) Glass  Vela</t>
  </si>
  <si>
    <t>Steve.Morrall@seadrill.com</t>
  </si>
  <si>
    <t>Stephan Morrall (Mole)  Capricorn</t>
  </si>
  <si>
    <t>joe.degregorio@seadrill.com</t>
  </si>
  <si>
    <t>Joe DeGregorio  Seven LA</t>
  </si>
  <si>
    <t>Director Worldwide</t>
  </si>
  <si>
    <t>713-859-3604</t>
  </si>
  <si>
    <t>olyle@noblecorp.com</t>
  </si>
  <si>
    <t xml:space="preserve"> Orlan Lyle Director W#orldwide Subsea and maintenance</t>
  </si>
  <si>
    <t>Diamond</t>
  </si>
  <si>
    <t>Director Tech Support</t>
  </si>
  <si>
    <t>713-206-4651</t>
  </si>
  <si>
    <t>fbreland@dodi.com</t>
  </si>
  <si>
    <t>Frank Breland is working with us on one of the Drillships here in the Gulf.  Hess rig</t>
  </si>
  <si>
    <t>Director Projects</t>
  </si>
  <si>
    <t>713-838-5527</t>
  </si>
  <si>
    <t>ewedgeworth@dodi.com</t>
  </si>
  <si>
    <t>David Wedgeworth Working with us.  Meet with Svein when he was over.</t>
  </si>
  <si>
    <t>National Oilwell Varco</t>
  </si>
  <si>
    <t>QC Manger (Bammel)</t>
  </si>
  <si>
    <t>scott.woodard@nov.com</t>
  </si>
  <si>
    <t>Need to set up Rates for Submittal</t>
  </si>
  <si>
    <t>Fabritech</t>
  </si>
  <si>
    <t>Vice President</t>
  </si>
  <si>
    <t>716-572-3342</t>
  </si>
  <si>
    <t>ereese@fabritecllc.com</t>
  </si>
  <si>
    <t>New York</t>
  </si>
  <si>
    <t>GWB Project to kick off in 6 months-Fabritech will be giving us details by 1st of December.</t>
  </si>
  <si>
    <t>Electrical Sup</t>
  </si>
  <si>
    <t>832-451-7375</t>
  </si>
  <si>
    <t>jwaldron@noblecorp.com</t>
  </si>
  <si>
    <t>Justin Has received the quote for a hose registry to be completed on the Globtrotter 1</t>
  </si>
  <si>
    <t>281-684-9005</t>
  </si>
  <si>
    <t>jrichards@dodi.com</t>
  </si>
  <si>
    <t>Jon is leading campain with frank Breland in bringing Axess on board.</t>
  </si>
  <si>
    <t xml:space="preserve">Rig Maintence Supervisor  </t>
  </si>
  <si>
    <t xml:space="preserve">713-239-7484 </t>
  </si>
  <si>
    <t>RMSGT1@noblecorp.com</t>
  </si>
  <si>
    <t>Wayne will be issuing PO for the upcoming MPT Tower Inspection</t>
  </si>
  <si>
    <t>Superintendent</t>
  </si>
  <si>
    <t>713-239-8403</t>
  </si>
  <si>
    <t>bblackman@noblecorp.com</t>
  </si>
  <si>
    <t>In charge of Bob Douglas headed to Africa</t>
  </si>
  <si>
    <t>832-600-2033</t>
  </si>
  <si>
    <t>jhawkins@noblecorp.com</t>
  </si>
  <si>
    <t>John is the Rig Superintendent for the DON TAYLOR</t>
  </si>
  <si>
    <t>281-633-6618</t>
  </si>
  <si>
    <t>sfarley@noblecorp.com</t>
  </si>
  <si>
    <t>Stephen is the Rig Superintendent for the Globetrotter 1</t>
  </si>
  <si>
    <t>832-600-0708</t>
  </si>
  <si>
    <t>dbeatty@noblecorp.com</t>
  </si>
  <si>
    <t>Derek is the Superintendent for the PAUL ROMANO</t>
  </si>
  <si>
    <t>832-898-4824</t>
  </si>
  <si>
    <t>jpower@noblecorp.com</t>
  </si>
  <si>
    <t>Jason Power is the Superintendent for the REGINA ALLEN</t>
  </si>
  <si>
    <t>832-600-5933</t>
  </si>
  <si>
    <t>mjetter@noblecorp.com</t>
  </si>
  <si>
    <t>Matthew Jeter is the Superintendent of the Sam Croft</t>
  </si>
  <si>
    <t>281-235-4654</t>
  </si>
  <si>
    <t>cchandler@noblecorp.com</t>
  </si>
  <si>
    <t>Curtis Chandler is the Superintendent of the TOM MADDEN</t>
  </si>
  <si>
    <t>Maintenance Manager</t>
  </si>
  <si>
    <t>281-276-6642</t>
  </si>
  <si>
    <t>acovin@noblecorp.com</t>
  </si>
  <si>
    <t>Andy is over all of the Western Hemisphere</t>
  </si>
  <si>
    <t>Maintence Supervisor</t>
  </si>
  <si>
    <t>713-239-6146</t>
  </si>
  <si>
    <t>Justin works for Andy and with Michael Harmon</t>
  </si>
  <si>
    <t>713-239-6613</t>
  </si>
  <si>
    <t>mharmon@noblecorp.com</t>
  </si>
  <si>
    <t>Michael works along side Justin and shares responsiblities.</t>
  </si>
  <si>
    <t>Rowan Drilling</t>
  </si>
  <si>
    <t>EVP, Operations</t>
  </si>
  <si>
    <t>713-960-7606</t>
  </si>
  <si>
    <t>frebro@rowancompanies.com</t>
  </si>
  <si>
    <t>Fred Brooks VP</t>
  </si>
  <si>
    <t>VP Operations</t>
  </si>
  <si>
    <t>713-968-6622</t>
  </si>
  <si>
    <t>miccla@rowancompanies.com</t>
  </si>
  <si>
    <t>Michael Clark</t>
  </si>
  <si>
    <t>petwil@rowancompanies.com</t>
  </si>
  <si>
    <t>Uk</t>
  </si>
  <si>
    <t>Pete Wilson VP of Trinidad</t>
  </si>
  <si>
    <t>Saudi</t>
  </si>
  <si>
    <t>Kelly McHenry</t>
  </si>
  <si>
    <t>SVP Operations</t>
  </si>
  <si>
    <t>713-960-7560</t>
  </si>
  <si>
    <t>Derek Necaise</t>
  </si>
  <si>
    <t>Country Manager, Trinidad</t>
  </si>
  <si>
    <t>868-376-1822</t>
  </si>
  <si>
    <t>jacwin@rowancompanies.com</t>
  </si>
  <si>
    <t>Trinidad</t>
  </si>
  <si>
    <t>Jack Winton cell# 868 376-1822 contact came from Pete Wilson</t>
  </si>
  <si>
    <t>General Manager, North Sea</t>
  </si>
  <si>
    <t>UK</t>
  </si>
  <si>
    <t>Eric Wesselingh</t>
  </si>
  <si>
    <t>General Manager, UK</t>
  </si>
  <si>
    <t>713-960-7646</t>
  </si>
  <si>
    <t>Jason Scott</t>
  </si>
  <si>
    <t>Operation Manager</t>
  </si>
  <si>
    <t>Bobby Gipson</t>
  </si>
  <si>
    <t>Jamie Rawson</t>
  </si>
  <si>
    <t>Director, Technical Service</t>
  </si>
  <si>
    <t>713-968-6634</t>
  </si>
  <si>
    <t>albro@rowancompanies.com</t>
  </si>
  <si>
    <t>Al Browning</t>
  </si>
  <si>
    <t>Director GM Americas</t>
  </si>
  <si>
    <t>713-968-1469</t>
  </si>
  <si>
    <t>mikdur@rowancompanies.com</t>
  </si>
  <si>
    <t>Mike Duran</t>
  </si>
  <si>
    <t>Director Global Field Support</t>
  </si>
  <si>
    <t>713-960-7520</t>
  </si>
  <si>
    <t>jeftow@rowancompanies.com</t>
  </si>
  <si>
    <t>Jeff Townlin</t>
  </si>
  <si>
    <t>Supply Chain Specialist</t>
  </si>
  <si>
    <t>713-212-5439</t>
  </si>
  <si>
    <t>scotri@rowancompanies.com</t>
  </si>
  <si>
    <t>Scott Trinkle leading Global contract</t>
  </si>
  <si>
    <t>Helix Well Ops</t>
  </si>
  <si>
    <t>EHS Manager</t>
  </si>
  <si>
    <t>281-848-6537</t>
  </si>
  <si>
    <t>jwashmon@helixesg.com</t>
  </si>
  <si>
    <t>Jade Washmon Former Shell employee</t>
  </si>
  <si>
    <t>Diamond Offshore</t>
  </si>
  <si>
    <t>281-492-5309</t>
  </si>
  <si>
    <t>Had meeting with Jon in regards to Global Contract</t>
  </si>
  <si>
    <t>Director of WW Subsea and Maintenance</t>
  </si>
  <si>
    <t>Had a few meetings with Orlan.</t>
  </si>
  <si>
    <t>Director of Operations UK</t>
  </si>
  <si>
    <t>ericw@rowancompanies.com</t>
  </si>
  <si>
    <t xml:space="preserve">Technical Leader </t>
  </si>
  <si>
    <t>adam.hunt@seadrill.com</t>
  </si>
  <si>
    <t>Adam Hunt West Capricorn Technical Leader</t>
  </si>
  <si>
    <t>Service Procurement</t>
  </si>
  <si>
    <t>832-255-0562</t>
  </si>
  <si>
    <t>j.d.johnson@pacificdrilling.com</t>
  </si>
  <si>
    <t>Jim Johnson Leader of WW contract</t>
  </si>
  <si>
    <t>EXXON Mobil</t>
  </si>
  <si>
    <t>Senior Drilling</t>
  </si>
  <si>
    <t>richard.a.holmes@exxonmobil.com</t>
  </si>
  <si>
    <t xml:space="preserve">Richard Holmes Senior Drilling </t>
  </si>
  <si>
    <t>Dynamic Industries</t>
  </si>
  <si>
    <t>Procurment</t>
  </si>
  <si>
    <t>713-715-6686</t>
  </si>
  <si>
    <t>gmolmes@dynamicind.com</t>
  </si>
  <si>
    <t>Spoke with Gene Holmes on 17th of Jan. Awaiting for a email from us. Discussed with Jostein.</t>
  </si>
  <si>
    <t>Forum</t>
  </si>
  <si>
    <t>Distric Manager</t>
  </si>
  <si>
    <t>337-837-1676</t>
  </si>
  <si>
    <t>ronnie.krieg@f-e-t.com</t>
  </si>
  <si>
    <t>La</t>
  </si>
  <si>
    <t>Ronnie Krieg is contact for PRV</t>
  </si>
  <si>
    <t>Vantage Drilling</t>
  </si>
  <si>
    <t>Technical Support</t>
  </si>
  <si>
    <t>281-798-9521</t>
  </si>
  <si>
    <t>david.hughes@vantagedrilling.com</t>
  </si>
  <si>
    <t>David Hughes is the Technical support for Vantage here in the US</t>
  </si>
  <si>
    <t>Supply Chain Manager</t>
  </si>
  <si>
    <t>832-207-6794</t>
  </si>
  <si>
    <t>jenmar@rowancompanies.com</t>
  </si>
  <si>
    <t>Jennifer is the supply chain Manager in charge of putting togather the quotes for the WW contract.</t>
  </si>
  <si>
    <t>VP Strategy and CPO</t>
  </si>
  <si>
    <t>832-255-0496</t>
  </si>
  <si>
    <t>m.curtis@pacificdrilling.com</t>
  </si>
  <si>
    <t>Mike Curtis was part of the process for the WW contract</t>
  </si>
  <si>
    <t>Pacific Driolling</t>
  </si>
  <si>
    <t>Technical Director</t>
  </si>
  <si>
    <t>832-255-0472</t>
  </si>
  <si>
    <t>a.nejsum@pacificdrilling.com</t>
  </si>
  <si>
    <t>Arne Nejsum Attended the WW contract meeting</t>
  </si>
  <si>
    <t>832-255-0480</t>
  </si>
  <si>
    <t>w.crighton@pacificdrilling.com</t>
  </si>
  <si>
    <t>Wilson Crighton leading the contract eval</t>
  </si>
  <si>
    <t>Rig Manager Deepwater</t>
  </si>
  <si>
    <t>713-968-4222</t>
  </si>
  <si>
    <t>scosmi@rowancompanies.com</t>
  </si>
  <si>
    <t xml:space="preserve"> Scott Smith Attended final meeting Wwcontract</t>
  </si>
  <si>
    <t>Rig Manager Reliance</t>
  </si>
  <si>
    <t>713-212-5434</t>
  </si>
  <si>
    <t>harcar@rowancompanies.com</t>
  </si>
  <si>
    <t>Scott Carpenter Attended final meeting Wwcontract</t>
  </si>
  <si>
    <t>V.P. Supply Chain/Asset</t>
  </si>
  <si>
    <t>713-968-6613</t>
  </si>
  <si>
    <t>marfit@rowancompanies.com</t>
  </si>
  <si>
    <t>Marty Fitzgerald Attended final meeting Wwcontract</t>
  </si>
  <si>
    <t>V.P. Intn Jackup Ops</t>
  </si>
  <si>
    <t>Jack Winton Attended final meeting Wwcontract</t>
  </si>
  <si>
    <t>V.P. Engineering &amp; Tech</t>
  </si>
  <si>
    <t>713-960-7573</t>
  </si>
  <si>
    <t>mdowdy@rowancompanies.com</t>
  </si>
  <si>
    <t>Mike Dowdy Attended final Wwcontract</t>
  </si>
  <si>
    <t>Director Subsea &amp; Maint</t>
  </si>
  <si>
    <t>713-239-64-90</t>
  </si>
  <si>
    <t>Orlan Lyle key player in WW contract</t>
  </si>
  <si>
    <t>Manager Mech Engin</t>
  </si>
  <si>
    <t>713-239-7834</t>
  </si>
  <si>
    <t>rkuilenburg@noblecorp.com</t>
  </si>
  <si>
    <t>Jostein put quote in.fopr</t>
  </si>
  <si>
    <t>Marathon Oil</t>
  </si>
  <si>
    <t>Senior Tech Consult</t>
  </si>
  <si>
    <t>281-687-8584</t>
  </si>
  <si>
    <t>ddmoore@marathonoil.com</t>
  </si>
  <si>
    <t>Dennis Moore-Mel</t>
  </si>
  <si>
    <t>713-409-4403</t>
  </si>
  <si>
    <t>bill.womack@anadarko.com</t>
  </si>
  <si>
    <t>Bill Womack-Mel</t>
  </si>
  <si>
    <t>ExonMobil</t>
  </si>
  <si>
    <t>Mechanics &amp; Material</t>
  </si>
  <si>
    <t>832-624-8571</t>
  </si>
  <si>
    <t>fernando.v.stump@exxonmobil.com</t>
  </si>
  <si>
    <t>Fernando Stump Ph.D-Mel</t>
  </si>
  <si>
    <t>ExxonMobil</t>
  </si>
  <si>
    <t>Offshore &amp; Envoroment</t>
  </si>
  <si>
    <t>832-624-8588</t>
  </si>
  <si>
    <t>Julian.hallai@exxonmobil.com</t>
  </si>
  <si>
    <t>Julian Hallai Phd,PE-Mel</t>
  </si>
  <si>
    <t>Senior Tech Subsea</t>
  </si>
  <si>
    <t>832-624-0726</t>
  </si>
  <si>
    <t>wan.c.kan@exxonmobil.com</t>
  </si>
  <si>
    <t>Wan C. Kan-Mel</t>
  </si>
  <si>
    <t>HES Specialist</t>
  </si>
  <si>
    <t>985-867-0579</t>
  </si>
  <si>
    <t>REPJ@chevron.com</t>
  </si>
  <si>
    <t>Jason Reppel-Mel</t>
  </si>
  <si>
    <t>Engineering Manager</t>
  </si>
  <si>
    <t>832-473-8276</t>
  </si>
  <si>
    <t>jmullen@chevron.com</t>
  </si>
  <si>
    <t>James Mulles-Mel</t>
  </si>
  <si>
    <t>Crane Mech</t>
  </si>
  <si>
    <t>601-394-9852</t>
  </si>
  <si>
    <t>Jwaller@chevron.com</t>
  </si>
  <si>
    <t>James Waller-Mel</t>
  </si>
  <si>
    <t>Global Well Automation</t>
  </si>
  <si>
    <t>713-819-3835</t>
  </si>
  <si>
    <t>david.blacklaw@shell.com</t>
  </si>
  <si>
    <t>David Blacklaw-Mel</t>
  </si>
  <si>
    <t>Senior Reseach Engineer</t>
  </si>
  <si>
    <t>281-704-1387</t>
  </si>
  <si>
    <t>varadarajannadathur@shell.com</t>
  </si>
  <si>
    <t>Varadarajan (Raja) Nadathur-Mel</t>
  </si>
  <si>
    <t>Research Engineer</t>
  </si>
  <si>
    <t>713-245-7401</t>
  </si>
  <si>
    <t>joao.matsuura@shell.com</t>
  </si>
  <si>
    <t>Joao Paulo Matsuura-Mel</t>
  </si>
  <si>
    <t>UPD Civil Discipline Lead</t>
  </si>
  <si>
    <t>334-332-9786</t>
  </si>
  <si>
    <t>petter.hopkins@shell.com</t>
  </si>
  <si>
    <t>La.</t>
  </si>
  <si>
    <t>Peter H Hopkins Jr P.E.-Mel</t>
  </si>
  <si>
    <t>Lifting &amp; Hoisting Discipline</t>
  </si>
  <si>
    <t>504-425-0470</t>
  </si>
  <si>
    <t>steve.curtis@shell.com</t>
  </si>
  <si>
    <t>Steve Curtis-Mel</t>
  </si>
  <si>
    <t>ConocoPhillips</t>
  </si>
  <si>
    <t>Deepwater Drilling Sup</t>
  </si>
  <si>
    <t>832-517-6193</t>
  </si>
  <si>
    <t>Robert.Dysart@conocophillips.com</t>
  </si>
  <si>
    <t>Robert Dysart-Mel</t>
  </si>
  <si>
    <t>Drilling Engineer</t>
  </si>
  <si>
    <t>832-202-8980</t>
  </si>
  <si>
    <t>Conway.R.Reimer@conocophillips.com</t>
  </si>
  <si>
    <t>Conway Reimer-Mel</t>
  </si>
  <si>
    <t>Summit Engineer</t>
  </si>
  <si>
    <t>512-201-3575</t>
  </si>
  <si>
    <t>Pablo.Roldos@conocophillips.com</t>
  </si>
  <si>
    <t>Pablo Roldos-Mel</t>
  </si>
  <si>
    <t>DSD Engineer</t>
  </si>
  <si>
    <t>832-904-6136</t>
  </si>
  <si>
    <t>Tyeshia.A.Waters@cop.com</t>
  </si>
  <si>
    <t>Tyeshia A. Waters-Mel</t>
  </si>
  <si>
    <t>bhpbilliton</t>
  </si>
  <si>
    <t>Senior Drilling Engineer</t>
  </si>
  <si>
    <t>832-564-9147</t>
  </si>
  <si>
    <t>skip.turner@bhpbilliton.com</t>
  </si>
  <si>
    <t>E.B. (Skip) Turner-Mel</t>
  </si>
  <si>
    <t>HSE Supervisor</t>
  </si>
  <si>
    <t>832-551-6493</t>
  </si>
  <si>
    <t>david.mize@bhpbilliton.com</t>
  </si>
  <si>
    <t>David Mize-Mel</t>
  </si>
  <si>
    <t>TOTAL</t>
  </si>
  <si>
    <t>Manager Deep Offshore</t>
  </si>
  <si>
    <t>713-269-8109</t>
  </si>
  <si>
    <t>herve.de-naurois@total.com</t>
  </si>
  <si>
    <t>Herve de Naurois-Mel</t>
  </si>
  <si>
    <t>Engineering Department</t>
  </si>
  <si>
    <t>713-300-6659</t>
  </si>
  <si>
    <t>wei.chen@subsea7.com</t>
  </si>
  <si>
    <t>Colleen Chen-Mel</t>
  </si>
  <si>
    <t>Senior Manager</t>
  </si>
  <si>
    <t>713-416-8967</t>
  </si>
  <si>
    <t>dermax@rowancompanies.com</t>
  </si>
  <si>
    <t>Derek Maxwell-Mel</t>
  </si>
  <si>
    <t>Technical Bid Manager</t>
  </si>
  <si>
    <t>713-960-7613</t>
  </si>
  <si>
    <t>randyhy@rowancompanies.com</t>
  </si>
  <si>
    <t>Randy Hoover-Mel</t>
  </si>
  <si>
    <t>Maersk Drilling</t>
  </si>
  <si>
    <t>Rig Manager</t>
  </si>
  <si>
    <t>713-972-3300</t>
  </si>
  <si>
    <t>ahmed.ezz@maerskdrilling.com</t>
  </si>
  <si>
    <t>Ahmed Ezz-Mel</t>
  </si>
  <si>
    <t>SafeKick</t>
  </si>
  <si>
    <t>VP</t>
  </si>
  <si>
    <t>281-889-6487</t>
  </si>
  <si>
    <t>jason.hannam@safekick.com</t>
  </si>
  <si>
    <t>Jason Hannar</t>
  </si>
  <si>
    <t>Director Subsea Engineering</t>
  </si>
  <si>
    <t>469-531-1221</t>
  </si>
  <si>
    <t>cstewart@enscoplc.com</t>
  </si>
  <si>
    <t>Chris Stewart-Mel</t>
  </si>
  <si>
    <t>Marine Engineer</t>
  </si>
  <si>
    <t>713-448-9906</t>
  </si>
  <si>
    <t>cserna@enscoplc.com</t>
  </si>
  <si>
    <t>Juan Serna-Mel</t>
  </si>
  <si>
    <t>Engineering Analysis</t>
  </si>
  <si>
    <t>469-879-4535</t>
  </si>
  <si>
    <t>bbabin@enscoplc.com</t>
  </si>
  <si>
    <t>Bruce Babin-Mel</t>
  </si>
  <si>
    <t>Huisman</t>
  </si>
  <si>
    <t>After Sales</t>
  </si>
  <si>
    <t>940-550-5996</t>
  </si>
  <si>
    <t>gwright@huisman-na.com</t>
  </si>
  <si>
    <t>Grant Wright-Mel</t>
  </si>
  <si>
    <t>Field Engineer</t>
  </si>
  <si>
    <t>832-326-4132</t>
  </si>
  <si>
    <t>rpkliza@huisman-na-com</t>
  </si>
  <si>
    <t>Ralph Kliza-Mel</t>
  </si>
  <si>
    <t>979-358-0337</t>
  </si>
  <si>
    <t>Cbrod@huisman-na-com</t>
  </si>
  <si>
    <t>Chris Brod-Mel</t>
  </si>
  <si>
    <t>Director Major Projects</t>
  </si>
  <si>
    <t>832-993-5916</t>
  </si>
  <si>
    <t>a.barrows@pacificdrilling.com</t>
  </si>
  <si>
    <t>Tony Barrows-Mel</t>
  </si>
  <si>
    <t>Project Engineer</t>
  </si>
  <si>
    <t>281-904-8349</t>
  </si>
  <si>
    <t>j.morales@pacificdrilling.com</t>
  </si>
  <si>
    <t>Jose Morales-Mel</t>
  </si>
  <si>
    <t>Director Engineering</t>
  </si>
  <si>
    <t>713-494-2909</t>
  </si>
  <si>
    <t>m.shah@pacificdrilling.com</t>
  </si>
  <si>
    <t>Manish Shah-Mel</t>
  </si>
  <si>
    <t>Port Engineer</t>
  </si>
  <si>
    <t>713-816-9242</t>
  </si>
  <si>
    <t>ranzures@helixesg.com</t>
  </si>
  <si>
    <t>Rafael Anzures-Mel</t>
  </si>
  <si>
    <t>281-665-9306</t>
  </si>
  <si>
    <t>vioeza@helixesg.com</t>
  </si>
  <si>
    <t>Hoston</t>
  </si>
  <si>
    <t>Victor Loeza-Mel</t>
  </si>
  <si>
    <t>281-848-0718</t>
  </si>
  <si>
    <t>Arjuna Perera-Mel</t>
  </si>
  <si>
    <t>Project Manager</t>
  </si>
  <si>
    <t>281-848-6513</t>
  </si>
  <si>
    <t>jsims@helixesg.com</t>
  </si>
  <si>
    <t>Jay Sims-Mel</t>
  </si>
  <si>
    <t>Senior Project Manager</t>
  </si>
  <si>
    <t>281-618-0549</t>
  </si>
  <si>
    <t>ccook@helixesg.com</t>
  </si>
  <si>
    <t>Callum Cook-Mel</t>
  </si>
  <si>
    <t>281-848-0774</t>
  </si>
  <si>
    <t>bbutler@helixesg.com</t>
  </si>
  <si>
    <t>Brian Butler-Mel</t>
  </si>
  <si>
    <t>281-848-0671</t>
  </si>
  <si>
    <t>bronning@helixesg.com</t>
  </si>
  <si>
    <t>Bjorn Ronning-Mel</t>
  </si>
  <si>
    <t>Marine Tech Manager</t>
  </si>
  <si>
    <t>832-655-4060</t>
  </si>
  <si>
    <t>bdawson@helixesg.com</t>
  </si>
  <si>
    <t>Bret Dawson-Mel</t>
  </si>
  <si>
    <t>VP Technical Service</t>
  </si>
  <si>
    <t>Bob.Nouh@seadrill.com</t>
  </si>
  <si>
    <t>Bob Nouh-Mel</t>
  </si>
  <si>
    <t>Director Operations</t>
  </si>
  <si>
    <t>832-691-8879</t>
  </si>
  <si>
    <t>ben.cole@seadrill.com</t>
  </si>
  <si>
    <t>Ben Cole-Mel</t>
  </si>
  <si>
    <t>832-513-0105</t>
  </si>
  <si>
    <t>danny.campbell@vantagedrilling.com</t>
  </si>
  <si>
    <t>Danny Campbell-Mel</t>
  </si>
  <si>
    <t>832-570-6376</t>
  </si>
  <si>
    <t>andy.poosuthasee@vantagedrilling.com</t>
  </si>
  <si>
    <t>Andy Poosuthasee-Mel</t>
  </si>
  <si>
    <t>281-904-0844</t>
  </si>
  <si>
    <t>jeff.thomson@vantagedrilling.com</t>
  </si>
  <si>
    <t>Jeff Thomson-Mel</t>
  </si>
  <si>
    <t>BSEE</t>
  </si>
  <si>
    <t>Offshore Operations &amp; Safety</t>
  </si>
  <si>
    <t>337-289-5121</t>
  </si>
  <si>
    <t>david.suire@mms.gov</t>
  </si>
  <si>
    <t>David Suire-Mel</t>
  </si>
  <si>
    <t>Inspector</t>
  </si>
  <si>
    <t>337-289-5119</t>
  </si>
  <si>
    <t>Pat.sarsfield@mms.gov</t>
  </si>
  <si>
    <t>Pat Sarsfield-Mel</t>
  </si>
  <si>
    <t>McDermott</t>
  </si>
  <si>
    <t>Sr Trainer E &amp; M</t>
  </si>
  <si>
    <t>985-860-8216</t>
  </si>
  <si>
    <t>jhtaylor@mcdermott.com</t>
  </si>
  <si>
    <t>Hohn Taylor-Mel</t>
  </si>
  <si>
    <t xml:space="preserve">Aker </t>
  </si>
  <si>
    <t>Senior VP</t>
  </si>
  <si>
    <t>713-369-5365</t>
  </si>
  <si>
    <t>erling.storaune@akersolutions.com</t>
  </si>
  <si>
    <t>Erling Storaune-Mel</t>
  </si>
  <si>
    <t>Engineering Director</t>
  </si>
  <si>
    <t>713-20-2952</t>
  </si>
  <si>
    <t>pete.millar@akersolutions</t>
  </si>
  <si>
    <t>Dr. Peter Millar-Mel</t>
  </si>
  <si>
    <t>TESCO</t>
  </si>
  <si>
    <t>Top Drives Executive</t>
  </si>
  <si>
    <t>281-721-3951</t>
  </si>
  <si>
    <t>greg_sentell@tescocorp.com</t>
  </si>
  <si>
    <t>Greg Sentell-Mel</t>
  </si>
  <si>
    <t>FMC</t>
  </si>
  <si>
    <t>Subsea Engineer</t>
  </si>
  <si>
    <t>281-591-4000</t>
  </si>
  <si>
    <t>chris.johnson3@fmcti.com</t>
  </si>
  <si>
    <t>Chris Johnson-Mel</t>
  </si>
  <si>
    <t>AXON</t>
  </si>
  <si>
    <t>Structual Engineer</t>
  </si>
  <si>
    <t>832-581-4158</t>
  </si>
  <si>
    <t>wirajkarve@axonep.com</t>
  </si>
  <si>
    <t>Wiraj Karve-Mel</t>
  </si>
  <si>
    <t>Director of Quality</t>
  </si>
  <si>
    <t>832-581-4576</t>
  </si>
  <si>
    <t>craigwalther@axonep.com</t>
  </si>
  <si>
    <t>Craig Walther-Mel</t>
  </si>
  <si>
    <t>ENI</t>
  </si>
  <si>
    <t>281-552-5760</t>
  </si>
  <si>
    <t>ronald.dodd@saipem.com</t>
  </si>
  <si>
    <t>Ron Dodd-Mel</t>
  </si>
  <si>
    <t>NABORS</t>
  </si>
  <si>
    <t>Senior VP Engineering</t>
  </si>
  <si>
    <t>281-639-3658</t>
  </si>
  <si>
    <t>ron.morrison@nabors.com</t>
  </si>
  <si>
    <t>Ron Morrison-Mel</t>
  </si>
  <si>
    <t>Manager</t>
  </si>
  <si>
    <t>713-715-6667</t>
  </si>
  <si>
    <t>dgreenwald@dynamicind.com</t>
  </si>
  <si>
    <t>David Greenwald-Mel</t>
  </si>
  <si>
    <t>Project Specialist</t>
  </si>
  <si>
    <t>713-540-2739</t>
  </si>
  <si>
    <t>dabrown@dodi.com</t>
  </si>
  <si>
    <t>David Brown</t>
  </si>
  <si>
    <t>Technip</t>
  </si>
  <si>
    <t>Projects subsea</t>
  </si>
  <si>
    <t>281-507-7735</t>
  </si>
  <si>
    <t>cbordo@technip.com</t>
  </si>
  <si>
    <t>Charles Bordo</t>
  </si>
  <si>
    <t>BAKER HUGHES</t>
  </si>
  <si>
    <t>SR Director</t>
  </si>
  <si>
    <t>713-805-0634</t>
  </si>
  <si>
    <t>richard.white2@bakerhughes.com</t>
  </si>
  <si>
    <t>Rick White, MPH,CSP-Mel</t>
  </si>
  <si>
    <t>DMAR</t>
  </si>
  <si>
    <t>Sr. Principal Structural</t>
  </si>
  <si>
    <t>832-772-4603</t>
  </si>
  <si>
    <t>awen@dmar-engr.com</t>
  </si>
  <si>
    <t>Andrew Wen-Mel</t>
  </si>
  <si>
    <t>World Marine</t>
  </si>
  <si>
    <t>228-627-3313</t>
  </si>
  <si>
    <t>jgehrmann@worldmarine.com</t>
  </si>
  <si>
    <t>Jeffrey Gehrmann-Mel</t>
  </si>
  <si>
    <t>HESS</t>
  </si>
  <si>
    <t>Global Supply Chain</t>
  </si>
  <si>
    <t>713-496-4637</t>
  </si>
  <si>
    <t>lfleming@hess.com</t>
  </si>
  <si>
    <t>Lee Fleming-Mel</t>
  </si>
  <si>
    <t>Technical subsea</t>
  </si>
  <si>
    <t>281-513-8306</t>
  </si>
  <si>
    <t>rbenavides@enscoplc.com</t>
  </si>
  <si>
    <t>Rene Benavides-Mel</t>
  </si>
  <si>
    <t>Technical Manager</t>
  </si>
  <si>
    <t>832-727-7861</t>
  </si>
  <si>
    <t>Andrew.Pope@sbmoffshore.com</t>
  </si>
  <si>
    <t>Andrew Pope-Mel</t>
  </si>
  <si>
    <t>jpkenny</t>
  </si>
  <si>
    <t>Senior Structual Engineer</t>
  </si>
  <si>
    <t>281-675-1549</t>
  </si>
  <si>
    <t>yong.gao@jpkenny.com</t>
  </si>
  <si>
    <t>Vincent Gao-Mel</t>
  </si>
  <si>
    <t>Sr Manager</t>
  </si>
  <si>
    <t>832-587-8955</t>
  </si>
  <si>
    <t>tom.atkins@deepwater.com</t>
  </si>
  <si>
    <t>Tom Atkins-Mel</t>
  </si>
  <si>
    <t>832-587-8652</t>
  </si>
  <si>
    <t>robin.short@deepwater.com</t>
  </si>
  <si>
    <t>Robin Short-Mel</t>
  </si>
  <si>
    <t>Constuction Manager</t>
  </si>
  <si>
    <t>713-232.7500</t>
  </si>
  <si>
    <t>charles.gentry@deepwater.com</t>
  </si>
  <si>
    <t>Charles Gentry-Mel</t>
  </si>
  <si>
    <t>Asset Insurance</t>
  </si>
  <si>
    <t>832-587-8611</t>
  </si>
  <si>
    <t>scott.williams@deepwater.com</t>
  </si>
  <si>
    <t>Scott Williams-Mel</t>
  </si>
  <si>
    <t>Sr Design Engineer</t>
  </si>
  <si>
    <t>281-610-8429</t>
  </si>
  <si>
    <t>Aaron.Barr@deepwater.com</t>
  </si>
  <si>
    <t>Aaron Barr-Mel</t>
  </si>
  <si>
    <t>Repair &amp; Upgrade Projects</t>
  </si>
  <si>
    <t>832-587-8548</t>
  </si>
  <si>
    <t>rob.ross@deepwater.com</t>
  </si>
  <si>
    <t>Rob Ross-Mel</t>
  </si>
  <si>
    <t xml:space="preserve">Global Quality </t>
  </si>
  <si>
    <t>713-210-9222</t>
  </si>
  <si>
    <t>leonard.benfer@deepwater.com</t>
  </si>
  <si>
    <t>Leonard Benfer-Mel</t>
  </si>
  <si>
    <t>Engineering and Tech support</t>
  </si>
  <si>
    <t>713-232-7022</t>
  </si>
  <si>
    <t>jim.collins@deepwater.com</t>
  </si>
  <si>
    <t>Jim Collins-Mel</t>
  </si>
  <si>
    <t>Senioe Quality Engineer</t>
  </si>
  <si>
    <t>713-232-8102</t>
  </si>
  <si>
    <t>steven.snyder@deepwater.com</t>
  </si>
  <si>
    <t>Steven Snyder-Mel</t>
  </si>
  <si>
    <t>Maintenance Specialist</t>
  </si>
  <si>
    <t>713-232-6220</t>
  </si>
  <si>
    <t>Robert.Niles@deepwater.com</t>
  </si>
  <si>
    <t>Robert Niles-Mel</t>
  </si>
  <si>
    <t>281-647-2108</t>
  </si>
  <si>
    <t>crojas@dodi.com</t>
  </si>
  <si>
    <t>Carlos Rojas-Mel</t>
  </si>
  <si>
    <t>832-587-8658</t>
  </si>
  <si>
    <t>jered.norton@deepwater.com</t>
  </si>
  <si>
    <t>Jered Norton-Mel</t>
  </si>
  <si>
    <t>Construction Manager</t>
  </si>
  <si>
    <t>832-587-8060</t>
  </si>
  <si>
    <t>david.lefort@deepwater.com</t>
  </si>
  <si>
    <t>David Lefort-Mel</t>
  </si>
  <si>
    <t>Ops Director</t>
  </si>
  <si>
    <t>281-685-6524</t>
  </si>
  <si>
    <t>paul.johnson@deepwater.com</t>
  </si>
  <si>
    <t>Paul Johnson-Mel</t>
  </si>
  <si>
    <t>Ops Manager</t>
  </si>
  <si>
    <t>281-703-4167</t>
  </si>
  <si>
    <t>elton.cherry@deepwater.com</t>
  </si>
  <si>
    <t>Elton Cherry-Mel</t>
  </si>
  <si>
    <t>Marine Manager</t>
  </si>
  <si>
    <t>281-450-7266</t>
  </si>
  <si>
    <t>steven.walker@deepwater.com</t>
  </si>
  <si>
    <t>Steve Walker-Mel</t>
  </si>
  <si>
    <t>713-829-5976</t>
  </si>
  <si>
    <t>glen.shropshire@deepwater.com</t>
  </si>
  <si>
    <t>Glen Shropshire-Mel</t>
  </si>
  <si>
    <t>713-204-1598</t>
  </si>
  <si>
    <t>Mike Wright-Mel</t>
  </si>
  <si>
    <t>713-517-0450</t>
  </si>
  <si>
    <t>nathan.irwin@deepwater.com</t>
  </si>
  <si>
    <t>Nathan Irwin-Mel</t>
  </si>
  <si>
    <t>713-376-6528</t>
  </si>
  <si>
    <t>harinder.ayra@deepwater.com</t>
  </si>
  <si>
    <t>Harinder Arya-Mel</t>
  </si>
  <si>
    <t>281-908-6863</t>
  </si>
  <si>
    <t>michael.morgan@deepwater.com</t>
  </si>
  <si>
    <t>Mike Morgan-Mel</t>
  </si>
  <si>
    <t>Sr. Engineer</t>
  </si>
  <si>
    <t>832-386-5597</t>
  </si>
  <si>
    <t>dougie.robertson@deepwater.com</t>
  </si>
  <si>
    <t>Doug Robertson-Mel</t>
  </si>
  <si>
    <t>281-731-2991</t>
  </si>
  <si>
    <t>wullie.strachan@deepwater.com</t>
  </si>
  <si>
    <t>Wullie Strachan-Mel</t>
  </si>
  <si>
    <t>Operation Director</t>
  </si>
  <si>
    <t>281-221-1934</t>
  </si>
  <si>
    <t>david.mitchell@deepwater.com</t>
  </si>
  <si>
    <t>David Mitchell-Mel</t>
  </si>
  <si>
    <t>832-587-8884</t>
  </si>
  <si>
    <t>scott.cote@deepwater.com</t>
  </si>
  <si>
    <t>Scott Cote-Mel</t>
  </si>
  <si>
    <t>713-678-0080</t>
  </si>
  <si>
    <t>kcasswell@dodi.com</t>
  </si>
  <si>
    <t>Keith Casswell-Mel</t>
  </si>
  <si>
    <t>Superintendent-Equipment</t>
  </si>
  <si>
    <t>713-819-4301</t>
  </si>
  <si>
    <t>bpierce@dodi.com</t>
  </si>
  <si>
    <t>Brian Pierce-Mel</t>
  </si>
  <si>
    <t>Mech Super</t>
  </si>
  <si>
    <t>281-851-0979</t>
  </si>
  <si>
    <t>ayoung@dodi.com</t>
  </si>
  <si>
    <t>Andy Young-Mel</t>
  </si>
  <si>
    <t>Diamon</t>
  </si>
  <si>
    <t>Senior Project Director</t>
  </si>
  <si>
    <t>713-412-8185</t>
  </si>
  <si>
    <t>gbaca@dodi.com</t>
  </si>
  <si>
    <t>George Baca-Mel</t>
  </si>
  <si>
    <t>Operations Manager</t>
  </si>
  <si>
    <t>281-693-1584</t>
  </si>
  <si>
    <t>fdaley@dodi.com</t>
  </si>
  <si>
    <t>Floyd Daley-Mel</t>
  </si>
  <si>
    <t>281-217-7276</t>
  </si>
  <si>
    <t>jbaugus@dodi.com</t>
  </si>
  <si>
    <t>John Baugus-Mel</t>
  </si>
  <si>
    <t>Sr Project Engineer</t>
  </si>
  <si>
    <t>832-525-8906</t>
  </si>
  <si>
    <t>dmehta@dodi.com</t>
  </si>
  <si>
    <t>Dhaval Mehta-Mel</t>
  </si>
  <si>
    <t>VP Supply Chain</t>
  </si>
  <si>
    <t>tomste@rowancompanies.com</t>
  </si>
  <si>
    <t>HOT need appointment with Jostien</t>
  </si>
  <si>
    <t>Drilling contractor</t>
  </si>
  <si>
    <t>Entity</t>
  </si>
  <si>
    <t>OPS Status</t>
  </si>
  <si>
    <t>BD</t>
  </si>
  <si>
    <t>Scope</t>
  </si>
  <si>
    <t>Y/N</t>
  </si>
  <si>
    <t>Y/N/O</t>
  </si>
  <si>
    <t>Eval</t>
  </si>
  <si>
    <t>Adressed</t>
  </si>
  <si>
    <t>Oil company</t>
  </si>
  <si>
    <t>AX St. Johns</t>
  </si>
  <si>
    <t>Met</t>
  </si>
  <si>
    <t>SPS</t>
  </si>
  <si>
    <t>Newbuilt</t>
  </si>
  <si>
    <t>Mel</t>
  </si>
  <si>
    <t>Axon</t>
  </si>
  <si>
    <t>BHP</t>
  </si>
  <si>
    <t>AX Aberdeen</t>
  </si>
  <si>
    <t>KAD</t>
  </si>
  <si>
    <t>Ongoing</t>
  </si>
  <si>
    <t>Nobel</t>
  </si>
  <si>
    <t>AX Norway</t>
  </si>
  <si>
    <t>Newbuild</t>
  </si>
  <si>
    <t>Lisa</t>
  </si>
  <si>
    <t>ATG</t>
  </si>
  <si>
    <t>AX Singapore</t>
  </si>
  <si>
    <t>Lost</t>
  </si>
  <si>
    <t>Jack up</t>
  </si>
  <si>
    <t>CHA</t>
  </si>
  <si>
    <t>AX Brazil</t>
  </si>
  <si>
    <t>Not started</t>
  </si>
  <si>
    <t>Land rig</t>
  </si>
  <si>
    <t>Arild</t>
  </si>
  <si>
    <t>Deep Gulf Energy</t>
  </si>
  <si>
    <t>AX Ghana</t>
  </si>
  <si>
    <t>Onshore Plant</t>
  </si>
  <si>
    <t>Adam</t>
  </si>
  <si>
    <t>Talos</t>
  </si>
  <si>
    <t>AX South Africa</t>
  </si>
  <si>
    <t>In Execution</t>
  </si>
  <si>
    <t xml:space="preserve">Engineering </t>
  </si>
  <si>
    <t>Project Completed</t>
  </si>
  <si>
    <t>Bridge</t>
  </si>
  <si>
    <t>Petronas</t>
  </si>
  <si>
    <t>Pacific</t>
  </si>
  <si>
    <t>Elin</t>
  </si>
  <si>
    <t>EXXON</t>
  </si>
  <si>
    <t>Producer 1</t>
  </si>
  <si>
    <t>Yard</t>
  </si>
  <si>
    <t>Arena</t>
  </si>
  <si>
    <t>Other</t>
  </si>
  <si>
    <t>NOV</t>
  </si>
  <si>
    <t>BP Trinidad</t>
  </si>
  <si>
    <t>Ocean Black Hawk</t>
  </si>
  <si>
    <t>FabriTec</t>
  </si>
  <si>
    <t>Petrobras</t>
  </si>
  <si>
    <t>Ocean Black Hornet</t>
  </si>
  <si>
    <t>Rowan</t>
  </si>
  <si>
    <t>Canadian Natural Resources</t>
  </si>
  <si>
    <t>Ocean Black Rino</t>
  </si>
  <si>
    <t>GE</t>
  </si>
  <si>
    <t>Furie</t>
  </si>
  <si>
    <t>Ocean Black Lion</t>
  </si>
  <si>
    <t>Pacific Bora</t>
  </si>
  <si>
    <t>PRA</t>
  </si>
  <si>
    <t>Pacific Santa Ana</t>
  </si>
  <si>
    <t>Pacific Sharav</t>
  </si>
  <si>
    <t>POSH</t>
  </si>
  <si>
    <t>Rowan Resolute</t>
  </si>
  <si>
    <t>Rowan EXL ll</t>
  </si>
  <si>
    <t>Ralph Coffman</t>
  </si>
  <si>
    <t>SKULD</t>
  </si>
  <si>
    <t>Joe Douglas</t>
  </si>
  <si>
    <t>Rowan Renaissance</t>
  </si>
  <si>
    <t>Rowan Relience</t>
  </si>
  <si>
    <t>Rowan Relentless</t>
  </si>
  <si>
    <t>Candies</t>
  </si>
  <si>
    <t>EQUINOR</t>
  </si>
  <si>
    <t>Rig Name</t>
  </si>
  <si>
    <t>Derrick Inspection</t>
  </si>
  <si>
    <t>Drops</t>
  </si>
  <si>
    <t>LLG 12 M</t>
  </si>
  <si>
    <t>LLG 6 M</t>
  </si>
  <si>
    <t>RWNDT</t>
  </si>
  <si>
    <t>Piping</t>
  </si>
  <si>
    <t>Ex Assess</t>
  </si>
  <si>
    <t>Total sum</t>
  </si>
  <si>
    <t>2019 fixed price Drill ship</t>
  </si>
  <si>
    <t>2019 Fixed price budget ebit</t>
  </si>
  <si>
    <t>TO Deepwater Conqueror</t>
  </si>
  <si>
    <t>TO Deepwater Asgard</t>
  </si>
  <si>
    <t>TO Discoverer India</t>
  </si>
  <si>
    <t>TO Discoverer Inspiration</t>
  </si>
  <si>
    <t>TO Deepwater Pontus (Houston)</t>
  </si>
  <si>
    <t>TO Deepwater Poseidon (Houston)</t>
  </si>
  <si>
    <t>TO Deepwater Proteus</t>
  </si>
  <si>
    <t>TO Deepwater Thalassa</t>
  </si>
  <si>
    <t>TO Deepwater Invictus</t>
  </si>
  <si>
    <t>Total budget revenue</t>
  </si>
  <si>
    <t>Total budget earnings</t>
  </si>
  <si>
    <t>Fixed price</t>
  </si>
  <si>
    <t>Total per rig</t>
  </si>
  <si>
    <t>Including fixed price scopes</t>
  </si>
  <si>
    <t>Clarify the SPS scopes that were not performed.</t>
  </si>
  <si>
    <t>Discoverer Americas</t>
  </si>
  <si>
    <t>Reactivation? - OceanRig</t>
  </si>
  <si>
    <t>HQ5000</t>
  </si>
  <si>
    <t>HQ4000</t>
  </si>
  <si>
    <t>Axess Bafin</t>
  </si>
  <si>
    <t>Axess Mexico</t>
  </si>
  <si>
    <t>Axess Guiana</t>
  </si>
  <si>
    <t>Costs</t>
  </si>
  <si>
    <t>Value</t>
  </si>
  <si>
    <t>Equipment</t>
  </si>
  <si>
    <t>3 RAT kits</t>
  </si>
  <si>
    <t>NDT equipment</t>
  </si>
  <si>
    <t>NDT consumables</t>
  </si>
  <si>
    <t>Phased array machine</t>
  </si>
  <si>
    <t>Mag wrap</t>
  </si>
  <si>
    <t>Coverall</t>
  </si>
  <si>
    <t>Personnel</t>
  </si>
  <si>
    <t>Project manager - Yearly</t>
  </si>
  <si>
    <t>Workleader</t>
  </si>
  <si>
    <t>Trainnee</t>
  </si>
  <si>
    <t>NDT tech</t>
  </si>
  <si>
    <t>Service - SRL/SALA</t>
  </si>
  <si>
    <t>HO</t>
  </si>
  <si>
    <t>setdefault trans_id=</t>
  </si>
  <si>
    <t>setdefault account=</t>
  </si>
  <si>
    <t>setdefault transact_setup=FORECAST</t>
  </si>
  <si>
    <t>setdefault batch=</t>
  </si>
  <si>
    <t>setdefault calculation=</t>
  </si>
  <si>
    <t>setdefault client=</t>
  </si>
  <si>
    <t>setdefault dim_1=</t>
  </si>
  <si>
    <t>setdefault dim_2=</t>
  </si>
  <si>
    <t>setdefault dim_3=</t>
  </si>
  <si>
    <t>setdefault dim_4=</t>
  </si>
  <si>
    <t>setdefault version=201807F</t>
  </si>
  <si>
    <t>setdefault volume_flag=</t>
  </si>
  <si>
    <t>setdefault submit=</t>
  </si>
  <si>
    <t>setdefault ignore_flag=</t>
  </si>
  <si>
    <t>setdefault ignore_values=</t>
  </si>
  <si>
    <t>setdefault delete_flag=</t>
  </si>
  <si>
    <t>setdefault free_value_flag=</t>
  </si>
  <si>
    <t>setdefault dim_7=</t>
  </si>
  <si>
    <t>setdefault period_from=</t>
  </si>
  <si>
    <t>setdefault period_value=</t>
  </si>
  <si>
    <t>setdefault price_dimension=</t>
  </si>
  <si>
    <t>setdefault period_to=</t>
  </si>
  <si>
    <t>setdefault dim_5=</t>
  </si>
  <si>
    <t>setdefault profile=</t>
  </si>
  <si>
    <t>setdefault progress=</t>
  </si>
  <si>
    <t>setdefault mode=</t>
  </si>
  <si>
    <t>setdefault price_type=</t>
  </si>
  <si>
    <t>setdefault free_att_1_id=</t>
  </si>
  <si>
    <t>setdefault apar_id=</t>
  </si>
  <si>
    <t>setdefault free_att_2_id=</t>
  </si>
  <si>
    <t>setdefault free_att_3_id=</t>
  </si>
  <si>
    <t>setdefault free_att_4_id=</t>
  </si>
  <si>
    <t>setdefault free_dim_1=</t>
  </si>
  <si>
    <t>setdefault free_dim_2=</t>
  </si>
  <si>
    <t>setdefault free_dim_3=</t>
  </si>
  <si>
    <t>setdefault free_dim_4=</t>
  </si>
  <si>
    <t>setdefault att_1_id=</t>
  </si>
  <si>
    <t>setdefault autopost=</t>
  </si>
  <si>
    <t>setdefault att_4_id=</t>
  </si>
  <si>
    <t>setdefault att_5_id=</t>
  </si>
  <si>
    <t>setdefault currency=</t>
  </si>
  <si>
    <t>setdefault apar_type=</t>
  </si>
  <si>
    <t>setdefault att_2_id=</t>
  </si>
  <si>
    <t>setdefault att_3_id=</t>
  </si>
  <si>
    <t>setdefault att_6_id=</t>
  </si>
  <si>
    <t>setdefault att_7_id=</t>
  </si>
  <si>
    <t>setdefault priority=</t>
  </si>
  <si>
    <t>setdefault dim_6=</t>
  </si>
  <si>
    <t>setdefault description=</t>
  </si>
  <si>
    <t>setdefault depreciation=</t>
  </si>
  <si>
    <t>setdefault period=</t>
  </si>
  <si>
    <t>setdefault cur_amount=</t>
  </si>
  <si>
    <t>setdefault factor_1=</t>
  </si>
  <si>
    <t>setdefault number_1=</t>
  </si>
  <si>
    <t>setdefault price=</t>
  </si>
  <si>
    <t>setdefault value_1=</t>
  </si>
  <si>
    <t>setdefault free_value_1=</t>
  </si>
  <si>
    <t>setdefault free_value_10=</t>
  </si>
  <si>
    <t>setdefault free_value_11=</t>
  </si>
  <si>
    <t>setdefault free_value_12=</t>
  </si>
  <si>
    <t>setdefault free_value_2=</t>
  </si>
  <si>
    <t>setdefault free_value_3=</t>
  </si>
  <si>
    <t>setdefault free_value_4=</t>
  </si>
  <si>
    <t>setdefault free_value_5=</t>
  </si>
  <si>
    <t>setdefault free_value_6=</t>
  </si>
  <si>
    <t>setdefault free_value_7=</t>
  </si>
  <si>
    <t>setdefault free_value_8=</t>
  </si>
  <si>
    <t>setdefault free_value_9=</t>
  </si>
  <si>
    <t>setdefault alloc_id=</t>
  </si>
  <si>
    <t>setdefault currency_flag=</t>
  </si>
  <si>
    <t>setdefault amount=</t>
  </si>
  <si>
    <t>setdefault _rowid=</t>
  </si>
  <si>
    <t>setdefault _mark_row_column=</t>
  </si>
  <si>
    <t>setdefault _rowstate=</t>
  </si>
  <si>
    <t>query excel input_template</t>
  </si>
  <si>
    <t>where account not 0</t>
  </si>
  <si>
    <t>columns</t>
  </si>
  <si>
    <t>account</t>
  </si>
  <si>
    <t>forecast</t>
  </si>
  <si>
    <t>counterpart</t>
  </si>
  <si>
    <t>headcust</t>
  </si>
  <si>
    <t>inst</t>
  </si>
  <si>
    <t>service</t>
  </si>
  <si>
    <t>P202012</t>
  </si>
  <si>
    <t>update_columns planner</t>
  </si>
  <si>
    <t>alloc_id</t>
  </si>
  <si>
    <t>amount</t>
  </si>
  <si>
    <t>apar_id</t>
  </si>
  <si>
    <t>apar_type</t>
  </si>
  <si>
    <t>att_1_id</t>
  </si>
  <si>
    <t>att_2_id</t>
  </si>
  <si>
    <t>att_3_id</t>
  </si>
  <si>
    <t>att_4_id</t>
  </si>
  <si>
    <t>att_5_id</t>
  </si>
  <si>
    <t>att_6_id</t>
  </si>
  <si>
    <t>att_7_id</t>
  </si>
  <si>
    <t>free_att_1_id</t>
  </si>
  <si>
    <t>free_att_2_id</t>
  </si>
  <si>
    <t>free_att_3_id</t>
  </si>
  <si>
    <t>autopost</t>
  </si>
  <si>
    <t>batch</t>
  </si>
  <si>
    <t>calculation</t>
  </si>
  <si>
    <t>currency</t>
  </si>
  <si>
    <t>cur_amount</t>
  </si>
  <si>
    <t>currency_flag</t>
  </si>
  <si>
    <t>delete_flag</t>
  </si>
  <si>
    <t>depreciation</t>
  </si>
  <si>
    <t>description</t>
  </si>
  <si>
    <t>dim_1</t>
  </si>
  <si>
    <t>dim_2</t>
  </si>
  <si>
    <t>dim_3</t>
  </si>
  <si>
    <t>dim_4</t>
  </si>
  <si>
    <t>dim_5</t>
  </si>
  <si>
    <t>dim_6</t>
  </si>
  <si>
    <t>dim_7</t>
  </si>
  <si>
    <t>free_dim_1</t>
  </si>
  <si>
    <t>free_dim_2</t>
  </si>
  <si>
    <t>free_dim_3</t>
  </si>
  <si>
    <t>period_from</t>
  </si>
  <si>
    <t>period_to</t>
  </si>
  <si>
    <t>period_value</t>
  </si>
  <si>
    <t>price</t>
  </si>
  <si>
    <t>price_dimension</t>
  </si>
  <si>
    <t>price_type</t>
  </si>
  <si>
    <t>priority</t>
  </si>
  <si>
    <t>profile</t>
  </si>
  <si>
    <t>progress</t>
  </si>
  <si>
    <t>submit</t>
  </si>
  <si>
    <t>trans_id</t>
  </si>
  <si>
    <t>value_1</t>
  </si>
  <si>
    <t>version</t>
  </si>
  <si>
    <t>volume_flag</t>
  </si>
  <si>
    <t>update_crosstab period</t>
  </si>
  <si>
    <t>As per input</t>
  </si>
  <si>
    <t>Account</t>
  </si>
  <si>
    <t>Alloc Id</t>
  </si>
  <si>
    <t>Amount</t>
  </si>
  <si>
    <t>Apar Id</t>
  </si>
  <si>
    <t>Apar Type</t>
  </si>
  <si>
    <t>Att 1 Id</t>
  </si>
  <si>
    <t>Att 2 Id</t>
  </si>
  <si>
    <t>Att 3 Id</t>
  </si>
  <si>
    <t>Att 4 Id</t>
  </si>
  <si>
    <t>Att 5 Id</t>
  </si>
  <si>
    <t>Att 6 Id</t>
  </si>
  <si>
    <t>Att 7 Id</t>
  </si>
  <si>
    <t>Free att 1 id</t>
  </si>
  <si>
    <t>Free att  id</t>
  </si>
  <si>
    <t>Free att 3 id</t>
  </si>
  <si>
    <t>Autopost</t>
  </si>
  <si>
    <t>Batch</t>
  </si>
  <si>
    <t>Calculation</t>
  </si>
  <si>
    <t>Currency</t>
  </si>
  <si>
    <t>Unit</t>
  </si>
  <si>
    <t>Cur_amount</t>
  </si>
  <si>
    <t>Currency Flag</t>
  </si>
  <si>
    <t>Depreciation</t>
  </si>
  <si>
    <t>Description</t>
  </si>
  <si>
    <t>CC</t>
  </si>
  <si>
    <t>Dim 3</t>
  </si>
  <si>
    <t>Dim 4</t>
  </si>
  <si>
    <t>Forecast</t>
  </si>
  <si>
    <t>Dim 6</t>
  </si>
  <si>
    <t>Counterpart</t>
  </si>
  <si>
    <t>Headcust</t>
  </si>
  <si>
    <t>Inst</t>
  </si>
  <si>
    <t>Period From</t>
  </si>
  <si>
    <t>Period To</t>
  </si>
  <si>
    <t>Period Value</t>
  </si>
  <si>
    <t>Price</t>
  </si>
  <si>
    <t>Price Dimension</t>
  </si>
  <si>
    <t>Price Type</t>
  </si>
  <si>
    <t>Profile</t>
  </si>
  <si>
    <t>Progress</t>
  </si>
  <si>
    <t>Submit</t>
  </si>
  <si>
    <t>Trans Id</t>
  </si>
  <si>
    <t>Trans Type</t>
  </si>
  <si>
    <t>Value 1</t>
  </si>
  <si>
    <t>Version</t>
  </si>
  <si>
    <t>Volume Flag</t>
  </si>
  <si>
    <t>*</t>
  </si>
  <si>
    <t>group account, forecast, counterpart, headcust, inst, service</t>
  </si>
  <si>
    <t>C1</t>
  </si>
  <si>
    <t>Z0</t>
  </si>
  <si>
    <t>Z2</t>
  </si>
  <si>
    <t>NB</t>
  </si>
  <si>
    <t>ZL</t>
  </si>
  <si>
    <t>AK</t>
  </si>
  <si>
    <t>USD</t>
  </si>
  <si>
    <t>Postback</t>
  </si>
  <si>
    <t>Input</t>
  </si>
  <si>
    <t>Variance</t>
  </si>
  <si>
    <t>Checksum (should be zero)</t>
  </si>
  <si>
    <t>SQL select dim_value, description, status from agldimvalue where client = 'AK' and attribute_id = 'ZL' and status = 'N' order by dim_value asc</t>
  </si>
  <si>
    <t>query</t>
  </si>
  <si>
    <t>dim_value</t>
  </si>
  <si>
    <t>headcust description</t>
  </si>
  <si>
    <t>INSERTED DETAIL</t>
  </si>
  <si>
    <t>AAKP</t>
  </si>
  <si>
    <t>ABB</t>
  </si>
  <si>
    <t>ACERGY</t>
  </si>
  <si>
    <t>AGR</t>
  </si>
  <si>
    <t>AGR SUBSEA</t>
  </si>
  <si>
    <t>AIBEL</t>
  </si>
  <si>
    <t>AKER BP</t>
  </si>
  <si>
    <t>AKER REINERT</t>
  </si>
  <si>
    <t>AKER REINERTSEN</t>
  </si>
  <si>
    <t>AKER SOL</t>
  </si>
  <si>
    <t>AKER SOLUTIONS</t>
  </si>
  <si>
    <t>ÅKP</t>
  </si>
  <si>
    <t>ALTERA</t>
  </si>
  <si>
    <t>ALTERA INFRASTRUCTURE</t>
  </si>
  <si>
    <t>ALUMINIUM</t>
  </si>
  <si>
    <t>Aluminium producers</t>
  </si>
  <si>
    <t>APPLY</t>
  </si>
  <si>
    <t>ARCHER</t>
  </si>
  <si>
    <t>ARCTIC WIND</t>
  </si>
  <si>
    <t>Arctic Wind</t>
  </si>
  <si>
    <t>ATWOOD</t>
  </si>
  <si>
    <t>ATWOOD OCEANICS</t>
  </si>
  <si>
    <t>AWILCO</t>
  </si>
  <si>
    <t>AWILCO OFFSHORE SEMI</t>
  </si>
  <si>
    <t>AXIS</t>
  </si>
  <si>
    <t>AXIS OFFSHORE</t>
  </si>
  <si>
    <t>BB&amp;I</t>
  </si>
  <si>
    <t>CB&amp;I - Chicago Bridge &amp; Iron Company N.V</t>
  </si>
  <si>
    <t>BEERENBERG</t>
  </si>
  <si>
    <t>Beerenberg AS</t>
  </si>
  <si>
    <t>BERGEN GR</t>
  </si>
  <si>
    <t>BERGEN GROUP</t>
  </si>
  <si>
    <t>BLUEWATER</t>
  </si>
  <si>
    <t>Bluewater</t>
  </si>
  <si>
    <t>BLUEWHALE</t>
  </si>
  <si>
    <t>BOA</t>
  </si>
  <si>
    <t>BOA OFFSHORE</t>
  </si>
  <si>
    <t>BOMESC</t>
  </si>
  <si>
    <t>BORR</t>
  </si>
  <si>
    <t>BORR DRILLING</t>
  </si>
  <si>
    <t>BP NORGE</t>
  </si>
  <si>
    <t>BREDERO SHAW</t>
  </si>
  <si>
    <t>BREVIK</t>
  </si>
  <si>
    <t>Brevik Engineering</t>
  </si>
  <si>
    <t>BRIDON</t>
  </si>
  <si>
    <t>BRIDON SINGAPORE</t>
  </si>
  <si>
    <t>BUMI</t>
  </si>
  <si>
    <t>BUMI ARMADA</t>
  </si>
  <si>
    <t>BW OFFSHORE</t>
  </si>
  <si>
    <t>CAMERON</t>
  </si>
  <si>
    <t>CARIGALI</t>
  </si>
  <si>
    <t>CARIGALI HESS</t>
  </si>
  <si>
    <t>CCB</t>
  </si>
  <si>
    <t>COAST CENTER BASE</t>
  </si>
  <si>
    <t>CELSIUS</t>
  </si>
  <si>
    <t>Celsius Shipping</t>
  </si>
  <si>
    <t>CENTRICA</t>
  </si>
  <si>
    <t>CENTRICA ENERGY</t>
  </si>
  <si>
    <t>CHEVRON</t>
  </si>
  <si>
    <t>CIMC</t>
  </si>
  <si>
    <t>CINDERELLA</t>
  </si>
  <si>
    <t>CMHI</t>
  </si>
  <si>
    <t>China Merchant Heavy Industries</t>
  </si>
  <si>
    <t>COMMSA</t>
  </si>
  <si>
    <t>CONOCO PH</t>
  </si>
  <si>
    <t>CONOCO PHILLIPS</t>
  </si>
  <si>
    <t>CONSTELLATIO</t>
  </si>
  <si>
    <t>CONSTELLATION</t>
  </si>
  <si>
    <t>COSCO</t>
  </si>
  <si>
    <t>COSL</t>
  </si>
  <si>
    <t>COTEMAR</t>
  </si>
  <si>
    <t>CREATE</t>
  </si>
  <si>
    <t>Createview</t>
  </si>
  <si>
    <t>DAEWOO</t>
  </si>
  <si>
    <t>DDS</t>
  </si>
  <si>
    <t>DDW</t>
  </si>
  <si>
    <t>Drydocks</t>
  </si>
  <si>
    <t>DEEPAK PHENO</t>
  </si>
  <si>
    <t>Deepak Phenolics</t>
  </si>
  <si>
    <t>DEEPOCEAN</t>
  </si>
  <si>
    <t>DeepOcean</t>
  </si>
  <si>
    <t>DIAMOND</t>
  </si>
  <si>
    <t>DIAMOND OFFSHORE</t>
  </si>
  <si>
    <t>DK</t>
  </si>
  <si>
    <t>Daekyung</t>
  </si>
  <si>
    <t>DNV</t>
  </si>
  <si>
    <t>DET NORSKE VERITAS</t>
  </si>
  <si>
    <t>DOF</t>
  </si>
  <si>
    <t>DOF Subsea</t>
  </si>
  <si>
    <t>DOLPHIN</t>
  </si>
  <si>
    <t>DONG</t>
  </si>
  <si>
    <t>DONG ENERGY</t>
  </si>
  <si>
    <t>DSME</t>
  </si>
  <si>
    <t>Daewoo Shipbuilding &amp; Marine Engineering Co., Ltd</t>
  </si>
  <si>
    <t>EDDA</t>
  </si>
  <si>
    <t>Edda Accommodation</t>
  </si>
  <si>
    <t>ELEMENTPARTN</t>
  </si>
  <si>
    <t>Elementpartner AS</t>
  </si>
  <si>
    <t>EMAS</t>
  </si>
  <si>
    <t>EMAS-AMC AS</t>
  </si>
  <si>
    <t>ENERGY DRILL</t>
  </si>
  <si>
    <t>ENERGY DRILLING MANAGEMENT PTE LTD</t>
  </si>
  <si>
    <t>ENERPRO</t>
  </si>
  <si>
    <t>ENI NORGE</t>
  </si>
  <si>
    <t>ENTERPRISE</t>
  </si>
  <si>
    <t>ENTERPRISE OFFSHORE</t>
  </si>
  <si>
    <t>ESSAR</t>
  </si>
  <si>
    <t>Essar Oilfield Services India Limited</t>
  </si>
  <si>
    <t>FABRICOM</t>
  </si>
  <si>
    <t>FACTORING</t>
  </si>
  <si>
    <t>FACTORING SMN</t>
  </si>
  <si>
    <t>FLOATEL</t>
  </si>
  <si>
    <t>FLOATEL INTERNATIONAL</t>
  </si>
  <si>
    <t>FORESIGHT</t>
  </si>
  <si>
    <t>FRED. OLSEN</t>
  </si>
  <si>
    <t>FRED. OLSEN PRODUCTION</t>
  </si>
  <si>
    <t>FREO</t>
  </si>
  <si>
    <t>Freo Group Pty Ltd</t>
  </si>
  <si>
    <t>FRIGSTAD</t>
  </si>
  <si>
    <t>Frigstad Engineering (Singapore) Pte Ltd</t>
  </si>
  <si>
    <t>GATE</t>
  </si>
  <si>
    <t>GDF SUEZ</t>
  </si>
  <si>
    <t>GDF SUEZ E&amp;P</t>
  </si>
  <si>
    <t>GDI</t>
  </si>
  <si>
    <t>Gulf Drilling International Ltd (Q.S.C)</t>
  </si>
  <si>
    <t>GLAMOX</t>
  </si>
  <si>
    <t>GREATSHIP</t>
  </si>
  <si>
    <t>GRENLAND GR</t>
  </si>
  <si>
    <t>GRENLAND GROUP</t>
  </si>
  <si>
    <t>GULF CRANE</t>
  </si>
  <si>
    <t>Gulf Crane</t>
  </si>
  <si>
    <t>HALLIBURTON</t>
  </si>
  <si>
    <t>HAMMERØ</t>
  </si>
  <si>
    <t>HEEREMA</t>
  </si>
  <si>
    <t>Heerema</t>
  </si>
  <si>
    <t>HELIX</t>
  </si>
  <si>
    <t>HELIX ENERGY</t>
  </si>
  <si>
    <t>HHI</t>
  </si>
  <si>
    <t>Hyundai H.I.</t>
  </si>
  <si>
    <t>HIGH ARCTIC</t>
  </si>
  <si>
    <t>High Arctic</t>
  </si>
  <si>
    <t>HOEGH LNG</t>
  </si>
  <si>
    <t>HONGHUA</t>
  </si>
  <si>
    <t>Honghua International Co., Ltd</t>
  </si>
  <si>
    <t>HUSKY</t>
  </si>
  <si>
    <t>HUSKY ENERGY</t>
  </si>
  <si>
    <t>HYDRIL</t>
  </si>
  <si>
    <t>IKM</t>
  </si>
  <si>
    <t>INTERNAL</t>
  </si>
  <si>
    <t>AXESS GROUP</t>
  </si>
  <si>
    <t>ISTAD</t>
  </si>
  <si>
    <t>ISATD KRAFT</t>
  </si>
  <si>
    <t>JAGSON</t>
  </si>
  <si>
    <t>JINDAL</t>
  </si>
  <si>
    <t>JURONG</t>
  </si>
  <si>
    <t>JURONG SHIPYARD</t>
  </si>
  <si>
    <t>JUTAL</t>
  </si>
  <si>
    <t>KARMSUND</t>
  </si>
  <si>
    <t>KARMSUND MARITIME OFFSHORE P</t>
  </si>
  <si>
    <t>KCA</t>
  </si>
  <si>
    <t>KCA DRILLING</t>
  </si>
  <si>
    <t>KEPPEL</t>
  </si>
  <si>
    <t>KIEWIT</t>
  </si>
  <si>
    <t>KIEWIT OFFSHORE</t>
  </si>
  <si>
    <t>KNOT</t>
  </si>
  <si>
    <t>KOLOS</t>
  </si>
  <si>
    <t>Kolos Gruppen</t>
  </si>
  <si>
    <t>KVAERNER</t>
  </si>
  <si>
    <t>LOS CAPITANO</t>
  </si>
  <si>
    <t>LOS CAPITANOS OY</t>
  </si>
  <si>
    <t>LUNDIN</t>
  </si>
  <si>
    <t>LUNDIN NORWAY</t>
  </si>
  <si>
    <t>MACGREGOR</t>
  </si>
  <si>
    <t>MAERSK DRILL</t>
  </si>
  <si>
    <t>MAERSK DRILLING</t>
  </si>
  <si>
    <t>MAERSK SUPP</t>
  </si>
  <si>
    <t>MAERSK SUPPLIES SERVICES</t>
  </si>
  <si>
    <t>MAGADAN</t>
  </si>
  <si>
    <t>MAGADANMORNEFTEGAZ LLC</t>
  </si>
  <si>
    <t>MAGNUM</t>
  </si>
  <si>
    <t>MAGNUM TRANSCONTINENTAL CORP</t>
  </si>
  <si>
    <t>MARATHON</t>
  </si>
  <si>
    <t>MARATHON OIL</t>
  </si>
  <si>
    <t>MERCURIUS</t>
  </si>
  <si>
    <t>Mercurius Dataconsult AS</t>
  </si>
  <si>
    <t>MIHALA</t>
  </si>
  <si>
    <t>MISC</t>
  </si>
  <si>
    <t>MISC Berhad</t>
  </si>
  <si>
    <t>MISCNF</t>
  </si>
  <si>
    <t>Other (not via factoring)</t>
  </si>
  <si>
    <t>MMS</t>
  </si>
  <si>
    <t>MARINE MASTER SERVICES</t>
  </si>
  <si>
    <t>MODEC</t>
  </si>
  <si>
    <t>NAC</t>
  </si>
  <si>
    <t>NOBLE</t>
  </si>
  <si>
    <t>NOFENCE</t>
  </si>
  <si>
    <t>NORDEX</t>
  </si>
  <si>
    <t>Nordex</t>
  </si>
  <si>
    <t>NORTH OIL</t>
  </si>
  <si>
    <t>NORTH OIL COMPANY</t>
  </si>
  <si>
    <t>NORTH SEA RI</t>
  </si>
  <si>
    <t>NORTH SEA RIGS</t>
  </si>
  <si>
    <t>NATIONAL OILWELL VARCO</t>
  </si>
  <si>
    <t>NOVENCO</t>
  </si>
  <si>
    <t>Novenco</t>
  </si>
  <si>
    <t>NSG</t>
  </si>
  <si>
    <t>OCEAN INST</t>
  </si>
  <si>
    <t>OCEAN INSTALLER</t>
  </si>
  <si>
    <t>OCEAN RIG</t>
  </si>
  <si>
    <t>OCEAN RIG COMPANIES</t>
  </si>
  <si>
    <t>OCEANEERING</t>
  </si>
  <si>
    <t>OCEANOIL</t>
  </si>
  <si>
    <t>Ocean Oilfield Drilling Rigs &amp; Marine Engg Services</t>
  </si>
  <si>
    <t>ODFJELL</t>
  </si>
  <si>
    <t>ODRILLING</t>
  </si>
  <si>
    <t>OTHER DRILLING</t>
  </si>
  <si>
    <t>OENERGY</t>
  </si>
  <si>
    <t>OTHER ENERGY</t>
  </si>
  <si>
    <t>OFFWIND</t>
  </si>
  <si>
    <t>OFFSHORE WIND</t>
  </si>
  <si>
    <t>OFPSO</t>
  </si>
  <si>
    <t>OTHER FPSO</t>
  </si>
  <si>
    <t>OKEA</t>
  </si>
  <si>
    <t>OMMO</t>
  </si>
  <si>
    <t>OTHER MMO</t>
  </si>
  <si>
    <t>OMMOKSU</t>
  </si>
  <si>
    <t>OTHER MMO KSU</t>
  </si>
  <si>
    <t>ONGC</t>
  </si>
  <si>
    <t>ONWIND</t>
  </si>
  <si>
    <t>ONSHORE WIND</t>
  </si>
  <si>
    <t>OOG-TK</t>
  </si>
  <si>
    <t>OOG-TKP Oil Services Ltd</t>
  </si>
  <si>
    <t>OOS</t>
  </si>
  <si>
    <t>OPS</t>
  </si>
  <si>
    <t>OPS PRODUCTION</t>
  </si>
  <si>
    <t>OPUS</t>
  </si>
  <si>
    <t>Opus Offshore Pte Ltd</t>
  </si>
  <si>
    <t>ORIVO</t>
  </si>
  <si>
    <t>OSM</t>
  </si>
  <si>
    <t>OSURF</t>
  </si>
  <si>
    <t>ONSHORE INDUSTRY</t>
  </si>
  <si>
    <t>OTHER</t>
  </si>
  <si>
    <t>OTHER CUSTOMERS</t>
  </si>
  <si>
    <t>PACIFIC</t>
  </si>
  <si>
    <t>PACIFIC DRILLING SERVICES</t>
  </si>
  <si>
    <t>PALFINGER</t>
  </si>
  <si>
    <t>PALFINGER DREGGEN</t>
  </si>
  <si>
    <t>PETRO RIO</t>
  </si>
  <si>
    <t>Petro Rio O&amp;G</t>
  </si>
  <si>
    <t>PETROBRAS</t>
  </si>
  <si>
    <t>PETROFAC</t>
  </si>
  <si>
    <t>PETROFAC INTERNATIONAL</t>
  </si>
  <si>
    <t>PILGRIM</t>
  </si>
  <si>
    <t>PILGRIM OILFIELD SERVICES</t>
  </si>
  <si>
    <t>PONTICELLI</t>
  </si>
  <si>
    <t>Ponticelli</t>
  </si>
  <si>
    <t>POSH Semco Pte Ltd</t>
  </si>
  <si>
    <t>POSTNORD</t>
  </si>
  <si>
    <t>PROSAFE</t>
  </si>
  <si>
    <t>PROSAFE OFFSHORE</t>
  </si>
  <si>
    <t>PUBLIC SECT</t>
  </si>
  <si>
    <t>Public sector norway</t>
  </si>
  <si>
    <t>QUADRANT</t>
  </si>
  <si>
    <t>Quadrant</t>
  </si>
  <si>
    <t>REINERTSEN</t>
  </si>
  <si>
    <t>RFF</t>
  </si>
  <si>
    <t>Regionalt Forskningsfond Midt-Norge</t>
  </si>
  <si>
    <t>ROSENBERG</t>
  </si>
  <si>
    <t>ROSENBERG WORLEYPARSONS</t>
  </si>
  <si>
    <t>ROWAN DRIL</t>
  </si>
  <si>
    <t>ROWAN DRILLING</t>
  </si>
  <si>
    <t>SAIPEM</t>
  </si>
  <si>
    <t>SALT</t>
  </si>
  <si>
    <t>SALT SHIP DESIGN</t>
  </si>
  <si>
    <t>SAMSUNG</t>
  </si>
  <si>
    <t>SANTOS</t>
  </si>
  <si>
    <t>Santos WA Energy Limited</t>
  </si>
  <si>
    <t>SAPURA</t>
  </si>
  <si>
    <t>SAPURAKENCANA</t>
  </si>
  <si>
    <t>SBM OFFSHORE</t>
  </si>
  <si>
    <t>SCHAHIN</t>
  </si>
  <si>
    <t>SCHLUMBERGER</t>
  </si>
  <si>
    <t>SEADRILL</t>
  </si>
  <si>
    <t>SEMBCORP</t>
  </si>
  <si>
    <t>Sembcorp Industries Limited</t>
  </si>
  <si>
    <t>SENSORLINK</t>
  </si>
  <si>
    <t>SEVAN</t>
  </si>
  <si>
    <t>SEVAN DRILLING</t>
  </si>
  <si>
    <t>SGS</t>
  </si>
  <si>
    <t>SHELFDRILL</t>
  </si>
  <si>
    <t>SHELF DRILLING OFFSHORE SERVICES</t>
  </si>
  <si>
    <t>SHELL</t>
  </si>
  <si>
    <t>SNC LAVALIN</t>
  </si>
  <si>
    <t>SOLUTION CRA</t>
  </si>
  <si>
    <t>SOLUTION CRANE SERVICES</t>
  </si>
  <si>
    <t>SONG OFF</t>
  </si>
  <si>
    <t>SONGA OFFSHORE</t>
  </si>
  <si>
    <t>STATKRAFT</t>
  </si>
  <si>
    <t>Statkraft</t>
  </si>
  <si>
    <t>STATOIL</t>
  </si>
  <si>
    <t>STENA DRILLI</t>
  </si>
  <si>
    <t>STENA DRILLING</t>
  </si>
  <si>
    <t>SUBSEA7</t>
  </si>
  <si>
    <t>SWS</t>
  </si>
  <si>
    <t>SYNCRUDE</t>
  </si>
  <si>
    <t>TALISMAN</t>
  </si>
  <si>
    <t>TALISMAN ENERGY NORGE AS</t>
  </si>
  <si>
    <t>TATA STEEL</t>
  </si>
  <si>
    <t>TATA Steel</t>
  </si>
  <si>
    <t>TECHNIP</t>
  </si>
  <si>
    <t>TEEKAY</t>
  </si>
  <si>
    <t>TEEKAY MANAGEMENT</t>
  </si>
  <si>
    <t>TELFORD</t>
  </si>
  <si>
    <t>TELFORD OFFSHORE</t>
  </si>
  <si>
    <t>TENSA</t>
  </si>
  <si>
    <t>Tensa Equipment</t>
  </si>
  <si>
    <t>TK-PETROJ</t>
  </si>
  <si>
    <t>TK-PETROJARL</t>
  </si>
  <si>
    <t>TOTAL E&amp;P NORGE</t>
  </si>
  <si>
    <t>TRANSOCEAN</t>
  </si>
  <si>
    <t>TRIDENT</t>
  </si>
  <si>
    <t>UNIVERSAL</t>
  </si>
  <si>
    <t>Universal</t>
  </si>
  <si>
    <t>UZMA</t>
  </si>
  <si>
    <t>Uzma Engineering Sdn Bhd</t>
  </si>
  <si>
    <t>VALARIS</t>
  </si>
  <si>
    <t>VANTAGE</t>
  </si>
  <si>
    <t>VANTAGE DRILLING</t>
  </si>
  <si>
    <t>VARENERGI</t>
  </si>
  <si>
    <t>Vår energi</t>
  </si>
  <si>
    <t>VESTAS</t>
  </si>
  <si>
    <t>Vestas</t>
  </si>
  <si>
    <t>WEATHERFORD</t>
  </si>
  <si>
    <t>WESTCON</t>
  </si>
  <si>
    <t>WINTERSHALL</t>
  </si>
  <si>
    <t>WOOD GR</t>
  </si>
  <si>
    <t>WOOD GROUP</t>
  </si>
  <si>
    <t>WOODSIDE</t>
  </si>
  <si>
    <t>Woodside Energy</t>
  </si>
  <si>
    <t>WORLEY</t>
  </si>
  <si>
    <t>Ranhill Worley</t>
  </si>
  <si>
    <t>YARDS</t>
  </si>
  <si>
    <t>YINSON</t>
  </si>
  <si>
    <t>detail</t>
  </si>
  <si>
    <t>ZPMC</t>
  </si>
  <si>
    <t>SQL select dim_value, description, status from agldimvalue where client = 'AK' and attribute_id = '21' and status = 'N' order by description asc</t>
  </si>
  <si>
    <t>installation description</t>
  </si>
  <si>
    <t>installation</t>
  </si>
  <si>
    <t>Aasta Hansteen</t>
  </si>
  <si>
    <t>Aasta Hansteen Topside</t>
  </si>
  <si>
    <t>Aban Abraham</t>
  </si>
  <si>
    <t>Aban Ice</t>
  </si>
  <si>
    <t>Aban II</t>
  </si>
  <si>
    <t>Aban III</t>
  </si>
  <si>
    <t>Aban IV</t>
  </si>
  <si>
    <t>Aban V</t>
  </si>
  <si>
    <t>Aban VI</t>
  </si>
  <si>
    <t>Aban VII</t>
  </si>
  <si>
    <t>Aban VIII</t>
  </si>
  <si>
    <t>Acergy Viking</t>
  </si>
  <si>
    <t>Actinia</t>
  </si>
  <si>
    <t>Agile</t>
  </si>
  <si>
    <t>Aibel</t>
  </si>
  <si>
    <t>Aker Cat-B</t>
  </si>
  <si>
    <t>Aker Midsund</t>
  </si>
  <si>
    <t>Aker Wayfarer</t>
  </si>
  <si>
    <t>AKOFS Seafarer</t>
  </si>
  <si>
    <t>AKOFS Wayfarer</t>
  </si>
  <si>
    <t>Al Shaheen</t>
  </si>
  <si>
    <t>Alvheim FPSO</t>
  </si>
  <si>
    <t>Amoca</t>
  </si>
  <si>
    <t>Anchor</t>
  </si>
  <si>
    <t>Andaman</t>
  </si>
  <si>
    <t>Anita Garibaldi</t>
  </si>
  <si>
    <t>Anna Knutsen</t>
  </si>
  <si>
    <t>Ao Thai</t>
  </si>
  <si>
    <t>Apache II</t>
  </si>
  <si>
    <t>Aquamarine</t>
  </si>
  <si>
    <t>Aquarius</t>
  </si>
  <si>
    <t>Aquarius II</t>
  </si>
  <si>
    <t>Arctic III</t>
  </si>
  <si>
    <t>Arpoador</t>
  </si>
  <si>
    <t>Åsgard A</t>
  </si>
  <si>
    <t>Åsgard B</t>
  </si>
  <si>
    <t>Askeladden</t>
  </si>
  <si>
    <t>Askepott</t>
  </si>
  <si>
    <t>ATLA</t>
  </si>
  <si>
    <t>Atwood Admiral</t>
  </si>
  <si>
    <t>Atwood Archer</t>
  </si>
  <si>
    <t>Aura Kraftverk</t>
  </si>
  <si>
    <t>Aurland Kraftstasjon</t>
  </si>
  <si>
    <t>Awilco TBN1</t>
  </si>
  <si>
    <t>Balder</t>
  </si>
  <si>
    <t>BBLT</t>
  </si>
  <si>
    <t>BD HEDREN</t>
  </si>
  <si>
    <t>Beacon Atlantic</t>
  </si>
  <si>
    <t>Beacon Pacific</t>
  </si>
  <si>
    <t>Belford</t>
  </si>
  <si>
    <t>Beothuk Spirit</t>
  </si>
  <si>
    <t>Berge Helene</t>
  </si>
  <si>
    <t>Bideford</t>
  </si>
  <si>
    <t>Blackford</t>
  </si>
  <si>
    <t>Bluefort</t>
  </si>
  <si>
    <t>Bluewhale 1</t>
  </si>
  <si>
    <t>Boa Deep C</t>
  </si>
  <si>
    <t>Boa Sub C</t>
  </si>
  <si>
    <t>Bolette</t>
  </si>
  <si>
    <t>Bolette Dolphin</t>
  </si>
  <si>
    <t>Bollsta Dolphin</t>
  </si>
  <si>
    <t>Borgholm</t>
  </si>
  <si>
    <t>Borgland</t>
  </si>
  <si>
    <t>Borgny</t>
  </si>
  <si>
    <t>Borgsten</t>
  </si>
  <si>
    <t>Borr Mist</t>
  </si>
  <si>
    <t>BorWin Alpha</t>
  </si>
  <si>
    <t>BorWin Beta</t>
  </si>
  <si>
    <t>BorWin Gamma</t>
  </si>
  <si>
    <t>BOS Topázio</t>
  </si>
  <si>
    <t>BOS Turquesa</t>
  </si>
  <si>
    <t>Bossa Nova Spirit (SHU)</t>
  </si>
  <si>
    <t>Bourbon Monsoon</t>
  </si>
  <si>
    <t>BP Mad Dog</t>
  </si>
  <si>
    <t>BP Thunder Horse</t>
  </si>
  <si>
    <t>Brage</t>
  </si>
  <si>
    <t>Brasco</t>
  </si>
  <si>
    <t>Brasil Knutsen</t>
  </si>
  <si>
    <t>Brava Star</t>
  </si>
  <si>
    <t>Bredford</t>
  </si>
  <si>
    <t>Bredford Dolphin</t>
  </si>
  <si>
    <t>Brunvoll AS</t>
  </si>
  <si>
    <t>Buipe  (Northern Region)</t>
  </si>
  <si>
    <t>Bully II</t>
  </si>
  <si>
    <t>BW Magna</t>
  </si>
  <si>
    <t>BW Opportunity</t>
  </si>
  <si>
    <t>BW Pioneer</t>
  </si>
  <si>
    <t>BW Polvo</t>
  </si>
  <si>
    <t>Bybanen</t>
  </si>
  <si>
    <t>Bybanen Bergen</t>
  </si>
  <si>
    <t>Byford</t>
  </si>
  <si>
    <t>C.R. Luigs</t>
  </si>
  <si>
    <t>Cajun Express</t>
  </si>
  <si>
    <t>Cakerawala Production platform - CKP</t>
  </si>
  <si>
    <t>Can Do Drillship</t>
  </si>
  <si>
    <t>Cape Ann</t>
  </si>
  <si>
    <t>Carmen Knutsen</t>
  </si>
  <si>
    <t>Cassino</t>
  </si>
  <si>
    <t>Cat J TBN 1</t>
  </si>
  <si>
    <t>Catcher FPSO</t>
  </si>
  <si>
    <t>CAT-I</t>
  </si>
  <si>
    <t>CE Thronton</t>
  </si>
  <si>
    <t>Certex Offshore Services AS</t>
  </si>
  <si>
    <t>Chestnut prod pipeline</t>
  </si>
  <si>
    <t>Cidade de Paraty</t>
  </si>
  <si>
    <t>Cidade de Sao Mateus</t>
  </si>
  <si>
    <t>Cidade de Sao Vicente</t>
  </si>
  <si>
    <t>CMHI-225</t>
  </si>
  <si>
    <t>Constellation</t>
  </si>
  <si>
    <t>Constellation I</t>
  </si>
  <si>
    <t>Corcovado</t>
  </si>
  <si>
    <t>COSL Innovator</t>
  </si>
  <si>
    <t>COSL Pioneer</t>
  </si>
  <si>
    <t>COSL Promoter</t>
  </si>
  <si>
    <t>COSL Prospector</t>
  </si>
  <si>
    <t>COSL Rigmar</t>
  </si>
  <si>
    <t>COSL Rival</t>
  </si>
  <si>
    <t>Crystal Ocean</t>
  </si>
  <si>
    <t>Dan Cisne</t>
  </si>
  <si>
    <t>Dan Sabia</t>
  </si>
  <si>
    <t>Dan Swift</t>
  </si>
  <si>
    <t>DB Hedron</t>
  </si>
  <si>
    <t>Deep Driller 1</t>
  </si>
  <si>
    <t>Deep Driller 2</t>
  </si>
  <si>
    <t>Deep Driller 3</t>
  </si>
  <si>
    <t>Deep Driller 4</t>
  </si>
  <si>
    <t>Deep Driller 5</t>
  </si>
  <si>
    <t>Deep Driller 6</t>
  </si>
  <si>
    <t>Deep Driller 7</t>
  </si>
  <si>
    <t>Deep Driller 8</t>
  </si>
  <si>
    <t>Deep Energy</t>
  </si>
  <si>
    <t>Deepsea Aberdeen</t>
  </si>
  <si>
    <t>Deepsea Atlantic</t>
  </si>
  <si>
    <t>Deepsea Bergen</t>
  </si>
  <si>
    <t>Deepsea Fortune</t>
  </si>
  <si>
    <t>Deepsea Fossil</t>
  </si>
  <si>
    <t>Deepsea Matdrill</t>
  </si>
  <si>
    <t>Deepsea Metro I</t>
  </si>
  <si>
    <t>Deepsea Metro II</t>
  </si>
  <si>
    <t>Deepsea Moorings</t>
  </si>
  <si>
    <t>Deepsea NordKapp</t>
  </si>
  <si>
    <t>Deepsea Nordkapp</t>
  </si>
  <si>
    <t>Deepsea Stavanger</t>
  </si>
  <si>
    <t>Deepsea Treasure</t>
  </si>
  <si>
    <t>Deepsea Yantai</t>
  </si>
  <si>
    <t>Deepwater Atlas</t>
  </si>
  <si>
    <t>Deepwater Development Driller I</t>
  </si>
  <si>
    <t>Deepwater Development Driller II</t>
  </si>
  <si>
    <t>Deepwater Development Driller III</t>
  </si>
  <si>
    <t>Deepwater Discovery</t>
  </si>
  <si>
    <t>Deepwater Frontier</t>
  </si>
  <si>
    <t>Deepwater Millennium</t>
  </si>
  <si>
    <t>Deepwater Nautilus</t>
  </si>
  <si>
    <t>Deepwater Navigator</t>
  </si>
  <si>
    <t>Deepwater Orion</t>
  </si>
  <si>
    <t>DEEPWATER PATHFINDER</t>
  </si>
  <si>
    <t>Deepwater Skyros</t>
  </si>
  <si>
    <t>Deepwater Titan</t>
  </si>
  <si>
    <t>Delba III</t>
  </si>
  <si>
    <t>Development Driller 3</t>
  </si>
  <si>
    <t>Devil Creek Offshore</t>
  </si>
  <si>
    <t>Devil Creek Onshore</t>
  </si>
  <si>
    <t>Dhirubai Deepwater KG1</t>
  </si>
  <si>
    <t>Dhirubhai Deepwater KG1</t>
  </si>
  <si>
    <t>Dhirubhai Deepwater KG2</t>
  </si>
  <si>
    <t>Discover Americas</t>
  </si>
  <si>
    <t>Discoverer Deep Seas</t>
  </si>
  <si>
    <t>Discoverer Enterprise</t>
  </si>
  <si>
    <t>Discoverer Luanda</t>
  </si>
  <si>
    <t>Discovery Clear Leader</t>
  </si>
  <si>
    <t>Discovery I</t>
  </si>
  <si>
    <t>DolWin Alpha</t>
  </si>
  <si>
    <t>DolWin Beta</t>
  </si>
  <si>
    <t>DolWin Gamma</t>
  </si>
  <si>
    <t>Doosan Moxy</t>
  </si>
  <si>
    <t>Dorset Spirit</t>
  </si>
  <si>
    <t>DPDS1</t>
  </si>
  <si>
    <t>DPDS2</t>
  </si>
  <si>
    <t>DPDS3</t>
  </si>
  <si>
    <t>Draugen</t>
  </si>
  <si>
    <t>Draupner</t>
  </si>
  <si>
    <t>DrillMAX</t>
  </si>
  <si>
    <t>DS 12</t>
  </si>
  <si>
    <t>DS Carolina</t>
  </si>
  <si>
    <t>DS- Stålkonstruksjon</t>
  </si>
  <si>
    <t>DS Yavuz</t>
  </si>
  <si>
    <t>DS-09</t>
  </si>
  <si>
    <t>DS-13</t>
  </si>
  <si>
    <t>DS-14</t>
  </si>
  <si>
    <t>DS-8</t>
  </si>
  <si>
    <t>DS-9</t>
  </si>
  <si>
    <t>DSV Sevan Falcon</t>
  </si>
  <si>
    <t>Dunkirk</t>
  </si>
  <si>
    <t>Duque de Caxias Base</t>
  </si>
  <si>
    <t>Dynamic Momentum</t>
  </si>
  <si>
    <t>Dynamic Vision</t>
  </si>
  <si>
    <t>Echidna FPSO</t>
  </si>
  <si>
    <t>EC-OG Aberdeen Yard- Onshore</t>
  </si>
  <si>
    <t>Edda Fauna</t>
  </si>
  <si>
    <t>Edda Fides</t>
  </si>
  <si>
    <t>Edrill-1</t>
  </si>
  <si>
    <t>Edrill-2</t>
  </si>
  <si>
    <t>Egina FPSO</t>
  </si>
  <si>
    <t>Eirik Raude</t>
  </si>
  <si>
    <t>Ekofisk</t>
  </si>
  <si>
    <t>Ekofisk 2/4 Bravo</t>
  </si>
  <si>
    <t>Ekofisk 2/4 K</t>
  </si>
  <si>
    <t>Ekofisk 2/4M</t>
  </si>
  <si>
    <t>Eldfisk 2/7 A</t>
  </si>
  <si>
    <t>Eldfisk 2/7 B</t>
  </si>
  <si>
    <t>Elkem Rana</t>
  </si>
  <si>
    <t>Elkem Thamshavn</t>
  </si>
  <si>
    <t>EMCE-Hebron Onshore Plant</t>
  </si>
  <si>
    <t>Encourage</t>
  </si>
  <si>
    <t>ENI Mizton WHP</t>
  </si>
  <si>
    <t>Ensco 100</t>
  </si>
  <si>
    <t>ENSCO 102</t>
  </si>
  <si>
    <t>Ensco 109</t>
  </si>
  <si>
    <t>Ensco 5000</t>
  </si>
  <si>
    <t>ENSCO 68</t>
  </si>
  <si>
    <t>ENSCO 75</t>
  </si>
  <si>
    <t>ENSCO 8501</t>
  </si>
  <si>
    <t>ENSCO 8502</t>
  </si>
  <si>
    <t>ENSCO 8505</t>
  </si>
  <si>
    <t>ENSCO 8506</t>
  </si>
  <si>
    <t>ENSCO 87</t>
  </si>
  <si>
    <t>Ensco DS 6</t>
  </si>
  <si>
    <t>ENSCO DS-10</t>
  </si>
  <si>
    <t>ENSCO DS5</t>
  </si>
  <si>
    <t>ENSCO DS-8</t>
  </si>
  <si>
    <t>ENSCO DS-9</t>
  </si>
  <si>
    <t>ENSCO-5005</t>
  </si>
  <si>
    <t>EnscoRowan 107</t>
  </si>
  <si>
    <t>EnscoRowan 5006</t>
  </si>
  <si>
    <t>EnscoRowan DPS-1</t>
  </si>
  <si>
    <t>Enterprise 205</t>
  </si>
  <si>
    <t>ESNCO 8500</t>
  </si>
  <si>
    <t>ESSAR Wildcat</t>
  </si>
  <si>
    <t>Etesco Interceptor</t>
  </si>
  <si>
    <t>Evanton Spoolbase</t>
  </si>
  <si>
    <t>Fabrication Site</t>
  </si>
  <si>
    <t>Fairchem Filly</t>
  </si>
  <si>
    <t>Far Sagaris</t>
  </si>
  <si>
    <t>Far Sapphire</t>
  </si>
  <si>
    <t>Far Scorpion</t>
  </si>
  <si>
    <t>Far Sleipner</t>
  </si>
  <si>
    <t>Far Sovereign</t>
  </si>
  <si>
    <t>Fatih</t>
  </si>
  <si>
    <t>FCC Enviroment:Allington EfW</t>
  </si>
  <si>
    <t>FG Mclintock</t>
  </si>
  <si>
    <t>Floatel Endurance</t>
  </si>
  <si>
    <t>Floatel Superior</t>
  </si>
  <si>
    <t>Flytende innretninger</t>
  </si>
  <si>
    <t>Foresight Driller III</t>
  </si>
  <si>
    <t>Foresight Driller IX</t>
  </si>
  <si>
    <t>Foresight Driller V</t>
  </si>
  <si>
    <t>Fortaleza Knutsen</t>
  </si>
  <si>
    <t>Fortis</t>
  </si>
  <si>
    <t>Fosen Yard</t>
  </si>
  <si>
    <t>FPSO Abigail-Joseph</t>
  </si>
  <si>
    <t>FPSO Adoon</t>
  </si>
  <si>
    <t>FPSO Allan</t>
  </si>
  <si>
    <t>FPSO Anna Nery</t>
  </si>
  <si>
    <t>FPSO Armada Olombendo</t>
  </si>
  <si>
    <t>FPSO Aseng</t>
  </si>
  <si>
    <t>FPSO Bacalhau</t>
  </si>
  <si>
    <t>FPSO Balder</t>
  </si>
  <si>
    <t>FPSO Baobab Ivoirien MV10</t>
  </si>
  <si>
    <t>FPSO Barossa</t>
  </si>
  <si>
    <t>FPSO Berge Helene</t>
  </si>
  <si>
    <t>FPSO Brasil</t>
  </si>
  <si>
    <t>FPSO BW Athena</t>
  </si>
  <si>
    <t>FPSO Capixaba</t>
  </si>
  <si>
    <t>FPSO Cidade de Anchieta</t>
  </si>
  <si>
    <t>FPSO Cidade de Angra dos Reis</t>
  </si>
  <si>
    <t>FPSO Cidade de Caraguatatuba MV27</t>
  </si>
  <si>
    <t>FPSO Cidade de Ilha Bela</t>
  </si>
  <si>
    <t>FPSO Cidade de Itaguai (MV-26)</t>
  </si>
  <si>
    <t>FPSO Cidade de Itajai</t>
  </si>
  <si>
    <t>FPSO Cidade de Macaé</t>
  </si>
  <si>
    <t>FPSO Cidade de Maricá</t>
  </si>
  <si>
    <t>FPSO Cidade de Niterói</t>
  </si>
  <si>
    <t>FPSO Cidade de Paraty</t>
  </si>
  <si>
    <t>FPSO Cidade de Rio das Ostras</t>
  </si>
  <si>
    <t>FPSO Cidade de Santos MV20</t>
  </si>
  <si>
    <t>FPSO Cidade de São Mateus</t>
  </si>
  <si>
    <t>FPSO Cidade de Sao Paulo</t>
  </si>
  <si>
    <t>FPSO Cidade de Saquarema</t>
  </si>
  <si>
    <t>FPSO Espirito Santo</t>
  </si>
  <si>
    <t>FPSO Fast4ward #1</t>
  </si>
  <si>
    <t>FPSO Fast4ward #2</t>
  </si>
  <si>
    <t>FPSO Fluminense</t>
  </si>
  <si>
    <t>FPSO Frade</t>
  </si>
  <si>
    <t>FPSO Gimboa</t>
  </si>
  <si>
    <t>FPSO Glas Dowr</t>
  </si>
  <si>
    <t>FPSO Greater Plutonio</t>
  </si>
  <si>
    <t>FPSO Helang</t>
  </si>
  <si>
    <t>FPSO John Agyekum Kufuor</t>
  </si>
  <si>
    <t>FPSO Karish-Tanin</t>
  </si>
  <si>
    <t>FPSO Kikeh</t>
  </si>
  <si>
    <t>FPSO Knarr</t>
  </si>
  <si>
    <t>FPSO Kwame Nkrumah MV21</t>
  </si>
  <si>
    <t>FPSO Marechal Duque de Caxias</t>
  </si>
  <si>
    <t>FPSO Marlin Sul</t>
  </si>
  <si>
    <t>FPSO Mondo</t>
  </si>
  <si>
    <t>FPSO N'Goma</t>
  </si>
  <si>
    <t>FPSO Olombendo</t>
  </si>
  <si>
    <t>FPSO Parque das Baleias</t>
  </si>
  <si>
    <t>FPSO PAZFLOR</t>
  </si>
  <si>
    <t>FPSO Peregrino</t>
  </si>
  <si>
    <t>FPSO Petrojarl 1</t>
  </si>
  <si>
    <t>FPSO Pioneiro de Libra</t>
  </si>
  <si>
    <t>FPSO Polvo</t>
  </si>
  <si>
    <t>FPSO Prof. John Evans Atta Mills</t>
  </si>
  <si>
    <t>FPSO PSVM</t>
  </si>
  <si>
    <t>FPSO Saxi Batuque</t>
  </si>
  <si>
    <t>FPSO Serpentina</t>
  </si>
  <si>
    <t>FPSO Vicente</t>
  </si>
  <si>
    <t>FPSO Yuum Kak Naab</t>
  </si>
  <si>
    <t>Frigstad Shekou</t>
  </si>
  <si>
    <t>Front Puffin</t>
  </si>
  <si>
    <t>FSO Jorunn Knutsen</t>
  </si>
  <si>
    <t>FSRU TBN1</t>
  </si>
  <si>
    <t>Furgro Helmert</t>
  </si>
  <si>
    <t>Galaxy 1</t>
  </si>
  <si>
    <t>Gersemi</t>
  </si>
  <si>
    <t>Ghana Gas facilities</t>
  </si>
  <si>
    <t>Gina Krog</t>
  </si>
  <si>
    <t>Gina Krog FSO</t>
  </si>
  <si>
    <t>Gina Krog Topside</t>
  </si>
  <si>
    <t>Gjøa</t>
  </si>
  <si>
    <t>Global Explorer</t>
  </si>
  <si>
    <t>Globetrotter II</t>
  </si>
  <si>
    <t>Golar Gimi</t>
  </si>
  <si>
    <t>Golar Winter</t>
  </si>
  <si>
    <t>Goliat</t>
  </si>
  <si>
    <t>Gorgon Phase II</t>
  </si>
  <si>
    <t>Grane</t>
  </si>
  <si>
    <t>Greatdrill Chaaru</t>
  </si>
  <si>
    <t>Greatdrill Chaaya</t>
  </si>
  <si>
    <t>Greatdrill Chetna</t>
  </si>
  <si>
    <t>Greatdrill Chitra</t>
  </si>
  <si>
    <t>Grevling MOPU</t>
  </si>
  <si>
    <t>Grid</t>
  </si>
  <si>
    <t>GSF Development Driller 1</t>
  </si>
  <si>
    <t>GSF Development Driller 2</t>
  </si>
  <si>
    <t>GSF Grand Banks</t>
  </si>
  <si>
    <t>Guarapari</t>
  </si>
  <si>
    <t>Gudrun</t>
  </si>
  <si>
    <t>Gullfaks A</t>
  </si>
  <si>
    <t>Gullfaks B</t>
  </si>
  <si>
    <t>Gullfaks C</t>
  </si>
  <si>
    <t>Gumusut Kakap</t>
  </si>
  <si>
    <t>Guntong D</t>
  </si>
  <si>
    <t>Gyda</t>
  </si>
  <si>
    <t>H307</t>
  </si>
  <si>
    <t>Hammerfest Industriservice</t>
  </si>
  <si>
    <t>Hammerfest LNG</t>
  </si>
  <si>
    <t>Hamnefjell</t>
  </si>
  <si>
    <t>Harriet Alpha</t>
  </si>
  <si>
    <t>Harvey Ward</t>
  </si>
  <si>
    <t>Haven</t>
  </si>
  <si>
    <t>Havila Charisma</t>
  </si>
  <si>
    <t>Havila Jupiter</t>
  </si>
  <si>
    <t>Havila Subsea</t>
  </si>
  <si>
    <t>Havila Venus</t>
  </si>
  <si>
    <t>Havøygavlen</t>
  </si>
  <si>
    <t>Hebron Topside</t>
  </si>
  <si>
    <t>Heidrun</t>
  </si>
  <si>
    <t>Heidrun B</t>
  </si>
  <si>
    <t>Heimdal</t>
  </si>
  <si>
    <t>HelWin Alpha</t>
  </si>
  <si>
    <t>HelWin Beta</t>
  </si>
  <si>
    <t>Henry Goodrich</t>
  </si>
  <si>
    <t>Hercules</t>
  </si>
  <si>
    <t>Hibernia</t>
  </si>
  <si>
    <t>High Island 2</t>
  </si>
  <si>
    <t>High Island 4</t>
  </si>
  <si>
    <t>Hilli Episeyo</t>
  </si>
  <si>
    <t>Höeg Grace</t>
  </si>
  <si>
    <t>Höegh Esperanza</t>
  </si>
  <si>
    <t>Höegh Gallant</t>
  </si>
  <si>
    <t>Höegh Galleon</t>
  </si>
  <si>
    <t>Höegh Gannet</t>
  </si>
  <si>
    <t>Höegh Giant</t>
  </si>
  <si>
    <t>Holsbru Cable Railway</t>
  </si>
  <si>
    <t>Hope Valley</t>
  </si>
  <si>
    <t>Horizon Enabler</t>
  </si>
  <si>
    <t>Horizon Star</t>
  </si>
  <si>
    <t>Hotel Nobel</t>
  </si>
  <si>
    <t>Huldra</t>
  </si>
  <si>
    <t>Hummingbird</t>
  </si>
  <si>
    <t>Hustadmarmor</t>
  </si>
  <si>
    <t>HVL Uglen</t>
  </si>
  <si>
    <t>HWU Ghazi 461</t>
  </si>
  <si>
    <t>Hydro Aluminium Sunndal</t>
  </si>
  <si>
    <t>Hywind</t>
  </si>
  <si>
    <t>Ichthys FPSO</t>
  </si>
  <si>
    <t>Idun</t>
  </si>
  <si>
    <t>Independence</t>
  </si>
  <si>
    <t>Inovyn Rafsnes</t>
  </si>
  <si>
    <t>Island Constructor</t>
  </si>
  <si>
    <t>Island Frontier</t>
  </si>
  <si>
    <t>Island Innovator</t>
  </si>
  <si>
    <t>Island Valiant</t>
  </si>
  <si>
    <t>Island Vanguard</t>
  </si>
  <si>
    <t>Island Wellserver</t>
  </si>
  <si>
    <t>Ivar Aasen</t>
  </si>
  <si>
    <t>Jack Bates</t>
  </si>
  <si>
    <t>Jindal Explorer</t>
  </si>
  <si>
    <t>Jindal Pioneer</t>
  </si>
  <si>
    <t>Jindal Star</t>
  </si>
  <si>
    <t>Jindal Supreme</t>
  </si>
  <si>
    <t>Johan Castberg</t>
  </si>
  <si>
    <t>Johan Castberg FPSO</t>
  </si>
  <si>
    <t>Johan Sverdrup</t>
  </si>
  <si>
    <t>Johan Sverdrup Process &amp; Riser Platforms</t>
  </si>
  <si>
    <t>John Brookes</t>
  </si>
  <si>
    <t>Jotun</t>
  </si>
  <si>
    <t>JSPL UDW Drillship TBN1</t>
  </si>
  <si>
    <t>JT Angel</t>
  </si>
  <si>
    <t>Kalundborg</t>
  </si>
  <si>
    <t>Kårstø</t>
  </si>
  <si>
    <t>Key Manhattan</t>
  </si>
  <si>
    <t>KGD6 Ruby FPSO</t>
  </si>
  <si>
    <t>Kiewit Installation</t>
  </si>
  <si>
    <t>King's Quay FPU</t>
  </si>
  <si>
    <t>Kizomba</t>
  </si>
  <si>
    <t>Kizomba B</t>
  </si>
  <si>
    <t>KizombaA FPSO</t>
  </si>
  <si>
    <t>Knarr</t>
  </si>
  <si>
    <t>Knock Allen</t>
  </si>
  <si>
    <t>Kollsnes</t>
  </si>
  <si>
    <t>Kristin</t>
  </si>
  <si>
    <t>Kvitebjørn</t>
  </si>
  <si>
    <t>Leiv Eiriksson</t>
  </si>
  <si>
    <t>Lena Knutsen</t>
  </si>
  <si>
    <t>Libongos</t>
  </si>
  <si>
    <t>Liza Destiny</t>
  </si>
  <si>
    <t>Liza Unity</t>
  </si>
  <si>
    <t>LKAB Mine in Kiruna</t>
  </si>
  <si>
    <t>LNG Lokoja</t>
  </si>
  <si>
    <t>LNG Tanker 2297</t>
  </si>
  <si>
    <t>Local market</t>
  </si>
  <si>
    <t>Local market KSU</t>
  </si>
  <si>
    <t>Local market ORK</t>
  </si>
  <si>
    <t>Logitel #2</t>
  </si>
  <si>
    <t>Logitel FAU#1</t>
  </si>
  <si>
    <t>Louisiana Yard Support</t>
  </si>
  <si>
    <t>M G Hulme</t>
  </si>
  <si>
    <t>M G Hulme jr</t>
  </si>
  <si>
    <t>M.V Stove Caledonia</t>
  </si>
  <si>
    <t>M/S Skandi Skansen</t>
  </si>
  <si>
    <t>Maersk Attender</t>
  </si>
  <si>
    <t>Maersk Completer</t>
  </si>
  <si>
    <t>Maersk Convincer</t>
  </si>
  <si>
    <t>Maersk Deliverer</t>
  </si>
  <si>
    <t>Maersk Discoverer</t>
  </si>
  <si>
    <t>Maersk Drilling-XL-1</t>
  </si>
  <si>
    <t>Maersk Galant</t>
  </si>
  <si>
    <t>Maersk Giant</t>
  </si>
  <si>
    <t>Maersk Guardian</t>
  </si>
  <si>
    <t>Maersk Implementer</t>
  </si>
  <si>
    <t>Maersk Innovator</t>
  </si>
  <si>
    <t>Maersk Inspirer</t>
  </si>
  <si>
    <t>Maersk Installer</t>
  </si>
  <si>
    <t>Maersk Integrator</t>
  </si>
  <si>
    <t>Maersk Intrepid</t>
  </si>
  <si>
    <t>Maersk Invincible</t>
  </si>
  <si>
    <t>Maersk Involver</t>
  </si>
  <si>
    <t>Maersk Venturer</t>
  </si>
  <si>
    <t>Maersk Viking</t>
  </si>
  <si>
    <t>Maersk Voyager</t>
  </si>
  <si>
    <t>Main Pass 1</t>
  </si>
  <si>
    <t>Main Pass 4</t>
  </si>
  <si>
    <t>Marianas</t>
  </si>
  <si>
    <t>Mariner</t>
  </si>
  <si>
    <t>Mariner Topside</t>
  </si>
  <si>
    <t>Mars 201</t>
  </si>
  <si>
    <t>Martin Linge Topside</t>
  </si>
  <si>
    <t>Martin Linge Topsides Project</t>
  </si>
  <si>
    <t>Materials</t>
  </si>
  <si>
    <t>Max Smith</t>
  </si>
  <si>
    <t>Menadrill I</t>
  </si>
  <si>
    <t>Menadrill II</t>
  </si>
  <si>
    <t>Mero 2</t>
  </si>
  <si>
    <t>Midsund Bruk</t>
  </si>
  <si>
    <t>Milaha Explorer</t>
  </si>
  <si>
    <t>MINERVA ELPIDA</t>
  </si>
  <si>
    <t>MIZTON Platform</t>
  </si>
  <si>
    <t>Mongstad</t>
  </si>
  <si>
    <t>Mongstad Base</t>
  </si>
  <si>
    <t>MPF-B</t>
  </si>
  <si>
    <t>MSS1 semi-submersible drilling rig</t>
  </si>
  <si>
    <t>MSS2</t>
  </si>
  <si>
    <t>MSV Regalia</t>
  </si>
  <si>
    <t>Mumbai High North Field</t>
  </si>
  <si>
    <t>Mumbai High South Field</t>
  </si>
  <si>
    <t>MV Dong Fang Kan Tan 1</t>
  </si>
  <si>
    <t>MV29 FPSO Cidade de Campos dos Goytacazes</t>
  </si>
  <si>
    <t>MV-30 Carioca</t>
  </si>
  <si>
    <t>MV-31 Guanabara</t>
  </si>
  <si>
    <t>MV-32 Almirante Barroso</t>
  </si>
  <si>
    <t>MV-33 Anita Garibaldi</t>
  </si>
  <si>
    <t>MV-34 Miamte</t>
  </si>
  <si>
    <t>Mykonos</t>
  </si>
  <si>
    <t>Mylos</t>
  </si>
  <si>
    <t>N/A</t>
  </si>
  <si>
    <t>NANHAI 9.MNG</t>
  </si>
  <si>
    <t>Nedre Otta kraftverk</t>
  </si>
  <si>
    <t>Neptun</t>
  </si>
  <si>
    <t>Neptune</t>
  </si>
  <si>
    <t>Newfoundland and Labrador Hydro</t>
  </si>
  <si>
    <t>N'Goma FPSO</t>
  </si>
  <si>
    <t>Ningaloo Vision FPSO</t>
  </si>
  <si>
    <t>Nitshore</t>
  </si>
  <si>
    <t>Njord A</t>
  </si>
  <si>
    <t>Njord B</t>
  </si>
  <si>
    <t>Noah FPSO</t>
  </si>
  <si>
    <t>Noble Bob Douglas</t>
  </si>
  <si>
    <t>Noble Bully II</t>
  </si>
  <si>
    <t>Noble Dave Beard</t>
  </si>
  <si>
    <t>Noble Don Taylor</t>
  </si>
  <si>
    <t>Noble Houston Colbert</t>
  </si>
  <si>
    <t>Noble Jim Day</t>
  </si>
  <si>
    <t>Noble Johnny Whitstine</t>
  </si>
  <si>
    <t>Noble Leo Segerius</t>
  </si>
  <si>
    <t>Noble Lloyd Noble</t>
  </si>
  <si>
    <t>Noble Max Smith</t>
  </si>
  <si>
    <t>Noble Phoenix</t>
  </si>
  <si>
    <t>Noble Regina Allen</t>
  </si>
  <si>
    <t>Noble Roger Eason</t>
  </si>
  <si>
    <t>Noble Tom Madden</t>
  </si>
  <si>
    <t>Noble Tom Prosser</t>
  </si>
  <si>
    <t>Norbe IX</t>
  </si>
  <si>
    <t>Norbe VI</t>
  </si>
  <si>
    <t>Norman Mermaid</t>
  </si>
  <si>
    <t>Normand Navigator</t>
  </si>
  <si>
    <t>Normand Pioneer</t>
  </si>
  <si>
    <t>Normand Vision</t>
  </si>
  <si>
    <t>Norne</t>
  </si>
  <si>
    <t>Norse Spirit</t>
  </si>
  <si>
    <t>North Cormorant</t>
  </si>
  <si>
    <t>North Dragon</t>
  </si>
  <si>
    <t>North Rankin A</t>
  </si>
  <si>
    <t>North Sea Giant</t>
  </si>
  <si>
    <t>Northern Lights</t>
  </si>
  <si>
    <t>NS Arpoador</t>
  </si>
  <si>
    <t>NS Camburi</t>
  </si>
  <si>
    <t>NTNU</t>
  </si>
  <si>
    <t>Nusantara Regas Satu</t>
  </si>
  <si>
    <t>Ocean Apex</t>
  </si>
  <si>
    <t>Ocean BlackHawk</t>
  </si>
  <si>
    <t>Ocean BlackHornet</t>
  </si>
  <si>
    <t>Ocean Challenger</t>
  </si>
  <si>
    <t>Ocean Endeavor</t>
  </si>
  <si>
    <t>Ocean Onix</t>
  </si>
  <si>
    <t>Ocean Rig Apollo</t>
  </si>
  <si>
    <t>Ocean Rig Athena</t>
  </si>
  <si>
    <t>Ocean Rig Corcovado</t>
  </si>
  <si>
    <t>Ocean Rig Mykonos</t>
  </si>
  <si>
    <t>Ocean Rig Olympia</t>
  </si>
  <si>
    <t>Ocean Rig Poseidon</t>
  </si>
  <si>
    <t>Ocean Rig Santorini</t>
  </si>
  <si>
    <t>Ocean Rig Skyros</t>
  </si>
  <si>
    <t>Ocean Rig Tiger TBN1</t>
  </si>
  <si>
    <t>Ocean Vanguard</t>
  </si>
  <si>
    <t>Oceaneering</t>
  </si>
  <si>
    <t>OCR Tiger TBN1</t>
  </si>
  <si>
    <t>Odfjell Metro II</t>
  </si>
  <si>
    <t>ODN I</t>
  </si>
  <si>
    <t>ODN II</t>
  </si>
  <si>
    <t>ODN Tay</t>
  </si>
  <si>
    <t>Oleg Strashnov/Stanislag Yudin</t>
  </si>
  <si>
    <t>Olinda Star</t>
  </si>
  <si>
    <t>Olympia</t>
  </si>
  <si>
    <t>Olympic Challenger</t>
  </si>
  <si>
    <t>Olympic Hercules</t>
  </si>
  <si>
    <t>Olympic Pegasus</t>
  </si>
  <si>
    <t>Onshore Rigs</t>
  </si>
  <si>
    <t>Onshore yard</t>
  </si>
  <si>
    <t>Onshore-Riverside House</t>
  </si>
  <si>
    <t>OOS Prometheus</t>
  </si>
  <si>
    <t>OOS Serooskerke</t>
  </si>
  <si>
    <t>OOS Tiger 1</t>
  </si>
  <si>
    <t>Opus Tiger 1</t>
  </si>
  <si>
    <t>Opus Tiger 2</t>
  </si>
  <si>
    <t>ORF Gas plant</t>
  </si>
  <si>
    <t>Orkanger Spoolbase OSB</t>
  </si>
  <si>
    <t>Ormen Lange</t>
  </si>
  <si>
    <t>Oseberg A</t>
  </si>
  <si>
    <t>Oseberg B</t>
  </si>
  <si>
    <t>Oseberg C</t>
  </si>
  <si>
    <t>Oseberg D</t>
  </si>
  <si>
    <t>Oseberg Feltsenter</t>
  </si>
  <si>
    <t>Oseberg H</t>
  </si>
  <si>
    <t>Oseberg Nord</t>
  </si>
  <si>
    <t>Oseberg Øst</t>
  </si>
  <si>
    <t>Oseberg Sør</t>
  </si>
  <si>
    <t>Oseberg Vest</t>
  </si>
  <si>
    <t>P-08</t>
  </si>
  <si>
    <t>P-63</t>
  </si>
  <si>
    <t>P-65</t>
  </si>
  <si>
    <t>P-67</t>
  </si>
  <si>
    <t>P-70</t>
  </si>
  <si>
    <t>P-71</t>
  </si>
  <si>
    <t>P-75</t>
  </si>
  <si>
    <t>P-77</t>
  </si>
  <si>
    <t>P-78</t>
  </si>
  <si>
    <t>Pacific Explorer</t>
  </si>
  <si>
    <t>Pacific Meltem</t>
  </si>
  <si>
    <t>Pacific Mistral</t>
  </si>
  <si>
    <t>Pacific Zonda</t>
  </si>
  <si>
    <t>Papa Terra/P-63</t>
  </si>
  <si>
    <t>Papaloapan</t>
  </si>
  <si>
    <t>Parameshwara</t>
  </si>
  <si>
    <t>Paul B Loyd Jr</t>
  </si>
  <si>
    <t>Paul Romano</t>
  </si>
  <si>
    <t>PCE-1 Plataforma de Enchova</t>
  </si>
  <si>
    <t>PDC #5 / PDC #6 / PDC #7</t>
  </si>
  <si>
    <t>PDC#7</t>
  </si>
  <si>
    <t>PDC8</t>
  </si>
  <si>
    <t>Peab Anlegg AS</t>
  </si>
  <si>
    <t>Peon</t>
  </si>
  <si>
    <t>Peregrino A</t>
  </si>
  <si>
    <t>Peregrino B</t>
  </si>
  <si>
    <t>Peregrino C</t>
  </si>
  <si>
    <t>Peregrino II</t>
  </si>
  <si>
    <t>Pertinacia</t>
  </si>
  <si>
    <t>Petroatlantic</t>
  </si>
  <si>
    <t>Petrobrás 10.000</t>
  </si>
  <si>
    <t>Petrobras 10K</t>
  </si>
  <si>
    <t>Petrojarl Banff</t>
  </si>
  <si>
    <t>Petrojarl Foinaven</t>
  </si>
  <si>
    <t>Petrojarl I</t>
  </si>
  <si>
    <t>Petrojarl Knarr</t>
  </si>
  <si>
    <t>Petrojarl Siri</t>
  </si>
  <si>
    <t>Petrojarl Varg</t>
  </si>
  <si>
    <t>Petronordic</t>
  </si>
  <si>
    <t>Petrosaudi Saturn</t>
  </si>
  <si>
    <t>PGN FSRU Lampung</t>
  </si>
  <si>
    <t>Piranema</t>
  </si>
  <si>
    <t>Piranema Spirit</t>
  </si>
  <si>
    <t>Platinum Explorer</t>
  </si>
  <si>
    <t>Pokoch &amp; Ichalkil</t>
  </si>
  <si>
    <t>Polar Onyx</t>
  </si>
  <si>
    <t>Polar Pioneer</t>
  </si>
  <si>
    <t>Polar Prince</t>
  </si>
  <si>
    <t>Polvo</t>
  </si>
  <si>
    <t>Polvo A</t>
  </si>
  <si>
    <t>POSH Arcadia</t>
  </si>
  <si>
    <t>POSH Viking</t>
  </si>
  <si>
    <t>POSH Virtue</t>
  </si>
  <si>
    <t>PPM-1 Plataforma de Pampo-1</t>
  </si>
  <si>
    <t>Quenguela</t>
  </si>
  <si>
    <t>Raggovidda vindkraftverk</t>
  </si>
  <si>
    <t>Ran</t>
  </si>
  <si>
    <t>Raquel Knutsen</t>
  </si>
  <si>
    <t>Real Alloy Norway A/S</t>
  </si>
  <si>
    <t>Recife Knutsen</t>
  </si>
  <si>
    <t>Reindeer Platform</t>
  </si>
  <si>
    <t>Reinertsen</t>
  </si>
  <si>
    <t>Rig 103</t>
  </si>
  <si>
    <t>Rig 104</t>
  </si>
  <si>
    <t>Rig 140</t>
  </si>
  <si>
    <t>Ringhorne</t>
  </si>
  <si>
    <t>Rio da Janeiro</t>
  </si>
  <si>
    <t>Rio das Ostras</t>
  </si>
  <si>
    <t>Ron Tapmayer</t>
  </si>
  <si>
    <t>Rosebank FPSO</t>
  </si>
  <si>
    <t>Rowan Viking</t>
  </si>
  <si>
    <t>Rubicon Intrepid</t>
  </si>
  <si>
    <t>Rubicon Vantage</t>
  </si>
  <si>
    <t>Sabratha</t>
  </si>
  <si>
    <t>Safe Bristolia</t>
  </si>
  <si>
    <t>Safe Concordia</t>
  </si>
  <si>
    <t>Safe Eurus</t>
  </si>
  <si>
    <t>Safe Scandinavia</t>
  </si>
  <si>
    <t>Safe Zephyrus</t>
  </si>
  <si>
    <t>Sagar Bhushan</t>
  </si>
  <si>
    <t>Sagar Gaurav</t>
  </si>
  <si>
    <t>Sagar Jyoti</t>
  </si>
  <si>
    <t>Sagar Kiran</t>
  </si>
  <si>
    <t>Sagar Ratna</t>
  </si>
  <si>
    <t>Sagar Shakti</t>
  </si>
  <si>
    <t>Sagar Uday</t>
  </si>
  <si>
    <t>Sagar Vijay</t>
  </si>
  <si>
    <t>Saipem 12 000</t>
  </si>
  <si>
    <t>Sam Hartley</t>
  </si>
  <si>
    <t>Sapphire Driller</t>
  </si>
  <si>
    <t>SAPURA 900</t>
  </si>
  <si>
    <t>SAPURA JAYA</t>
  </si>
  <si>
    <t>SBM MPF-A TBN1</t>
  </si>
  <si>
    <t>Scarabeo 5</t>
  </si>
  <si>
    <t>Scarabeo 8</t>
  </si>
  <si>
    <t>Scarabeo 9</t>
  </si>
  <si>
    <t>Scarborough FPU</t>
  </si>
  <si>
    <t>SD11</t>
  </si>
  <si>
    <t>SD12</t>
  </si>
  <si>
    <t>Sea Lions FPSO</t>
  </si>
  <si>
    <t>Sea Rose FPSO</t>
  </si>
  <si>
    <t>Seabed Constructor</t>
  </si>
  <si>
    <t>Seabed Worker</t>
  </si>
  <si>
    <t>Sealoader 1 (N697)</t>
  </si>
  <si>
    <t>Sealoader 2 (N706)</t>
  </si>
  <si>
    <t>Seaway Yudin</t>
  </si>
  <si>
    <t>Seaways 10</t>
  </si>
  <si>
    <t>Sedco 704</t>
  </si>
  <si>
    <t>Sedco 706</t>
  </si>
  <si>
    <t>Sedco 710</t>
  </si>
  <si>
    <t>Sedco 711</t>
  </si>
  <si>
    <t>Sedco 712</t>
  </si>
  <si>
    <t>Sedco Energy</t>
  </si>
  <si>
    <t>Sensorlink</t>
  </si>
  <si>
    <t>Sertão</t>
  </si>
  <si>
    <t>Sevan Brasil</t>
  </si>
  <si>
    <t>Sevan Driller</t>
  </si>
  <si>
    <t>Sevan Driller I</t>
  </si>
  <si>
    <t>Sevan Driller II</t>
  </si>
  <si>
    <t>Sevan Drilling Brasil</t>
  </si>
  <si>
    <t>Sevan IV</t>
  </si>
  <si>
    <t>Seven Arctic</t>
  </si>
  <si>
    <t>Seven Borealis</t>
  </si>
  <si>
    <t>Seven Mar</t>
  </si>
  <si>
    <t>Seven Oceans</t>
  </si>
  <si>
    <t>Seven Polaris</t>
  </si>
  <si>
    <t>Several</t>
  </si>
  <si>
    <t>SH1</t>
  </si>
  <si>
    <t>SH2</t>
  </si>
  <si>
    <t>Shah Deniz Alpha</t>
  </si>
  <si>
    <t>Shawcor</t>
  </si>
  <si>
    <t>Shawcor Orkanger</t>
  </si>
  <si>
    <t>Shell Nyhamna</t>
  </si>
  <si>
    <t>Shell Vito</t>
  </si>
  <si>
    <t>Siam Driller</t>
  </si>
  <si>
    <t>Siem Daya 1</t>
  </si>
  <si>
    <t>Sintef</t>
  </si>
  <si>
    <t>Skandi 7</t>
  </si>
  <si>
    <t>Skandi Arctic</t>
  </si>
  <si>
    <t>Skandi Peregrino</t>
  </si>
  <si>
    <t>Skandi Salvador</t>
  </si>
  <si>
    <t>Skandi Santos</t>
  </si>
  <si>
    <t>SKD Alliance</t>
  </si>
  <si>
    <t>SKD Esperanza</t>
  </si>
  <si>
    <t>Skuld</t>
  </si>
  <si>
    <t>Sleipner A</t>
  </si>
  <si>
    <t>Sleipner B</t>
  </si>
  <si>
    <t>Sleipner T</t>
  </si>
  <si>
    <t>Sleipnir</t>
  </si>
  <si>
    <t>Smøla</t>
  </si>
  <si>
    <t>Snorre A</t>
  </si>
  <si>
    <t>Snorre B</t>
  </si>
  <si>
    <t>SONANGOL LIBONGOS</t>
  </si>
  <si>
    <t>Songa Dee</t>
  </si>
  <si>
    <t>Songa Delta</t>
  </si>
  <si>
    <t>Songa Trym</t>
  </si>
  <si>
    <t>Sørkomp AS</t>
  </si>
  <si>
    <t>SS Amazonia</t>
  </si>
  <si>
    <t>SS Pantanal</t>
  </si>
  <si>
    <t>SSV Catarina</t>
  </si>
  <si>
    <t>SSV Louisiana</t>
  </si>
  <si>
    <t>SSV Lousiana</t>
  </si>
  <si>
    <t>SSV Victoria</t>
  </si>
  <si>
    <t>Standard Quote</t>
  </si>
  <si>
    <t>Stanislav Yudin</t>
  </si>
  <si>
    <t>Statfjord A</t>
  </si>
  <si>
    <t>Statfjord B</t>
  </si>
  <si>
    <t>Statfjord C</t>
  </si>
  <si>
    <t>Statoil Flemish Pass</t>
  </si>
  <si>
    <t>Statoil Stavanger</t>
  </si>
  <si>
    <t>Stena Don</t>
  </si>
  <si>
    <t>Stena DrillMAX</t>
  </si>
  <si>
    <t>Stena DrillMAX ICE</t>
  </si>
  <si>
    <t>Stena Forth</t>
  </si>
  <si>
    <t>Stena IceMAX</t>
  </si>
  <si>
    <t>Stena ICEMAX</t>
  </si>
  <si>
    <t>Stena MidMax</t>
  </si>
  <si>
    <t>Stena Saga</t>
  </si>
  <si>
    <t>Stena Spey</t>
  </si>
  <si>
    <t>Stryvo</t>
  </si>
  <si>
    <t>Sveiseteknisk ORK</t>
  </si>
  <si>
    <t>Swiber Barge Quetzal</t>
  </si>
  <si>
    <t>Swire Seabed Constructor</t>
  </si>
  <si>
    <t>SylWin Alpha</t>
  </si>
  <si>
    <t>T-10</t>
  </si>
  <si>
    <t>T25</t>
  </si>
  <si>
    <t>T28</t>
  </si>
  <si>
    <t>T30</t>
  </si>
  <si>
    <t>T31</t>
  </si>
  <si>
    <t>T34</t>
  </si>
  <si>
    <t>Tampico Shipyard</t>
  </si>
  <si>
    <t>TBN Oseberg</t>
  </si>
  <si>
    <t>Technip Deep Star (Estrela Do Mar)</t>
  </si>
  <si>
    <t>Technip-Fibron-Hoddesdon (Onshore)</t>
  </si>
  <si>
    <t>Teekay Foinaven</t>
  </si>
  <si>
    <t>Telford 28</t>
  </si>
  <si>
    <t>Telford 34</t>
  </si>
  <si>
    <t>Terra Nova</t>
  </si>
  <si>
    <t>Tiger 1</t>
  </si>
  <si>
    <t>Titanium Explorer</t>
  </si>
  <si>
    <t>Titanium Explorer TTX</t>
  </si>
  <si>
    <t>Tjeldbergodden</t>
  </si>
  <si>
    <t>TKPJ Knarr</t>
  </si>
  <si>
    <t>TO Arctic</t>
  </si>
  <si>
    <t>TO CR Luigs</t>
  </si>
  <si>
    <t>TO Leader</t>
  </si>
  <si>
    <t>TO Searcher</t>
  </si>
  <si>
    <t>TO Winner</t>
  </si>
  <si>
    <t>Toll Dampier</t>
  </si>
  <si>
    <t>Toll Forrestfield</t>
  </si>
  <si>
    <t>Tonala</t>
  </si>
  <si>
    <t>TOP Coral do Atlântico</t>
  </si>
  <si>
    <t>TOP Estrela do Mar</t>
  </si>
  <si>
    <t>Topaz Driller</t>
  </si>
  <si>
    <t>Tor 2/4-E</t>
  </si>
  <si>
    <t>Tordis Knutsen</t>
  </si>
  <si>
    <t>Transocean 712</t>
  </si>
  <si>
    <t>Transocean Ao Thai</t>
  </si>
  <si>
    <t>Transocean Barents</t>
  </si>
  <si>
    <t>Transocean Crete</t>
  </si>
  <si>
    <t>Transocean Deep Seas</t>
  </si>
  <si>
    <t>Transocean Driller</t>
  </si>
  <si>
    <t>Transocean Enabler</t>
  </si>
  <si>
    <t>Transocean Encourage</t>
  </si>
  <si>
    <t>Transocean Endurance</t>
  </si>
  <si>
    <t>Transocean EQUINOX</t>
  </si>
  <si>
    <t>Transocean Equinox Cat-D</t>
  </si>
  <si>
    <t>Transocean GSF Arctic III</t>
  </si>
  <si>
    <t>Transocean Invictus</t>
  </si>
  <si>
    <t>Transocean Luanda</t>
  </si>
  <si>
    <t>Transocean Norge</t>
  </si>
  <si>
    <t>Transocean Santorini</t>
  </si>
  <si>
    <t>Transocean Siam Driller</t>
  </si>
  <si>
    <t>Transocean Spitsbergen</t>
  </si>
  <si>
    <t>Trident 12</t>
  </si>
  <si>
    <t>Trident 2</t>
  </si>
  <si>
    <t>Troll A</t>
  </si>
  <si>
    <t>Troll B</t>
  </si>
  <si>
    <t>Troll C</t>
  </si>
  <si>
    <t>Trøndergård Skole</t>
  </si>
  <si>
    <t>Tungsten Explorer</t>
  </si>
  <si>
    <t>Turritella FPSO</t>
  </si>
  <si>
    <t>Ula</t>
  </si>
  <si>
    <t>Unspecified</t>
  </si>
  <si>
    <t>Urca</t>
  </si>
  <si>
    <t>Valaris 101</t>
  </si>
  <si>
    <t>Valaris 106</t>
  </si>
  <si>
    <t>Valaris 118</t>
  </si>
  <si>
    <t>Valaris 122</t>
  </si>
  <si>
    <t>Valaris 123</t>
  </si>
  <si>
    <t>Valaris 144</t>
  </si>
  <si>
    <t>Valaris 248</t>
  </si>
  <si>
    <t>Valaris 67</t>
  </si>
  <si>
    <t>Valaris 72</t>
  </si>
  <si>
    <t>Valaris DS-12</t>
  </si>
  <si>
    <t>Valaris Gorilla VI</t>
  </si>
  <si>
    <t>Valaris MS-1</t>
  </si>
  <si>
    <t>Valaris Norway</t>
  </si>
  <si>
    <t>Valaris Renaissance</t>
  </si>
  <si>
    <t>Valaris Stavanger</t>
  </si>
  <si>
    <t>Valaris Viking</t>
  </si>
  <si>
    <t>Valemon</t>
  </si>
  <si>
    <t>Valhall IP</t>
  </si>
  <si>
    <t>Valiant Driller</t>
  </si>
  <si>
    <t>Vantage 260</t>
  </si>
  <si>
    <t>Varanus Island Offshore</t>
  </si>
  <si>
    <t>Varanus Island Onshore</t>
  </si>
  <si>
    <t>Varg A</t>
  </si>
  <si>
    <t>Venus</t>
  </si>
  <si>
    <t>Veslefrikk</t>
  </si>
  <si>
    <t>Vestbase</t>
  </si>
  <si>
    <t>Victory Driller</t>
  </si>
  <si>
    <t>Vigdis Knutsen</t>
  </si>
  <si>
    <t>Vigor Kristiansund</t>
  </si>
  <si>
    <t>VIKING LIFE-SAVING EQUIPMENT</t>
  </si>
  <si>
    <t>Virtue I</t>
  </si>
  <si>
    <t>Visund</t>
  </si>
  <si>
    <t>Vivekanand 1</t>
  </si>
  <si>
    <t>Vivekanand 2</t>
  </si>
  <si>
    <t>Vivekanand 3</t>
  </si>
  <si>
    <t>Volstad Surveyor</t>
  </si>
  <si>
    <t>Voyager</t>
  </si>
  <si>
    <t>Voyageur</t>
  </si>
  <si>
    <t>Voyageur Spirit</t>
  </si>
  <si>
    <t>Wacker Chemicals, Holla</t>
  </si>
  <si>
    <t>WAPCo Facilities, Tema</t>
  </si>
  <si>
    <t>Well Safe Protector</t>
  </si>
  <si>
    <t>Well-Safe Protector</t>
  </si>
  <si>
    <t>West Alpha</t>
  </si>
  <si>
    <t>West Aquarius</t>
  </si>
  <si>
    <t>West Bollsta</t>
  </si>
  <si>
    <t>West Capella</t>
  </si>
  <si>
    <t>West Carina</t>
  </si>
  <si>
    <t>West Defender</t>
  </si>
  <si>
    <t>West Eclipse</t>
  </si>
  <si>
    <t>West Elara</t>
  </si>
  <si>
    <t>West Eminence</t>
  </si>
  <si>
    <t>West Epsilon</t>
  </si>
  <si>
    <t>West Gemini</t>
  </si>
  <si>
    <t>West Hercules</t>
  </si>
  <si>
    <t>West Intrepid</t>
  </si>
  <si>
    <t>West Leo</t>
  </si>
  <si>
    <t>West Libra</t>
  </si>
  <si>
    <t>West Linus</t>
  </si>
  <si>
    <t>West Mira</t>
  </si>
  <si>
    <t>West Mischief</t>
  </si>
  <si>
    <t>West Navigator</t>
  </si>
  <si>
    <t>West Orion</t>
  </si>
  <si>
    <t>West Pegasus</t>
  </si>
  <si>
    <t>West Phoenix</t>
  </si>
  <si>
    <t>West Polaris</t>
  </si>
  <si>
    <t>West Rigel</t>
  </si>
  <si>
    <t>West Saturn</t>
  </si>
  <si>
    <t>West Sirius</t>
  </si>
  <si>
    <t>West Taurus</t>
  </si>
  <si>
    <t>West Tellus</t>
  </si>
  <si>
    <t>West Titan</t>
  </si>
  <si>
    <t>West Titania</t>
  </si>
  <si>
    <t>WEST VELA</t>
  </si>
  <si>
    <t>West Vencedor</t>
  </si>
  <si>
    <t>West Venture</t>
  </si>
  <si>
    <t>West White Rose</t>
  </si>
  <si>
    <t>WilHunter</t>
  </si>
  <si>
    <t>WilPhoenix</t>
  </si>
  <si>
    <t>Windsor Knutsen</t>
  </si>
  <si>
    <t>Woodside Energy Ltd</t>
  </si>
  <si>
    <t>Yinson Genesis FPSO</t>
  </si>
  <si>
    <t>Yinson Helang</t>
  </si>
  <si>
    <t>Yme</t>
  </si>
  <si>
    <t>YUUM KAK NAAB</t>
  </si>
  <si>
    <t>ZIM Virginia</t>
  </si>
  <si>
    <t>SQL select dim_value, description, status from agldimvalue where client = 'AK' and attribute_id = '50' and status = 'N' order by description asc</t>
  </si>
  <si>
    <t>text dim_value</t>
  </si>
  <si>
    <t>service description</t>
  </si>
  <si>
    <t>3rd party verification - crane</t>
  </si>
  <si>
    <t>433</t>
  </si>
  <si>
    <t>3rd party verification - lifting job</t>
  </si>
  <si>
    <t>303</t>
  </si>
  <si>
    <t>Advisory Services</t>
  </si>
  <si>
    <t>001</t>
  </si>
  <si>
    <t>Advisory Services - Inspection Services</t>
  </si>
  <si>
    <t>005</t>
  </si>
  <si>
    <t>Advisory Services - Lifting- and Drilling Equipment Certification</t>
  </si>
  <si>
    <t>003</t>
  </si>
  <si>
    <t>Advisory Services - Maintenance Management</t>
  </si>
  <si>
    <t>004</t>
  </si>
  <si>
    <t>AIM (Advanced Inspection Methods)</t>
  </si>
  <si>
    <t>022</t>
  </si>
  <si>
    <t>AIMS</t>
  </si>
  <si>
    <t>180</t>
  </si>
  <si>
    <t>AUT</t>
  </si>
  <si>
    <t>505</t>
  </si>
  <si>
    <t>BOP inspection</t>
  </si>
  <si>
    <t>138</t>
  </si>
  <si>
    <t>Calibration (Instrument Calibration)</t>
  </si>
  <si>
    <t>550</t>
  </si>
  <si>
    <t>Certification of lifting appliances and lifting gear</t>
  </si>
  <si>
    <t>124</t>
  </si>
  <si>
    <t>Class project</t>
  </si>
  <si>
    <t>110</t>
  </si>
  <si>
    <t>Consultancy</t>
  </si>
  <si>
    <t>034</t>
  </si>
  <si>
    <t>Consultancy work on hire</t>
  </si>
  <si>
    <t>002</t>
  </si>
  <si>
    <t>Crane (Crane maintenance, modification and replacement)</t>
  </si>
  <si>
    <t>016</t>
  </si>
  <si>
    <t>Crane maintenance</t>
  </si>
  <si>
    <t>430</t>
  </si>
  <si>
    <t>Crane upgrade</t>
  </si>
  <si>
    <t>410</t>
  </si>
  <si>
    <t>Design</t>
  </si>
  <si>
    <t>203</t>
  </si>
  <si>
    <t>Design verification work</t>
  </si>
  <si>
    <t>220</t>
  </si>
  <si>
    <t>DO NOT USE. Use 014</t>
  </si>
  <si>
    <t>024</t>
  </si>
  <si>
    <t>DREQ (Drilling equipment integrity management)</t>
  </si>
  <si>
    <t>011</t>
  </si>
  <si>
    <t>Drilling Equipment (Fixed) Inspection</t>
  </si>
  <si>
    <t>127</t>
  </si>
  <si>
    <t>Drilling Equipment (Loose) Inspection</t>
  </si>
  <si>
    <t>129</t>
  </si>
  <si>
    <t>Drilling equipment fixed and loose inspection</t>
  </si>
  <si>
    <t>133</t>
  </si>
  <si>
    <t>DROPS (DROPS management system)</t>
  </si>
  <si>
    <t>012</t>
  </si>
  <si>
    <t>DROPS/Derrick Inspection</t>
  </si>
  <si>
    <t>131</t>
  </si>
  <si>
    <t>Dynamic Positioning</t>
  </si>
  <si>
    <t>031</t>
  </si>
  <si>
    <t>420</t>
  </si>
  <si>
    <t>Electro( Electro inspection, modifications and installation)</t>
  </si>
  <si>
    <t>013</t>
  </si>
  <si>
    <t>ES - Caisson</t>
  </si>
  <si>
    <t>053</t>
  </si>
  <si>
    <t>ES - Complex Lifting – Consultancy</t>
  </si>
  <si>
    <t>059</t>
  </si>
  <si>
    <t>ES - Complex lifting – Engineering and Execution</t>
  </si>
  <si>
    <t>060</t>
  </si>
  <si>
    <t>ES - Crane</t>
  </si>
  <si>
    <t>055</t>
  </si>
  <si>
    <t>ES - Design Verification</t>
  </si>
  <si>
    <t>058</t>
  </si>
  <si>
    <t>ES - Field Supervisor</t>
  </si>
  <si>
    <t>062</t>
  </si>
  <si>
    <t>ES - Flare tip</t>
  </si>
  <si>
    <t>052</t>
  </si>
  <si>
    <t>ES - MHP</t>
  </si>
  <si>
    <t>057</t>
  </si>
  <si>
    <t>ES - Non-complex lifting and mechanical work</t>
  </si>
  <si>
    <t>063</t>
  </si>
  <si>
    <t>ES - Product deliveries and Modifications</t>
  </si>
  <si>
    <t>061</t>
  </si>
  <si>
    <t>ES - Rig audit surveys</t>
  </si>
  <si>
    <t>066</t>
  </si>
  <si>
    <t>ES - Riser Pull-inn</t>
  </si>
  <si>
    <t>056</t>
  </si>
  <si>
    <t>ES - Swivel</t>
  </si>
  <si>
    <t>054</t>
  </si>
  <si>
    <t>ES - Thruster</t>
  </si>
  <si>
    <t>051</t>
  </si>
  <si>
    <t>ES Renewables - Complex material handling and mechanical work</t>
  </si>
  <si>
    <t>064</t>
  </si>
  <si>
    <t>ES Renewables - Non-complex material handling and mechanical work</t>
  </si>
  <si>
    <t>065</t>
  </si>
  <si>
    <t>Ex Control</t>
  </si>
  <si>
    <t>421</t>
  </si>
  <si>
    <t>Feasibility study</t>
  </si>
  <si>
    <t>050</t>
  </si>
  <si>
    <t>In-Service Inspection</t>
  </si>
  <si>
    <t>069</t>
  </si>
  <si>
    <t>0</t>
  </si>
  <si>
    <t>LEC (Lifting Equipment Certification)</t>
  </si>
  <si>
    <t>010</t>
  </si>
  <si>
    <t>Life time extension cranes and drilling</t>
  </si>
  <si>
    <t>260</t>
  </si>
  <si>
    <t>Lifesaving Equipment Inspection</t>
  </si>
  <si>
    <t>126</t>
  </si>
  <si>
    <t>Maintenance (other) lifting appliances</t>
  </si>
  <si>
    <t>442</t>
  </si>
  <si>
    <t>Maintenance Management Studies / Concept work</t>
  </si>
  <si>
    <t>170</t>
  </si>
  <si>
    <t>033</t>
  </si>
  <si>
    <t>Marine Engineering Solutions</t>
  </si>
  <si>
    <t>035</t>
  </si>
  <si>
    <t>Marine Warranty Services</t>
  </si>
  <si>
    <t>032</t>
  </si>
  <si>
    <t>Material handling work</t>
  </si>
  <si>
    <t>240</t>
  </si>
  <si>
    <t>Mechanical Engineering</t>
  </si>
  <si>
    <t>026</t>
  </si>
  <si>
    <t>MH (Material Handling, solutions studies and plans)</t>
  </si>
  <si>
    <t>014</t>
  </si>
  <si>
    <t>Miscellaneous Inspection</t>
  </si>
  <si>
    <t>161</t>
  </si>
  <si>
    <t>MM (Maintenance Management)</t>
  </si>
  <si>
    <t>009</t>
  </si>
  <si>
    <t>068</t>
  </si>
  <si>
    <t>NDT - Advanced Methods</t>
  </si>
  <si>
    <t>166</t>
  </si>
  <si>
    <t>NDT - Conventional Methods</t>
  </si>
  <si>
    <t>165</t>
  </si>
  <si>
    <t>NR-10 - Periodic Survey</t>
  </si>
  <si>
    <t>520</t>
  </si>
  <si>
    <t>NR-10 - Program Baseline</t>
  </si>
  <si>
    <t>510</t>
  </si>
  <si>
    <t>NR10 (Safety on electrical system)</t>
  </si>
  <si>
    <t>018</t>
  </si>
  <si>
    <t>NR-13 - Periodic Survey</t>
  </si>
  <si>
    <t>540</t>
  </si>
  <si>
    <t>NR-13 - Program Baseline</t>
  </si>
  <si>
    <t>530</t>
  </si>
  <si>
    <t>NR13 (Safety on boilers and pressure vessel)</t>
  </si>
  <si>
    <t>019</t>
  </si>
  <si>
    <t>QC (Quality control)</t>
  </si>
  <si>
    <t>017</t>
  </si>
  <si>
    <t>RAT work</t>
  </si>
  <si>
    <t>330</t>
  </si>
  <si>
    <t>RBI (Risked Based Inspection)</t>
  </si>
  <si>
    <t>008</t>
  </si>
  <si>
    <t>RBI Program establishment</t>
  </si>
  <si>
    <t>135</t>
  </si>
  <si>
    <t>RBI Program execution</t>
  </si>
  <si>
    <t>136</t>
  </si>
  <si>
    <t>Safe Lifting (Safe lifting operations)</t>
  </si>
  <si>
    <t>015</t>
  </si>
  <si>
    <t>Safe lifting operations</t>
  </si>
  <si>
    <t>320</t>
  </si>
  <si>
    <t>Sea fastening</t>
  </si>
  <si>
    <t>027</t>
  </si>
  <si>
    <t>SIM (Structural integrity management)</t>
  </si>
  <si>
    <t>007</t>
  </si>
  <si>
    <t>Structral Engineering</t>
  </si>
  <si>
    <t>028</t>
  </si>
  <si>
    <t>Structural analysis</t>
  </si>
  <si>
    <t>230</t>
  </si>
  <si>
    <t>Structural Integrity - Inspection</t>
  </si>
  <si>
    <t>045</t>
  </si>
  <si>
    <t>Training Services</t>
  </si>
  <si>
    <t>040</t>
  </si>
  <si>
    <t>TRIM - Complete delivery</t>
  </si>
  <si>
    <t>120</t>
  </si>
  <si>
    <t>Upgrade (other) lifting appliances</t>
  </si>
  <si>
    <t>441</t>
  </si>
  <si>
    <t>UWILD (Underwater Inspection(s) in lieu of Dry-Drocking)</t>
  </si>
  <si>
    <t>067</t>
  </si>
  <si>
    <t>605</t>
  </si>
  <si>
    <t>Vibration services</t>
  </si>
  <si>
    <t>186</t>
  </si>
  <si>
    <t>SQL select dim_value, description, status from agldimvalue where client = 'AK' and attribute_id = 'Z2' and status = 'N' order by dim_value asc</t>
  </si>
  <si>
    <t>forecast desc</t>
  </si>
  <si>
    <t>SQL select a.dim_value, a.description, a.status, b.rel_value from agldimvalue a left outer join aglrelvalue b on b.client = 'AK' and b.attribute_id = 'Z0' and b.rel_attr_id = 'Z3' and b.att_value = a.dim_value where a.client = 'AK' and a.attribute_id = 'A3' and a.status = 'N' and a.dim_value in (select client from axess_agr_clientlist_wo) order by a.dim_value asc</t>
  </si>
  <si>
    <t>rel_value</t>
  </si>
  <si>
    <t>forecast description</t>
  </si>
  <si>
    <t>Axess Baffin Inc</t>
  </si>
  <si>
    <t>AB</t>
  </si>
  <si>
    <t>AMERICA</t>
  </si>
  <si>
    <t>Axess Services</t>
  </si>
  <si>
    <t>AC</t>
  </si>
  <si>
    <t>EUROPE</t>
  </si>
  <si>
    <t>Axess Offshore Africa</t>
  </si>
  <si>
    <t>AF</t>
  </si>
  <si>
    <t>AFRICA</t>
  </si>
  <si>
    <t>Axess Petrorig Ghana Limited</t>
  </si>
  <si>
    <t>AG</t>
  </si>
  <si>
    <t>Alpa</t>
  </si>
  <si>
    <t>AL</t>
  </si>
  <si>
    <t>Axbit</t>
  </si>
  <si>
    <t>AT</t>
  </si>
  <si>
    <t>Axess Offshore Australia Pty Ltd</t>
  </si>
  <si>
    <t>AU</t>
  </si>
  <si>
    <t>APAC</t>
  </si>
  <si>
    <t>Axess AS</t>
  </si>
  <si>
    <t>AX</t>
  </si>
  <si>
    <t>Axess do Brazil</t>
  </si>
  <si>
    <t>Axess Dubai</t>
  </si>
  <si>
    <t>DU</t>
  </si>
  <si>
    <t>Axess North America Inc</t>
  </si>
  <si>
    <t>Axess AIM India</t>
  </si>
  <si>
    <t>IN</t>
  </si>
  <si>
    <t>Axess de Mexico</t>
  </si>
  <si>
    <t>MX</t>
  </si>
  <si>
    <t>Axpeak</t>
  </si>
  <si>
    <t>PE</t>
  </si>
  <si>
    <t>Axess Offshore PTE</t>
  </si>
  <si>
    <t>S1</t>
  </si>
  <si>
    <t>Axess Offshore Services</t>
  </si>
  <si>
    <t>S2</t>
  </si>
  <si>
    <t>Axess Offshore Pte Ltd Korea Branch</t>
  </si>
  <si>
    <t>S3</t>
  </si>
  <si>
    <t>Axess Offshore Pte Ltd India Branch</t>
  </si>
  <si>
    <t>S4</t>
  </si>
  <si>
    <t>Tind inspection AS</t>
  </si>
  <si>
    <t>TI</t>
  </si>
  <si>
    <t>Axess North Sea LTD</t>
  </si>
  <si>
    <t>Cat</t>
  </si>
  <si>
    <t>Account Description</t>
  </si>
  <si>
    <t>Counterpart required</t>
  </si>
  <si>
    <t>Turnover</t>
  </si>
  <si>
    <t>Turnover external</t>
  </si>
  <si>
    <t>Turnover-E</t>
  </si>
  <si>
    <t>Turnover internal</t>
  </si>
  <si>
    <t>G</t>
  </si>
  <si>
    <t>COGS</t>
  </si>
  <si>
    <t>Other cost</t>
  </si>
  <si>
    <t>Other operating expenses</t>
  </si>
  <si>
    <t>Account desc</t>
  </si>
  <si>
    <t>Forecast desc</t>
  </si>
  <si>
    <t>Headcust desc</t>
  </si>
  <si>
    <t>Counterpart desc</t>
  </si>
  <si>
    <t>Region</t>
  </si>
  <si>
    <t>Service desc</t>
  </si>
  <si>
    <t>P202006</t>
  </si>
  <si>
    <t>Annual Lifting</t>
  </si>
  <si>
    <t>Ad-Hoc - General NDT</t>
  </si>
  <si>
    <t>Ad-Hoc - Crane 5 years</t>
  </si>
  <si>
    <t>Out of the Blue</t>
  </si>
  <si>
    <t>Williams</t>
  </si>
  <si>
    <t>Murphy</t>
  </si>
  <si>
    <t>SUM</t>
  </si>
  <si>
    <t xml:space="preserve">COGS </t>
  </si>
  <si>
    <t xml:space="preserve">Payroll </t>
  </si>
  <si>
    <t xml:space="preserve">Depreciation </t>
  </si>
  <si>
    <t xml:space="preserve">Other operating expenses </t>
  </si>
  <si>
    <t>Derrick</t>
  </si>
  <si>
    <t>Resocketing</t>
  </si>
  <si>
    <t>BD - Noble Drilling</t>
  </si>
  <si>
    <t>BD - Williams - Galveston A244</t>
  </si>
  <si>
    <t>BD - Williams - Life extension - Devil`s tower</t>
  </si>
  <si>
    <t>BD - Place holder.</t>
  </si>
  <si>
    <t>BD - Caisson</t>
  </si>
  <si>
    <t>Shell - Vito</t>
  </si>
  <si>
    <t>BD - Husky - Kiewit shipyard</t>
  </si>
  <si>
    <t>BD - Valaris - PRV</t>
  </si>
  <si>
    <t>FORECAST</t>
  </si>
  <si>
    <t>Workorder</t>
  </si>
  <si>
    <t>Revenue Category</t>
  </si>
  <si>
    <t>Monthly revenue</t>
  </si>
  <si>
    <t>-</t>
  </si>
  <si>
    <t>Seatrax cranes commissioning</t>
  </si>
  <si>
    <t>618038-1</t>
  </si>
  <si>
    <t>Q5000 - NDT on Canyon Offshore ROV Deployment System</t>
  </si>
  <si>
    <t>Quote</t>
  </si>
  <si>
    <t>Q-HO-14653</t>
  </si>
  <si>
    <t>-01</t>
  </si>
  <si>
    <t>Annual survey</t>
  </si>
  <si>
    <t>PSV calibration</t>
  </si>
  <si>
    <t>201903-01</t>
  </si>
  <si>
    <t>618038-01</t>
  </si>
  <si>
    <t>Mizton</t>
  </si>
  <si>
    <t>201902-01</t>
  </si>
  <si>
    <t>201902-02</t>
  </si>
  <si>
    <t>201902-03</t>
  </si>
  <si>
    <t>201902-04</t>
  </si>
  <si>
    <t>201905-03</t>
  </si>
  <si>
    <t>201902-07</t>
  </si>
  <si>
    <t>619051-01</t>
  </si>
  <si>
    <t>Yard stay</t>
  </si>
  <si>
    <t>201914-02</t>
  </si>
  <si>
    <t>202011-03</t>
  </si>
  <si>
    <t>201912-03</t>
  </si>
  <si>
    <t>201903-05</t>
  </si>
  <si>
    <t>201903-02</t>
  </si>
  <si>
    <t>201903-03</t>
  </si>
  <si>
    <t>201903-04</t>
  </si>
  <si>
    <t>201903-07</t>
  </si>
  <si>
    <t>201904-03</t>
  </si>
  <si>
    <t>201904-05</t>
  </si>
  <si>
    <t>Pressure lube</t>
  </si>
  <si>
    <t>201905-01</t>
  </si>
  <si>
    <t>Elevator - Fixed price</t>
  </si>
  <si>
    <t>201909-07</t>
  </si>
  <si>
    <t>202009-05</t>
  </si>
  <si>
    <t xml:space="preserve">Deepwater Pontus </t>
  </si>
  <si>
    <t xml:space="preserve">Transocean </t>
  </si>
  <si>
    <t>HP/LP - Fixed price</t>
  </si>
  <si>
    <t>201905-04</t>
  </si>
  <si>
    <t>202009-02</t>
  </si>
  <si>
    <t>202009-03</t>
  </si>
  <si>
    <t>619039-05</t>
  </si>
  <si>
    <t>FPSO Ngomma</t>
  </si>
  <si>
    <t>Safe lifting plann</t>
  </si>
  <si>
    <t>201912-11</t>
  </si>
  <si>
    <t>Not Performed</t>
  </si>
  <si>
    <t>Crane wire rope resoqueting</t>
  </si>
  <si>
    <t>Q-HO-15892</t>
  </si>
  <si>
    <t>201905-05</t>
  </si>
  <si>
    <t>201905-07</t>
  </si>
  <si>
    <t>201905-11</t>
  </si>
  <si>
    <t>Ad-hoc - Pre and post load test</t>
  </si>
  <si>
    <t>201909-01</t>
  </si>
  <si>
    <t>201909-02</t>
  </si>
  <si>
    <t>201909-03</t>
  </si>
  <si>
    <t>201909-04</t>
  </si>
  <si>
    <t xml:space="preserve">HP1 - Annual Lifting Gear Inspection </t>
  </si>
  <si>
    <t>Q-HO-16065</t>
  </si>
  <si>
    <t>201909-05</t>
  </si>
  <si>
    <t>201909-06</t>
  </si>
  <si>
    <t>201815-11</t>
  </si>
  <si>
    <t>201902-05</t>
  </si>
  <si>
    <t>201902-11</t>
  </si>
  <si>
    <t>201903-12</t>
  </si>
  <si>
    <t>201905-02</t>
  </si>
  <si>
    <t>201910-01</t>
  </si>
  <si>
    <t>201910-03</t>
  </si>
  <si>
    <t>201910-04</t>
  </si>
  <si>
    <t>201910-07</t>
  </si>
  <si>
    <t>201911-01</t>
  </si>
  <si>
    <t>201911-02</t>
  </si>
  <si>
    <t>202011-11</t>
  </si>
  <si>
    <t>201911-04</t>
  </si>
  <si>
    <t>201910-05</t>
  </si>
  <si>
    <t>201911-07</t>
  </si>
  <si>
    <t>201910-11</t>
  </si>
  <si>
    <t>201911-11</t>
  </si>
  <si>
    <t>Ad-Hoc Moonpool load test</t>
  </si>
  <si>
    <t>201912-01</t>
  </si>
  <si>
    <t>201912-02</t>
  </si>
  <si>
    <t>201912-04</t>
  </si>
  <si>
    <t>201912-05</t>
  </si>
  <si>
    <t>201912-07</t>
  </si>
  <si>
    <t>201911-05</t>
  </si>
  <si>
    <t>Ad-Hoc - TDS</t>
  </si>
  <si>
    <t>201914-01</t>
  </si>
  <si>
    <t>201914-03</t>
  </si>
  <si>
    <t>201914-04</t>
  </si>
  <si>
    <t>201914-07</t>
  </si>
  <si>
    <t>201914-11</t>
  </si>
  <si>
    <t>PAUT</t>
  </si>
  <si>
    <t>201944-12</t>
  </si>
  <si>
    <t>Ad-Hoc - DROPS Closing</t>
  </si>
  <si>
    <t>201945-12</t>
  </si>
  <si>
    <t>619029-05</t>
  </si>
  <si>
    <t>Rig Intergrity Managerment</t>
  </si>
  <si>
    <t>Q-HO-15233</t>
  </si>
  <si>
    <t>Gauge Calibration - Q-HO-14796</t>
  </si>
  <si>
    <t>Q-HO-14796</t>
  </si>
  <si>
    <t>Reactivation - Piping</t>
  </si>
  <si>
    <t>Inertia Heel</t>
  </si>
  <si>
    <t>Q-HO-15255</t>
  </si>
  <si>
    <t>201914-05</t>
  </si>
  <si>
    <t>Reactivation - CCE</t>
  </si>
  <si>
    <t>DROPS - closing of findings</t>
  </si>
  <si>
    <t>Calibration</t>
  </si>
  <si>
    <t>Q-HO-15120</t>
  </si>
  <si>
    <t>EoW</t>
  </si>
  <si>
    <t>Q-HO-15093</t>
  </si>
  <si>
    <t>DTH Ad-hoc Riser Bolts PAUT</t>
  </si>
  <si>
    <t>Q-HO-15853</t>
  </si>
  <si>
    <t>Q-HO-14523</t>
  </si>
  <si>
    <t>Crane wire ropes visual inspection</t>
  </si>
  <si>
    <t>LEC - MSF certification</t>
  </si>
  <si>
    <t>Telford 25</t>
  </si>
  <si>
    <t>Telford</t>
  </si>
  <si>
    <t>DP annual trials</t>
  </si>
  <si>
    <t>Surf</t>
  </si>
  <si>
    <t>General scopes</t>
  </si>
  <si>
    <t>Q-HO-15469</t>
  </si>
  <si>
    <t>DROPS Sweep</t>
  </si>
  <si>
    <t>OceanRig Corcovado</t>
  </si>
  <si>
    <t>OceanRig Mykonos</t>
  </si>
  <si>
    <t>Safe lifting</t>
  </si>
  <si>
    <t>201814-12</t>
  </si>
  <si>
    <t>201805-11</t>
  </si>
  <si>
    <t>201802-12</t>
  </si>
  <si>
    <t>201911-06</t>
  </si>
  <si>
    <t>201905-06</t>
  </si>
  <si>
    <t>201910-06</t>
  </si>
  <si>
    <t>202014-07</t>
  </si>
  <si>
    <t>201912-06</t>
  </si>
  <si>
    <t>NDT - Fixed price - Q3</t>
  </si>
  <si>
    <t>202014-11</t>
  </si>
  <si>
    <t>202015-03</t>
  </si>
  <si>
    <t>Stand-By Miami</t>
  </si>
  <si>
    <t>Performed</t>
  </si>
  <si>
    <t>202003-11</t>
  </si>
  <si>
    <t xml:space="preserve">Ad-hoc - NDT inspection </t>
  </si>
  <si>
    <t>SS Victoria</t>
  </si>
  <si>
    <t>Ventura</t>
  </si>
  <si>
    <t>Trial</t>
  </si>
  <si>
    <t>Stena</t>
  </si>
  <si>
    <t>Seadrill - West Intrepid - Annual DROPS and 4G Cat III Inspection Survey</t>
  </si>
  <si>
    <t>Q-HO-16051</t>
  </si>
  <si>
    <t>Seadrill - West Intrepid - Man-Rider Inspection</t>
  </si>
  <si>
    <t>Q-HO-16052</t>
  </si>
  <si>
    <t>Flaretip replacement</t>
  </si>
  <si>
    <t>202003-04</t>
  </si>
  <si>
    <t>202015-04</t>
  </si>
  <si>
    <t>RWNDT 3rd Q</t>
  </si>
  <si>
    <t>RWNDT 4th Q</t>
  </si>
  <si>
    <t>202009-01</t>
  </si>
  <si>
    <t>CCE - Fixed price</t>
  </si>
  <si>
    <t>EX - Fixed price</t>
  </si>
  <si>
    <t>NDT - Fixed price - Q2</t>
  </si>
  <si>
    <t>2020 shipyard</t>
  </si>
  <si>
    <t>Virginia Wind Clable Pulling</t>
  </si>
  <si>
    <t xml:space="preserve">Out of the blue </t>
  </si>
  <si>
    <t>DROPS - Fixed price</t>
  </si>
  <si>
    <t>202002-02</t>
  </si>
  <si>
    <t>202003-03</t>
  </si>
  <si>
    <t>LLG - Fixed price</t>
  </si>
  <si>
    <t>Cilynder - Hydraulic cath pan</t>
  </si>
  <si>
    <t>DTH AD-HOC Removal of  ventilation diffuser screens</t>
  </si>
  <si>
    <t>Q-HO-17194</t>
  </si>
  <si>
    <t>DTH AD-HOC Removal of  ventilation diffuser removal</t>
  </si>
  <si>
    <t>Q-HO-17191</t>
  </si>
  <si>
    <t>Ensco 102</t>
  </si>
  <si>
    <t>Valaris 102 - Crane Condition Evaluation</t>
  </si>
  <si>
    <t>Q-HO-17084</t>
  </si>
  <si>
    <t>Valaris 102 - Crane cable inspection and pressure lubrication</t>
  </si>
  <si>
    <t>Q-HO-17083</t>
  </si>
  <si>
    <t>RWNDT Q3</t>
  </si>
  <si>
    <t>Deadweight survey</t>
  </si>
  <si>
    <t>Lifting Gear</t>
  </si>
  <si>
    <t>RWNDT Q1</t>
  </si>
  <si>
    <t>202015-02</t>
  </si>
  <si>
    <t>DD3 - DROPS</t>
  </si>
  <si>
    <t>Mooring Trials</t>
  </si>
  <si>
    <t>KBC - SPS NDT</t>
  </si>
  <si>
    <t>Q-HO-16944</t>
  </si>
  <si>
    <t>Artemis Odyssey</t>
  </si>
  <si>
    <t>OVID</t>
  </si>
  <si>
    <t>BOP - Ram block inspection</t>
  </si>
  <si>
    <t>Carolina</t>
  </si>
  <si>
    <t>202002-06</t>
  </si>
  <si>
    <t>618038-02</t>
  </si>
  <si>
    <t>COMMSA Rigging Services Hook Up MIZTON - Phase II</t>
  </si>
  <si>
    <t>Q-HO-17691</t>
  </si>
  <si>
    <t>Lars inspection</t>
  </si>
  <si>
    <t>Q-HO-17741</t>
  </si>
  <si>
    <t>Ad-hoc - SPS</t>
  </si>
  <si>
    <t xml:space="preserve">Pipeline </t>
  </si>
  <si>
    <t>Blackhornet</t>
  </si>
  <si>
    <t>DP / FMEA</t>
  </si>
  <si>
    <t xml:space="preserve">MWS/Marine </t>
  </si>
  <si>
    <t>202010-04</t>
  </si>
  <si>
    <t>NDT - Fixed price - Q4</t>
  </si>
  <si>
    <t>202002-04</t>
  </si>
  <si>
    <t>202012-04</t>
  </si>
  <si>
    <t>DD3 - LGI</t>
  </si>
  <si>
    <t>202010-01</t>
  </si>
  <si>
    <t>202002-01</t>
  </si>
  <si>
    <t xml:space="preserve">Helix </t>
  </si>
  <si>
    <t>Annual inspections</t>
  </si>
  <si>
    <t>202002-07</t>
  </si>
  <si>
    <t>Vibration Analysis</t>
  </si>
  <si>
    <t>Q-HO-17283</t>
  </si>
  <si>
    <t>E-DROPS Implementation</t>
  </si>
  <si>
    <t>202012-05</t>
  </si>
  <si>
    <t>202002-05</t>
  </si>
  <si>
    <t>202010-02</t>
  </si>
  <si>
    <t>202010-06</t>
  </si>
  <si>
    <t>202005-07</t>
  </si>
  <si>
    <t>202011-05</t>
  </si>
  <si>
    <t>202010-03</t>
  </si>
  <si>
    <t>Ad-hoc Crane</t>
  </si>
  <si>
    <t>202011-06</t>
  </si>
  <si>
    <t>Closing of Findings</t>
  </si>
  <si>
    <t>202012-01</t>
  </si>
  <si>
    <t>202005-04</t>
  </si>
  <si>
    <t>LGI</t>
  </si>
  <si>
    <t>202005-01</t>
  </si>
  <si>
    <t>202005-02</t>
  </si>
  <si>
    <t>ni</t>
  </si>
  <si>
    <t>HSSEQC</t>
  </si>
  <si>
    <t>Sharepoint updated</t>
  </si>
  <si>
    <t>Agresso Status</t>
  </si>
  <si>
    <t>Billing Status</t>
  </si>
  <si>
    <t>Pending BM / Invoice Value</t>
  </si>
  <si>
    <t xml:space="preserve">Responsible/ Project Manager </t>
  </si>
  <si>
    <t>Client PM</t>
  </si>
  <si>
    <t>PERIOD</t>
  </si>
  <si>
    <t>Forecasted Revenue</t>
  </si>
  <si>
    <t>commencement date</t>
  </si>
  <si>
    <t>Project Close Date</t>
  </si>
  <si>
    <t xml:space="preserve">Recent Updates </t>
  </si>
  <si>
    <t>Invoice Number</t>
  </si>
  <si>
    <t>Personnel Files &amp; Competency Check</t>
  </si>
  <si>
    <t>Revised PO received &amp; Submitted to portal</t>
  </si>
  <si>
    <t>Reports uploaded</t>
  </si>
  <si>
    <t>Start-Up Meeting Registered</t>
  </si>
  <si>
    <t>Close-up Meeting Registered</t>
  </si>
  <si>
    <t>Updated Sharepoint</t>
  </si>
  <si>
    <t>Client Evaluation Onshore - Registered</t>
  </si>
  <si>
    <t>HSE Plan</t>
  </si>
  <si>
    <t>Rope Access Registered</t>
  </si>
  <si>
    <t xml:space="preserve">Timesheets </t>
  </si>
  <si>
    <t xml:space="preserve">Client eval </t>
  </si>
  <si>
    <t xml:space="preserve">Man days </t>
  </si>
  <si>
    <t>Parked or Active</t>
  </si>
  <si>
    <t>Current Status</t>
  </si>
  <si>
    <t>Comments/actions</t>
  </si>
  <si>
    <t>281001-07</t>
  </si>
  <si>
    <t>281001-08</t>
  </si>
  <si>
    <t>281001-09</t>
  </si>
  <si>
    <t>282000-01</t>
  </si>
  <si>
    <t>P2553718</t>
  </si>
  <si>
    <t>Emergency Maintenance of Accommodation Elevator</t>
  </si>
  <si>
    <t>Kevin Foo</t>
  </si>
  <si>
    <t xml:space="preserve">Unity </t>
  </si>
  <si>
    <t xml:space="preserve">SBM </t>
  </si>
  <si>
    <t>Rodrigo Ignacio</t>
  </si>
  <si>
    <t>2024.12</t>
  </si>
  <si>
    <t>Invoiced</t>
  </si>
  <si>
    <t>AX401500002</t>
  </si>
  <si>
    <t>SUBMITTED</t>
  </si>
  <si>
    <t>BLANK FORM SEEN</t>
  </si>
  <si>
    <t>282000-02</t>
  </si>
  <si>
    <t>P2587636</t>
  </si>
  <si>
    <t>Prosperity Colour Coding Campaign</t>
  </si>
  <si>
    <t>Prosperity</t>
  </si>
  <si>
    <t>2024,12,23</t>
  </si>
  <si>
    <t>2025,02,19</t>
  </si>
  <si>
    <t>AX401500004</t>
  </si>
  <si>
    <t>282000-03</t>
  </si>
  <si>
    <t>P2638464</t>
  </si>
  <si>
    <t>Destiny- SWOBL Rigging Equipment</t>
  </si>
  <si>
    <t xml:space="preserve">Destiny </t>
  </si>
  <si>
    <t>Diego Silva</t>
  </si>
  <si>
    <t>2025.01</t>
  </si>
  <si>
    <t>AX401500007</t>
  </si>
  <si>
    <t>282000-04</t>
  </si>
  <si>
    <t>P2677158</t>
  </si>
  <si>
    <t>Maintenance &amp; Recertification of Elevator</t>
  </si>
  <si>
    <t xml:space="preserve">Sahrira Roberts </t>
  </si>
  <si>
    <t>AX401500006</t>
  </si>
  <si>
    <t>282000-05</t>
  </si>
  <si>
    <t>P2741524</t>
  </si>
  <si>
    <t>Prosperity - Pipe Support Campaign</t>
  </si>
  <si>
    <t xml:space="preserve">Erick Pena </t>
  </si>
  <si>
    <t>PTY</t>
  </si>
  <si>
    <t>Erik Lee</t>
  </si>
  <si>
    <t>282000-06</t>
  </si>
  <si>
    <t>PTY - Pipe support campaign - Logistics</t>
  </si>
  <si>
    <t>282000-07</t>
  </si>
  <si>
    <t>P2846715</t>
  </si>
  <si>
    <t>207729.56</t>
  </si>
  <si>
    <t>Unity - Pipe Support Campaign</t>
  </si>
  <si>
    <t>UTY</t>
  </si>
  <si>
    <t>Akema Bailey</t>
  </si>
  <si>
    <t>282000-08</t>
  </si>
  <si>
    <t>P2765546</t>
  </si>
  <si>
    <t>Unity - Flare Tip Inspection</t>
  </si>
  <si>
    <t>Maria Mortagua</t>
  </si>
  <si>
    <t>282000-09</t>
  </si>
  <si>
    <t>P2770252</t>
  </si>
  <si>
    <t>Destiny - Flare Tip Inspection</t>
  </si>
  <si>
    <t>DTY</t>
  </si>
  <si>
    <t xml:space="preserve">Kevin to take ownership of the project 
Mob date 5th june 
Erick coming with the drone spare parts and maybe 1 drone </t>
  </si>
  <si>
    <t>282000-10</t>
  </si>
  <si>
    <t>P06067033000375</t>
  </si>
  <si>
    <t>Lifting Lug (Padeyes) Inspections for ICCP RCA Investigation</t>
  </si>
  <si>
    <t>Gabriela Poncinelli</t>
  </si>
  <si>
    <t>2025.02</t>
  </si>
  <si>
    <t>BM sent on 2025.03.11</t>
  </si>
  <si>
    <t>282000-11</t>
  </si>
  <si>
    <t>P2838486</t>
  </si>
  <si>
    <t>NDT Examination of hooks for the FWD and AFT Crane</t>
  </si>
  <si>
    <t>AX401500013</t>
  </si>
  <si>
    <t>282000-12</t>
  </si>
  <si>
    <t>P2816842</t>
  </si>
  <si>
    <t>PAUT Inspection</t>
  </si>
  <si>
    <t>2025.03</t>
  </si>
  <si>
    <t>AX401500014</t>
  </si>
  <si>
    <t>282000-13</t>
  </si>
  <si>
    <t>P2773736</t>
  </si>
  <si>
    <t>Onshore Inspections</t>
  </si>
  <si>
    <t>YTY</t>
  </si>
  <si>
    <t>282000-14</t>
  </si>
  <si>
    <t>P2788130</t>
  </si>
  <si>
    <t>282000-15</t>
  </si>
  <si>
    <t>P2788085</t>
  </si>
  <si>
    <t>282000-16</t>
  </si>
  <si>
    <t>P2890108</t>
  </si>
  <si>
    <t>Semi Annual LGI Inspection - Jun</t>
  </si>
  <si>
    <t>Prepare and embark rope access kit (3 person)</t>
  </si>
  <si>
    <t>282000-17</t>
  </si>
  <si>
    <t>Semi Annual LGI Inspection - Dec</t>
  </si>
  <si>
    <t>282000-18</t>
  </si>
  <si>
    <t>P2924206</t>
  </si>
  <si>
    <t xml:space="preserve">DA tower </t>
  </si>
  <si>
    <t>Viviana Quijano</t>
  </si>
  <si>
    <t>282000-19</t>
  </si>
  <si>
    <t>282000-20</t>
  </si>
  <si>
    <t xml:space="preserve">June rigging loft </t>
  </si>
  <si>
    <t xml:space="preserve">DNY </t>
  </si>
  <si>
    <t>282000-21</t>
  </si>
  <si>
    <t xml:space="preserve">Dec lifting gear campaign </t>
  </si>
  <si>
    <t>282000-22</t>
  </si>
  <si>
    <t>P2876157</t>
  </si>
  <si>
    <t xml:space="preserve">Annual Maintenance &amp; Certification of Accommodation Elevator </t>
  </si>
  <si>
    <t>Bibi Rameshwar</t>
  </si>
  <si>
    <t>282000-23</t>
  </si>
  <si>
    <t>060,67043,000116</t>
  </si>
  <si>
    <t xml:space="preserve">Crane boom craddle blocks replacement </t>
  </si>
  <si>
    <t>Daniel Macedo</t>
  </si>
  <si>
    <t>282000-24</t>
  </si>
  <si>
    <t>P2992285</t>
  </si>
  <si>
    <t>Recertification of Helifuel Tanks</t>
  </si>
  <si>
    <t xml:space="preserve">Michael Cockfield </t>
  </si>
  <si>
    <t>282000-25</t>
  </si>
  <si>
    <t>P2937564</t>
  </si>
  <si>
    <t>Lifting Gear Inspection - June (Semi Annual)</t>
  </si>
  <si>
    <t>282000-26</t>
  </si>
  <si>
    <t>Lifting Gear Inspection - Dec (Semi Annual)</t>
  </si>
  <si>
    <t>282000-27</t>
  </si>
  <si>
    <t>P3013717</t>
  </si>
  <si>
    <t>Spreader Bar Refurbishment</t>
  </si>
  <si>
    <t>282000-28</t>
  </si>
  <si>
    <t>P2937557</t>
  </si>
  <si>
    <t xml:space="preserve">June lifting gear campaign </t>
  </si>
  <si>
    <t>UNY</t>
  </si>
  <si>
    <t>282000-29</t>
  </si>
  <si>
    <t>P2960932</t>
  </si>
  <si>
    <t>SWLP C Inspection</t>
  </si>
  <si>
    <t>282000-30</t>
  </si>
  <si>
    <t>060.67033.000391</t>
  </si>
  <si>
    <t>Rigger &amp; Fitter for ICCP System RCA Inspection Offshore</t>
  </si>
  <si>
    <t>Indera Lall</t>
  </si>
  <si>
    <t>282000-31</t>
  </si>
  <si>
    <t>P3191246</t>
  </si>
  <si>
    <t xml:space="preserve">Follow up on the order, engage freight forwarder 
Schedule advace payment - erick </t>
  </si>
  <si>
    <t>282000-32</t>
  </si>
  <si>
    <t>P3068363</t>
  </si>
  <si>
    <t>Procurement of 40ft Steel Beams, and facilitation of Hardness Test on the beams</t>
  </si>
  <si>
    <t>282000-33</t>
  </si>
  <si>
    <t xml:space="preserve">ISO Tanks inspection </t>
  </si>
  <si>
    <t>Create the WO in agresso, reclass expenses and generate invoice on the new WO</t>
  </si>
  <si>
    <t>282000-34</t>
  </si>
  <si>
    <t>A2501645</t>
  </si>
  <si>
    <t>DROPS campaign</t>
  </si>
  <si>
    <t xml:space="preserve">Create the WO in agresso
Place PO </t>
  </si>
  <si>
    <t>282000-35</t>
  </si>
  <si>
    <t>eDROPS License</t>
  </si>
  <si>
    <t xml:space="preserve">Create the WO in agresso
Prepare and send quote 20,05,25
Place PO after service confirmation </t>
  </si>
  <si>
    <t>282000-36</t>
  </si>
  <si>
    <t>NDT &amp; Offshore Inspection</t>
  </si>
  <si>
    <t>282000-37</t>
  </si>
  <si>
    <t>P3164004</t>
  </si>
  <si>
    <t>Recertification of Rigging Loft</t>
  </si>
  <si>
    <t>Amanda Warner</t>
  </si>
  <si>
    <t>282000-38</t>
  </si>
  <si>
    <t>P3191038</t>
  </si>
  <si>
    <t>UTY - Recertification of Rigging Loft</t>
  </si>
  <si>
    <t>Chandrapaul Persaud</t>
  </si>
  <si>
    <t>282000-39</t>
  </si>
  <si>
    <t>060.6743.000130</t>
  </si>
  <si>
    <t>282000-40</t>
  </si>
  <si>
    <t>P3191872</t>
  </si>
  <si>
    <t>Corrective Maintenance of Accommodation  Elevator</t>
  </si>
  <si>
    <t>282000-41</t>
  </si>
  <si>
    <t>060.17075.000129</t>
  </si>
  <si>
    <t>Lifting Gear Inspection and Colour Coding Campaign - June</t>
  </si>
  <si>
    <t>ONE</t>
  </si>
  <si>
    <t>Oksana Boer</t>
  </si>
  <si>
    <t>282000-42</t>
  </si>
  <si>
    <t>Yellow Tail FPSO - One Guyana - Lifting Gear Inspection and Colour Coding Campaign (Dec) - December</t>
  </si>
  <si>
    <t>282000-43</t>
  </si>
  <si>
    <t>Drone Hull Inspection Survey</t>
  </si>
  <si>
    <t>282000-44</t>
  </si>
  <si>
    <t>Thermal insulation campaign</t>
  </si>
  <si>
    <t>282000-45</t>
  </si>
  <si>
    <t>Pipe suports - Manpower</t>
  </si>
  <si>
    <t>282000-46</t>
  </si>
  <si>
    <t xml:space="preserve">Pipe supports - Equipment </t>
  </si>
  <si>
    <t>282000-47</t>
  </si>
  <si>
    <t xml:space="preserve">Shutdown lost equipment </t>
  </si>
  <si>
    <t>282000-48</t>
  </si>
  <si>
    <t xml:space="preserve">eDrops Baseline </t>
  </si>
  <si>
    <t>282000-49</t>
  </si>
  <si>
    <t xml:space="preserve">Insulation campaing </t>
  </si>
  <si>
    <t>ONY</t>
  </si>
  <si>
    <t>282000-50</t>
  </si>
  <si>
    <t xml:space="preserve">Supply of threated lumber </t>
  </si>
  <si>
    <t>282001-01</t>
  </si>
  <si>
    <t>614-0171-24</t>
  </si>
  <si>
    <t>Solstad Offshore ASA - Normand Samson -  6 Monthly - Crane Condition Evaluation &amp; Certification</t>
  </si>
  <si>
    <t>Saipem Normand Samson</t>
  </si>
  <si>
    <t>Solstad Offshore ASA</t>
  </si>
  <si>
    <t>Daniel Samson</t>
  </si>
  <si>
    <t>2024,07,18</t>
  </si>
  <si>
    <t>Awaiting PO, Performa invoice sent on 2024,08,07</t>
  </si>
  <si>
    <t>AXI401500000</t>
  </si>
  <si>
    <t>NO T/S SEEN</t>
  </si>
  <si>
    <t>NO FORM SEEN</t>
  </si>
  <si>
    <t>282002-01</t>
  </si>
  <si>
    <t>Inspection and Certification of 10 ISO tanks</t>
  </si>
  <si>
    <t>Onshore</t>
  </si>
  <si>
    <t>Champion X</t>
  </si>
  <si>
    <t>Oral Greene</t>
  </si>
  <si>
    <t xml:space="preserve">Completed last week, reports to be generated, QA/QC and delivered </t>
  </si>
  <si>
    <t>Logged</t>
  </si>
  <si>
    <t>YES</t>
  </si>
  <si>
    <t>619078-82</t>
  </si>
  <si>
    <t>P2101273</t>
  </si>
  <si>
    <t xml:space="preserve">Chain mooring system maintenance support </t>
  </si>
  <si>
    <t>Paul Powney</t>
  </si>
  <si>
    <t xml:space="preserve">Tentative mob date 1st week october </t>
  </si>
  <si>
    <t>619078-61</t>
  </si>
  <si>
    <t>P1838422</t>
  </si>
  <si>
    <t xml:space="preserve">Davits, inspection, preventive maintenance and recertification </t>
  </si>
  <si>
    <t>Destiny</t>
  </si>
  <si>
    <t>Rod Sam</t>
  </si>
  <si>
    <t xml:space="preserve">Mob date to be confirmed </t>
  </si>
  <si>
    <t>None seen</t>
  </si>
  <si>
    <t>N/A-Rental of Load cell</t>
  </si>
  <si>
    <t>619110-04</t>
  </si>
  <si>
    <t xml:space="preserve">Not provided </t>
  </si>
  <si>
    <t xml:space="preserve">Pipe support installation - bottlenecking scopes </t>
  </si>
  <si>
    <t xml:space="preserve">Balam Prema/Rebut Morgan </t>
  </si>
  <si>
    <t>31,05,2024</t>
  </si>
  <si>
    <t xml:space="preserve">PO to be generated since this scope was initially communicated to be billed under shutdown PO. Last communication received from Sofia Cristovao is that PO has to be issued by bottlenecking team. </t>
  </si>
  <si>
    <t>619110-01</t>
  </si>
  <si>
    <t>P1817422</t>
  </si>
  <si>
    <t xml:space="preserve">Shutdown campaign </t>
  </si>
  <si>
    <t>Thales Paravidino</t>
  </si>
  <si>
    <t>TIMESHEETS IN FOLDER</t>
  </si>
  <si>
    <t>YES-LOGGED</t>
  </si>
  <si>
    <t>619110-02</t>
  </si>
  <si>
    <t>P19455414</t>
  </si>
  <si>
    <t>281010-01</t>
  </si>
  <si>
    <t>P2068222</t>
  </si>
  <si>
    <t>Flare Tip Inspection</t>
  </si>
  <si>
    <t>281010-02</t>
  </si>
  <si>
    <t xml:space="preserve">060.67043.000112 </t>
  </si>
  <si>
    <t>Maintenance of Topside davits</t>
  </si>
  <si>
    <t>Danniel Macedo</t>
  </si>
  <si>
    <t>281010-03</t>
  </si>
  <si>
    <t>060.67043.000111</t>
  </si>
  <si>
    <t>Davit Spares</t>
  </si>
  <si>
    <t>281010-04</t>
  </si>
  <si>
    <t>P3010406</t>
  </si>
  <si>
    <t>79510.61</t>
  </si>
  <si>
    <t xml:space="preserve">Baseline crane inspection </t>
  </si>
  <si>
    <t>281010-05</t>
  </si>
  <si>
    <t>P2710641</t>
  </si>
  <si>
    <t>Service of AMS 3T Crane</t>
  </si>
  <si>
    <t>281010-06</t>
  </si>
  <si>
    <t>P3063867</t>
  </si>
  <si>
    <t>Crane wire rope replacement</t>
  </si>
  <si>
    <t>281010-07</t>
  </si>
  <si>
    <t>P3165856</t>
  </si>
  <si>
    <t xml:space="preserve">Topside davit maintenance </t>
  </si>
  <si>
    <t>281010-08</t>
  </si>
  <si>
    <t>P3011104</t>
  </si>
  <si>
    <t>281010-09</t>
  </si>
  <si>
    <t>P3190938</t>
  </si>
  <si>
    <t>Hakeem Hamer</t>
  </si>
  <si>
    <t>281010-10</t>
  </si>
  <si>
    <t>619078-75</t>
  </si>
  <si>
    <t xml:space="preserve">Remazel scope </t>
  </si>
  <si>
    <t>Ben Rogers</t>
  </si>
  <si>
    <t>Ad-Hoc - Crane Maintenance</t>
  </si>
  <si>
    <t>Personnel Elevator</t>
  </si>
  <si>
    <t xml:space="preserve"> </t>
  </si>
  <si>
    <t>Solsatad</t>
  </si>
  <si>
    <t xml:space="preserve">Fabric Maintenance </t>
  </si>
  <si>
    <t>Cahill Tanner</t>
  </si>
  <si>
    <t>John</t>
  </si>
  <si>
    <t>2023.03.01</t>
  </si>
  <si>
    <t> </t>
  </si>
  <si>
    <t>ACTIVE</t>
  </si>
  <si>
    <t>619078-25</t>
  </si>
  <si>
    <t>171,00668,000702</t>
  </si>
  <si>
    <t>DROPS - Corrective Actions - Close Out - High Risk</t>
  </si>
  <si>
    <t>Mahi / Cahill</t>
  </si>
  <si>
    <t>Sara Lima</t>
  </si>
  <si>
    <t>2023,12,18</t>
  </si>
  <si>
    <t>2024,01,14</t>
  </si>
  <si>
    <t>AX401600015</t>
  </si>
  <si>
    <t>2024,01,17</t>
  </si>
  <si>
    <t>YES-SUBMITTED</t>
  </si>
  <si>
    <t>Parked</t>
  </si>
  <si>
    <t>619078-39</t>
  </si>
  <si>
    <t>060.17052.000059</t>
  </si>
  <si>
    <t>Maintainecane on RPS and TCP</t>
  </si>
  <si>
    <t xml:space="preserve">Mahi </t>
  </si>
  <si>
    <t>Unity</t>
  </si>
  <si>
    <t>Nathalie</t>
  </si>
  <si>
    <t>2024,01,22</t>
  </si>
  <si>
    <t>2024,01,31</t>
  </si>
  <si>
    <t>AX401600026</t>
  </si>
  <si>
    <t>2024,03,13</t>
  </si>
  <si>
    <t>619078-43</t>
  </si>
  <si>
    <t>171.00619.000052</t>
  </si>
  <si>
    <t xml:space="preserve">FPSO Prosperity - LGI </t>
  </si>
  <si>
    <t>2023,12,22</t>
  </si>
  <si>
    <t>2024,01,08</t>
  </si>
  <si>
    <t>AX401600021</t>
  </si>
  <si>
    <t>2024,02,16</t>
  </si>
  <si>
    <t>YES-PREPARED</t>
  </si>
  <si>
    <t>619078-45</t>
  </si>
  <si>
    <t>P1641630</t>
  </si>
  <si>
    <t>Annual Inspection and Certification of Elevator</t>
  </si>
  <si>
    <t>2024,01,04</t>
  </si>
  <si>
    <t>2024,05,29</t>
  </si>
  <si>
    <t>2024,01,15</t>
  </si>
  <si>
    <t>AX401600025</t>
  </si>
  <si>
    <t xml:space="preserve">Elevator Scope - Preventative Maintenance </t>
  </si>
  <si>
    <t>2024,04,25</t>
  </si>
  <si>
    <t>2024.04.25</t>
  </si>
  <si>
    <t>2024.05.29</t>
  </si>
  <si>
    <t xml:space="preserve">AX401600046 </t>
  </si>
  <si>
    <t>2024.06.25</t>
  </si>
  <si>
    <t>619078-46</t>
  </si>
  <si>
    <t>060.17043.002630</t>
  </si>
  <si>
    <t>NDT / MPI / UT &amp; PT</t>
  </si>
  <si>
    <t>2024,03,11</t>
  </si>
  <si>
    <t>AX401600023</t>
  </si>
  <si>
    <t>619078-47</t>
  </si>
  <si>
    <t>P1570426</t>
  </si>
  <si>
    <t>Refurbishment and painting of Crane Hook</t>
  </si>
  <si>
    <t xml:space="preserve">Kennard </t>
  </si>
  <si>
    <t>2024,01,05</t>
  </si>
  <si>
    <t>2024,01,19</t>
  </si>
  <si>
    <t>AX401600022</t>
  </si>
  <si>
    <t>N/A - Outsourced job-refurbish Crane Hoo</t>
  </si>
  <si>
    <t>0-Outsourced Job-refurbished Crane Hook</t>
  </si>
  <si>
    <t>619078-48</t>
  </si>
  <si>
    <t>P1644582</t>
  </si>
  <si>
    <t xml:space="preserve">LGI Scope </t>
  </si>
  <si>
    <t>2024,03,04</t>
  </si>
  <si>
    <t>2024,02,04</t>
  </si>
  <si>
    <t>AX401600024</t>
  </si>
  <si>
    <t>Frog Inspection</t>
  </si>
  <si>
    <t>2024,04,03</t>
  </si>
  <si>
    <t>2024.04,04</t>
  </si>
  <si>
    <t>AX401600043</t>
  </si>
  <si>
    <t>2024.06.14</t>
  </si>
  <si>
    <t>619078-49</t>
  </si>
  <si>
    <t>P1608756</t>
  </si>
  <si>
    <t>Unity - RPS Crane Certification</t>
  </si>
  <si>
    <t>2024,02,02</t>
  </si>
  <si>
    <t>2024.01,15</t>
  </si>
  <si>
    <t>2024,01,21</t>
  </si>
  <si>
    <t>AX401600027</t>
  </si>
  <si>
    <t>Diquan Lewis &amp; Rod Sam</t>
  </si>
  <si>
    <t>2024.02.20</t>
  </si>
  <si>
    <t>2024.03.08</t>
  </si>
  <si>
    <t>AX401600074</t>
  </si>
  <si>
    <t>619078-50</t>
  </si>
  <si>
    <t>060.17043.002630 Rev 02</t>
  </si>
  <si>
    <t xml:space="preserve">Procurement of Lifting Sling </t>
  </si>
  <si>
    <t>2024,03,26</t>
  </si>
  <si>
    <t>AX401600033</t>
  </si>
  <si>
    <t>NO - procurement scope</t>
  </si>
  <si>
    <t>N/A Procurement project-No manpower</t>
  </si>
  <si>
    <t>0-Procurement of Lifting Sling</t>
  </si>
  <si>
    <t>619078-51</t>
  </si>
  <si>
    <t>P1699543</t>
  </si>
  <si>
    <t>NDT and Dismantling of Davits</t>
  </si>
  <si>
    <t>2024,02,22</t>
  </si>
  <si>
    <t>2024,03,14</t>
  </si>
  <si>
    <t>AX401600034 / AX401400218</t>
  </si>
  <si>
    <t>2024,04,29</t>
  </si>
  <si>
    <t>619078-52</t>
  </si>
  <si>
    <t>170.17052.000076</t>
  </si>
  <si>
    <t>RPS Pull Testing</t>
  </si>
  <si>
    <t>Destiny/Unity</t>
  </si>
  <si>
    <t>2024.05.18</t>
  </si>
  <si>
    <t xml:space="preserve">Invoiced </t>
  </si>
  <si>
    <t>2024,05,18</t>
  </si>
  <si>
    <t>AX401600072</t>
  </si>
  <si>
    <t>NO-ONGOING</t>
  </si>
  <si>
    <t>AX401600073</t>
  </si>
  <si>
    <t>619078-53</t>
  </si>
  <si>
    <t>P1759050</t>
  </si>
  <si>
    <t>LGI - Onshore Scope</t>
  </si>
  <si>
    <t>H. Nelly</t>
  </si>
  <si>
    <t>2024,03,08</t>
  </si>
  <si>
    <t>Ongoing, Invoiced</t>
  </si>
  <si>
    <t>AX401600076</t>
  </si>
  <si>
    <t>5,438+2,847</t>
  </si>
  <si>
    <t>619078-54</t>
  </si>
  <si>
    <t>P1951921</t>
  </si>
  <si>
    <t>2024,05,17</t>
  </si>
  <si>
    <t>AX401600097</t>
  </si>
  <si>
    <t>619078-55</t>
  </si>
  <si>
    <t>P1735073</t>
  </si>
  <si>
    <t>Unity - RPS &amp; TCP Crane Maintenance</t>
  </si>
  <si>
    <t>2024,05,06</t>
  </si>
  <si>
    <t>Invoiced. Increased PO received from SBM</t>
  </si>
  <si>
    <t>AX401600054</t>
  </si>
  <si>
    <t>619078-56</t>
  </si>
  <si>
    <t>P1771671</t>
  </si>
  <si>
    <t>LGI - Onshore</t>
  </si>
  <si>
    <t>2024,04,30</t>
  </si>
  <si>
    <t>AX401600098</t>
  </si>
  <si>
    <t>619078-57</t>
  </si>
  <si>
    <t>P1797134</t>
  </si>
  <si>
    <t xml:space="preserve">LGI/Load test on 4 Padeyes </t>
  </si>
  <si>
    <t>Invoiced. PO value increased.</t>
  </si>
  <si>
    <t>2024.03.21</t>
  </si>
  <si>
    <t>2024.03.25</t>
  </si>
  <si>
    <t>AX401600044</t>
  </si>
  <si>
    <t>619078-58</t>
  </si>
  <si>
    <t>P1756446</t>
  </si>
  <si>
    <t>2024.04.14</t>
  </si>
  <si>
    <t>2024.04.22</t>
  </si>
  <si>
    <t>AX401600037</t>
  </si>
  <si>
    <t>619078-59</t>
  </si>
  <si>
    <t>060.67033.000208</t>
  </si>
  <si>
    <t xml:space="preserve">LGI - Onshore Scope - Unity (Keval &amp; Gavin) </t>
  </si>
  <si>
    <t>Keval Getram</t>
  </si>
  <si>
    <t>2024,04,15</t>
  </si>
  <si>
    <t>Invoiced. PO value correct.</t>
  </si>
  <si>
    <t>2024.04.11</t>
  </si>
  <si>
    <t>AX401600041</t>
  </si>
  <si>
    <t>2024,06,07</t>
  </si>
  <si>
    <t>619078-60</t>
  </si>
  <si>
    <t>060.17052.000080</t>
  </si>
  <si>
    <t>LGI Chet.G - SBM Warehouse</t>
  </si>
  <si>
    <t>Chet.G</t>
  </si>
  <si>
    <t>Invoiced on 2024.11.21</t>
  </si>
  <si>
    <t>2024.04.08</t>
  </si>
  <si>
    <t>2024.04.30</t>
  </si>
  <si>
    <t>AX401600087</t>
  </si>
  <si>
    <t>P1838422 / 2543115</t>
  </si>
  <si>
    <t>Rental of Load Cell March 09 - April 04, 2024. Official Scope to be discussed with client.</t>
  </si>
  <si>
    <t>09,03,2024</t>
  </si>
  <si>
    <t>04,04,2024</t>
  </si>
  <si>
    <t>Invoiced. PO value adequate.</t>
  </si>
  <si>
    <t>2024.03.09</t>
  </si>
  <si>
    <t>2024.04.04</t>
  </si>
  <si>
    <t>AX401600049</t>
  </si>
  <si>
    <t>NO-Rental of Load Cell</t>
  </si>
  <si>
    <t>619078-62</t>
  </si>
  <si>
    <t>P1791239</t>
  </si>
  <si>
    <t xml:space="preserve">E-DROPS Baseline and DROPS Survey </t>
  </si>
  <si>
    <t>03.06.2024</t>
  </si>
  <si>
    <t>2024,10,01</t>
  </si>
  <si>
    <t xml:space="preserve">Schedule to commence september </t>
  </si>
  <si>
    <t>2024,06,03</t>
  </si>
  <si>
    <t>NO</t>
  </si>
  <si>
    <t>619078-63</t>
  </si>
  <si>
    <t>060.17043.002751 REV 00</t>
  </si>
  <si>
    <t xml:space="preserve">Maintenance of Top Side Davits </t>
  </si>
  <si>
    <t xml:space="preserve">Sandro Ceasor </t>
  </si>
  <si>
    <t>2024.06.07</t>
  </si>
  <si>
    <t>First Invoice sent. PO value to be increased for the second invoice. BM to be sent on 2024,09,04. Email sent on 2024,10,10</t>
  </si>
  <si>
    <t>AX401600048 &amp; AX401600081</t>
  </si>
  <si>
    <t>Maintenance of Top Side Davits - Dye-Pen. Test on Life Boat</t>
  </si>
  <si>
    <t>2024.05.16</t>
  </si>
  <si>
    <t>AX401600048</t>
  </si>
  <si>
    <t>619078-64</t>
  </si>
  <si>
    <t>170.17132.000044 REV 00</t>
  </si>
  <si>
    <t>Provision of cameras, operators and raw 
videos</t>
  </si>
  <si>
    <t>2024.05.11</t>
  </si>
  <si>
    <t>2024.05.15</t>
  </si>
  <si>
    <t>AX401600077</t>
  </si>
  <si>
    <t>LGI - lose lifting equipment (Akema Bailey)</t>
  </si>
  <si>
    <t>2024.06.04</t>
  </si>
  <si>
    <t>2026.06.04</t>
  </si>
  <si>
    <t>619078-65</t>
  </si>
  <si>
    <t>P1951160</t>
  </si>
  <si>
    <t xml:space="preserve">Unity - Procurement of Rigging and Lifting Equipment </t>
  </si>
  <si>
    <t>2024,05,20</t>
  </si>
  <si>
    <t>Invoiced. PO value increased. Last BM sent on 2025.01.07</t>
  </si>
  <si>
    <t xml:space="preserve">AX401600038 &amp; AX401600080 </t>
  </si>
  <si>
    <t>N/A-Procurement</t>
  </si>
  <si>
    <t>619078-66</t>
  </si>
  <si>
    <t>P1926149</t>
  </si>
  <si>
    <t>2024.06.13</t>
  </si>
  <si>
    <t xml:space="preserve">Ongoing - Invoiced 2024.07.31. PO value adequate </t>
  </si>
  <si>
    <t>2026.06.13</t>
  </si>
  <si>
    <t>AX401600051</t>
  </si>
  <si>
    <t>45,465.73</t>
  </si>
  <si>
    <t>Clean 2 Tanks</t>
  </si>
  <si>
    <t>Invoiced 2024.07.31. &amp; 2025,02,27</t>
  </si>
  <si>
    <t>AX401600052 &amp; AX401600055 &amp; AX401600120</t>
  </si>
  <si>
    <t>619078-67</t>
  </si>
  <si>
    <t>P2029413</t>
  </si>
  <si>
    <t xml:space="preserve">Crane Condition Evaluation &amp; Load Test of 
Main Deck Cranes </t>
  </si>
  <si>
    <t>2024.06.17</t>
  </si>
  <si>
    <t>Invoice Issued. PO value increased.</t>
  </si>
  <si>
    <t>AX401600050</t>
  </si>
  <si>
    <t>619078-68</t>
  </si>
  <si>
    <t>P2013130</t>
  </si>
  <si>
    <t xml:space="preserve">Procurement of rigging and lifting equipment
and recertification of rigging and lifting equipment, along with rigging loft
</t>
  </si>
  <si>
    <t>2024,06,06</t>
  </si>
  <si>
    <t>AX401600047 AX401600101</t>
  </si>
  <si>
    <t>619078-69</t>
  </si>
  <si>
    <t>P2015743</t>
  </si>
  <si>
    <t xml:space="preserve">Inspect, colour code and recertification of 
rigging and lifting equipment.
</t>
  </si>
  <si>
    <t>2024.06.06</t>
  </si>
  <si>
    <t>2024.06.20</t>
  </si>
  <si>
    <t>AX401600060</t>
  </si>
  <si>
    <t>$</t>
  </si>
  <si>
    <t>619078-70</t>
  </si>
  <si>
    <t>P2031998</t>
  </si>
  <si>
    <t>Recertification of 10T Trolley</t>
  </si>
  <si>
    <t xml:space="preserve">Pritima Persaud </t>
  </si>
  <si>
    <t>2024,07,03</t>
  </si>
  <si>
    <t>AX401600065</t>
  </si>
  <si>
    <t>Recertification - NO T/S SEEN</t>
  </si>
  <si>
    <t>619078-71</t>
  </si>
  <si>
    <t>P2062455</t>
  </si>
  <si>
    <t xml:space="preserve">Porta Level Sonic Liquid Level Calibration </t>
  </si>
  <si>
    <t>Mahi</t>
  </si>
  <si>
    <t>2829.58</t>
  </si>
  <si>
    <t>AX401600067</t>
  </si>
  <si>
    <t>Calibration- NO T/S SEEN</t>
  </si>
  <si>
    <t>619078-72</t>
  </si>
  <si>
    <t>P2051636</t>
  </si>
  <si>
    <t xml:space="preserve">Insulation Replacement  </t>
  </si>
  <si>
    <t>2024,08,12</t>
  </si>
  <si>
    <t>Report to be send today 02/09/24. Follow up/close up meeting to be requested.</t>
  </si>
  <si>
    <t>x</t>
  </si>
  <si>
    <t>Project completed, follow up to be done.</t>
  </si>
  <si>
    <t xml:space="preserve">N/A. PO at 0 value. </t>
  </si>
  <si>
    <t>619078-73</t>
  </si>
  <si>
    <t>170.71617.000032</t>
  </si>
  <si>
    <t>1554.00</t>
  </si>
  <si>
    <t>Inspection &amp; certification of Pallet Jacks</t>
  </si>
  <si>
    <t>Prema Balam</t>
  </si>
  <si>
    <t>AX401600078</t>
  </si>
  <si>
    <t>Recertification- NO T/S SEEN</t>
  </si>
  <si>
    <t>619078-74</t>
  </si>
  <si>
    <t>P2068002</t>
  </si>
  <si>
    <t>LGI - Recertification of Rigging and Lifting Equipment - Beam Clamps (UNITY FPSO)</t>
  </si>
  <si>
    <t>Laure Planes</t>
  </si>
  <si>
    <t>2024,07,10</t>
  </si>
  <si>
    <t>BM sent on 2024.09.27. Emailed on 2024,10,10</t>
  </si>
  <si>
    <t>P2101243</t>
  </si>
  <si>
    <t xml:space="preserve">Chain Jack, Mooring Tensioning System - Yearly Critical </t>
  </si>
  <si>
    <t>Procurement-NO T/S SEEN</t>
  </si>
  <si>
    <t>619078-76</t>
  </si>
  <si>
    <t>P2107692</t>
  </si>
  <si>
    <t>FW: FPSO DNY PO P2107692-Axess North-Rigger Support for MGC-B</t>
  </si>
  <si>
    <t>2024,07,20</t>
  </si>
  <si>
    <t>Invoiced. PO value adequate</t>
  </si>
  <si>
    <t>AX401600063</t>
  </si>
  <si>
    <t>619078-77</t>
  </si>
  <si>
    <t>P2124006</t>
  </si>
  <si>
    <t xml:space="preserve">Load Test of lifting Frames </t>
  </si>
  <si>
    <t>AX401600061</t>
  </si>
  <si>
    <t>Form for 619078-69 seen instead</t>
  </si>
  <si>
    <t>619078-78</t>
  </si>
  <si>
    <t>P2124007</t>
  </si>
  <si>
    <t>Load Test of Runway Beams</t>
  </si>
  <si>
    <t>AX401600062</t>
  </si>
  <si>
    <t>619078-79</t>
  </si>
  <si>
    <t>P2149295</t>
  </si>
  <si>
    <t xml:space="preserve">Crude Oil pump replacement </t>
  </si>
  <si>
    <t>2024,07,29</t>
  </si>
  <si>
    <t>2024,08,25</t>
  </si>
  <si>
    <t>AX401600066</t>
  </si>
  <si>
    <t>619078-80</t>
  </si>
  <si>
    <t>P2145455</t>
  </si>
  <si>
    <t>Procurement of Rigging equipment - Wire Rope 
Sling</t>
  </si>
  <si>
    <t xml:space="preserve">Based on our checks, everything on your list is </t>
  </si>
  <si>
    <t>AX401600082</t>
  </si>
  <si>
    <t>619078-81</t>
  </si>
  <si>
    <t>P1954110</t>
  </si>
  <si>
    <t xml:space="preserve">Replacement of Laydown Planks </t>
  </si>
  <si>
    <t xml:space="preserve">Malik Lewis </t>
  </si>
  <si>
    <t>PROJECT RE SCHEDULED. BM TO BE PREPARED FOR 1ST MOB.</t>
  </si>
  <si>
    <t>281005-03</t>
  </si>
  <si>
    <t>P10010090479</t>
  </si>
  <si>
    <t>Slew bolts NDT</t>
  </si>
  <si>
    <t xml:space="preserve">Nomad </t>
  </si>
  <si>
    <t>MSS</t>
  </si>
  <si>
    <t xml:space="preserve">Lars Per Dinesen </t>
  </si>
  <si>
    <t>619078-83</t>
  </si>
  <si>
    <t>P2506871</t>
  </si>
  <si>
    <t>OEC Office - Elevator Inspection and Evaluation</t>
  </si>
  <si>
    <t>OEC Building</t>
  </si>
  <si>
    <t>Bjorn Williams</t>
  </si>
  <si>
    <t>AX401600103</t>
  </si>
  <si>
    <t>619078-84</t>
  </si>
  <si>
    <t>060,67033,000308</t>
  </si>
  <si>
    <t>Inspection &amp; recertification of lifting equipment (padeyes / lifting slings for Sea Water Lift)</t>
  </si>
  <si>
    <t>30,09,2024</t>
  </si>
  <si>
    <t>BM sent on 2024.10.18</t>
  </si>
  <si>
    <t>619078-85</t>
  </si>
  <si>
    <t>060.67033.000314 REV 00</t>
  </si>
  <si>
    <t>SWLP Head Plate Padeyes Recertification</t>
  </si>
  <si>
    <t>619078-86</t>
  </si>
  <si>
    <t>P2387167</t>
  </si>
  <si>
    <t xml:space="preserve">         78,994.00</t>
  </si>
  <si>
    <t>FPSO Unity - Davit Crane Inspection</t>
  </si>
  <si>
    <t>AX401700688</t>
  </si>
  <si>
    <t>619078-87</t>
  </si>
  <si>
    <t>P2418129</t>
  </si>
  <si>
    <t xml:space="preserve">         16,204.00</t>
  </si>
  <si>
    <t xml:space="preserve">Prosperity - Frame and Flare Tip Inspection </t>
  </si>
  <si>
    <t>Paulo Gomes</t>
  </si>
  <si>
    <t>2024,20,29</t>
  </si>
  <si>
    <t>2024,10,23</t>
  </si>
  <si>
    <t>2025,10,29</t>
  </si>
  <si>
    <t>AX4016000099</t>
  </si>
  <si>
    <t>619078-88</t>
  </si>
  <si>
    <t>P2417006</t>
  </si>
  <si>
    <t xml:space="preserve">Unity - Frame and Flare Tip Inspection </t>
  </si>
  <si>
    <t>2024,11,02</t>
  </si>
  <si>
    <t>2024,10,31</t>
  </si>
  <si>
    <t>AX401600100</t>
  </si>
  <si>
    <t>619078-89</t>
  </si>
  <si>
    <t>619078-90</t>
  </si>
  <si>
    <t>P2458433</t>
  </si>
  <si>
    <t>619078-91</t>
  </si>
  <si>
    <t>P2327146</t>
  </si>
  <si>
    <t>Drops Inspection</t>
  </si>
  <si>
    <t>Kennard Bisnauth</t>
  </si>
  <si>
    <t>619078-92</t>
  </si>
  <si>
    <t>060.67033.000333</t>
  </si>
  <si>
    <t xml:space="preserve">SWOBL </t>
  </si>
  <si>
    <t>Khoo Kim Cheng</t>
  </si>
  <si>
    <t>2025,01,25</t>
  </si>
  <si>
    <t>AX401600123</t>
  </si>
  <si>
    <t>Project Close Date / Date BM Sent</t>
  </si>
  <si>
    <t>Last Update Date</t>
  </si>
  <si>
    <t>Expected Turnaround Timeline (Days)</t>
  </si>
  <si>
    <t>Actual Days waiting for signed BM / Increased PO</t>
  </si>
  <si>
    <t>Invoice Issued Todate</t>
  </si>
  <si>
    <t>Date Invoice Accepted</t>
  </si>
  <si>
    <t xml:space="preserve">Payment Due Date </t>
  </si>
  <si>
    <t>INVOICED</t>
  </si>
  <si>
    <t>Invoiced on 2025.03.26</t>
  </si>
  <si>
    <t>23879.26</t>
  </si>
  <si>
    <t>Elevator Inspection</t>
  </si>
  <si>
    <t>Helifuel Tank Inspection</t>
  </si>
  <si>
    <t>Michael Cockfield</t>
  </si>
  <si>
    <t>ISO Tank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</si>
</sst>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 * #,##0.00_ ;_ * \-#,##0.00_ ;_ * &quot;-&quot;??_ ;_ @_ "/>
    <numFmt numFmtId="166" formatCode="_(* #,##0_);_(* \(#,##0\);_(* &quot;-&quot;??_);_(@_)"/>
    <numFmt numFmtId="167" formatCode="_-[$$-409]* #,##0.00_ ;_-[$$-409]* \-#,##0.00\ ;_-[$$-409]* &quot;-&quot;??_ ;_-@_ "/>
    <numFmt numFmtId="168" formatCode="#,##0_ ;[Red]\-#,##0\ "/>
    <numFmt numFmtId="169" formatCode="#,##0.00_ ;[Red]\-#,##0.00\ "/>
  </numFmts>
  <fonts count="6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563C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444444"/>
      <name val="Segoe UI"/>
      <family val="2"/>
    </font>
    <font>
      <u/>
      <sz val="8"/>
      <color theme="1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color rgb="FF00B050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00B050"/>
      <name val="Arial"/>
      <family val="2"/>
    </font>
    <font>
      <b/>
      <sz val="12"/>
      <color rgb="FF00B0F0"/>
      <name val="Arial"/>
      <family val="2"/>
    </font>
    <font>
      <b/>
      <sz val="11"/>
      <color rgb="FF000000"/>
      <name val="Arial"/>
      <family val="2"/>
    </font>
    <font>
      <b/>
      <sz val="11"/>
      <color rgb="FF0070C0"/>
      <name val="Arial"/>
      <family val="2"/>
    </font>
    <font>
      <b/>
      <sz val="11"/>
      <color rgb="FF00B050"/>
      <name val="Arial"/>
      <family val="2"/>
    </font>
    <font>
      <b/>
      <sz val="11"/>
      <color rgb="FF00B0F0"/>
      <name val="Arial"/>
      <family val="2"/>
    </font>
    <font>
      <b/>
      <sz val="11"/>
      <color theme="1"/>
      <name val="Arial"/>
      <family val="2"/>
    </font>
    <font>
      <b/>
      <sz val="11"/>
      <color rgb="FF444444"/>
      <name val="Arial"/>
      <family val="2"/>
    </font>
    <font>
      <sz val="11"/>
      <color theme="0"/>
      <name val="Arial"/>
      <family val="2"/>
    </font>
    <font>
      <b/>
      <sz val="11"/>
      <color rgb="FF299177"/>
      <name val="Arial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theme="4" tint="-0.249977111117893"/>
      <name val="Arial"/>
      <family val="2"/>
    </font>
    <font>
      <b/>
      <sz val="11"/>
      <color rgb="FFFF0000"/>
      <name val="Arial"/>
      <family val="2"/>
    </font>
    <font>
      <sz val="11"/>
      <color rgb="FF00B0F0"/>
      <name val="Arial"/>
      <family val="2"/>
    </font>
    <font>
      <sz val="11"/>
      <color rgb="FF00B0F0"/>
      <name val="Calibri"/>
      <family val="2"/>
      <scheme val="minor"/>
    </font>
    <font>
      <sz val="11"/>
      <color rgb="FF0070C0"/>
      <name val="Arial"/>
      <family val="2"/>
    </font>
    <font>
      <b/>
      <sz val="11"/>
      <color rgb="FF00B0F0"/>
      <name val="Calibri"/>
      <family val="2"/>
      <scheme val="minor"/>
    </font>
    <font>
      <sz val="12"/>
      <color theme="1"/>
      <name val="Arial"/>
      <family val="2"/>
    </font>
    <font>
      <sz val="11"/>
      <name val="Arial"/>
      <family val="2"/>
    </font>
    <font>
      <sz val="11"/>
      <name val="Arial"/>
    </font>
    <font>
      <sz val="11"/>
      <color rgb="FF000000"/>
      <name val="Arial"/>
    </font>
    <font>
      <sz val="11"/>
      <color theme="1"/>
      <name val="Arial"/>
    </font>
  </fonts>
  <fills count="2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99177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medium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1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18" fillId="8" borderId="32" applyNumberFormat="0" applyAlignment="0" applyProtection="0"/>
    <xf numFmtId="0" fontId="19" fillId="0" borderId="0"/>
    <xf numFmtId="9" fontId="19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06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9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" fontId="0" fillId="0" borderId="14" xfId="0" applyNumberFormat="1" applyBorder="1"/>
    <xf numFmtId="16" fontId="0" fillId="0" borderId="1" xfId="0" applyNumberFormat="1" applyBorder="1"/>
    <xf numFmtId="0" fontId="0" fillId="0" borderId="23" xfId="0" applyBorder="1"/>
    <xf numFmtId="0" fontId="0" fillId="0" borderId="7" xfId="0" applyBorder="1"/>
    <xf numFmtId="166" fontId="0" fillId="0" borderId="0" xfId="0" applyNumberFormat="1"/>
    <xf numFmtId="0" fontId="0" fillId="0" borderId="8" xfId="0" applyBorder="1"/>
    <xf numFmtId="166" fontId="0" fillId="0" borderId="0" xfId="4" applyNumberFormat="1" applyFont="1"/>
    <xf numFmtId="0" fontId="0" fillId="0" borderId="21" xfId="0" applyBorder="1"/>
    <xf numFmtId="9" fontId="0" fillId="0" borderId="0" xfId="2" applyFont="1"/>
    <xf numFmtId="9" fontId="0" fillId="0" borderId="8" xfId="2" applyFont="1" applyBorder="1"/>
    <xf numFmtId="0" fontId="0" fillId="0" borderId="27" xfId="0" applyBorder="1"/>
    <xf numFmtId="166" fontId="0" fillId="0" borderId="21" xfId="4" applyNumberFormat="1" applyFont="1" applyBorder="1"/>
    <xf numFmtId="166" fontId="0" fillId="0" borderId="7" xfId="4" applyNumberFormat="1" applyFont="1" applyBorder="1"/>
    <xf numFmtId="166" fontId="0" fillId="0" borderId="15" xfId="4" applyNumberFormat="1" applyFont="1" applyBorder="1"/>
    <xf numFmtId="166" fontId="4" fillId="0" borderId="21" xfId="4" applyNumberFormat="1" applyFont="1" applyBorder="1"/>
    <xf numFmtId="166" fontId="4" fillId="0" borderId="7" xfId="4" applyNumberFormat="1" applyFont="1" applyBorder="1"/>
    <xf numFmtId="166" fontId="4" fillId="0" borderId="15" xfId="4" applyNumberFormat="1" applyFont="1" applyBorder="1"/>
    <xf numFmtId="0" fontId="0" fillId="0" borderId="11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8" xfId="0" applyBorder="1"/>
    <xf numFmtId="0" fontId="0" fillId="0" borderId="29" xfId="0" applyBorder="1"/>
    <xf numFmtId="0" fontId="4" fillId="0" borderId="11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4" fillId="0" borderId="29" xfId="0" applyFont="1" applyBorder="1" applyAlignment="1">
      <alignment wrapText="1"/>
    </xf>
    <xf numFmtId="0" fontId="4" fillId="0" borderId="11" xfId="0" applyFont="1" applyBorder="1"/>
    <xf numFmtId="0" fontId="4" fillId="0" borderId="28" xfId="0" applyFont="1" applyBorder="1"/>
    <xf numFmtId="0" fontId="4" fillId="0" borderId="29" xfId="0" applyFont="1" applyBorder="1"/>
    <xf numFmtId="0" fontId="0" fillId="0" borderId="20" xfId="0" applyBorder="1"/>
    <xf numFmtId="166" fontId="4" fillId="0" borderId="11" xfId="4" applyNumberFormat="1" applyFont="1" applyBorder="1"/>
    <xf numFmtId="9" fontId="4" fillId="0" borderId="28" xfId="2" applyFont="1" applyBorder="1"/>
    <xf numFmtId="9" fontId="4" fillId="0" borderId="29" xfId="2" applyFont="1" applyBorder="1"/>
    <xf numFmtId="9" fontId="0" fillId="0" borderId="24" xfId="2" applyFont="1" applyBorder="1"/>
    <xf numFmtId="9" fontId="0" fillId="0" borderId="27" xfId="2" applyFont="1" applyBorder="1"/>
    <xf numFmtId="0" fontId="0" fillId="0" borderId="26" xfId="0" applyBorder="1"/>
    <xf numFmtId="9" fontId="4" fillId="0" borderId="25" xfId="2" applyFont="1" applyBorder="1"/>
    <xf numFmtId="9" fontId="4" fillId="0" borderId="26" xfId="2" applyFont="1" applyBorder="1"/>
    <xf numFmtId="9" fontId="4" fillId="0" borderId="0" xfId="2" applyFont="1"/>
    <xf numFmtId="9" fontId="4" fillId="0" borderId="8" xfId="2" applyFont="1" applyBorder="1"/>
    <xf numFmtId="9" fontId="4" fillId="0" borderId="24" xfId="2" applyFont="1" applyBorder="1"/>
    <xf numFmtId="9" fontId="4" fillId="0" borderId="27" xfId="2" applyFont="1" applyBorder="1"/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7" fillId="0" borderId="0" xfId="0" applyFont="1"/>
    <xf numFmtId="0" fontId="8" fillId="0" borderId="0" xfId="0" applyFont="1"/>
    <xf numFmtId="49" fontId="8" fillId="0" borderId="0" xfId="0" applyNumberFormat="1" applyFont="1"/>
    <xf numFmtId="0" fontId="9" fillId="0" borderId="0" xfId="3" applyFont="1"/>
    <xf numFmtId="0" fontId="10" fillId="0" borderId="0" xfId="0" applyFont="1"/>
    <xf numFmtId="0" fontId="8" fillId="3" borderId="0" xfId="0" applyFont="1" applyFill="1"/>
    <xf numFmtId="0" fontId="11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15" fillId="4" borderId="13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9" fontId="15" fillId="0" borderId="2" xfId="2" applyFont="1" applyBorder="1" applyAlignment="1">
      <alignment horizontal="center"/>
    </xf>
    <xf numFmtId="44" fontId="15" fillId="0" borderId="2" xfId="1" applyFont="1" applyBorder="1" applyAlignment="1">
      <alignment horizontal="center"/>
    </xf>
    <xf numFmtId="0" fontId="15" fillId="0" borderId="2" xfId="3" applyFont="1" applyBorder="1" applyAlignment="1">
      <alignment horizontal="center"/>
    </xf>
    <xf numFmtId="44" fontId="15" fillId="0" borderId="0" xfId="1" applyFont="1" applyAlignment="1">
      <alignment horizontal="center"/>
    </xf>
    <xf numFmtId="0" fontId="15" fillId="0" borderId="20" xfId="0" applyFont="1" applyBorder="1"/>
    <xf numFmtId="0" fontId="15" fillId="0" borderId="20" xfId="0" applyFont="1" applyBorder="1" applyAlignment="1">
      <alignment horizontal="center"/>
    </xf>
    <xf numFmtId="9" fontId="15" fillId="0" borderId="20" xfId="2" applyFont="1" applyBorder="1" applyAlignment="1">
      <alignment horizontal="center"/>
    </xf>
    <xf numFmtId="44" fontId="15" fillId="0" borderId="20" xfId="1" applyFont="1" applyBorder="1" applyAlignment="1">
      <alignment horizontal="center"/>
    </xf>
    <xf numFmtId="44" fontId="15" fillId="0" borderId="2" xfId="0" applyNumberFormat="1" applyFont="1" applyBorder="1" applyAlignment="1">
      <alignment horizontal="center"/>
    </xf>
    <xf numFmtId="44" fontId="15" fillId="0" borderId="20" xfId="0" applyNumberFormat="1" applyFont="1" applyBorder="1" applyAlignment="1">
      <alignment horizontal="center"/>
    </xf>
    <xf numFmtId="0" fontId="5" fillId="0" borderId="2" xfId="3" applyBorder="1" applyAlignment="1">
      <alignment horizontal="center"/>
    </xf>
    <xf numFmtId="0" fontId="1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3"/>
    <xf numFmtId="0" fontId="3" fillId="0" borderId="0" xfId="0" applyFont="1" applyAlignment="1">
      <alignment wrapText="1"/>
    </xf>
    <xf numFmtId="166" fontId="3" fillId="0" borderId="21" xfId="4" applyNumberFormat="1" applyBorder="1"/>
    <xf numFmtId="166" fontId="3" fillId="0" borderId="7" xfId="4" applyNumberFormat="1" applyBorder="1"/>
    <xf numFmtId="0" fontId="4" fillId="0" borderId="2" xfId="0" applyFont="1" applyBorder="1"/>
    <xf numFmtId="0" fontId="4" fillId="0" borderId="0" xfId="0" applyFont="1"/>
    <xf numFmtId="166" fontId="3" fillId="0" borderId="0" xfId="4" applyNumberFormat="1"/>
    <xf numFmtId="9" fontId="15" fillId="0" borderId="2" xfId="0" applyNumberFormat="1" applyFont="1" applyBorder="1" applyAlignment="1">
      <alignment horizontal="center"/>
    </xf>
    <xf numFmtId="0" fontId="0" fillId="0" borderId="24" xfId="0" applyBorder="1"/>
    <xf numFmtId="0" fontId="15" fillId="0" borderId="20" xfId="3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20" xfId="0" applyFont="1" applyBorder="1" applyAlignment="1">
      <alignment wrapText="1"/>
    </xf>
    <xf numFmtId="0" fontId="12" fillId="0" borderId="0" xfId="0" applyFont="1" applyAlignment="1">
      <alignment wrapText="1"/>
    </xf>
    <xf numFmtId="0" fontId="15" fillId="0" borderId="0" xfId="0" applyFont="1"/>
    <xf numFmtId="0" fontId="17" fillId="0" borderId="2" xfId="3" applyFont="1" applyBorder="1" applyAlignment="1">
      <alignment horizontal="center"/>
    </xf>
    <xf numFmtId="0" fontId="0" fillId="0" borderId="30" xfId="0" applyBorder="1"/>
    <xf numFmtId="0" fontId="0" fillId="0" borderId="31" xfId="0" applyBorder="1"/>
    <xf numFmtId="10" fontId="15" fillId="0" borderId="20" xfId="2" applyNumberFormat="1" applyFont="1" applyBorder="1" applyAlignment="1">
      <alignment horizontal="center"/>
    </xf>
    <xf numFmtId="14" fontId="15" fillId="0" borderId="2" xfId="0" applyNumberFormat="1" applyFont="1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166" fontId="0" fillId="0" borderId="24" xfId="4" applyNumberFormat="1" applyFont="1" applyBorder="1"/>
    <xf numFmtId="166" fontId="4" fillId="0" borderId="28" xfId="4" applyNumberFormat="1" applyFont="1" applyBorder="1"/>
    <xf numFmtId="0" fontId="16" fillId="0" borderId="2" xfId="0" applyFont="1" applyBorder="1" applyAlignment="1">
      <alignment wrapText="1"/>
    </xf>
    <xf numFmtId="0" fontId="14" fillId="0" borderId="0" xfId="0" applyFont="1"/>
    <xf numFmtId="0" fontId="20" fillId="9" borderId="34" xfId="6" applyFont="1" applyFill="1" applyBorder="1"/>
    <xf numFmtId="0" fontId="20" fillId="9" borderId="33" xfId="6" applyFont="1" applyFill="1" applyBorder="1"/>
    <xf numFmtId="0" fontId="20" fillId="9" borderId="35" xfId="6" applyFont="1" applyFill="1" applyBorder="1"/>
    <xf numFmtId="0" fontId="20" fillId="9" borderId="0" xfId="6" applyFont="1" applyFill="1"/>
    <xf numFmtId="0" fontId="19" fillId="0" borderId="0" xfId="6"/>
    <xf numFmtId="167" fontId="21" fillId="8" borderId="36" xfId="5" applyNumberFormat="1" applyFont="1" applyBorder="1"/>
    <xf numFmtId="167" fontId="21" fillId="8" borderId="32" xfId="5" applyNumberFormat="1" applyFont="1"/>
    <xf numFmtId="167" fontId="21" fillId="8" borderId="37" xfId="5" applyNumberFormat="1" applyFont="1" applyBorder="1"/>
    <xf numFmtId="167" fontId="21" fillId="8" borderId="38" xfId="5" applyNumberFormat="1" applyFont="1" applyBorder="1"/>
    <xf numFmtId="167" fontId="21" fillId="8" borderId="39" xfId="5" applyNumberFormat="1" applyFont="1" applyBorder="1"/>
    <xf numFmtId="167" fontId="21" fillId="8" borderId="40" xfId="5" applyNumberFormat="1" applyFont="1" applyBorder="1"/>
    <xf numFmtId="0" fontId="19" fillId="0" borderId="2" xfId="6" applyBorder="1"/>
    <xf numFmtId="167" fontId="19" fillId="0" borderId="0" xfId="6" applyNumberFormat="1"/>
    <xf numFmtId="0" fontId="19" fillId="0" borderId="1" xfId="6" applyBorder="1"/>
    <xf numFmtId="0" fontId="19" fillId="0" borderId="30" xfId="6" applyBorder="1"/>
    <xf numFmtId="0" fontId="19" fillId="0" borderId="20" xfId="6" applyBorder="1"/>
    <xf numFmtId="167" fontId="21" fillId="8" borderId="41" xfId="5" applyNumberFormat="1" applyFont="1" applyBorder="1"/>
    <xf numFmtId="167" fontId="21" fillId="8" borderId="42" xfId="5" applyNumberFormat="1" applyFont="1" applyBorder="1"/>
    <xf numFmtId="167" fontId="20" fillId="0" borderId="43" xfId="6" applyNumberFormat="1" applyFont="1" applyBorder="1"/>
    <xf numFmtId="167" fontId="21" fillId="8" borderId="44" xfId="5" applyNumberFormat="1" applyFont="1" applyBorder="1"/>
    <xf numFmtId="167" fontId="21" fillId="8" borderId="45" xfId="5" applyNumberFormat="1" applyFont="1" applyBorder="1"/>
    <xf numFmtId="167" fontId="20" fillId="0" borderId="46" xfId="6" applyNumberFormat="1" applyFont="1" applyBorder="1"/>
    <xf numFmtId="0" fontId="19" fillId="0" borderId="0" xfId="6" applyAlignment="1">
      <alignment horizontal="center"/>
    </xf>
    <xf numFmtId="167" fontId="19" fillId="0" borderId="0" xfId="6" applyNumberFormat="1" applyAlignment="1">
      <alignment horizontal="left"/>
    </xf>
    <xf numFmtId="167" fontId="0" fillId="0" borderId="0" xfId="7" applyNumberFormat="1" applyFont="1"/>
    <xf numFmtId="0" fontId="4" fillId="0" borderId="21" xfId="0" applyFont="1" applyBorder="1" applyAlignment="1">
      <alignment wrapText="1"/>
    </xf>
    <xf numFmtId="0" fontId="4" fillId="0" borderId="25" xfId="0" applyFont="1" applyBorder="1" applyAlignment="1">
      <alignment wrapText="1"/>
    </xf>
    <xf numFmtId="9" fontId="4" fillId="0" borderId="11" xfId="2" applyFont="1" applyBorder="1"/>
    <xf numFmtId="0" fontId="0" fillId="0" borderId="27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5" xfId="0" applyBorder="1" applyAlignment="1">
      <alignment wrapText="1"/>
    </xf>
    <xf numFmtId="0" fontId="4" fillId="0" borderId="27" xfId="0" applyFont="1" applyBorder="1" applyAlignment="1">
      <alignment wrapText="1"/>
    </xf>
    <xf numFmtId="0" fontId="24" fillId="0" borderId="11" xfId="0" applyFont="1" applyBorder="1"/>
    <xf numFmtId="0" fontId="24" fillId="0" borderId="7" xfId="0" applyFont="1" applyBorder="1"/>
    <xf numFmtId="14" fontId="15" fillId="0" borderId="6" xfId="0" applyNumberFormat="1" applyFont="1" applyBorder="1" applyAlignment="1">
      <alignment horizontal="center"/>
    </xf>
    <xf numFmtId="0" fontId="13" fillId="0" borderId="0" xfId="0" applyFont="1"/>
    <xf numFmtId="10" fontId="15" fillId="0" borderId="2" xfId="2" applyNumberFormat="1" applyFont="1" applyBorder="1" applyAlignment="1">
      <alignment horizontal="center"/>
    </xf>
    <xf numFmtId="166" fontId="3" fillId="0" borderId="25" xfId="4" applyNumberFormat="1" applyBorder="1"/>
    <xf numFmtId="14" fontId="15" fillId="0" borderId="20" xfId="0" applyNumberFormat="1" applyFont="1" applyBorder="1" applyAlignment="1">
      <alignment horizontal="center"/>
    </xf>
    <xf numFmtId="44" fontId="0" fillId="0" borderId="25" xfId="2" applyNumberFormat="1" applyFont="1" applyBorder="1"/>
    <xf numFmtId="44" fontId="0" fillId="0" borderId="26" xfId="2" applyNumberFormat="1" applyFont="1" applyBorder="1"/>
    <xf numFmtId="44" fontId="0" fillId="0" borderId="0" xfId="2" applyNumberFormat="1" applyFont="1"/>
    <xf numFmtId="44" fontId="0" fillId="0" borderId="8" xfId="2" applyNumberFormat="1" applyFont="1" applyBorder="1"/>
    <xf numFmtId="44" fontId="0" fillId="0" borderId="24" xfId="2" applyNumberFormat="1" applyFont="1" applyBorder="1"/>
    <xf numFmtId="44" fontId="0" fillId="0" borderId="27" xfId="2" applyNumberFormat="1" applyFont="1" applyBorder="1"/>
    <xf numFmtId="44" fontId="3" fillId="0" borderId="25" xfId="2" applyNumberFormat="1" applyBorder="1"/>
    <xf numFmtId="44" fontId="3" fillId="0" borderId="26" xfId="2" applyNumberFormat="1" applyBorder="1"/>
    <xf numFmtId="44" fontId="3" fillId="0" borderId="0" xfId="2" applyNumberFormat="1"/>
    <xf numFmtId="44" fontId="3" fillId="0" borderId="8" xfId="2" applyNumberFormat="1" applyBorder="1"/>
    <xf numFmtId="44" fontId="3" fillId="0" borderId="24" xfId="2" applyNumberFormat="1" applyBorder="1"/>
    <xf numFmtId="44" fontId="3" fillId="0" borderId="27" xfId="2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15" fillId="10" borderId="2" xfId="0" applyNumberFormat="1" applyFont="1" applyFill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 vertical="center"/>
    </xf>
    <xf numFmtId="49" fontId="15" fillId="0" borderId="20" xfId="0" applyNumberFormat="1" applyFont="1" applyBorder="1" applyAlignment="1">
      <alignment horizontal="center"/>
    </xf>
    <xf numFmtId="0" fontId="15" fillId="4" borderId="8" xfId="0" applyFont="1" applyFill="1" applyBorder="1" applyAlignment="1">
      <alignment horizontal="center" vertical="center"/>
    </xf>
    <xf numFmtId="0" fontId="15" fillId="0" borderId="2" xfId="3" applyFont="1" applyFill="1" applyBorder="1" applyAlignment="1">
      <alignment horizontal="center"/>
    </xf>
    <xf numFmtId="9" fontId="15" fillId="0" borderId="2" xfId="2" applyFont="1" applyFill="1" applyBorder="1" applyAlignment="1">
      <alignment horizontal="center"/>
    </xf>
    <xf numFmtId="44" fontId="15" fillId="0" borderId="2" xfId="1" applyFont="1" applyFill="1" applyBorder="1" applyAlignment="1">
      <alignment horizontal="center"/>
    </xf>
    <xf numFmtId="0" fontId="15" fillId="0" borderId="2" xfId="0" quotePrefix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3" applyFont="1" applyFill="1" applyBorder="1" applyAlignment="1">
      <alignment horizontal="center"/>
    </xf>
    <xf numFmtId="0" fontId="15" fillId="9" borderId="7" xfId="0" applyFont="1" applyFill="1" applyBorder="1" applyAlignment="1">
      <alignment horizontal="center" vertical="center" wrapText="1"/>
    </xf>
    <xf numFmtId="44" fontId="15" fillId="0" borderId="2" xfId="1" applyFont="1" applyFill="1" applyBorder="1"/>
    <xf numFmtId="0" fontId="12" fillId="11" borderId="0" xfId="0" applyFont="1" applyFill="1"/>
    <xf numFmtId="44" fontId="15" fillId="0" borderId="2" xfId="1" quotePrefix="1" applyFont="1" applyFill="1" applyBorder="1"/>
    <xf numFmtId="44" fontId="15" fillId="0" borderId="2" xfId="0" applyNumberFormat="1" applyFont="1" applyBorder="1"/>
    <xf numFmtId="9" fontId="15" fillId="0" borderId="2" xfId="2" applyFont="1" applyFill="1" applyBorder="1"/>
    <xf numFmtId="44" fontId="15" fillId="0" borderId="20" xfId="1" applyFont="1" applyFill="1" applyBorder="1" applyAlignment="1">
      <alignment horizontal="center"/>
    </xf>
    <xf numFmtId="0" fontId="15" fillId="12" borderId="3" xfId="0" applyFont="1" applyFill="1" applyBorder="1" applyAlignment="1">
      <alignment horizontal="center" vertical="center" wrapText="1"/>
    </xf>
    <xf numFmtId="9" fontId="15" fillId="0" borderId="6" xfId="2" applyFont="1" applyFill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6" fillId="0" borderId="0" xfId="0" applyFont="1"/>
    <xf numFmtId="9" fontId="15" fillId="0" borderId="20" xfId="2" applyFont="1" applyFill="1" applyBorder="1" applyAlignment="1">
      <alignment horizontal="center"/>
    </xf>
    <xf numFmtId="14" fontId="15" fillId="0" borderId="20" xfId="0" applyNumberFormat="1" applyFont="1" applyBorder="1"/>
    <xf numFmtId="44" fontId="15" fillId="0" borderId="20" xfId="0" applyNumberFormat="1" applyFont="1" applyBorder="1"/>
    <xf numFmtId="0" fontId="17" fillId="0" borderId="20" xfId="3" applyFont="1" applyFill="1" applyBorder="1" applyAlignment="1">
      <alignment horizontal="center"/>
    </xf>
    <xf numFmtId="0" fontId="15" fillId="0" borderId="20" xfId="3" applyFont="1" applyFill="1" applyBorder="1" applyAlignment="1">
      <alignment horizontal="center"/>
    </xf>
    <xf numFmtId="44" fontId="0" fillId="0" borderId="0" xfId="2" applyNumberFormat="1" applyFont="1" applyBorder="1"/>
    <xf numFmtId="1" fontId="15" fillId="11" borderId="2" xfId="0" applyNumberFormat="1" applyFont="1" applyFill="1" applyBorder="1" applyAlignment="1">
      <alignment horizontal="center"/>
    </xf>
    <xf numFmtId="0" fontId="15" fillId="11" borderId="2" xfId="0" applyFont="1" applyFill="1" applyBorder="1"/>
    <xf numFmtId="0" fontId="15" fillId="11" borderId="2" xfId="0" applyFont="1" applyFill="1" applyBorder="1" applyAlignment="1">
      <alignment horizontal="center"/>
    </xf>
    <xf numFmtId="0" fontId="15" fillId="11" borderId="2" xfId="0" applyFont="1" applyFill="1" applyBorder="1" applyAlignment="1">
      <alignment wrapText="1"/>
    </xf>
    <xf numFmtId="14" fontId="15" fillId="11" borderId="2" xfId="0" applyNumberFormat="1" applyFont="1" applyFill="1" applyBorder="1" applyAlignment="1">
      <alignment horizontal="center"/>
    </xf>
    <xf numFmtId="9" fontId="15" fillId="11" borderId="2" xfId="2" applyFont="1" applyFill="1" applyBorder="1" applyAlignment="1">
      <alignment horizontal="center"/>
    </xf>
    <xf numFmtId="44" fontId="15" fillId="11" borderId="2" xfId="1" applyFont="1" applyFill="1" applyBorder="1" applyAlignment="1">
      <alignment horizontal="center"/>
    </xf>
    <xf numFmtId="44" fontId="15" fillId="11" borderId="2" xfId="0" applyNumberFormat="1" applyFont="1" applyFill="1" applyBorder="1" applyAlignment="1">
      <alignment horizontal="center"/>
    </xf>
    <xf numFmtId="44" fontId="27" fillId="0" borderId="2" xfId="1" applyFont="1" applyBorder="1" applyAlignment="1">
      <alignment horizontal="center"/>
    </xf>
    <xf numFmtId="44" fontId="27" fillId="0" borderId="2" xfId="0" applyNumberFormat="1" applyFont="1" applyBorder="1" applyAlignment="1">
      <alignment horizontal="center"/>
    </xf>
    <xf numFmtId="44" fontId="27" fillId="11" borderId="2" xfId="0" applyNumberFormat="1" applyFont="1" applyFill="1" applyBorder="1" applyAlignment="1">
      <alignment horizontal="center"/>
    </xf>
    <xf numFmtId="44" fontId="27" fillId="0" borderId="6" xfId="1" applyFont="1" applyBorder="1" applyAlignment="1">
      <alignment horizontal="center"/>
    </xf>
    <xf numFmtId="44" fontId="27" fillId="0" borderId="20" xfId="0" applyNumberFormat="1" applyFont="1" applyBorder="1" applyAlignment="1">
      <alignment horizontal="center"/>
    </xf>
    <xf numFmtId="44" fontId="28" fillId="0" borderId="2" xfId="1" applyFont="1" applyBorder="1" applyAlignment="1">
      <alignment horizontal="center"/>
    </xf>
    <xf numFmtId="44" fontId="28" fillId="0" borderId="2" xfId="0" applyNumberFormat="1" applyFont="1" applyBorder="1" applyAlignment="1">
      <alignment horizontal="center"/>
    </xf>
    <xf numFmtId="0" fontId="15" fillId="11" borderId="7" xfId="0" applyFont="1" applyFill="1" applyBorder="1" applyAlignment="1">
      <alignment horizontal="center" vertical="center" wrapText="1"/>
    </xf>
    <xf numFmtId="0" fontId="15" fillId="11" borderId="20" xfId="0" applyFont="1" applyFill="1" applyBorder="1" applyAlignment="1">
      <alignment horizontal="center"/>
    </xf>
    <xf numFmtId="0" fontId="3" fillId="11" borderId="0" xfId="0" applyFont="1" applyFill="1"/>
    <xf numFmtId="44" fontId="28" fillId="0" borderId="20" xfId="0" applyNumberFormat="1" applyFont="1" applyBorder="1" applyAlignment="1">
      <alignment horizontal="center"/>
    </xf>
    <xf numFmtId="14" fontId="15" fillId="0" borderId="2" xfId="0" applyNumberFormat="1" applyFont="1" applyBorder="1"/>
    <xf numFmtId="44" fontId="25" fillId="0" borderId="2" xfId="0" applyNumberFormat="1" applyFont="1" applyBorder="1" applyAlignment="1">
      <alignment horizontal="center"/>
    </xf>
    <xf numFmtId="44" fontId="25" fillId="0" borderId="2" xfId="1" applyFont="1" applyBorder="1" applyAlignment="1">
      <alignment horizontal="center"/>
    </xf>
    <xf numFmtId="44" fontId="28" fillId="11" borderId="2" xfId="0" applyNumberFormat="1" applyFont="1" applyFill="1" applyBorder="1" applyAlignment="1">
      <alignment horizontal="center"/>
    </xf>
    <xf numFmtId="44" fontId="28" fillId="11" borderId="2" xfId="1" applyFont="1" applyFill="1" applyBorder="1" applyAlignment="1">
      <alignment horizontal="center"/>
    </xf>
    <xf numFmtId="14" fontId="15" fillId="0" borderId="2" xfId="1" applyNumberFormat="1" applyFont="1" applyFill="1" applyBorder="1" applyAlignment="1">
      <alignment horizontal="center"/>
    </xf>
    <xf numFmtId="0" fontId="27" fillId="0" borderId="2" xfId="0" applyFont="1" applyBorder="1" applyAlignment="1">
      <alignment horizontal="center"/>
    </xf>
    <xf numFmtId="44" fontId="29" fillId="11" borderId="2" xfId="0" applyNumberFormat="1" applyFont="1" applyFill="1" applyBorder="1" applyAlignment="1">
      <alignment horizontal="center"/>
    </xf>
    <xf numFmtId="44" fontId="30" fillId="0" borderId="2" xfId="0" applyNumberFormat="1" applyFont="1" applyBorder="1" applyAlignment="1">
      <alignment horizontal="center"/>
    </xf>
    <xf numFmtId="44" fontId="29" fillId="0" borderId="2" xfId="1" applyFont="1" applyBorder="1" applyAlignment="1">
      <alignment horizontal="center"/>
    </xf>
    <xf numFmtId="49" fontId="29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2" xfId="0" applyFont="1" applyBorder="1" applyAlignment="1">
      <alignment wrapText="1"/>
    </xf>
    <xf numFmtId="14" fontId="29" fillId="0" borderId="2" xfId="0" applyNumberFormat="1" applyFont="1" applyBorder="1" applyAlignment="1">
      <alignment horizontal="center"/>
    </xf>
    <xf numFmtId="9" fontId="29" fillId="0" borderId="2" xfId="2" applyFont="1" applyBorder="1" applyAlignment="1">
      <alignment horizontal="center"/>
    </xf>
    <xf numFmtId="44" fontId="29" fillId="0" borderId="2" xfId="0" applyNumberFormat="1" applyFont="1" applyBorder="1" applyAlignment="1">
      <alignment horizontal="center"/>
    </xf>
    <xf numFmtId="0" fontId="31" fillId="0" borderId="0" xfId="0" applyFont="1"/>
    <xf numFmtId="0" fontId="32" fillId="7" borderId="24" xfId="0" applyFont="1" applyFill="1" applyBorder="1"/>
    <xf numFmtId="49" fontId="32" fillId="7" borderId="24" xfId="0" applyNumberFormat="1" applyFont="1" applyFill="1" applyBorder="1"/>
    <xf numFmtId="168" fontId="32" fillId="7" borderId="24" xfId="0" applyNumberFormat="1" applyFont="1" applyFill="1" applyBorder="1" applyAlignment="1">
      <alignment horizontal="right"/>
    </xf>
    <xf numFmtId="168" fontId="32" fillId="7" borderId="24" xfId="0" applyNumberFormat="1" applyFont="1" applyFill="1" applyBorder="1" applyAlignment="1">
      <alignment horizontal="left"/>
    </xf>
    <xf numFmtId="0" fontId="33" fillId="0" borderId="0" xfId="0" applyFont="1"/>
    <xf numFmtId="0" fontId="33" fillId="13" borderId="0" xfId="0" applyFont="1" applyFill="1"/>
    <xf numFmtId="0" fontId="33" fillId="14" borderId="0" xfId="0" applyFont="1" applyFill="1"/>
    <xf numFmtId="168" fontId="33" fillId="0" borderId="0" xfId="0" applyNumberFormat="1" applyFont="1"/>
    <xf numFmtId="168" fontId="33" fillId="0" borderId="47" xfId="0" applyNumberFormat="1" applyFont="1" applyBorder="1"/>
    <xf numFmtId="168" fontId="33" fillId="3" borderId="48" xfId="0" applyNumberFormat="1" applyFont="1" applyFill="1" applyBorder="1"/>
    <xf numFmtId="168" fontId="33" fillId="3" borderId="49" xfId="0" applyNumberFormat="1" applyFont="1" applyFill="1" applyBorder="1"/>
    <xf numFmtId="168" fontId="33" fillId="0" borderId="49" xfId="0" applyNumberFormat="1" applyFont="1" applyBorder="1"/>
    <xf numFmtId="168" fontId="33" fillId="0" borderId="50" xfId="0" applyNumberFormat="1" applyFont="1" applyBorder="1"/>
    <xf numFmtId="0" fontId="33" fillId="0" borderId="48" xfId="0" applyFont="1" applyBorder="1"/>
    <xf numFmtId="168" fontId="33" fillId="0" borderId="48" xfId="0" applyNumberFormat="1" applyFont="1" applyBorder="1"/>
    <xf numFmtId="168" fontId="33" fillId="0" borderId="51" xfId="0" applyNumberFormat="1" applyFont="1" applyBorder="1"/>
    <xf numFmtId="168" fontId="33" fillId="11" borderId="0" xfId="0" applyNumberFormat="1" applyFont="1" applyFill="1"/>
    <xf numFmtId="0" fontId="34" fillId="0" borderId="0" xfId="0" applyFont="1"/>
    <xf numFmtId="44" fontId="27" fillId="0" borderId="0" xfId="0" applyNumberFormat="1" applyFont="1" applyAlignment="1">
      <alignment horizontal="center"/>
    </xf>
    <xf numFmtId="0" fontId="25" fillId="0" borderId="2" xfId="0" applyFont="1" applyBorder="1"/>
    <xf numFmtId="168" fontId="37" fillId="0" borderId="0" xfId="0" applyNumberFormat="1" applyFont="1"/>
    <xf numFmtId="0" fontId="37" fillId="0" borderId="0" xfId="0" applyFont="1"/>
    <xf numFmtId="0" fontId="37" fillId="13" borderId="0" xfId="0" applyFont="1" applyFill="1"/>
    <xf numFmtId="0" fontId="37" fillId="14" borderId="0" xfId="0" applyFont="1" applyFill="1"/>
    <xf numFmtId="168" fontId="34" fillId="0" borderId="0" xfId="0" applyNumberFormat="1" applyFont="1"/>
    <xf numFmtId="0" fontId="0" fillId="17" borderId="0" xfId="0" applyFill="1"/>
    <xf numFmtId="0" fontId="0" fillId="18" borderId="0" xfId="0" applyFill="1"/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169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0" fillId="18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40" fontId="0" fillId="0" borderId="0" xfId="0" applyNumberFormat="1" applyAlignment="1">
      <alignment horizontal="right"/>
    </xf>
    <xf numFmtId="0" fontId="38" fillId="18" borderId="0" xfId="0" applyFont="1" applyFill="1" applyAlignment="1">
      <alignment horizontal="center"/>
    </xf>
    <xf numFmtId="0" fontId="36" fillId="6" borderId="0" xfId="0" applyFont="1" applyFill="1"/>
    <xf numFmtId="49" fontId="36" fillId="6" borderId="0" xfId="0" applyNumberFormat="1" applyFont="1" applyFill="1" applyAlignment="1">
      <alignment horizontal="center"/>
    </xf>
    <xf numFmtId="0" fontId="36" fillId="6" borderId="0" xfId="0" applyFont="1" applyFill="1" applyAlignment="1">
      <alignment horizontal="center"/>
    </xf>
    <xf numFmtId="169" fontId="0" fillId="17" borderId="0" xfId="0" applyNumberFormat="1" applyFill="1"/>
    <xf numFmtId="0" fontId="39" fillId="18" borderId="0" xfId="0" applyFont="1" applyFill="1"/>
    <xf numFmtId="0" fontId="0" fillId="17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8" borderId="0" xfId="0" applyFont="1" applyFill="1"/>
    <xf numFmtId="0" fontId="4" fillId="18" borderId="0" xfId="0" applyFont="1" applyFill="1" applyAlignment="1">
      <alignment horizontal="center"/>
    </xf>
    <xf numFmtId="0" fontId="4" fillId="2" borderId="0" xfId="0" applyFont="1" applyFill="1"/>
    <xf numFmtId="169" fontId="4" fillId="2" borderId="0" xfId="0" applyNumberFormat="1" applyFont="1" applyFill="1"/>
    <xf numFmtId="3" fontId="0" fillId="0" borderId="0" xfId="0" applyNumberFormat="1"/>
    <xf numFmtId="3" fontId="0" fillId="17" borderId="0" xfId="0" applyNumberFormat="1" applyFill="1"/>
    <xf numFmtId="0" fontId="0" fillId="0" borderId="34" xfId="0" applyBorder="1"/>
    <xf numFmtId="0" fontId="0" fillId="0" borderId="33" xfId="0" applyBorder="1" applyAlignment="1">
      <alignment horizontal="center"/>
    </xf>
    <xf numFmtId="168" fontId="0" fillId="0" borderId="33" xfId="0" applyNumberFormat="1" applyBorder="1"/>
    <xf numFmtId="168" fontId="0" fillId="0" borderId="35" xfId="0" applyNumberFormat="1" applyBorder="1"/>
    <xf numFmtId="0" fontId="0" fillId="0" borderId="52" xfId="0" applyBorder="1"/>
    <xf numFmtId="0" fontId="0" fillId="0" borderId="24" xfId="0" applyBorder="1" applyAlignment="1">
      <alignment horizontal="center"/>
    </xf>
    <xf numFmtId="168" fontId="0" fillId="0" borderId="24" xfId="0" applyNumberFormat="1" applyBorder="1"/>
    <xf numFmtId="168" fontId="0" fillId="0" borderId="53" xfId="0" applyNumberFormat="1" applyBorder="1"/>
    <xf numFmtId="0" fontId="0" fillId="0" borderId="54" xfId="0" applyBorder="1"/>
    <xf numFmtId="0" fontId="0" fillId="0" borderId="55" xfId="0" applyBorder="1" applyAlignment="1">
      <alignment horizontal="center"/>
    </xf>
    <xf numFmtId="168" fontId="0" fillId="0" borderId="55" xfId="0" applyNumberFormat="1" applyBorder="1"/>
    <xf numFmtId="168" fontId="0" fillId="0" borderId="56" xfId="0" applyNumberFormat="1" applyBorder="1"/>
    <xf numFmtId="168" fontId="0" fillId="0" borderId="0" xfId="0" applyNumberFormat="1"/>
    <xf numFmtId="3" fontId="0" fillId="0" borderId="0" xfId="0" applyNumberFormat="1" applyAlignment="1">
      <alignment horizontal="center"/>
    </xf>
    <xf numFmtId="0" fontId="40" fillId="18" borderId="0" xfId="0" applyFont="1" applyFill="1"/>
    <xf numFmtId="0" fontId="40" fillId="18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/>
    <xf numFmtId="169" fontId="40" fillId="0" borderId="0" xfId="0" applyNumberFormat="1" applyFont="1"/>
    <xf numFmtId="0" fontId="41" fillId="0" borderId="0" xfId="0" applyFont="1" applyAlignment="1">
      <alignment horizontal="center"/>
    </xf>
    <xf numFmtId="168" fontId="41" fillId="11" borderId="57" xfId="0" applyNumberFormat="1" applyFont="1" applyFill="1" applyBorder="1"/>
    <xf numFmtId="0" fontId="35" fillId="15" borderId="58" xfId="0" applyFont="1" applyFill="1" applyBorder="1"/>
    <xf numFmtId="0" fontId="35" fillId="15" borderId="59" xfId="0" applyFont="1" applyFill="1" applyBorder="1"/>
    <xf numFmtId="0" fontId="0" fillId="16" borderId="60" xfId="0" applyFill="1" applyBorder="1"/>
    <xf numFmtId="0" fontId="0" fillId="16" borderId="61" xfId="0" applyFill="1" applyBorder="1"/>
    <xf numFmtId="49" fontId="0" fillId="0" borderId="0" xfId="0" applyNumberFormat="1"/>
    <xf numFmtId="49" fontId="0" fillId="16" borderId="61" xfId="0" applyNumberFormat="1" applyFill="1" applyBorder="1"/>
    <xf numFmtId="168" fontId="42" fillId="0" borderId="0" xfId="0" applyNumberFormat="1" applyFont="1"/>
    <xf numFmtId="168" fontId="42" fillId="19" borderId="0" xfId="0" applyNumberFormat="1" applyFont="1" applyFill="1"/>
    <xf numFmtId="0" fontId="42" fillId="0" borderId="0" xfId="0" applyFont="1"/>
    <xf numFmtId="0" fontId="34" fillId="14" borderId="0" xfId="0" applyFont="1" applyFill="1"/>
    <xf numFmtId="0" fontId="33" fillId="11" borderId="0" xfId="0" applyFont="1" applyFill="1"/>
    <xf numFmtId="168" fontId="33" fillId="13" borderId="0" xfId="0" applyNumberFormat="1" applyFont="1" applyFill="1"/>
    <xf numFmtId="168" fontId="42" fillId="10" borderId="0" xfId="0" applyNumberFormat="1" applyFont="1" applyFill="1"/>
    <xf numFmtId="168" fontId="33" fillId="10" borderId="0" xfId="0" applyNumberFormat="1" applyFont="1" applyFill="1"/>
    <xf numFmtId="168" fontId="34" fillId="10" borderId="0" xfId="0" applyNumberFormat="1" applyFont="1" applyFill="1"/>
    <xf numFmtId="168" fontId="33" fillId="10" borderId="50" xfId="0" applyNumberFormat="1" applyFont="1" applyFill="1" applyBorder="1"/>
    <xf numFmtId="0" fontId="43" fillId="0" borderId="0" xfId="0" applyFont="1" applyAlignment="1">
      <alignment vertical="top"/>
    </xf>
    <xf numFmtId="0" fontId="43" fillId="0" borderId="0" xfId="0" applyFont="1" applyAlignment="1">
      <alignment horizontal="center" vertical="top"/>
    </xf>
    <xf numFmtId="164" fontId="43" fillId="0" borderId="0" xfId="0" applyNumberFormat="1" applyFont="1" applyAlignment="1">
      <alignment horizontal="right" vertical="top"/>
    </xf>
    <xf numFmtId="14" fontId="43" fillId="0" borderId="0" xfId="0" applyNumberFormat="1" applyFont="1" applyAlignment="1">
      <alignment horizontal="right" vertical="top"/>
    </xf>
    <xf numFmtId="14" fontId="43" fillId="0" borderId="0" xfId="0" applyNumberFormat="1" applyFont="1" applyAlignment="1">
      <alignment vertical="top"/>
    </xf>
    <xf numFmtId="164" fontId="43" fillId="0" borderId="0" xfId="0" applyNumberFormat="1" applyFont="1" applyAlignment="1">
      <alignment vertical="top"/>
    </xf>
    <xf numFmtId="0" fontId="43" fillId="0" borderId="2" xfId="0" applyFont="1" applyBorder="1" applyAlignment="1">
      <alignment vertical="top"/>
    </xf>
    <xf numFmtId="0" fontId="43" fillId="3" borderId="0" xfId="0" applyFont="1" applyFill="1" applyAlignment="1">
      <alignment vertical="top"/>
    </xf>
    <xf numFmtId="0" fontId="43" fillId="0" borderId="0" xfId="0" applyFont="1" applyAlignment="1">
      <alignment horizontal="right" vertical="top"/>
    </xf>
    <xf numFmtId="0" fontId="43" fillId="0" borderId="20" xfId="0" applyFont="1" applyBorder="1" applyAlignment="1">
      <alignment vertical="top"/>
    </xf>
    <xf numFmtId="14" fontId="45" fillId="3" borderId="2" xfId="0" applyNumberFormat="1" applyFont="1" applyFill="1" applyBorder="1" applyAlignment="1">
      <alignment horizontal="center" vertical="top" wrapText="1"/>
    </xf>
    <xf numFmtId="0" fontId="43" fillId="0" borderId="0" xfId="0" applyFont="1" applyAlignment="1">
      <alignment horizontal="center" vertical="center"/>
    </xf>
    <xf numFmtId="0" fontId="46" fillId="3" borderId="63" xfId="0" applyFont="1" applyFill="1" applyBorder="1" applyAlignment="1">
      <alignment horizontal="left" vertical="top" wrapText="1"/>
    </xf>
    <xf numFmtId="0" fontId="43" fillId="0" borderId="0" xfId="0" applyFont="1" applyAlignment="1">
      <alignment horizontal="center" vertical="top" wrapText="1"/>
    </xf>
    <xf numFmtId="0" fontId="43" fillId="0" borderId="0" xfId="0" applyFont="1" applyAlignment="1">
      <alignment vertical="center"/>
    </xf>
    <xf numFmtId="0" fontId="43" fillId="0" borderId="2" xfId="0" applyFont="1" applyBorder="1" applyAlignment="1">
      <alignment vertical="center"/>
    </xf>
    <xf numFmtId="0" fontId="43" fillId="0" borderId="20" xfId="0" applyFont="1" applyBorder="1" applyAlignment="1">
      <alignment vertical="center"/>
    </xf>
    <xf numFmtId="0" fontId="47" fillId="11" borderId="2" xfId="0" applyFont="1" applyFill="1" applyBorder="1" applyAlignment="1">
      <alignment horizontal="center" vertical="center"/>
    </xf>
    <xf numFmtId="0" fontId="48" fillId="22" borderId="2" xfId="0" applyFont="1" applyFill="1" applyBorder="1" applyAlignment="1">
      <alignment horizontal="center" vertical="top"/>
    </xf>
    <xf numFmtId="0" fontId="48" fillId="22" borderId="29" xfId="0" applyFont="1" applyFill="1" applyBorder="1" applyAlignment="1">
      <alignment horizontal="right" vertical="top"/>
    </xf>
    <xf numFmtId="0" fontId="48" fillId="22" borderId="29" xfId="0" applyFont="1" applyFill="1" applyBorder="1" applyAlignment="1">
      <alignment horizontal="center" vertical="top"/>
    </xf>
    <xf numFmtId="14" fontId="48" fillId="0" borderId="2" xfId="0" applyNumberFormat="1" applyFont="1" applyBorder="1" applyAlignment="1">
      <alignment horizontal="center" vertical="top"/>
    </xf>
    <xf numFmtId="164" fontId="48" fillId="0" borderId="2" xfId="1" applyNumberFormat="1" applyFont="1" applyFill="1" applyBorder="1" applyAlignment="1">
      <alignment horizontal="center" vertical="top"/>
    </xf>
    <xf numFmtId="9" fontId="48" fillId="0" borderId="2" xfId="0" applyNumberFormat="1" applyFont="1" applyBorder="1" applyAlignment="1">
      <alignment horizontal="right" vertical="top"/>
    </xf>
    <xf numFmtId="0" fontId="48" fillId="3" borderId="63" xfId="0" applyFont="1" applyFill="1" applyBorder="1" applyAlignment="1">
      <alignment horizontal="center" vertical="top"/>
    </xf>
    <xf numFmtId="164" fontId="48" fillId="3" borderId="63" xfId="0" applyNumberFormat="1" applyFont="1" applyFill="1" applyBorder="1" applyAlignment="1">
      <alignment horizontal="right" vertical="top"/>
    </xf>
    <xf numFmtId="14" fontId="48" fillId="3" borderId="63" xfId="0" applyNumberFormat="1" applyFont="1" applyFill="1" applyBorder="1" applyAlignment="1">
      <alignment horizontal="right" vertical="top"/>
    </xf>
    <xf numFmtId="0" fontId="49" fillId="22" borderId="6" xfId="0" applyFont="1" applyFill="1" applyBorder="1" applyAlignment="1">
      <alignment horizontal="center" vertical="top"/>
    </xf>
    <xf numFmtId="0" fontId="49" fillId="22" borderId="27" xfId="0" applyFont="1" applyFill="1" applyBorder="1" applyAlignment="1">
      <alignment horizontal="right" vertical="top"/>
    </xf>
    <xf numFmtId="0" fontId="49" fillId="22" borderId="27" xfId="0" applyFont="1" applyFill="1" applyBorder="1" applyAlignment="1">
      <alignment horizontal="center" vertical="top"/>
    </xf>
    <xf numFmtId="0" fontId="49" fillId="3" borderId="63" xfId="0" applyFont="1" applyFill="1" applyBorder="1" applyAlignment="1">
      <alignment horizontal="center" vertical="top"/>
    </xf>
    <xf numFmtId="164" fontId="49" fillId="3" borderId="63" xfId="0" applyNumberFormat="1" applyFont="1" applyFill="1" applyBorder="1" applyAlignment="1">
      <alignment horizontal="right" vertical="top"/>
    </xf>
    <xf numFmtId="14" fontId="49" fillId="3" borderId="63" xfId="0" applyNumberFormat="1" applyFont="1" applyFill="1" applyBorder="1" applyAlignment="1">
      <alignment horizontal="right" vertical="top"/>
    </xf>
    <xf numFmtId="14" fontId="49" fillId="0" borderId="2" xfId="0" applyNumberFormat="1" applyFont="1" applyBorder="1" applyAlignment="1">
      <alignment horizontal="center" vertical="top"/>
    </xf>
    <xf numFmtId="164" fontId="49" fillId="0" borderId="2" xfId="1" applyNumberFormat="1" applyFont="1" applyFill="1" applyBorder="1" applyAlignment="1">
      <alignment horizontal="center" vertical="top"/>
    </xf>
    <xf numFmtId="9" fontId="49" fillId="0" borderId="2" xfId="0" applyNumberFormat="1" applyFont="1" applyBorder="1" applyAlignment="1">
      <alignment horizontal="right" vertical="top"/>
    </xf>
    <xf numFmtId="164" fontId="49" fillId="22" borderId="27" xfId="0" applyNumberFormat="1" applyFont="1" applyFill="1" applyBorder="1" applyAlignment="1">
      <alignment horizontal="right" vertical="top"/>
    </xf>
    <xf numFmtId="0" fontId="50" fillId="22" borderId="29" xfId="0" applyFont="1" applyFill="1" applyBorder="1" applyAlignment="1">
      <alignment horizontal="center" vertical="top"/>
    </xf>
    <xf numFmtId="0" fontId="51" fillId="0" borderId="63" xfId="0" applyFont="1" applyBorder="1" applyAlignment="1">
      <alignment horizontal="center" vertical="top"/>
    </xf>
    <xf numFmtId="0" fontId="51" fillId="0" borderId="63" xfId="0" applyFont="1" applyBorder="1" applyAlignment="1">
      <alignment vertical="top"/>
    </xf>
    <xf numFmtId="0" fontId="48" fillId="3" borderId="63" xfId="0" applyFont="1" applyFill="1" applyBorder="1" applyAlignment="1">
      <alignment vertical="top"/>
    </xf>
    <xf numFmtId="167" fontId="51" fillId="0" borderId="63" xfId="0" applyNumberFormat="1" applyFont="1" applyBorder="1" applyAlignment="1">
      <alignment vertical="top"/>
    </xf>
    <xf numFmtId="14" fontId="51" fillId="0" borderId="63" xfId="0" applyNumberFormat="1" applyFont="1" applyBorder="1" applyAlignment="1">
      <alignment vertical="top"/>
    </xf>
    <xf numFmtId="0" fontId="51" fillId="0" borderId="63" xfId="0" applyFont="1" applyBorder="1" applyAlignment="1">
      <alignment horizontal="left" vertical="top"/>
    </xf>
    <xf numFmtId="0" fontId="51" fillId="0" borderId="0" xfId="0" applyFont="1" applyAlignment="1">
      <alignment horizontal="center" vertical="top"/>
    </xf>
    <xf numFmtId="164" fontId="51" fillId="0" borderId="0" xfId="1" applyNumberFormat="1" applyFont="1" applyAlignment="1">
      <alignment horizontal="center" vertical="top"/>
    </xf>
    <xf numFmtId="164" fontId="51" fillId="0" borderId="0" xfId="0" applyNumberFormat="1" applyFont="1" applyAlignment="1">
      <alignment horizontal="right" vertical="top"/>
    </xf>
    <xf numFmtId="0" fontId="51" fillId="0" borderId="0" xfId="0" applyFont="1" applyAlignment="1">
      <alignment vertical="top"/>
    </xf>
    <xf numFmtId="0" fontId="52" fillId="0" borderId="0" xfId="0" applyFont="1"/>
    <xf numFmtId="0" fontId="51" fillId="0" borderId="0" xfId="0" applyFont="1" applyAlignment="1">
      <alignment horizontal="center" vertical="center"/>
    </xf>
    <xf numFmtId="0" fontId="53" fillId="20" borderId="8" xfId="0" applyFont="1" applyFill="1" applyBorder="1" applyAlignment="1">
      <alignment horizontal="center" vertical="top" wrapText="1"/>
    </xf>
    <xf numFmtId="0" fontId="53" fillId="20" borderId="7" xfId="0" applyFont="1" applyFill="1" applyBorder="1" applyAlignment="1">
      <alignment horizontal="center" vertical="top" wrapText="1"/>
    </xf>
    <xf numFmtId="164" fontId="53" fillId="20" borderId="7" xfId="1" applyNumberFormat="1" applyFont="1" applyFill="1" applyBorder="1" applyAlignment="1">
      <alignment horizontal="right" vertical="top" wrapText="1"/>
    </xf>
    <xf numFmtId="0" fontId="53" fillId="20" borderId="0" xfId="0" applyFont="1" applyFill="1" applyAlignment="1">
      <alignment vertical="top" wrapText="1"/>
    </xf>
    <xf numFmtId="0" fontId="53" fillId="20" borderId="3" xfId="0" applyFont="1" applyFill="1" applyBorder="1" applyAlignment="1">
      <alignment horizontal="left" vertical="top" wrapText="1"/>
    </xf>
    <xf numFmtId="0" fontId="53" fillId="20" borderId="3" xfId="0" applyFont="1" applyFill="1" applyBorder="1" applyAlignment="1">
      <alignment horizontal="center" vertical="top" wrapText="1"/>
    </xf>
    <xf numFmtId="164" fontId="53" fillId="20" borderId="3" xfId="0" applyNumberFormat="1" applyFont="1" applyFill="1" applyBorder="1" applyAlignment="1">
      <alignment horizontal="right" vertical="top" wrapText="1"/>
    </xf>
    <xf numFmtId="14" fontId="53" fillId="20" borderId="3" xfId="0" applyNumberFormat="1" applyFont="1" applyFill="1" applyBorder="1" applyAlignment="1">
      <alignment horizontal="right" vertical="top" wrapText="1"/>
    </xf>
    <xf numFmtId="14" fontId="53" fillId="20" borderId="7" xfId="0" applyNumberFormat="1" applyFont="1" applyFill="1" applyBorder="1" applyAlignment="1">
      <alignment vertical="top" wrapText="1"/>
    </xf>
    <xf numFmtId="14" fontId="53" fillId="20" borderId="7" xfId="0" applyNumberFormat="1" applyFont="1" applyFill="1" applyBorder="1" applyAlignment="1">
      <alignment horizontal="center" vertical="top" wrapText="1"/>
    </xf>
    <xf numFmtId="164" fontId="53" fillId="20" borderId="7" xfId="0" applyNumberFormat="1" applyFont="1" applyFill="1" applyBorder="1" applyAlignment="1">
      <alignment horizontal="center" vertical="top" wrapText="1"/>
    </xf>
    <xf numFmtId="0" fontId="53" fillId="20" borderId="7" xfId="0" applyFont="1" applyFill="1" applyBorder="1" applyAlignment="1">
      <alignment horizontal="right" vertical="top" wrapText="1"/>
    </xf>
    <xf numFmtId="0" fontId="53" fillId="20" borderId="0" xfId="0" applyFont="1" applyFill="1" applyAlignment="1">
      <alignment horizontal="center" vertical="top" wrapText="1"/>
    </xf>
    <xf numFmtId="0" fontId="53" fillId="20" borderId="7" xfId="0" applyFont="1" applyFill="1" applyBorder="1" applyAlignment="1">
      <alignment vertical="center" wrapText="1"/>
    </xf>
    <xf numFmtId="0" fontId="53" fillId="20" borderId="7" xfId="0" applyFont="1" applyFill="1" applyBorder="1" applyAlignment="1">
      <alignment horizontal="center" vertical="center" wrapText="1"/>
    </xf>
    <xf numFmtId="0" fontId="54" fillId="3" borderId="2" xfId="0" applyFont="1" applyFill="1" applyBorder="1" applyAlignment="1">
      <alignment horizontal="center" vertical="top" wrapText="1"/>
    </xf>
    <xf numFmtId="164" fontId="54" fillId="3" borderId="2" xfId="1" applyNumberFormat="1" applyFont="1" applyFill="1" applyBorder="1" applyAlignment="1">
      <alignment horizontal="right" vertical="top" wrapText="1"/>
    </xf>
    <xf numFmtId="0" fontId="55" fillId="20" borderId="0" xfId="0" applyFont="1" applyFill="1" applyAlignment="1">
      <alignment vertical="top" wrapText="1"/>
    </xf>
    <xf numFmtId="0" fontId="54" fillId="3" borderId="2" xfId="0" applyFont="1" applyFill="1" applyBorder="1" applyAlignment="1">
      <alignment horizontal="left" vertical="top" wrapText="1"/>
    </xf>
    <xf numFmtId="164" fontId="54" fillId="3" borderId="2" xfId="0" applyNumberFormat="1" applyFont="1" applyFill="1" applyBorder="1" applyAlignment="1">
      <alignment horizontal="right" vertical="top" wrapText="1"/>
    </xf>
    <xf numFmtId="14" fontId="54" fillId="3" borderId="2" xfId="0" applyNumberFormat="1" applyFont="1" applyFill="1" applyBorder="1" applyAlignment="1">
      <alignment horizontal="right" vertical="top" wrapText="1"/>
    </xf>
    <xf numFmtId="14" fontId="54" fillId="3" borderId="2" xfId="0" applyNumberFormat="1" applyFont="1" applyFill="1" applyBorder="1" applyAlignment="1">
      <alignment vertical="top" wrapText="1"/>
    </xf>
    <xf numFmtId="14" fontId="54" fillId="3" borderId="2" xfId="0" applyNumberFormat="1" applyFont="1" applyFill="1" applyBorder="1" applyAlignment="1">
      <alignment horizontal="center" vertical="top" wrapText="1"/>
    </xf>
    <xf numFmtId="164" fontId="54" fillId="3" borderId="2" xfId="1" applyNumberFormat="1" applyFont="1" applyFill="1" applyBorder="1" applyAlignment="1">
      <alignment horizontal="center" vertical="top" wrapText="1"/>
    </xf>
    <xf numFmtId="9" fontId="54" fillId="3" borderId="2" xfId="0" applyNumberFormat="1" applyFont="1" applyFill="1" applyBorder="1" applyAlignment="1">
      <alignment horizontal="right" vertical="top" wrapText="1"/>
    </xf>
    <xf numFmtId="0" fontId="54" fillId="3" borderId="20" xfId="0" applyFont="1" applyFill="1" applyBorder="1" applyAlignment="1">
      <alignment horizontal="center" vertical="top" wrapText="1"/>
    </xf>
    <xf numFmtId="0" fontId="56" fillId="3" borderId="2" xfId="0" applyFont="1" applyFill="1" applyBorder="1" applyAlignment="1">
      <alignment vertical="center" wrapText="1"/>
    </xf>
    <xf numFmtId="14" fontId="54" fillId="3" borderId="2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horizontal="center" vertical="top"/>
    </xf>
    <xf numFmtId="0" fontId="49" fillId="3" borderId="2" xfId="0" applyFont="1" applyFill="1" applyBorder="1" applyAlignment="1">
      <alignment horizontal="center" vertical="top" wrapText="1"/>
    </xf>
    <xf numFmtId="164" fontId="49" fillId="3" borderId="2" xfId="1" applyNumberFormat="1" applyFont="1" applyFill="1" applyBorder="1" applyAlignment="1">
      <alignment horizontal="right" vertical="top" wrapText="1"/>
    </xf>
    <xf numFmtId="0" fontId="49" fillId="3" borderId="2" xfId="0" applyFont="1" applyFill="1" applyBorder="1" applyAlignment="1">
      <alignment horizontal="left" vertical="top" wrapText="1"/>
    </xf>
    <xf numFmtId="164" fontId="49" fillId="3" borderId="2" xfId="0" applyNumberFormat="1" applyFont="1" applyFill="1" applyBorder="1" applyAlignment="1">
      <alignment horizontal="right" vertical="top" wrapText="1"/>
    </xf>
    <xf numFmtId="14" fontId="49" fillId="3" borderId="2" xfId="0" applyNumberFormat="1" applyFont="1" applyFill="1" applyBorder="1" applyAlignment="1">
      <alignment horizontal="right" vertical="top" wrapText="1"/>
    </xf>
    <xf numFmtId="14" fontId="49" fillId="3" borderId="2" xfId="0" applyNumberFormat="1" applyFont="1" applyFill="1" applyBorder="1" applyAlignment="1">
      <alignment horizontal="center" vertical="top" wrapText="1"/>
    </xf>
    <xf numFmtId="14" fontId="49" fillId="3" borderId="2" xfId="0" applyNumberFormat="1" applyFont="1" applyFill="1" applyBorder="1" applyAlignment="1">
      <alignment vertical="top" wrapText="1"/>
    </xf>
    <xf numFmtId="164" fontId="49" fillId="3" borderId="2" xfId="1" applyNumberFormat="1" applyFont="1" applyFill="1" applyBorder="1" applyAlignment="1">
      <alignment horizontal="center" vertical="top" wrapText="1"/>
    </xf>
    <xf numFmtId="9" fontId="49" fillId="3" borderId="2" xfId="0" applyNumberFormat="1" applyFont="1" applyFill="1" applyBorder="1" applyAlignment="1">
      <alignment horizontal="right" vertical="top" wrapText="1"/>
    </xf>
    <xf numFmtId="0" fontId="58" fillId="3" borderId="2" xfId="0" applyFont="1" applyFill="1" applyBorder="1" applyAlignment="1">
      <alignment horizontal="center" vertical="top" wrapText="1"/>
    </xf>
    <xf numFmtId="0" fontId="59" fillId="3" borderId="2" xfId="0" applyFont="1" applyFill="1" applyBorder="1" applyAlignment="1">
      <alignment horizontal="center" vertical="top" wrapText="1"/>
    </xf>
    <xf numFmtId="0" fontId="49" fillId="3" borderId="20" xfId="0" applyFont="1" applyFill="1" applyBorder="1" applyAlignment="1">
      <alignment horizontal="center" vertical="top" wrapText="1"/>
    </xf>
    <xf numFmtId="0" fontId="56" fillId="21" borderId="2" xfId="0" applyFont="1" applyFill="1" applyBorder="1" applyAlignment="1">
      <alignment vertical="center" wrapText="1"/>
    </xf>
    <xf numFmtId="0" fontId="56" fillId="21" borderId="2" xfId="0" applyFont="1" applyFill="1" applyBorder="1" applyAlignment="1">
      <alignment horizontal="center" wrapText="1"/>
    </xf>
    <xf numFmtId="14" fontId="49" fillId="3" borderId="2" xfId="0" applyNumberFormat="1" applyFont="1" applyFill="1" applyBorder="1" applyAlignment="1">
      <alignment horizontal="center" vertical="center" wrapText="1"/>
    </xf>
    <xf numFmtId="14" fontId="59" fillId="3" borderId="2" xfId="0" applyNumberFormat="1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top"/>
    </xf>
    <xf numFmtId="0" fontId="49" fillId="0" borderId="0" xfId="0" applyFont="1" applyAlignment="1">
      <alignment vertical="top"/>
    </xf>
    <xf numFmtId="0" fontId="56" fillId="18" borderId="2" xfId="0" applyFont="1" applyFill="1" applyBorder="1" applyAlignment="1">
      <alignment vertical="center" wrapText="1"/>
    </xf>
    <xf numFmtId="0" fontId="56" fillId="21" borderId="2" xfId="0" applyFont="1" applyFill="1" applyBorder="1" applyAlignment="1">
      <alignment horizontal="center" vertical="top" wrapText="1"/>
    </xf>
    <xf numFmtId="164" fontId="58" fillId="3" borderId="2" xfId="1" applyNumberFormat="1" applyFont="1" applyFill="1" applyBorder="1" applyAlignment="1">
      <alignment horizontal="right" vertical="top" wrapText="1"/>
    </xf>
    <xf numFmtId="0" fontId="58" fillId="3" borderId="2" xfId="0" applyFont="1" applyFill="1" applyBorder="1" applyAlignment="1">
      <alignment vertical="top" wrapText="1"/>
    </xf>
    <xf numFmtId="164" fontId="58" fillId="3" borderId="2" xfId="0" applyNumberFormat="1" applyFont="1" applyFill="1" applyBorder="1" applyAlignment="1">
      <alignment horizontal="right" vertical="top" wrapText="1"/>
    </xf>
    <xf numFmtId="14" fontId="58" fillId="3" borderId="2" xfId="0" applyNumberFormat="1" applyFont="1" applyFill="1" applyBorder="1" applyAlignment="1">
      <alignment horizontal="right" vertical="top" wrapText="1"/>
    </xf>
    <xf numFmtId="14" fontId="58" fillId="3" borderId="2" xfId="0" applyNumberFormat="1" applyFont="1" applyFill="1" applyBorder="1" applyAlignment="1">
      <alignment vertical="top" wrapText="1"/>
    </xf>
    <xf numFmtId="14" fontId="58" fillId="3" borderId="2" xfId="0" applyNumberFormat="1" applyFont="1" applyFill="1" applyBorder="1" applyAlignment="1">
      <alignment horizontal="center" vertical="top" wrapText="1"/>
    </xf>
    <xf numFmtId="164" fontId="58" fillId="3" borderId="2" xfId="1" applyNumberFormat="1" applyFont="1" applyFill="1" applyBorder="1" applyAlignment="1">
      <alignment horizontal="center" vertical="top" wrapText="1"/>
    </xf>
    <xf numFmtId="9" fontId="58" fillId="3" borderId="2" xfId="0" applyNumberFormat="1" applyFont="1" applyFill="1" applyBorder="1" applyAlignment="1">
      <alignment horizontal="right" vertical="top" wrapText="1"/>
    </xf>
    <xf numFmtId="14" fontId="58" fillId="3" borderId="2" xfId="0" applyNumberFormat="1" applyFont="1" applyFill="1" applyBorder="1" applyAlignment="1">
      <alignment horizontal="center" vertical="center" wrapText="1"/>
    </xf>
    <xf numFmtId="0" fontId="58" fillId="3" borderId="2" xfId="0" applyFont="1" applyFill="1" applyBorder="1" applyAlignment="1">
      <alignment horizontal="left" vertical="top" wrapText="1"/>
    </xf>
    <xf numFmtId="0" fontId="45" fillId="0" borderId="0" xfId="0" applyFont="1" applyAlignment="1">
      <alignment horizontal="center" vertical="top"/>
    </xf>
    <xf numFmtId="164" fontId="59" fillId="3" borderId="2" xfId="1" applyNumberFormat="1" applyFont="1" applyFill="1" applyBorder="1" applyAlignment="1">
      <alignment horizontal="right" vertical="top" wrapText="1"/>
    </xf>
    <xf numFmtId="0" fontId="59" fillId="0" borderId="0" xfId="0" applyFont="1" applyAlignment="1">
      <alignment vertical="top"/>
    </xf>
    <xf numFmtId="0" fontId="59" fillId="3" borderId="2" xfId="0" applyFont="1" applyFill="1" applyBorder="1" applyAlignment="1">
      <alignment horizontal="left" vertical="top" wrapText="1"/>
    </xf>
    <xf numFmtId="164" fontId="59" fillId="3" borderId="2" xfId="0" applyNumberFormat="1" applyFont="1" applyFill="1" applyBorder="1" applyAlignment="1">
      <alignment horizontal="right" vertical="top" wrapText="1"/>
    </xf>
    <xf numFmtId="14" fontId="59" fillId="3" borderId="2" xfId="0" applyNumberFormat="1" applyFont="1" applyFill="1" applyBorder="1" applyAlignment="1">
      <alignment horizontal="right" vertical="top" wrapText="1"/>
    </xf>
    <xf numFmtId="14" fontId="59" fillId="3" borderId="2" xfId="0" applyNumberFormat="1" applyFont="1" applyFill="1" applyBorder="1" applyAlignment="1">
      <alignment vertical="top" wrapText="1"/>
    </xf>
    <xf numFmtId="14" fontId="59" fillId="3" borderId="2" xfId="0" applyNumberFormat="1" applyFont="1" applyFill="1" applyBorder="1" applyAlignment="1">
      <alignment horizontal="center" vertical="top" wrapText="1"/>
    </xf>
    <xf numFmtId="164" fontId="59" fillId="3" borderId="2" xfId="1" applyNumberFormat="1" applyFont="1" applyFill="1" applyBorder="1" applyAlignment="1">
      <alignment horizontal="center" vertical="top" wrapText="1"/>
    </xf>
    <xf numFmtId="9" fontId="59" fillId="3" borderId="2" xfId="0" applyNumberFormat="1" applyFont="1" applyFill="1" applyBorder="1" applyAlignment="1">
      <alignment horizontal="right" vertical="top" wrapText="1"/>
    </xf>
    <xf numFmtId="0" fontId="59" fillId="3" borderId="20" xfId="0" applyFont="1" applyFill="1" applyBorder="1" applyAlignment="1">
      <alignment horizontal="center" vertical="top" wrapText="1"/>
    </xf>
    <xf numFmtId="0" fontId="49" fillId="3" borderId="2" xfId="0" applyFont="1" applyFill="1" applyBorder="1" applyAlignment="1">
      <alignment vertical="top" wrapText="1"/>
    </xf>
    <xf numFmtId="0" fontId="50" fillId="3" borderId="2" xfId="0" applyFont="1" applyFill="1" applyBorder="1" applyAlignment="1">
      <alignment horizontal="center" vertical="top" wrapText="1"/>
    </xf>
    <xf numFmtId="164" fontId="50" fillId="3" borderId="2" xfId="1" applyNumberFormat="1" applyFont="1" applyFill="1" applyBorder="1" applyAlignment="1">
      <alignment horizontal="right" vertical="top" wrapText="1"/>
    </xf>
    <xf numFmtId="0" fontId="50" fillId="0" borderId="0" xfId="0" applyFont="1" applyAlignment="1">
      <alignment vertical="top"/>
    </xf>
    <xf numFmtId="0" fontId="50" fillId="3" borderId="2" xfId="0" applyFont="1" applyFill="1" applyBorder="1" applyAlignment="1">
      <alignment horizontal="left" vertical="top" wrapText="1"/>
    </xf>
    <xf numFmtId="164" fontId="50" fillId="3" borderId="2" xfId="0" applyNumberFormat="1" applyFont="1" applyFill="1" applyBorder="1" applyAlignment="1">
      <alignment horizontal="right" vertical="top" wrapText="1"/>
    </xf>
    <xf numFmtId="14" fontId="50" fillId="3" borderId="2" xfId="0" applyNumberFormat="1" applyFont="1" applyFill="1" applyBorder="1" applyAlignment="1">
      <alignment horizontal="right" vertical="top" wrapText="1"/>
    </xf>
    <xf numFmtId="14" fontId="50" fillId="3" borderId="2" xfId="0" applyNumberFormat="1" applyFont="1" applyFill="1" applyBorder="1" applyAlignment="1">
      <alignment vertical="top" wrapText="1"/>
    </xf>
    <xf numFmtId="14" fontId="50" fillId="3" borderId="2" xfId="0" applyNumberFormat="1" applyFont="1" applyFill="1" applyBorder="1" applyAlignment="1">
      <alignment horizontal="center" vertical="top" wrapText="1"/>
    </xf>
    <xf numFmtId="164" fontId="50" fillId="3" borderId="2" xfId="0" applyNumberFormat="1" applyFont="1" applyFill="1" applyBorder="1" applyAlignment="1">
      <alignment horizontal="center" vertical="top" wrapText="1"/>
    </xf>
    <xf numFmtId="164" fontId="50" fillId="3" borderId="2" xfId="1" applyNumberFormat="1" applyFont="1" applyFill="1" applyBorder="1" applyAlignment="1">
      <alignment horizontal="center" vertical="top" wrapText="1"/>
    </xf>
    <xf numFmtId="9" fontId="50" fillId="3" borderId="2" xfId="0" applyNumberFormat="1" applyFont="1" applyFill="1" applyBorder="1" applyAlignment="1">
      <alignment horizontal="right" vertical="top" wrapText="1"/>
    </xf>
    <xf numFmtId="0" fontId="50" fillId="3" borderId="20" xfId="0" applyFont="1" applyFill="1" applyBorder="1" applyAlignment="1">
      <alignment horizontal="center" vertical="top" wrapText="1"/>
    </xf>
    <xf numFmtId="14" fontId="50" fillId="3" borderId="2" xfId="0" applyNumberFormat="1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top"/>
    </xf>
    <xf numFmtId="0" fontId="56" fillId="21" borderId="2" xfId="0" applyFont="1" applyFill="1" applyBorder="1" applyAlignment="1">
      <alignment horizontal="center" vertical="center" wrapText="1"/>
    </xf>
    <xf numFmtId="164" fontId="49" fillId="3" borderId="2" xfId="0" applyNumberFormat="1" applyFont="1" applyFill="1" applyBorder="1" applyAlignment="1">
      <alignment vertical="top" wrapText="1"/>
    </xf>
    <xf numFmtId="164" fontId="49" fillId="3" borderId="2" xfId="1" applyNumberFormat="1" applyFont="1" applyFill="1" applyBorder="1" applyAlignment="1">
      <alignment vertical="top" wrapText="1"/>
    </xf>
    <xf numFmtId="0" fontId="49" fillId="3" borderId="20" xfId="0" applyFont="1" applyFill="1" applyBorder="1" applyAlignment="1">
      <alignment vertical="top" wrapText="1"/>
    </xf>
    <xf numFmtId="0" fontId="50" fillId="0" borderId="0" xfId="0" applyFont="1" applyAlignment="1">
      <alignment horizontal="center" vertical="top"/>
    </xf>
    <xf numFmtId="0" fontId="49" fillId="3" borderId="2" xfId="0" applyFont="1" applyFill="1" applyBorder="1" applyAlignment="1">
      <alignment horizontal="center" vertical="top"/>
    </xf>
    <xf numFmtId="164" fontId="49" fillId="3" borderId="2" xfId="1" applyNumberFormat="1" applyFont="1" applyFill="1" applyBorder="1" applyAlignment="1">
      <alignment horizontal="right" vertical="top"/>
    </xf>
    <xf numFmtId="164" fontId="49" fillId="3" borderId="2" xfId="0" applyNumberFormat="1" applyFont="1" applyFill="1" applyBorder="1" applyAlignment="1">
      <alignment horizontal="right" vertical="top"/>
    </xf>
    <xf numFmtId="14" fontId="49" fillId="3" borderId="2" xfId="0" applyNumberFormat="1" applyFont="1" applyFill="1" applyBorder="1" applyAlignment="1">
      <alignment horizontal="right" vertical="top"/>
    </xf>
    <xf numFmtId="14" fontId="49" fillId="3" borderId="2" xfId="0" applyNumberFormat="1" applyFont="1" applyFill="1" applyBorder="1" applyAlignment="1">
      <alignment horizontal="center" vertical="top"/>
    </xf>
    <xf numFmtId="164" fontId="49" fillId="3" borderId="2" xfId="1" applyNumberFormat="1" applyFont="1" applyFill="1" applyBorder="1" applyAlignment="1">
      <alignment horizontal="center" vertical="top"/>
    </xf>
    <xf numFmtId="0" fontId="59" fillId="3" borderId="20" xfId="0" applyFont="1" applyFill="1" applyBorder="1" applyAlignment="1">
      <alignment horizontal="center" vertical="top"/>
    </xf>
    <xf numFmtId="0" fontId="59" fillId="3" borderId="2" xfId="0" applyFont="1" applyFill="1" applyBorder="1" applyAlignment="1">
      <alignment horizontal="center" vertical="top"/>
    </xf>
    <xf numFmtId="14" fontId="59" fillId="3" borderId="2" xfId="0" applyNumberFormat="1" applyFont="1" applyFill="1" applyBorder="1" applyAlignment="1">
      <alignment horizontal="center" vertical="center"/>
    </xf>
    <xf numFmtId="164" fontId="49" fillId="0" borderId="2" xfId="1" applyNumberFormat="1" applyFont="1" applyFill="1" applyBorder="1" applyAlignment="1">
      <alignment horizontal="right" vertical="top"/>
    </xf>
    <xf numFmtId="14" fontId="49" fillId="0" borderId="2" xfId="0" applyNumberFormat="1" applyFont="1" applyBorder="1" applyAlignment="1">
      <alignment vertical="top" wrapText="1"/>
    </xf>
    <xf numFmtId="14" fontId="49" fillId="0" borderId="2" xfId="0" applyNumberFormat="1" applyFont="1" applyBorder="1" applyAlignment="1">
      <alignment horizontal="center" vertical="top" wrapText="1"/>
    </xf>
    <xf numFmtId="0" fontId="49" fillId="0" borderId="2" xfId="0" applyFont="1" applyBorder="1" applyAlignment="1">
      <alignment horizontal="center" vertical="top"/>
    </xf>
    <xf numFmtId="0" fontId="59" fillId="0" borderId="20" xfId="0" applyFont="1" applyBorder="1" applyAlignment="1">
      <alignment horizontal="center" vertical="top"/>
    </xf>
    <xf numFmtId="0" fontId="59" fillId="0" borderId="2" xfId="0" applyFont="1" applyBorder="1" applyAlignment="1">
      <alignment horizontal="center" vertical="top"/>
    </xf>
    <xf numFmtId="164" fontId="59" fillId="3" borderId="2" xfId="0" applyNumberFormat="1" applyFont="1" applyFill="1" applyBorder="1" applyAlignment="1">
      <alignment horizontal="right" vertical="top"/>
    </xf>
    <xf numFmtId="0" fontId="59" fillId="3" borderId="2" xfId="0" applyFont="1" applyFill="1" applyBorder="1" applyAlignment="1">
      <alignment vertical="top"/>
    </xf>
    <xf numFmtId="0" fontId="51" fillId="3" borderId="63" xfId="0" applyFont="1" applyFill="1" applyBorder="1" applyAlignment="1">
      <alignment horizontal="center" vertical="top"/>
    </xf>
    <xf numFmtId="164" fontId="51" fillId="3" borderId="63" xfId="0" applyNumberFormat="1" applyFont="1" applyFill="1" applyBorder="1" applyAlignment="1">
      <alignment vertical="top"/>
    </xf>
    <xf numFmtId="14" fontId="59" fillId="3" borderId="2" xfId="0" applyNumberFormat="1" applyFont="1" applyFill="1" applyBorder="1" applyAlignment="1">
      <alignment vertical="top"/>
    </xf>
    <xf numFmtId="0" fontId="59" fillId="3" borderId="2" xfId="0" applyFont="1" applyFill="1" applyBorder="1" applyAlignment="1">
      <alignment horizontal="right" vertical="top"/>
    </xf>
    <xf numFmtId="0" fontId="59" fillId="3" borderId="20" xfId="0" applyFont="1" applyFill="1" applyBorder="1" applyAlignment="1">
      <alignment vertical="top"/>
    </xf>
    <xf numFmtId="0" fontId="56" fillId="21" borderId="2" xfId="0" applyFont="1" applyFill="1" applyBorder="1" applyAlignment="1">
      <alignment horizontal="center" vertical="center"/>
    </xf>
    <xf numFmtId="0" fontId="49" fillId="3" borderId="0" xfId="0" applyFont="1" applyFill="1" applyAlignment="1">
      <alignment vertical="top"/>
    </xf>
    <xf numFmtId="14" fontId="49" fillId="3" borderId="20" xfId="0" applyNumberFormat="1" applyFont="1" applyFill="1" applyBorder="1" applyAlignment="1">
      <alignment horizontal="center" vertical="top"/>
    </xf>
    <xf numFmtId="9" fontId="49" fillId="3" borderId="2" xfId="0" applyNumberFormat="1" applyFont="1" applyFill="1" applyBorder="1" applyAlignment="1">
      <alignment horizontal="right" vertical="top"/>
    </xf>
    <xf numFmtId="0" fontId="49" fillId="3" borderId="20" xfId="0" applyFont="1" applyFill="1" applyBorder="1" applyAlignment="1">
      <alignment horizontal="center" vertical="top"/>
    </xf>
    <xf numFmtId="164" fontId="49" fillId="3" borderId="20" xfId="1" applyNumberFormat="1" applyFont="1" applyFill="1" applyBorder="1" applyAlignment="1">
      <alignment horizontal="right" vertical="top"/>
    </xf>
    <xf numFmtId="0" fontId="49" fillId="3" borderId="20" xfId="0" applyFont="1" applyFill="1" applyBorder="1" applyAlignment="1">
      <alignment horizontal="left" vertical="top" wrapText="1"/>
    </xf>
    <xf numFmtId="164" fontId="49" fillId="3" borderId="20" xfId="0" applyNumberFormat="1" applyFont="1" applyFill="1" applyBorder="1" applyAlignment="1">
      <alignment horizontal="right" vertical="top"/>
    </xf>
    <xf numFmtId="14" fontId="49" fillId="3" borderId="20" xfId="0" applyNumberFormat="1" applyFont="1" applyFill="1" applyBorder="1" applyAlignment="1">
      <alignment horizontal="right" vertical="top"/>
    </xf>
    <xf numFmtId="14" fontId="49" fillId="3" borderId="20" xfId="0" applyNumberFormat="1" applyFont="1" applyFill="1" applyBorder="1" applyAlignment="1">
      <alignment vertical="top" wrapText="1"/>
    </xf>
    <xf numFmtId="14" fontId="49" fillId="3" borderId="20" xfId="0" applyNumberFormat="1" applyFont="1" applyFill="1" applyBorder="1" applyAlignment="1">
      <alignment horizontal="center" vertical="top" wrapText="1"/>
    </xf>
    <xf numFmtId="164" fontId="49" fillId="3" borderId="20" xfId="1" applyNumberFormat="1" applyFont="1" applyFill="1" applyBorder="1" applyAlignment="1">
      <alignment horizontal="center" vertical="top"/>
    </xf>
    <xf numFmtId="9" fontId="49" fillId="3" borderId="20" xfId="0" applyNumberFormat="1" applyFont="1" applyFill="1" applyBorder="1" applyAlignment="1">
      <alignment horizontal="right" vertical="top"/>
    </xf>
    <xf numFmtId="164" fontId="51" fillId="3" borderId="63" xfId="0" applyNumberFormat="1" applyFont="1" applyFill="1" applyBorder="1" applyAlignment="1">
      <alignment horizontal="right" vertical="top"/>
    </xf>
    <xf numFmtId="0" fontId="51" fillId="3" borderId="63" xfId="0" applyFont="1" applyFill="1" applyBorder="1" applyAlignment="1">
      <alignment vertical="top"/>
    </xf>
    <xf numFmtId="0" fontId="51" fillId="3" borderId="63" xfId="0" applyFont="1" applyFill="1" applyBorder="1" applyAlignment="1">
      <alignment vertical="top" wrapText="1"/>
    </xf>
    <xf numFmtId="0" fontId="51" fillId="3" borderId="63" xfId="0" applyFont="1" applyFill="1" applyBorder="1" applyAlignment="1">
      <alignment horizontal="right" vertical="top"/>
    </xf>
    <xf numFmtId="0" fontId="57" fillId="0" borderId="63" xfId="0" applyFont="1" applyBorder="1" applyAlignment="1">
      <alignment horizontal="center" vertical="top"/>
    </xf>
    <xf numFmtId="0" fontId="49" fillId="3" borderId="64" xfId="0" applyFont="1" applyFill="1" applyBorder="1" applyAlignment="1">
      <alignment horizontal="center" vertical="top"/>
    </xf>
    <xf numFmtId="164" fontId="49" fillId="3" borderId="64" xfId="1" applyNumberFormat="1" applyFont="1" applyFill="1" applyBorder="1" applyAlignment="1">
      <alignment horizontal="right" vertical="top"/>
    </xf>
    <xf numFmtId="0" fontId="49" fillId="3" borderId="64" xfId="0" applyFont="1" applyFill="1" applyBorder="1" applyAlignment="1">
      <alignment vertical="top"/>
    </xf>
    <xf numFmtId="0" fontId="49" fillId="3" borderId="64" xfId="0" applyFont="1" applyFill="1" applyBorder="1" applyAlignment="1">
      <alignment horizontal="left" vertical="top" wrapText="1"/>
    </xf>
    <xf numFmtId="0" fontId="49" fillId="3" borderId="64" xfId="0" applyFont="1" applyFill="1" applyBorder="1" applyAlignment="1">
      <alignment horizontal="center" vertical="top" wrapText="1"/>
    </xf>
    <xf numFmtId="164" fontId="49" fillId="3" borderId="64" xfId="0" applyNumberFormat="1" applyFont="1" applyFill="1" applyBorder="1" applyAlignment="1">
      <alignment horizontal="right" vertical="top"/>
    </xf>
    <xf numFmtId="14" fontId="49" fillId="3" borderId="64" xfId="0" applyNumberFormat="1" applyFont="1" applyFill="1" applyBorder="1" applyAlignment="1">
      <alignment horizontal="right" vertical="top"/>
    </xf>
    <xf numFmtId="14" fontId="49" fillId="3" borderId="64" xfId="0" applyNumberFormat="1" applyFont="1" applyFill="1" applyBorder="1" applyAlignment="1">
      <alignment vertical="top" wrapText="1"/>
    </xf>
    <xf numFmtId="14" fontId="49" fillId="3" borderId="64" xfId="0" applyNumberFormat="1" applyFont="1" applyFill="1" applyBorder="1" applyAlignment="1">
      <alignment horizontal="center" vertical="top" wrapText="1"/>
    </xf>
    <xf numFmtId="164" fontId="49" fillId="3" borderId="64" xfId="1" applyNumberFormat="1" applyFont="1" applyFill="1" applyBorder="1" applyAlignment="1">
      <alignment horizontal="center" vertical="top"/>
    </xf>
    <xf numFmtId="9" fontId="49" fillId="3" borderId="63" xfId="0" applyNumberFormat="1" applyFont="1" applyFill="1" applyBorder="1" applyAlignment="1">
      <alignment horizontal="right" vertical="top"/>
    </xf>
    <xf numFmtId="14" fontId="49" fillId="3" borderId="64" xfId="0" applyNumberFormat="1" applyFont="1" applyFill="1" applyBorder="1" applyAlignment="1">
      <alignment horizontal="center" vertical="top"/>
    </xf>
    <xf numFmtId="14" fontId="59" fillId="3" borderId="64" xfId="0" applyNumberFormat="1" applyFont="1" applyFill="1" applyBorder="1" applyAlignment="1">
      <alignment horizontal="center" vertical="center"/>
    </xf>
    <xf numFmtId="0" fontId="45" fillId="0" borderId="64" xfId="0" applyFont="1" applyBorder="1" applyAlignment="1">
      <alignment horizontal="center" vertical="top"/>
    </xf>
    <xf numFmtId="164" fontId="49" fillId="3" borderId="63" xfId="1" applyNumberFormat="1" applyFont="1" applyFill="1" applyBorder="1" applyAlignment="1">
      <alignment horizontal="right" vertical="top"/>
    </xf>
    <xf numFmtId="0" fontId="49" fillId="3" borderId="63" xfId="0" applyFont="1" applyFill="1" applyBorder="1" applyAlignment="1">
      <alignment vertical="top"/>
    </xf>
    <xf numFmtId="0" fontId="49" fillId="3" borderId="63" xfId="0" applyFont="1" applyFill="1" applyBorder="1" applyAlignment="1">
      <alignment horizontal="left" vertical="top" wrapText="1"/>
    </xf>
    <xf numFmtId="0" fontId="49" fillId="3" borderId="63" xfId="0" applyFont="1" applyFill="1" applyBorder="1" applyAlignment="1">
      <alignment horizontal="center" vertical="top" wrapText="1"/>
    </xf>
    <xf numFmtId="14" fontId="49" fillId="3" borderId="63" xfId="0" applyNumberFormat="1" applyFont="1" applyFill="1" applyBorder="1" applyAlignment="1">
      <alignment horizontal="center" vertical="top"/>
    </xf>
    <xf numFmtId="14" fontId="49" fillId="3" borderId="63" xfId="0" applyNumberFormat="1" applyFont="1" applyFill="1" applyBorder="1" applyAlignment="1">
      <alignment vertical="top" wrapText="1"/>
    </xf>
    <xf numFmtId="14" fontId="49" fillId="3" borderId="63" xfId="0" applyNumberFormat="1" applyFont="1" applyFill="1" applyBorder="1" applyAlignment="1">
      <alignment horizontal="center" vertical="top" wrapText="1"/>
    </xf>
    <xf numFmtId="164" fontId="49" fillId="3" borderId="63" xfId="1" applyNumberFormat="1" applyFont="1" applyFill="1" applyBorder="1" applyAlignment="1">
      <alignment horizontal="center" vertical="top"/>
    </xf>
    <xf numFmtId="0" fontId="45" fillId="3" borderId="63" xfId="0" applyFont="1" applyFill="1" applyBorder="1" applyAlignment="1">
      <alignment vertical="top"/>
    </xf>
    <xf numFmtId="0" fontId="49" fillId="3" borderId="63" xfId="0" applyFont="1" applyFill="1" applyBorder="1" applyAlignment="1">
      <alignment vertical="top" wrapText="1"/>
    </xf>
    <xf numFmtId="164" fontId="49" fillId="3" borderId="63" xfId="0" applyNumberFormat="1" applyFont="1" applyFill="1" applyBorder="1" applyAlignment="1">
      <alignment vertical="top"/>
    </xf>
    <xf numFmtId="0" fontId="45" fillId="3" borderId="63" xfId="0" applyFont="1" applyFill="1" applyBorder="1" applyAlignment="1">
      <alignment horizontal="center" vertical="top"/>
    </xf>
    <xf numFmtId="167" fontId="49" fillId="3" borderId="63" xfId="0" applyNumberFormat="1" applyFont="1" applyFill="1" applyBorder="1" applyAlignment="1">
      <alignment horizontal="center" vertical="top"/>
    </xf>
    <xf numFmtId="14" fontId="45" fillId="3" borderId="63" xfId="0" applyNumberFormat="1" applyFont="1" applyFill="1" applyBorder="1" applyAlignment="1">
      <alignment horizontal="center" vertical="top"/>
    </xf>
    <xf numFmtId="0" fontId="43" fillId="3" borderId="63" xfId="0" applyFont="1" applyFill="1" applyBorder="1" applyAlignment="1">
      <alignment horizontal="center" vertical="top"/>
    </xf>
    <xf numFmtId="0" fontId="57" fillId="3" borderId="63" xfId="0" applyFont="1" applyFill="1" applyBorder="1" applyAlignment="1">
      <alignment horizontal="center" vertical="top"/>
    </xf>
    <xf numFmtId="14" fontId="45" fillId="3" borderId="63" xfId="0" applyNumberFormat="1" applyFont="1" applyFill="1" applyBorder="1" applyAlignment="1">
      <alignment horizontal="center" vertical="center"/>
    </xf>
    <xf numFmtId="0" fontId="45" fillId="0" borderId="63" xfId="0" applyFont="1" applyBorder="1" applyAlignment="1">
      <alignment horizontal="center" vertical="top"/>
    </xf>
    <xf numFmtId="14" fontId="45" fillId="3" borderId="63" xfId="0" applyNumberFormat="1" applyFont="1" applyFill="1" applyBorder="1" applyAlignment="1">
      <alignment horizontal="center" vertical="top" wrapText="1"/>
    </xf>
    <xf numFmtId="164" fontId="45" fillId="3" borderId="63" xfId="1" applyNumberFormat="1" applyFont="1" applyFill="1" applyBorder="1" applyAlignment="1">
      <alignment horizontal="center" vertical="top"/>
    </xf>
    <xf numFmtId="0" fontId="43" fillId="3" borderId="63" xfId="0" applyFont="1" applyFill="1" applyBorder="1" applyAlignment="1">
      <alignment vertical="top"/>
    </xf>
    <xf numFmtId="14" fontId="51" fillId="3" borderId="63" xfId="0" applyNumberFormat="1" applyFont="1" applyFill="1" applyBorder="1" applyAlignment="1">
      <alignment horizontal="center" vertical="top"/>
    </xf>
    <xf numFmtId="9" fontId="59" fillId="3" borderId="63" xfId="0" applyNumberFormat="1" applyFont="1" applyFill="1" applyBorder="1" applyAlignment="1">
      <alignment horizontal="right" vertical="top"/>
    </xf>
    <xf numFmtId="0" fontId="56" fillId="21" borderId="63" xfId="0" applyFont="1" applyFill="1" applyBorder="1" applyAlignment="1">
      <alignment vertical="center"/>
    </xf>
    <xf numFmtId="0" fontId="51" fillId="3" borderId="63" xfId="0" applyFont="1" applyFill="1" applyBorder="1" applyAlignment="1">
      <alignment horizontal="center" vertical="center"/>
    </xf>
    <xf numFmtId="0" fontId="57" fillId="0" borderId="2" xfId="0" applyFont="1" applyBorder="1" applyAlignment="1">
      <alignment horizontal="center" vertical="top"/>
    </xf>
    <xf numFmtId="164" fontId="43" fillId="0" borderId="2" xfId="1" applyNumberFormat="1" applyFont="1" applyFill="1" applyBorder="1" applyAlignment="1">
      <alignment horizontal="right" vertical="top"/>
    </xf>
    <xf numFmtId="164" fontId="43" fillId="3" borderId="63" xfId="0" applyNumberFormat="1" applyFont="1" applyFill="1" applyBorder="1" applyAlignment="1">
      <alignment horizontal="right" vertical="top"/>
    </xf>
    <xf numFmtId="0" fontId="43" fillId="3" borderId="2" xfId="0" applyFont="1" applyFill="1" applyBorder="1" applyAlignment="1">
      <alignment horizontal="center" vertical="top"/>
    </xf>
    <xf numFmtId="14" fontId="43" fillId="3" borderId="2" xfId="0" applyNumberFormat="1" applyFont="1" applyFill="1" applyBorder="1" applyAlignment="1">
      <alignment horizontal="center" vertical="top"/>
    </xf>
    <xf numFmtId="0" fontId="57" fillId="21" borderId="2" xfId="0" applyFont="1" applyFill="1" applyBorder="1" applyAlignment="1">
      <alignment vertical="center"/>
    </xf>
    <xf numFmtId="0" fontId="57" fillId="21" borderId="2" xfId="0" applyFont="1" applyFill="1" applyBorder="1" applyAlignment="1">
      <alignment horizontal="center" vertical="top"/>
    </xf>
    <xf numFmtId="14" fontId="57" fillId="0" borderId="2" xfId="0" applyNumberFormat="1" applyFont="1" applyBorder="1" applyAlignment="1">
      <alignment horizontal="center" vertical="center"/>
    </xf>
    <xf numFmtId="0" fontId="51" fillId="11" borderId="63" xfId="0" applyFont="1" applyFill="1" applyBorder="1" applyAlignment="1">
      <alignment horizontal="center" vertical="top"/>
    </xf>
    <xf numFmtId="14" fontId="43" fillId="3" borderId="63" xfId="0" applyNumberFormat="1" applyFont="1" applyFill="1" applyBorder="1" applyAlignment="1">
      <alignment horizontal="right" vertical="top"/>
    </xf>
    <xf numFmtId="14" fontId="43" fillId="3" borderId="63" xfId="0" applyNumberFormat="1" applyFont="1" applyFill="1" applyBorder="1" applyAlignment="1">
      <alignment horizontal="center" vertical="top" wrapText="1"/>
    </xf>
    <xf numFmtId="164" fontId="43" fillId="3" borderId="63" xfId="1" applyNumberFormat="1" applyFont="1" applyFill="1" applyBorder="1" applyAlignment="1">
      <alignment horizontal="center" vertical="top"/>
    </xf>
    <xf numFmtId="14" fontId="43" fillId="3" borderId="63" xfId="0" applyNumberFormat="1" applyFont="1" applyFill="1" applyBorder="1" applyAlignment="1">
      <alignment horizontal="center" vertical="top"/>
    </xf>
    <xf numFmtId="14" fontId="43" fillId="3" borderId="63" xfId="0" applyNumberFormat="1" applyFont="1" applyFill="1" applyBorder="1" applyAlignment="1">
      <alignment horizontal="center" vertical="center"/>
    </xf>
    <xf numFmtId="0" fontId="50" fillId="22" borderId="2" xfId="0" applyFont="1" applyFill="1" applyBorder="1" applyAlignment="1">
      <alignment horizontal="center" vertical="top"/>
    </xf>
    <xf numFmtId="0" fontId="50" fillId="22" borderId="29" xfId="0" applyFont="1" applyFill="1" applyBorder="1" applyAlignment="1">
      <alignment horizontal="right" vertical="top"/>
    </xf>
    <xf numFmtId="0" fontId="60" fillId="3" borderId="63" xfId="0" applyFont="1" applyFill="1" applyBorder="1" applyAlignment="1">
      <alignment vertical="top"/>
    </xf>
    <xf numFmtId="0" fontId="50" fillId="22" borderId="2" xfId="0" applyFont="1" applyFill="1" applyBorder="1" applyAlignment="1">
      <alignment vertical="top" wrapText="1"/>
    </xf>
    <xf numFmtId="0" fontId="50" fillId="3" borderId="63" xfId="0" applyFont="1" applyFill="1" applyBorder="1" applyAlignment="1">
      <alignment horizontal="center" vertical="top"/>
    </xf>
    <xf numFmtId="0" fontId="60" fillId="0" borderId="2" xfId="0" applyFont="1" applyBorder="1" applyAlignment="1">
      <alignment horizontal="center" vertical="top"/>
    </xf>
    <xf numFmtId="0" fontId="50" fillId="0" borderId="2" xfId="0" applyFont="1" applyBorder="1" applyAlignment="1">
      <alignment horizontal="center" vertical="top"/>
    </xf>
    <xf numFmtId="164" fontId="50" fillId="3" borderId="63" xfId="0" applyNumberFormat="1" applyFont="1" applyFill="1" applyBorder="1" applyAlignment="1">
      <alignment horizontal="right" vertical="top"/>
    </xf>
    <xf numFmtId="14" fontId="50" fillId="3" borderId="63" xfId="0" applyNumberFormat="1" applyFont="1" applyFill="1" applyBorder="1" applyAlignment="1">
      <alignment horizontal="right" vertical="top"/>
    </xf>
    <xf numFmtId="14" fontId="50" fillId="3" borderId="63" xfId="0" applyNumberFormat="1" applyFont="1" applyFill="1" applyBorder="1" applyAlignment="1">
      <alignment horizontal="center" vertical="top"/>
    </xf>
    <xf numFmtId="14" fontId="61" fillId="0" borderId="2" xfId="0" applyNumberFormat="1" applyFont="1" applyBorder="1" applyAlignment="1">
      <alignment horizontal="center" vertical="top"/>
    </xf>
    <xf numFmtId="164" fontId="61" fillId="0" borderId="2" xfId="1" applyNumberFormat="1" applyFont="1" applyFill="1" applyBorder="1" applyAlignment="1">
      <alignment horizontal="center" vertical="top"/>
    </xf>
    <xf numFmtId="9" fontId="61" fillId="0" borderId="2" xfId="0" applyNumberFormat="1" applyFont="1" applyBorder="1" applyAlignment="1">
      <alignment horizontal="right" vertical="top"/>
    </xf>
    <xf numFmtId="14" fontId="60" fillId="0" borderId="2" xfId="0" applyNumberFormat="1" applyFont="1" applyBorder="1" applyAlignment="1">
      <alignment horizontal="center" vertical="top"/>
    </xf>
    <xf numFmtId="14" fontId="60" fillId="3" borderId="2" xfId="0" applyNumberFormat="1" applyFont="1" applyFill="1" applyBorder="1" applyAlignment="1">
      <alignment horizontal="center" vertical="top"/>
    </xf>
    <xf numFmtId="0" fontId="60" fillId="3" borderId="2" xfId="0" applyFont="1" applyFill="1" applyBorder="1" applyAlignment="1">
      <alignment horizontal="center" vertical="top"/>
    </xf>
    <xf numFmtId="0" fontId="60" fillId="0" borderId="20" xfId="0" applyFont="1" applyBorder="1" applyAlignment="1">
      <alignment horizontal="center" vertical="top"/>
    </xf>
    <xf numFmtId="0" fontId="50" fillId="21" borderId="2" xfId="0" applyFont="1" applyFill="1" applyBorder="1" applyAlignment="1">
      <alignment vertical="center" wrapText="1"/>
    </xf>
    <xf numFmtId="0" fontId="50" fillId="21" borderId="2" xfId="0" applyFont="1" applyFill="1" applyBorder="1" applyAlignment="1">
      <alignment horizontal="center" vertical="center" wrapText="1"/>
    </xf>
    <xf numFmtId="14" fontId="60" fillId="0" borderId="2" xfId="0" applyNumberFormat="1" applyFont="1" applyBorder="1" applyAlignment="1">
      <alignment horizontal="center" vertical="center"/>
    </xf>
    <xf numFmtId="0" fontId="60" fillId="0" borderId="63" xfId="0" applyFont="1" applyBorder="1" applyAlignment="1">
      <alignment horizontal="center" vertical="top"/>
    </xf>
    <xf numFmtId="0" fontId="48" fillId="0" borderId="2" xfId="0" applyFont="1" applyBorder="1" applyAlignment="1">
      <alignment horizontal="center" vertical="top"/>
    </xf>
    <xf numFmtId="164" fontId="48" fillId="0" borderId="2" xfId="1" applyNumberFormat="1" applyFont="1" applyFill="1" applyBorder="1" applyAlignment="1">
      <alignment horizontal="right" vertical="top"/>
    </xf>
    <xf numFmtId="0" fontId="48" fillId="0" borderId="2" xfId="0" applyFont="1" applyBorder="1" applyAlignment="1">
      <alignment vertical="top" wrapText="1"/>
    </xf>
    <xf numFmtId="14" fontId="48" fillId="3" borderId="63" xfId="0" applyNumberFormat="1" applyFont="1" applyFill="1" applyBorder="1" applyAlignment="1">
      <alignment horizontal="center" vertical="top"/>
    </xf>
    <xf numFmtId="0" fontId="48" fillId="3" borderId="2" xfId="0" applyFont="1" applyFill="1" applyBorder="1" applyAlignment="1">
      <alignment horizontal="center" vertical="top"/>
    </xf>
    <xf numFmtId="14" fontId="48" fillId="3" borderId="2" xfId="0" applyNumberFormat="1" applyFont="1" applyFill="1" applyBorder="1" applyAlignment="1">
      <alignment horizontal="center" vertical="top"/>
    </xf>
    <xf numFmtId="0" fontId="48" fillId="0" borderId="66" xfId="0" applyFont="1" applyBorder="1" applyAlignment="1">
      <alignment horizontal="center" vertical="top"/>
    </xf>
    <xf numFmtId="0" fontId="48" fillId="21" borderId="2" xfId="0" applyFont="1" applyFill="1" applyBorder="1" applyAlignment="1">
      <alignment horizontal="center" vertical="center"/>
    </xf>
    <xf numFmtId="14" fontId="48" fillId="0" borderId="2" xfId="0" applyNumberFormat="1" applyFont="1" applyBorder="1" applyAlignment="1">
      <alignment horizontal="center" vertical="center"/>
    </xf>
    <xf numFmtId="0" fontId="48" fillId="0" borderId="63" xfId="0" applyFont="1" applyBorder="1" applyAlignment="1">
      <alignment horizontal="center" vertical="top"/>
    </xf>
    <xf numFmtId="0" fontId="62" fillId="3" borderId="63" xfId="0" applyFont="1" applyFill="1" applyBorder="1" applyAlignment="1">
      <alignment vertical="top"/>
    </xf>
    <xf numFmtId="0" fontId="48" fillId="3" borderId="63" xfId="0" applyFont="1" applyFill="1" applyBorder="1" applyAlignment="1">
      <alignment vertical="top" wrapText="1"/>
    </xf>
    <xf numFmtId="164" fontId="48" fillId="3" borderId="63" xfId="0" applyNumberFormat="1" applyFont="1" applyFill="1" applyBorder="1" applyAlignment="1">
      <alignment vertical="top"/>
    </xf>
    <xf numFmtId="0" fontId="62" fillId="3" borderId="63" xfId="0" applyFont="1" applyFill="1" applyBorder="1" applyAlignment="1">
      <alignment horizontal="center" vertical="top"/>
    </xf>
    <xf numFmtId="14" fontId="62" fillId="3" borderId="63" xfId="0" applyNumberFormat="1" applyFont="1" applyFill="1" applyBorder="1" applyAlignment="1">
      <alignment horizontal="center" vertical="top" wrapText="1"/>
    </xf>
    <xf numFmtId="164" fontId="62" fillId="3" borderId="63" xfId="1" applyNumberFormat="1" applyFont="1" applyFill="1" applyBorder="1" applyAlignment="1">
      <alignment horizontal="center" vertical="top"/>
    </xf>
    <xf numFmtId="9" fontId="48" fillId="3" borderId="63" xfId="0" applyNumberFormat="1" applyFont="1" applyFill="1" applyBorder="1" applyAlignment="1">
      <alignment horizontal="right" vertical="top"/>
    </xf>
    <xf numFmtId="14" fontId="62" fillId="3" borderId="63" xfId="0" applyNumberFormat="1" applyFont="1" applyFill="1" applyBorder="1" applyAlignment="1">
      <alignment horizontal="center" vertical="top"/>
    </xf>
    <xf numFmtId="0" fontId="48" fillId="21" borderId="63" xfId="0" applyFont="1" applyFill="1" applyBorder="1" applyAlignment="1">
      <alignment horizontal="center" vertical="center"/>
    </xf>
    <xf numFmtId="14" fontId="62" fillId="3" borderId="63" xfId="0" applyNumberFormat="1" applyFont="1" applyFill="1" applyBorder="1" applyAlignment="1">
      <alignment horizontal="center" vertical="center"/>
    </xf>
    <xf numFmtId="0" fontId="62" fillId="0" borderId="63" xfId="0" applyFont="1" applyBorder="1" applyAlignment="1">
      <alignment horizontal="center" vertical="top"/>
    </xf>
    <xf numFmtId="0" fontId="48" fillId="22" borderId="2" xfId="0" applyFont="1" applyFill="1" applyBorder="1" applyAlignment="1">
      <alignment vertical="top" wrapText="1"/>
    </xf>
    <xf numFmtId="14" fontId="48" fillId="0" borderId="2" xfId="0" applyNumberFormat="1" applyFont="1" applyBorder="1" applyAlignment="1">
      <alignment vertical="top"/>
    </xf>
    <xf numFmtId="14" fontId="48" fillId="0" borderId="2" xfId="0" applyNumberFormat="1" applyFont="1" applyBorder="1" applyAlignment="1">
      <alignment horizontal="center" vertical="top" wrapText="1"/>
    </xf>
    <xf numFmtId="0" fontId="48" fillId="0" borderId="20" xfId="0" applyFont="1" applyBorder="1" applyAlignment="1">
      <alignment horizontal="center" vertical="top"/>
    </xf>
    <xf numFmtId="0" fontId="59" fillId="21" borderId="2" xfId="0" applyFont="1" applyFill="1" applyBorder="1" applyAlignment="1">
      <alignment vertical="center" wrapText="1"/>
    </xf>
    <xf numFmtId="0" fontId="59" fillId="21" borderId="2" xfId="0" applyFont="1" applyFill="1" applyBorder="1" applyAlignment="1">
      <alignment horizontal="center" vertical="center" wrapText="1"/>
    </xf>
    <xf numFmtId="0" fontId="49" fillId="22" borderId="6" xfId="0" applyFont="1" applyFill="1" applyBorder="1" applyAlignment="1">
      <alignment vertical="top" wrapText="1"/>
    </xf>
    <xf numFmtId="14" fontId="49" fillId="0" borderId="2" xfId="0" applyNumberFormat="1" applyFont="1" applyBorder="1" applyAlignment="1">
      <alignment vertical="top"/>
    </xf>
    <xf numFmtId="0" fontId="49" fillId="0" borderId="3" xfId="0" applyFont="1" applyBorder="1" applyAlignment="1">
      <alignment horizontal="center" vertical="top"/>
    </xf>
    <xf numFmtId="0" fontId="49" fillId="21" borderId="63" xfId="0" applyFont="1" applyFill="1" applyBorder="1" applyAlignment="1">
      <alignment vertical="center"/>
    </xf>
    <xf numFmtId="0" fontId="49" fillId="21" borderId="2" xfId="0" applyFont="1" applyFill="1" applyBorder="1" applyAlignment="1">
      <alignment horizontal="center" vertical="center" wrapText="1"/>
    </xf>
    <xf numFmtId="0" fontId="49" fillId="21" borderId="63" xfId="0" applyFont="1" applyFill="1" applyBorder="1" applyAlignment="1">
      <alignment horizontal="center" vertical="center"/>
    </xf>
    <xf numFmtId="14" fontId="49" fillId="0" borderId="2" xfId="0" applyNumberFormat="1" applyFont="1" applyBorder="1" applyAlignment="1">
      <alignment horizontal="center" vertical="center"/>
    </xf>
    <xf numFmtId="0" fontId="49" fillId="0" borderId="63" xfId="0" applyFont="1" applyBorder="1" applyAlignment="1">
      <alignment horizontal="center" vertical="top"/>
    </xf>
    <xf numFmtId="0" fontId="49" fillId="0" borderId="20" xfId="0" applyFont="1" applyBorder="1" applyAlignment="1">
      <alignment horizontal="center" vertical="top"/>
    </xf>
    <xf numFmtId="0" fontId="49" fillId="21" borderId="2" xfId="0" applyFont="1" applyFill="1" applyBorder="1" applyAlignment="1">
      <alignment horizontal="center" vertical="center"/>
    </xf>
    <xf numFmtId="0" fontId="50" fillId="3" borderId="63" xfId="0" applyFont="1" applyFill="1" applyBorder="1" applyAlignment="1">
      <alignment vertical="top"/>
    </xf>
    <xf numFmtId="0" fontId="63" fillId="0" borderId="2" xfId="0" applyFont="1" applyBorder="1" applyAlignment="1">
      <alignment horizontal="center" vertical="top"/>
    </xf>
    <xf numFmtId="164" fontId="50" fillId="0" borderId="2" xfId="1" applyNumberFormat="1" applyFont="1" applyFill="1" applyBorder="1" applyAlignment="1">
      <alignment horizontal="right" vertical="top"/>
    </xf>
    <xf numFmtId="14" fontId="63" fillId="3" borderId="63" xfId="0" applyNumberFormat="1" applyFont="1" applyFill="1" applyBorder="1" applyAlignment="1">
      <alignment horizontal="right" vertical="top"/>
    </xf>
    <xf numFmtId="0" fontId="50" fillId="3" borderId="2" xfId="0" applyFont="1" applyFill="1" applyBorder="1" applyAlignment="1">
      <alignment horizontal="center" vertical="top"/>
    </xf>
    <xf numFmtId="14" fontId="63" fillId="0" borderId="2" xfId="0" applyNumberFormat="1" applyFont="1" applyBorder="1" applyAlignment="1">
      <alignment vertical="top"/>
    </xf>
    <xf numFmtId="14" fontId="63" fillId="0" borderId="2" xfId="0" applyNumberFormat="1" applyFont="1" applyBorder="1" applyAlignment="1">
      <alignment horizontal="right" vertical="top"/>
    </xf>
    <xf numFmtId="14" fontId="63" fillId="0" borderId="2" xfId="0" applyNumberFormat="1" applyFont="1" applyBorder="1" applyAlignment="1">
      <alignment horizontal="center" vertical="top"/>
    </xf>
    <xf numFmtId="164" fontId="63" fillId="0" borderId="2" xfId="1" applyNumberFormat="1" applyFont="1" applyFill="1" applyBorder="1" applyAlignment="1">
      <alignment horizontal="center" vertical="top"/>
    </xf>
    <xf numFmtId="9" fontId="63" fillId="0" borderId="2" xfId="0" applyNumberFormat="1" applyFont="1" applyBorder="1" applyAlignment="1">
      <alignment horizontal="right" vertical="top"/>
    </xf>
    <xf numFmtId="14" fontId="50" fillId="3" borderId="2" xfId="0" applyNumberFormat="1" applyFont="1" applyFill="1" applyBorder="1" applyAlignment="1">
      <alignment horizontal="center" vertical="top"/>
    </xf>
    <xf numFmtId="0" fontId="50" fillId="21" borderId="2" xfId="0" applyFont="1" applyFill="1" applyBorder="1" applyAlignment="1">
      <alignment vertical="center"/>
    </xf>
    <xf numFmtId="0" fontId="50" fillId="21" borderId="2" xfId="0" applyFont="1" applyFill="1" applyBorder="1" applyAlignment="1">
      <alignment horizontal="center" vertical="top"/>
    </xf>
    <xf numFmtId="14" fontId="50" fillId="0" borderId="2" xfId="0" applyNumberFormat="1" applyFont="1" applyBorder="1" applyAlignment="1">
      <alignment horizontal="center" vertical="center"/>
    </xf>
    <xf numFmtId="0" fontId="50" fillId="0" borderId="63" xfId="0" applyFont="1" applyBorder="1" applyAlignment="1">
      <alignment horizontal="center" vertical="top"/>
    </xf>
    <xf numFmtId="0" fontId="50" fillId="22" borderId="63" xfId="0" applyFont="1" applyFill="1" applyBorder="1" applyAlignment="1">
      <alignment horizontal="center" vertical="top"/>
    </xf>
    <xf numFmtId="164" fontId="50" fillId="22" borderId="27" xfId="0" applyNumberFormat="1" applyFont="1" applyFill="1" applyBorder="1" applyAlignment="1">
      <alignment horizontal="center" vertical="top"/>
    </xf>
    <xf numFmtId="167" fontId="50" fillId="22" borderId="27" xfId="0" applyNumberFormat="1" applyFont="1" applyFill="1" applyBorder="1" applyAlignment="1">
      <alignment horizontal="center" vertical="top"/>
    </xf>
    <xf numFmtId="0" fontId="50" fillId="3" borderId="63" xfId="0" applyFont="1" applyFill="1" applyBorder="1" applyAlignment="1">
      <alignment horizontal="center" vertical="top" wrapText="1"/>
    </xf>
    <xf numFmtId="164" fontId="50" fillId="3" borderId="63" xfId="0" applyNumberFormat="1" applyFont="1" applyFill="1" applyBorder="1" applyAlignment="1">
      <alignment horizontal="center" vertical="top"/>
    </xf>
    <xf numFmtId="0" fontId="49" fillId="0" borderId="63" xfId="0" applyFont="1" applyBorder="1" applyAlignment="1">
      <alignment horizontal="center" vertical="top" wrapText="1"/>
    </xf>
    <xf numFmtId="14" fontId="49" fillId="3" borderId="63" xfId="0" applyNumberFormat="1" applyFont="1" applyFill="1" applyBorder="1" applyAlignment="1">
      <alignment vertical="top"/>
    </xf>
    <xf numFmtId="14" fontId="49" fillId="3" borderId="63" xfId="0" applyNumberFormat="1" applyFont="1" applyFill="1" applyBorder="1" applyAlignment="1">
      <alignment horizontal="center" vertical="center"/>
    </xf>
    <xf numFmtId="0" fontId="51" fillId="3" borderId="65" xfId="0" applyFont="1" applyFill="1" applyBorder="1" applyAlignment="1">
      <alignment horizontal="center" vertical="top"/>
    </xf>
    <xf numFmtId="0" fontId="43" fillId="3" borderId="6" xfId="0" applyFont="1" applyFill="1" applyBorder="1" applyAlignment="1">
      <alignment horizontal="center" vertical="top"/>
    </xf>
    <xf numFmtId="164" fontId="51" fillId="3" borderId="6" xfId="1" applyNumberFormat="1" applyFont="1" applyFill="1" applyBorder="1" applyAlignment="1">
      <alignment horizontal="right" vertical="top"/>
    </xf>
    <xf numFmtId="0" fontId="51" fillId="3" borderId="65" xfId="0" applyFont="1" applyFill="1" applyBorder="1" applyAlignment="1">
      <alignment vertical="top" wrapText="1"/>
    </xf>
    <xf numFmtId="164" fontId="51" fillId="3" borderId="65" xfId="0" applyNumberFormat="1" applyFont="1" applyFill="1" applyBorder="1" applyAlignment="1">
      <alignment vertical="top"/>
    </xf>
    <xf numFmtId="14" fontId="51" fillId="3" borderId="65" xfId="0" applyNumberFormat="1" applyFont="1" applyFill="1" applyBorder="1" applyAlignment="1">
      <alignment horizontal="center" vertical="top"/>
    </xf>
    <xf numFmtId="0" fontId="51" fillId="3" borderId="6" xfId="0" applyFont="1" applyFill="1" applyBorder="1" applyAlignment="1">
      <alignment horizontal="center" vertical="top" wrapText="1"/>
    </xf>
    <xf numFmtId="14" fontId="43" fillId="3" borderId="6" xfId="0" applyNumberFormat="1" applyFont="1" applyFill="1" applyBorder="1" applyAlignment="1">
      <alignment vertical="top" wrapText="1"/>
    </xf>
    <xf numFmtId="14" fontId="43" fillId="3" borderId="6" xfId="0" applyNumberFormat="1" applyFont="1" applyFill="1" applyBorder="1" applyAlignment="1">
      <alignment horizontal="center" vertical="top" wrapText="1"/>
    </xf>
    <xf numFmtId="164" fontId="43" fillId="3" borderId="6" xfId="1" applyNumberFormat="1" applyFont="1" applyFill="1" applyBorder="1" applyAlignment="1">
      <alignment horizontal="center" vertical="top"/>
    </xf>
    <xf numFmtId="9" fontId="43" fillId="3" borderId="6" xfId="0" applyNumberFormat="1" applyFont="1" applyFill="1" applyBorder="1" applyAlignment="1">
      <alignment horizontal="right" vertical="top"/>
    </xf>
    <xf numFmtId="14" fontId="43" fillId="3" borderId="6" xfId="0" applyNumberFormat="1" applyFont="1" applyFill="1" applyBorder="1" applyAlignment="1">
      <alignment horizontal="center" vertical="top"/>
    </xf>
    <xf numFmtId="0" fontId="43" fillId="3" borderId="3" xfId="0" applyFont="1" applyFill="1" applyBorder="1" applyAlignment="1">
      <alignment horizontal="center" vertical="top"/>
    </xf>
    <xf numFmtId="0" fontId="57" fillId="3" borderId="6" xfId="0" applyFont="1" applyFill="1" applyBorder="1" applyAlignment="1">
      <alignment horizontal="center" vertical="top"/>
    </xf>
    <xf numFmtId="14" fontId="43" fillId="3" borderId="6" xfId="0" applyNumberFormat="1" applyFont="1" applyFill="1" applyBorder="1" applyAlignment="1">
      <alignment horizontal="center" vertical="center"/>
    </xf>
    <xf numFmtId="0" fontId="51" fillId="3" borderId="65" xfId="0" applyFont="1" applyFill="1" applyBorder="1" applyAlignment="1">
      <alignment horizontal="center" vertical="top" wrapText="1"/>
    </xf>
    <xf numFmtId="164" fontId="43" fillId="3" borderId="2" xfId="1" applyNumberFormat="1" applyFont="1" applyFill="1" applyBorder="1" applyAlignment="1">
      <alignment horizontal="right" vertical="top"/>
    </xf>
    <xf numFmtId="0" fontId="51" fillId="3" borderId="2" xfId="0" applyFont="1" applyFill="1" applyBorder="1" applyAlignment="1">
      <alignment horizontal="center" vertical="top"/>
    </xf>
    <xf numFmtId="14" fontId="43" fillId="3" borderId="2" xfId="0" applyNumberFormat="1" applyFont="1" applyFill="1" applyBorder="1" applyAlignment="1">
      <alignment vertical="top" wrapText="1"/>
    </xf>
    <xf numFmtId="14" fontId="43" fillId="3" borderId="2" xfId="0" applyNumberFormat="1" applyFont="1" applyFill="1" applyBorder="1" applyAlignment="1">
      <alignment horizontal="center" vertical="top" wrapText="1"/>
    </xf>
    <xf numFmtId="164" fontId="43" fillId="3" borderId="2" xfId="1" applyNumberFormat="1" applyFont="1" applyFill="1" applyBorder="1" applyAlignment="1">
      <alignment horizontal="center" vertical="top"/>
    </xf>
    <xf numFmtId="9" fontId="43" fillId="3" borderId="2" xfId="0" applyNumberFormat="1" applyFont="1" applyFill="1" applyBorder="1" applyAlignment="1">
      <alignment horizontal="right" vertical="top"/>
    </xf>
    <xf numFmtId="0" fontId="43" fillId="3" borderId="20" xfId="0" applyFont="1" applyFill="1" applyBorder="1" applyAlignment="1">
      <alignment horizontal="center" vertical="top"/>
    </xf>
    <xf numFmtId="0" fontId="57" fillId="3" borderId="2" xfId="0" applyFont="1" applyFill="1" applyBorder="1" applyAlignment="1">
      <alignment horizontal="center" vertical="top"/>
    </xf>
    <xf numFmtId="14" fontId="43" fillId="3" borderId="2" xfId="0" applyNumberFormat="1" applyFont="1" applyFill="1" applyBorder="1" applyAlignment="1">
      <alignment horizontal="center" vertical="center"/>
    </xf>
    <xf numFmtId="164" fontId="51" fillId="3" borderId="2" xfId="1" applyNumberFormat="1" applyFont="1" applyFill="1" applyBorder="1" applyAlignment="1">
      <alignment horizontal="center" vertical="top"/>
    </xf>
    <xf numFmtId="164" fontId="51" fillId="3" borderId="2" xfId="1" applyNumberFormat="1" applyFont="1" applyFill="1" applyBorder="1" applyAlignment="1">
      <alignment horizontal="right" vertical="top"/>
    </xf>
    <xf numFmtId="0" fontId="51" fillId="3" borderId="2" xfId="0" applyFont="1" applyFill="1" applyBorder="1" applyAlignment="1">
      <alignment horizontal="center" vertical="top" wrapText="1"/>
    </xf>
    <xf numFmtId="14" fontId="43" fillId="0" borderId="2" xfId="0" applyNumberFormat="1" applyFont="1" applyBorder="1" applyAlignment="1">
      <alignment horizontal="right" vertical="top"/>
    </xf>
    <xf numFmtId="0" fontId="43" fillId="9" borderId="2" xfId="0" applyFont="1" applyFill="1" applyBorder="1" applyAlignment="1">
      <alignment horizontal="center" vertical="top"/>
    </xf>
    <xf numFmtId="14" fontId="43" fillId="0" borderId="2" xfId="0" applyNumberFormat="1" applyFont="1" applyBorder="1" applyAlignment="1">
      <alignment vertical="top" wrapText="1"/>
    </xf>
    <xf numFmtId="14" fontId="43" fillId="0" borderId="2" xfId="0" applyNumberFormat="1" applyFont="1" applyBorder="1" applyAlignment="1">
      <alignment horizontal="center" vertical="top" wrapText="1"/>
    </xf>
    <xf numFmtId="164" fontId="43" fillId="0" borderId="2" xfId="1" applyNumberFormat="1" applyFont="1" applyFill="1" applyBorder="1" applyAlignment="1">
      <alignment horizontal="center" vertical="top"/>
    </xf>
    <xf numFmtId="9" fontId="43" fillId="0" borderId="2" xfId="0" applyNumberFormat="1" applyFont="1" applyBorder="1" applyAlignment="1">
      <alignment horizontal="right" vertical="top"/>
    </xf>
    <xf numFmtId="14" fontId="43" fillId="0" borderId="2" xfId="0" applyNumberFormat="1" applyFont="1" applyBorder="1" applyAlignment="1">
      <alignment horizontal="center" vertical="top"/>
    </xf>
    <xf numFmtId="0" fontId="43" fillId="0" borderId="20" xfId="0" applyFont="1" applyBorder="1" applyAlignment="1">
      <alignment horizontal="center" vertical="top"/>
    </xf>
    <xf numFmtId="0" fontId="47" fillId="11" borderId="2" xfId="0" applyFont="1" applyFill="1" applyBorder="1" applyAlignment="1">
      <alignment vertical="center"/>
    </xf>
    <xf numFmtId="1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top" wrapText="1"/>
    </xf>
    <xf numFmtId="164" fontId="43" fillId="0" borderId="2" xfId="0" applyNumberFormat="1" applyFont="1" applyBorder="1" applyAlignment="1">
      <alignment horizontal="right" vertical="top"/>
    </xf>
    <xf numFmtId="0" fontId="57" fillId="0" borderId="2" xfId="0" applyFont="1" applyBorder="1" applyAlignment="1">
      <alignment vertical="center"/>
    </xf>
    <xf numFmtId="0" fontId="43" fillId="0" borderId="2" xfId="0" quotePrefix="1" applyFont="1" applyBorder="1" applyAlignment="1">
      <alignment horizontal="center" vertical="top"/>
    </xf>
    <xf numFmtId="14" fontId="43" fillId="0" borderId="2" xfId="0" quotePrefix="1" applyNumberFormat="1" applyFont="1" applyBorder="1" applyAlignment="1">
      <alignment horizontal="center" vertical="top"/>
    </xf>
    <xf numFmtId="14" fontId="43" fillId="0" borderId="2" xfId="0" applyNumberFormat="1" applyFont="1" applyBorder="1" applyAlignment="1">
      <alignment vertical="top"/>
    </xf>
    <xf numFmtId="0" fontId="57" fillId="0" borderId="0" xfId="0" applyFont="1" applyAlignment="1">
      <alignment vertical="center"/>
    </xf>
    <xf numFmtId="0" fontId="57" fillId="0" borderId="20" xfId="0" applyFont="1" applyBorder="1" applyAlignment="1">
      <alignment horizontal="center" vertical="top"/>
    </xf>
    <xf numFmtId="2" fontId="43" fillId="0" borderId="2" xfId="0" applyNumberFormat="1" applyFont="1" applyBorder="1" applyAlignment="1">
      <alignment horizontal="center" vertical="top"/>
    </xf>
    <xf numFmtId="164" fontId="43" fillId="0" borderId="20" xfId="1" applyNumberFormat="1" applyFont="1" applyFill="1" applyBorder="1" applyAlignment="1">
      <alignment horizontal="right" vertical="top"/>
    </xf>
    <xf numFmtId="0" fontId="43" fillId="0" borderId="20" xfId="0" applyFont="1" applyBorder="1" applyAlignment="1">
      <alignment horizontal="left" vertical="top" wrapText="1"/>
    </xf>
    <xf numFmtId="164" fontId="43" fillId="0" borderId="20" xfId="0" applyNumberFormat="1" applyFont="1" applyBorder="1" applyAlignment="1">
      <alignment horizontal="right" vertical="top"/>
    </xf>
    <xf numFmtId="14" fontId="43" fillId="0" borderId="20" xfId="0" applyNumberFormat="1" applyFont="1" applyBorder="1" applyAlignment="1">
      <alignment horizontal="right" vertical="top"/>
    </xf>
    <xf numFmtId="14" fontId="43" fillId="0" borderId="20" xfId="0" applyNumberFormat="1" applyFont="1" applyBorder="1" applyAlignment="1">
      <alignment vertical="top"/>
    </xf>
    <xf numFmtId="164" fontId="43" fillId="0" borderId="20" xfId="1" applyNumberFormat="1" applyFont="1" applyFill="1" applyBorder="1" applyAlignment="1">
      <alignment horizontal="center" vertical="top"/>
    </xf>
    <xf numFmtId="9" fontId="43" fillId="0" borderId="20" xfId="0" applyNumberFormat="1" applyFont="1" applyBorder="1" applyAlignment="1">
      <alignment horizontal="right" vertical="top"/>
    </xf>
    <xf numFmtId="14" fontId="43" fillId="0" borderId="20" xfId="0" applyNumberFormat="1" applyFont="1" applyBorder="1" applyAlignment="1">
      <alignment horizontal="center" vertical="top"/>
    </xf>
    <xf numFmtId="14" fontId="43" fillId="0" borderId="20" xfId="0" applyNumberFormat="1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top"/>
    </xf>
    <xf numFmtId="164" fontId="43" fillId="0" borderId="18" xfId="1" applyNumberFormat="1" applyFont="1" applyFill="1" applyBorder="1" applyAlignment="1">
      <alignment horizontal="right" vertical="top"/>
    </xf>
    <xf numFmtId="0" fontId="43" fillId="0" borderId="57" xfId="0" applyFont="1" applyBorder="1" applyAlignment="1">
      <alignment horizontal="left" vertical="top" wrapText="1"/>
    </xf>
    <xf numFmtId="0" fontId="43" fillId="0" borderId="62" xfId="0" applyFont="1" applyBorder="1" applyAlignment="1">
      <alignment horizontal="center" vertical="top"/>
    </xf>
    <xf numFmtId="0" fontId="43" fillId="0" borderId="18" xfId="0" applyFont="1" applyBorder="1" applyAlignment="1">
      <alignment horizontal="center" vertical="top"/>
    </xf>
    <xf numFmtId="0" fontId="43" fillId="0" borderId="19" xfId="0" applyFont="1" applyBorder="1" applyAlignment="1">
      <alignment horizontal="center" vertical="top"/>
    </xf>
    <xf numFmtId="0" fontId="43" fillId="0" borderId="28" xfId="0" applyFont="1" applyBorder="1" applyAlignment="1">
      <alignment horizontal="center" vertical="top"/>
    </xf>
    <xf numFmtId="14" fontId="43" fillId="0" borderId="18" xfId="0" applyNumberFormat="1" applyFont="1" applyBorder="1" applyAlignment="1">
      <alignment vertical="top"/>
    </xf>
    <xf numFmtId="14" fontId="43" fillId="0" borderId="19" xfId="0" applyNumberFormat="1" applyFont="1" applyBorder="1" applyAlignment="1">
      <alignment vertical="top"/>
    </xf>
    <xf numFmtId="164" fontId="43" fillId="0" borderId="18" xfId="1" applyNumberFormat="1" applyFont="1" applyFill="1" applyBorder="1" applyAlignment="1">
      <alignment horizontal="center" vertical="top"/>
    </xf>
    <xf numFmtId="9" fontId="43" fillId="0" borderId="18" xfId="0" applyNumberFormat="1" applyFont="1" applyBorder="1" applyAlignment="1">
      <alignment horizontal="right" vertical="top"/>
    </xf>
    <xf numFmtId="14" fontId="43" fillId="0" borderId="18" xfId="0" applyNumberFormat="1" applyFont="1" applyBorder="1" applyAlignment="1">
      <alignment horizontal="center" vertical="top"/>
    </xf>
    <xf numFmtId="0" fontId="43" fillId="3" borderId="18" xfId="0" applyFont="1" applyFill="1" applyBorder="1" applyAlignment="1">
      <alignment horizontal="center" vertical="top"/>
    </xf>
    <xf numFmtId="0" fontId="43" fillId="0" borderId="29" xfId="0" applyFont="1" applyBorder="1" applyAlignment="1">
      <alignment horizontal="center" vertical="top"/>
    </xf>
    <xf numFmtId="14" fontId="43" fillId="0" borderId="18" xfId="0" applyNumberFormat="1" applyFont="1" applyBorder="1" applyAlignment="1">
      <alignment horizontal="center" vertical="center"/>
    </xf>
    <xf numFmtId="0" fontId="43" fillId="0" borderId="6" xfId="0" applyFont="1" applyBorder="1" applyAlignment="1">
      <alignment horizontal="center" vertical="top"/>
    </xf>
    <xf numFmtId="164" fontId="43" fillId="0" borderId="6" xfId="1" applyNumberFormat="1" applyFont="1" applyFill="1" applyBorder="1" applyAlignment="1">
      <alignment horizontal="right" vertical="top"/>
    </xf>
    <xf numFmtId="0" fontId="43" fillId="0" borderId="6" xfId="0" applyFont="1" applyBorder="1" applyAlignment="1">
      <alignment horizontal="left" vertical="top" wrapText="1"/>
    </xf>
    <xf numFmtId="164" fontId="43" fillId="0" borderId="6" xfId="0" applyNumberFormat="1" applyFont="1" applyBorder="1" applyAlignment="1">
      <alignment horizontal="right" vertical="top"/>
    </xf>
    <xf numFmtId="14" fontId="43" fillId="0" borderId="6" xfId="0" applyNumberFormat="1" applyFont="1" applyBorder="1" applyAlignment="1">
      <alignment horizontal="right" vertical="top"/>
    </xf>
    <xf numFmtId="14" fontId="43" fillId="0" borderId="6" xfId="0" applyNumberFormat="1" applyFont="1" applyBorder="1" applyAlignment="1">
      <alignment vertical="top"/>
    </xf>
    <xf numFmtId="164" fontId="43" fillId="0" borderId="6" xfId="1" applyNumberFormat="1" applyFont="1" applyFill="1" applyBorder="1" applyAlignment="1">
      <alignment horizontal="center" vertical="top"/>
    </xf>
    <xf numFmtId="9" fontId="43" fillId="0" borderId="6" xfId="0" applyNumberFormat="1" applyFont="1" applyBorder="1" applyAlignment="1">
      <alignment horizontal="right" vertical="top"/>
    </xf>
    <xf numFmtId="14" fontId="43" fillId="0" borderId="6" xfId="0" applyNumberFormat="1" applyFont="1" applyBorder="1" applyAlignment="1">
      <alignment horizontal="center" vertical="top"/>
    </xf>
    <xf numFmtId="0" fontId="43" fillId="0" borderId="3" xfId="0" applyFont="1" applyBorder="1" applyAlignment="1">
      <alignment horizontal="center" vertical="top"/>
    </xf>
    <xf numFmtId="14" fontId="43" fillId="0" borderId="6" xfId="0" applyNumberFormat="1" applyFont="1" applyBorder="1" applyAlignment="1">
      <alignment horizontal="center" vertical="center"/>
    </xf>
    <xf numFmtId="0" fontId="57" fillId="0" borderId="20" xfId="0" applyFont="1" applyBorder="1" applyAlignment="1">
      <alignment vertical="center"/>
    </xf>
    <xf numFmtId="0" fontId="43" fillId="0" borderId="0" xfId="0" applyFont="1" applyAlignment="1">
      <alignment horizontal="left" vertical="top" wrapText="1"/>
    </xf>
    <xf numFmtId="9" fontId="43" fillId="0" borderId="2" xfId="2" applyFont="1" applyFill="1" applyBorder="1" applyAlignment="1">
      <alignment horizontal="right" vertical="top"/>
    </xf>
    <xf numFmtId="0" fontId="43" fillId="0" borderId="0" xfId="0" applyFont="1" applyAlignment="1">
      <alignment vertical="top" wrapText="1"/>
    </xf>
    <xf numFmtId="0" fontId="43" fillId="0" borderId="2" xfId="0" applyFont="1" applyBorder="1" applyAlignment="1">
      <alignment vertical="top" wrapText="1"/>
    </xf>
    <xf numFmtId="14" fontId="57" fillId="0" borderId="20" xfId="0" applyNumberFormat="1" applyFont="1" applyBorder="1" applyAlignment="1">
      <alignment horizontal="center" vertical="center"/>
    </xf>
    <xf numFmtId="0" fontId="50" fillId="22" borderId="0" xfId="0" applyFont="1" applyFill="1" applyAlignment="1">
      <alignment horizontal="center" vertical="top"/>
    </xf>
    <xf numFmtId="0" fontId="50" fillId="3" borderId="63" xfId="0" applyFont="1" applyFill="1" applyBorder="1" applyAlignment="1">
      <alignment horizontal="left" vertical="top"/>
    </xf>
    <xf numFmtId="167" fontId="50" fillId="3" borderId="63" xfId="0" applyNumberFormat="1" applyFont="1" applyFill="1" applyBorder="1" applyAlignment="1">
      <alignment horizontal="right" vertical="top"/>
    </xf>
    <xf numFmtId="167" fontId="51" fillId="0" borderId="0" xfId="0" applyNumberFormat="1" applyFont="1" applyAlignment="1">
      <alignment horizontal="right" vertical="top"/>
    </xf>
    <xf numFmtId="167" fontId="53" fillId="20" borderId="0" xfId="0" applyNumberFormat="1" applyFont="1" applyFill="1" applyAlignment="1">
      <alignment horizontal="right" vertical="top" wrapText="1"/>
    </xf>
    <xf numFmtId="167" fontId="55" fillId="20" borderId="0" xfId="0" applyNumberFormat="1" applyFont="1" applyFill="1" applyAlignment="1">
      <alignment horizontal="right" vertical="top" wrapText="1"/>
    </xf>
    <xf numFmtId="167" fontId="49" fillId="0" borderId="0" xfId="0" applyNumberFormat="1" applyFont="1" applyAlignment="1">
      <alignment horizontal="right" vertical="top"/>
    </xf>
    <xf numFmtId="167" fontId="59" fillId="0" borderId="0" xfId="0" applyNumberFormat="1" applyFont="1" applyAlignment="1">
      <alignment horizontal="right" vertical="top"/>
    </xf>
    <xf numFmtId="167" fontId="50" fillId="0" borderId="0" xfId="0" applyNumberFormat="1" applyFont="1" applyAlignment="1">
      <alignment horizontal="right" vertical="top"/>
    </xf>
    <xf numFmtId="167" fontId="49" fillId="3" borderId="0" xfId="0" applyNumberFormat="1" applyFont="1" applyFill="1" applyAlignment="1">
      <alignment horizontal="right" vertical="top"/>
    </xf>
    <xf numFmtId="167" fontId="51" fillId="3" borderId="63" xfId="0" applyNumberFormat="1" applyFont="1" applyFill="1" applyBorder="1" applyAlignment="1">
      <alignment horizontal="right" vertical="top"/>
    </xf>
    <xf numFmtId="167" fontId="49" fillId="3" borderId="64" xfId="0" applyNumberFormat="1" applyFont="1" applyFill="1" applyBorder="1" applyAlignment="1">
      <alignment horizontal="right" vertical="top"/>
    </xf>
    <xf numFmtId="167" fontId="49" fillId="3" borderId="63" xfId="0" applyNumberFormat="1" applyFont="1" applyFill="1" applyBorder="1" applyAlignment="1">
      <alignment horizontal="right" vertical="top"/>
    </xf>
    <xf numFmtId="167" fontId="45" fillId="3" borderId="63" xfId="0" applyNumberFormat="1" applyFont="1" applyFill="1" applyBorder="1" applyAlignment="1">
      <alignment horizontal="right" vertical="top"/>
    </xf>
    <xf numFmtId="167" fontId="43" fillId="3" borderId="63" xfId="0" applyNumberFormat="1" applyFont="1" applyFill="1" applyBorder="1" applyAlignment="1">
      <alignment horizontal="right" vertical="top"/>
    </xf>
    <xf numFmtId="167" fontId="60" fillId="3" borderId="63" xfId="0" applyNumberFormat="1" applyFont="1" applyFill="1" applyBorder="1" applyAlignment="1">
      <alignment horizontal="right" vertical="top"/>
    </xf>
    <xf numFmtId="167" fontId="48" fillId="3" borderId="63" xfId="0" applyNumberFormat="1" applyFont="1" applyFill="1" applyBorder="1" applyAlignment="1">
      <alignment horizontal="right" vertical="top"/>
    </xf>
    <xf numFmtId="167" fontId="62" fillId="3" borderId="63" xfId="0" applyNumberFormat="1" applyFont="1" applyFill="1" applyBorder="1" applyAlignment="1">
      <alignment horizontal="right" vertical="top"/>
    </xf>
    <xf numFmtId="167" fontId="43" fillId="0" borderId="2" xfId="0" applyNumberFormat="1" applyFont="1" applyBorder="1" applyAlignment="1">
      <alignment horizontal="right" vertical="top"/>
    </xf>
    <xf numFmtId="167" fontId="43" fillId="3" borderId="0" xfId="0" applyNumberFormat="1" applyFont="1" applyFill="1" applyAlignment="1">
      <alignment horizontal="right" vertical="top"/>
    </xf>
    <xf numFmtId="167" fontId="43" fillId="0" borderId="0" xfId="0" applyNumberFormat="1" applyFont="1" applyAlignment="1">
      <alignment horizontal="right" vertical="top"/>
    </xf>
    <xf numFmtId="0" fontId="43" fillId="3" borderId="0" xfId="0" applyFont="1" applyFill="1" applyAlignment="1">
      <alignment vertical="top" wrapText="1"/>
    </xf>
    <xf numFmtId="14" fontId="51" fillId="0" borderId="63" xfId="0" applyNumberFormat="1" applyFont="1" applyBorder="1" applyAlignment="1">
      <alignment horizontal="center" vertical="top"/>
    </xf>
    <xf numFmtId="0" fontId="57" fillId="0" borderId="2" xfId="0" quotePrefix="1" applyFont="1" applyBorder="1" applyAlignment="1">
      <alignment horizontal="center" vertical="top"/>
    </xf>
    <xf numFmtId="0" fontId="48" fillId="3" borderId="2" xfId="0" applyFont="1" applyFill="1" applyBorder="1" applyAlignment="1">
      <alignment horizontal="center" vertical="top" wrapText="1"/>
    </xf>
    <xf numFmtId="0" fontId="43" fillId="0" borderId="63" xfId="0" applyFont="1" applyBorder="1" applyAlignment="1">
      <alignment horizontal="center" vertical="top"/>
    </xf>
    <xf numFmtId="0" fontId="44" fillId="20" borderId="63" xfId="0" applyFont="1" applyFill="1" applyBorder="1" applyAlignment="1">
      <alignment horizontal="center" vertical="top" wrapText="1"/>
    </xf>
    <xf numFmtId="167" fontId="44" fillId="20" borderId="63" xfId="1" applyNumberFormat="1" applyFont="1" applyFill="1" applyBorder="1" applyAlignment="1">
      <alignment horizontal="center" vertical="top" wrapText="1"/>
    </xf>
    <xf numFmtId="0" fontId="44" fillId="20" borderId="63" xfId="0" applyFont="1" applyFill="1" applyBorder="1" applyAlignment="1">
      <alignment horizontal="left" vertical="top" wrapText="1"/>
    </xf>
    <xf numFmtId="0" fontId="64" fillId="20" borderId="63" xfId="0" applyFont="1" applyFill="1" applyBorder="1" applyAlignment="1">
      <alignment horizontal="center" vertical="top" wrapText="1"/>
    </xf>
    <xf numFmtId="14" fontId="44" fillId="20" borderId="63" xfId="0" applyNumberFormat="1" applyFont="1" applyFill="1" applyBorder="1" applyAlignment="1">
      <alignment horizontal="center" vertical="top" wrapText="1"/>
    </xf>
    <xf numFmtId="164" fontId="44" fillId="20" borderId="63" xfId="1" applyNumberFormat="1" applyFont="1" applyFill="1" applyBorder="1" applyAlignment="1">
      <alignment horizontal="center" vertical="top" wrapText="1"/>
    </xf>
    <xf numFmtId="0" fontId="44" fillId="20" borderId="63" xfId="0" applyFont="1" applyFill="1" applyBorder="1" applyAlignment="1">
      <alignment horizontal="center" vertical="top"/>
    </xf>
    <xf numFmtId="164" fontId="44" fillId="20" borderId="63" xfId="0" applyNumberFormat="1" applyFont="1" applyFill="1" applyBorder="1" applyAlignment="1">
      <alignment horizontal="center" vertical="top" wrapText="1"/>
    </xf>
    <xf numFmtId="0" fontId="44" fillId="20" borderId="63" xfId="0" applyFont="1" applyFill="1" applyBorder="1" applyAlignment="1">
      <alignment vertical="top"/>
    </xf>
    <xf numFmtId="0" fontId="40" fillId="3" borderId="2" xfId="0" applyFont="1" applyFill="1" applyBorder="1" applyAlignment="1">
      <alignment horizontal="center" vertical="top"/>
    </xf>
    <xf numFmtId="0" fontId="64" fillId="3" borderId="67" xfId="0" applyFont="1" applyFill="1" applyBorder="1" applyAlignment="1">
      <alignment vertical="top" wrapText="1"/>
    </xf>
    <xf numFmtId="0" fontId="44" fillId="2" borderId="63" xfId="0" applyFont="1" applyFill="1" applyBorder="1" applyAlignment="1">
      <alignment horizontal="center" vertical="top"/>
    </xf>
    <xf numFmtId="167" fontId="44" fillId="2" borderId="63" xfId="0" applyNumberFormat="1" applyFont="1" applyFill="1" applyBorder="1" applyAlignment="1">
      <alignment vertical="top"/>
    </xf>
    <xf numFmtId="0" fontId="44" fillId="2" borderId="63" xfId="0" applyFont="1" applyFill="1" applyBorder="1" applyAlignment="1">
      <alignment horizontal="left" vertical="top"/>
    </xf>
    <xf numFmtId="0" fontId="44" fillId="2" borderId="63" xfId="0" applyFont="1" applyFill="1" applyBorder="1" applyAlignment="1">
      <alignment horizontal="center" vertical="top" wrapText="1"/>
    </xf>
    <xf numFmtId="0" fontId="41" fillId="2" borderId="2" xfId="0" applyFont="1" applyFill="1" applyBorder="1" applyAlignment="1">
      <alignment horizontal="center" vertical="top"/>
    </xf>
    <xf numFmtId="14" fontId="44" fillId="2" borderId="63" xfId="0" applyNumberFormat="1" applyFont="1" applyFill="1" applyBorder="1" applyAlignment="1">
      <alignment vertical="top"/>
    </xf>
    <xf numFmtId="1" fontId="44" fillId="2" borderId="63" xfId="0" applyNumberFormat="1" applyFont="1" applyFill="1" applyBorder="1" applyAlignment="1">
      <alignment horizontal="center" vertical="top" wrapText="1"/>
    </xf>
    <xf numFmtId="0" fontId="44" fillId="2" borderId="63" xfId="0" applyFont="1" applyFill="1" applyBorder="1" applyAlignment="1">
      <alignment vertical="top"/>
    </xf>
    <xf numFmtId="167" fontId="64" fillId="3" borderId="2" xfId="1" applyNumberFormat="1" applyFont="1" applyFill="1" applyBorder="1" applyAlignment="1">
      <alignment horizontal="right" vertical="top"/>
    </xf>
    <xf numFmtId="0" fontId="40" fillId="3" borderId="2" xfId="0" applyFont="1" applyFill="1" applyBorder="1" applyAlignment="1">
      <alignment vertical="top" wrapText="1"/>
    </xf>
    <xf numFmtId="0" fontId="44" fillId="3" borderId="63" xfId="0" applyFont="1" applyFill="1" applyBorder="1" applyAlignment="1">
      <alignment horizontal="left" vertical="top"/>
    </xf>
    <xf numFmtId="0" fontId="44" fillId="3" borderId="63" xfId="0" applyFont="1" applyFill="1" applyBorder="1" applyAlignment="1">
      <alignment vertical="top"/>
    </xf>
    <xf numFmtId="0" fontId="44" fillId="3" borderId="63" xfId="0" applyFont="1" applyFill="1" applyBorder="1" applyAlignment="1">
      <alignment horizontal="center" vertical="top"/>
    </xf>
    <xf numFmtId="167" fontId="44" fillId="3" borderId="63" xfId="0" applyNumberFormat="1" applyFont="1" applyFill="1" applyBorder="1" applyAlignment="1">
      <alignment vertical="top"/>
    </xf>
    <xf numFmtId="0" fontId="64" fillId="3" borderId="63" xfId="0" applyFont="1" applyFill="1" applyBorder="1" applyAlignment="1">
      <alignment horizontal="center" vertical="top"/>
    </xf>
    <xf numFmtId="14" fontId="44" fillId="3" borderId="63" xfId="0" applyNumberFormat="1" applyFont="1" applyFill="1" applyBorder="1" applyAlignment="1">
      <alignment horizontal="center" vertical="top"/>
    </xf>
    <xf numFmtId="167" fontId="64" fillId="3" borderId="2" xfId="0" applyNumberFormat="1" applyFont="1" applyFill="1" applyBorder="1" applyAlignment="1">
      <alignment horizontal="right" vertical="top"/>
    </xf>
    <xf numFmtId="14" fontId="40" fillId="3" borderId="2" xfId="0" applyNumberFormat="1" applyFont="1" applyFill="1" applyBorder="1" applyAlignment="1">
      <alignment horizontal="center" vertical="top"/>
    </xf>
    <xf numFmtId="14" fontId="44" fillId="3" borderId="63" xfId="0" applyNumberFormat="1" applyFont="1" applyFill="1" applyBorder="1" applyAlignment="1">
      <alignment vertical="top"/>
    </xf>
    <xf numFmtId="14" fontId="64" fillId="3" borderId="63" xfId="0" applyNumberFormat="1" applyFont="1" applyFill="1" applyBorder="1" applyAlignment="1">
      <alignment horizontal="center" vertical="top"/>
    </xf>
    <xf numFmtId="0" fontId="64" fillId="3" borderId="2" xfId="0" applyFont="1" applyFill="1" applyBorder="1" applyAlignment="1">
      <alignment vertical="top" wrapText="1"/>
    </xf>
    <xf numFmtId="0" fontId="64" fillId="3" borderId="2" xfId="0" applyFont="1" applyFill="1" applyBorder="1" applyAlignment="1">
      <alignment vertical="top"/>
    </xf>
    <xf numFmtId="167" fontId="44" fillId="3" borderId="63" xfId="0" applyNumberFormat="1" applyFont="1" applyFill="1" applyBorder="1" applyAlignment="1">
      <alignment horizontal="center" vertical="top"/>
    </xf>
    <xf numFmtId="167" fontId="44" fillId="3" borderId="63" xfId="1" applyNumberFormat="1" applyFont="1" applyFill="1" applyBorder="1" applyAlignment="1">
      <alignment horizontal="right" vertical="top"/>
    </xf>
    <xf numFmtId="0" fontId="44" fillId="3" borderId="63" xfId="0" applyFont="1" applyFill="1" applyBorder="1" applyAlignment="1">
      <alignment horizontal="left" vertical="top" wrapText="1"/>
    </xf>
    <xf numFmtId="14" fontId="44" fillId="3" borderId="63" xfId="0" applyNumberFormat="1" applyFont="1" applyFill="1" applyBorder="1" applyAlignment="1">
      <alignment horizontal="center" vertical="top" wrapText="1"/>
    </xf>
    <xf numFmtId="1" fontId="44" fillId="3" borderId="63" xfId="0" applyNumberFormat="1" applyFont="1" applyFill="1" applyBorder="1" applyAlignment="1">
      <alignment horizontal="center" vertical="top" wrapText="1"/>
    </xf>
    <xf numFmtId="0" fontId="44" fillId="3" borderId="63" xfId="0" applyFont="1" applyFill="1" applyBorder="1" applyAlignment="1">
      <alignment vertical="top" wrapText="1"/>
    </xf>
    <xf numFmtId="164" fontId="44" fillId="3" borderId="63" xfId="1" applyNumberFormat="1" applyFont="1" applyFill="1" applyBorder="1" applyAlignment="1">
      <alignment horizontal="right" vertical="top"/>
    </xf>
    <xf numFmtId="0" fontId="64" fillId="3" borderId="2" xfId="0" applyFont="1" applyFill="1" applyBorder="1" applyAlignment="1">
      <alignment horizontal="center" vertical="top"/>
    </xf>
    <xf numFmtId="167" fontId="44" fillId="3" borderId="63" xfId="0" applyNumberFormat="1" applyFont="1" applyFill="1" applyBorder="1" applyAlignment="1">
      <alignment horizontal="right" vertical="top"/>
    </xf>
    <xf numFmtId="0" fontId="44" fillId="3" borderId="2" xfId="0" applyFont="1" applyFill="1" applyBorder="1" applyAlignment="1">
      <alignment horizontal="center" vertical="top"/>
    </xf>
    <xf numFmtId="167" fontId="44" fillId="3" borderId="2" xfId="1" applyNumberFormat="1" applyFont="1" applyFill="1" applyBorder="1" applyAlignment="1">
      <alignment horizontal="right" vertical="top"/>
    </xf>
    <xf numFmtId="0" fontId="44" fillId="3" borderId="2" xfId="0" applyFont="1" applyFill="1" applyBorder="1" applyAlignment="1">
      <alignment horizontal="left" vertical="top" wrapText="1"/>
    </xf>
    <xf numFmtId="164" fontId="44" fillId="3" borderId="27" xfId="0" applyNumberFormat="1" applyFont="1" applyFill="1" applyBorder="1" applyAlignment="1">
      <alignment horizontal="center" vertical="top"/>
    </xf>
    <xf numFmtId="167" fontId="44" fillId="3" borderId="27" xfId="0" applyNumberFormat="1" applyFont="1" applyFill="1" applyBorder="1" applyAlignment="1">
      <alignment horizontal="center" vertical="top"/>
    </xf>
    <xf numFmtId="0" fontId="44" fillId="3" borderId="63" xfId="0" applyFont="1" applyFill="1" applyBorder="1" applyAlignment="1">
      <alignment horizontal="center" vertical="top" wrapText="1"/>
    </xf>
    <xf numFmtId="164" fontId="44" fillId="3" borderId="63" xfId="0" applyNumberFormat="1" applyFont="1" applyFill="1" applyBorder="1" applyAlignment="1">
      <alignment horizontal="right" vertical="top"/>
    </xf>
    <xf numFmtId="14" fontId="44" fillId="3" borderId="6" xfId="0" applyNumberFormat="1" applyFont="1" applyFill="1" applyBorder="1" applyAlignment="1">
      <alignment horizontal="center" vertical="top" wrapText="1"/>
    </xf>
    <xf numFmtId="14" fontId="44" fillId="3" borderId="2" xfId="0" applyNumberFormat="1" applyFont="1" applyFill="1" applyBorder="1" applyAlignment="1">
      <alignment horizontal="center" vertical="top"/>
    </xf>
    <xf numFmtId="164" fontId="44" fillId="3" borderId="2" xfId="1" applyNumberFormat="1" applyFont="1" applyFill="1" applyBorder="1" applyAlignment="1">
      <alignment horizontal="center" vertical="top"/>
    </xf>
    <xf numFmtId="9" fontId="44" fillId="3" borderId="2" xfId="0" applyNumberFormat="1" applyFont="1" applyFill="1" applyBorder="1" applyAlignment="1">
      <alignment horizontal="right" vertical="top"/>
    </xf>
    <xf numFmtId="0" fontId="44" fillId="3" borderId="20" xfId="0" applyFont="1" applyFill="1" applyBorder="1" applyAlignment="1">
      <alignment horizontal="center" vertical="top"/>
    </xf>
    <xf numFmtId="0" fontId="44" fillId="3" borderId="63" xfId="0" applyFont="1" applyFill="1" applyBorder="1" applyAlignment="1">
      <alignment vertical="center"/>
    </xf>
    <xf numFmtId="0" fontId="44" fillId="3" borderId="2" xfId="0" applyFont="1" applyFill="1" applyBorder="1" applyAlignment="1">
      <alignment horizontal="center" vertical="center"/>
    </xf>
    <xf numFmtId="14" fontId="44" fillId="3" borderId="2" xfId="0" applyNumberFormat="1" applyFont="1" applyFill="1" applyBorder="1" applyAlignment="1">
      <alignment horizontal="center" vertical="center"/>
    </xf>
    <xf numFmtId="164" fontId="44" fillId="3" borderId="63" xfId="0" applyNumberFormat="1" applyFont="1" applyFill="1" applyBorder="1" applyAlignment="1">
      <alignment horizontal="center" vertical="top"/>
    </xf>
    <xf numFmtId="0" fontId="64" fillId="3" borderId="2" xfId="0" quotePrefix="1" applyFont="1" applyFill="1" applyBorder="1" applyAlignment="1">
      <alignment horizontal="center" vertical="top"/>
    </xf>
    <xf numFmtId="164" fontId="44" fillId="2" borderId="63" xfId="0" applyNumberFormat="1" applyFont="1" applyFill="1" applyBorder="1" applyAlignment="1">
      <alignment horizontal="right" vertical="top"/>
    </xf>
    <xf numFmtId="0" fontId="49" fillId="22" borderId="6" xfId="0" applyFont="1" applyFill="1" applyBorder="1" applyAlignment="1">
      <alignment horizontal="left" vertical="center" wrapText="1"/>
    </xf>
    <xf numFmtId="0" fontId="50" fillId="3" borderId="63" xfId="0" applyFont="1" applyFill="1" applyBorder="1" applyAlignment="1">
      <alignment horizontal="left" vertical="center"/>
    </xf>
    <xf numFmtId="0" fontId="46" fillId="3" borderId="63" xfId="0" applyFont="1" applyFill="1" applyBorder="1" applyAlignment="1">
      <alignment horizontal="left" vertical="center" wrapText="1"/>
    </xf>
    <xf numFmtId="0" fontId="43" fillId="3" borderId="63" xfId="0" applyFont="1" applyFill="1" applyBorder="1" applyAlignment="1">
      <alignment horizontal="left" vertical="center"/>
    </xf>
    <xf numFmtId="0" fontId="43" fillId="3" borderId="0" xfId="0" applyFont="1" applyFill="1" applyAlignment="1">
      <alignment horizontal="left" vertical="center"/>
    </xf>
    <xf numFmtId="0" fontId="43" fillId="3" borderId="0" xfId="0" applyFont="1" applyFill="1" applyAlignment="1">
      <alignment horizontal="left" vertical="center" wrapText="1"/>
    </xf>
    <xf numFmtId="0" fontId="43" fillId="0" borderId="2" xfId="0" applyFont="1" applyBorder="1" applyAlignment="1">
      <alignment horizontal="left" vertical="center" wrapText="1"/>
    </xf>
    <xf numFmtId="0" fontId="43" fillId="0" borderId="2" xfId="0" applyFont="1" applyBorder="1" applyAlignment="1">
      <alignment horizontal="left" vertical="center"/>
    </xf>
    <xf numFmtId="0" fontId="49" fillId="22" borderId="27" xfId="0" applyFont="1" applyFill="1" applyBorder="1" applyAlignment="1">
      <alignment horizontal="center" vertical="center"/>
    </xf>
    <xf numFmtId="0" fontId="49" fillId="22" borderId="6" xfId="0" applyFont="1" applyFill="1" applyBorder="1" applyAlignment="1">
      <alignment horizontal="center" vertical="center"/>
    </xf>
    <xf numFmtId="167" fontId="49" fillId="3" borderId="63" xfId="0" applyNumberFormat="1" applyFont="1" applyFill="1" applyBorder="1" applyAlignment="1">
      <alignment horizontal="right" vertical="center"/>
    </xf>
    <xf numFmtId="0" fontId="49" fillId="3" borderId="63" xfId="0" applyFont="1" applyFill="1" applyBorder="1" applyAlignment="1">
      <alignment horizontal="center" vertical="center"/>
    </xf>
    <xf numFmtId="164" fontId="49" fillId="3" borderId="63" xfId="0" applyNumberFormat="1" applyFont="1" applyFill="1" applyBorder="1" applyAlignment="1">
      <alignment horizontal="right" vertical="center"/>
    </xf>
    <xf numFmtId="14" fontId="49" fillId="3" borderId="63" xfId="0" applyNumberFormat="1" applyFont="1" applyFill="1" applyBorder="1" applyAlignment="1">
      <alignment horizontal="right" vertical="center"/>
    </xf>
    <xf numFmtId="0" fontId="49" fillId="0" borderId="2" xfId="0" applyFont="1" applyBorder="1" applyAlignment="1">
      <alignment horizontal="center" vertical="center"/>
    </xf>
    <xf numFmtId="164" fontId="49" fillId="0" borderId="2" xfId="1" applyNumberFormat="1" applyFont="1" applyFill="1" applyBorder="1" applyAlignment="1">
      <alignment horizontal="center" vertical="center"/>
    </xf>
    <xf numFmtId="9" fontId="49" fillId="0" borderId="2" xfId="0" applyNumberFormat="1" applyFont="1" applyBorder="1" applyAlignment="1">
      <alignment horizontal="right" vertical="center"/>
    </xf>
    <xf numFmtId="14" fontId="49" fillId="3" borderId="2" xfId="0" applyNumberFormat="1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49" fillId="0" borderId="20" xfId="0" applyFont="1" applyBorder="1" applyAlignment="1">
      <alignment horizontal="center" vertical="center"/>
    </xf>
    <xf numFmtId="0" fontId="49" fillId="0" borderId="63" xfId="0" applyFont="1" applyBorder="1" applyAlignment="1">
      <alignment horizontal="center" vertical="center"/>
    </xf>
    <xf numFmtId="0" fontId="57" fillId="0" borderId="63" xfId="0" applyFont="1" applyBorder="1" applyAlignment="1">
      <alignment horizontal="center" vertical="center"/>
    </xf>
    <xf numFmtId="0" fontId="49" fillId="3" borderId="63" xfId="0" applyFont="1" applyFill="1" applyBorder="1" applyAlignment="1">
      <alignment vertical="center"/>
    </xf>
    <xf numFmtId="0" fontId="57" fillId="0" borderId="2" xfId="0" applyFont="1" applyBorder="1" applyAlignment="1">
      <alignment horizontal="center" vertical="center"/>
    </xf>
    <xf numFmtId="164" fontId="43" fillId="0" borderId="2" xfId="1" applyNumberFormat="1" applyFont="1" applyFill="1" applyBorder="1" applyAlignment="1">
      <alignment horizontal="right" vertical="center"/>
    </xf>
    <xf numFmtId="167" fontId="50" fillId="3" borderId="63" xfId="0" applyNumberFormat="1" applyFont="1" applyFill="1" applyBorder="1" applyAlignment="1">
      <alignment horizontal="right" vertical="center"/>
    </xf>
    <xf numFmtId="0" fontId="43" fillId="3" borderId="63" xfId="0" applyFont="1" applyFill="1" applyBorder="1" applyAlignment="1">
      <alignment horizontal="center" vertical="center"/>
    </xf>
    <xf numFmtId="164" fontId="43" fillId="3" borderId="63" xfId="0" applyNumberFormat="1" applyFont="1" applyFill="1" applyBorder="1" applyAlignment="1">
      <alignment horizontal="right" vertical="center"/>
    </xf>
    <xf numFmtId="0" fontId="43" fillId="3" borderId="2" xfId="0" applyFont="1" applyFill="1" applyBorder="1" applyAlignment="1">
      <alignment horizontal="center" vertical="center"/>
    </xf>
    <xf numFmtId="0" fontId="57" fillId="21" borderId="2" xfId="0" applyFont="1" applyFill="1" applyBorder="1" applyAlignment="1">
      <alignment horizontal="center" vertical="center"/>
    </xf>
    <xf numFmtId="0" fontId="50" fillId="3" borderId="63" xfId="0" applyFont="1" applyFill="1" applyBorder="1" applyAlignment="1">
      <alignment vertical="center"/>
    </xf>
    <xf numFmtId="0" fontId="63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horizontal="center" vertical="center"/>
    </xf>
    <xf numFmtId="0" fontId="50" fillId="3" borderId="63" xfId="0" applyFont="1" applyFill="1" applyBorder="1" applyAlignment="1">
      <alignment horizontal="center" vertical="center"/>
    </xf>
    <xf numFmtId="164" fontId="50" fillId="3" borderId="63" xfId="0" applyNumberFormat="1" applyFont="1" applyFill="1" applyBorder="1" applyAlignment="1">
      <alignment horizontal="right" vertical="center"/>
    </xf>
    <xf numFmtId="14" fontId="63" fillId="3" borderId="63" xfId="0" applyNumberFormat="1" applyFont="1" applyFill="1" applyBorder="1" applyAlignment="1">
      <alignment horizontal="right" vertical="center"/>
    </xf>
    <xf numFmtId="0" fontId="48" fillId="3" borderId="2" xfId="0" applyFont="1" applyFill="1" applyBorder="1" applyAlignment="1">
      <alignment horizontal="center" vertical="center" wrapText="1"/>
    </xf>
    <xf numFmtId="14" fontId="63" fillId="0" borderId="2" xfId="0" applyNumberFormat="1" applyFont="1" applyBorder="1" applyAlignment="1">
      <alignment vertical="center"/>
    </xf>
    <xf numFmtId="14" fontId="63" fillId="0" borderId="2" xfId="0" applyNumberFormat="1" applyFont="1" applyBorder="1" applyAlignment="1">
      <alignment horizontal="right" vertical="center"/>
    </xf>
    <xf numFmtId="14" fontId="63" fillId="0" borderId="2" xfId="0" applyNumberFormat="1" applyFont="1" applyBorder="1" applyAlignment="1">
      <alignment horizontal="center" vertical="center"/>
    </xf>
    <xf numFmtId="164" fontId="63" fillId="0" borderId="2" xfId="1" applyNumberFormat="1" applyFont="1" applyFill="1" applyBorder="1" applyAlignment="1">
      <alignment horizontal="center" vertical="center"/>
    </xf>
    <xf numFmtId="9" fontId="63" fillId="0" borderId="2" xfId="0" applyNumberFormat="1" applyFont="1" applyBorder="1" applyAlignment="1">
      <alignment horizontal="right" vertical="center"/>
    </xf>
    <xf numFmtId="14" fontId="50" fillId="3" borderId="2" xfId="0" applyNumberFormat="1" applyFont="1" applyFill="1" applyBorder="1" applyAlignment="1">
      <alignment horizontal="center" vertical="center"/>
    </xf>
    <xf numFmtId="0" fontId="50" fillId="21" borderId="2" xfId="0" applyFont="1" applyFill="1" applyBorder="1" applyAlignment="1">
      <alignment horizontal="center" vertical="center"/>
    </xf>
    <xf numFmtId="0" fontId="50" fillId="0" borderId="63" xfId="0" applyFont="1" applyBorder="1" applyAlignment="1">
      <alignment horizontal="center" vertical="center"/>
    </xf>
    <xf numFmtId="0" fontId="50" fillId="22" borderId="63" xfId="0" applyFont="1" applyFill="1" applyBorder="1" applyAlignment="1">
      <alignment horizontal="center" vertical="center"/>
    </xf>
    <xf numFmtId="164" fontId="50" fillId="22" borderId="27" xfId="0" applyNumberFormat="1" applyFont="1" applyFill="1" applyBorder="1" applyAlignment="1">
      <alignment horizontal="center" vertical="center"/>
    </xf>
    <xf numFmtId="167" fontId="50" fillId="22" borderId="27" xfId="0" applyNumberFormat="1" applyFont="1" applyFill="1" applyBorder="1" applyAlignment="1">
      <alignment horizontal="center" vertical="center"/>
    </xf>
    <xf numFmtId="0" fontId="50" fillId="3" borderId="63" xfId="0" applyFont="1" applyFill="1" applyBorder="1" applyAlignment="1">
      <alignment horizontal="center" vertical="center" wrapText="1"/>
    </xf>
    <xf numFmtId="164" fontId="50" fillId="3" borderId="63" xfId="0" applyNumberFormat="1" applyFont="1" applyFill="1" applyBorder="1" applyAlignment="1">
      <alignment horizontal="center" vertical="center"/>
    </xf>
    <xf numFmtId="14" fontId="50" fillId="3" borderId="63" xfId="0" applyNumberFormat="1" applyFont="1" applyFill="1" applyBorder="1" applyAlignment="1">
      <alignment horizontal="center" vertical="center"/>
    </xf>
    <xf numFmtId="167" fontId="43" fillId="0" borderId="2" xfId="0" applyNumberFormat="1" applyFont="1" applyBorder="1" applyAlignment="1">
      <alignment horizontal="right" vertical="center"/>
    </xf>
    <xf numFmtId="0" fontId="57" fillId="0" borderId="63" xfId="0" applyFont="1" applyBorder="1" applyAlignment="1">
      <alignment horizontal="center" vertical="center" wrapText="1"/>
    </xf>
    <xf numFmtId="0" fontId="50" fillId="3" borderId="2" xfId="0" applyFont="1" applyFill="1" applyBorder="1" applyAlignment="1">
      <alignment horizontal="center" vertical="center"/>
    </xf>
    <xf numFmtId="167" fontId="43" fillId="0" borderId="2" xfId="1" applyNumberFormat="1" applyFont="1" applyFill="1" applyBorder="1" applyAlignment="1">
      <alignment horizontal="right" vertical="center"/>
    </xf>
    <xf numFmtId="167" fontId="50" fillId="0" borderId="2" xfId="1" applyNumberFormat="1" applyFont="1" applyFill="1" applyBorder="1" applyAlignment="1">
      <alignment horizontal="right" vertical="center"/>
    </xf>
    <xf numFmtId="167" fontId="49" fillId="22" borderId="27" xfId="0" applyNumberFormat="1" applyFont="1" applyFill="1" applyBorder="1" applyAlignment="1">
      <alignment horizontal="right" vertical="center"/>
    </xf>
    <xf numFmtId="0" fontId="43" fillId="0" borderId="2" xfId="0" applyFont="1" applyBorder="1" applyAlignment="1">
      <alignment horizontal="center" vertical="center"/>
    </xf>
    <xf numFmtId="167" fontId="43" fillId="0" borderId="2" xfId="1" applyNumberFormat="1" applyFont="1" applyFill="1" applyBorder="1" applyAlignment="1">
      <alignment horizontal="center" vertical="center"/>
    </xf>
    <xf numFmtId="167" fontId="43" fillId="0" borderId="2" xfId="0" applyNumberFormat="1" applyFont="1" applyBorder="1" applyAlignment="1">
      <alignment horizontal="center" vertical="center"/>
    </xf>
    <xf numFmtId="164" fontId="43" fillId="3" borderId="63" xfId="0" applyNumberFormat="1" applyFont="1" applyFill="1" applyBorder="1" applyAlignment="1">
      <alignment horizontal="center" vertical="center"/>
    </xf>
    <xf numFmtId="0" fontId="57" fillId="0" borderId="2" xfId="0" quotePrefix="1" applyFont="1" applyBorder="1" applyAlignment="1">
      <alignment horizontal="center" vertical="center"/>
    </xf>
    <xf numFmtId="167" fontId="45" fillId="3" borderId="63" xfId="0" applyNumberFormat="1" applyFont="1" applyFill="1" applyBorder="1" applyAlignment="1">
      <alignment horizontal="right" vertical="center"/>
    </xf>
    <xf numFmtId="0" fontId="45" fillId="3" borderId="63" xfId="0" applyFont="1" applyFill="1" applyBorder="1" applyAlignment="1">
      <alignment vertical="center"/>
    </xf>
    <xf numFmtId="167" fontId="43" fillId="3" borderId="0" xfId="0" applyNumberFormat="1" applyFont="1" applyFill="1" applyAlignment="1">
      <alignment horizontal="right" vertical="center"/>
    </xf>
    <xf numFmtId="0" fontId="49" fillId="3" borderId="63" xfId="0" applyFont="1" applyFill="1" applyBorder="1" applyAlignment="1">
      <alignment horizontal="center" vertical="center" wrapText="1"/>
    </xf>
    <xf numFmtId="14" fontId="49" fillId="3" borderId="63" xfId="0" applyNumberFormat="1" applyFont="1" applyFill="1" applyBorder="1" applyAlignment="1">
      <alignment vertical="center"/>
    </xf>
    <xf numFmtId="164" fontId="49" fillId="3" borderId="63" xfId="1" applyNumberFormat="1" applyFont="1" applyFill="1" applyBorder="1" applyAlignment="1">
      <alignment horizontal="center" vertical="center"/>
    </xf>
    <xf numFmtId="9" fontId="49" fillId="3" borderId="63" xfId="0" applyNumberFormat="1" applyFont="1" applyFill="1" applyBorder="1" applyAlignment="1">
      <alignment horizontal="right" vertical="center"/>
    </xf>
    <xf numFmtId="0" fontId="45" fillId="0" borderId="63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51" fillId="3" borderId="65" xfId="0" applyFont="1" applyFill="1" applyBorder="1" applyAlignment="1">
      <alignment horizontal="center" vertical="center"/>
    </xf>
    <xf numFmtId="0" fontId="43" fillId="3" borderId="6" xfId="0" applyFont="1" applyFill="1" applyBorder="1" applyAlignment="1">
      <alignment horizontal="center" vertical="center"/>
    </xf>
    <xf numFmtId="0" fontId="51" fillId="3" borderId="6" xfId="0" applyFont="1" applyFill="1" applyBorder="1" applyAlignment="1">
      <alignment horizontal="center" vertical="center" wrapText="1"/>
    </xf>
    <xf numFmtId="14" fontId="43" fillId="3" borderId="6" xfId="0" applyNumberFormat="1" applyFont="1" applyFill="1" applyBorder="1" applyAlignment="1">
      <alignment vertical="center" wrapText="1"/>
    </xf>
    <xf numFmtId="14" fontId="43" fillId="3" borderId="6" xfId="0" applyNumberFormat="1" applyFont="1" applyFill="1" applyBorder="1" applyAlignment="1">
      <alignment horizontal="center" vertical="center" wrapText="1"/>
    </xf>
    <xf numFmtId="164" fontId="43" fillId="3" borderId="6" xfId="1" applyNumberFormat="1" applyFont="1" applyFill="1" applyBorder="1" applyAlignment="1">
      <alignment horizontal="center" vertical="center"/>
    </xf>
    <xf numFmtId="9" fontId="43" fillId="3" borderId="6" xfId="0" applyNumberFormat="1" applyFont="1" applyFill="1" applyBorder="1" applyAlignment="1">
      <alignment horizontal="right" vertical="center"/>
    </xf>
    <xf numFmtId="0" fontId="58" fillId="3" borderId="2" xfId="0" applyFont="1" applyFill="1" applyBorder="1" applyAlignment="1">
      <alignment horizontal="center" vertical="center" wrapText="1"/>
    </xf>
    <xf numFmtId="0" fontId="43" fillId="3" borderId="3" xfId="0" applyFont="1" applyFill="1" applyBorder="1" applyAlignment="1">
      <alignment horizontal="center" vertical="center"/>
    </xf>
    <xf numFmtId="0" fontId="57" fillId="3" borderId="6" xfId="0" applyFont="1" applyFill="1" applyBorder="1" applyAlignment="1">
      <alignment horizontal="center" vertical="center"/>
    </xf>
    <xf numFmtId="0" fontId="51" fillId="3" borderId="65" xfId="0" applyFont="1" applyFill="1" applyBorder="1" applyAlignment="1">
      <alignment horizontal="center" vertical="center" wrapText="1"/>
    </xf>
    <xf numFmtId="0" fontId="51" fillId="3" borderId="2" xfId="0" applyFont="1" applyFill="1" applyBorder="1" applyAlignment="1">
      <alignment horizontal="center" vertical="center"/>
    </xf>
    <xf numFmtId="14" fontId="43" fillId="3" borderId="2" xfId="0" applyNumberFormat="1" applyFont="1" applyFill="1" applyBorder="1" applyAlignment="1">
      <alignment vertical="center" wrapText="1"/>
    </xf>
    <xf numFmtId="14" fontId="43" fillId="3" borderId="2" xfId="0" applyNumberFormat="1" applyFont="1" applyFill="1" applyBorder="1" applyAlignment="1">
      <alignment horizontal="center" vertical="center" wrapText="1"/>
    </xf>
    <xf numFmtId="164" fontId="43" fillId="3" borderId="2" xfId="1" applyNumberFormat="1" applyFont="1" applyFill="1" applyBorder="1" applyAlignment="1">
      <alignment horizontal="center" vertical="center"/>
    </xf>
    <xf numFmtId="9" fontId="43" fillId="3" borderId="2" xfId="0" applyNumberFormat="1" applyFont="1" applyFill="1" applyBorder="1" applyAlignment="1">
      <alignment horizontal="right" vertical="center"/>
    </xf>
    <xf numFmtId="0" fontId="43" fillId="3" borderId="20" xfId="0" applyFont="1" applyFill="1" applyBorder="1" applyAlignment="1">
      <alignment horizontal="center" vertical="center"/>
    </xf>
    <xf numFmtId="0" fontId="57" fillId="3" borderId="2" xfId="0" applyFont="1" applyFill="1" applyBorder="1" applyAlignment="1">
      <alignment horizontal="center" vertical="center"/>
    </xf>
    <xf numFmtId="14" fontId="51" fillId="3" borderId="63" xfId="0" applyNumberFormat="1" applyFont="1" applyFill="1" applyBorder="1" applyAlignment="1">
      <alignment horizontal="center" vertical="center"/>
    </xf>
    <xf numFmtId="0" fontId="59" fillId="3" borderId="2" xfId="0" applyFont="1" applyFill="1" applyBorder="1" applyAlignment="1">
      <alignment horizontal="center" vertical="center" wrapText="1"/>
    </xf>
    <xf numFmtId="167" fontId="43" fillId="0" borderId="0" xfId="0" applyNumberFormat="1" applyFont="1" applyAlignment="1">
      <alignment horizontal="right" vertical="center"/>
    </xf>
    <xf numFmtId="0" fontId="51" fillId="3" borderId="2" xfId="0" applyFont="1" applyFill="1" applyBorder="1" applyAlignment="1">
      <alignment horizontal="center" vertical="center" wrapText="1"/>
    </xf>
    <xf numFmtId="14" fontId="43" fillId="0" borderId="2" xfId="0" applyNumberFormat="1" applyFont="1" applyBorder="1" applyAlignment="1">
      <alignment horizontal="right" vertical="center"/>
    </xf>
    <xf numFmtId="0" fontId="43" fillId="9" borderId="2" xfId="0" applyFont="1" applyFill="1" applyBorder="1" applyAlignment="1">
      <alignment horizontal="center" vertical="center"/>
    </xf>
    <xf numFmtId="14" fontId="43" fillId="0" borderId="2" xfId="0" applyNumberFormat="1" applyFont="1" applyBorder="1" applyAlignment="1">
      <alignment vertical="center" wrapText="1"/>
    </xf>
    <xf numFmtId="14" fontId="43" fillId="0" borderId="2" xfId="0" applyNumberFormat="1" applyFont="1" applyBorder="1" applyAlignment="1">
      <alignment horizontal="center" vertical="center" wrapText="1"/>
    </xf>
    <xf numFmtId="164" fontId="43" fillId="0" borderId="2" xfId="1" applyNumberFormat="1" applyFont="1" applyFill="1" applyBorder="1" applyAlignment="1">
      <alignment horizontal="center" vertical="center"/>
    </xf>
    <xf numFmtId="9" fontId="43" fillId="0" borderId="2" xfId="0" applyNumberFormat="1" applyFont="1" applyBorder="1" applyAlignment="1">
      <alignment horizontal="right" vertical="center"/>
    </xf>
    <xf numFmtId="0" fontId="43" fillId="0" borderId="20" xfId="0" applyFont="1" applyBorder="1" applyAlignment="1">
      <alignment horizontal="center" vertical="center"/>
    </xf>
    <xf numFmtId="164" fontId="43" fillId="0" borderId="2" xfId="0" applyNumberFormat="1" applyFont="1" applyBorder="1" applyAlignment="1">
      <alignment horizontal="right" vertical="center"/>
    </xf>
    <xf numFmtId="167" fontId="43" fillId="3" borderId="2" xfId="1" applyNumberFormat="1" applyFont="1" applyFill="1" applyBorder="1" applyAlignment="1">
      <alignment horizontal="right" vertical="center"/>
    </xf>
    <xf numFmtId="167" fontId="43" fillId="11" borderId="0" xfId="0" applyNumberFormat="1" applyFont="1" applyFill="1" applyAlignment="1">
      <alignment horizontal="right" vertical="center"/>
    </xf>
    <xf numFmtId="167" fontId="43" fillId="11" borderId="2" xfId="1" applyNumberFormat="1" applyFont="1" applyFill="1" applyBorder="1" applyAlignment="1">
      <alignment horizontal="right" vertical="center"/>
    </xf>
    <xf numFmtId="0" fontId="43" fillId="3" borderId="65" xfId="0" applyFont="1" applyFill="1" applyBorder="1" applyAlignment="1">
      <alignment horizontal="left" vertical="center" wrapText="1"/>
    </xf>
    <xf numFmtId="0" fontId="43" fillId="3" borderId="65" xfId="0" applyFont="1" applyFill="1" applyBorder="1" applyAlignment="1">
      <alignment horizontal="center" vertical="center" wrapText="1"/>
    </xf>
    <xf numFmtId="0" fontId="45" fillId="3" borderId="63" xfId="0" applyFont="1" applyFill="1" applyBorder="1" applyAlignment="1">
      <alignment horizontal="center" vertical="center"/>
    </xf>
    <xf numFmtId="167" fontId="45" fillId="3" borderId="63" xfId="1" applyNumberFormat="1" applyFont="1" applyFill="1" applyBorder="1" applyAlignment="1">
      <alignment horizontal="right" vertical="center"/>
    </xf>
    <xf numFmtId="0" fontId="45" fillId="3" borderId="63" xfId="0" applyFont="1" applyFill="1" applyBorder="1" applyAlignment="1">
      <alignment horizontal="left" vertical="center" wrapText="1"/>
    </xf>
    <xf numFmtId="0" fontId="45" fillId="0" borderId="63" xfId="0" applyFont="1" applyBorder="1" applyAlignment="1">
      <alignment horizontal="center" vertical="center" wrapText="1"/>
    </xf>
    <xf numFmtId="0" fontId="45" fillId="3" borderId="63" xfId="0" applyFont="1" applyFill="1" applyBorder="1" applyAlignment="1">
      <alignment horizontal="center" vertical="center" wrapText="1"/>
    </xf>
    <xf numFmtId="164" fontId="45" fillId="3" borderId="63" xfId="0" applyNumberFormat="1" applyFont="1" applyFill="1" applyBorder="1" applyAlignment="1">
      <alignment horizontal="right" vertical="center"/>
    </xf>
    <xf numFmtId="167" fontId="43" fillId="3" borderId="6" xfId="1" applyNumberFormat="1" applyFont="1" applyFill="1" applyBorder="1" applyAlignment="1">
      <alignment horizontal="right" vertical="center"/>
    </xf>
    <xf numFmtId="0" fontId="43" fillId="3" borderId="65" xfId="0" applyFont="1" applyFill="1" applyBorder="1" applyAlignment="1">
      <alignment horizontal="center" vertical="center"/>
    </xf>
    <xf numFmtId="164" fontId="43" fillId="3" borderId="65" xfId="0" applyNumberFormat="1" applyFont="1" applyFill="1" applyBorder="1" applyAlignment="1">
      <alignment vertical="center"/>
    </xf>
    <xf numFmtId="14" fontId="43" fillId="3" borderId="65" xfId="0" applyNumberFormat="1" applyFont="1" applyFill="1" applyBorder="1" applyAlignment="1">
      <alignment horizontal="center" vertical="center"/>
    </xf>
    <xf numFmtId="0" fontId="43" fillId="3" borderId="65" xfId="0" applyFont="1" applyFill="1" applyBorder="1" applyAlignment="1">
      <alignment vertical="center" wrapText="1"/>
    </xf>
    <xf numFmtId="0" fontId="45" fillId="3" borderId="0" xfId="0" applyFont="1" applyFill="1" applyAlignment="1">
      <alignment vertical="center"/>
    </xf>
    <xf numFmtId="0" fontId="43" fillId="0" borderId="0" xfId="0" applyFont="1" applyAlignment="1">
      <alignment vertical="center" wrapText="1"/>
    </xf>
    <xf numFmtId="0" fontId="36" fillId="20" borderId="3" xfId="0" applyFont="1" applyFill="1" applyBorder="1" applyAlignment="1">
      <alignment horizontal="center" vertical="top" wrapText="1"/>
    </xf>
    <xf numFmtId="0" fontId="63" fillId="0" borderId="2" xfId="0" applyFont="1" applyBorder="1" applyAlignment="1">
      <alignment horizontal="left" vertical="center" wrapText="1"/>
    </xf>
    <xf numFmtId="0" fontId="63" fillId="3" borderId="2" xfId="0" applyFont="1" applyFill="1" applyBorder="1" applyAlignment="1">
      <alignment horizontal="center" vertical="center"/>
    </xf>
    <xf numFmtId="14" fontId="50" fillId="0" borderId="0" xfId="0" applyNumberFormat="1" applyFont="1" applyAlignment="1">
      <alignment vertical="center"/>
    </xf>
    <xf numFmtId="0" fontId="63" fillId="0" borderId="20" xfId="0" applyFont="1" applyBorder="1" applyAlignment="1">
      <alignment horizontal="center" vertical="center"/>
    </xf>
    <xf numFmtId="14" fontId="63" fillId="3" borderId="63" xfId="0" applyNumberFormat="1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0" fontId="47" fillId="21" borderId="6" xfId="0" applyFont="1" applyFill="1" applyBorder="1" applyAlignment="1">
      <alignment horizontal="center" vertical="center"/>
    </xf>
    <xf numFmtId="0" fontId="59" fillId="21" borderId="2" xfId="0" applyFont="1" applyFill="1" applyBorder="1" applyAlignment="1">
      <alignment horizontal="center" wrapText="1"/>
    </xf>
    <xf numFmtId="0" fontId="47" fillId="21" borderId="2" xfId="0" applyFont="1" applyFill="1" applyBorder="1" applyAlignment="1">
      <alignment horizontal="center" wrapText="1"/>
    </xf>
    <xf numFmtId="0" fontId="49" fillId="0" borderId="0" xfId="0" applyFont="1" applyAlignment="1">
      <alignment horizontal="center" vertical="top"/>
    </xf>
    <xf numFmtId="0" fontId="49" fillId="21" borderId="2" xfId="0" applyFont="1" applyFill="1" applyBorder="1" applyAlignment="1">
      <alignment vertical="center" wrapText="1"/>
    </xf>
    <xf numFmtId="0" fontId="49" fillId="21" borderId="2" xfId="0" applyFont="1" applyFill="1" applyBorder="1" applyAlignment="1">
      <alignment horizontal="center" wrapText="1"/>
    </xf>
    <xf numFmtId="0" fontId="47" fillId="21" borderId="2" xfId="0" applyFont="1" applyFill="1" applyBorder="1" applyAlignment="1">
      <alignment horizontal="center" vertical="center" wrapText="1"/>
    </xf>
    <xf numFmtId="0" fontId="49" fillId="0" borderId="0" xfId="0" applyFont="1" applyAlignment="1">
      <alignment horizontal="center" vertical="top" wrapText="1"/>
    </xf>
    <xf numFmtId="0" fontId="49" fillId="3" borderId="0" xfId="0" applyFont="1" applyFill="1" applyAlignment="1">
      <alignment horizontal="center" vertical="top"/>
    </xf>
    <xf numFmtId="0" fontId="47" fillId="21" borderId="2" xfId="0" applyFont="1" applyFill="1" applyBorder="1" applyAlignment="1">
      <alignment horizontal="center" vertical="center"/>
    </xf>
    <xf numFmtId="0" fontId="47" fillId="21" borderId="20" xfId="0" applyFont="1" applyFill="1" applyBorder="1" applyAlignment="1">
      <alignment horizontal="center" vertical="center" wrapText="1"/>
    </xf>
    <xf numFmtId="0" fontId="59" fillId="21" borderId="0" xfId="0" applyFont="1" applyFill="1" applyAlignment="1">
      <alignment horizontal="center" vertical="center" wrapText="1"/>
    </xf>
    <xf numFmtId="0" fontId="47" fillId="21" borderId="0" xfId="0" applyFont="1" applyFill="1" applyAlignment="1">
      <alignment horizontal="center" vertical="center" wrapText="1"/>
    </xf>
    <xf numFmtId="0" fontId="47" fillId="21" borderId="0" xfId="0" applyFont="1" applyFill="1" applyAlignment="1">
      <alignment horizontal="center" vertical="center"/>
    </xf>
    <xf numFmtId="0" fontId="56" fillId="21" borderId="63" xfId="0" applyFont="1" applyFill="1" applyBorder="1" applyAlignment="1">
      <alignment horizontal="center" vertical="center" wrapText="1"/>
    </xf>
    <xf numFmtId="0" fontId="48" fillId="21" borderId="63" xfId="0" applyFont="1" applyFill="1" applyBorder="1" applyAlignment="1">
      <alignment vertical="center"/>
    </xf>
    <xf numFmtId="0" fontId="63" fillId="0" borderId="2" xfId="0" applyFont="1" applyBorder="1" applyAlignment="1">
      <alignment vertical="top" wrapText="1"/>
    </xf>
    <xf numFmtId="0" fontId="63" fillId="3" borderId="2" xfId="0" applyFont="1" applyFill="1" applyBorder="1" applyAlignment="1">
      <alignment horizontal="center" vertical="top"/>
    </xf>
    <xf numFmtId="14" fontId="50" fillId="0" borderId="0" xfId="0" applyNumberFormat="1" applyFont="1"/>
    <xf numFmtId="0" fontId="63" fillId="0" borderId="20" xfId="0" applyFont="1" applyBorder="1" applyAlignment="1">
      <alignment horizontal="center" vertical="top"/>
    </xf>
    <xf numFmtId="14" fontId="63" fillId="3" borderId="63" xfId="0" applyNumberFormat="1" applyFont="1" applyFill="1" applyBorder="1" applyAlignment="1">
      <alignment horizontal="center" vertical="top"/>
    </xf>
    <xf numFmtId="0" fontId="63" fillId="0" borderId="3" xfId="0" applyFont="1" applyBorder="1" applyAlignment="1">
      <alignment horizontal="center" vertical="top"/>
    </xf>
    <xf numFmtId="0" fontId="57" fillId="0" borderId="0" xfId="0" applyFont="1" applyAlignment="1">
      <alignment vertical="top"/>
    </xf>
    <xf numFmtId="0" fontId="4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14" fontId="2" fillId="3" borderId="63" xfId="0" applyNumberFormat="1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top"/>
    </xf>
    <xf numFmtId="0" fontId="65" fillId="23" borderId="27" xfId="0" applyFont="1" applyFill="1" applyBorder="1" applyAlignment="1">
      <alignment horizontal="center" vertical="center"/>
    </xf>
    <xf numFmtId="0" fontId="66" fillId="23" borderId="27" xfId="0" applyFont="1" applyFill="1" applyBorder="1" applyAlignment="1">
      <alignment horizontal="center" vertical="center"/>
    </xf>
    <xf numFmtId="0" fontId="66" fillId="23" borderId="27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20" xfId="0" applyFont="1" applyBorder="1" applyAlignment="1">
      <alignment horizontal="center"/>
    </xf>
    <xf numFmtId="0" fontId="2" fillId="0" borderId="2" xfId="0" applyFont="1" applyBorder="1"/>
    <xf numFmtId="0" fontId="2" fillId="0" borderId="11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11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29" xfId="0" applyFont="1" applyBorder="1" applyAlignment="1">
      <alignment wrapText="1"/>
    </xf>
    <xf numFmtId="0" fontId="2" fillId="0" borderId="20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25" xfId="0" applyFont="1" applyBorder="1"/>
    <xf numFmtId="0" fontId="2" fillId="0" borderId="0" xfId="0" applyFont="1" applyAlignment="1">
      <alignment horizontal="left"/>
    </xf>
    <xf numFmtId="0" fontId="2" fillId="0" borderId="6" xfId="0" applyFont="1" applyBorder="1"/>
    <xf numFmtId="166" fontId="2" fillId="0" borderId="0" xfId="0" applyNumberFormat="1" applyFont="1"/>
    <xf numFmtId="0" fontId="2" fillId="3" borderId="0" xfId="0" applyFont="1" applyFill="1"/>
    <xf numFmtId="3" fontId="2" fillId="0" borderId="0" xfId="0" applyNumberFormat="1" applyFont="1"/>
    <xf numFmtId="0" fontId="2" fillId="7" borderId="0" xfId="0" applyFont="1" applyFill="1"/>
    <xf numFmtId="0" fontId="2" fillId="6" borderId="0" xfId="0" applyFont="1" applyFill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14" fontId="2" fillId="3" borderId="63" xfId="0" applyNumberFormat="1" applyFont="1" applyFill="1" applyBorder="1" applyAlignment="1">
      <alignment horizontal="right" vertical="center"/>
    </xf>
    <xf numFmtId="14" fontId="2" fillId="3" borderId="63" xfId="0" applyNumberFormat="1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vertical="center"/>
    </xf>
    <xf numFmtId="14" fontId="2" fillId="0" borderId="2" xfId="0" applyNumberFormat="1" applyFont="1" applyBorder="1" applyAlignment="1">
      <alignment horizontal="right" vertical="center"/>
    </xf>
    <xf numFmtId="14" fontId="2" fillId="0" borderId="2" xfId="0" applyNumberFormat="1" applyFont="1" applyBorder="1" applyAlignment="1">
      <alignment horizontal="center" vertical="center"/>
    </xf>
    <xf numFmtId="164" fontId="2" fillId="0" borderId="2" xfId="1" applyNumberFormat="1" applyFont="1" applyFill="1" applyBorder="1" applyAlignment="1">
      <alignment horizontal="center" vertical="center"/>
    </xf>
    <xf numFmtId="9" fontId="2" fillId="0" borderId="2" xfId="0" applyNumberFormat="1" applyFont="1" applyBorder="1" applyAlignment="1">
      <alignment horizontal="right" vertical="center"/>
    </xf>
    <xf numFmtId="0" fontId="2" fillId="3" borderId="6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3" borderId="63" xfId="0" applyNumberFormat="1" applyFont="1" applyFill="1" applyBorder="1" applyAlignment="1">
      <alignment horizontal="right" vertical="top"/>
    </xf>
    <xf numFmtId="14" fontId="2" fillId="0" borderId="2" xfId="0" applyNumberFormat="1" applyFont="1" applyBorder="1" applyAlignment="1">
      <alignment vertical="top"/>
    </xf>
    <xf numFmtId="14" fontId="2" fillId="0" borderId="2" xfId="0" applyNumberFormat="1" applyFont="1" applyBorder="1" applyAlignment="1">
      <alignment horizontal="right" vertical="top"/>
    </xf>
    <xf numFmtId="14" fontId="2" fillId="0" borderId="2" xfId="0" applyNumberFormat="1" applyFont="1" applyBorder="1" applyAlignment="1">
      <alignment horizontal="center" vertical="top"/>
    </xf>
    <xf numFmtId="164" fontId="2" fillId="0" borderId="2" xfId="1" applyNumberFormat="1" applyFont="1" applyFill="1" applyBorder="1" applyAlignment="1">
      <alignment horizontal="center" vertical="top"/>
    </xf>
    <xf numFmtId="9" fontId="2" fillId="0" borderId="2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center" vertical="top"/>
    </xf>
    <xf numFmtId="164" fontId="2" fillId="0" borderId="20" xfId="1" applyNumberFormat="1" applyFont="1" applyFill="1" applyBorder="1" applyAlignment="1">
      <alignment horizontal="right" vertical="top"/>
    </xf>
    <xf numFmtId="0" fontId="2" fillId="0" borderId="20" xfId="0" applyFont="1" applyBorder="1" applyAlignment="1">
      <alignment horizontal="left" vertical="top" wrapText="1"/>
    </xf>
    <xf numFmtId="1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center" vertical="top"/>
    </xf>
    <xf numFmtId="14" fontId="2" fillId="0" borderId="20" xfId="0" applyNumberFormat="1" applyFont="1" applyBorder="1" applyAlignment="1">
      <alignment vertical="top"/>
    </xf>
    <xf numFmtId="14" fontId="2" fillId="0" borderId="20" xfId="0" applyNumberFormat="1" applyFont="1" applyBorder="1" applyAlignment="1">
      <alignment horizontal="center" vertical="top"/>
    </xf>
    <xf numFmtId="164" fontId="2" fillId="0" borderId="20" xfId="1" applyNumberFormat="1" applyFont="1" applyFill="1" applyBorder="1" applyAlignment="1">
      <alignment horizontal="center" vertical="top"/>
    </xf>
    <xf numFmtId="9" fontId="2" fillId="0" borderId="20" xfId="0" applyNumberFormat="1" applyFont="1" applyBorder="1" applyAlignment="1">
      <alignment horizontal="right" vertical="top"/>
    </xf>
    <xf numFmtId="0" fontId="2" fillId="0" borderId="2" xfId="0" applyFont="1" applyBorder="1" applyAlignment="1">
      <alignment vertical="top" wrapText="1"/>
    </xf>
    <xf numFmtId="0" fontId="2" fillId="3" borderId="63" xfId="0" applyFont="1" applyFill="1" applyBorder="1" applyAlignment="1">
      <alignment horizontal="center" vertical="top"/>
    </xf>
    <xf numFmtId="14" fontId="2" fillId="0" borderId="2" xfId="0" applyNumberFormat="1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/>
    </xf>
    <xf numFmtId="0" fontId="67" fillId="0" borderId="2" xfId="0" applyFont="1" applyBorder="1" applyAlignment="1">
      <alignment horizontal="center" vertical="top"/>
    </xf>
    <xf numFmtId="164" fontId="68" fillId="0" borderId="2" xfId="1" applyNumberFormat="1" applyFont="1" applyFill="1" applyBorder="1" applyAlignment="1">
      <alignment horizontal="right" vertical="top"/>
    </xf>
    <xf numFmtId="167" fontId="68" fillId="0" borderId="2" xfId="0" applyNumberFormat="1" applyFont="1" applyBorder="1" applyAlignment="1">
      <alignment horizontal="right" vertical="top"/>
    </xf>
    <xf numFmtId="0" fontId="68" fillId="0" borderId="0" xfId="0" applyFont="1" applyAlignment="1">
      <alignment vertical="top"/>
    </xf>
    <xf numFmtId="0" fontId="68" fillId="3" borderId="63" xfId="0" applyFont="1" applyFill="1" applyBorder="1" applyAlignment="1">
      <alignment horizontal="center" vertical="top"/>
    </xf>
    <xf numFmtId="164" fontId="68" fillId="3" borderId="63" xfId="0" applyNumberFormat="1" applyFont="1" applyFill="1" applyBorder="1" applyAlignment="1">
      <alignment horizontal="right" vertical="top"/>
    </xf>
    <xf numFmtId="0" fontId="68" fillId="3" borderId="2" xfId="0" applyFont="1" applyFill="1" applyBorder="1" applyAlignment="1">
      <alignment horizontal="center" vertical="top"/>
    </xf>
    <xf numFmtId="14" fontId="68" fillId="3" borderId="2" xfId="0" applyNumberFormat="1" applyFont="1" applyFill="1" applyBorder="1" applyAlignment="1">
      <alignment horizontal="center" vertical="top"/>
    </xf>
    <xf numFmtId="0" fontId="67" fillId="21" borderId="2" xfId="0" applyFont="1" applyFill="1" applyBorder="1" applyAlignment="1">
      <alignment vertical="center"/>
    </xf>
    <xf numFmtId="0" fontId="67" fillId="21" borderId="2" xfId="0" applyFont="1" applyFill="1" applyBorder="1" applyAlignment="1">
      <alignment horizontal="center" vertical="top"/>
    </xf>
    <xf numFmtId="14" fontId="67" fillId="0" borderId="2" xfId="0" applyNumberFormat="1" applyFont="1" applyBorder="1" applyAlignment="1">
      <alignment horizontal="center" vertical="center"/>
    </xf>
    <xf numFmtId="0" fontId="67" fillId="0" borderId="63" xfId="0" applyFont="1" applyBorder="1" applyAlignment="1">
      <alignment horizontal="center" vertical="top"/>
    </xf>
    <xf numFmtId="0" fontId="67" fillId="0" borderId="0" xfId="0" applyFont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top"/>
    </xf>
    <xf numFmtId="0" fontId="68" fillId="11" borderId="0" xfId="0" applyFont="1" applyFill="1" applyAlignment="1">
      <alignment vertical="top"/>
    </xf>
    <xf numFmtId="0" fontId="43" fillId="11" borderId="2" xfId="0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51" fillId="0" borderId="0" xfId="0" applyNumberFormat="1" applyFont="1" applyAlignment="1">
      <alignment horizontal="center" vertical="top"/>
    </xf>
    <xf numFmtId="0" fontId="5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1" fillId="3" borderId="63" xfId="0" applyNumberFormat="1" applyFont="1" applyFill="1" applyBorder="1" applyAlignment="1">
      <alignment horizontal="right" vertical="top"/>
    </xf>
    <xf numFmtId="14" fontId="1" fillId="3" borderId="63" xfId="0" applyNumberFormat="1" applyFont="1" applyFill="1" applyBorder="1" applyAlignment="1">
      <alignment horizontal="center" vertical="top"/>
    </xf>
    <xf numFmtId="14" fontId="1" fillId="0" borderId="2" xfId="0" applyNumberFormat="1" applyFont="1" applyBorder="1" applyAlignment="1">
      <alignment vertical="top"/>
    </xf>
    <xf numFmtId="14" fontId="1" fillId="0" borderId="2" xfId="0" applyNumberFormat="1" applyFont="1" applyBorder="1" applyAlignment="1">
      <alignment horizontal="right" vertical="top"/>
    </xf>
    <xf numFmtId="14" fontId="1" fillId="0" borderId="2" xfId="0" applyNumberFormat="1" applyFont="1" applyBorder="1" applyAlignment="1">
      <alignment horizontal="center" vertical="top"/>
    </xf>
    <xf numFmtId="164" fontId="1" fillId="0" borderId="2" xfId="1" applyNumberFormat="1" applyFont="1" applyFill="1" applyBorder="1" applyAlignment="1">
      <alignment horizontal="center" vertical="top"/>
    </xf>
    <xf numFmtId="9" fontId="1" fillId="0" borderId="2" xfId="0" applyNumberFormat="1" applyFont="1" applyBorder="1" applyAlignment="1">
      <alignment horizontal="right" vertical="top"/>
    </xf>
    <xf numFmtId="0" fontId="1" fillId="3" borderId="2" xfId="0" applyFont="1" applyFill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1">
    <cellStyle name="Cálculo" xfId="5" builtinId="22"/>
    <cellStyle name="Comma 2" xfId="8" xr:uid="{C2074EB3-7C3E-4AF8-BC4D-E5828C979CF1}"/>
    <cellStyle name="Comma 2 5" xfId="9" xr:uid="{2F6612D3-38DB-4891-82D1-0541816DF818}"/>
    <cellStyle name="Comma 3" xfId="10" xr:uid="{7C09066B-F97C-4FF5-B377-37EC42823312}"/>
    <cellStyle name="Hipervínculo" xfId="3" builtinId="8"/>
    <cellStyle name="Millares" xfId="4" builtinId="3"/>
    <cellStyle name="Moneda" xfId="1" builtinId="4"/>
    <cellStyle name="Normal" xfId="0" builtinId="0"/>
    <cellStyle name="Normal 2" xfId="6" xr:uid="{B3BE5214-B2A0-471C-9A1C-E7CA4B2992B9}"/>
    <cellStyle name="Percent 2" xfId="7" xr:uid="{50CD4EB3-9508-4714-9AFA-B8702A4DE6FA}"/>
    <cellStyle name="Porcentaje" xfId="2" builtinId="5"/>
  </cellStyles>
  <dxfs count="48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70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_-* #,##0.00_-;\-* #,##0.00_-;_-* &quot;-&quot;??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0" formatCode="dd/mm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* #,##0.00_-;\-* #,##0.00_-;_-* &quot;-&quot;??_-;_-@_-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right" vertical="top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9917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170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70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64" formatCode="_-* #,##0.00_-;\-* #,##0.00_-;_-* &quot;-&quot;??_-;_-@_-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0" formatCode="dd/mm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* #,##0.00_-;\-* #,##0.00_-;_-* &quot;-&quot;??_-;_-@_-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7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right" vertical="top" textRotation="0" wrapText="0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* #,##0.00_-;\-* #,##0.00_-;_-* &quot;-&quot;??_-;_-@_-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9917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70" formatCode="dd/mm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70" formatCode="dd/mm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3" formatCode="0%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* #,##0.00_-;\-* #,##0.00_-;_-* &quot;-&quot;??_-;_-@_-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* #,##0.00_-;\-* #,##0.00_-;_-* &quot;-&quot;??_-;_-@_-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9" formatCode="m/d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70" formatCode="dd/mm/yyyy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* #,##0.00_-;\-* #,##0.00_-;_-* &quot;-&quot;??_-;_-@_-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7" formatCode="_-[$$-409]* #,##0.00_ ;_-[$$-409]* \-#,##0.00\ ;_-[$$-409]* &quot;-&quot;??_ ;_-@_ 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64" formatCode="_-* #,##0.00_-;\-* #,##0.00_-;_-* &quot;-&quot;??_-;_-@_-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rgb="FF00000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299177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alibri"/>
        <family val="2"/>
        <scheme val="none"/>
      </font>
      <fill>
        <patternFill patternType="solid">
          <fgColor rgb="FF000000"/>
          <bgColor rgb="FFBDD7E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299177"/>
      <color rgb="FFB3C9C9"/>
      <color rgb="FF3FC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vin Foo" id="{03BC44AD-37FB-4926-85F4-763B3486D08F}" userId="S::kevin.foo@axessgroup.com::7e23c917-8a68-439e-89b1-86b477948424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Master%20Project%20Sheet%20-%202023%20-%20Cop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Andrade Soares" refreshedDate="44174.50722939815" createdVersion="6" refreshedVersion="6" minRefreshableVersion="3" recordCount="693" xr:uid="{DD40AFC0-ACFF-4EF2-BE44-D37732F64922}">
  <cacheSource type="worksheet">
    <worksheetSource ref="A3:Q700" sheet="Forecast1" r:id="rId2"/>
  </cacheSource>
  <cacheFields count="17">
    <cacheField name="Workorder" numFmtId="0">
      <sharedItems containsBlank="1"/>
    </cacheField>
    <cacheField name="Installation" numFmtId="0">
      <sharedItems containsBlank="1"/>
    </cacheField>
    <cacheField name="Client" numFmtId="0">
      <sharedItems containsBlank="1"/>
    </cacheField>
    <cacheField name="Description:" numFmtId="0">
      <sharedItems containsBlank="1"/>
    </cacheField>
    <cacheField name="Service" numFmtId="0">
      <sharedItems containsBlank="1" count="16">
        <s v="CCE"/>
        <s v="LEC"/>
        <s v="NDT"/>
        <s v="TRIM"/>
        <s v="Crane"/>
        <s v="DROPS"/>
        <s v="Elevator "/>
        <s v="Pressurized Systems"/>
        <s v="Engineering"/>
        <s v="EX"/>
        <s v="AIM"/>
        <m/>
        <s v="Marine"/>
        <s v="Safe lifting"/>
        <s v="PRV"/>
        <s v="Solutions / Marine"/>
      </sharedItems>
    </cacheField>
    <cacheField name="Segment" numFmtId="0">
      <sharedItems containsBlank="1"/>
    </cacheField>
    <cacheField name="BD Status" numFmtId="0">
      <sharedItems containsBlank="1"/>
    </cacheField>
    <cacheField name="Revenue Category" numFmtId="0">
      <sharedItems containsBlank="1" count="6">
        <s v="Order backlog"/>
        <s v="Out of the blue"/>
        <s v="Quoted"/>
        <s v="Pipeline"/>
        <s v="Order backlog "/>
        <m/>
      </sharedItems>
    </cacheField>
    <cacheField name="Quote No." numFmtId="0">
      <sharedItems containsBlank="1"/>
    </cacheField>
    <cacheField name="Monthly revenue" numFmtId="0">
      <sharedItems containsBlank="1" count="13">
        <s v="Jun"/>
        <s v="May"/>
        <s v="Feb"/>
        <s v="Apr"/>
        <s v="Aug"/>
        <s v="Jul"/>
        <s v="Mar"/>
        <s v="Oct"/>
        <s v="Sep"/>
        <s v="Jan"/>
        <s v="Nov"/>
        <s v="Dec"/>
        <m/>
      </sharedItems>
    </cacheField>
    <cacheField name="Projected _x000a_Year" numFmtId="0">
      <sharedItems containsString="0" containsBlank="1" containsNumber="1" containsInteger="1" minValue="18" maxValue="2021" count="5">
        <n v="2019"/>
        <n v="2020"/>
        <n v="18"/>
        <n v="2021"/>
        <m/>
      </sharedItems>
    </cacheField>
    <cacheField name="Probability" numFmtId="0">
      <sharedItems containsString="0" containsBlank="1" containsNumber="1" minValue="0.1" maxValue="1"/>
    </cacheField>
    <cacheField name="Expected Revenue" numFmtId="0">
      <sharedItems containsBlank="1" containsMixedTypes="1" containsNumber="1" minValue="-12128.5" maxValue="1275000"/>
    </cacheField>
    <cacheField name="Rev. Based on PROB" numFmtId="0">
      <sharedItems containsBlank="1" containsMixedTypes="1" containsNumber="1" minValue="-12128.5" maxValue="800000"/>
    </cacheField>
    <cacheField name="Expected CMR" numFmtId="0">
      <sharedItems containsString="0" containsBlank="1" containsNumber="1" minValue="0" maxValue="30000"/>
    </cacheField>
    <cacheField name="Contribution" numFmtId="0">
      <sharedItems containsBlank="1" containsMixedTypes="1" containsNumber="1" minValue="-3638.5499999999997" maxValue="3000000000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Andrade Soares" refreshedDate="44174.507229629628" createdVersion="6" refreshedVersion="6" minRefreshableVersion="3" recordCount="662" xr:uid="{DE99A3EB-D726-4B14-89B4-C416775EB755}">
  <cacheSource type="worksheet">
    <worksheetSource name="Table47"/>
  </cacheSource>
  <cacheFields count="17">
    <cacheField name="Workorder" numFmtId="0">
      <sharedItems containsBlank="1"/>
    </cacheField>
    <cacheField name="Installation" numFmtId="0">
      <sharedItems containsBlank="1"/>
    </cacheField>
    <cacheField name="Client" numFmtId="0">
      <sharedItems containsBlank="1"/>
    </cacheField>
    <cacheField name="Description:" numFmtId="0">
      <sharedItems containsBlank="1"/>
    </cacheField>
    <cacheField name="Service" numFmtId="0">
      <sharedItems containsBlank="1" count="23">
        <s v="CCE"/>
        <s v="LEC"/>
        <s v="NDT"/>
        <s v="TRIM"/>
        <s v="Crane"/>
        <s v="DROPS"/>
        <s v="Elevator "/>
        <s v="Pressurized Systems"/>
        <s v="Engineering"/>
        <s v="EX"/>
        <s v="AIM"/>
        <m/>
        <s v="Marine"/>
        <s v="Safe lifting"/>
        <s v="PRV"/>
        <s v="Solutions / Marine"/>
        <s v="RBI" u="1"/>
        <s v="DROPS " u="1"/>
        <s v="Solutions" u="1"/>
        <s v="HP/LP" u="1"/>
        <s v="NDT " u="1"/>
        <s v="LLG" u="1"/>
        <s v="Ad" u="1"/>
      </sharedItems>
    </cacheField>
    <cacheField name="Segment" numFmtId="0">
      <sharedItems containsBlank="1"/>
    </cacheField>
    <cacheField name="BD Status" numFmtId="0">
      <sharedItems containsBlank="1"/>
    </cacheField>
    <cacheField name="Revenue Category" numFmtId="0">
      <sharedItems containsBlank="1" count="8">
        <s v="Order backlog"/>
        <s v="Out of the blue"/>
        <s v="Quoted"/>
        <s v="Pipeline"/>
        <s v="Order backlog "/>
        <m/>
        <s v="Out of the blue " u="1"/>
        <s v="Pipeline " u="1"/>
      </sharedItems>
    </cacheField>
    <cacheField name="Quote No." numFmtId="0">
      <sharedItems containsBlank="1"/>
    </cacheField>
    <cacheField name="Monthly revenue" numFmtId="14">
      <sharedItems containsBlank="1" count="13">
        <s v="Jun"/>
        <s v="May"/>
        <s v="Feb"/>
        <s v="Apr"/>
        <s v="Aug"/>
        <s v="Jul"/>
        <s v="Mar"/>
        <s v="Oct"/>
        <s v="Sep"/>
        <s v="Jan"/>
        <s v="Nov"/>
        <s v="Dec"/>
        <m/>
      </sharedItems>
    </cacheField>
    <cacheField name="Projected _x000a_Year" numFmtId="0">
      <sharedItems containsString="0" containsBlank="1" containsNumber="1" containsInteger="1" minValue="18" maxValue="2021" count="5">
        <n v="2019"/>
        <n v="2020"/>
        <n v="18"/>
        <n v="2021"/>
        <m/>
      </sharedItems>
    </cacheField>
    <cacheField name="Probability" numFmtId="0">
      <sharedItems containsString="0" containsBlank="1" containsNumber="1" minValue="0.1" maxValue="1"/>
    </cacheField>
    <cacheField name="Expected Revenue" numFmtId="0">
      <sharedItems containsBlank="1" containsMixedTypes="1" containsNumber="1" minValue="-12128.5" maxValue="250000"/>
    </cacheField>
    <cacheField name="Rev. Based on PROB" numFmtId="44">
      <sharedItems containsMixedTypes="1" containsNumber="1" minValue="-12128.5" maxValue="225000"/>
    </cacheField>
    <cacheField name="Expected CMR" numFmtId="0">
      <sharedItems containsString="0" containsBlank="1" containsNumber="1" minValue="0.19" maxValue="0.59"/>
    </cacheField>
    <cacheField name="Contribution" numFmtId="44">
      <sharedItems containsBlank="1" containsMixedTypes="1" containsNumber="1" minValue="-3638.5499999999997" maxValue="55500"/>
    </cacheField>
    <cacheField name="Status" numFmtId="4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3">
  <r>
    <s v="-"/>
    <s v="Equinor"/>
    <s v="Equinor"/>
    <s v="Seatrax cranes commissioning"/>
    <x v="0"/>
    <s v="Energy"/>
    <s v="Won"/>
    <x v="0"/>
    <m/>
    <x v="0"/>
    <x v="0"/>
    <n v="1"/>
    <n v="20000"/>
    <n v="20000"/>
    <n v="0.45"/>
    <n v="9000"/>
    <m/>
  </r>
  <r>
    <s v="-"/>
    <s v="Equinor"/>
    <s v="Equinor"/>
    <s v="Seatrax cranes commissioning"/>
    <x v="0"/>
    <s v="Energy"/>
    <s v="Won"/>
    <x v="0"/>
    <m/>
    <x v="1"/>
    <x v="0"/>
    <n v="1"/>
    <n v="45000"/>
    <n v="45000"/>
    <n v="0.45"/>
    <n v="20250"/>
    <m/>
  </r>
  <r>
    <s v="-"/>
    <s v="HP1"/>
    <s v="Helix"/>
    <s v="Shipyard"/>
    <x v="1"/>
    <s v="Drilling"/>
    <s v="Won"/>
    <x v="0"/>
    <m/>
    <x v="2"/>
    <x v="0"/>
    <n v="1"/>
    <n v="35000"/>
    <n v="35000"/>
    <n v="0.35"/>
    <n v="12250"/>
    <m/>
  </r>
  <r>
    <s v="618038-1"/>
    <s v="FPSO Commsa"/>
    <s v="Commsa"/>
    <s v="Rigging support"/>
    <x v="2"/>
    <s v="Energy"/>
    <s v="Won"/>
    <x v="0"/>
    <m/>
    <x v="2"/>
    <x v="1"/>
    <n v="1"/>
    <n v="60000"/>
    <n v="60000"/>
    <n v="0.3"/>
    <n v="15000"/>
    <m/>
  </r>
  <r>
    <s v="-"/>
    <s v="Out of the blue"/>
    <m/>
    <m/>
    <x v="3"/>
    <m/>
    <m/>
    <x v="1"/>
    <m/>
    <x v="3"/>
    <x v="0"/>
    <n v="1"/>
    <n v="50000"/>
    <n v="50000"/>
    <n v="0.3"/>
    <n v="15000"/>
    <m/>
  </r>
  <r>
    <s v="-"/>
    <s v="Out of the blue"/>
    <m/>
    <m/>
    <x v="3"/>
    <m/>
    <m/>
    <x v="1"/>
    <m/>
    <x v="4"/>
    <x v="0"/>
    <n v="1"/>
    <n v="150000"/>
    <n v="150000"/>
    <n v="0.3"/>
    <n v="45000"/>
    <m/>
  </r>
  <r>
    <s v="-"/>
    <s v="Out of the blue"/>
    <m/>
    <m/>
    <x v="3"/>
    <m/>
    <m/>
    <x v="1"/>
    <m/>
    <x v="2"/>
    <x v="0"/>
    <n v="1"/>
    <n v="100000"/>
    <n v="100000"/>
    <n v="0.3"/>
    <n v="30000"/>
    <m/>
  </r>
  <r>
    <s v="-"/>
    <s v="Q4000"/>
    <s v="Helix"/>
    <s v="Shipyard"/>
    <x v="1"/>
    <s v="Drilling"/>
    <s v="Won"/>
    <x v="0"/>
    <m/>
    <x v="2"/>
    <x v="1"/>
    <n v="1"/>
    <n v="100000"/>
    <n v="100000"/>
    <n v="0.35"/>
    <n v="35000"/>
    <m/>
  </r>
  <r>
    <s v="-"/>
    <s v="Out of the blue"/>
    <m/>
    <m/>
    <x v="3"/>
    <m/>
    <m/>
    <x v="1"/>
    <m/>
    <x v="5"/>
    <x v="0"/>
    <n v="1"/>
    <n v="150000"/>
    <n v="150000"/>
    <n v="0.3"/>
    <n v="45000"/>
    <m/>
  </r>
  <r>
    <s v="-"/>
    <s v="Out of the blue"/>
    <m/>
    <m/>
    <x v="3"/>
    <m/>
    <m/>
    <x v="1"/>
    <m/>
    <x v="0"/>
    <x v="0"/>
    <n v="1"/>
    <n v="150000"/>
    <n v="150000"/>
    <n v="0.3"/>
    <n v="45000"/>
    <m/>
  </r>
  <r>
    <s v="-"/>
    <s v="Out of the blue"/>
    <m/>
    <m/>
    <x v="3"/>
    <m/>
    <m/>
    <x v="1"/>
    <m/>
    <x v="6"/>
    <x v="0"/>
    <n v="1"/>
    <n v="100000"/>
    <n v="100000"/>
    <n v="0.3"/>
    <n v="30000"/>
    <m/>
  </r>
  <r>
    <s v="-"/>
    <s v="Out of the blue"/>
    <m/>
    <m/>
    <x v="3"/>
    <m/>
    <m/>
    <x v="1"/>
    <m/>
    <x v="1"/>
    <x v="0"/>
    <n v="1"/>
    <n v="150000"/>
    <n v="150000"/>
    <n v="0.3"/>
    <n v="45000"/>
    <m/>
  </r>
  <r>
    <s v="-"/>
    <s v="Out of the blue"/>
    <m/>
    <m/>
    <x v="3"/>
    <m/>
    <m/>
    <x v="1"/>
    <m/>
    <x v="7"/>
    <x v="0"/>
    <n v="1"/>
    <n v="150000"/>
    <n v="150000"/>
    <n v="0.3"/>
    <n v="45000"/>
    <m/>
  </r>
  <r>
    <s v="-"/>
    <s v="Out of the blue"/>
    <m/>
    <m/>
    <x v="3"/>
    <m/>
    <m/>
    <x v="1"/>
    <m/>
    <x v="8"/>
    <x v="0"/>
    <n v="1"/>
    <n v="150000"/>
    <n v="150000"/>
    <n v="0.3"/>
    <n v="45000"/>
    <m/>
  </r>
  <r>
    <s v="-"/>
    <s v="Q5000"/>
    <s v="Helix"/>
    <s v="Q5000 - NDT on Canyon Offshore ROV Deployment System"/>
    <x v="2"/>
    <s v="Drilling"/>
    <s v="Quote"/>
    <x v="2"/>
    <s v="Q-HO-14653"/>
    <x v="3"/>
    <x v="0"/>
    <n v="0.25"/>
    <n v="579"/>
    <n v="144.75"/>
    <n v="0.35"/>
    <n v="202.64999999999998"/>
    <m/>
  </r>
  <r>
    <s v="-01"/>
    <s v="Q4000"/>
    <s v="Helix"/>
    <s v="Annual survey"/>
    <x v="1"/>
    <s v="Drilling"/>
    <s v="Won"/>
    <x v="0"/>
    <m/>
    <x v="3"/>
    <x v="0"/>
    <n v="1"/>
    <n v="45000"/>
    <n v="45000"/>
    <n v="0.35"/>
    <n v="15749.999999999998"/>
    <m/>
  </r>
  <r>
    <s v="-01"/>
    <s v="Q5000"/>
    <s v="Helix"/>
    <s v="PSV calibration"/>
    <x v="1"/>
    <s v="Drilling"/>
    <s v="Won"/>
    <x v="0"/>
    <m/>
    <x v="3"/>
    <x v="0"/>
    <n v="0.5"/>
    <n v="15000"/>
    <n v="7500"/>
    <n v="0.35"/>
    <n v="5250"/>
    <m/>
  </r>
  <r>
    <s v="201903-01"/>
    <s v="Deepwater Asgard"/>
    <s v="Transocean"/>
    <s v="Annual CCE"/>
    <x v="4"/>
    <s v="Drilling"/>
    <s v="Won"/>
    <x v="0"/>
    <m/>
    <x v="2"/>
    <x v="1"/>
    <n v="1"/>
    <n v="0"/>
    <n v="0"/>
    <n v="0.3"/>
    <n v="17813.399999999998"/>
    <m/>
  </r>
  <r>
    <s v="618038-01"/>
    <s v="Mizton"/>
    <s v="Commsa"/>
    <s v="Rigging support"/>
    <x v="2"/>
    <s v="Energy"/>
    <s v="Won"/>
    <x v="0"/>
    <m/>
    <x v="6"/>
    <x v="1"/>
    <n v="1"/>
    <n v="70000"/>
    <n v="70000"/>
    <n v="0.3"/>
    <n v="21000"/>
    <m/>
  </r>
  <r>
    <s v="-01"/>
    <s v="Q5000"/>
    <s v="Helix"/>
    <s v="PSV calibration"/>
    <x v="1"/>
    <s v="Drilling"/>
    <s v="Quote"/>
    <x v="2"/>
    <m/>
    <x v="6"/>
    <x v="0"/>
    <n v="0.5"/>
    <n v="15000"/>
    <n v="7500"/>
    <n v="0.35"/>
    <n v="5250"/>
    <m/>
  </r>
  <r>
    <s v="201902-01"/>
    <s v="Deepwater Conqueror"/>
    <s v="Transocean"/>
    <s v="Annual CCE"/>
    <x v="0"/>
    <s v="Drilling"/>
    <s v="Won"/>
    <x v="0"/>
    <m/>
    <x v="8"/>
    <x v="0"/>
    <n v="1"/>
    <n v="59378"/>
    <n v="59378"/>
    <n v="0.3"/>
    <n v="17813.399999999998"/>
    <m/>
  </r>
  <r>
    <s v="201902-02"/>
    <s v="Deepwater Conqueror"/>
    <s v="Transocean"/>
    <s v="Annual DROPS"/>
    <x v="5"/>
    <s v="Drilling"/>
    <s v="Won"/>
    <x v="0"/>
    <m/>
    <x v="8"/>
    <x v="0"/>
    <n v="1"/>
    <n v="30939"/>
    <n v="30939"/>
    <n v="0.3"/>
    <n v="9281.6999999999989"/>
    <m/>
  </r>
  <r>
    <s v="201902-03"/>
    <s v="Deepwater Conqueror"/>
    <s v="Transocean"/>
    <s v="Annual LGI"/>
    <x v="1"/>
    <s v="Drilling"/>
    <s v="Won"/>
    <x v="0"/>
    <m/>
    <x v="4"/>
    <x v="0"/>
    <n v="1"/>
    <n v="31000"/>
    <n v="31000"/>
    <n v="0.3"/>
    <n v="9300"/>
    <m/>
  </r>
  <r>
    <s v="201902-04"/>
    <s v="Deepwater Conqueror"/>
    <s v="Transocean"/>
    <s v="Annual RWNDT Q2"/>
    <x v="2"/>
    <s v="Drilling"/>
    <s v="Won"/>
    <x v="0"/>
    <m/>
    <x v="0"/>
    <x v="0"/>
    <n v="1"/>
    <n v="18810.5"/>
    <n v="18810.5"/>
    <n v="0.3"/>
    <n v="5643.15"/>
    <m/>
  </r>
  <r>
    <s v="201902-04"/>
    <s v="Deepwater Conqueror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2-04"/>
    <s v="Deepwater Conqueror"/>
    <s v="Transocean"/>
    <s v="Annual RWNDT Q3"/>
    <x v="2"/>
    <s v="Drilling"/>
    <s v="Won"/>
    <x v="0"/>
    <m/>
    <x v="8"/>
    <x v="0"/>
    <n v="1"/>
    <n v="18810.5"/>
    <n v="18810.5"/>
    <n v="0.3"/>
    <n v="5643.15"/>
    <m/>
  </r>
  <r>
    <s v="201905-03"/>
    <s v="Discoverer Inspiration"/>
    <s v="Transocean"/>
    <s v="Annual LGI"/>
    <x v="1"/>
    <s v="Drilling"/>
    <s v="Won"/>
    <x v="0"/>
    <m/>
    <x v="2"/>
    <x v="1"/>
    <n v="1"/>
    <n v="25000"/>
    <n v="25000"/>
    <n v="0.3"/>
    <n v="4500"/>
    <m/>
  </r>
  <r>
    <s v="201902-07"/>
    <s v="Deepwater Conqueror"/>
    <s v="Transocean"/>
    <s v="Annual Elevators "/>
    <x v="1"/>
    <s v="Drilling"/>
    <s v="Won"/>
    <x v="0"/>
    <m/>
    <x v="8"/>
    <x v="0"/>
    <n v="1"/>
    <n v="13900"/>
    <n v="13900"/>
    <n v="0.3"/>
    <n v="4170"/>
    <m/>
  </r>
  <r>
    <s v="619051-01"/>
    <s v="Q4000"/>
    <s v="Helix"/>
    <s v="Yard stay"/>
    <x v="3"/>
    <s v="Drilling"/>
    <s v="Won"/>
    <x v="0"/>
    <m/>
    <x v="6"/>
    <x v="1"/>
    <n v="1"/>
    <n v="75000"/>
    <n v="75000"/>
    <n v="0.35"/>
    <n v="26250"/>
    <m/>
  </r>
  <r>
    <s v="201914-02"/>
    <s v="Deepwater Invictus"/>
    <s v="Transocean"/>
    <s v="Annual DROPS"/>
    <x v="5"/>
    <s v="Drilling"/>
    <s v="Won"/>
    <x v="0"/>
    <m/>
    <x v="2"/>
    <x v="1"/>
    <n v="1"/>
    <n v="28000"/>
    <n v="28000"/>
    <n v="0.3"/>
    <n v="8400"/>
    <m/>
  </r>
  <r>
    <s v="202011-03"/>
    <s v="Deepwater Proteus"/>
    <s v="Transocean"/>
    <s v="Annual LGI"/>
    <x v="1"/>
    <s v="Drilling"/>
    <s v="Won"/>
    <x v="0"/>
    <m/>
    <x v="2"/>
    <x v="1"/>
    <n v="1"/>
    <n v="31969"/>
    <n v="31969"/>
    <n v="0.19"/>
    <n v="6074.11"/>
    <m/>
  </r>
  <r>
    <s v="201912-03"/>
    <s v="Deepwater Thalassa"/>
    <s v="Transocean"/>
    <s v="Annual LGI"/>
    <x v="1"/>
    <s v="Drilling"/>
    <s v="Won"/>
    <x v="0"/>
    <m/>
    <x v="2"/>
    <x v="1"/>
    <n v="1"/>
    <n v="31969"/>
    <n v="31969"/>
    <n v="0.19"/>
    <n v="6074.11"/>
    <m/>
  </r>
  <r>
    <s v="201903-05"/>
    <s v="Deepwater Asgard"/>
    <s v="Transocean"/>
    <s v="Annual Pressurized Systems"/>
    <x v="6"/>
    <s v="Drilling"/>
    <s v="Won"/>
    <x v="0"/>
    <m/>
    <x v="1"/>
    <x v="1"/>
    <n v="1"/>
    <n v="13900"/>
    <n v="13900"/>
    <n v="0.3"/>
    <n v="4170"/>
    <m/>
  </r>
  <r>
    <s v="201903-02"/>
    <s v="Deepwater Asgard"/>
    <s v="Transocean"/>
    <s v="Annual DROPS"/>
    <x v="5"/>
    <s v="Drilling"/>
    <s v="Won"/>
    <x v="0"/>
    <m/>
    <x v="6"/>
    <x v="0"/>
    <n v="1"/>
    <n v="30939"/>
    <n v="30939"/>
    <n v="0.3"/>
    <n v="9281.6999999999989"/>
    <m/>
  </r>
  <r>
    <s v="201903-03"/>
    <s v="Deepwater Asgard"/>
    <s v="Transocean"/>
    <s v="Annual LGI"/>
    <x v="1"/>
    <s v="Drilling"/>
    <s v="Won"/>
    <x v="0"/>
    <m/>
    <x v="3"/>
    <x v="0"/>
    <n v="1"/>
    <n v="9000"/>
    <n v="9000"/>
    <n v="0.3"/>
    <n v="2700"/>
    <m/>
  </r>
  <r>
    <s v="-"/>
    <s v="Q5000"/>
    <s v="Helix"/>
    <s v="Shipyard"/>
    <x v="1"/>
    <s v="Drilling"/>
    <s v="Won"/>
    <x v="0"/>
    <m/>
    <x v="2"/>
    <x v="1"/>
    <n v="1"/>
    <n v="16000"/>
    <n v="16000"/>
    <n v="0.35"/>
    <n v="5600"/>
    <m/>
  </r>
  <r>
    <m/>
    <s v="Borr CME1"/>
    <s v="Borr"/>
    <s v="UWILD"/>
    <x v="2"/>
    <s v="Drilling"/>
    <s v="Won"/>
    <x v="0"/>
    <m/>
    <x v="9"/>
    <x v="1"/>
    <n v="1"/>
    <n v="100000"/>
    <n v="100000"/>
    <n v="0.3"/>
    <n v="30000"/>
    <m/>
  </r>
  <r>
    <m/>
    <s v="Borr CME1"/>
    <s v="Borr"/>
    <s v="UWILD"/>
    <x v="2"/>
    <s v="Drilling"/>
    <s v="Won"/>
    <x v="0"/>
    <m/>
    <x v="2"/>
    <x v="1"/>
    <n v="1"/>
    <n v="25000"/>
    <n v="25000"/>
    <n v="0.3"/>
    <n v="7500"/>
    <m/>
  </r>
  <r>
    <s v="201903-03"/>
    <s v="Deepwater Asgard"/>
    <s v="Transocean"/>
    <s v="Annual LGI"/>
    <x v="1"/>
    <s v="Drilling"/>
    <s v="Won"/>
    <x v="0"/>
    <m/>
    <x v="6"/>
    <x v="0"/>
    <n v="1"/>
    <n v="22969"/>
    <n v="22969"/>
    <n v="0.3"/>
    <n v="6890.7"/>
    <m/>
  </r>
  <r>
    <s v="201903-04"/>
    <s v="Deepwater Asgard"/>
    <s v="Transocean"/>
    <s v="Annual RWNDT Q3"/>
    <x v="2"/>
    <s v="Drilling"/>
    <s v="Won"/>
    <x v="0"/>
    <m/>
    <x v="4"/>
    <x v="0"/>
    <n v="1"/>
    <n v="18000"/>
    <n v="18000"/>
    <n v="0.3"/>
    <n v="5400"/>
    <m/>
  </r>
  <r>
    <s v="201903-04"/>
    <s v="Deepwater Asgard"/>
    <s v="Transocean"/>
    <s v="Annual RWNDT Q3"/>
    <x v="2"/>
    <s v="Drilling"/>
    <s v="Won"/>
    <x v="0"/>
    <m/>
    <x v="5"/>
    <x v="0"/>
    <n v="1"/>
    <n v="16500"/>
    <n v="16500"/>
    <n v="0.3"/>
    <n v="4950"/>
    <m/>
  </r>
  <r>
    <s v="201903-04"/>
    <s v="Deepwater Asgard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3-04"/>
    <s v="Deepwater Asgard"/>
    <s v="Transocean"/>
    <s v="Annual RWNDT Q2"/>
    <x v="2"/>
    <s v="Drilling"/>
    <s v="Won"/>
    <x v="0"/>
    <m/>
    <x v="1"/>
    <x v="0"/>
    <n v="1"/>
    <n v="18810.5"/>
    <n v="18810.5"/>
    <n v="0.3"/>
    <n v="5643.15"/>
    <m/>
  </r>
  <r>
    <s v="201903-05"/>
    <s v="Deepwater Asgard"/>
    <s v="Transocean"/>
    <s v="Annual Pressurized Systems"/>
    <x v="7"/>
    <s v="Drilling"/>
    <s v="Won"/>
    <x v="0"/>
    <m/>
    <x v="6"/>
    <x v="0"/>
    <n v="1"/>
    <n v="27816"/>
    <n v="27816"/>
    <n v="0.3"/>
    <n v="8344.7999999999993"/>
    <m/>
  </r>
  <r>
    <s v="201903-07"/>
    <s v="Deepwater Asgard"/>
    <s v="Transocean"/>
    <s v="Annual Elevators"/>
    <x v="1"/>
    <s v="Drilling"/>
    <s v="Won"/>
    <x v="0"/>
    <m/>
    <x v="1"/>
    <x v="0"/>
    <n v="1"/>
    <n v="13900"/>
    <n v="13900"/>
    <n v="0.3"/>
    <n v="4170"/>
    <m/>
  </r>
  <r>
    <s v="-"/>
    <s v="Out of the blue"/>
    <m/>
    <m/>
    <x v="3"/>
    <s v="Drilling"/>
    <s v="Won"/>
    <x v="1"/>
    <m/>
    <x v="9"/>
    <x v="1"/>
    <n v="1"/>
    <n v="100000"/>
    <n v="100000"/>
    <n v="0.3"/>
    <n v="30000"/>
    <m/>
  </r>
  <r>
    <s v="201904-03"/>
    <s v="Discoverer India"/>
    <s v="Transocean"/>
    <s v="Annual LGI"/>
    <x v="1"/>
    <s v="Drilling"/>
    <s v="Won"/>
    <x v="0"/>
    <m/>
    <x v="4"/>
    <x v="0"/>
    <n v="1"/>
    <n v="22000"/>
    <n v="22000"/>
    <n v="0.3"/>
    <n v="6600"/>
    <m/>
  </r>
  <r>
    <s v="201904-05"/>
    <s v="Discoverer India"/>
    <s v="Transocean"/>
    <s v="Annual DROPS"/>
    <x v="1"/>
    <s v="Drilling"/>
    <s v="Won"/>
    <x v="0"/>
    <m/>
    <x v="4"/>
    <x v="0"/>
    <n v="1"/>
    <n v="27000"/>
    <n v="27000"/>
    <n v="0.3"/>
    <n v="8100"/>
    <m/>
  </r>
  <r>
    <m/>
    <s v="Ensco 8505"/>
    <s v="Valaris"/>
    <s v="Pressure lube"/>
    <x v="4"/>
    <s v="Drilling"/>
    <s v="Won"/>
    <x v="0"/>
    <m/>
    <x v="2"/>
    <x v="1"/>
    <n v="1"/>
    <n v="16000"/>
    <n v="16000"/>
    <n v="0.3"/>
    <n v="4800"/>
    <m/>
  </r>
  <r>
    <s v="201905-01"/>
    <s v="Discoverer Inspiration"/>
    <s v="Transocean"/>
    <s v="Annual CCE"/>
    <x v="0"/>
    <s v="Drilling"/>
    <s v="Won"/>
    <x v="0"/>
    <m/>
    <x v="10"/>
    <x v="0"/>
    <n v="1"/>
    <n v="30000"/>
    <n v="30000"/>
    <n v="0.3"/>
    <n v="9000"/>
    <m/>
  </r>
  <r>
    <s v="201903-01"/>
    <s v="Deepwater Asgard"/>
    <s v="Transocean"/>
    <s v="Elevator - Fixed price"/>
    <x v="4"/>
    <s v="Drilling"/>
    <s v="Won"/>
    <x v="0"/>
    <m/>
    <x v="9"/>
    <x v="1"/>
    <n v="1"/>
    <n v="30000"/>
    <n v="30000"/>
    <n v="0.3"/>
    <n v="17813.399999999998"/>
    <m/>
  </r>
  <r>
    <s v="201903-01"/>
    <s v="Deepwater Asgard"/>
    <s v="Transocean"/>
    <s v="Annual CCE"/>
    <x v="4"/>
    <s v="Drilling"/>
    <s v="Won"/>
    <x v="0"/>
    <m/>
    <x v="9"/>
    <x v="1"/>
    <n v="1"/>
    <n v="30000"/>
    <n v="30000"/>
    <n v="0.3"/>
    <n v="17813.399999999998"/>
    <m/>
  </r>
  <r>
    <s v="-01"/>
    <s v="Q5000"/>
    <s v="Helix"/>
    <s v="Misc LAG"/>
    <x v="1"/>
    <s v="Drilling"/>
    <s v="Won"/>
    <x v="0"/>
    <m/>
    <x v="9"/>
    <x v="1"/>
    <n v="1"/>
    <n v="150000"/>
    <n v="150000"/>
    <n v="0.35"/>
    <n v="10500"/>
    <m/>
  </r>
  <r>
    <s v="201909-07"/>
    <s v="Deepwater Pontus"/>
    <s v="Transocean"/>
    <s v="Annual Elevators"/>
    <x v="1"/>
    <s v="Drilling"/>
    <s v="Won"/>
    <x v="0"/>
    <m/>
    <x v="9"/>
    <x v="1"/>
    <n v="1"/>
    <n v="13900"/>
    <n v="13900"/>
    <n v="0.3"/>
    <n v="4170"/>
    <m/>
  </r>
  <r>
    <s v="201905-03"/>
    <s v="Discoverer Inspiration"/>
    <s v="Transocean"/>
    <s v="Annual LGI"/>
    <x v="1"/>
    <s v="Drilling"/>
    <s v="Won"/>
    <x v="0"/>
    <m/>
    <x v="9"/>
    <x v="1"/>
    <n v="1"/>
    <n v="26000"/>
    <n v="26000"/>
    <n v="0.3"/>
    <n v="4500"/>
    <m/>
  </r>
  <r>
    <s v="201905-03"/>
    <s v="Discoverer Inspiration"/>
    <s v="Transocean"/>
    <s v="Annual LGI"/>
    <x v="1"/>
    <s v="Drilling"/>
    <s v="Won"/>
    <x v="0"/>
    <m/>
    <x v="2"/>
    <x v="0"/>
    <n v="1"/>
    <n v="16969"/>
    <n v="16969"/>
    <n v="0.3"/>
    <n v="5090.7"/>
    <m/>
  </r>
  <r>
    <s v="202009-05"/>
    <s v="Deepwater Pontus "/>
    <s v="Transocean "/>
    <s v="HP/LP - Fixed price"/>
    <x v="7"/>
    <s v="Drilling"/>
    <s v="Order backlog "/>
    <x v="0"/>
    <m/>
    <x v="10"/>
    <x v="1"/>
    <n v="1"/>
    <n v="14537"/>
    <n v="14537"/>
    <m/>
    <n v="0"/>
    <m/>
  </r>
  <r>
    <s v="201905-04"/>
    <s v="Discoverer Inspiration"/>
    <s v="Transocean"/>
    <s v="Annual RWNDT Q3"/>
    <x v="2"/>
    <s v="Drilling"/>
    <s v="Won"/>
    <x v="0"/>
    <m/>
    <x v="4"/>
    <x v="0"/>
    <n v="1"/>
    <e v="#REF!"/>
    <e v="#REF!"/>
    <n v="0.3"/>
    <e v="#REF!"/>
    <m/>
  </r>
  <r>
    <s v="201905-04"/>
    <s v="Discoverer Inspiration"/>
    <s v="Transocean"/>
    <s v="Annual RWNDT Q3"/>
    <x v="2"/>
    <s v="Drilling"/>
    <s v="Won"/>
    <x v="0"/>
    <m/>
    <x v="5"/>
    <x v="0"/>
    <n v="1"/>
    <n v="10000"/>
    <n v="10000"/>
    <n v="0.3"/>
    <n v="3000"/>
    <m/>
  </r>
  <r>
    <s v="201905-04"/>
    <s v="Discoverer Inspiration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5-04"/>
    <s v="Discoverer Inspiration"/>
    <s v="Transocean"/>
    <s v="Annual RWNDT Q2"/>
    <x v="2"/>
    <s v="Drilling"/>
    <s v="Won"/>
    <x v="0"/>
    <m/>
    <x v="1"/>
    <x v="0"/>
    <n v="1"/>
    <n v="18810.5"/>
    <n v="18810.5"/>
    <n v="0.3"/>
    <n v="5643.15"/>
    <m/>
  </r>
  <r>
    <s v="202009-02"/>
    <s v="Deepwater Pontus"/>
    <s v="Transocean"/>
    <s v="Annual DROPS"/>
    <x v="5"/>
    <s v="Drilling"/>
    <s v="Won"/>
    <x v="0"/>
    <m/>
    <x v="9"/>
    <x v="1"/>
    <n v="1"/>
    <n v="30000"/>
    <n v="30000"/>
    <n v="0.3"/>
    <n v="8344.7999999999993"/>
    <m/>
  </r>
  <r>
    <s v="202009-03"/>
    <s v="Deepwater Pontus"/>
    <s v="Transocean"/>
    <s v="Annual LGI"/>
    <x v="1"/>
    <s v="Drilling"/>
    <s v="Won"/>
    <x v="0"/>
    <m/>
    <x v="9"/>
    <x v="1"/>
    <n v="1"/>
    <n v="31000"/>
    <n v="31000"/>
    <n v="0.3"/>
    <n v="8344.7999999999993"/>
    <m/>
  </r>
  <r>
    <s v="619039-05"/>
    <s v="FPSO Ngomma"/>
    <s v="SBM"/>
    <s v="Safe lifting plann"/>
    <x v="8"/>
    <s v="FPSO"/>
    <s v="Won"/>
    <x v="0"/>
    <m/>
    <x v="6"/>
    <x v="1"/>
    <n v="1"/>
    <n v="60000"/>
    <n v="60000"/>
    <n v="0.3"/>
    <n v="18000"/>
    <m/>
  </r>
  <r>
    <s v="201912-11"/>
    <s v="Deepwater Thalassa"/>
    <s v="Transocean"/>
    <s v="Ad-Hoc - Rope access support"/>
    <x v="2"/>
    <s v="Drilling"/>
    <s v="Won"/>
    <x v="0"/>
    <m/>
    <x v="5"/>
    <x v="1"/>
    <n v="1"/>
    <n v="24000"/>
    <n v="24000"/>
    <n v="0.59"/>
    <n v="14160"/>
    <m/>
  </r>
  <r>
    <s v="201912-11"/>
    <s v="Deepwater Thalassa"/>
    <s v="Transocean"/>
    <s v="Ad-Hoc - Rope access support"/>
    <x v="2"/>
    <s v="Drilling"/>
    <s v="Won"/>
    <x v="0"/>
    <m/>
    <x v="0"/>
    <x v="1"/>
    <n v="1"/>
    <n v="24000"/>
    <n v="24000"/>
    <n v="0.59"/>
    <n v="14160"/>
    <s v="Not Performed"/>
  </r>
  <r>
    <m/>
    <s v="Deepwater Invictus"/>
    <s v="Transocean"/>
    <s v="Crane wire rope resoqueting"/>
    <x v="4"/>
    <s v="Drilling"/>
    <s v="Quote"/>
    <x v="2"/>
    <s v="Q-HO-15892"/>
    <x v="1"/>
    <x v="1"/>
    <n v="1"/>
    <n v="25000"/>
    <n v="25000"/>
    <n v="0.3"/>
    <n v="7500"/>
    <m/>
  </r>
  <r>
    <s v="-"/>
    <s v="Out of the blue"/>
    <m/>
    <m/>
    <x v="3"/>
    <m/>
    <m/>
    <x v="1"/>
    <m/>
    <x v="2"/>
    <x v="1"/>
    <n v="1"/>
    <n v="100000"/>
    <n v="100000"/>
    <n v="0.3"/>
    <n v="30000"/>
    <m/>
  </r>
  <r>
    <s v="201905-05"/>
    <s v="Discoverer Inspiration"/>
    <s v="Transocean"/>
    <s v="Annual Pressurized Systems"/>
    <x v="7"/>
    <s v="Drilling"/>
    <s v="Won"/>
    <x v="0"/>
    <m/>
    <x v="3"/>
    <x v="0"/>
    <n v="1"/>
    <n v="27816"/>
    <n v="27816"/>
    <n v="0.3"/>
    <n v="8344.7999999999993"/>
    <m/>
  </r>
  <r>
    <s v="201905-07"/>
    <s v="Discoverer Inspiration"/>
    <s v="Transocean"/>
    <s v="Annual Elevators"/>
    <x v="1"/>
    <s v="Drilling"/>
    <s v="Won"/>
    <x v="0"/>
    <m/>
    <x v="3"/>
    <x v="0"/>
    <n v="1"/>
    <n v="13900"/>
    <n v="13900"/>
    <n v="0.3"/>
    <n v="4170"/>
    <m/>
  </r>
  <r>
    <s v="201905-11"/>
    <s v="Discoverer Inspiration"/>
    <s v="Transocean"/>
    <s v="Ad-hoc - Pre and post load test"/>
    <x v="2"/>
    <s v="Drilling"/>
    <s v="Won"/>
    <x v="0"/>
    <m/>
    <x v="4"/>
    <x v="0"/>
    <n v="1"/>
    <n v="52000"/>
    <n v="52000"/>
    <n v="0.3"/>
    <n v="15600"/>
    <m/>
  </r>
  <r>
    <s v="201905-11"/>
    <s v="Discoverer Inspiration"/>
    <s v="Transocean"/>
    <s v="Ad-hoc - Phased array - MDDM"/>
    <x v="2"/>
    <s v="Drilling"/>
    <s v="Won"/>
    <x v="0"/>
    <m/>
    <x v="2"/>
    <x v="0"/>
    <n v="1"/>
    <n v="30000"/>
    <n v="30000"/>
    <n v="0.3"/>
    <n v="9000"/>
    <m/>
  </r>
  <r>
    <s v="201905-11"/>
    <s v="Discoverer Inspiration"/>
    <s v="Transocean"/>
    <s v="Mud pump inspection"/>
    <x v="2"/>
    <s v="Drilling"/>
    <s v="Won"/>
    <x v="0"/>
    <m/>
    <x v="2"/>
    <x v="0"/>
    <n v="1"/>
    <n v="15000"/>
    <n v="15000"/>
    <n v="0.3"/>
    <n v="4500"/>
    <m/>
  </r>
  <r>
    <s v="201905-11"/>
    <s v="Discoverer Inspiration"/>
    <s v="Transocean"/>
    <s v="Ad-hoc - Pre and post load test"/>
    <x v="2"/>
    <s v="Drilling"/>
    <s v="Won"/>
    <x v="0"/>
    <m/>
    <x v="7"/>
    <x v="0"/>
    <n v="1"/>
    <n v="30000"/>
    <n v="30000"/>
    <n v="0.3"/>
    <n v="9000"/>
    <m/>
  </r>
  <r>
    <s v="201909-01"/>
    <s v="Deepwater Pontus"/>
    <s v="Transocean"/>
    <s v="Annual CCE"/>
    <x v="0"/>
    <s v="Drilling"/>
    <s v="Won"/>
    <x v="0"/>
    <m/>
    <x v="3"/>
    <x v="0"/>
    <n v="1"/>
    <n v="59378"/>
    <n v="59378"/>
    <n v="0.3"/>
    <n v="17813.399999999998"/>
    <m/>
  </r>
  <r>
    <s v="201909-02"/>
    <s v="Deepwater Pontus"/>
    <s v="Transocean"/>
    <s v="Annual DROPS"/>
    <x v="5"/>
    <s v="Drilling"/>
    <s v="Won"/>
    <x v="0"/>
    <m/>
    <x v="6"/>
    <x v="0"/>
    <n v="1"/>
    <n v="30939"/>
    <n v="30939"/>
    <n v="0.3"/>
    <n v="9281.6999999999989"/>
    <m/>
  </r>
  <r>
    <s v="201909-03"/>
    <s v="Deepwater Pontus"/>
    <s v="Transocean"/>
    <s v="Annual LGI"/>
    <x v="1"/>
    <s v="Drilling"/>
    <s v="Won"/>
    <x v="0"/>
    <m/>
    <x v="6"/>
    <x v="0"/>
    <n v="1"/>
    <n v="31969"/>
    <n v="31969"/>
    <n v="0.3"/>
    <n v="9590.6999999999989"/>
    <m/>
  </r>
  <r>
    <s v="201909-04"/>
    <s v="Deepwater Pontus"/>
    <s v="Transocean"/>
    <s v="Annual RWNDT Q2"/>
    <x v="2"/>
    <s v="Drilling"/>
    <s v="Won"/>
    <x v="0"/>
    <m/>
    <x v="3"/>
    <x v="0"/>
    <n v="1"/>
    <n v="18810.5"/>
    <n v="18810.5"/>
    <n v="0.3"/>
    <n v="5643.15"/>
    <m/>
  </r>
  <r>
    <s v="201909-04"/>
    <s v="Deepwater Pontus"/>
    <s v="Transocean"/>
    <s v="Annual RWNDT Q3"/>
    <x v="2"/>
    <s v="Drilling"/>
    <s v="Won"/>
    <x v="0"/>
    <m/>
    <x v="4"/>
    <x v="0"/>
    <n v="1"/>
    <n v="18810.5"/>
    <n v="18810.5"/>
    <n v="0.3"/>
    <n v="5643.15"/>
    <m/>
  </r>
  <r>
    <m/>
    <s v="Producer 1"/>
    <s v="Transocean"/>
    <s v="HP1 - Annual Lifting Gear Inspection "/>
    <x v="1"/>
    <s v="Drilling"/>
    <m/>
    <x v="2"/>
    <s v="Q-HO-16065"/>
    <x v="9"/>
    <x v="1"/>
    <n v="0.25"/>
    <n v="23635"/>
    <n v="5908.75"/>
    <n v="0.3"/>
    <n v="7090.5"/>
    <m/>
  </r>
  <r>
    <s v="201909-04"/>
    <s v="Deepwater Pontus"/>
    <s v="Transocean"/>
    <s v="Annual RWNDT Q3"/>
    <x v="2"/>
    <s v="Drilling"/>
    <s v="Won"/>
    <x v="0"/>
    <m/>
    <x v="5"/>
    <x v="0"/>
    <n v="1"/>
    <n v="10000"/>
    <n v="10000"/>
    <n v="0.3"/>
    <n v="3000"/>
    <m/>
  </r>
  <r>
    <s v="201909-04"/>
    <s v="Deepwater Pontus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9-05"/>
    <s v="Deepwater Pontus"/>
    <s v="Transocean"/>
    <s v="Annual Pressurized Systems"/>
    <x v="7"/>
    <s v="Drilling"/>
    <s v="Won"/>
    <x v="0"/>
    <m/>
    <x v="10"/>
    <x v="0"/>
    <n v="1"/>
    <n v="2816"/>
    <n v="2816"/>
    <n v="0.3"/>
    <n v="844.8"/>
    <m/>
  </r>
  <r>
    <s v="201909-06"/>
    <s v="Deepwater Pontus"/>
    <s v="Transocean"/>
    <s v="Annual EX Assessment"/>
    <x v="9"/>
    <s v="Drilling"/>
    <s v="Won"/>
    <x v="0"/>
    <m/>
    <x v="5"/>
    <x v="0"/>
    <n v="1"/>
    <n v="10620"/>
    <n v="10620"/>
    <n v="0.3"/>
    <n v="3186"/>
    <m/>
  </r>
  <r>
    <s v="-"/>
    <s v="HP1"/>
    <s v="Helix"/>
    <s v="Shipyard"/>
    <x v="1"/>
    <s v="Drilling"/>
    <s v="Won"/>
    <x v="0"/>
    <m/>
    <x v="9"/>
    <x v="0"/>
    <n v="1"/>
    <n v="10000"/>
    <n v="10000"/>
    <n v="0.35"/>
    <n v="3500"/>
    <m/>
  </r>
  <r>
    <s v="-"/>
    <s v="Out of the blue"/>
    <m/>
    <m/>
    <x v="3"/>
    <m/>
    <m/>
    <x v="1"/>
    <m/>
    <x v="9"/>
    <x v="0"/>
    <n v="1"/>
    <n v="100000"/>
    <n v="100000"/>
    <n v="0.3"/>
    <n v="30000"/>
    <m/>
  </r>
  <r>
    <s v="-01"/>
    <s v="Q5000"/>
    <s v="Helix"/>
    <s v="Misc LAG"/>
    <x v="1"/>
    <s v="Drilling"/>
    <s v="Won"/>
    <x v="0"/>
    <m/>
    <x v="9"/>
    <x v="0"/>
    <n v="1"/>
    <n v="30000"/>
    <n v="30000"/>
    <n v="0.35"/>
    <n v="10500"/>
    <m/>
  </r>
  <r>
    <s v="-01"/>
    <s v="Q5000"/>
    <s v="Helix"/>
    <s v="Misc LAG"/>
    <x v="1"/>
    <s v="Drilling"/>
    <s v="Won"/>
    <x v="0"/>
    <m/>
    <x v="9"/>
    <x v="0"/>
    <n v="1"/>
    <n v="30000"/>
    <n v="30000"/>
    <n v="0.35"/>
    <n v="10500"/>
    <m/>
  </r>
  <r>
    <s v="201815-11"/>
    <s v="Development Driller III"/>
    <s v="Transocean"/>
    <s v="Reactivation"/>
    <x v="10"/>
    <s v="Drilling"/>
    <s v="Won"/>
    <x v="0"/>
    <m/>
    <x v="9"/>
    <x v="0"/>
    <n v="1"/>
    <n v="50000"/>
    <n v="50000"/>
    <n v="0.3"/>
    <n v="15000"/>
    <m/>
  </r>
  <r>
    <s v="201902-04"/>
    <s v="Deepwater Conqueror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02-05"/>
    <s v="Deepwater Conqueror"/>
    <s v="Transocean"/>
    <s v="Piping"/>
    <x v="2"/>
    <s v="Drilling"/>
    <s v="Won"/>
    <x v="0"/>
    <m/>
    <x v="11"/>
    <x v="0"/>
    <n v="1"/>
    <n v="27000"/>
    <n v="27000"/>
    <n v="0.3"/>
    <n v="8100"/>
    <m/>
  </r>
  <r>
    <s v="201902-11"/>
    <s v="Deepwater Conqueror"/>
    <s v="Transocean"/>
    <s v="NDT on padeyes"/>
    <x v="1"/>
    <s v="Drilling"/>
    <s v="Won"/>
    <x v="0"/>
    <m/>
    <x v="9"/>
    <x v="0"/>
    <n v="1"/>
    <n v="6714"/>
    <n v="6714"/>
    <n v="0.3"/>
    <n v="2014.1999999999998"/>
    <m/>
  </r>
  <r>
    <s v="201902-11"/>
    <s v="Deepwater Conqueror"/>
    <s v="Transocean"/>
    <s v="NDT on padeyes"/>
    <x v="1"/>
    <s v="Drilling"/>
    <s v="Won"/>
    <x v="0"/>
    <m/>
    <x v="9"/>
    <x v="0"/>
    <n v="1"/>
    <n v="9024"/>
    <n v="9024"/>
    <n v="0.3"/>
    <n v="2707.2"/>
    <m/>
  </r>
  <r>
    <s v="201903-01"/>
    <s v="Deepwater Asgard"/>
    <s v="Transocean"/>
    <s v="Annual CCE"/>
    <x v="0"/>
    <s v="Drilling"/>
    <s v="Won"/>
    <x v="0"/>
    <m/>
    <x v="9"/>
    <x v="0"/>
    <n v="1"/>
    <n v="59378"/>
    <n v="59378"/>
    <n v="0.3"/>
    <n v="17813.399999999998"/>
    <m/>
  </r>
  <r>
    <s v="201903-03"/>
    <s v="Deepwater Asgard"/>
    <s v="Transocean"/>
    <s v="Annual LGI"/>
    <x v="1"/>
    <s v="Drilling"/>
    <s v="Won"/>
    <x v="0"/>
    <m/>
    <x v="9"/>
    <x v="0"/>
    <n v="1"/>
    <n v="15000"/>
    <n v="15000"/>
    <n v="0.3"/>
    <n v="4500"/>
    <m/>
  </r>
  <r>
    <s v="201903-04"/>
    <s v="Deepwater Asgard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03-12"/>
    <s v="Deepwater Asgard"/>
    <s v="Transocean"/>
    <s v="PRV calibration"/>
    <x v="7"/>
    <s v="Drilling"/>
    <s v="Won"/>
    <x v="0"/>
    <m/>
    <x v="9"/>
    <x v="0"/>
    <n v="1"/>
    <n v="28009"/>
    <n v="28009"/>
    <n v="0.3"/>
    <n v="8402.6999999999989"/>
    <m/>
  </r>
  <r>
    <s v="201905-01"/>
    <s v="Discoverer Inspiration"/>
    <s v="Transocean"/>
    <s v="Annual CCE"/>
    <x v="0"/>
    <s v="Drilling"/>
    <s v="Won"/>
    <x v="0"/>
    <m/>
    <x v="11"/>
    <x v="0"/>
    <n v="1"/>
    <n v="29378"/>
    <n v="29378"/>
    <n v="0.3"/>
    <n v="8813.4"/>
    <m/>
  </r>
  <r>
    <s v="201905-02"/>
    <s v="Discoverer Inspiration"/>
    <s v="Transocean"/>
    <s v="Annual DROPS"/>
    <x v="5"/>
    <s v="Drilling"/>
    <s v="Won"/>
    <x v="0"/>
    <m/>
    <x v="11"/>
    <x v="0"/>
    <n v="1"/>
    <n v="15939"/>
    <n v="15939"/>
    <n v="0.3"/>
    <n v="4781.7"/>
    <m/>
  </r>
  <r>
    <s v="201905-03"/>
    <s v="Discoverer Inspiration"/>
    <s v="Transocean"/>
    <s v="Annual LGI"/>
    <x v="1"/>
    <s v="Drilling"/>
    <s v="Won"/>
    <x v="0"/>
    <m/>
    <x v="9"/>
    <x v="0"/>
    <n v="1"/>
    <n v="15000"/>
    <n v="15000"/>
    <n v="0.3"/>
    <n v="4500"/>
    <m/>
  </r>
  <r>
    <s v="201910-01"/>
    <s v="Deepwater Poseidon"/>
    <s v="Transocean"/>
    <s v="Annual CCE"/>
    <x v="0"/>
    <s v="Drilling"/>
    <s v="Won"/>
    <x v="0"/>
    <m/>
    <x v="10"/>
    <x v="0"/>
    <n v="1"/>
    <n v="50150"/>
    <n v="50150"/>
    <n v="0.3"/>
    <n v="15045"/>
    <m/>
  </r>
  <r>
    <s v="201905-04"/>
    <s v="Discoverer Inspiration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10-03"/>
    <s v="Deepwater Poseidon"/>
    <s v="Transocean"/>
    <s v="Annual LGI"/>
    <x v="1"/>
    <s v="Drilling"/>
    <s v="Won"/>
    <x v="0"/>
    <m/>
    <x v="10"/>
    <x v="0"/>
    <n v="1"/>
    <n v="12000"/>
    <n v="12000"/>
    <n v="0.3"/>
    <n v="3600"/>
    <m/>
  </r>
  <r>
    <s v="201909-04"/>
    <s v="Deepwater Pontus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10-04"/>
    <s v="Deepwater Poseidon"/>
    <s v="Transocean"/>
    <s v="Annual RWNDT Q2"/>
    <x v="2"/>
    <s v="Drilling"/>
    <s v="Won"/>
    <x v="0"/>
    <m/>
    <x v="3"/>
    <x v="0"/>
    <n v="1"/>
    <n v="18810.5"/>
    <n v="18810.5"/>
    <n v="0.3"/>
    <n v="5643.15"/>
    <m/>
  </r>
  <r>
    <s v="201909-07"/>
    <s v="Deepwater Pontus"/>
    <s v="Transocean"/>
    <s v="Annual Elevators"/>
    <x v="1"/>
    <s v="Drilling"/>
    <s v="Won"/>
    <x v="0"/>
    <m/>
    <x v="9"/>
    <x v="0"/>
    <n v="1"/>
    <n v="13900"/>
    <n v="13900"/>
    <n v="0.3"/>
    <n v="4170"/>
    <m/>
  </r>
  <r>
    <s v="201910-04"/>
    <s v="Deepwater Poseidon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0-04"/>
    <s v="Deepwater Poseidon"/>
    <s v="Transocean"/>
    <s v="Annual RWNDT Q3"/>
    <x v="2"/>
    <s v="Drilling"/>
    <s v="Won"/>
    <x v="0"/>
    <m/>
    <x v="8"/>
    <x v="0"/>
    <n v="1"/>
    <n v="18810.5"/>
    <n v="18810.5"/>
    <n v="0.3"/>
    <n v="5643.15"/>
    <m/>
  </r>
  <r>
    <s v="201910-01"/>
    <s v="Deepwater Poseidon"/>
    <s v="Transocean"/>
    <s v="Annual CCE"/>
    <x v="0"/>
    <s v="Drilling"/>
    <s v="Won"/>
    <x v="0"/>
    <m/>
    <x v="11"/>
    <x v="0"/>
    <n v="1"/>
    <n v="9000"/>
    <n v="9000"/>
    <n v="0.3"/>
    <n v="2700"/>
    <m/>
  </r>
  <r>
    <s v="201910-07"/>
    <s v="Deepwater Poseidon"/>
    <s v="Transocean"/>
    <s v="Annual Elevators"/>
    <x v="1"/>
    <s v="Drilling"/>
    <s v="Won"/>
    <x v="0"/>
    <m/>
    <x v="10"/>
    <x v="0"/>
    <n v="1"/>
    <n v="13900"/>
    <n v="13900"/>
    <n v="0.3"/>
    <n v="4170"/>
    <m/>
  </r>
  <r>
    <s v="201910-03"/>
    <s v="Deepwater Poseidon"/>
    <s v="Transocean"/>
    <s v="Annual LGI"/>
    <x v="1"/>
    <s v="Drilling"/>
    <s v="Won"/>
    <x v="0"/>
    <m/>
    <x v="11"/>
    <x v="0"/>
    <n v="1"/>
    <n v="19969"/>
    <n v="19969"/>
    <n v="0.3"/>
    <n v="5990.7"/>
    <m/>
  </r>
  <r>
    <s v="201911-01"/>
    <s v="Deepwater Proteus"/>
    <s v="Transocean"/>
    <s v="Annual CCE"/>
    <x v="0"/>
    <s v="Drilling"/>
    <s v="Won"/>
    <x v="0"/>
    <m/>
    <x v="3"/>
    <x v="0"/>
    <n v="1"/>
    <n v="59378"/>
    <n v="59378"/>
    <n v="0.3"/>
    <n v="17813.399999999998"/>
    <m/>
  </r>
  <r>
    <s v="201911-02"/>
    <s v="Deepwater Proteus"/>
    <s v="Transocean"/>
    <s v="Annual DROPS"/>
    <x v="5"/>
    <s v="Drilling"/>
    <s v="Won"/>
    <x v="0"/>
    <m/>
    <x v="5"/>
    <x v="0"/>
    <n v="1"/>
    <n v="30939"/>
    <n v="30939"/>
    <n v="0.3"/>
    <n v="9281.6999999999989"/>
    <m/>
  </r>
  <r>
    <s v="202011-11"/>
    <s v="Deepwater Proteus"/>
    <s v="Transocean"/>
    <s v="Ad-Hoc"/>
    <x v="2"/>
    <s v="Drilling"/>
    <s v="Won"/>
    <x v="0"/>
    <m/>
    <x v="6"/>
    <x v="1"/>
    <n v="1"/>
    <n v="10000"/>
    <n v="10000"/>
    <n v="0.3"/>
    <n v="3000"/>
    <m/>
  </r>
  <r>
    <s v="201911-04"/>
    <s v="Deepwater Proteus"/>
    <s v="Transocean"/>
    <s v="Annual RWNDT Q2"/>
    <x v="2"/>
    <s v="Drilling"/>
    <s v="Won"/>
    <x v="0"/>
    <m/>
    <x v="3"/>
    <x v="0"/>
    <n v="1"/>
    <n v="18810.5"/>
    <n v="18810.5"/>
    <n v="0.3"/>
    <n v="5643.15"/>
    <m/>
  </r>
  <r>
    <s v="201911-04"/>
    <s v="Deepwater Proteus"/>
    <s v="Transocean"/>
    <s v="Annual RWNDT Q3"/>
    <x v="2"/>
    <s v="Drilling"/>
    <s v="Won"/>
    <x v="0"/>
    <m/>
    <x v="4"/>
    <x v="0"/>
    <n v="1"/>
    <n v="0"/>
    <n v="0"/>
    <n v="0.3"/>
    <n v="0"/>
    <m/>
  </r>
  <r>
    <s v="201910-04"/>
    <s v="Deepwater Poseidon"/>
    <s v="Transocean"/>
    <s v="Annual RWNDT Q4"/>
    <x v="2"/>
    <s v="Drilling"/>
    <s v="Won"/>
    <x v="0"/>
    <m/>
    <x v="11"/>
    <x v="0"/>
    <n v="1"/>
    <n v="16810.5"/>
    <n v="16810.5"/>
    <n v="0.3"/>
    <n v="5043.1499999999996"/>
    <m/>
  </r>
  <r>
    <s v="201911-04"/>
    <s v="Deepwater Proteus"/>
    <s v="Transocean"/>
    <s v="Annual RWNDT Q3"/>
    <x v="2"/>
    <s v="Drilling"/>
    <s v="Won"/>
    <x v="0"/>
    <m/>
    <x v="5"/>
    <x v="0"/>
    <n v="1"/>
    <n v="10000"/>
    <n v="10000"/>
    <n v="0.3"/>
    <n v="3000"/>
    <m/>
  </r>
  <r>
    <s v="201911-04"/>
    <s v="Deepwater Proteus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0-05"/>
    <s v="Deepwater Poseidon"/>
    <s v="Transocean"/>
    <s v="Annual Pressurized Systems"/>
    <x v="7"/>
    <s v="Drilling"/>
    <s v="Won"/>
    <x v="0"/>
    <m/>
    <x v="11"/>
    <x v="0"/>
    <n v="1"/>
    <n v="27816"/>
    <n v="27816"/>
    <n v="0.3"/>
    <n v="8344.7999999999993"/>
    <m/>
  </r>
  <r>
    <s v="201911-07"/>
    <s v="Deepwater Proteus"/>
    <s v="Transocean"/>
    <s v="Annual Elevators"/>
    <x v="1"/>
    <s v="Drilling"/>
    <s v="Won"/>
    <x v="0"/>
    <m/>
    <x v="10"/>
    <x v="0"/>
    <n v="1"/>
    <n v="2300"/>
    <n v="2300"/>
    <n v="0.3"/>
    <n v="690"/>
    <m/>
  </r>
  <r>
    <s v="201910-11"/>
    <s v="Deepwater Poseidon"/>
    <s v="Transocean"/>
    <s v="Resocketing of 76mm KB2 "/>
    <x v="10"/>
    <s v="Drilling"/>
    <s v="Won"/>
    <x v="0"/>
    <m/>
    <x v="9"/>
    <x v="0"/>
    <n v="1"/>
    <n v="20000"/>
    <n v="20000"/>
    <n v="0.3"/>
    <n v="6000"/>
    <m/>
  </r>
  <r>
    <s v="201911-11"/>
    <s v="Deepwater Proteus"/>
    <s v="Transocean"/>
    <s v="Ad-Hoc Moonpool load test"/>
    <x v="2"/>
    <s v="Drilling"/>
    <s v="Won"/>
    <x v="0"/>
    <m/>
    <x v="0"/>
    <x v="0"/>
    <n v="1"/>
    <n v="10000"/>
    <n v="10000"/>
    <n v="0.3"/>
    <n v="3000"/>
    <m/>
  </r>
  <r>
    <s v="201912-01"/>
    <s v="Deepwater Thalassa"/>
    <s v="Transocean"/>
    <s v="Annual CCE"/>
    <x v="0"/>
    <s v="Drilling"/>
    <s v="Won"/>
    <x v="0"/>
    <m/>
    <x v="7"/>
    <x v="0"/>
    <n v="1"/>
    <n v="59378"/>
    <n v="59378"/>
    <n v="0.3"/>
    <n v="17813.399999999998"/>
    <m/>
  </r>
  <r>
    <s v="201912-02"/>
    <s v="Deepwater Thalassa"/>
    <s v="Transocean"/>
    <s v="Annual DROPS"/>
    <x v="5"/>
    <s v="Drilling"/>
    <s v="Won"/>
    <x v="0"/>
    <m/>
    <x v="5"/>
    <x v="0"/>
    <n v="1"/>
    <n v="15939"/>
    <n v="15939"/>
    <n v="0.3"/>
    <n v="4781.7"/>
    <m/>
  </r>
  <r>
    <s v="201912-02"/>
    <s v="Deepwater Thalassa"/>
    <s v="Transocean"/>
    <s v="Annual DROPS"/>
    <x v="5"/>
    <s v="Drilling"/>
    <s v="Won"/>
    <x v="0"/>
    <m/>
    <x v="0"/>
    <x v="0"/>
    <n v="1"/>
    <n v="15000"/>
    <n v="15000"/>
    <n v="0.3"/>
    <n v="4500"/>
    <m/>
  </r>
  <r>
    <s v="201912-03"/>
    <s v="Deepwater Thalassa"/>
    <s v="Transocean"/>
    <s v="Annual LGI"/>
    <x v="1"/>
    <s v="Drilling"/>
    <s v="Won"/>
    <x v="0"/>
    <m/>
    <x v="2"/>
    <x v="0"/>
    <n v="1"/>
    <n v="31969"/>
    <n v="31969"/>
    <n v="0.19"/>
    <n v="6074.11"/>
    <m/>
  </r>
  <r>
    <s v="201912-04"/>
    <s v="Deepwater Thalassa"/>
    <s v="Transocean"/>
    <s v="Annual RWNDT Q3"/>
    <x v="2"/>
    <s v="Drilling"/>
    <s v="Won"/>
    <x v="0"/>
    <m/>
    <x v="4"/>
    <x v="0"/>
    <n v="1"/>
    <n v="18810.5"/>
    <n v="18810.5"/>
    <n v="0.3"/>
    <n v="5643.15"/>
    <m/>
  </r>
  <r>
    <s v="201911-04"/>
    <s v="Deepwater Proteus"/>
    <s v="Transocean"/>
    <s v="Annual RWNDT Q4"/>
    <x v="2"/>
    <s v="Drilling"/>
    <s v="Won"/>
    <x v="0"/>
    <m/>
    <x v="11"/>
    <x v="0"/>
    <n v="1"/>
    <n v="3800"/>
    <n v="3800"/>
    <n v="0.3"/>
    <n v="1140"/>
    <m/>
  </r>
  <r>
    <s v="201912-04"/>
    <s v="Deepwater Thalassa"/>
    <s v="Transocean"/>
    <s v="Annual RWNDT Q2"/>
    <x v="2"/>
    <s v="Drilling"/>
    <s v="Won"/>
    <x v="0"/>
    <m/>
    <x v="0"/>
    <x v="0"/>
    <n v="1"/>
    <n v="18810.5"/>
    <n v="18810.5"/>
    <n v="0.3"/>
    <n v="5643.15"/>
    <m/>
  </r>
  <r>
    <s v="201912-04"/>
    <s v="Deepwater Thalassa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2-05"/>
    <s v="Deepwater Thalassa"/>
    <s v="Transocean"/>
    <s v="Annual Pressurized Systems"/>
    <x v="7"/>
    <s v="Drilling"/>
    <s v="Won"/>
    <x v="0"/>
    <m/>
    <x v="10"/>
    <x v="0"/>
    <n v="1"/>
    <n v="27816"/>
    <n v="27816"/>
    <n v="0.59"/>
    <n v="16411.439999999999"/>
    <m/>
  </r>
  <r>
    <s v="201912-07"/>
    <s v="Deepwater Thalassa"/>
    <s v="Transocean"/>
    <s v="Annual Elevators"/>
    <x v="1"/>
    <s v="Drilling"/>
    <s v="Won"/>
    <x v="0"/>
    <m/>
    <x v="8"/>
    <x v="0"/>
    <n v="1"/>
    <n v="13900"/>
    <n v="13900"/>
    <n v="0.3"/>
    <n v="4170"/>
    <m/>
  </r>
  <r>
    <s v="201911-05"/>
    <s v="Deepwater Proteus"/>
    <s v="Transocean"/>
    <s v="Annual Pressurized Systems"/>
    <x v="7"/>
    <s v="Drilling"/>
    <s v="Won"/>
    <x v="0"/>
    <m/>
    <x v="9"/>
    <x v="0"/>
    <n v="1"/>
    <n v="27816"/>
    <n v="27816"/>
    <n v="0.3"/>
    <n v="8344.7999999999993"/>
    <m/>
  </r>
  <r>
    <s v="201912-11"/>
    <s v="Deepwater Thalassa"/>
    <s v="Transocean"/>
    <s v="Ad-Hoc - TDS"/>
    <x v="10"/>
    <s v="Drilling"/>
    <s v="Won"/>
    <x v="0"/>
    <m/>
    <x v="0"/>
    <x v="0"/>
    <n v="1"/>
    <n v="12000"/>
    <n v="12000"/>
    <n v="0.59"/>
    <n v="7080"/>
    <m/>
  </r>
  <r>
    <s v="201914-01"/>
    <s v="Deepwater Invictus"/>
    <s v="Transocean"/>
    <s v="Annual CCE"/>
    <x v="0"/>
    <s v="Drilling"/>
    <s v="Won"/>
    <x v="0"/>
    <m/>
    <x v="5"/>
    <x v="0"/>
    <n v="1"/>
    <n v="9318"/>
    <n v="9318"/>
    <n v="0.56000000000000005"/>
    <n v="5218.0800000000008"/>
    <m/>
  </r>
  <r>
    <s v="201914-01"/>
    <s v="Deepwater Invictus"/>
    <s v="Transocean"/>
    <s v="Annual CCE"/>
    <x v="0"/>
    <s v="Drilling"/>
    <s v="Won"/>
    <x v="0"/>
    <m/>
    <x v="0"/>
    <x v="0"/>
    <n v="1"/>
    <n v="50000"/>
    <n v="50000"/>
    <n v="0.56000000000000005"/>
    <n v="28000.000000000004"/>
    <m/>
  </r>
  <r>
    <s v="201914-02"/>
    <s v="Deepwater Invictus"/>
    <s v="Transocean"/>
    <s v="Annual DROPS"/>
    <x v="5"/>
    <s v="Drilling"/>
    <s v="Won"/>
    <x v="0"/>
    <m/>
    <x v="2"/>
    <x v="0"/>
    <n v="1"/>
    <n v="15000"/>
    <n v="15000"/>
    <n v="0.3"/>
    <n v="4500"/>
    <m/>
  </r>
  <r>
    <s v="201914-02"/>
    <s v="Deepwater Invictus"/>
    <s v="Transocean"/>
    <s v="Annual DROPS"/>
    <x v="5"/>
    <s v="Drilling"/>
    <s v="Won"/>
    <x v="0"/>
    <m/>
    <x v="6"/>
    <x v="0"/>
    <n v="1"/>
    <n v="15939"/>
    <n v="15939"/>
    <n v="0.3"/>
    <n v="4781.7"/>
    <m/>
  </r>
  <r>
    <s v="201914-03"/>
    <s v="Deepwater Invictus"/>
    <s v="Transocean"/>
    <s v="Annual LGI"/>
    <x v="1"/>
    <s v="Drilling"/>
    <s v="Won"/>
    <x v="0"/>
    <m/>
    <x v="6"/>
    <x v="0"/>
    <n v="1"/>
    <n v="31969"/>
    <n v="31969"/>
    <n v="0.3"/>
    <n v="9590.6999999999989"/>
    <m/>
  </r>
  <r>
    <s v="201914-04"/>
    <s v="Deepwater Invictus"/>
    <s v="Transocean"/>
    <s v="Annual RWNDT Q3"/>
    <x v="2"/>
    <s v="Drilling"/>
    <s v="Won"/>
    <x v="0"/>
    <m/>
    <x v="4"/>
    <x v="0"/>
    <n v="1"/>
    <n v="-12128.5"/>
    <n v="-12128.5"/>
    <n v="0.3"/>
    <n v="-3638.5499999999997"/>
    <m/>
  </r>
  <r>
    <s v="201909-02"/>
    <s v="Deepwater Pontus"/>
    <s v="Transocean"/>
    <s v="Annual DROPS"/>
    <x v="5"/>
    <s v="Drilling"/>
    <s v="Won"/>
    <x v="0"/>
    <m/>
    <x v="6"/>
    <x v="1"/>
    <n v="1"/>
    <n v="30939"/>
    <n v="30939"/>
    <n v="0.3"/>
    <n v="9281.6999999999989"/>
    <m/>
  </r>
  <r>
    <s v="201914-04"/>
    <s v="Deepwater Invictus"/>
    <s v="Transocean"/>
    <s v="Annual RWNDT Q3"/>
    <x v="2"/>
    <s v="Drilling"/>
    <s v="Won"/>
    <x v="0"/>
    <m/>
    <x v="5"/>
    <x v="0"/>
    <n v="1"/>
    <n v="8000"/>
    <n v="8000"/>
    <n v="0.3"/>
    <n v="2400"/>
    <m/>
  </r>
  <r>
    <s v="201914-04"/>
    <s v="Deepwater Invictus"/>
    <s v="Transocean"/>
    <s v="Annual RWNDT Q2"/>
    <x v="2"/>
    <s v="Drilling"/>
    <s v="Won"/>
    <x v="0"/>
    <m/>
    <x v="0"/>
    <x v="0"/>
    <n v="1"/>
    <n v="18810.5"/>
    <n v="18810.5"/>
    <n v="0.3"/>
    <n v="5643.15"/>
    <m/>
  </r>
  <r>
    <s v="201914-04"/>
    <s v="Deepwater Invictus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2-04"/>
    <s v="Deepwater Thalassa"/>
    <s v="Transocean"/>
    <s v="Annual RWNDT Q4"/>
    <x v="2"/>
    <s v="Drilling"/>
    <s v="Won"/>
    <x v="0"/>
    <m/>
    <x v="11"/>
    <x v="0"/>
    <n v="1"/>
    <n v="8800"/>
    <n v="8800"/>
    <n v="0.3"/>
    <n v="2640"/>
    <m/>
  </r>
  <r>
    <s v="201914-07"/>
    <s v="Deepwater Invictus"/>
    <s v="Transocean"/>
    <s v="Annual Elevators"/>
    <x v="1"/>
    <s v="Drilling"/>
    <s v="Won"/>
    <x v="0"/>
    <m/>
    <x v="6"/>
    <x v="0"/>
    <n v="1"/>
    <n v="13900"/>
    <n v="13900"/>
    <n v="0.3"/>
    <n v="4170"/>
    <m/>
  </r>
  <r>
    <s v="201914-11"/>
    <s v="Deepwater Invictus"/>
    <s v="Transocean"/>
    <s v="Mud pump inspection"/>
    <x v="2"/>
    <s v="Drilling"/>
    <s v="Won"/>
    <x v="0"/>
    <m/>
    <x v="3"/>
    <x v="0"/>
    <n v="1"/>
    <n v="35000"/>
    <n v="35000"/>
    <n v="0.3"/>
    <n v="10500"/>
    <m/>
  </r>
  <r>
    <s v="201914-11"/>
    <s v="Deepwater Invictus"/>
    <s v="Transocean"/>
    <s v="PAUT"/>
    <x v="2"/>
    <s v="Drilling"/>
    <s v="Won"/>
    <x v="0"/>
    <m/>
    <x v="3"/>
    <x v="0"/>
    <n v="1"/>
    <n v="52000"/>
    <n v="52000"/>
    <n v="0.3"/>
    <n v="15600"/>
    <m/>
  </r>
  <r>
    <s v="201944-12"/>
    <s v="Deepwater Mykonos"/>
    <s v="Transocean"/>
    <s v="Ad-Hoc - DROPS Closing"/>
    <x v="5"/>
    <s v="Drilling"/>
    <s v="Won"/>
    <x v="0"/>
    <m/>
    <x v="10"/>
    <x v="0"/>
    <n v="1"/>
    <n v="30000"/>
    <n v="30000"/>
    <n v="0.3"/>
    <n v="9000"/>
    <m/>
  </r>
  <r>
    <s v="201945-12"/>
    <s v="Deepwater Corcovado"/>
    <s v="Transocean"/>
    <s v="Ad-Hoc - DROPS Closing"/>
    <x v="5"/>
    <s v="Drilling"/>
    <s v="Won"/>
    <x v="0"/>
    <m/>
    <x v="10"/>
    <x v="0"/>
    <n v="1"/>
    <n v="30000"/>
    <n v="30000"/>
    <n v="0.3"/>
    <n v="9000"/>
    <m/>
  </r>
  <r>
    <s v="618038-01"/>
    <s v="FPSO Commsa"/>
    <s v="Commsa"/>
    <s v="Rigging support"/>
    <x v="10"/>
    <s v="Energy"/>
    <s v="Won"/>
    <x v="0"/>
    <m/>
    <x v="1"/>
    <x v="0"/>
    <n v="1"/>
    <n v="111000"/>
    <n v="111000"/>
    <n v="0.3"/>
    <n v="33300"/>
    <m/>
  </r>
  <r>
    <s v="618038-1"/>
    <s v="FPSO Commsa"/>
    <s v="Commsa"/>
    <s v="Rigging support"/>
    <x v="10"/>
    <s v="Energy"/>
    <s v="Won"/>
    <x v="0"/>
    <m/>
    <x v="3"/>
    <x v="0"/>
    <n v="1"/>
    <n v="117000"/>
    <n v="117000"/>
    <n v="0.3"/>
    <n v="35100"/>
    <m/>
  </r>
  <r>
    <s v="618038-1"/>
    <s v="FPSO Commsa"/>
    <s v="Commsa"/>
    <s v="Rigging support"/>
    <x v="10"/>
    <s v="Energy"/>
    <s v="Won"/>
    <x v="0"/>
    <m/>
    <x v="2"/>
    <x v="0"/>
    <n v="1"/>
    <n v="70000"/>
    <n v="70000"/>
    <n v="0.3"/>
    <n v="21000"/>
    <m/>
  </r>
  <r>
    <s v="201912-11"/>
    <s v="Deepwater Thalassa"/>
    <s v="Transocean"/>
    <s v="Ad-Hoc - Rope access support"/>
    <x v="10"/>
    <s v="Drilling"/>
    <s v="Won"/>
    <x v="0"/>
    <m/>
    <x v="9"/>
    <x v="0"/>
    <n v="1"/>
    <n v="24000"/>
    <n v="24000"/>
    <n v="0.59"/>
    <n v="14160"/>
    <m/>
  </r>
  <r>
    <s v="618038-1"/>
    <s v="FPSO Commsa"/>
    <s v="Commsa"/>
    <s v="Rigging support"/>
    <x v="10"/>
    <s v="Energy"/>
    <s v="Won"/>
    <x v="0"/>
    <m/>
    <x v="0"/>
    <x v="0"/>
    <n v="1"/>
    <n v="15000"/>
    <n v="15000"/>
    <n v="0.3"/>
    <n v="4500"/>
    <m/>
  </r>
  <r>
    <s v="618038-1"/>
    <s v="FPSO Commsa"/>
    <s v="Commsa"/>
    <s v="Rigging support"/>
    <x v="10"/>
    <s v="Energy"/>
    <s v="Won"/>
    <x v="0"/>
    <m/>
    <x v="6"/>
    <x v="0"/>
    <n v="1"/>
    <n v="185000"/>
    <n v="185000"/>
    <n v="0.3"/>
    <n v="55500"/>
    <m/>
  </r>
  <r>
    <s v="201914-04"/>
    <s v="Deepwater Invictus"/>
    <s v="Transocean"/>
    <s v="Annual RWNDT Q4"/>
    <x v="2"/>
    <s v="Drilling"/>
    <s v="Won"/>
    <x v="0"/>
    <m/>
    <x v="11"/>
    <x v="0"/>
    <n v="1"/>
    <n v="13000"/>
    <n v="13000"/>
    <n v="0.3"/>
    <n v="3900"/>
    <m/>
  </r>
  <r>
    <s v="618038-1"/>
    <s v="FPSO Commsa"/>
    <s v="Commsa"/>
    <s v="Rigging support"/>
    <x v="10"/>
    <s v="Energy"/>
    <s v="Won"/>
    <x v="0"/>
    <m/>
    <x v="10"/>
    <x v="0"/>
    <n v="1"/>
    <n v="65000"/>
    <n v="65000"/>
    <n v="0.3"/>
    <n v="19500"/>
    <m/>
  </r>
  <r>
    <s v="618038-1"/>
    <s v="FPSO Commsa"/>
    <s v="Commsa"/>
    <s v="Rigging support"/>
    <x v="10"/>
    <s v="Energy"/>
    <s v="Won"/>
    <x v="0"/>
    <m/>
    <x v="7"/>
    <x v="0"/>
    <n v="1"/>
    <n v="42000"/>
    <n v="42000"/>
    <n v="0.3"/>
    <n v="12600"/>
    <m/>
  </r>
  <r>
    <s v="619029-05"/>
    <s v="HP1"/>
    <s v="Helix"/>
    <m/>
    <x v="10"/>
    <s v="Drilling"/>
    <s v="Won"/>
    <x v="0"/>
    <m/>
    <x v="10"/>
    <x v="0"/>
    <n v="1"/>
    <n v="42900"/>
    <n v="42900"/>
    <n v="0.3"/>
    <n v="12870"/>
    <m/>
  </r>
  <r>
    <m/>
    <s v="Borr Odin"/>
    <s v="Borr"/>
    <s v="UWILD"/>
    <x v="2"/>
    <s v="Drilling"/>
    <s v="Pipeline"/>
    <x v="3"/>
    <m/>
    <x v="4"/>
    <x v="0"/>
    <n v="0.5"/>
    <n v="15000"/>
    <n v="7500"/>
    <n v="0.3"/>
    <n v="4500"/>
    <m/>
  </r>
  <r>
    <m/>
    <s v="Borr Odin"/>
    <s v="Borr"/>
    <s v="Rig Intergrity Managerment"/>
    <x v="10"/>
    <s v="Drilling"/>
    <s v="Quote"/>
    <x v="2"/>
    <s v="Q-HO-15233"/>
    <x v="5"/>
    <x v="0"/>
    <n v="0.2"/>
    <n v="0"/>
    <n v="0"/>
    <n v="0.3"/>
    <n v="0"/>
    <m/>
  </r>
  <r>
    <m/>
    <s v="DD3"/>
    <s v="Transocean"/>
    <s v="Annual CCE"/>
    <x v="0"/>
    <s v="Drilling"/>
    <s v="Won"/>
    <x v="0"/>
    <m/>
    <x v="5"/>
    <x v="0"/>
    <n v="1"/>
    <n v="59318"/>
    <n v="59318"/>
    <n v="0.3"/>
    <n v="17795.399999999998"/>
    <m/>
  </r>
  <r>
    <m/>
    <s v="DD3"/>
    <s v="Transocean"/>
    <s v="RWNDT"/>
    <x v="1"/>
    <s v="Drilling"/>
    <s v="Won"/>
    <x v="0"/>
    <m/>
    <x v="5"/>
    <x v="0"/>
    <n v="1"/>
    <n v="18810"/>
    <n v="18810"/>
    <n v="0.3"/>
    <n v="5643"/>
    <m/>
  </r>
  <r>
    <m/>
    <s v="Deepwater Asgard"/>
    <s v="Transocean"/>
    <s v="Gauge Calibration - Q-HO-14796"/>
    <x v="7"/>
    <s v="Drilling"/>
    <s v="Quote"/>
    <x v="2"/>
    <s v="Q-HO-14796"/>
    <x v="1"/>
    <x v="0"/>
    <n v="0.1"/>
    <n v="34890"/>
    <n v="3489"/>
    <n v="0.3"/>
    <n v="10467"/>
    <m/>
  </r>
  <r>
    <m/>
    <s v="Deepwater Corcovado"/>
    <s v="Transocean"/>
    <s v="Reactivation - Piping"/>
    <x v="1"/>
    <s v="Drilling"/>
    <s v="Pipeline"/>
    <x v="3"/>
    <m/>
    <x v="4"/>
    <x v="0"/>
    <n v="1"/>
    <n v="50000"/>
    <n v="50000"/>
    <n v="0.3"/>
    <n v="15000"/>
    <m/>
  </r>
  <r>
    <m/>
    <s v="Deepwater Corcovado"/>
    <s v="Transocean"/>
    <s v="Reactivation"/>
    <x v="1"/>
    <s v="Drilling"/>
    <s v="Won"/>
    <x v="0"/>
    <m/>
    <x v="5"/>
    <x v="0"/>
    <n v="1"/>
    <n v="65000"/>
    <n v="65000"/>
    <n v="0.3"/>
    <n v="19500"/>
    <m/>
  </r>
  <r>
    <m/>
    <s v="Deepwater Corcovado"/>
    <s v="Transocean"/>
    <s v="Inertia Heel"/>
    <x v="2"/>
    <s v="Drilling"/>
    <s v="Quote"/>
    <x v="2"/>
    <s v="Q-HO-15255"/>
    <x v="5"/>
    <x v="0"/>
    <n v="0.5"/>
    <n v="10648"/>
    <n v="5324"/>
    <n v="0.3"/>
    <n v="3194.4"/>
    <m/>
  </r>
  <r>
    <m/>
    <s v="Deepwater Corcovado"/>
    <s v="Transocean"/>
    <s v="RWNDT"/>
    <x v="1"/>
    <s v="Drilling"/>
    <s v="Quote"/>
    <x v="2"/>
    <m/>
    <x v="8"/>
    <x v="0"/>
    <n v="0.5"/>
    <n v="35000"/>
    <n v="17500"/>
    <n v="0.3"/>
    <n v="10500"/>
    <m/>
  </r>
  <r>
    <s v="201914-05"/>
    <s v="Deepwater Invictus"/>
    <s v="Transocean"/>
    <s v="Annual Pressurized Systems"/>
    <x v="7"/>
    <s v="Drilling"/>
    <s v="Won"/>
    <x v="0"/>
    <m/>
    <x v="11"/>
    <x v="0"/>
    <n v="1"/>
    <n v="27816"/>
    <n v="27816"/>
    <n v="0.59"/>
    <n v="16411.439999999999"/>
    <m/>
  </r>
  <r>
    <m/>
    <s v="Deepwater Invictus"/>
    <s v="Transocean"/>
    <s v="Ad-Hoc - 1800 day PM"/>
    <x v="2"/>
    <s v="Drilling"/>
    <s v="Won"/>
    <x v="0"/>
    <m/>
    <x v="5"/>
    <x v="0"/>
    <n v="1"/>
    <n v="15000"/>
    <n v="15000"/>
    <n v="0.56000000000000005"/>
    <n v="8400"/>
    <m/>
  </r>
  <r>
    <m/>
    <s v="Deepwater Mykonos"/>
    <s v="Transocean"/>
    <s v="Reactivation - CCE"/>
    <x v="1"/>
    <s v="Drilling"/>
    <s v="Pipeline"/>
    <x v="3"/>
    <m/>
    <x v="4"/>
    <x v="0"/>
    <n v="0.5"/>
    <n v="58000"/>
    <n v="29000"/>
    <n v="0.3"/>
    <n v="17400"/>
    <m/>
  </r>
  <r>
    <m/>
    <s v="Deepwater Mykonos"/>
    <s v="Transocean"/>
    <s v="Reactivation"/>
    <x v="1"/>
    <s v="Drilling"/>
    <s v="Won"/>
    <x v="0"/>
    <m/>
    <x v="5"/>
    <x v="0"/>
    <n v="1"/>
    <n v="65000"/>
    <n v="65000"/>
    <n v="0.3"/>
    <n v="19500"/>
    <m/>
  </r>
  <r>
    <m/>
    <s v="Deepwater Mykonos"/>
    <s v="Transocean"/>
    <s v="DROPS - closing of findings"/>
    <x v="5"/>
    <s v="Drilling"/>
    <s v="Quote"/>
    <x v="0"/>
    <m/>
    <x v="7"/>
    <x v="0"/>
    <n v="1"/>
    <n v="95000"/>
    <n v="95000"/>
    <n v="0.3"/>
    <n v="28500"/>
    <m/>
  </r>
  <r>
    <m/>
    <s v="Deepwater Mykonos"/>
    <s v="Transocean"/>
    <s v="DROPS - closing of findings"/>
    <x v="5"/>
    <s v="Drilling"/>
    <s v="Quote"/>
    <x v="2"/>
    <m/>
    <x v="8"/>
    <x v="0"/>
    <n v="1"/>
    <n v="70000"/>
    <n v="70000"/>
    <n v="0.3"/>
    <n v="21000"/>
    <m/>
  </r>
  <r>
    <m/>
    <s v="Deepwater Pontus"/>
    <s v="Transocean"/>
    <s v="Calibration"/>
    <x v="2"/>
    <s v="Drilling"/>
    <s v="Quote"/>
    <x v="2"/>
    <s v="Q-HO-15120"/>
    <x v="5"/>
    <x v="0"/>
    <n v="0.5"/>
    <n v="8125"/>
    <n v="4062.5"/>
    <n v="0.3"/>
    <n v="2437.5"/>
    <m/>
  </r>
  <r>
    <m/>
    <s v="Deepwater Thalassa"/>
    <s v="Transocean"/>
    <s v="EoW"/>
    <x v="2"/>
    <s v="Drilling"/>
    <s v="Won"/>
    <x v="0"/>
    <m/>
    <x v="5"/>
    <x v="0"/>
    <n v="1"/>
    <n v="35000"/>
    <n v="35000"/>
    <n v="0.3"/>
    <n v="10500"/>
    <m/>
  </r>
  <r>
    <m/>
    <s v="Deepwater Thalassa"/>
    <s v="Transocean"/>
    <s v="Phased Array"/>
    <x v="2"/>
    <s v="Drilling"/>
    <s v="Quote"/>
    <x v="2"/>
    <s v="Q-HO-15093"/>
    <x v="5"/>
    <x v="0"/>
    <n v="0.5"/>
    <n v="10125"/>
    <n v="5062.5"/>
    <n v="0.3"/>
    <n v="3037.5"/>
    <m/>
  </r>
  <r>
    <m/>
    <s v="Deepwater Thalassa"/>
    <s v="Transocean"/>
    <s v="DTH Ad-hoc Riser Bolts PAUT"/>
    <x v="11"/>
    <s v="Drilling"/>
    <m/>
    <x v="2"/>
    <s v="Q-HO-15853"/>
    <x v="10"/>
    <x v="0"/>
    <n v="0.25"/>
    <n v="16795"/>
    <n v="4198.75"/>
    <n v="0.3"/>
    <n v="5038.5"/>
    <m/>
  </r>
  <r>
    <m/>
    <s v="Ensco 8505"/>
    <s v="Valaris"/>
    <s v="CCE"/>
    <x v="1"/>
    <s v="Drilling"/>
    <s v="Quote"/>
    <x v="2"/>
    <s v="Q-HO-14523"/>
    <x v="7"/>
    <x v="0"/>
    <n v="1"/>
    <n v="12000"/>
    <n v="12000"/>
    <n v="0.3"/>
    <n v="3600"/>
    <m/>
  </r>
  <r>
    <m/>
    <s v="Ensco 8505"/>
    <s v="Valaris"/>
    <s v="CCE"/>
    <x v="1"/>
    <s v="Drilling"/>
    <s v="Quote"/>
    <x v="0"/>
    <m/>
    <x v="7"/>
    <x v="0"/>
    <n v="1"/>
    <n v="36832"/>
    <n v="36832"/>
    <n v="0.3"/>
    <n v="11049.6"/>
    <m/>
  </r>
  <r>
    <m/>
    <s v="Ensco 8505"/>
    <s v="Valaris"/>
    <s v="Crane wire ropes visual inspection"/>
    <x v="1"/>
    <s v="Drilling"/>
    <s v="Quote"/>
    <x v="2"/>
    <s v="Q-HO-14523"/>
    <x v="8"/>
    <x v="0"/>
    <n v="0.5"/>
    <n v="13836"/>
    <n v="6918"/>
    <n v="0.3"/>
    <n v="4150.8"/>
    <m/>
  </r>
  <r>
    <m/>
    <s v="Equinor"/>
    <s v="Equinor"/>
    <s v="LEC"/>
    <x v="1"/>
    <s v="Energy"/>
    <s v="Won"/>
    <x v="0"/>
    <m/>
    <x v="3"/>
    <x v="0"/>
    <n v="1"/>
    <n v="100000"/>
    <n v="100000"/>
    <n v="0.3"/>
    <n v="30000"/>
    <m/>
  </r>
  <r>
    <m/>
    <s v="Equinor"/>
    <s v="Equinor"/>
    <s v="LEC - MSF certification"/>
    <x v="1"/>
    <s v="Energy"/>
    <s v="Won"/>
    <x v="0"/>
    <m/>
    <x v="4"/>
    <x v="0"/>
    <n v="1"/>
    <n v="70000"/>
    <n v="70000"/>
    <n v="0.3"/>
    <n v="21000"/>
    <m/>
  </r>
  <r>
    <m/>
    <s v="Equinor"/>
    <s v="Equinor"/>
    <s v="LEC"/>
    <x v="1"/>
    <s v="Energy"/>
    <s v="Won"/>
    <x v="0"/>
    <m/>
    <x v="0"/>
    <x v="0"/>
    <n v="1"/>
    <n v="50000"/>
    <n v="50000"/>
    <n v="0.3"/>
    <n v="15000"/>
    <m/>
  </r>
  <r>
    <m/>
    <s v="Equinor"/>
    <s v="Equinor"/>
    <s v="LEC"/>
    <x v="1"/>
    <s v="Energy"/>
    <s v="Won"/>
    <x v="0"/>
    <m/>
    <x v="1"/>
    <x v="0"/>
    <n v="1"/>
    <n v="40000"/>
    <n v="40000"/>
    <n v="0.3"/>
    <n v="12000"/>
    <m/>
  </r>
  <r>
    <m/>
    <s v="Equinor"/>
    <s v="Equinor"/>
    <s v="DROPS"/>
    <x v="5"/>
    <s v="Energy"/>
    <s v="Quote"/>
    <x v="2"/>
    <m/>
    <x v="10"/>
    <x v="0"/>
    <n v="0.5"/>
    <n v="41250"/>
    <n v="20625"/>
    <n v="0.3"/>
    <n v="12375"/>
    <m/>
  </r>
  <r>
    <m/>
    <s v="Equinor"/>
    <s v="Equinor"/>
    <s v="DROPS"/>
    <x v="5"/>
    <s v="Energy"/>
    <s v="Quote"/>
    <x v="2"/>
    <m/>
    <x v="7"/>
    <x v="0"/>
    <n v="0.5"/>
    <n v="60000"/>
    <n v="30000"/>
    <n v="0.3"/>
    <n v="18000"/>
    <m/>
  </r>
  <r>
    <s v="618038-1"/>
    <s v="FPSO Commsa"/>
    <s v="Commsa"/>
    <s v="Rigging support"/>
    <x v="10"/>
    <s v="Energy"/>
    <s v="Won"/>
    <x v="0"/>
    <m/>
    <x v="9"/>
    <x v="0"/>
    <n v="1"/>
    <n v="50000"/>
    <n v="50000"/>
    <n v="0.3"/>
    <n v="15000"/>
    <m/>
  </r>
  <r>
    <m/>
    <s v="Telford 25"/>
    <s v="Telford"/>
    <s v="DP annual trials"/>
    <x v="12"/>
    <s v="Surf"/>
    <s v="Quoted"/>
    <x v="2"/>
    <m/>
    <x v="4"/>
    <x v="1"/>
    <n v="0.5"/>
    <n v="9000"/>
    <n v="4500"/>
    <m/>
    <n v="0"/>
    <m/>
  </r>
  <r>
    <m/>
    <s v="FPSO Ngomma"/>
    <s v="SBM"/>
    <s v="Safe lifting plann"/>
    <x v="8"/>
    <s v="FPSO"/>
    <s v="Won"/>
    <x v="0"/>
    <m/>
    <x v="7"/>
    <x v="0"/>
    <n v="1"/>
    <n v="70000"/>
    <n v="70000"/>
    <n v="0.3"/>
    <n v="21000"/>
    <m/>
  </r>
  <r>
    <m/>
    <s v="HP1"/>
    <s v="Helix"/>
    <s v="General scopes"/>
    <x v="1"/>
    <s v="FPSO"/>
    <s v="Won"/>
    <x v="0"/>
    <m/>
    <x v="4"/>
    <x v="0"/>
    <n v="1"/>
    <n v="20000"/>
    <n v="20000"/>
    <n v="0.3"/>
    <n v="6000"/>
    <m/>
  </r>
  <r>
    <m/>
    <s v="Husky"/>
    <s v="Husky"/>
    <s v="DROPS"/>
    <x v="5"/>
    <s v="Drilling"/>
    <s v="Won"/>
    <x v="2"/>
    <s v="Q-HO-15469"/>
    <x v="4"/>
    <x v="0"/>
    <n v="0.5"/>
    <n v="25000"/>
    <n v="12500"/>
    <n v="0.3"/>
    <n v="7500"/>
    <m/>
  </r>
  <r>
    <m/>
    <s v="Husky"/>
    <s v="Husky"/>
    <s v="DROPS"/>
    <x v="5"/>
    <s v="Drilling"/>
    <s v="Won"/>
    <x v="0"/>
    <s v="Q-HO-15469"/>
    <x v="8"/>
    <x v="0"/>
    <n v="0.5"/>
    <n v="23000"/>
    <n v="11500"/>
    <n v="0.3"/>
    <n v="6900"/>
    <m/>
  </r>
  <r>
    <m/>
    <s v="Noble Bob Douglas"/>
    <s v="Exxon"/>
    <s v="DROPS Sweep"/>
    <x v="5"/>
    <s v="Energy"/>
    <s v="Won"/>
    <x v="0"/>
    <m/>
    <x v="10"/>
    <x v="0"/>
    <n v="1"/>
    <n v="5000"/>
    <n v="5000"/>
    <n v="0.3"/>
    <n v="1500"/>
    <m/>
  </r>
  <r>
    <m/>
    <s v="Deepwater Invictus"/>
    <s v="Transocean"/>
    <s v="LEC"/>
    <x v="1"/>
    <s v="Drilling"/>
    <s v="Quote"/>
    <x v="2"/>
    <m/>
    <x v="11"/>
    <x v="0"/>
    <n v="0.5"/>
    <n v="25000"/>
    <n v="12500"/>
    <n v="0.3"/>
    <n v="7500"/>
    <m/>
  </r>
  <r>
    <m/>
    <s v="Noble Don Taylor"/>
    <s v="Exxon"/>
    <s v="DROPS Sweep"/>
    <x v="5"/>
    <s v="Energy"/>
    <s v="Won"/>
    <x v="0"/>
    <m/>
    <x v="10"/>
    <x v="0"/>
    <n v="1"/>
    <n v="35000"/>
    <n v="35000"/>
    <n v="0.3"/>
    <n v="10500"/>
    <m/>
  </r>
  <r>
    <m/>
    <s v="OceanRig Corcovado"/>
    <s v="Transocean"/>
    <s v="DROPS"/>
    <x v="5"/>
    <s v="Drilling"/>
    <s v="Quote"/>
    <x v="2"/>
    <m/>
    <x v="0"/>
    <x v="0"/>
    <n v="0.75"/>
    <n v="32000"/>
    <n v="24000"/>
    <n v="0.3"/>
    <n v="9600"/>
    <m/>
  </r>
  <r>
    <m/>
    <s v="OceanRig Corcovado"/>
    <s v="Transocean"/>
    <s v="DROPS - closing of findings"/>
    <x v="5"/>
    <s v="Drilling"/>
    <s v="Quote"/>
    <x v="0"/>
    <m/>
    <x v="7"/>
    <x v="0"/>
    <n v="1"/>
    <n v="110000"/>
    <n v="110000"/>
    <n v="0.3"/>
    <n v="33000"/>
    <m/>
  </r>
  <r>
    <m/>
    <s v="OceanRig Corcovado"/>
    <s v="Transocean"/>
    <s v="Piping"/>
    <x v="1"/>
    <s v="Drilling"/>
    <s v="Quote"/>
    <x v="2"/>
    <m/>
    <x v="8"/>
    <x v="0"/>
    <n v="0.8"/>
    <n v="27000"/>
    <n v="21600"/>
    <n v="0.3"/>
    <n v="8100"/>
    <m/>
  </r>
  <r>
    <m/>
    <s v="OceanRig Corcovado"/>
    <s v="Transocean"/>
    <s v="DROPS - closing of findings"/>
    <x v="5"/>
    <s v="Drilling"/>
    <s v="Quote"/>
    <x v="0"/>
    <m/>
    <x v="8"/>
    <x v="0"/>
    <n v="1"/>
    <n v="65000"/>
    <n v="65000"/>
    <n v="0.3"/>
    <n v="19500"/>
    <m/>
  </r>
  <r>
    <m/>
    <s v="OceanRig Mykonos"/>
    <s v="Transocean"/>
    <s v="Reactivation"/>
    <x v="1"/>
    <s v="Drilling"/>
    <s v="Won"/>
    <x v="0"/>
    <m/>
    <x v="0"/>
    <x v="0"/>
    <n v="1"/>
    <n v="150000"/>
    <n v="150000"/>
    <n v="0.3"/>
    <n v="45000"/>
    <m/>
  </r>
  <r>
    <m/>
    <s v="OceanRig Mykonos"/>
    <s v="Transocean"/>
    <s v="DROPS"/>
    <x v="5"/>
    <s v="Drilling"/>
    <s v="Won"/>
    <x v="0"/>
    <m/>
    <x v="1"/>
    <x v="0"/>
    <n v="1"/>
    <n v="32000"/>
    <n v="32000"/>
    <n v="0.3"/>
    <n v="9600"/>
    <m/>
  </r>
  <r>
    <m/>
    <s v="FPSO Ngomma"/>
    <s v="SBM"/>
    <s v="Safe lifting plann"/>
    <x v="13"/>
    <s v="FPSO"/>
    <s v="Won"/>
    <x v="0"/>
    <m/>
    <x v="11"/>
    <x v="0"/>
    <n v="1"/>
    <n v="60000"/>
    <n v="60000"/>
    <n v="0.3"/>
    <n v="18000"/>
    <m/>
  </r>
  <r>
    <m/>
    <s v="Out of the blue"/>
    <m/>
    <m/>
    <x v="3"/>
    <m/>
    <m/>
    <x v="1"/>
    <m/>
    <x v="10"/>
    <x v="0"/>
    <n v="1"/>
    <n v="150000"/>
    <n v="150000"/>
    <n v="0.3"/>
    <n v="45000"/>
    <m/>
  </r>
  <r>
    <s v="201814-12"/>
    <s v="Deepwater Invictus"/>
    <s v="Transocean"/>
    <s v="Ad-Hoc - 1800 day PM"/>
    <x v="2"/>
    <s v="Drilling"/>
    <s v="Won"/>
    <x v="0"/>
    <m/>
    <x v="12"/>
    <x v="2"/>
    <n v="1"/>
    <n v="15945"/>
    <n v="15945"/>
    <n v="0.56000000000000005"/>
    <n v="8929.2000000000007"/>
    <m/>
  </r>
  <r>
    <s v="201814-12"/>
    <s v="Deepwater Invictus"/>
    <s v="Transocean"/>
    <s v="Ad-Hoc - 1800 day PM"/>
    <x v="2"/>
    <s v="Drilling"/>
    <s v="Won"/>
    <x v="0"/>
    <m/>
    <x v="12"/>
    <x v="2"/>
    <n v="1"/>
    <n v="27531.67"/>
    <n v="27531.67"/>
    <n v="0.56000000000000005"/>
    <n v="15417.735200000001"/>
    <m/>
  </r>
  <r>
    <s v="201805-11"/>
    <s v="Discoverer Inspiration"/>
    <s v="Transocean"/>
    <s v="Ad-hoc - Mud pump NDE"/>
    <x v="2"/>
    <s v="Drilling"/>
    <s v="Won"/>
    <x v="0"/>
    <m/>
    <x v="12"/>
    <x v="2"/>
    <n v="1"/>
    <n v="59915"/>
    <n v="59915"/>
    <n v="0.3"/>
    <n v="17974.5"/>
    <m/>
  </r>
  <r>
    <s v="201802-12"/>
    <s v="Deepwater Conqueror"/>
    <s v="Transocean"/>
    <s v="ad-hoc - Water bag rental"/>
    <x v="1"/>
    <s v="Drilling"/>
    <s v="Won"/>
    <x v="0"/>
    <m/>
    <x v="12"/>
    <x v="2"/>
    <n v="1"/>
    <n v="37560"/>
    <n v="37560"/>
    <n v="0.3"/>
    <n v="11268"/>
    <m/>
  </r>
  <r>
    <s v="201911-06"/>
    <s v="Deepwater Proteus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s v="201905-06"/>
    <s v="Discoverer Inspiration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s v="201910-06"/>
    <s v="Deepwater Poseidon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s v="202014-07"/>
    <s v="Deepwater Invictus"/>
    <s v="Transocean"/>
    <s v="Annual EX Assessment"/>
    <x v="9"/>
    <s v="Drilling"/>
    <s v="Won"/>
    <x v="0"/>
    <m/>
    <x v="6"/>
    <x v="1"/>
    <n v="1"/>
    <n v="10620"/>
    <n v="10620"/>
    <n v="0.3"/>
    <n v="3186"/>
    <m/>
  </r>
  <r>
    <s v="201912-06"/>
    <s v="Deepwater Thalassa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m/>
    <s v="Discoverer Inspiration"/>
    <s v="Transocean "/>
    <s v="NDT - Fixed price - Q3"/>
    <x v="2"/>
    <s v="Drilling"/>
    <s v="Order backlog "/>
    <x v="0"/>
    <m/>
    <x v="4"/>
    <x v="1"/>
    <n v="1"/>
    <n v="5586.6813750000001"/>
    <n v="5586.6813750000001"/>
    <n v="0.3"/>
    <n v="1676.0044124999999"/>
    <m/>
  </r>
  <r>
    <s v="202011-03"/>
    <s v="Deepwater Proteus"/>
    <s v="Transocean"/>
    <s v="Annual LGI"/>
    <x v="1"/>
    <s v="Drilling"/>
    <s v="Won"/>
    <x v="0"/>
    <m/>
    <x v="6"/>
    <x v="1"/>
    <n v="1"/>
    <n v="11969"/>
    <n v="11969"/>
    <n v="0.19"/>
    <n v="2274.11"/>
    <m/>
  </r>
  <r>
    <s v="201914-04"/>
    <s v="Deepwater Invictus"/>
    <s v="Transocean"/>
    <s v="Annual RWNDT Q1"/>
    <x v="2"/>
    <s v="Drilling"/>
    <s v="Won"/>
    <x v="0"/>
    <m/>
    <x v="2"/>
    <x v="1"/>
    <n v="1"/>
    <n v="18810.5"/>
    <n v="18810.5"/>
    <n v="0.3"/>
    <n v="5643.15"/>
    <m/>
  </r>
  <r>
    <s v="201914-03"/>
    <s v="Deepwater Invictus"/>
    <s v="Transocean"/>
    <s v="Annual LGI"/>
    <x v="1"/>
    <s v="Drilling"/>
    <s v="Won"/>
    <x v="0"/>
    <m/>
    <x v="6"/>
    <x v="1"/>
    <n v="1"/>
    <n v="1969"/>
    <n v="1969"/>
    <n v="0.3"/>
    <n v="590.69999999999993"/>
    <m/>
  </r>
  <r>
    <s v="201911-11"/>
    <s v="Deepwater Proteus"/>
    <s v="Transocean"/>
    <s v="Ad-Hoc Phased array"/>
    <x v="2"/>
    <s v="Drilling"/>
    <s v="Won"/>
    <x v="0"/>
    <m/>
    <x v="2"/>
    <x v="1"/>
    <n v="1"/>
    <n v="10000"/>
    <n v="10000"/>
    <n v="0.3"/>
    <n v="3000"/>
    <m/>
  </r>
  <r>
    <s v="201914-02"/>
    <s v="Deepwater Invictus"/>
    <s v="Transocean"/>
    <s v="Annual DROPS"/>
    <x v="5"/>
    <s v="Drilling"/>
    <s v="Won"/>
    <x v="0"/>
    <m/>
    <x v="2"/>
    <x v="1"/>
    <n v="1"/>
    <n v="15939"/>
    <n v="15939"/>
    <n v="0.3"/>
    <n v="4781.7"/>
    <m/>
  </r>
  <r>
    <s v="201914-07"/>
    <s v="Deepwater Invictus"/>
    <s v="Transocean"/>
    <s v="Annual Elevators"/>
    <x v="1"/>
    <s v="Drilling"/>
    <s v="Won"/>
    <x v="0"/>
    <m/>
    <x v="2"/>
    <x v="1"/>
    <n v="1"/>
    <n v="13900"/>
    <n v="13900"/>
    <n v="0.3"/>
    <n v="4170"/>
    <m/>
  </r>
  <r>
    <s v="202014-11"/>
    <s v="Deepwater Invictus"/>
    <s v="Transocean"/>
    <s v="Resocketing of 76mm KB2 "/>
    <x v="2"/>
    <s v="Drilling"/>
    <s v="Won"/>
    <x v="0"/>
    <m/>
    <x v="2"/>
    <x v="1"/>
    <n v="1"/>
    <n v="20000"/>
    <n v="20000"/>
    <n v="0.3"/>
    <n v="6000"/>
    <m/>
  </r>
  <r>
    <s v="201909-03"/>
    <s v="Deepwater Pontus"/>
    <s v="Transocean"/>
    <s v="Annual LGI"/>
    <x v="1"/>
    <s v="Drilling"/>
    <s v="Won"/>
    <x v="0"/>
    <m/>
    <x v="6"/>
    <x v="1"/>
    <n v="1"/>
    <n v="31969"/>
    <n v="31969"/>
    <n v="0.3"/>
    <n v="9590.6999999999989"/>
    <m/>
  </r>
  <r>
    <s v="201903-02"/>
    <s v="Deepwater Asgard"/>
    <s v="Transocean"/>
    <s v="Annual DROPS"/>
    <x v="5"/>
    <s v="Drilling"/>
    <s v="Won"/>
    <x v="0"/>
    <m/>
    <x v="9"/>
    <x v="1"/>
    <n v="1"/>
    <n v="30939"/>
    <n v="30939"/>
    <n v="0.3"/>
    <n v="9281.6999999999989"/>
    <m/>
  </r>
  <r>
    <s v="201910-04"/>
    <s v="Deepwater Poseidon"/>
    <s v="Transocean"/>
    <s v="Annual RWNDT Q1"/>
    <x v="2"/>
    <s v="Drilling"/>
    <s v="Won"/>
    <x v="0"/>
    <m/>
    <x v="2"/>
    <x v="1"/>
    <n v="1"/>
    <n v="18810.5"/>
    <n v="18810.5"/>
    <n v="0.3"/>
    <n v="5643.15"/>
    <m/>
  </r>
  <r>
    <s v="202015-03"/>
    <s v="DD3"/>
    <s v="Transocean"/>
    <s v="Stand-By Miami"/>
    <x v="3"/>
    <s v="Drilling"/>
    <s v="Won"/>
    <x v="0"/>
    <m/>
    <x v="0"/>
    <x v="1"/>
    <n v="1"/>
    <n v="17000"/>
    <n v="17000"/>
    <n v="0.3"/>
    <n v="5100"/>
    <s v="Performed"/>
  </r>
  <r>
    <m/>
    <s v="West Vela"/>
    <s v="Seadrill"/>
    <s v="NDT"/>
    <x v="2"/>
    <s v="Drilling"/>
    <s v="Quoted"/>
    <x v="2"/>
    <m/>
    <x v="12"/>
    <x v="1"/>
    <n v="0.5"/>
    <n v="10000"/>
    <n v="5000"/>
    <n v="0.3"/>
    <n v="3000"/>
    <m/>
  </r>
  <r>
    <m/>
    <s v="West Vela"/>
    <s v="Seadrill"/>
    <s v="NDT"/>
    <x v="2"/>
    <s v="Drilling"/>
    <s v="Quoted"/>
    <x v="2"/>
    <m/>
    <x v="0"/>
    <x v="1"/>
    <n v="1"/>
    <n v="10000"/>
    <n v="10000"/>
    <n v="0.3"/>
    <n v="3000"/>
    <s v="Not Performed"/>
  </r>
  <r>
    <m/>
    <s v="West Neptune"/>
    <s v="Seadrill"/>
    <s v="NDT"/>
    <x v="2"/>
    <s v="Drilling"/>
    <s v="Quoted"/>
    <x v="2"/>
    <m/>
    <x v="0"/>
    <x v="1"/>
    <n v="1"/>
    <n v="7000"/>
    <n v="7000"/>
    <n v="0.3"/>
    <n v="2100"/>
    <s v="Not Performed"/>
  </r>
  <r>
    <m/>
    <s v="West Neptune"/>
    <s v="Seadrill"/>
    <s v="NDT"/>
    <x v="2"/>
    <s v="Drilling"/>
    <s v="Quoted"/>
    <x v="2"/>
    <m/>
    <x v="12"/>
    <x v="1"/>
    <n v="0.5"/>
    <n v="20000"/>
    <n v="10000"/>
    <n v="0.3"/>
    <n v="6000"/>
    <m/>
  </r>
  <r>
    <s v="201911-04"/>
    <s v="Deepwater Proteus"/>
    <s v="Transocean"/>
    <s v="Annual RWNDT Q3"/>
    <x v="2"/>
    <s v="Drilling"/>
    <s v="Won"/>
    <x v="0"/>
    <m/>
    <x v="4"/>
    <x v="1"/>
    <n v="1"/>
    <n v="8622"/>
    <n v="8622"/>
    <n v="0.3"/>
    <n v="2586.6"/>
    <m/>
  </r>
  <r>
    <s v="202003-11"/>
    <s v="Deepwater Asgard"/>
    <s v="Transocean"/>
    <s v="Ad-hoc - NDT inspection "/>
    <x v="2"/>
    <s v="Drilling"/>
    <s v="Won"/>
    <x v="0"/>
    <m/>
    <x v="8"/>
    <x v="1"/>
    <n v="1"/>
    <n v="4000"/>
    <n v="4000"/>
    <n v="0.3"/>
    <n v="1200"/>
    <m/>
  </r>
  <r>
    <m/>
    <s v="SS Victoria"/>
    <s v="Ventura"/>
    <s v="Trial"/>
    <x v="12"/>
    <s v="Drilling"/>
    <s v="Order backlog "/>
    <x v="0"/>
    <m/>
    <x v="4"/>
    <x v="1"/>
    <n v="1"/>
    <n v="9000"/>
    <n v="9000"/>
    <m/>
    <n v="0"/>
    <m/>
  </r>
  <r>
    <s v="201902-04"/>
    <s v="Deepwater Conqueror"/>
    <s v="Transocean"/>
    <s v="Annual RWNDT Q1"/>
    <x v="2"/>
    <s v="Drilling"/>
    <s v="Won"/>
    <x v="0"/>
    <m/>
    <x v="6"/>
    <x v="1"/>
    <n v="1"/>
    <n v="6810"/>
    <n v="6810"/>
    <n v="0.3"/>
    <n v="2043"/>
    <m/>
  </r>
  <r>
    <s v="201911-04"/>
    <s v="Deepwater Proteus"/>
    <s v="Transocean"/>
    <s v="Annual RWNDT Q1"/>
    <x v="2"/>
    <s v="Drilling"/>
    <s v="Won"/>
    <x v="0"/>
    <m/>
    <x v="6"/>
    <x v="1"/>
    <n v="1"/>
    <n v="18810.5"/>
    <n v="18810.5"/>
    <n v="0.3"/>
    <n v="5643.15"/>
    <m/>
  </r>
  <r>
    <s v="201903-03"/>
    <s v="Deepwater Asgard"/>
    <s v="Transocean"/>
    <s v="Annual LGI"/>
    <x v="1"/>
    <s v="Drilling"/>
    <s v="Won"/>
    <x v="0"/>
    <m/>
    <x v="9"/>
    <x v="1"/>
    <n v="1"/>
    <n v="30000"/>
    <n v="30000"/>
    <n v="0.3"/>
    <n v="9000"/>
    <m/>
  </r>
  <r>
    <s v="201912-04"/>
    <s v="Deepwater Thalassa"/>
    <s v="Transocean"/>
    <s v="Annual RWNDT Q1"/>
    <x v="2"/>
    <s v="Drilling"/>
    <s v="Won"/>
    <x v="0"/>
    <m/>
    <x v="6"/>
    <x v="1"/>
    <n v="1"/>
    <n v="18810.5"/>
    <n v="18810.5"/>
    <n v="0.3"/>
    <n v="5643.15"/>
    <m/>
  </r>
  <r>
    <m/>
    <s v="Out of the blue"/>
    <m/>
    <m/>
    <x v="3"/>
    <m/>
    <m/>
    <x v="1"/>
    <m/>
    <x v="6"/>
    <x v="1"/>
    <n v="1"/>
    <n v="150000"/>
    <n v="150000"/>
    <n v="0.3"/>
    <n v="45000"/>
    <m/>
  </r>
  <r>
    <m/>
    <s v="Stena"/>
    <s v="Exxon"/>
    <s v="DROPS Sweep"/>
    <x v="5"/>
    <s v="Energy"/>
    <s v="Won"/>
    <x v="0"/>
    <m/>
    <x v="11"/>
    <x v="0"/>
    <n v="1"/>
    <n v="50000"/>
    <n v="50000"/>
    <n v="0.3"/>
    <n v="15000"/>
    <m/>
  </r>
  <r>
    <m/>
    <s v="West Intrepid"/>
    <s v="Transocean"/>
    <s v="Seadrill - West Intrepid - Annual DROPS and 4G Cat III Inspection Survey"/>
    <x v="11"/>
    <s v="Drilling"/>
    <m/>
    <x v="2"/>
    <s v="Q-HO-16051"/>
    <x v="10"/>
    <x v="0"/>
    <n v="0.15"/>
    <n v="29131"/>
    <n v="4369.6499999999996"/>
    <n v="0.3"/>
    <n v="8739.2999999999993"/>
    <m/>
  </r>
  <r>
    <m/>
    <s v="West Intrepid"/>
    <s v="Transocean"/>
    <s v="Seadrill - West Intrepid - Man-Rider Inspection"/>
    <x v="11"/>
    <s v="Drilling"/>
    <m/>
    <x v="2"/>
    <s v="Q-HO-16052"/>
    <x v="10"/>
    <x v="0"/>
    <n v="0.15"/>
    <n v="3067"/>
    <n v="460.05"/>
    <n v="0.3"/>
    <n v="920.1"/>
    <m/>
  </r>
  <r>
    <m/>
    <s v="Out of the blue"/>
    <m/>
    <m/>
    <x v="3"/>
    <m/>
    <m/>
    <x v="1"/>
    <m/>
    <x v="11"/>
    <x v="0"/>
    <n v="1"/>
    <n v="100000"/>
    <n v="100000"/>
    <n v="0.3"/>
    <n v="30000"/>
    <m/>
  </r>
  <r>
    <m/>
    <s v="Peregrino C"/>
    <s v="Equinor"/>
    <s v="Flaretip replacement"/>
    <x v="13"/>
    <s v="Energy"/>
    <s v="Won"/>
    <x v="0"/>
    <m/>
    <x v="11"/>
    <x v="0"/>
    <n v="1"/>
    <n v="10000"/>
    <n v="10000"/>
    <n v="0.3"/>
    <n v="3000"/>
    <m/>
  </r>
  <r>
    <s v="202003-04"/>
    <s v="Deepwater Asgard"/>
    <s v="Transocean"/>
    <s v="NDT - Fixed price - Q3"/>
    <x v="2"/>
    <s v="Drilling"/>
    <s v="Won"/>
    <x v="0"/>
    <m/>
    <x v="8"/>
    <x v="1"/>
    <n v="1"/>
    <n v="5040"/>
    <n v="5040"/>
    <n v="0.3"/>
    <n v="1512"/>
    <m/>
  </r>
  <r>
    <m/>
    <s v="Deepwater Proteus"/>
    <s v="Transocean"/>
    <s v="E-Mag inspection"/>
    <x v="2"/>
    <s v="Drilling"/>
    <s v="Won"/>
    <x v="0"/>
    <m/>
    <x v="0"/>
    <x v="1"/>
    <n v="1"/>
    <n v="15000"/>
    <n v="15000"/>
    <n v="0.3"/>
    <n v="4500"/>
    <s v="Performed"/>
  </r>
  <r>
    <s v="201905-04"/>
    <s v="Discoverer Inspiration"/>
    <s v="Transocean"/>
    <s v="Annual RWNDT Q1"/>
    <x v="2"/>
    <s v="Drilling"/>
    <s v="Won"/>
    <x v="0"/>
    <m/>
    <x v="6"/>
    <x v="1"/>
    <n v="1"/>
    <n v="18810.5"/>
    <n v="18810.5"/>
    <n v="0.3"/>
    <n v="5643.15"/>
    <m/>
  </r>
  <r>
    <s v="202015-04"/>
    <s v="DD3"/>
    <s v="Transocean"/>
    <s v="RWNDT 3rd Q"/>
    <x v="1"/>
    <s v="Drilling"/>
    <s v="Won"/>
    <x v="0"/>
    <m/>
    <x v="4"/>
    <x v="1"/>
    <n v="1"/>
    <n v="12000"/>
    <n v="12000"/>
    <n v="0.3"/>
    <n v="3600"/>
    <m/>
  </r>
  <r>
    <s v="202015-04"/>
    <s v="DD3"/>
    <s v="Transocean"/>
    <s v="RWNDT 4th Q"/>
    <x v="1"/>
    <s v="Drilling"/>
    <s v="Won"/>
    <x v="0"/>
    <m/>
    <x v="10"/>
    <x v="1"/>
    <n v="1"/>
    <n v="12000"/>
    <n v="13000"/>
    <n v="0.3"/>
    <n v="3600"/>
    <m/>
  </r>
  <r>
    <s v="202009-01"/>
    <s v="Deepwater Pontus"/>
    <s v="Transocean"/>
    <s v="CCE"/>
    <x v="4"/>
    <s v="Drilling"/>
    <s v="Won"/>
    <x v="0"/>
    <m/>
    <x v="6"/>
    <x v="1"/>
    <n v="1"/>
    <n v="15000"/>
    <n v="15000"/>
    <n v="0.3"/>
    <n v="4500"/>
    <m/>
  </r>
  <r>
    <m/>
    <s v="Deepwater Pontus "/>
    <s v="Transocean "/>
    <s v="CCE - Fixed price"/>
    <x v="4"/>
    <s v="Drilling"/>
    <s v="Order backlog "/>
    <x v="0"/>
    <m/>
    <x v="6"/>
    <x v="1"/>
    <n v="1"/>
    <n v="58784.22"/>
    <n v="58784.22"/>
    <n v="0.3"/>
    <n v="17635.266"/>
    <m/>
  </r>
  <r>
    <m/>
    <s v="Deepwater Proteus"/>
    <s v="Transocean "/>
    <s v="CCE - Fixed price"/>
    <x v="4"/>
    <s v="Drilling"/>
    <s v="Won"/>
    <x v="0"/>
    <m/>
    <x v="3"/>
    <x v="1"/>
    <n v="1"/>
    <n v="59378"/>
    <n v="59378"/>
    <n v="0.3"/>
    <n v="17813.399999999998"/>
    <m/>
  </r>
  <r>
    <s v="202009-02"/>
    <s v="Deepwater Pontus"/>
    <s v="Transocean"/>
    <s v="DROPS"/>
    <x v="5"/>
    <s v="Drilling"/>
    <s v="Won"/>
    <x v="0"/>
    <m/>
    <x v="6"/>
    <x v="1"/>
    <n v="1"/>
    <n v="30000"/>
    <n v="30000"/>
    <n v="0.3"/>
    <n v="9000"/>
    <m/>
  </r>
  <r>
    <m/>
    <s v="Deepwater Asgard"/>
    <s v="Transocean "/>
    <s v="Ad-hoc"/>
    <x v="14"/>
    <s v="Drilling"/>
    <s v="Pipeline"/>
    <x v="3"/>
    <m/>
    <x v="6"/>
    <x v="1"/>
    <n v="1"/>
    <n v="13761"/>
    <n v="13761"/>
    <n v="0.3"/>
    <n v="4128.3"/>
    <m/>
  </r>
  <r>
    <m/>
    <s v="Deepwater Invictus"/>
    <s v="Transocean "/>
    <s v="EX - Fixed price"/>
    <x v="9"/>
    <s v="Drilling"/>
    <s v="Won"/>
    <x v="0"/>
    <m/>
    <x v="2"/>
    <x v="1"/>
    <n v="1"/>
    <n v="10620"/>
    <n v="10620"/>
    <m/>
    <n v="0"/>
    <m/>
  </r>
  <r>
    <m/>
    <s v="Deepwater Pontus "/>
    <s v="Transocean "/>
    <s v="Ad-hoc"/>
    <x v="2"/>
    <s v="Drilling"/>
    <s v="Pipeline"/>
    <x v="3"/>
    <m/>
    <x v="3"/>
    <x v="1"/>
    <n v="1"/>
    <n v="10000"/>
    <n v="10000"/>
    <n v="0.3"/>
    <n v="3000"/>
    <m/>
  </r>
  <r>
    <s v="201903-04"/>
    <s v="Deepwater Asgard"/>
    <s v="Transocean"/>
    <s v="Annual RWNDT Q1"/>
    <x v="2"/>
    <s v="Drilling"/>
    <s v="Won"/>
    <x v="0"/>
    <m/>
    <x v="9"/>
    <x v="1"/>
    <n v="1"/>
    <n v="18810.5"/>
    <n v="18810.5"/>
    <n v="0.3"/>
    <n v="5643.15"/>
    <m/>
  </r>
  <r>
    <m/>
    <s v="Deepwater Asgard"/>
    <s v="Transocean "/>
    <s v="NDT - Fixed price - Q2"/>
    <x v="2"/>
    <s v="Drilling"/>
    <s v="Won"/>
    <x v="0"/>
    <m/>
    <x v="1"/>
    <x v="1"/>
    <n v="1"/>
    <n v="4000"/>
    <n v="4000"/>
    <n v="0.3"/>
    <n v="1200"/>
    <m/>
  </r>
  <r>
    <m/>
    <s v="Deepwater Proteus"/>
    <s v="Transocean "/>
    <s v="NDT - Fixed price - Q2"/>
    <x v="2"/>
    <s v="Drilling"/>
    <s v="Won"/>
    <x v="0"/>
    <m/>
    <x v="0"/>
    <x v="1"/>
    <n v="1"/>
    <n v="5000"/>
    <n v="5000"/>
    <n v="0.3"/>
    <n v="1500"/>
    <s v="Performed"/>
  </r>
  <r>
    <m/>
    <s v="Deepwater Pontus "/>
    <s v="Transocean "/>
    <s v="NDT - Fixed price - Q2"/>
    <x v="2"/>
    <s v="Drilling"/>
    <s v="Won"/>
    <x v="0"/>
    <m/>
    <x v="3"/>
    <x v="1"/>
    <n v="1"/>
    <n v="18622.271250000002"/>
    <n v="18622.271250000002"/>
    <n v="0.3"/>
    <n v="5586.6813750000001"/>
    <m/>
  </r>
  <r>
    <m/>
    <s v="Deepwater Poseidon"/>
    <s v="Transocean "/>
    <s v="Ad-Hoc"/>
    <x v="2"/>
    <s v="Drilling"/>
    <s v="Won"/>
    <x v="0"/>
    <m/>
    <x v="3"/>
    <x v="1"/>
    <n v="1"/>
    <n v="8000"/>
    <n v="8000"/>
    <n v="0.3"/>
    <n v="2400"/>
    <m/>
  </r>
  <r>
    <m/>
    <s v="Deepwater Poseidon"/>
    <s v="Transocean "/>
    <s v="NDT - Fixed price - Q2"/>
    <x v="2"/>
    <s v="Drilling"/>
    <s v="Won"/>
    <x v="0"/>
    <m/>
    <x v="3"/>
    <x v="1"/>
    <n v="1"/>
    <n v="4622.2712499999998"/>
    <n v="4622.2712499999998"/>
    <n v="0.3"/>
    <n v="1386.6813749999999"/>
    <m/>
  </r>
  <r>
    <m/>
    <s v="Deepwater Poseidon"/>
    <s v="Transocean "/>
    <s v="NDT - Fixed price - Q2"/>
    <x v="2"/>
    <s v="Drilling"/>
    <s v="Won"/>
    <x v="0"/>
    <m/>
    <x v="3"/>
    <x v="1"/>
    <n v="1"/>
    <n v="14000"/>
    <n v="14000"/>
    <n v="0.3"/>
    <n v="4200"/>
    <m/>
  </r>
  <r>
    <m/>
    <s v="Q5000"/>
    <s v="Helix"/>
    <s v="2020 shipyard"/>
    <x v="3"/>
    <s v="Drilling"/>
    <s v="Won"/>
    <x v="0"/>
    <m/>
    <x v="6"/>
    <x v="1"/>
    <n v="1"/>
    <n v="25000"/>
    <n v="25000"/>
    <m/>
    <n v="0"/>
    <m/>
  </r>
  <r>
    <m/>
    <s v="Q5000"/>
    <s v="Helix"/>
    <s v="2020 shipyard"/>
    <x v="3"/>
    <s v="Drilling"/>
    <s v="Won"/>
    <x v="0"/>
    <m/>
    <x v="3"/>
    <x v="1"/>
    <n v="1"/>
    <n v="55000"/>
    <n v="55000"/>
    <n v="0.3"/>
    <n v="16500"/>
    <m/>
  </r>
  <r>
    <m/>
    <s v="Deepwater Conqueror"/>
    <s v="Transocean "/>
    <s v="NDT - Fixed price - Q2"/>
    <x v="2"/>
    <s v="Drilling"/>
    <s v="Won"/>
    <x v="0"/>
    <m/>
    <x v="0"/>
    <x v="1"/>
    <n v="1"/>
    <n v="10000"/>
    <n v="10000"/>
    <m/>
    <n v="0"/>
    <s v="Performed"/>
  </r>
  <r>
    <m/>
    <s v="Deepwater Proteus"/>
    <s v="Transocean "/>
    <s v="NDT - Fixed price - Q2"/>
    <x v="2"/>
    <s v="Drilling"/>
    <s v="Won"/>
    <x v="0"/>
    <m/>
    <x v="3"/>
    <x v="1"/>
    <n v="1"/>
    <n v="13622.27125"/>
    <n v="13622.27125"/>
    <n v="0.3"/>
    <n v="4086.6813749999997"/>
    <m/>
  </r>
  <r>
    <m/>
    <s v="Deepwater Invictus"/>
    <s v="Transocean "/>
    <s v="NDT - Fixed price - Q2"/>
    <x v="2"/>
    <s v="Drilling"/>
    <s v="Won"/>
    <x v="0"/>
    <m/>
    <x v="0"/>
    <x v="1"/>
    <n v="1"/>
    <n v="4622"/>
    <n v="4622"/>
    <m/>
    <n v="0"/>
    <s v="Performed"/>
  </r>
  <r>
    <m/>
    <s v="Deepwater Poseidon"/>
    <s v="Transocean "/>
    <s v="HP/LP - Fixed price"/>
    <x v="7"/>
    <s v="Drilling"/>
    <s v="Order backlog "/>
    <x v="0"/>
    <m/>
    <x v="4"/>
    <x v="1"/>
    <n v="1"/>
    <n v="15000"/>
    <n v="15000"/>
    <m/>
    <n v="0"/>
    <m/>
  </r>
  <r>
    <m/>
    <s v="Virginia Wind Clable Pulling"/>
    <s v="Subsea 7"/>
    <s v="Cable Pulling"/>
    <x v="12"/>
    <s v="Energy"/>
    <s v="Won"/>
    <x v="0"/>
    <m/>
    <x v="5"/>
    <x v="1"/>
    <n v="1"/>
    <n v="7500"/>
    <n v="7500"/>
    <m/>
    <n v="0"/>
    <m/>
  </r>
  <r>
    <m/>
    <s v="Virginia Wind Clable Pulling"/>
    <s v="Subsea 7"/>
    <s v="Cable Pulling"/>
    <x v="12"/>
    <s v="Energy"/>
    <s v="Won"/>
    <x v="0"/>
    <m/>
    <x v="0"/>
    <x v="1"/>
    <n v="1"/>
    <n v="50000"/>
    <n v="50000"/>
    <m/>
    <n v="0"/>
    <s v="Performed"/>
  </r>
  <r>
    <m/>
    <s v="Out of the blue"/>
    <m/>
    <m/>
    <x v="3"/>
    <s v="Drilling"/>
    <s v="Out of the blue "/>
    <x v="1"/>
    <m/>
    <x v="3"/>
    <x v="1"/>
    <n v="1"/>
    <n v="70000"/>
    <n v="70000"/>
    <n v="0.3"/>
    <n v="21000"/>
    <m/>
  </r>
  <r>
    <m/>
    <s v="Deepwater Thalassa"/>
    <s v="Transocean "/>
    <s v="DROPS - Fixed price"/>
    <x v="5"/>
    <s v="Drilling"/>
    <s v="Won"/>
    <x v="0"/>
    <m/>
    <x v="5"/>
    <x v="1"/>
    <n v="1"/>
    <n v="30939"/>
    <n v="30939"/>
    <m/>
    <n v="0"/>
    <m/>
  </r>
  <r>
    <m/>
    <s v="Deepwater Thalassa"/>
    <s v="Transocean "/>
    <s v="DROPS - Fixed price"/>
    <x v="5"/>
    <s v="Drilling"/>
    <s v="Won"/>
    <x v="0"/>
    <m/>
    <x v="0"/>
    <x v="1"/>
    <n v="1"/>
    <n v="30939"/>
    <n v="30939"/>
    <m/>
    <n v="0"/>
    <s v="Not Performed"/>
  </r>
  <r>
    <m/>
    <s v="Deepwater Invictus"/>
    <s v="Transocean "/>
    <s v="NDT - Fixed price - Q2"/>
    <x v="2"/>
    <s v="Drilling"/>
    <s v="Won"/>
    <x v="0"/>
    <m/>
    <x v="1"/>
    <x v="1"/>
    <n v="1"/>
    <n v="14000"/>
    <n v="14000"/>
    <m/>
    <n v="0"/>
    <m/>
  </r>
  <r>
    <s v="202002-02"/>
    <s v="Deepwater Conqueror"/>
    <s v="Transocean "/>
    <s v="DROPS - Fixed price"/>
    <x v="5"/>
    <s v="Drilling"/>
    <s v="Order backlog "/>
    <x v="0"/>
    <m/>
    <x v="8"/>
    <x v="1"/>
    <n v="1"/>
    <n v="30939"/>
    <n v="30939"/>
    <n v="0.3"/>
    <n v="9281.6999999999989"/>
    <m/>
  </r>
  <r>
    <s v="202003-03"/>
    <s v="Deepwater Conqueror"/>
    <s v="Transocean "/>
    <s v="LLG - Fixed price"/>
    <x v="1"/>
    <s v="Drilling"/>
    <s v="Order backlog "/>
    <x v="0"/>
    <m/>
    <x v="8"/>
    <x v="1"/>
    <n v="1"/>
    <n v="10969"/>
    <n v="10969"/>
    <n v="0.3"/>
    <n v="3290.7"/>
    <m/>
  </r>
  <r>
    <s v="202003-04"/>
    <s v="Deepwater Asgard"/>
    <s v="Transocean"/>
    <s v="NDT - Fixed price - Q3"/>
    <x v="2"/>
    <s v="Drilling"/>
    <s v="Won"/>
    <x v="0"/>
    <m/>
    <x v="5"/>
    <x v="1"/>
    <n v="1"/>
    <n v="7448.8"/>
    <n v="7448.8"/>
    <n v="0.3"/>
    <n v="2234.64"/>
    <m/>
  </r>
  <r>
    <m/>
    <s v="Virginia Wind Clable Pulling"/>
    <s v="Subsea 7"/>
    <s v="Cable Pulling"/>
    <x v="12"/>
    <s v="Energy"/>
    <s v="Won"/>
    <x v="0"/>
    <m/>
    <x v="4"/>
    <x v="1"/>
    <n v="1"/>
    <n v="15000"/>
    <n v="15000"/>
    <m/>
    <n v="0"/>
    <m/>
  </r>
  <r>
    <m/>
    <s v="Discoverer Inspiration"/>
    <s v="Transocean "/>
    <s v="NDT - Fixed price - Q2"/>
    <x v="2"/>
    <s v="Drilling"/>
    <s v="Order backlog "/>
    <x v="0"/>
    <m/>
    <x v="6"/>
    <x v="1"/>
    <n v="1"/>
    <n v="5000"/>
    <n v="5000"/>
    <n v="0.3"/>
    <n v="1500"/>
    <m/>
  </r>
  <r>
    <m/>
    <s v="Deepwater Asgard"/>
    <s v="Transocean "/>
    <s v="Cilynder - Hydraulic cath pan"/>
    <x v="4"/>
    <s v="Drilling"/>
    <s v="Won"/>
    <x v="0"/>
    <m/>
    <x v="1"/>
    <x v="1"/>
    <n v="1"/>
    <n v="5000"/>
    <n v="5000"/>
    <n v="0.3"/>
    <n v="1500"/>
    <m/>
  </r>
  <r>
    <m/>
    <s v="Discoverer Inspiration"/>
    <s v="Transocean "/>
    <s v="NDT - Fixed price - Q2"/>
    <x v="2"/>
    <s v="Drilling"/>
    <s v="Won"/>
    <x v="0"/>
    <m/>
    <x v="1"/>
    <x v="1"/>
    <n v="1"/>
    <n v="2622.2712499999998"/>
    <n v="2622.2712499999998"/>
    <n v="0.3"/>
    <n v="786.68137499999989"/>
    <m/>
  </r>
  <r>
    <m/>
    <s v="Discoverer Inspiration"/>
    <s v="Transocean "/>
    <s v="NDT - Fixed price - Q2"/>
    <x v="2"/>
    <s v="Drilling"/>
    <s v="Won"/>
    <x v="0"/>
    <m/>
    <x v="1"/>
    <x v="1"/>
    <n v="1"/>
    <n v="16000"/>
    <n v="16000"/>
    <n v="0.3"/>
    <n v="4800"/>
    <m/>
  </r>
  <r>
    <m/>
    <s v="Deepwater Thalassa"/>
    <s v="Transocean"/>
    <s v="DTH AD-HOC Removal of  ventilation diffuser screens"/>
    <x v="3"/>
    <s v="Drilling"/>
    <s v="Quote"/>
    <x v="2"/>
    <s v="Q-HO-17194"/>
    <x v="6"/>
    <x v="1"/>
    <n v="0.1"/>
    <n v="49134"/>
    <n v="4913.4000000000005"/>
    <n v="0.3"/>
    <n v="14740.199999999999"/>
    <m/>
  </r>
  <r>
    <m/>
    <s v="Deepwater Poseidon"/>
    <s v="Transocean"/>
    <s v="DTH AD-HOC Removal of  ventilation diffuser removal"/>
    <x v="3"/>
    <s v="Drilling"/>
    <s v="Quote"/>
    <x v="2"/>
    <s v="Q-HO-17191"/>
    <x v="6"/>
    <x v="1"/>
    <n v="0.25"/>
    <n v="32000"/>
    <n v="8000"/>
    <n v="0.3"/>
    <n v="9600"/>
    <m/>
  </r>
  <r>
    <m/>
    <s v="Ensco 102"/>
    <s v="Valaris"/>
    <s v="Valaris 102 - Crane Condition Evaluation"/>
    <x v="4"/>
    <s v="Drilling"/>
    <s v="Quote"/>
    <x v="2"/>
    <s v="Q-HO-17084"/>
    <x v="6"/>
    <x v="1"/>
    <n v="0.25"/>
    <n v="15000"/>
    <n v="3750"/>
    <n v="0.3"/>
    <n v="4500"/>
    <m/>
  </r>
  <r>
    <m/>
    <s v="Ensco 102"/>
    <s v="Valaris"/>
    <s v="Valaris 102 - Crane cable inspection and pressure lubrication"/>
    <x v="4"/>
    <s v="Drilling"/>
    <s v="Quote"/>
    <x v="2"/>
    <s v="Q-HO-17083"/>
    <x v="6"/>
    <x v="1"/>
    <n v="0.25"/>
    <n v="45000"/>
    <n v="11250"/>
    <n v="0.3"/>
    <n v="13500"/>
    <m/>
  </r>
  <r>
    <s v="202009-04"/>
    <s v="Deepwater Pontus"/>
    <s v="Transocean"/>
    <s v="RWNDT Q3"/>
    <x v="2"/>
    <s v="Drilling"/>
    <s v="Won"/>
    <x v="0"/>
    <m/>
    <x v="4"/>
    <x v="1"/>
    <n v="1"/>
    <n v="18622"/>
    <n v="18622"/>
    <n v="0.3"/>
    <n v="8344.7999999999993"/>
    <m/>
  </r>
  <r>
    <m/>
    <s v="West Capricorn"/>
    <s v="Seadrill"/>
    <s v="Deadweight survey"/>
    <x v="15"/>
    <s v="Drilling"/>
    <s v="Order backlog "/>
    <x v="0"/>
    <m/>
    <x v="1"/>
    <x v="1"/>
    <n v="1"/>
    <n v="35000"/>
    <n v="35000"/>
    <n v="0.3"/>
    <n v="10500"/>
    <m/>
  </r>
  <r>
    <m/>
    <s v="Ventura"/>
    <s v="Ventura"/>
    <s v="Sea trial"/>
    <x v="15"/>
    <s v="Drilling"/>
    <s v="Order backlog "/>
    <x v="0"/>
    <m/>
    <x v="1"/>
    <x v="1"/>
    <n v="1"/>
    <n v="40000"/>
    <n v="40000"/>
    <n v="0.3"/>
    <n v="12000"/>
    <m/>
  </r>
  <r>
    <m/>
    <s v="DD3"/>
    <s v="Transocean "/>
    <s v="Elevator - Fixed price"/>
    <x v="2"/>
    <s v="Drilling"/>
    <s v="Won"/>
    <x v="0"/>
    <m/>
    <x v="11"/>
    <x v="1"/>
    <n v="1"/>
    <n v="10000"/>
    <n v="19000"/>
    <m/>
    <m/>
    <m/>
  </r>
  <r>
    <m/>
    <s v="DD3"/>
    <s v="Transocean "/>
    <s v="Lifting Gear"/>
    <x v="2"/>
    <s v="Drilling"/>
    <s v="Won"/>
    <x v="0"/>
    <m/>
    <x v="11"/>
    <x v="1"/>
    <n v="1"/>
    <n v="8000"/>
    <n v="10000"/>
    <m/>
    <m/>
    <m/>
  </r>
  <r>
    <m/>
    <s v="DD3"/>
    <s v="Transocean "/>
    <s v="Lifting Gear"/>
    <x v="2"/>
    <s v="Drilling"/>
    <s v="Won"/>
    <x v="0"/>
    <m/>
    <x v="10"/>
    <x v="1"/>
    <n v="1"/>
    <n v="12000"/>
    <n v="8000"/>
    <m/>
    <m/>
    <m/>
  </r>
  <r>
    <m/>
    <s v="DD3"/>
    <s v="Transocean "/>
    <s v="Piping"/>
    <x v="2"/>
    <s v="Drilling"/>
    <s v="Won"/>
    <x v="0"/>
    <m/>
    <x v="11"/>
    <x v="1"/>
    <n v="1"/>
    <n v="19000"/>
    <n v="12000"/>
    <n v="5700"/>
    <m/>
    <m/>
  </r>
  <r>
    <m/>
    <s v="DD3"/>
    <s v="Transocean "/>
    <s v="Piping"/>
    <x v="2"/>
    <s v="Drilling"/>
    <s v="Won"/>
    <x v="0"/>
    <m/>
    <x v="4"/>
    <x v="1"/>
    <n v="1"/>
    <n v="19000"/>
    <n v="19000"/>
    <n v="0.3"/>
    <n v="5700"/>
    <m/>
  </r>
  <r>
    <s v="202009-04"/>
    <s v="Deepwater Pontus"/>
    <s v="Transocean"/>
    <s v="RWNDT Q1"/>
    <x v="2"/>
    <s v="Drilling"/>
    <s v="Won"/>
    <x v="0"/>
    <m/>
    <x v="6"/>
    <x v="1"/>
    <n v="1"/>
    <n v="18000"/>
    <n v="18000"/>
    <n v="0.3"/>
    <n v="8344.7999999999993"/>
    <m/>
  </r>
  <r>
    <s v="202015-02"/>
    <s v="DD3 - DROPS"/>
    <s v="Transocean"/>
    <s v="Annual DROPS"/>
    <x v="5"/>
    <s v="Drilling"/>
    <s v="Won"/>
    <x v="0"/>
    <m/>
    <x v="4"/>
    <x v="1"/>
    <n v="1"/>
    <n v="20000"/>
    <n v="20000"/>
    <n v="0.3"/>
    <n v="6000"/>
    <m/>
  </r>
  <r>
    <m/>
    <s v="West Capricorn"/>
    <s v="Seadrill"/>
    <s v="Mooring Trials"/>
    <x v="15"/>
    <s v="Drilling"/>
    <s v="Pipeline"/>
    <x v="3"/>
    <m/>
    <x v="4"/>
    <x v="1"/>
    <n v="1"/>
    <n v="25000"/>
    <n v="25000"/>
    <n v="0.3"/>
    <n v="7500"/>
    <m/>
  </r>
  <r>
    <m/>
    <s v="Out of the blue"/>
    <m/>
    <m/>
    <x v="3"/>
    <s v="Drilling"/>
    <s v="Out of the blue "/>
    <x v="1"/>
    <m/>
    <x v="1"/>
    <x v="1"/>
    <n v="1"/>
    <n v="50000"/>
    <n v="50000"/>
    <m/>
    <n v="0"/>
    <m/>
  </r>
  <r>
    <m/>
    <s v="Deepwater Conqueror"/>
    <s v="Transocean "/>
    <s v="KBC - SPS NDT"/>
    <x v="2"/>
    <s v="Drilling"/>
    <s v="Quoted"/>
    <x v="2"/>
    <s v="Q-HO-16944"/>
    <x v="4"/>
    <x v="1"/>
    <n v="0.25"/>
    <n v="117671"/>
    <n v="29417.75"/>
    <m/>
    <n v="0"/>
    <m/>
  </r>
  <r>
    <s v="202009-04"/>
    <s v="Deepwater Pontus"/>
    <s v="Transocean"/>
    <s v="Annual RWNDT Q3"/>
    <x v="2"/>
    <s v="Drilling"/>
    <s v="Order backlog "/>
    <x v="0"/>
    <m/>
    <x v="8"/>
    <x v="1"/>
    <n v="1"/>
    <n v="6622"/>
    <n v="6622"/>
    <n v="0.3"/>
    <n v="1986.6"/>
    <m/>
  </r>
  <r>
    <m/>
    <s v="Artemis Odyssey"/>
    <s v="BHP"/>
    <s v="OVID"/>
    <x v="12"/>
    <s v="Energy"/>
    <s v="Quoted"/>
    <x v="2"/>
    <m/>
    <x v="8"/>
    <x v="1"/>
    <n v="0.5"/>
    <n v="8000"/>
    <n v="4000"/>
    <n v="0.3"/>
    <n v="2400"/>
    <m/>
  </r>
  <r>
    <m/>
    <s v="Out of the blue"/>
    <m/>
    <s v="Out of the blue"/>
    <x v="3"/>
    <s v="Drilling"/>
    <s v="Out of the blue "/>
    <x v="1"/>
    <m/>
    <x v="0"/>
    <x v="1"/>
    <n v="1"/>
    <n v="100000"/>
    <n v="100000"/>
    <m/>
    <n v="0"/>
    <s v="Performed"/>
  </r>
  <r>
    <m/>
    <s v="Deepwater Conqueror"/>
    <s v="Transocean "/>
    <s v="BOP - Ram block inspection"/>
    <x v="2"/>
    <s v="Drilling"/>
    <s v="Pipeline"/>
    <x v="3"/>
    <m/>
    <x v="0"/>
    <x v="1"/>
    <n v="1"/>
    <n v="10000"/>
    <n v="10000"/>
    <m/>
    <n v="0"/>
    <s v="Performed"/>
  </r>
  <r>
    <m/>
    <s v="Deepwater Conqueror"/>
    <s v="Transocean "/>
    <s v="LLG - Fixed price"/>
    <x v="1"/>
    <s v="Drilling"/>
    <s v="Order backlog "/>
    <x v="0"/>
    <m/>
    <x v="4"/>
    <x v="1"/>
    <n v="1"/>
    <n v="21000"/>
    <n v="21000"/>
    <m/>
    <m/>
    <m/>
  </r>
  <r>
    <m/>
    <s v="Discoverer Inspiration"/>
    <s v="Transocean "/>
    <s v="NDT - Fixed price - Q3"/>
    <x v="2"/>
    <s v="Drilling"/>
    <s v="Order backlog "/>
    <x v="0"/>
    <m/>
    <x v="8"/>
    <x v="1"/>
    <n v="1"/>
    <n v="10080"/>
    <n v="10080"/>
    <n v="0.3"/>
    <n v="3024"/>
    <m/>
  </r>
  <r>
    <m/>
    <s v="Carolina"/>
    <s v="Ventura"/>
    <s v="Sea trial"/>
    <x v="15"/>
    <s v="Drilling"/>
    <s v="Pipeline"/>
    <x v="3"/>
    <m/>
    <x v="5"/>
    <x v="1"/>
    <n v="1"/>
    <n v="12000"/>
    <n v="12000"/>
    <m/>
    <n v="0"/>
    <m/>
  </r>
  <r>
    <m/>
    <s v="Carolina"/>
    <s v="Ventura"/>
    <s v="Sea trial"/>
    <x v="15"/>
    <s v="Drilling"/>
    <s v="Pipeline"/>
    <x v="3"/>
    <m/>
    <x v="0"/>
    <x v="1"/>
    <n v="1"/>
    <n v="50000"/>
    <n v="50000"/>
    <m/>
    <n v="0"/>
    <s v="Not Performed"/>
  </r>
  <r>
    <m/>
    <s v="Out of the blue"/>
    <m/>
    <m/>
    <x v="3"/>
    <s v="Drilling"/>
    <s v="Out of the blue "/>
    <x v="1"/>
    <m/>
    <x v="4"/>
    <x v="1"/>
    <n v="1"/>
    <n v="100000"/>
    <n v="100000"/>
    <m/>
    <n v="0"/>
    <m/>
  </r>
  <r>
    <s v="202011-04"/>
    <s v="Deepwater Proteus"/>
    <s v="Transocean "/>
    <s v="NDT - Fixed price - Q3"/>
    <x v="2"/>
    <s v="Drilling"/>
    <s v="Order backlog "/>
    <x v="0"/>
    <m/>
    <x v="8"/>
    <x v="1"/>
    <n v="1"/>
    <n v="3622"/>
    <n v="3622"/>
    <n v="0.3"/>
    <n v="1086.5999999999999"/>
    <m/>
  </r>
  <r>
    <s v="201911-04"/>
    <s v="Deepwater Proteus"/>
    <s v="Transocean"/>
    <s v="Annual RWNDT Q3"/>
    <x v="2"/>
    <s v="Drilling"/>
    <s v="Won"/>
    <x v="0"/>
    <m/>
    <x v="5"/>
    <x v="1"/>
    <n v="1"/>
    <n v="10000"/>
    <n v="10000"/>
    <n v="0.3"/>
    <n v="3000"/>
    <m/>
  </r>
  <r>
    <m/>
    <s v="Discoverer Inspiration"/>
    <s v="Transocean "/>
    <s v="Ad-hoc"/>
    <x v="2"/>
    <s v="Drilling"/>
    <s v="Won"/>
    <x v="0"/>
    <m/>
    <x v="3"/>
    <x v="1"/>
    <n v="1"/>
    <n v="6000"/>
    <n v="6000"/>
    <n v="0.3"/>
    <n v="1800"/>
    <m/>
  </r>
  <r>
    <s v="202002-06"/>
    <s v="Deepwater Conqueror"/>
    <s v="Transocean "/>
    <s v="Elevator - Fixed price"/>
    <x v="6"/>
    <s v="Drilling"/>
    <s v="Order backlog "/>
    <x v="0"/>
    <m/>
    <x v="8"/>
    <x v="1"/>
    <n v="1"/>
    <n v="13900"/>
    <n v="13900"/>
    <n v="0.3"/>
    <n v="4170"/>
    <m/>
  </r>
  <r>
    <m/>
    <s v="Deepwater Pontus "/>
    <s v="Transocean "/>
    <s v="EX - Fixed price"/>
    <x v="9"/>
    <s v="Drilling"/>
    <s v="Order backlog "/>
    <x v="0"/>
    <m/>
    <x v="5"/>
    <x v="1"/>
    <n v="1"/>
    <n v="10513.8"/>
    <n v="10513.8"/>
    <m/>
    <n v="0"/>
    <m/>
  </r>
  <r>
    <m/>
    <s v="SS Victoria"/>
    <s v="Ventura"/>
    <s v="Trial"/>
    <x v="12"/>
    <s v="Drilling"/>
    <s v="Order backlog "/>
    <x v="0"/>
    <m/>
    <x v="5"/>
    <x v="1"/>
    <n v="1"/>
    <n v="16500"/>
    <n v="16500"/>
    <m/>
    <n v="0"/>
    <m/>
  </r>
  <r>
    <m/>
    <s v="Deepwater Thalassa"/>
    <s v="Transocean "/>
    <s v="Ad-hoc"/>
    <x v="2"/>
    <s v="Drilling"/>
    <s v="Won"/>
    <x v="0"/>
    <m/>
    <x v="1"/>
    <x v="1"/>
    <n v="1"/>
    <n v="30000"/>
    <n v="30000"/>
    <n v="0.3"/>
    <n v="9000"/>
    <m/>
  </r>
  <r>
    <m/>
    <s v="Deepwater Thalassa"/>
    <s v="Transocean "/>
    <s v="Ad-hoc"/>
    <x v="2"/>
    <s v="Drilling"/>
    <s v="Won"/>
    <x v="0"/>
    <m/>
    <x v="3"/>
    <x v="1"/>
    <n v="1"/>
    <n v="50000"/>
    <n v="50000"/>
    <n v="0.3"/>
    <n v="15000"/>
    <m/>
  </r>
  <r>
    <s v="618038-02"/>
    <s v="Mizton"/>
    <m/>
    <s v="COMMSA Rigging Services Hook Up MIZTON - Phase II"/>
    <x v="2"/>
    <s v="Drilling"/>
    <s v="Won"/>
    <x v="0"/>
    <m/>
    <x v="3"/>
    <x v="1"/>
    <n v="1"/>
    <n v="25000"/>
    <n v="25000"/>
    <n v="0.3"/>
    <n v="7500"/>
    <m/>
  </r>
  <r>
    <m/>
    <s v="Deepwater Proteus"/>
    <s v="Transocean "/>
    <s v="DROPS - Fixed price"/>
    <x v="5"/>
    <s v="Drilling"/>
    <s v="Won"/>
    <x v="0"/>
    <m/>
    <x v="3"/>
    <x v="1"/>
    <n v="1"/>
    <n v="30939"/>
    <n v="30939"/>
    <n v="0.3"/>
    <n v="9281.6999999999989"/>
    <m/>
  </r>
  <r>
    <m/>
    <s v="Out of the blue"/>
    <m/>
    <m/>
    <x v="3"/>
    <s v="Drilling"/>
    <s v="Out of the blue "/>
    <x v="1"/>
    <m/>
    <x v="5"/>
    <x v="1"/>
    <n v="1"/>
    <n v="100000"/>
    <n v="100000"/>
    <m/>
    <n v="0"/>
    <m/>
  </r>
  <r>
    <m/>
    <s v="Sevan Louisiana"/>
    <s v="Seadrill"/>
    <s v="Towing padeyes inspection"/>
    <x v="2"/>
    <s v="Drilling"/>
    <s v="Quoted"/>
    <x v="2"/>
    <s v="Q-HO-17691"/>
    <x v="0"/>
    <x v="1"/>
    <n v="0.5"/>
    <n v="29000"/>
    <n v="14500"/>
    <m/>
    <n v="0"/>
    <s v="Performed"/>
  </r>
  <r>
    <m/>
    <s v="Discoverer Inspiration"/>
    <s v="Transocean"/>
    <s v="Lars inspection"/>
    <x v="2"/>
    <s v="Drilling"/>
    <s v="Quoted"/>
    <x v="2"/>
    <s v="Q-HO-17741"/>
    <x v="5"/>
    <x v="1"/>
    <n v="1"/>
    <n v="5000"/>
    <n v="5000"/>
    <m/>
    <n v="0"/>
    <m/>
  </r>
  <r>
    <m/>
    <s v="Discoverer Inspiration"/>
    <s v="Transocean"/>
    <s v="Lars inspection"/>
    <x v="2"/>
    <s v="Drilling"/>
    <s v="Quoted"/>
    <x v="2"/>
    <s v="Q-HO-17741"/>
    <x v="0"/>
    <x v="1"/>
    <n v="1"/>
    <n v="5000"/>
    <n v="5000"/>
    <m/>
    <n v="0"/>
    <s v="Not Performed"/>
  </r>
  <r>
    <m/>
    <s v="Deepwater Proteus"/>
    <s v="Transocean "/>
    <s v="Ad-hoc - SPS"/>
    <x v="2"/>
    <s v="Drilling"/>
    <s v="Pipeline "/>
    <x v="3"/>
    <m/>
    <x v="5"/>
    <x v="1"/>
    <n v="0.1"/>
    <n v="250000"/>
    <n v="25000"/>
    <m/>
    <n v="0"/>
    <m/>
  </r>
  <r>
    <m/>
    <s v="Deepwater Conqueror"/>
    <s v="Transocean "/>
    <s v="Ad-hoc"/>
    <x v="2"/>
    <s v="Drilling"/>
    <s v="Won"/>
    <x v="0"/>
    <m/>
    <x v="1"/>
    <x v="1"/>
    <n v="1"/>
    <n v="15000"/>
    <n v="15000"/>
    <n v="0.3"/>
    <n v="4500"/>
    <m/>
  </r>
  <r>
    <m/>
    <s v="Blackhornet"/>
    <s v="Diamond"/>
    <s v="DP / FMEA"/>
    <x v="15"/>
    <s v="Drilling"/>
    <s v="Won"/>
    <x v="0"/>
    <m/>
    <x v="1"/>
    <x v="1"/>
    <n v="1"/>
    <n v="5000"/>
    <n v="5000"/>
    <n v="0.3"/>
    <n v="1500"/>
    <m/>
  </r>
  <r>
    <m/>
    <s v="Deepwater Invictus"/>
    <s v="Transocean "/>
    <s v="CCE - Fixed price"/>
    <x v="4"/>
    <s v="Drilling"/>
    <s v="Order backlog "/>
    <x v="0"/>
    <m/>
    <x v="1"/>
    <x v="1"/>
    <n v="1"/>
    <n v="24000"/>
    <n v="24000"/>
    <m/>
    <n v="0"/>
    <m/>
  </r>
  <r>
    <m/>
    <s v="Deepwater Invictus"/>
    <s v="Transocean "/>
    <s v="CCE - Fixed price"/>
    <x v="4"/>
    <s v="Drilling"/>
    <s v="Order backlog "/>
    <x v="0"/>
    <m/>
    <x v="3"/>
    <x v="1"/>
    <n v="1"/>
    <n v="35000"/>
    <n v="35000"/>
    <m/>
    <n v="0"/>
    <m/>
  </r>
  <r>
    <m/>
    <s v="Quoted"/>
    <s v="Marine"/>
    <s v="MWS/Marine "/>
    <x v="15"/>
    <s v="Drilling"/>
    <s v="Quoted"/>
    <x v="2"/>
    <m/>
    <x v="5"/>
    <x v="1"/>
    <n v="1"/>
    <n v="8500"/>
    <n v="8500"/>
    <m/>
    <n v="0"/>
    <m/>
  </r>
  <r>
    <s v="201914-04"/>
    <s v="Deepwater Invictus"/>
    <s v="Transocean"/>
    <s v="Annual RWNDT Q3"/>
    <x v="2"/>
    <s v="Drilling"/>
    <s v="Order backlog "/>
    <x v="0"/>
    <m/>
    <x v="8"/>
    <x v="1"/>
    <n v="1"/>
    <n v="18622"/>
    <n v="18622"/>
    <n v="0.3"/>
    <n v="5586.5999999999995"/>
    <m/>
  </r>
  <r>
    <m/>
    <s v="Discoverer Inspiration"/>
    <s v="Transocean "/>
    <s v="NDT - Fixed price - Q3"/>
    <x v="2"/>
    <s v="Drilling"/>
    <s v="Order backlog "/>
    <x v="0"/>
    <m/>
    <x v="5"/>
    <x v="1"/>
    <n v="1"/>
    <n v="5586.6813750000001"/>
    <n v="5586.6813750000001"/>
    <n v="0.3"/>
    <n v="1676.0044124999999"/>
    <m/>
  </r>
  <r>
    <s v="202010-04"/>
    <s v="Deepwater Poseidon"/>
    <s v="Transocean "/>
    <s v="NDT - Fixed price - Q4"/>
    <x v="2"/>
    <s v="Drilling"/>
    <s v="Order backlog "/>
    <x v="0"/>
    <m/>
    <x v="7"/>
    <x v="1"/>
    <n v="1"/>
    <n v="8622"/>
    <n v="8622"/>
    <n v="0.3"/>
    <n v="2586.6"/>
    <m/>
  </r>
  <r>
    <s v="202002-04"/>
    <s v="Deepwater Conqueror"/>
    <s v="Transocean "/>
    <s v="NDT - Fixed price - Q3"/>
    <x v="2"/>
    <s v="Drilling"/>
    <s v="Order backlog "/>
    <x v="0"/>
    <m/>
    <x v="8"/>
    <x v="1"/>
    <n v="1"/>
    <n v="6622"/>
    <n v="6622"/>
    <n v="0.3"/>
    <n v="1986.6"/>
    <m/>
  </r>
  <r>
    <s v="202015-04"/>
    <s v="DD3"/>
    <s v="Transocean "/>
    <s v="NDT - Fixed price - Q3"/>
    <x v="2"/>
    <s v="Drilling"/>
    <s v="Order backlog "/>
    <x v="0"/>
    <m/>
    <x v="8"/>
    <x v="1"/>
    <n v="1"/>
    <n v="3000"/>
    <n v="3000"/>
    <n v="0.3"/>
    <n v="900"/>
    <m/>
  </r>
  <r>
    <s v="202012-04"/>
    <s v="Deepwater Thalassa"/>
    <s v="Transocean "/>
    <s v="NDT - Fixed price - Q3"/>
    <x v="2"/>
    <s v="Drilling"/>
    <s v="Order backlog "/>
    <x v="0"/>
    <m/>
    <x v="8"/>
    <x v="1"/>
    <n v="1"/>
    <n v="8622"/>
    <n v="8622"/>
    <n v="0.3"/>
    <n v="2586.6"/>
    <m/>
  </r>
  <r>
    <s v="202015-03"/>
    <s v="DD3 - LGI"/>
    <s v="Transocean"/>
    <s v="Annual LGI"/>
    <x v="1"/>
    <s v="Drilling"/>
    <s v="Won"/>
    <x v="0"/>
    <m/>
    <x v="8"/>
    <x v="1"/>
    <n v="1"/>
    <n v="27469"/>
    <n v="27469"/>
    <n v="0.3"/>
    <n v="8240.6999999999989"/>
    <m/>
  </r>
  <r>
    <s v="202010-01"/>
    <s v="Deepwater Poseidon"/>
    <s v="Transocean "/>
    <s v="CCE - Fixed price"/>
    <x v="4"/>
    <s v="Drilling"/>
    <s v="Order backlog "/>
    <x v="0"/>
    <m/>
    <x v="7"/>
    <x v="1"/>
    <n v="1"/>
    <n v="58000"/>
    <n v="58000"/>
    <n v="0.3"/>
    <n v="17400"/>
    <m/>
  </r>
  <r>
    <s v="202003-04"/>
    <s v="Deepwater Asgard"/>
    <s v="Transocean "/>
    <s v="NDT - Fixed price - Q4"/>
    <x v="2"/>
    <s v="Drilling"/>
    <s v="Order backlog "/>
    <x v="0"/>
    <m/>
    <x v="10"/>
    <x v="1"/>
    <n v="1"/>
    <n v="18622.271250000002"/>
    <n v="8622"/>
    <n v="0"/>
    <m/>
    <m/>
  </r>
  <r>
    <s v="202003-11"/>
    <s v="Deepwater Asgard"/>
    <s v="Transocean "/>
    <s v="Ad-hoc"/>
    <x v="2"/>
    <s v="Drilling"/>
    <s v="Order backlog "/>
    <x v="0"/>
    <m/>
    <x v="10"/>
    <x v="1"/>
    <n v="1"/>
    <n v="18622.271250000002"/>
    <n v="25000"/>
    <n v="0"/>
    <m/>
    <m/>
  </r>
  <r>
    <s v="202003-04"/>
    <s v="Deepwater Asgard"/>
    <s v="Transocean "/>
    <s v="NDT - Fixed price - Q4"/>
    <x v="2"/>
    <s v="Drilling"/>
    <s v="Order backlog "/>
    <x v="0"/>
    <m/>
    <x v="11"/>
    <x v="1"/>
    <n v="1"/>
    <n v="18622.271250000002"/>
    <n v="11000"/>
    <m/>
    <n v="0"/>
    <m/>
  </r>
  <r>
    <m/>
    <s v="Deepwater Thalassa"/>
    <s v="Transocean "/>
    <s v="Elevator - Fixed price"/>
    <x v="6"/>
    <s v="Drilling"/>
    <s v="Order backlog "/>
    <x v="0"/>
    <m/>
    <x v="4"/>
    <x v="1"/>
    <n v="1"/>
    <n v="13900"/>
    <n v="13900"/>
    <m/>
    <m/>
    <m/>
  </r>
  <r>
    <s v="202002-01"/>
    <s v="Deepwater Conqueror"/>
    <s v="Transocean "/>
    <s v="CCE - Fixed price"/>
    <x v="4"/>
    <s v="Drilling"/>
    <s v="Order backlog "/>
    <x v="0"/>
    <m/>
    <x v="8"/>
    <x v="1"/>
    <n v="1"/>
    <n v="9378"/>
    <n v="9378"/>
    <n v="0.3"/>
    <n v="2813.4"/>
    <m/>
  </r>
  <r>
    <m/>
    <s v="Deepwater Conqueror"/>
    <s v="Transocean "/>
    <s v="KBC - SPS NDT"/>
    <x v="2"/>
    <s v="Drilling"/>
    <s v="Quoted"/>
    <x v="2"/>
    <s v="Q-HO-16944"/>
    <x v="9"/>
    <x v="3"/>
    <n v="0.15"/>
    <n v="117671"/>
    <n v="17650.649999999998"/>
    <m/>
    <n v="0"/>
    <m/>
  </r>
  <r>
    <m/>
    <s v="Virginia Wind Clable Pulling"/>
    <s v="Subsea 7"/>
    <s v="Cable Pulling"/>
    <x v="1"/>
    <s v="Energy"/>
    <s v="Order backlog "/>
    <x v="0"/>
    <m/>
    <x v="8"/>
    <x v="1"/>
    <n v="1"/>
    <n v="20000"/>
    <n v="20000"/>
    <n v="0.3"/>
    <n v="6000"/>
    <m/>
  </r>
  <r>
    <m/>
    <s v="Q5000"/>
    <s v="Helix "/>
    <s v="Annual inspections"/>
    <x v="2"/>
    <s v="Energy"/>
    <s v="Pipeline "/>
    <x v="3"/>
    <m/>
    <x v="8"/>
    <x v="1"/>
    <n v="1"/>
    <n v="20000"/>
    <n v="20000"/>
    <n v="0.3"/>
    <n v="6000"/>
    <m/>
  </r>
  <r>
    <m/>
    <s v="Deepwater Poseidon"/>
    <s v="Transocean "/>
    <s v="NDT - Fixed price - Q3"/>
    <x v="2"/>
    <s v="Drilling"/>
    <s v="Order backlog "/>
    <x v="0"/>
    <m/>
    <x v="5"/>
    <x v="1"/>
    <n v="1"/>
    <n v="7000"/>
    <n v="7000"/>
    <n v="0.3"/>
    <n v="2100"/>
    <m/>
  </r>
  <r>
    <m/>
    <s v="Out of the blue"/>
    <m/>
    <s v="TRIM"/>
    <x v="3"/>
    <s v="Drilling"/>
    <s v="Out of the blue "/>
    <x v="1"/>
    <m/>
    <x v="8"/>
    <x v="1"/>
    <n v="1"/>
    <n v="80000"/>
    <n v="80000"/>
    <n v="0.3"/>
    <n v="24000"/>
    <m/>
  </r>
  <r>
    <s v="202002-07"/>
    <s v="Deepwater Conqueror"/>
    <s v="Transocean"/>
    <s v="Annual EX Assessment"/>
    <x v="9"/>
    <s v="Drilling"/>
    <s v="Won"/>
    <x v="0"/>
    <m/>
    <x v="7"/>
    <x v="1"/>
    <n v="1"/>
    <n v="10620"/>
    <n v="10620"/>
    <n v="0.3"/>
    <n v="3186"/>
    <m/>
  </r>
  <r>
    <m/>
    <s v="Deepwater Conqueror"/>
    <s v="Transocean "/>
    <s v="Vibration Analysis"/>
    <x v="2"/>
    <s v="Drilling"/>
    <s v="Quoted"/>
    <x v="2"/>
    <s v="Q-HO-17283"/>
    <x v="10"/>
    <x v="1"/>
    <n v="0.5"/>
    <n v="28841"/>
    <n v="14420.5"/>
    <m/>
    <n v="0"/>
    <m/>
  </r>
  <r>
    <m/>
    <s v="Deepwater Invictus"/>
    <s v="Transocean"/>
    <s v="E-DROPS Implementation"/>
    <x v="5"/>
    <s v="Drilling"/>
    <s v="Order backlog "/>
    <x v="4"/>
    <m/>
    <x v="12"/>
    <x v="3"/>
    <n v="1"/>
    <n v="15000"/>
    <n v="15000"/>
    <m/>
    <n v="0"/>
    <m/>
  </r>
  <r>
    <s v="202012-05"/>
    <s v="Deepwater Thalassa"/>
    <s v="Transocean "/>
    <s v="HP/LP - Fixed price"/>
    <x v="7"/>
    <s v="Drilling"/>
    <s v="Order backlog "/>
    <x v="0"/>
    <m/>
    <x v="10"/>
    <x v="1"/>
    <n v="1"/>
    <n v="13908"/>
    <n v="13908"/>
    <n v="0.3"/>
    <n v="4172.3999999999996"/>
    <m/>
  </r>
  <r>
    <s v="202002-05"/>
    <s v="Deepwater Conqueror"/>
    <s v="Transocean "/>
    <s v="HP/LP - Fixed price"/>
    <x v="7"/>
    <s v="Drilling"/>
    <s v="Won"/>
    <x v="0"/>
    <m/>
    <x v="11"/>
    <x v="1"/>
    <n v="1"/>
    <n v="27816"/>
    <n v="19000"/>
    <n v="0.3"/>
    <n v="8344.7999999999993"/>
    <m/>
  </r>
  <r>
    <m/>
    <s v="Deepwater Conqueror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Deepwater Invictus"/>
    <s v="Transocean"/>
    <s v="Resocketing of 76mm KB2 "/>
    <x v="4"/>
    <s v="Drilling"/>
    <s v="Order backlog "/>
    <x v="4"/>
    <m/>
    <x v="11"/>
    <x v="1"/>
    <n v="1"/>
    <n v="15000"/>
    <n v="20000"/>
    <n v="0"/>
    <m/>
    <m/>
  </r>
  <r>
    <m/>
    <s v="West Vela"/>
    <s v="Seadrill"/>
    <s v="Calibration"/>
    <x v="11"/>
    <s v="Drilling"/>
    <m/>
    <x v="1"/>
    <m/>
    <x v="10"/>
    <x v="1"/>
    <n v="1"/>
    <n v="13908"/>
    <n v="9500"/>
    <m/>
    <n v="0"/>
    <m/>
  </r>
  <r>
    <m/>
    <s v="Deepwater Invictus"/>
    <s v="Transocean "/>
    <s v="HP/LP - Fixed price"/>
    <x v="7"/>
    <s v="Drilling"/>
    <s v="Order backlog "/>
    <x v="0"/>
    <m/>
    <x v="10"/>
    <x v="1"/>
    <n v="1"/>
    <n v="27816"/>
    <n v="14000"/>
    <n v="0"/>
    <m/>
    <m/>
  </r>
  <r>
    <m/>
    <s v="Deepwater Invictus"/>
    <s v="Transocean"/>
    <s v="Calibration"/>
    <x v="4"/>
    <s v="Drilling"/>
    <s v="Order backlog "/>
    <x v="4"/>
    <m/>
    <x v="11"/>
    <x v="1"/>
    <n v="1"/>
    <n v="20000"/>
    <n v="12000"/>
    <m/>
    <n v="0"/>
    <m/>
  </r>
  <r>
    <s v="202010-02"/>
    <s v="Deepwater Poseidon"/>
    <s v="Transocean "/>
    <s v="DROPS - Fixed price"/>
    <x v="5"/>
    <s v="Drilling"/>
    <s v="Order backlog "/>
    <x v="0"/>
    <m/>
    <x v="7"/>
    <x v="1"/>
    <n v="1"/>
    <n v="30939"/>
    <n v="30939"/>
    <n v="0.3"/>
    <n v="9281.6999999999989"/>
    <m/>
  </r>
  <r>
    <m/>
    <s v="Deepwater Pontus"/>
    <s v="Transocean"/>
    <s v="E-DROPS Implementation"/>
    <x v="5"/>
    <s v="Drilling"/>
    <s v="Order backlog "/>
    <x v="2"/>
    <m/>
    <x v="12"/>
    <x v="3"/>
    <n v="1"/>
    <n v="15000"/>
    <m/>
    <m/>
    <n v="0"/>
    <m/>
  </r>
  <r>
    <m/>
    <s v="Q5000"/>
    <s v="Helix "/>
    <s v="Annual inspections"/>
    <x v="2"/>
    <s v="Energy"/>
    <s v="Won"/>
    <x v="0"/>
    <m/>
    <x v="8"/>
    <x v="1"/>
    <n v="1"/>
    <n v="60000"/>
    <n v="60000"/>
    <m/>
    <n v="0"/>
    <m/>
  </r>
  <r>
    <s v="202010-06"/>
    <s v="Deepwater Poseidon"/>
    <s v="Transocean "/>
    <s v="Elevator - Fixed price"/>
    <x v="6"/>
    <s v="Drilling"/>
    <s v="Order backlog "/>
    <x v="0"/>
    <m/>
    <x v="7"/>
    <x v="1"/>
    <n v="1"/>
    <n v="13900"/>
    <n v="13900"/>
    <n v="0.3"/>
    <n v="4170"/>
    <m/>
  </r>
  <r>
    <s v="202012-05"/>
    <s v="Deepwater Thalassa"/>
    <s v="Transocean "/>
    <s v="HP/LP - Fixed price"/>
    <x v="7"/>
    <s v="Drilling"/>
    <s v="Order backlog "/>
    <x v="0"/>
    <m/>
    <x v="7"/>
    <x v="1"/>
    <n v="1"/>
    <n v="13908"/>
    <n v="13908"/>
    <n v="0.3"/>
    <n v="4172.3999999999996"/>
    <m/>
  </r>
  <r>
    <m/>
    <s v="Out of the blue"/>
    <m/>
    <m/>
    <x v="3"/>
    <s v="Drilling"/>
    <s v="Out of the blue "/>
    <x v="1"/>
    <m/>
    <x v="10"/>
    <x v="1"/>
    <n v="1"/>
    <n v="100000"/>
    <n v="100000"/>
    <m/>
    <n v="0"/>
    <m/>
  </r>
  <r>
    <m/>
    <s v="Deepwater Proteus"/>
    <s v="Transocean"/>
    <s v="E-DROPS Implementation"/>
    <x v="5"/>
    <s v="Drilling"/>
    <m/>
    <x v="2"/>
    <m/>
    <x v="12"/>
    <x v="3"/>
    <n v="1"/>
    <n v="15000"/>
    <m/>
    <m/>
    <n v="0"/>
    <m/>
  </r>
  <r>
    <m/>
    <s v="HP1"/>
    <s v="Helix "/>
    <s v="Annual inspections"/>
    <x v="2"/>
    <s v="Energy"/>
    <s v="Won"/>
    <x v="0"/>
    <m/>
    <x v="7"/>
    <x v="1"/>
    <n v="1"/>
    <n v="25000"/>
    <n v="25000"/>
    <n v="0.3"/>
    <n v="7500"/>
    <m/>
  </r>
  <r>
    <m/>
    <s v="Deepwater Thalassa"/>
    <s v="Transocean "/>
    <s v="NDT - Fixed price - Q4"/>
    <x v="2"/>
    <s v="Drilling"/>
    <s v="Order backlog "/>
    <x v="0"/>
    <m/>
    <x v="10"/>
    <x v="1"/>
    <n v="1"/>
    <n v="18622.271250000002"/>
    <n v="18622.271250000002"/>
    <m/>
    <n v="0"/>
    <m/>
  </r>
  <r>
    <s v="202005-07"/>
    <s v="Discoverer Inspiration"/>
    <s v="Transocean "/>
    <s v="EX - Fixed price"/>
    <x v="9"/>
    <s v="Drilling"/>
    <s v="Order backlog "/>
    <x v="0"/>
    <m/>
    <x v="10"/>
    <x v="1"/>
    <n v="1"/>
    <n v="10513.8"/>
    <n v="10513.8"/>
    <m/>
    <n v="0"/>
    <m/>
  </r>
  <r>
    <m/>
    <s v="HP1"/>
    <s v="Transocean"/>
    <s v="General scopes"/>
    <x v="3"/>
    <s v="Drilling"/>
    <s v="Pipeline"/>
    <x v="3"/>
    <m/>
    <x v="10"/>
    <x v="1"/>
    <n v="1"/>
    <n v="100000"/>
    <n v="100000"/>
    <n v="0.3"/>
    <n v="30000"/>
    <m/>
  </r>
  <r>
    <m/>
    <s v="Deepwater Invictus"/>
    <s v="Transocean "/>
    <s v="HP/LP - Fixed price"/>
    <x v="7"/>
    <s v="Drilling"/>
    <s v="Order backlog "/>
    <x v="0"/>
    <m/>
    <x v="11"/>
    <x v="1"/>
    <n v="1"/>
    <n v="27816"/>
    <n v="27000"/>
    <m/>
    <n v="0"/>
    <m/>
  </r>
  <r>
    <s v="202011-05"/>
    <s v="Deepwater Proteus"/>
    <s v="Transocean"/>
    <s v="Annual Pressurized Systems"/>
    <x v="7"/>
    <s v="Drilling"/>
    <s v="Won"/>
    <x v="0"/>
    <m/>
    <x v="12"/>
    <x v="1"/>
    <n v="1"/>
    <n v="27816"/>
    <n v="27816"/>
    <n v="0.3"/>
    <n v="8344.7999999999993"/>
    <m/>
  </r>
  <r>
    <m/>
    <s v="Deepwater Invictus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s v="202009-04"/>
    <s v="Deepwater Pontus "/>
    <s v="Transocean "/>
    <s v="NDT - Fixed price - Q4"/>
    <x v="2"/>
    <s v="Drilling"/>
    <s v="Order backlog "/>
    <x v="0"/>
    <m/>
    <x v="11"/>
    <x v="1"/>
    <n v="1"/>
    <n v="18622.271250000002"/>
    <n v="14000"/>
    <m/>
    <n v="0"/>
    <m/>
  </r>
  <r>
    <s v="202010-03"/>
    <s v="Deepwater Poseidon"/>
    <s v="Transocean "/>
    <s v="LLG - Fixed price"/>
    <x v="1"/>
    <s v="Drilling"/>
    <s v="Order backlog "/>
    <x v="0"/>
    <m/>
    <x v="11"/>
    <x v="1"/>
    <n v="1"/>
    <n v="31969"/>
    <n v="12000"/>
    <m/>
    <n v="0"/>
    <m/>
  </r>
  <r>
    <m/>
    <s v="Out of the blue"/>
    <m/>
    <m/>
    <x v="3"/>
    <s v="Drilling"/>
    <s v="Out of the blue "/>
    <x v="1"/>
    <m/>
    <x v="7"/>
    <x v="1"/>
    <n v="1"/>
    <n v="100000"/>
    <n v="100000"/>
    <n v="0.3"/>
    <n v="30000"/>
    <m/>
  </r>
  <r>
    <m/>
    <s v="Deepwater Conqueror"/>
    <s v="Transocean"/>
    <s v="E-DROPS Implementation"/>
    <x v="5"/>
    <s v="Drilling"/>
    <s v="Order backlog "/>
    <x v="4"/>
    <m/>
    <x v="12"/>
    <x v="3"/>
    <n v="1"/>
    <n v="15000"/>
    <m/>
    <m/>
    <n v="0"/>
    <m/>
  </r>
  <r>
    <m/>
    <s v="Deepwater Poseidon"/>
    <s v="Transocean "/>
    <s v="HP/LP - Fixed price"/>
    <x v="7"/>
    <s v="Drilling"/>
    <s v="Order backlog "/>
    <x v="0"/>
    <m/>
    <x v="5"/>
    <x v="1"/>
    <n v="1"/>
    <n v="12000"/>
    <n v="12000"/>
    <m/>
    <n v="0"/>
    <m/>
  </r>
  <r>
    <s v="202010-04"/>
    <s v="Deepwater Poseidon"/>
    <s v="Transocean "/>
    <s v="NDT - Fixed price - Q4"/>
    <x v="2"/>
    <s v="Drilling"/>
    <s v="Order backlog "/>
    <x v="0"/>
    <m/>
    <x v="11"/>
    <x v="1"/>
    <n v="1"/>
    <n v="18622.271250000002"/>
    <n v="8622"/>
    <m/>
    <n v="0"/>
    <m/>
  </r>
  <r>
    <m/>
    <s v="Deepwater Proteus"/>
    <s v="Transocean"/>
    <s v="Ad-hoc Crane"/>
    <x v="5"/>
    <s v="Drilling"/>
    <m/>
    <x v="2"/>
    <m/>
    <x v="11"/>
    <x v="1"/>
    <n v="1"/>
    <n v="15000"/>
    <n v="60000"/>
    <m/>
    <n v="0"/>
    <m/>
  </r>
  <r>
    <m/>
    <s v="Q5000"/>
    <s v="Helix "/>
    <s v="Annual inspections"/>
    <x v="2"/>
    <s v="Energy"/>
    <s v="Won"/>
    <x v="0"/>
    <m/>
    <x v="7"/>
    <x v="1"/>
    <n v="1"/>
    <n v="60000"/>
    <n v="60000"/>
    <n v="0.3"/>
    <n v="18000"/>
    <m/>
  </r>
  <r>
    <s v="202011-06"/>
    <s v="Deepwater Proteus"/>
    <s v="Transocean "/>
    <s v="Elevator - Fixed price"/>
    <x v="6"/>
    <s v="Drilling"/>
    <s v="Won"/>
    <x v="0"/>
    <m/>
    <x v="4"/>
    <x v="1"/>
    <n v="1"/>
    <n v="13900"/>
    <n v="13900"/>
    <m/>
    <n v="0"/>
    <m/>
  </r>
  <r>
    <m/>
    <s v="Deepwater Poseidon"/>
    <s v="Transocean"/>
    <s v="E-DROPS Implementation"/>
    <x v="5"/>
    <s v="Drilling"/>
    <s v="Order backlog "/>
    <x v="4"/>
    <m/>
    <x v="12"/>
    <x v="3"/>
    <n v="1"/>
    <n v="15000"/>
    <m/>
    <m/>
    <n v="0"/>
    <m/>
  </r>
  <r>
    <s v="202011-04"/>
    <s v="Deepwater Proteus"/>
    <s v="Transocean "/>
    <s v="NDT - Fixed price - Q4"/>
    <x v="2"/>
    <s v="Drilling"/>
    <s v="Won"/>
    <x v="0"/>
    <m/>
    <x v="11"/>
    <x v="1"/>
    <n v="1"/>
    <n v="18622.271250000002"/>
    <n v="18622.271250000002"/>
    <m/>
    <n v="0"/>
    <m/>
  </r>
  <r>
    <m/>
    <s v="Seadrill"/>
    <s v="Marine"/>
    <s v="MWS/Marine "/>
    <x v="2"/>
    <s v="Drilling"/>
    <s v="Pipeline "/>
    <x v="3"/>
    <m/>
    <x v="7"/>
    <x v="1"/>
    <n v="1"/>
    <n v="13500"/>
    <n v="13500"/>
    <n v="0.3"/>
    <n v="4050"/>
    <m/>
  </r>
  <r>
    <m/>
    <s v="Valaris 8505"/>
    <s v="Valaris"/>
    <s v="Closing of Findings"/>
    <x v="4"/>
    <s v="Drilling"/>
    <s v="Won"/>
    <x v="0"/>
    <m/>
    <x v="7"/>
    <x v="1"/>
    <n v="1"/>
    <n v="14000"/>
    <n v="14000"/>
    <n v="0.3"/>
    <n v="420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n v="0.3"/>
    <n v="0"/>
    <m/>
  </r>
  <r>
    <m/>
    <s v="Discoverer Inspiration"/>
    <s v="Transocean"/>
    <s v="Annual LGI"/>
    <x v="1"/>
    <s v="Drilling"/>
    <s v="Pipeline"/>
    <x v="3"/>
    <m/>
    <x v="2"/>
    <x v="3"/>
    <n v="1"/>
    <n v="25000"/>
    <n v="25000"/>
    <n v="0.3"/>
    <n v="7500"/>
    <m/>
  </r>
  <r>
    <m/>
    <s v="Deepwater Invictus"/>
    <s v="Transocean"/>
    <s v="Annual DROPS"/>
    <x v="5"/>
    <s v="Drilling"/>
    <s v="Pipeline"/>
    <x v="3"/>
    <m/>
    <x v="2"/>
    <x v="3"/>
    <n v="1"/>
    <n v="28000"/>
    <n v="28000"/>
    <n v="0.3"/>
    <n v="8400"/>
    <m/>
  </r>
  <r>
    <m/>
    <s v="Deepwater Proteus"/>
    <s v="Transocean"/>
    <s v="Annual LGI"/>
    <x v="1"/>
    <s v="Drilling"/>
    <s v="Pipeline"/>
    <x v="3"/>
    <m/>
    <x v="2"/>
    <x v="3"/>
    <n v="1"/>
    <n v="31969"/>
    <n v="31969"/>
    <n v="0.19"/>
    <n v="6074.11"/>
    <m/>
  </r>
  <r>
    <m/>
    <s v="Deepwater Thalassa"/>
    <s v="Transocean"/>
    <s v="Annual LGI"/>
    <x v="1"/>
    <s v="Drilling"/>
    <s v="Pipeline"/>
    <x v="3"/>
    <m/>
    <x v="2"/>
    <x v="3"/>
    <n v="1"/>
    <n v="31969"/>
    <n v="31969"/>
    <n v="0.19"/>
    <n v="6074.11"/>
    <m/>
  </r>
  <r>
    <s v="-"/>
    <s v="Out of the blue"/>
    <m/>
    <m/>
    <x v="3"/>
    <s v="Drilling"/>
    <s v="Out of the blue "/>
    <x v="1"/>
    <m/>
    <x v="9"/>
    <x v="3"/>
    <n v="1"/>
    <n v="150000"/>
    <n v="100000"/>
    <n v="0.3"/>
    <n v="30000"/>
    <m/>
  </r>
  <r>
    <m/>
    <s v="Ensco 8505"/>
    <s v="Valaris"/>
    <s v="Pressure lube"/>
    <x v="4"/>
    <s v="Drilling"/>
    <s v="Pipeline"/>
    <x v="3"/>
    <m/>
    <x v="2"/>
    <x v="3"/>
    <n v="1"/>
    <n v="16000"/>
    <n v="16000"/>
    <n v="0.3"/>
    <n v="4800"/>
    <m/>
  </r>
  <r>
    <m/>
    <s v="Deepwater Asgard"/>
    <s v="Transocean"/>
    <s v="Elevator - Fixed price"/>
    <x v="4"/>
    <s v="Drilling"/>
    <s v="Pipeline"/>
    <x v="3"/>
    <m/>
    <x v="9"/>
    <x v="3"/>
    <n v="1"/>
    <n v="30000"/>
    <n v="30000"/>
    <n v="0.3"/>
    <n v="9000"/>
    <m/>
  </r>
  <r>
    <m/>
    <s v="Deepwater Asgard"/>
    <s v="Transocean"/>
    <s v="Annual CCE"/>
    <x v="4"/>
    <s v="Drilling"/>
    <s v="Pipeline"/>
    <x v="3"/>
    <m/>
    <x v="9"/>
    <x v="3"/>
    <n v="1"/>
    <n v="30000"/>
    <n v="30000"/>
    <n v="0.3"/>
    <n v="9000"/>
    <m/>
  </r>
  <r>
    <m/>
    <s v="Q5000"/>
    <s v="Helix"/>
    <s v="Misc LAG"/>
    <x v="1"/>
    <s v="Drilling"/>
    <s v="Pipeline"/>
    <x v="3"/>
    <m/>
    <x v="9"/>
    <x v="3"/>
    <n v="1"/>
    <n v="50000"/>
    <n v="50000"/>
    <n v="0.35"/>
    <n v="17500"/>
    <m/>
  </r>
  <r>
    <m/>
    <s v="Deepwater Pontus"/>
    <s v="Transocean"/>
    <s v="Annual Elevators"/>
    <x v="1"/>
    <s v="Drilling"/>
    <s v="Pipeline"/>
    <x v="3"/>
    <m/>
    <x v="9"/>
    <x v="3"/>
    <n v="1"/>
    <n v="13900"/>
    <n v="13900"/>
    <n v="0.3"/>
    <n v="4170"/>
    <m/>
  </r>
  <r>
    <m/>
    <s v="Discoverer Inspiration"/>
    <s v="Transocean"/>
    <s v="Annual LGI"/>
    <x v="1"/>
    <s v="Drilling"/>
    <s v="Pipeline"/>
    <x v="3"/>
    <m/>
    <x v="9"/>
    <x v="3"/>
    <n v="1"/>
    <n v="26000"/>
    <n v="26000"/>
    <n v="0.3"/>
    <n v="7800"/>
    <m/>
  </r>
  <r>
    <m/>
    <s v="Deepwater Proteus"/>
    <s v="Transocean"/>
    <s v="Annual Pressurized Systems"/>
    <x v="7"/>
    <s v="Drilling"/>
    <s v="Pipeline"/>
    <x v="3"/>
    <m/>
    <x v="9"/>
    <x v="3"/>
    <n v="1"/>
    <n v="27816"/>
    <n v="27816"/>
    <n v="0.3"/>
    <n v="8344.7999999999993"/>
    <m/>
  </r>
  <r>
    <m/>
    <s v="Deepwater Pontus"/>
    <s v="Transocean"/>
    <s v="Annual DROPS"/>
    <x v="5"/>
    <s v="Drilling"/>
    <s v="Pipeline"/>
    <x v="3"/>
    <m/>
    <x v="9"/>
    <x v="3"/>
    <n v="1"/>
    <n v="30000"/>
    <n v="30000"/>
    <n v="0.3"/>
    <n v="9000"/>
    <m/>
  </r>
  <r>
    <m/>
    <s v="Deepwater Pontus"/>
    <s v="Transocean"/>
    <s v="Annual LGI"/>
    <x v="1"/>
    <s v="Drilling"/>
    <s v="Pipeline"/>
    <x v="3"/>
    <m/>
    <x v="9"/>
    <x v="3"/>
    <n v="1"/>
    <n v="31000"/>
    <n v="31000"/>
    <n v="0.3"/>
    <n v="9300"/>
    <m/>
  </r>
  <r>
    <m/>
    <s v="Out of the blue"/>
    <m/>
    <m/>
    <x v="3"/>
    <m/>
    <s v="Pipeline"/>
    <x v="1"/>
    <m/>
    <x v="2"/>
    <x v="3"/>
    <n v="1"/>
    <n v="150000"/>
    <n v="100000"/>
    <n v="0.3"/>
    <n v="30000"/>
    <m/>
  </r>
  <r>
    <m/>
    <s v="Producer 1"/>
    <s v="Transocean"/>
    <s v="HP1 - Annual Lifting Gear Inspection "/>
    <x v="1"/>
    <s v="Drilling"/>
    <s v="Pipeline"/>
    <x v="3"/>
    <m/>
    <x v="9"/>
    <x v="3"/>
    <n v="0.25"/>
    <n v="23635"/>
    <n v="5908.75"/>
    <n v="0.3"/>
    <n v="1772.625"/>
    <m/>
  </r>
  <r>
    <m/>
    <s v="Deepwater Proteus"/>
    <s v="Transocean"/>
    <s v="Ad-Hoc"/>
    <x v="2"/>
    <s v="Drilling"/>
    <s v="Pipeline"/>
    <x v="3"/>
    <m/>
    <x v="6"/>
    <x v="3"/>
    <n v="1"/>
    <n v="10000"/>
    <n v="10000"/>
    <n v="0.3"/>
    <n v="3000"/>
    <m/>
  </r>
  <r>
    <m/>
    <s v="Deepwater Pontus"/>
    <s v="Transocean"/>
    <s v="Annual DROPS"/>
    <x v="5"/>
    <s v="Drilling"/>
    <s v="Pipeline"/>
    <x v="3"/>
    <m/>
    <x v="6"/>
    <x v="3"/>
    <n v="1"/>
    <n v="30939"/>
    <n v="30939"/>
    <n v="0.3"/>
    <n v="9281.6999999999989"/>
    <m/>
  </r>
  <r>
    <m/>
    <s v="DD3 - DROPS"/>
    <s v="Transocean"/>
    <s v="Annual DROPS"/>
    <x v="3"/>
    <s v="Drilling"/>
    <s v="Pipeline"/>
    <x v="3"/>
    <m/>
    <x v="6"/>
    <x v="3"/>
    <n v="1"/>
    <n v="26280"/>
    <n v="26280"/>
    <n v="0.3"/>
    <n v="7884"/>
    <m/>
  </r>
  <r>
    <m/>
    <s v="Deepwater Invictus"/>
    <s v="Transocean"/>
    <s v="Annual EX Assessment"/>
    <x v="9"/>
    <s v="Drilling"/>
    <s v="Pipeline"/>
    <x v="3"/>
    <m/>
    <x v="6"/>
    <x v="3"/>
    <n v="1"/>
    <n v="10620"/>
    <n v="10620"/>
    <n v="0.3"/>
    <n v="3186"/>
    <m/>
  </r>
  <r>
    <m/>
    <s v="Deepwater Proteus"/>
    <s v="Transocean"/>
    <s v="Annual LGI"/>
    <x v="1"/>
    <s v="Drilling"/>
    <s v="Pipeline"/>
    <x v="3"/>
    <m/>
    <x v="6"/>
    <x v="3"/>
    <n v="1"/>
    <n v="11969"/>
    <n v="11969"/>
    <n v="0.19"/>
    <n v="2274.11"/>
    <m/>
  </r>
  <r>
    <m/>
    <s v="Deepwater Invictus"/>
    <s v="Transocean"/>
    <s v="Annual RWNDT Q1"/>
    <x v="2"/>
    <s v="Drilling"/>
    <s v="Pipeline"/>
    <x v="3"/>
    <m/>
    <x v="2"/>
    <x v="3"/>
    <n v="1"/>
    <n v="18810.5"/>
    <n v="18810.5"/>
    <n v="0.3"/>
    <n v="5643.15"/>
    <m/>
  </r>
  <r>
    <m/>
    <s v="Deepwater Invictus"/>
    <s v="Transocean"/>
    <s v="Annual LGI"/>
    <x v="1"/>
    <s v="Drilling"/>
    <s v="Pipeline"/>
    <x v="3"/>
    <m/>
    <x v="6"/>
    <x v="3"/>
    <n v="1"/>
    <n v="1969"/>
    <n v="1969"/>
    <n v="0.3"/>
    <n v="590.69999999999993"/>
    <m/>
  </r>
  <r>
    <m/>
    <s v="Deepwater Proteus"/>
    <s v="Transocean"/>
    <s v="Ad-Hoc Phased array"/>
    <x v="2"/>
    <s v="Drilling"/>
    <s v="Pipeline"/>
    <x v="3"/>
    <m/>
    <x v="2"/>
    <x v="3"/>
    <n v="1"/>
    <n v="10000"/>
    <n v="10000"/>
    <n v="0.3"/>
    <n v="3000"/>
    <m/>
  </r>
  <r>
    <m/>
    <s v="Deepwater Invictus"/>
    <s v="Transocean"/>
    <s v="Annual Elevators"/>
    <x v="1"/>
    <s v="Drilling"/>
    <s v="Pipeline"/>
    <x v="3"/>
    <m/>
    <x v="2"/>
    <x v="3"/>
    <n v="1"/>
    <n v="13900"/>
    <n v="13900"/>
    <n v="0.3"/>
    <n v="4170"/>
    <m/>
  </r>
  <r>
    <m/>
    <s v="Deepwater Invictus"/>
    <s v="Transocean"/>
    <s v="Resocketing of 76mm KB2 "/>
    <x v="2"/>
    <s v="Drilling"/>
    <s v="Pipeline"/>
    <x v="3"/>
    <m/>
    <x v="2"/>
    <x v="3"/>
    <n v="1"/>
    <n v="20000"/>
    <n v="20000"/>
    <n v="0.3"/>
    <n v="6000"/>
    <m/>
  </r>
  <r>
    <m/>
    <s v="Deepwater Pontus"/>
    <s v="Transocean"/>
    <s v="Annual LGI"/>
    <x v="1"/>
    <s v="Drilling"/>
    <s v="Pipeline"/>
    <x v="3"/>
    <m/>
    <x v="6"/>
    <x v="3"/>
    <n v="1"/>
    <n v="31969"/>
    <n v="31969"/>
    <n v="0.3"/>
    <n v="9590.6999999999989"/>
    <m/>
  </r>
  <r>
    <m/>
    <s v="Deepwater Asgard"/>
    <s v="Transocean"/>
    <s v="Annual DROPS"/>
    <x v="5"/>
    <s v="Drilling"/>
    <s v="Pipeline"/>
    <x v="3"/>
    <m/>
    <x v="9"/>
    <x v="3"/>
    <n v="1"/>
    <n v="30939"/>
    <n v="30939"/>
    <n v="0.3"/>
    <n v="9281.6999999999989"/>
    <m/>
  </r>
  <r>
    <m/>
    <s v="Deepwater Poseidon"/>
    <s v="Transocean"/>
    <s v="Annual RWNDT Q1"/>
    <x v="2"/>
    <s v="Drilling"/>
    <s v="Pipeline"/>
    <x v="3"/>
    <m/>
    <x v="2"/>
    <x v="3"/>
    <n v="1"/>
    <n v="18810.5"/>
    <n v="18810.5"/>
    <n v="0.3"/>
    <n v="5643.15"/>
    <m/>
  </r>
  <r>
    <m/>
    <s v="DD3 - LGI"/>
    <s v="Transocean"/>
    <s v="Annual LGI"/>
    <x v="3"/>
    <s v="Drilling"/>
    <s v="Pipeline"/>
    <x v="3"/>
    <m/>
    <x v="6"/>
    <x v="3"/>
    <n v="1"/>
    <n v="27469"/>
    <n v="27469"/>
    <n v="0.3"/>
    <n v="8240.6999999999989"/>
    <m/>
  </r>
  <r>
    <m/>
    <s v="Deepwater Conqueror"/>
    <s v="Transocean"/>
    <s v="Annual RWNDT Q1"/>
    <x v="2"/>
    <s v="Drilling"/>
    <s v="Pipeline"/>
    <x v="3"/>
    <m/>
    <x v="6"/>
    <x v="3"/>
    <n v="1"/>
    <n v="6810"/>
    <n v="6810"/>
    <n v="0.3"/>
    <n v="2043"/>
    <m/>
  </r>
  <r>
    <m/>
    <s v="Deepwater Proteus"/>
    <s v="Transocean"/>
    <s v="Annual RWNDT Q1"/>
    <x v="2"/>
    <s v="Drilling"/>
    <s v="Pipeline"/>
    <x v="3"/>
    <m/>
    <x v="6"/>
    <x v="3"/>
    <n v="1"/>
    <n v="18810.5"/>
    <n v="18810.5"/>
    <n v="0.3"/>
    <n v="5643.15"/>
    <m/>
  </r>
  <r>
    <m/>
    <s v="Deepwater Asgard"/>
    <s v="Transocean"/>
    <s v="Annual LGI"/>
    <x v="1"/>
    <s v="Drilling"/>
    <s v="Pipeline"/>
    <x v="3"/>
    <m/>
    <x v="9"/>
    <x v="3"/>
    <n v="1"/>
    <n v="30000"/>
    <n v="30000"/>
    <n v="0.3"/>
    <n v="9000"/>
    <m/>
  </r>
  <r>
    <m/>
    <s v="Deepwater Thalassa"/>
    <s v="Transocean"/>
    <s v="Annual RWNDT Q1"/>
    <x v="2"/>
    <s v="Drilling"/>
    <s v="Pipeline"/>
    <x v="3"/>
    <m/>
    <x v="6"/>
    <x v="3"/>
    <n v="1"/>
    <n v="18810.5"/>
    <n v="18810.5"/>
    <n v="0.3"/>
    <n v="5643.15"/>
    <m/>
  </r>
  <r>
    <m/>
    <s v="Out of the blue"/>
    <m/>
    <m/>
    <x v="3"/>
    <m/>
    <s v="Out of the blue "/>
    <x v="1"/>
    <m/>
    <x v="6"/>
    <x v="3"/>
    <n v="1"/>
    <n v="150000"/>
    <n v="100000"/>
    <n v="0.3"/>
    <n v="45000"/>
    <m/>
  </r>
  <r>
    <m/>
    <s v="Discoverer Inspiration"/>
    <s v="Transocean"/>
    <s v="Annual RWNDT Q1"/>
    <x v="2"/>
    <s v="Drilling"/>
    <s v="Pipeline"/>
    <x v="3"/>
    <m/>
    <x v="6"/>
    <x v="3"/>
    <n v="1"/>
    <n v="18810.5"/>
    <n v="18810.5"/>
    <n v="0.3"/>
    <n v="5643.15"/>
    <m/>
  </r>
  <r>
    <m/>
    <s v="Deepwater Pontus"/>
    <s v="Transocean"/>
    <s v="CCE"/>
    <x v="4"/>
    <s v="Drilling"/>
    <s v="Pipeline"/>
    <x v="3"/>
    <m/>
    <x v="6"/>
    <x v="3"/>
    <n v="1"/>
    <n v="15000"/>
    <n v="15000"/>
    <n v="0.3"/>
    <n v="4500"/>
    <m/>
  </r>
  <r>
    <m/>
    <s v="Deepwater Pontus "/>
    <s v="Transocean "/>
    <s v="CCE - Fixed price"/>
    <x v="4"/>
    <s v="Drilling"/>
    <s v="Pipeline"/>
    <x v="3"/>
    <m/>
    <x v="6"/>
    <x v="3"/>
    <n v="1"/>
    <n v="58784.22"/>
    <n v="58784.22"/>
    <n v="0.3"/>
    <n v="17635.266"/>
    <m/>
  </r>
  <r>
    <m/>
    <s v="Deepwater Proteus"/>
    <s v="Transocean "/>
    <s v="CCE - Fixed price"/>
    <x v="4"/>
    <s v="Drilling"/>
    <s v="Pipeline"/>
    <x v="3"/>
    <m/>
    <x v="3"/>
    <x v="3"/>
    <n v="1"/>
    <n v="59378"/>
    <n v="59378"/>
    <n v="0.3"/>
    <n v="17813.399999999998"/>
    <m/>
  </r>
  <r>
    <m/>
    <s v="Deepwater Pontus"/>
    <s v="Transocean"/>
    <s v="DROPS"/>
    <x v="5"/>
    <s v="Drilling"/>
    <s v="Pipeline"/>
    <x v="3"/>
    <m/>
    <x v="6"/>
    <x v="3"/>
    <n v="1"/>
    <n v="30000"/>
    <n v="30000"/>
    <n v="0.3"/>
    <n v="9000"/>
    <m/>
  </r>
  <r>
    <m/>
    <s v="Deepwater Asgard"/>
    <s v="Transocean"/>
    <s v="Annual RWNDT Q1"/>
    <x v="2"/>
    <s v="Drilling"/>
    <s v="Pipeline"/>
    <x v="3"/>
    <m/>
    <x v="9"/>
    <x v="3"/>
    <n v="1"/>
    <n v="18810.5"/>
    <n v="18810.5"/>
    <n v="0.3"/>
    <n v="5643.15"/>
    <m/>
  </r>
  <r>
    <m/>
    <s v="Deepwater Pontus "/>
    <s v="Transocean "/>
    <s v="NDT - Fixed price - Q2"/>
    <x v="2"/>
    <s v="Drilling"/>
    <s v="Pipeline"/>
    <x v="3"/>
    <m/>
    <x v="3"/>
    <x v="3"/>
    <n v="1"/>
    <n v="18622.271250000002"/>
    <n v="18622.271250000002"/>
    <n v="0.3"/>
    <n v="5586.6813750000001"/>
    <m/>
  </r>
  <r>
    <m/>
    <s v="Deepwater Poseidon"/>
    <s v="Transocean "/>
    <s v="NDT - Fixed price - Q2"/>
    <x v="2"/>
    <s v="Drilling"/>
    <s v="Pipeline"/>
    <x v="3"/>
    <m/>
    <x v="3"/>
    <x v="3"/>
    <n v="1"/>
    <n v="18622.271250000002"/>
    <n v="18622.271250000002"/>
    <n v="0.3"/>
    <n v="5586.6813750000001"/>
    <m/>
  </r>
  <r>
    <m/>
    <s v="Deepwater Proteus"/>
    <s v="Transocean "/>
    <s v="NDT - Fixed price - Q2"/>
    <x v="2"/>
    <s v="Drilling"/>
    <s v="Pipeline"/>
    <x v="3"/>
    <m/>
    <x v="3"/>
    <x v="3"/>
    <n v="1"/>
    <n v="18622.271250000002"/>
    <n v="18622.271250000002"/>
    <n v="0.3"/>
    <n v="5586.6813750000001"/>
    <m/>
  </r>
  <r>
    <m/>
    <s v="Out of the blue"/>
    <m/>
    <m/>
    <x v="3"/>
    <s v="Drilling"/>
    <s v="Out of the blue "/>
    <x v="1"/>
    <m/>
    <x v="3"/>
    <x v="3"/>
    <n v="1"/>
    <n v="150000"/>
    <n v="100000"/>
    <n v="0.3"/>
    <n v="45000"/>
    <m/>
  </r>
  <r>
    <m/>
    <s v="Discoverer Inspiration"/>
    <s v="Transocean "/>
    <s v="NDT - Fixed price - Q2"/>
    <x v="2"/>
    <s v="Drilling"/>
    <s v="Pipeline"/>
    <x v="3"/>
    <m/>
    <x v="6"/>
    <x v="3"/>
    <n v="1"/>
    <n v="5000"/>
    <n v="5000"/>
    <n v="0.3"/>
    <n v="1500"/>
    <m/>
  </r>
  <r>
    <m/>
    <s v="Deepwater Pontus"/>
    <s v="Transocean"/>
    <s v="RWNDT Q1"/>
    <x v="2"/>
    <s v="Drilling"/>
    <s v="Pipeline"/>
    <x v="3"/>
    <m/>
    <x v="6"/>
    <x v="3"/>
    <n v="1"/>
    <n v="18000"/>
    <n v="18000"/>
    <n v="0.3"/>
    <n v="8344.7999999999993"/>
    <m/>
  </r>
  <r>
    <m/>
    <s v="Deepwater Proteus"/>
    <s v="Transocean "/>
    <s v="DROPS - Fixed price"/>
    <x v="5"/>
    <s v="Drilling"/>
    <s v="Pipeline"/>
    <x v="3"/>
    <m/>
    <x v="3"/>
    <x v="3"/>
    <n v="1"/>
    <n v="30939"/>
    <n v="30939"/>
    <n v="0.3"/>
    <n v="9281.6999999999989"/>
    <m/>
  </r>
  <r>
    <m/>
    <s v="Deepwater Invictus"/>
    <s v="Transocean "/>
    <s v="CCE - Fixed price"/>
    <x v="4"/>
    <s v="Drilling"/>
    <s v="Pipeline"/>
    <x v="3"/>
    <m/>
    <x v="3"/>
    <x v="3"/>
    <n v="1"/>
    <n v="35000"/>
    <n v="3500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s v="Deepwater Proteus"/>
    <s v="Transocean"/>
    <s v="E-Mag inspection"/>
    <x v="2"/>
    <s v="Drilling"/>
    <s v="Pipeline"/>
    <x v="3"/>
    <m/>
    <x v="0"/>
    <x v="3"/>
    <n v="1"/>
    <n v="15000"/>
    <n v="15000"/>
    <n v="0.3"/>
    <n v="4500"/>
    <s v="Performed"/>
  </r>
  <r>
    <m/>
    <s v="Deepwater Proteus"/>
    <s v="Transocean "/>
    <s v="NDT - Fixed price - Q2"/>
    <x v="2"/>
    <s v="Drilling"/>
    <s v="Pipeline"/>
    <x v="3"/>
    <m/>
    <x v="0"/>
    <x v="3"/>
    <n v="1"/>
    <n v="5000"/>
    <n v="5000"/>
    <n v="0.3"/>
    <n v="1500"/>
    <s v="Performed"/>
  </r>
  <r>
    <m/>
    <s v="Deepwater Conqueror"/>
    <s v="Transocean "/>
    <s v="NDT - Fixed price - Q2"/>
    <x v="2"/>
    <s v="Drilling"/>
    <s v="Pipeline"/>
    <x v="3"/>
    <m/>
    <x v="0"/>
    <x v="3"/>
    <n v="1"/>
    <n v="10000"/>
    <n v="10000"/>
    <m/>
    <n v="0"/>
    <s v="Performed"/>
  </r>
  <r>
    <m/>
    <s v="Deepwater Invictus"/>
    <s v="Transocean "/>
    <s v="NDT - Fixed price - Q2"/>
    <x v="2"/>
    <s v="Drilling"/>
    <s v="Pipeline"/>
    <x v="3"/>
    <m/>
    <x v="0"/>
    <x v="3"/>
    <n v="1"/>
    <n v="4622"/>
    <n v="4622"/>
    <m/>
    <n v="0"/>
    <s v="Performed"/>
  </r>
  <r>
    <m/>
    <s v="Virginia Wind Clable Pulling"/>
    <s v="Subsea 7"/>
    <s v="Cable Pulling"/>
    <x v="12"/>
    <s v="Energy"/>
    <s v="Pipeline"/>
    <x v="3"/>
    <m/>
    <x v="0"/>
    <x v="3"/>
    <n v="1"/>
    <n v="50000"/>
    <n v="50000"/>
    <m/>
    <n v="0"/>
    <s v="Performed"/>
  </r>
  <r>
    <m/>
    <s v="Deepwater Thalassa"/>
    <s v="Transocean "/>
    <s v="DROPS - Fixed price"/>
    <x v="5"/>
    <s v="Drilling"/>
    <s v="Pipeline"/>
    <x v="3"/>
    <m/>
    <x v="0"/>
    <x v="3"/>
    <n v="1"/>
    <n v="30939"/>
    <n v="30939"/>
    <m/>
    <n v="0"/>
    <s v="Not Performed"/>
  </r>
  <r>
    <m/>
    <s v="Out of the blue"/>
    <m/>
    <s v="Out of the blue"/>
    <x v="3"/>
    <s v="Drilling"/>
    <s v="Out of the blue "/>
    <x v="1"/>
    <m/>
    <x v="0"/>
    <x v="3"/>
    <n v="1"/>
    <n v="150000"/>
    <n v="100000"/>
    <m/>
    <n v="0"/>
    <s v="Performed"/>
  </r>
  <r>
    <m/>
    <s v="Deepwater Conqueror"/>
    <s v="Transocean "/>
    <s v="BOP - Ram block inspection"/>
    <x v="2"/>
    <s v="Drilling"/>
    <s v="Pipeline"/>
    <x v="3"/>
    <m/>
    <x v="0"/>
    <x v="3"/>
    <n v="1"/>
    <n v="10000"/>
    <n v="10000"/>
    <m/>
    <n v="0"/>
    <s v="Performed"/>
  </r>
  <r>
    <m/>
    <s v="Sevan Louisiana"/>
    <s v="Seadrill"/>
    <s v="Towing padeyes inspection"/>
    <x v="2"/>
    <s v="Drilling"/>
    <s v="Pipeline"/>
    <x v="3"/>
    <s v="Q-HO-17691"/>
    <x v="0"/>
    <x v="3"/>
    <n v="1"/>
    <n v="29000"/>
    <n v="29000"/>
    <m/>
    <n v="0"/>
    <s v="Performed"/>
  </r>
  <r>
    <m/>
    <s v="Development Driller III"/>
    <s v="Transocean"/>
    <s v="E-DROPS Implementation"/>
    <x v="5"/>
    <s v="Drilling"/>
    <s v="Pipeline"/>
    <x v="4"/>
    <m/>
    <x v="9"/>
    <x v="3"/>
    <n v="1"/>
    <n v="15000"/>
    <n v="15000"/>
    <m/>
    <n v="0"/>
    <m/>
  </r>
  <r>
    <s v="202012-01"/>
    <s v="Deepwater Thalassa"/>
    <s v="Transocean "/>
    <s v="CCE - Fixed price"/>
    <x v="4"/>
    <s v="Drilling"/>
    <s v="Order backlog "/>
    <x v="0"/>
    <m/>
    <x v="11"/>
    <x v="1"/>
    <n v="1"/>
    <n v="40000"/>
    <n v="58000"/>
    <n v="0.3"/>
    <n v="12000"/>
    <m/>
  </r>
  <r>
    <s v="202005-04"/>
    <s v="Discoverer Inspiration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Noble Regina Allen"/>
    <s v="Noble"/>
    <s v="LGI"/>
    <x v="1"/>
    <s v="Drilling"/>
    <s v="Quoted"/>
    <x v="2"/>
    <m/>
    <x v="5"/>
    <x v="3"/>
    <n v="0.1"/>
    <n v="30000"/>
    <n v="3000"/>
    <m/>
    <n v="0"/>
    <m/>
  </r>
  <r>
    <m/>
    <s v="Deepwater Thalassa"/>
    <s v="Transocean"/>
    <s v="DROPS"/>
    <x v="5"/>
    <s v="Drilling"/>
    <s v="Order backlog "/>
    <x v="4"/>
    <m/>
    <x v="8"/>
    <x v="1"/>
    <n v="1"/>
    <n v="30000"/>
    <n v="30000"/>
    <m/>
    <n v="0"/>
    <m/>
  </r>
  <r>
    <s v="202005-01"/>
    <s v="Discoverer Inspiration"/>
    <s v="Transocean "/>
    <s v="CCE - Fixed price"/>
    <x v="4"/>
    <s v="Drilling"/>
    <s v="Order backlog "/>
    <x v="0"/>
    <m/>
    <x v="10"/>
    <x v="1"/>
    <n v="1"/>
    <n v="58784.22"/>
    <n v="28000"/>
    <m/>
    <n v="0"/>
    <m/>
  </r>
  <r>
    <s v="202005-01"/>
    <s v="Discoverer Inspiration"/>
    <s v="Transocean "/>
    <s v="CCE - Fixed price"/>
    <x v="4"/>
    <s v="Drilling"/>
    <s v="Order backlog "/>
    <x v="0"/>
    <m/>
    <x v="11"/>
    <x v="3"/>
    <n v="1"/>
    <n v="58784.22"/>
    <m/>
    <n v="0"/>
    <m/>
    <m/>
  </r>
  <r>
    <s v="202005-02"/>
    <s v="Discoverer Inspiration"/>
    <s v="Transocean "/>
    <s v="DROPS - Fixed price"/>
    <x v="5"/>
    <s v="Drilling"/>
    <s v="Order backlog "/>
    <x v="0"/>
    <m/>
    <x v="11"/>
    <x v="3"/>
    <n v="1"/>
    <n v="30629.61"/>
    <m/>
    <m/>
    <n v="0"/>
    <m/>
  </r>
  <r>
    <m/>
    <s v="Out of the blue"/>
    <m/>
    <m/>
    <x v="3"/>
    <s v="Drilling"/>
    <s v="Out of the blue "/>
    <x v="1"/>
    <m/>
    <x v="11"/>
    <x v="1"/>
    <n v="1"/>
    <n v="100000"/>
    <n v="100000"/>
    <m/>
    <n v="0"/>
    <m/>
  </r>
  <r>
    <m/>
    <s v="Discoverer Inspiration"/>
    <s v="Transocean"/>
    <s v="E-DROPS Implementation"/>
    <x v="5"/>
    <s v="Drilling"/>
    <s v="Order backlog "/>
    <x v="4"/>
    <m/>
    <x v="2"/>
    <x v="3"/>
    <n v="1"/>
    <n v="15000"/>
    <n v="15000"/>
    <m/>
    <n v="0"/>
    <m/>
  </r>
  <r>
    <m/>
    <s v="Deepwater Asgard"/>
    <s v="Transocean"/>
    <s v="E-DROPS Implementation"/>
    <x v="5"/>
    <s v="Drilling"/>
    <s v="Pipeline"/>
    <x v="4"/>
    <m/>
    <x v="9"/>
    <x v="3"/>
    <n v="1"/>
    <n v="15000"/>
    <n v="15000"/>
    <m/>
    <n v="0"/>
    <m/>
  </r>
  <r>
    <m/>
    <s v="Discoverer Inspiration"/>
    <s v="Transocean"/>
    <s v="Lars inspection"/>
    <x v="2"/>
    <s v="Drilling"/>
    <s v="Pipeline"/>
    <x v="3"/>
    <s v="Q-HO-17741"/>
    <x v="0"/>
    <x v="3"/>
    <n v="1"/>
    <n v="5000"/>
    <n v="5000"/>
    <m/>
    <n v="0"/>
    <s v="Not Performed"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s v="Deepwater Pontus "/>
    <s v="Transocean "/>
    <s v="HP/LP - Fixed price"/>
    <x v="7"/>
    <s v="Drilling"/>
    <s v="Pipeline"/>
    <x v="3"/>
    <m/>
    <x v="5"/>
    <x v="3"/>
    <n v="1"/>
    <n v="13000"/>
    <n v="13000"/>
    <m/>
    <n v="0"/>
    <m/>
  </r>
  <r>
    <m/>
    <s v="Deepwater Pontus "/>
    <s v="Transocean "/>
    <s v="EX - Fixed price"/>
    <x v="9"/>
    <s v="Drilling"/>
    <s v="Pipeline"/>
    <x v="3"/>
    <m/>
    <x v="5"/>
    <x v="3"/>
    <n v="1"/>
    <n v="10513.8"/>
    <n v="10513.8"/>
    <m/>
    <n v="0"/>
    <m/>
  </r>
  <r>
    <m/>
    <s v="Deepwater Poseidon"/>
    <s v="Transocean "/>
    <s v="NDT - Fixed price - Q3"/>
    <x v="2"/>
    <s v="Drilling"/>
    <s v="Pipeline"/>
    <x v="3"/>
    <m/>
    <x v="5"/>
    <x v="3"/>
    <n v="1"/>
    <n v="7000"/>
    <n v="7000"/>
    <m/>
    <m/>
    <m/>
  </r>
  <r>
    <m/>
    <s v="Deepwater Poseidon"/>
    <s v="Transocean "/>
    <s v="HP/LP - Fixed price"/>
    <x v="7"/>
    <s v="Drilling"/>
    <s v="Pipeline"/>
    <x v="3"/>
    <m/>
    <x v="5"/>
    <x v="3"/>
    <n v="1"/>
    <n v="12000"/>
    <n v="12000"/>
    <m/>
    <n v="0"/>
    <m/>
  </r>
  <r>
    <s v="201911-04"/>
    <s v="Deepwater Proteus"/>
    <s v="Transocean"/>
    <s v="Annual RWNDT Q3"/>
    <x v="2"/>
    <s v="Drilling"/>
    <s v="Pipeline"/>
    <x v="3"/>
    <m/>
    <x v="5"/>
    <x v="3"/>
    <n v="1"/>
    <n v="10000"/>
    <n v="10000"/>
    <n v="0.3"/>
    <n v="3000"/>
    <m/>
  </r>
  <r>
    <m/>
    <s v="Out of the blue"/>
    <m/>
    <m/>
    <x v="3"/>
    <s v="Drilling"/>
    <s v="Out of the blue"/>
    <x v="1"/>
    <m/>
    <x v="5"/>
    <x v="3"/>
    <n v="1"/>
    <n v="225000"/>
    <n v="10000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s v="DD3"/>
    <s v="Transocean"/>
    <s v="RWNDT 3rd Q"/>
    <x v="1"/>
    <s v="Drilling"/>
    <s v="Won"/>
    <x v="3"/>
    <m/>
    <x v="4"/>
    <x v="3"/>
    <n v="1"/>
    <n v="12000"/>
    <n v="12000"/>
    <n v="0.3"/>
    <n v="3600"/>
    <m/>
  </r>
  <r>
    <m/>
    <s v="Deepwater Pontus "/>
    <s v="Transocean "/>
    <s v="HP/LP - Fixed price"/>
    <x v="7"/>
    <s v="Drilling"/>
    <s v="Order backlog "/>
    <x v="3"/>
    <m/>
    <x v="4"/>
    <x v="3"/>
    <n v="1"/>
    <n v="14537"/>
    <n v="14537"/>
    <m/>
    <n v="0"/>
    <m/>
  </r>
  <r>
    <m/>
    <s v="Deepwater Poseidon"/>
    <s v="Transocean "/>
    <s v="HP/LP - Fixed price"/>
    <x v="7"/>
    <s v="Drilling"/>
    <s v="Order backlog "/>
    <x v="3"/>
    <m/>
    <x v="4"/>
    <x v="3"/>
    <n v="1"/>
    <n v="15000"/>
    <n v="15000"/>
    <m/>
    <n v="0"/>
    <m/>
  </r>
  <r>
    <m/>
    <s v="Deepwater Pontus"/>
    <s v="Transocean"/>
    <s v="RWNDT Q3"/>
    <x v="2"/>
    <s v="Drilling"/>
    <s v="Won"/>
    <x v="3"/>
    <m/>
    <x v="4"/>
    <x v="3"/>
    <n v="1"/>
    <n v="18622"/>
    <n v="18622"/>
    <n v="0.3"/>
    <n v="8344.7999999999993"/>
    <m/>
  </r>
  <r>
    <m/>
    <s v="DD3"/>
    <s v="Transocean "/>
    <s v="Piping"/>
    <x v="2"/>
    <s v="Drilling"/>
    <s v="Won"/>
    <x v="3"/>
    <m/>
    <x v="4"/>
    <x v="3"/>
    <n v="1"/>
    <n v="19000"/>
    <n v="19000"/>
    <n v="0.3"/>
    <n v="5700"/>
    <m/>
  </r>
  <r>
    <m/>
    <s v="DD3 - DROPS"/>
    <s v="Transocean"/>
    <s v="Annual DROPS"/>
    <x v="5"/>
    <s v="Drilling"/>
    <s v="Won"/>
    <x v="3"/>
    <m/>
    <x v="4"/>
    <x v="3"/>
    <n v="1"/>
    <n v="20000"/>
    <n v="20000"/>
    <n v="0.3"/>
    <n v="6000"/>
    <m/>
  </r>
  <r>
    <m/>
    <s v="Deepwater Conqueror"/>
    <s v="Transocean "/>
    <s v="LLG - Fixed price"/>
    <x v="1"/>
    <s v="Drilling"/>
    <s v="Order backlog "/>
    <x v="3"/>
    <m/>
    <x v="4"/>
    <x v="3"/>
    <n v="1"/>
    <n v="21000"/>
    <n v="21000"/>
    <m/>
    <m/>
    <m/>
  </r>
  <r>
    <m/>
    <s v="Out of the blue"/>
    <m/>
    <m/>
    <x v="3"/>
    <s v="Drilling"/>
    <s v="Out of the blue "/>
    <x v="1"/>
    <m/>
    <x v="4"/>
    <x v="3"/>
    <n v="1"/>
    <n v="200000"/>
    <n v="100000"/>
    <m/>
    <n v="0"/>
    <m/>
  </r>
  <r>
    <m/>
    <s v="Deepwater Thalassa"/>
    <s v="Transocean "/>
    <s v="Elevator - Fixed price"/>
    <x v="6"/>
    <s v="Drilling"/>
    <s v="Order backlog "/>
    <x v="3"/>
    <m/>
    <x v="4"/>
    <x v="3"/>
    <n v="1"/>
    <n v="13900"/>
    <n v="13900"/>
    <m/>
    <m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s v="Other"/>
    <m/>
    <x v="11"/>
    <m/>
    <s v="Pipeline"/>
    <x v="3"/>
    <m/>
    <x v="3"/>
    <x v="3"/>
    <n v="1"/>
    <n v="35000"/>
    <n v="50000"/>
    <m/>
    <n v="0"/>
    <m/>
  </r>
  <r>
    <m/>
    <m/>
    <s v="Other"/>
    <m/>
    <x v="11"/>
    <m/>
    <s v="Pipeline"/>
    <x v="3"/>
    <m/>
    <x v="0"/>
    <x v="3"/>
    <n v="1"/>
    <n v="35000"/>
    <n v="70000"/>
    <m/>
    <n v="0"/>
    <m/>
  </r>
  <r>
    <m/>
    <m/>
    <s v="Other"/>
    <m/>
    <x v="11"/>
    <m/>
    <s v="Pipeline"/>
    <x v="3"/>
    <m/>
    <x v="5"/>
    <x v="3"/>
    <n v="1"/>
    <n v="35000"/>
    <n v="70000"/>
    <m/>
    <n v="0"/>
    <m/>
  </r>
  <r>
    <m/>
    <m/>
    <s v="Other"/>
    <m/>
    <x v="11"/>
    <m/>
    <s v="Pipeline"/>
    <x v="3"/>
    <m/>
    <x v="4"/>
    <x v="3"/>
    <n v="1"/>
    <n v="70000"/>
    <n v="150000"/>
    <m/>
    <n v="0"/>
    <m/>
  </r>
  <r>
    <m/>
    <m/>
    <s v="Other"/>
    <m/>
    <x v="11"/>
    <m/>
    <s v="Pipeline"/>
    <x v="3"/>
    <m/>
    <x v="12"/>
    <x v="4"/>
    <m/>
    <m/>
    <n v="0"/>
    <m/>
    <n v="0"/>
    <m/>
  </r>
  <r>
    <m/>
    <s v="Deepwater Poseidon"/>
    <s v="Transocean "/>
    <s v="NDT - Fixed price - Q4"/>
    <x v="2"/>
    <s v="Drilling"/>
    <s v="Order backlog "/>
    <x v="0"/>
    <m/>
    <x v="7"/>
    <x v="3"/>
    <n v="1"/>
    <n v="8622"/>
    <n v="0.3"/>
    <n v="2586.6"/>
    <n v="22301665.199999999"/>
    <m/>
  </r>
  <r>
    <m/>
    <s v="Deepwater Poseidon"/>
    <s v="Transocean "/>
    <s v="CCE - Fixed price"/>
    <x v="4"/>
    <s v="Drilling"/>
    <s v="Order backlog "/>
    <x v="0"/>
    <m/>
    <x v="7"/>
    <x v="3"/>
    <n v="1"/>
    <n v="58000"/>
    <n v="0.3"/>
    <n v="17400"/>
    <n v="1009200000"/>
    <m/>
  </r>
  <r>
    <m/>
    <s v="Deepwater Poseidon"/>
    <s v="Transocean "/>
    <s v="DROPS - Fixed price"/>
    <x v="5"/>
    <s v="Drilling"/>
    <s v="Order backlog "/>
    <x v="0"/>
    <m/>
    <x v="7"/>
    <x v="3"/>
    <n v="1"/>
    <n v="30939"/>
    <n v="30939"/>
    <n v="9281.6999999999989"/>
    <n v="287166516.29999995"/>
    <m/>
  </r>
  <r>
    <m/>
    <s v="Deepwater Poseidon"/>
    <s v="Transocean "/>
    <s v="Elevator - Fixed price"/>
    <x v="6"/>
    <s v="Drilling"/>
    <s v="Order backlog "/>
    <x v="0"/>
    <m/>
    <x v="7"/>
    <x v="3"/>
    <n v="1"/>
    <n v="13900"/>
    <n v="0.3"/>
    <n v="4170"/>
    <n v="57963000"/>
    <m/>
  </r>
  <r>
    <m/>
    <s v="Deepwater Thalassa"/>
    <s v="Transocean "/>
    <s v="HP/LP - Fixed price"/>
    <x v="7"/>
    <s v="Drilling"/>
    <s v="Order backlog "/>
    <x v="0"/>
    <m/>
    <x v="7"/>
    <x v="3"/>
    <n v="1"/>
    <n v="13908"/>
    <n v="0.3"/>
    <n v="4172.3999999999996"/>
    <n v="58029739.199999996"/>
    <m/>
  </r>
  <r>
    <m/>
    <s v="Deepwater Thalassa"/>
    <s v="Transocean "/>
    <s v="CCE - Fixed price"/>
    <x v="4"/>
    <s v="Drilling"/>
    <s v="Order backlog "/>
    <x v="0"/>
    <m/>
    <x v="7"/>
    <x v="3"/>
    <n v="1"/>
    <n v="19000"/>
    <n v="0.3"/>
    <n v="5700"/>
    <n v="108300000"/>
    <m/>
  </r>
  <r>
    <m/>
    <s v="HP1"/>
    <s v="Helix "/>
    <s v="Annual inspections"/>
    <x v="2"/>
    <s v="Energy"/>
    <s v="Won"/>
    <x v="0"/>
    <m/>
    <x v="7"/>
    <x v="3"/>
    <n v="1"/>
    <n v="25000"/>
    <n v="0.3"/>
    <n v="7500"/>
    <n v="187500000"/>
    <m/>
  </r>
  <r>
    <m/>
    <s v="Out of the blue"/>
    <m/>
    <m/>
    <x v="3"/>
    <s v="Drilling"/>
    <s v="Out of the blue "/>
    <x v="1"/>
    <m/>
    <x v="7"/>
    <x v="3"/>
    <n v="1"/>
    <n v="100000"/>
    <n v="100000"/>
    <n v="30000"/>
    <n v="3000000000"/>
    <m/>
  </r>
  <r>
    <m/>
    <s v="Q5000"/>
    <s v="Helix "/>
    <s v="Annual inspections"/>
    <x v="2"/>
    <s v="Energy"/>
    <s v="Won"/>
    <x v="0"/>
    <m/>
    <x v="7"/>
    <x v="3"/>
    <n v="1"/>
    <n v="60000"/>
    <n v="0.3"/>
    <n v="18000"/>
    <n v="1080000000"/>
    <m/>
  </r>
  <r>
    <m/>
    <s v="Seadrill"/>
    <s v="Marine"/>
    <s v="MWS/Marine "/>
    <x v="2"/>
    <s v="Drilling"/>
    <s v="Pipeline "/>
    <x v="3"/>
    <m/>
    <x v="7"/>
    <x v="3"/>
    <n v="1"/>
    <n v="13500"/>
    <n v="0.3"/>
    <n v="4050"/>
    <n v="54675000"/>
    <m/>
  </r>
  <r>
    <m/>
    <s v="Valaris 8505"/>
    <s v="Valaris"/>
    <m/>
    <x v="4"/>
    <s v="Drilling"/>
    <s v="Won"/>
    <x v="0"/>
    <m/>
    <x v="7"/>
    <x v="3"/>
    <n v="1"/>
    <n v="14000"/>
    <n v="0.3"/>
    <n v="15000"/>
    <n v="21000000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n v="1275000"/>
    <n v="800000"/>
    <m/>
    <m/>
    <m/>
  </r>
  <r>
    <m/>
    <m/>
    <m/>
    <m/>
    <x v="11"/>
    <m/>
    <m/>
    <x v="5"/>
    <m/>
    <x v="12"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2">
  <r>
    <s v="-"/>
    <s v="Equinor"/>
    <s v="Equinor"/>
    <s v="Seatrax cranes commissioning"/>
    <x v="0"/>
    <s v="Energy"/>
    <s v="Won"/>
    <x v="0"/>
    <m/>
    <x v="0"/>
    <x v="0"/>
    <n v="1"/>
    <n v="20000"/>
    <n v="20000"/>
    <n v="0.45"/>
    <n v="9000"/>
    <m/>
  </r>
  <r>
    <s v="-"/>
    <s v="Equinor"/>
    <s v="Equinor"/>
    <s v="Seatrax cranes commissioning"/>
    <x v="0"/>
    <s v="Energy"/>
    <s v="Won"/>
    <x v="0"/>
    <m/>
    <x v="1"/>
    <x v="0"/>
    <n v="1"/>
    <n v="45000"/>
    <n v="45000"/>
    <n v="0.45"/>
    <n v="20250"/>
    <m/>
  </r>
  <r>
    <s v="-"/>
    <s v="HP1"/>
    <s v="Helix"/>
    <s v="Shipyard"/>
    <x v="1"/>
    <s v="Drilling"/>
    <s v="Won"/>
    <x v="0"/>
    <m/>
    <x v="2"/>
    <x v="0"/>
    <n v="1"/>
    <n v="35000"/>
    <n v="35000"/>
    <n v="0.35"/>
    <n v="12250"/>
    <m/>
  </r>
  <r>
    <s v="618038-1"/>
    <s v="FPSO Commsa"/>
    <s v="Commsa"/>
    <s v="Rigging support"/>
    <x v="2"/>
    <s v="Energy"/>
    <s v="Won"/>
    <x v="0"/>
    <m/>
    <x v="2"/>
    <x v="1"/>
    <n v="1"/>
    <n v="60000"/>
    <n v="60000"/>
    <n v="0.3"/>
    <n v="15000"/>
    <m/>
  </r>
  <r>
    <s v="-"/>
    <s v="Out of the blue"/>
    <m/>
    <m/>
    <x v="3"/>
    <m/>
    <m/>
    <x v="1"/>
    <m/>
    <x v="3"/>
    <x v="0"/>
    <n v="1"/>
    <n v="50000"/>
    <n v="50000"/>
    <n v="0.3"/>
    <n v="15000"/>
    <m/>
  </r>
  <r>
    <s v="-"/>
    <s v="Out of the blue"/>
    <m/>
    <m/>
    <x v="3"/>
    <m/>
    <m/>
    <x v="1"/>
    <m/>
    <x v="4"/>
    <x v="0"/>
    <n v="1"/>
    <n v="150000"/>
    <n v="150000"/>
    <n v="0.3"/>
    <n v="45000"/>
    <m/>
  </r>
  <r>
    <s v="-"/>
    <s v="Out of the blue"/>
    <m/>
    <m/>
    <x v="3"/>
    <m/>
    <m/>
    <x v="1"/>
    <m/>
    <x v="2"/>
    <x v="0"/>
    <n v="1"/>
    <n v="100000"/>
    <n v="100000"/>
    <n v="0.3"/>
    <n v="30000"/>
    <m/>
  </r>
  <r>
    <s v="-"/>
    <s v="Q4000"/>
    <s v="Helix"/>
    <s v="Shipyard"/>
    <x v="1"/>
    <s v="Drilling"/>
    <s v="Won"/>
    <x v="0"/>
    <m/>
    <x v="2"/>
    <x v="1"/>
    <n v="1"/>
    <n v="100000"/>
    <n v="100000"/>
    <n v="0.35"/>
    <n v="35000"/>
    <m/>
  </r>
  <r>
    <s v="-"/>
    <s v="Out of the blue"/>
    <m/>
    <m/>
    <x v="3"/>
    <m/>
    <m/>
    <x v="1"/>
    <m/>
    <x v="5"/>
    <x v="0"/>
    <n v="1"/>
    <n v="150000"/>
    <n v="150000"/>
    <n v="0.3"/>
    <n v="45000"/>
    <m/>
  </r>
  <r>
    <s v="-"/>
    <s v="Out of the blue"/>
    <m/>
    <m/>
    <x v="3"/>
    <m/>
    <m/>
    <x v="1"/>
    <m/>
    <x v="0"/>
    <x v="0"/>
    <n v="1"/>
    <n v="150000"/>
    <n v="150000"/>
    <n v="0.3"/>
    <n v="45000"/>
    <m/>
  </r>
  <r>
    <s v="-"/>
    <s v="Out of the blue"/>
    <m/>
    <m/>
    <x v="3"/>
    <m/>
    <m/>
    <x v="1"/>
    <m/>
    <x v="6"/>
    <x v="0"/>
    <n v="1"/>
    <n v="100000"/>
    <n v="100000"/>
    <n v="0.3"/>
    <n v="30000"/>
    <m/>
  </r>
  <r>
    <s v="-"/>
    <s v="Out of the blue"/>
    <m/>
    <m/>
    <x v="3"/>
    <m/>
    <m/>
    <x v="1"/>
    <m/>
    <x v="1"/>
    <x v="0"/>
    <n v="1"/>
    <n v="150000"/>
    <n v="150000"/>
    <n v="0.3"/>
    <n v="45000"/>
    <m/>
  </r>
  <r>
    <s v="-"/>
    <s v="Out of the blue"/>
    <m/>
    <m/>
    <x v="3"/>
    <m/>
    <m/>
    <x v="1"/>
    <m/>
    <x v="7"/>
    <x v="0"/>
    <n v="1"/>
    <n v="150000"/>
    <n v="150000"/>
    <n v="0.3"/>
    <n v="45000"/>
    <m/>
  </r>
  <r>
    <s v="-"/>
    <s v="Out of the blue"/>
    <m/>
    <m/>
    <x v="3"/>
    <m/>
    <m/>
    <x v="1"/>
    <m/>
    <x v="8"/>
    <x v="0"/>
    <n v="1"/>
    <n v="150000"/>
    <n v="150000"/>
    <n v="0.3"/>
    <n v="45000"/>
    <m/>
  </r>
  <r>
    <s v="-"/>
    <s v="Q5000"/>
    <s v="Helix"/>
    <s v="Q5000 - NDT on Canyon Offshore ROV Deployment System"/>
    <x v="2"/>
    <s v="Drilling"/>
    <s v="Quote"/>
    <x v="2"/>
    <s v="Q-HO-14653"/>
    <x v="3"/>
    <x v="0"/>
    <n v="0.25"/>
    <n v="579"/>
    <n v="144.75"/>
    <n v="0.35"/>
    <n v="202.64999999999998"/>
    <m/>
  </r>
  <r>
    <s v="-01"/>
    <s v="Q4000"/>
    <s v="Helix"/>
    <s v="Annual survey"/>
    <x v="1"/>
    <s v="Drilling"/>
    <s v="Won"/>
    <x v="0"/>
    <m/>
    <x v="3"/>
    <x v="0"/>
    <n v="1"/>
    <n v="45000"/>
    <n v="45000"/>
    <n v="0.35"/>
    <n v="15749.999999999998"/>
    <m/>
  </r>
  <r>
    <s v="-01"/>
    <s v="Q5000"/>
    <s v="Helix"/>
    <s v="PSV calibration"/>
    <x v="1"/>
    <s v="Drilling"/>
    <s v="Won"/>
    <x v="0"/>
    <m/>
    <x v="3"/>
    <x v="0"/>
    <n v="0.5"/>
    <n v="15000"/>
    <n v="7500"/>
    <n v="0.35"/>
    <n v="5250"/>
    <m/>
  </r>
  <r>
    <s v="201903-01"/>
    <s v="Deepwater Asgard"/>
    <s v="Transocean"/>
    <s v="Annual CCE"/>
    <x v="4"/>
    <s v="Drilling"/>
    <s v="Won"/>
    <x v="0"/>
    <m/>
    <x v="2"/>
    <x v="1"/>
    <n v="1"/>
    <n v="0"/>
    <n v="0"/>
    <n v="0.3"/>
    <n v="17813.399999999998"/>
    <m/>
  </r>
  <r>
    <s v="618038-01"/>
    <s v="Mizton"/>
    <s v="Commsa"/>
    <s v="Rigging support"/>
    <x v="2"/>
    <s v="Energy"/>
    <s v="Won"/>
    <x v="0"/>
    <m/>
    <x v="6"/>
    <x v="1"/>
    <n v="1"/>
    <n v="70000"/>
    <n v="70000"/>
    <n v="0.3"/>
    <n v="21000"/>
    <m/>
  </r>
  <r>
    <s v="-01"/>
    <s v="Q5000"/>
    <s v="Helix"/>
    <s v="PSV calibration"/>
    <x v="1"/>
    <s v="Drilling"/>
    <s v="Quote"/>
    <x v="2"/>
    <m/>
    <x v="6"/>
    <x v="0"/>
    <n v="0.5"/>
    <n v="15000"/>
    <n v="7500"/>
    <n v="0.35"/>
    <n v="5250"/>
    <m/>
  </r>
  <r>
    <s v="201902-01"/>
    <s v="Deepwater Conqueror"/>
    <s v="Transocean"/>
    <s v="Annual CCE"/>
    <x v="0"/>
    <s v="Drilling"/>
    <s v="Won"/>
    <x v="0"/>
    <m/>
    <x v="8"/>
    <x v="0"/>
    <n v="1"/>
    <n v="59378"/>
    <n v="59378"/>
    <n v="0.3"/>
    <n v="17813.399999999998"/>
    <m/>
  </r>
  <r>
    <s v="201902-02"/>
    <s v="Deepwater Conqueror"/>
    <s v="Transocean"/>
    <s v="Annual DROPS"/>
    <x v="5"/>
    <s v="Drilling"/>
    <s v="Won"/>
    <x v="0"/>
    <m/>
    <x v="8"/>
    <x v="0"/>
    <n v="1"/>
    <n v="30939"/>
    <n v="30939"/>
    <n v="0.3"/>
    <n v="9281.6999999999989"/>
    <m/>
  </r>
  <r>
    <s v="201902-03"/>
    <s v="Deepwater Conqueror"/>
    <s v="Transocean"/>
    <s v="Annual LGI"/>
    <x v="1"/>
    <s v="Drilling"/>
    <s v="Won"/>
    <x v="0"/>
    <m/>
    <x v="4"/>
    <x v="0"/>
    <n v="1"/>
    <n v="31000"/>
    <n v="31000"/>
    <n v="0.3"/>
    <n v="9300"/>
    <m/>
  </r>
  <r>
    <s v="201902-04"/>
    <s v="Deepwater Conqueror"/>
    <s v="Transocean"/>
    <s v="Annual RWNDT Q2"/>
    <x v="2"/>
    <s v="Drilling"/>
    <s v="Won"/>
    <x v="0"/>
    <m/>
    <x v="0"/>
    <x v="0"/>
    <n v="1"/>
    <n v="18810.5"/>
    <n v="18810.5"/>
    <n v="0.3"/>
    <n v="5643.15"/>
    <m/>
  </r>
  <r>
    <s v="201902-04"/>
    <s v="Deepwater Conqueror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2-04"/>
    <s v="Deepwater Conqueror"/>
    <s v="Transocean"/>
    <s v="Annual RWNDT Q3"/>
    <x v="2"/>
    <s v="Drilling"/>
    <s v="Won"/>
    <x v="0"/>
    <m/>
    <x v="8"/>
    <x v="0"/>
    <n v="1"/>
    <n v="18810.5"/>
    <n v="18810.5"/>
    <n v="0.3"/>
    <n v="5643.15"/>
    <m/>
  </r>
  <r>
    <s v="201905-03"/>
    <s v="Discoverer Inspiration"/>
    <s v="Transocean"/>
    <s v="Annual LGI"/>
    <x v="1"/>
    <s v="Drilling"/>
    <s v="Won"/>
    <x v="0"/>
    <m/>
    <x v="2"/>
    <x v="1"/>
    <n v="1"/>
    <n v="25000"/>
    <n v="25000"/>
    <n v="0.3"/>
    <n v="4500"/>
    <m/>
  </r>
  <r>
    <s v="201902-07"/>
    <s v="Deepwater Conqueror"/>
    <s v="Transocean"/>
    <s v="Annual Elevators "/>
    <x v="1"/>
    <s v="Drilling"/>
    <s v="Won"/>
    <x v="0"/>
    <m/>
    <x v="8"/>
    <x v="0"/>
    <n v="1"/>
    <n v="13900"/>
    <n v="13900"/>
    <n v="0.3"/>
    <n v="4170"/>
    <m/>
  </r>
  <r>
    <s v="619051-01"/>
    <s v="Q4000"/>
    <s v="Helix"/>
    <s v="Yard stay"/>
    <x v="3"/>
    <s v="Drilling"/>
    <s v="Won"/>
    <x v="0"/>
    <m/>
    <x v="6"/>
    <x v="1"/>
    <n v="1"/>
    <n v="75000"/>
    <n v="75000"/>
    <n v="0.35"/>
    <n v="26250"/>
    <m/>
  </r>
  <r>
    <s v="201914-02"/>
    <s v="Deepwater Invictus"/>
    <s v="Transocean"/>
    <s v="Annual DROPS"/>
    <x v="5"/>
    <s v="Drilling"/>
    <s v="Won"/>
    <x v="0"/>
    <m/>
    <x v="2"/>
    <x v="1"/>
    <n v="1"/>
    <n v="28000"/>
    <n v="28000"/>
    <n v="0.3"/>
    <n v="8400"/>
    <m/>
  </r>
  <r>
    <s v="202011-03"/>
    <s v="Deepwater Proteus"/>
    <s v="Transocean"/>
    <s v="Annual LGI"/>
    <x v="1"/>
    <s v="Drilling"/>
    <s v="Won"/>
    <x v="0"/>
    <m/>
    <x v="2"/>
    <x v="1"/>
    <n v="1"/>
    <n v="31969"/>
    <n v="31969"/>
    <n v="0.19"/>
    <n v="6074.11"/>
    <m/>
  </r>
  <r>
    <s v="201912-03"/>
    <s v="Deepwater Thalassa"/>
    <s v="Transocean"/>
    <s v="Annual LGI"/>
    <x v="1"/>
    <s v="Drilling"/>
    <s v="Won"/>
    <x v="0"/>
    <m/>
    <x v="2"/>
    <x v="1"/>
    <n v="1"/>
    <n v="31969"/>
    <n v="31969"/>
    <n v="0.19"/>
    <n v="6074.11"/>
    <m/>
  </r>
  <r>
    <s v="201903-05"/>
    <s v="Deepwater Asgard"/>
    <s v="Transocean"/>
    <s v="Annual Pressurized Systems"/>
    <x v="6"/>
    <s v="Drilling"/>
    <s v="Won"/>
    <x v="0"/>
    <m/>
    <x v="1"/>
    <x v="1"/>
    <n v="1"/>
    <n v="13900"/>
    <n v="13900"/>
    <n v="0.3"/>
    <n v="4170"/>
    <m/>
  </r>
  <r>
    <s v="201903-02"/>
    <s v="Deepwater Asgard"/>
    <s v="Transocean"/>
    <s v="Annual DROPS"/>
    <x v="5"/>
    <s v="Drilling"/>
    <s v="Won"/>
    <x v="0"/>
    <m/>
    <x v="6"/>
    <x v="0"/>
    <n v="1"/>
    <n v="30939"/>
    <n v="30939"/>
    <n v="0.3"/>
    <n v="9281.6999999999989"/>
    <m/>
  </r>
  <r>
    <s v="201903-03"/>
    <s v="Deepwater Asgard"/>
    <s v="Transocean"/>
    <s v="Annual LGI"/>
    <x v="1"/>
    <s v="Drilling"/>
    <s v="Won"/>
    <x v="0"/>
    <m/>
    <x v="3"/>
    <x v="0"/>
    <n v="1"/>
    <n v="9000"/>
    <n v="9000"/>
    <n v="0.3"/>
    <n v="2700"/>
    <m/>
  </r>
  <r>
    <s v="-"/>
    <s v="Q5000"/>
    <s v="Helix"/>
    <s v="Shipyard"/>
    <x v="1"/>
    <s v="Drilling"/>
    <s v="Won"/>
    <x v="0"/>
    <m/>
    <x v="2"/>
    <x v="1"/>
    <n v="1"/>
    <n v="16000"/>
    <n v="16000"/>
    <n v="0.35"/>
    <n v="5600"/>
    <m/>
  </r>
  <r>
    <m/>
    <s v="Borr CME1"/>
    <s v="Borr"/>
    <s v="UWILD"/>
    <x v="2"/>
    <s v="Drilling"/>
    <s v="Won"/>
    <x v="0"/>
    <m/>
    <x v="9"/>
    <x v="1"/>
    <n v="1"/>
    <n v="100000"/>
    <n v="100000"/>
    <n v="0.3"/>
    <n v="30000"/>
    <m/>
  </r>
  <r>
    <m/>
    <s v="Borr CME1"/>
    <s v="Borr"/>
    <s v="UWILD"/>
    <x v="2"/>
    <s v="Drilling"/>
    <s v="Won"/>
    <x v="0"/>
    <m/>
    <x v="2"/>
    <x v="1"/>
    <n v="1"/>
    <n v="25000"/>
    <n v="25000"/>
    <n v="0.3"/>
    <n v="7500"/>
    <m/>
  </r>
  <r>
    <s v="201903-03"/>
    <s v="Deepwater Asgard"/>
    <s v="Transocean"/>
    <s v="Annual LGI"/>
    <x v="1"/>
    <s v="Drilling"/>
    <s v="Won"/>
    <x v="0"/>
    <m/>
    <x v="6"/>
    <x v="0"/>
    <n v="1"/>
    <n v="22969"/>
    <n v="22969"/>
    <n v="0.3"/>
    <n v="6890.7"/>
    <m/>
  </r>
  <r>
    <s v="201903-04"/>
    <s v="Deepwater Asgard"/>
    <s v="Transocean"/>
    <s v="Annual RWNDT Q3"/>
    <x v="2"/>
    <s v="Drilling"/>
    <s v="Won"/>
    <x v="0"/>
    <m/>
    <x v="4"/>
    <x v="0"/>
    <n v="1"/>
    <n v="18000"/>
    <n v="18000"/>
    <n v="0.3"/>
    <n v="5400"/>
    <m/>
  </r>
  <r>
    <s v="201903-04"/>
    <s v="Deepwater Asgard"/>
    <s v="Transocean"/>
    <s v="Annual RWNDT Q3"/>
    <x v="2"/>
    <s v="Drilling"/>
    <s v="Won"/>
    <x v="0"/>
    <m/>
    <x v="5"/>
    <x v="0"/>
    <n v="1"/>
    <n v="16500"/>
    <n v="16500"/>
    <n v="0.3"/>
    <n v="4950"/>
    <m/>
  </r>
  <r>
    <s v="201903-04"/>
    <s v="Deepwater Asgard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3-04"/>
    <s v="Deepwater Asgard"/>
    <s v="Transocean"/>
    <s v="Annual RWNDT Q2"/>
    <x v="2"/>
    <s v="Drilling"/>
    <s v="Won"/>
    <x v="0"/>
    <m/>
    <x v="1"/>
    <x v="0"/>
    <n v="1"/>
    <n v="18810.5"/>
    <n v="18810.5"/>
    <n v="0.3"/>
    <n v="5643.15"/>
    <m/>
  </r>
  <r>
    <s v="201903-05"/>
    <s v="Deepwater Asgard"/>
    <s v="Transocean"/>
    <s v="Annual Pressurized Systems"/>
    <x v="7"/>
    <s v="Drilling"/>
    <s v="Won"/>
    <x v="0"/>
    <m/>
    <x v="6"/>
    <x v="0"/>
    <n v="1"/>
    <n v="27816"/>
    <n v="27816"/>
    <n v="0.3"/>
    <n v="8344.7999999999993"/>
    <m/>
  </r>
  <r>
    <s v="201903-07"/>
    <s v="Deepwater Asgard"/>
    <s v="Transocean"/>
    <s v="Annual Elevators"/>
    <x v="1"/>
    <s v="Drilling"/>
    <s v="Won"/>
    <x v="0"/>
    <m/>
    <x v="1"/>
    <x v="0"/>
    <n v="1"/>
    <n v="13900"/>
    <n v="13900"/>
    <n v="0.3"/>
    <n v="4170"/>
    <m/>
  </r>
  <r>
    <s v="-"/>
    <s v="Out of the blue"/>
    <m/>
    <m/>
    <x v="3"/>
    <s v="Drilling"/>
    <s v="Won"/>
    <x v="1"/>
    <m/>
    <x v="9"/>
    <x v="1"/>
    <n v="1"/>
    <n v="100000"/>
    <n v="100000"/>
    <n v="0.3"/>
    <n v="30000"/>
    <m/>
  </r>
  <r>
    <s v="201904-03"/>
    <s v="Discoverer India"/>
    <s v="Transocean"/>
    <s v="Annual LGI"/>
    <x v="1"/>
    <s v="Drilling"/>
    <s v="Won"/>
    <x v="0"/>
    <m/>
    <x v="4"/>
    <x v="0"/>
    <n v="1"/>
    <n v="22000"/>
    <n v="22000"/>
    <n v="0.3"/>
    <n v="6600"/>
    <m/>
  </r>
  <r>
    <s v="201904-05"/>
    <s v="Discoverer India"/>
    <s v="Transocean"/>
    <s v="Annual DROPS"/>
    <x v="1"/>
    <s v="Drilling"/>
    <s v="Won"/>
    <x v="0"/>
    <m/>
    <x v="4"/>
    <x v="0"/>
    <n v="1"/>
    <n v="27000"/>
    <n v="27000"/>
    <n v="0.3"/>
    <n v="8100"/>
    <m/>
  </r>
  <r>
    <m/>
    <s v="Ensco 8505"/>
    <s v="Valaris"/>
    <s v="Pressure lube"/>
    <x v="4"/>
    <s v="Drilling"/>
    <s v="Won"/>
    <x v="0"/>
    <m/>
    <x v="2"/>
    <x v="1"/>
    <n v="1"/>
    <n v="16000"/>
    <n v="16000"/>
    <n v="0.3"/>
    <n v="4800"/>
    <m/>
  </r>
  <r>
    <s v="201905-01"/>
    <s v="Discoverer Inspiration"/>
    <s v="Transocean"/>
    <s v="Annual CCE"/>
    <x v="0"/>
    <s v="Drilling"/>
    <s v="Won"/>
    <x v="0"/>
    <m/>
    <x v="10"/>
    <x v="0"/>
    <n v="1"/>
    <n v="30000"/>
    <n v="30000"/>
    <n v="0.3"/>
    <n v="9000"/>
    <m/>
  </r>
  <r>
    <s v="201903-01"/>
    <s v="Deepwater Asgard"/>
    <s v="Transocean"/>
    <s v="Elevator - Fixed price"/>
    <x v="4"/>
    <s v="Drilling"/>
    <s v="Won"/>
    <x v="0"/>
    <m/>
    <x v="9"/>
    <x v="1"/>
    <n v="1"/>
    <n v="30000"/>
    <n v="30000"/>
    <n v="0.3"/>
    <n v="17813.399999999998"/>
    <m/>
  </r>
  <r>
    <s v="201903-01"/>
    <s v="Deepwater Asgard"/>
    <s v="Transocean"/>
    <s v="Annual CCE"/>
    <x v="4"/>
    <s v="Drilling"/>
    <s v="Won"/>
    <x v="0"/>
    <m/>
    <x v="9"/>
    <x v="1"/>
    <n v="1"/>
    <n v="30000"/>
    <n v="30000"/>
    <n v="0.3"/>
    <n v="17813.399999999998"/>
    <m/>
  </r>
  <r>
    <s v="-01"/>
    <s v="Q5000"/>
    <s v="Helix"/>
    <s v="Misc LAG"/>
    <x v="1"/>
    <s v="Drilling"/>
    <s v="Won"/>
    <x v="0"/>
    <m/>
    <x v="9"/>
    <x v="1"/>
    <n v="1"/>
    <n v="150000"/>
    <n v="150000"/>
    <n v="0.35"/>
    <n v="10500"/>
    <m/>
  </r>
  <r>
    <s v="201909-07"/>
    <s v="Deepwater Pontus"/>
    <s v="Transocean"/>
    <s v="Annual Elevators"/>
    <x v="1"/>
    <s v="Drilling"/>
    <s v="Won"/>
    <x v="0"/>
    <m/>
    <x v="9"/>
    <x v="1"/>
    <n v="1"/>
    <n v="13900"/>
    <n v="13900"/>
    <n v="0.3"/>
    <n v="4170"/>
    <m/>
  </r>
  <r>
    <s v="201905-03"/>
    <s v="Discoverer Inspiration"/>
    <s v="Transocean"/>
    <s v="Annual LGI"/>
    <x v="1"/>
    <s v="Drilling"/>
    <s v="Won"/>
    <x v="0"/>
    <m/>
    <x v="9"/>
    <x v="1"/>
    <n v="1"/>
    <n v="26000"/>
    <n v="26000"/>
    <n v="0.3"/>
    <n v="4500"/>
    <m/>
  </r>
  <r>
    <s v="201905-03"/>
    <s v="Discoverer Inspiration"/>
    <s v="Transocean"/>
    <s v="Annual LGI"/>
    <x v="1"/>
    <s v="Drilling"/>
    <s v="Won"/>
    <x v="0"/>
    <m/>
    <x v="2"/>
    <x v="0"/>
    <n v="1"/>
    <n v="16969"/>
    <n v="16969"/>
    <n v="0.3"/>
    <n v="5090.7"/>
    <m/>
  </r>
  <r>
    <s v="202011-05"/>
    <s v="Deepwater Proteus"/>
    <s v="Transocean"/>
    <s v="Annual Pressurized Systems"/>
    <x v="7"/>
    <s v="Drilling"/>
    <s v="Won"/>
    <x v="0"/>
    <m/>
    <x v="11"/>
    <x v="1"/>
    <n v="1"/>
    <n v="27816"/>
    <n v="27816"/>
    <n v="0.3"/>
    <n v="8344.7999999999993"/>
    <m/>
  </r>
  <r>
    <s v="201905-04"/>
    <s v="Discoverer Inspiration"/>
    <s v="Transocean"/>
    <s v="Annual RWNDT Q3"/>
    <x v="2"/>
    <s v="Drilling"/>
    <s v="Won"/>
    <x v="0"/>
    <m/>
    <x v="4"/>
    <x v="0"/>
    <n v="1"/>
    <e v="#REF!"/>
    <e v="#REF!"/>
    <n v="0.3"/>
    <e v="#REF!"/>
    <m/>
  </r>
  <r>
    <s v="201905-04"/>
    <s v="Discoverer Inspiration"/>
    <s v="Transocean"/>
    <s v="Annual RWNDT Q3"/>
    <x v="2"/>
    <s v="Drilling"/>
    <s v="Won"/>
    <x v="0"/>
    <m/>
    <x v="5"/>
    <x v="0"/>
    <n v="1"/>
    <n v="10000"/>
    <n v="10000"/>
    <n v="0.3"/>
    <n v="3000"/>
    <m/>
  </r>
  <r>
    <s v="201905-04"/>
    <s v="Discoverer Inspiration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5-04"/>
    <s v="Discoverer Inspiration"/>
    <s v="Transocean"/>
    <s v="Annual RWNDT Q2"/>
    <x v="2"/>
    <s v="Drilling"/>
    <s v="Won"/>
    <x v="0"/>
    <m/>
    <x v="1"/>
    <x v="0"/>
    <n v="1"/>
    <n v="18810.5"/>
    <n v="18810.5"/>
    <n v="0.3"/>
    <n v="5643.15"/>
    <m/>
  </r>
  <r>
    <s v="202009-02"/>
    <s v="Deepwater Pontus"/>
    <s v="Transocean"/>
    <s v="Annual DROPS"/>
    <x v="5"/>
    <s v="Drilling"/>
    <s v="Won"/>
    <x v="0"/>
    <m/>
    <x v="9"/>
    <x v="1"/>
    <n v="1"/>
    <n v="30000"/>
    <n v="30000"/>
    <n v="0.3"/>
    <n v="8344.7999999999993"/>
    <m/>
  </r>
  <r>
    <s v="202009-03"/>
    <s v="Deepwater Pontus"/>
    <s v="Transocean"/>
    <s v="Annual LGI"/>
    <x v="1"/>
    <s v="Drilling"/>
    <s v="Won"/>
    <x v="0"/>
    <m/>
    <x v="9"/>
    <x v="1"/>
    <n v="1"/>
    <n v="31000"/>
    <n v="31000"/>
    <n v="0.3"/>
    <n v="8344.7999999999993"/>
    <m/>
  </r>
  <r>
    <s v="619039-05"/>
    <s v="FPSO Ngomma"/>
    <s v="SBM"/>
    <s v="Safe lifting plann"/>
    <x v="8"/>
    <s v="FPSO"/>
    <s v="Won"/>
    <x v="0"/>
    <m/>
    <x v="6"/>
    <x v="1"/>
    <n v="1"/>
    <n v="60000"/>
    <n v="60000"/>
    <n v="0.3"/>
    <n v="18000"/>
    <m/>
  </r>
  <r>
    <s v="201912-11"/>
    <s v="Deepwater Thalassa"/>
    <s v="Transocean"/>
    <s v="Ad-Hoc - Rope access support"/>
    <x v="2"/>
    <s v="Drilling"/>
    <s v="Won"/>
    <x v="0"/>
    <m/>
    <x v="5"/>
    <x v="1"/>
    <n v="1"/>
    <n v="24000"/>
    <n v="24000"/>
    <n v="0.59"/>
    <n v="14160"/>
    <m/>
  </r>
  <r>
    <s v="201912-11"/>
    <s v="Deepwater Thalassa"/>
    <s v="Transocean"/>
    <s v="Ad-Hoc - Rope access support"/>
    <x v="2"/>
    <s v="Drilling"/>
    <s v="Won"/>
    <x v="0"/>
    <m/>
    <x v="0"/>
    <x v="1"/>
    <n v="1"/>
    <n v="24000"/>
    <n v="24000"/>
    <n v="0.59"/>
    <n v="14160"/>
    <s v="Not Performed"/>
  </r>
  <r>
    <m/>
    <s v="Deepwater Invictus"/>
    <s v="Transocean"/>
    <s v="Crane wire rope resoqueting"/>
    <x v="4"/>
    <s v="Drilling"/>
    <s v="Quote"/>
    <x v="2"/>
    <s v="Q-HO-15892"/>
    <x v="1"/>
    <x v="1"/>
    <n v="1"/>
    <n v="25000"/>
    <n v="25000"/>
    <n v="0.3"/>
    <n v="7500"/>
    <m/>
  </r>
  <r>
    <s v="-"/>
    <s v="Out of the blue"/>
    <m/>
    <m/>
    <x v="3"/>
    <m/>
    <m/>
    <x v="1"/>
    <m/>
    <x v="2"/>
    <x v="1"/>
    <n v="1"/>
    <n v="100000"/>
    <n v="100000"/>
    <n v="0.3"/>
    <n v="30000"/>
    <m/>
  </r>
  <r>
    <s v="201905-05"/>
    <s v="Discoverer Inspiration"/>
    <s v="Transocean"/>
    <s v="Annual Pressurized Systems"/>
    <x v="7"/>
    <s v="Drilling"/>
    <s v="Won"/>
    <x v="0"/>
    <m/>
    <x v="3"/>
    <x v="0"/>
    <n v="1"/>
    <n v="27816"/>
    <n v="27816"/>
    <n v="0.3"/>
    <n v="8344.7999999999993"/>
    <m/>
  </r>
  <r>
    <s v="201905-07"/>
    <s v="Discoverer Inspiration"/>
    <s v="Transocean"/>
    <s v="Annual Elevators"/>
    <x v="1"/>
    <s v="Drilling"/>
    <s v="Won"/>
    <x v="0"/>
    <m/>
    <x v="3"/>
    <x v="0"/>
    <n v="1"/>
    <n v="13900"/>
    <n v="13900"/>
    <n v="0.3"/>
    <n v="4170"/>
    <m/>
  </r>
  <r>
    <s v="201905-11"/>
    <s v="Discoverer Inspiration"/>
    <s v="Transocean"/>
    <s v="Ad-hoc - Pre and post load test"/>
    <x v="2"/>
    <s v="Drilling"/>
    <s v="Won"/>
    <x v="0"/>
    <m/>
    <x v="4"/>
    <x v="0"/>
    <n v="1"/>
    <n v="52000"/>
    <n v="52000"/>
    <n v="0.3"/>
    <n v="15600"/>
    <m/>
  </r>
  <r>
    <s v="201905-11"/>
    <s v="Discoverer Inspiration"/>
    <s v="Transocean"/>
    <s v="Ad-hoc - Phased array - MDDM"/>
    <x v="2"/>
    <s v="Drilling"/>
    <s v="Won"/>
    <x v="0"/>
    <m/>
    <x v="2"/>
    <x v="0"/>
    <n v="1"/>
    <n v="30000"/>
    <n v="30000"/>
    <n v="0.3"/>
    <n v="9000"/>
    <m/>
  </r>
  <r>
    <s v="201905-11"/>
    <s v="Discoverer Inspiration"/>
    <s v="Transocean"/>
    <s v="Mud pump inspection"/>
    <x v="2"/>
    <s v="Drilling"/>
    <s v="Won"/>
    <x v="0"/>
    <m/>
    <x v="2"/>
    <x v="0"/>
    <n v="1"/>
    <n v="15000"/>
    <n v="15000"/>
    <n v="0.3"/>
    <n v="4500"/>
    <m/>
  </r>
  <r>
    <s v="201905-11"/>
    <s v="Discoverer Inspiration"/>
    <s v="Transocean"/>
    <s v="Ad-hoc - Pre and post load test"/>
    <x v="2"/>
    <s v="Drilling"/>
    <s v="Won"/>
    <x v="0"/>
    <m/>
    <x v="7"/>
    <x v="0"/>
    <n v="1"/>
    <n v="30000"/>
    <n v="30000"/>
    <n v="0.3"/>
    <n v="9000"/>
    <m/>
  </r>
  <r>
    <s v="201909-01"/>
    <s v="Deepwater Pontus"/>
    <s v="Transocean"/>
    <s v="Annual CCE"/>
    <x v="0"/>
    <s v="Drilling"/>
    <s v="Won"/>
    <x v="0"/>
    <m/>
    <x v="3"/>
    <x v="0"/>
    <n v="1"/>
    <n v="59378"/>
    <n v="59378"/>
    <n v="0.3"/>
    <n v="17813.399999999998"/>
    <m/>
  </r>
  <r>
    <s v="201909-02"/>
    <s v="Deepwater Pontus"/>
    <s v="Transocean"/>
    <s v="Annual DROPS"/>
    <x v="5"/>
    <s v="Drilling"/>
    <s v="Won"/>
    <x v="0"/>
    <m/>
    <x v="6"/>
    <x v="0"/>
    <n v="1"/>
    <n v="30939"/>
    <n v="30939"/>
    <n v="0.3"/>
    <n v="9281.6999999999989"/>
    <m/>
  </r>
  <r>
    <s v="201909-03"/>
    <s v="Deepwater Pontus"/>
    <s v="Transocean"/>
    <s v="Annual LGI"/>
    <x v="1"/>
    <s v="Drilling"/>
    <s v="Won"/>
    <x v="0"/>
    <m/>
    <x v="6"/>
    <x v="0"/>
    <n v="1"/>
    <n v="31969"/>
    <n v="31969"/>
    <n v="0.3"/>
    <n v="9590.6999999999989"/>
    <m/>
  </r>
  <r>
    <s v="201909-04"/>
    <s v="Deepwater Pontus"/>
    <s v="Transocean"/>
    <s v="Annual RWNDT Q2"/>
    <x v="2"/>
    <s v="Drilling"/>
    <s v="Won"/>
    <x v="0"/>
    <m/>
    <x v="3"/>
    <x v="0"/>
    <n v="1"/>
    <n v="18810.5"/>
    <n v="18810.5"/>
    <n v="0.3"/>
    <n v="5643.15"/>
    <m/>
  </r>
  <r>
    <s v="201909-04"/>
    <s v="Deepwater Pontus"/>
    <s v="Transocean"/>
    <s v="Annual RWNDT Q3"/>
    <x v="2"/>
    <s v="Drilling"/>
    <s v="Won"/>
    <x v="0"/>
    <m/>
    <x v="4"/>
    <x v="0"/>
    <n v="1"/>
    <n v="18810.5"/>
    <n v="18810.5"/>
    <n v="0.3"/>
    <n v="5643.15"/>
    <m/>
  </r>
  <r>
    <m/>
    <s v="Producer 1"/>
    <s v="Transocean"/>
    <s v="HP1 - Annual Lifting Gear Inspection "/>
    <x v="1"/>
    <s v="Drilling"/>
    <m/>
    <x v="2"/>
    <s v="Q-HO-16065"/>
    <x v="9"/>
    <x v="1"/>
    <n v="0.25"/>
    <n v="23635"/>
    <n v="5908.75"/>
    <n v="0.3"/>
    <n v="7090.5"/>
    <m/>
  </r>
  <r>
    <s v="201909-04"/>
    <s v="Deepwater Pontus"/>
    <s v="Transocean"/>
    <s v="Annual RWNDT Q3"/>
    <x v="2"/>
    <s v="Drilling"/>
    <s v="Won"/>
    <x v="0"/>
    <m/>
    <x v="5"/>
    <x v="0"/>
    <n v="1"/>
    <n v="10000"/>
    <n v="10000"/>
    <n v="0.3"/>
    <n v="3000"/>
    <m/>
  </r>
  <r>
    <s v="201909-04"/>
    <s v="Deepwater Pontus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09-05"/>
    <s v="Deepwater Pontus"/>
    <s v="Transocean"/>
    <s v="Annual Pressurized Systems"/>
    <x v="7"/>
    <s v="Drilling"/>
    <s v="Won"/>
    <x v="0"/>
    <m/>
    <x v="10"/>
    <x v="0"/>
    <n v="1"/>
    <n v="2816"/>
    <n v="2816"/>
    <n v="0.3"/>
    <n v="844.8"/>
    <m/>
  </r>
  <r>
    <s v="201909-06"/>
    <s v="Deepwater Pontus"/>
    <s v="Transocean"/>
    <s v="Annual EX Assessment"/>
    <x v="9"/>
    <s v="Drilling"/>
    <s v="Won"/>
    <x v="0"/>
    <m/>
    <x v="5"/>
    <x v="0"/>
    <n v="1"/>
    <n v="10620"/>
    <n v="10620"/>
    <n v="0.3"/>
    <n v="3186"/>
    <m/>
  </r>
  <r>
    <s v="-"/>
    <s v="HP1"/>
    <s v="Helix"/>
    <s v="Shipyard"/>
    <x v="1"/>
    <s v="Drilling"/>
    <s v="Won"/>
    <x v="0"/>
    <m/>
    <x v="9"/>
    <x v="0"/>
    <n v="1"/>
    <n v="10000"/>
    <n v="10000"/>
    <n v="0.35"/>
    <n v="3500"/>
    <m/>
  </r>
  <r>
    <s v="-"/>
    <s v="Out of the blue"/>
    <m/>
    <m/>
    <x v="3"/>
    <m/>
    <m/>
    <x v="1"/>
    <m/>
    <x v="9"/>
    <x v="0"/>
    <n v="1"/>
    <n v="100000"/>
    <n v="100000"/>
    <n v="0.3"/>
    <n v="30000"/>
    <m/>
  </r>
  <r>
    <s v="-01"/>
    <s v="Q5000"/>
    <s v="Helix"/>
    <s v="Misc LAG"/>
    <x v="1"/>
    <s v="Drilling"/>
    <s v="Won"/>
    <x v="0"/>
    <m/>
    <x v="9"/>
    <x v="0"/>
    <n v="1"/>
    <n v="30000"/>
    <n v="30000"/>
    <n v="0.35"/>
    <n v="10500"/>
    <m/>
  </r>
  <r>
    <s v="-01"/>
    <s v="Q5000"/>
    <s v="Helix"/>
    <s v="Misc LAG"/>
    <x v="1"/>
    <s v="Drilling"/>
    <s v="Won"/>
    <x v="0"/>
    <m/>
    <x v="9"/>
    <x v="0"/>
    <n v="1"/>
    <n v="30000"/>
    <n v="30000"/>
    <n v="0.35"/>
    <n v="10500"/>
    <m/>
  </r>
  <r>
    <s v="201815-11"/>
    <s v="Development Driller III"/>
    <s v="Transocean"/>
    <s v="Reactivation"/>
    <x v="10"/>
    <s v="Drilling"/>
    <s v="Won"/>
    <x v="0"/>
    <m/>
    <x v="9"/>
    <x v="0"/>
    <n v="1"/>
    <n v="50000"/>
    <n v="50000"/>
    <n v="0.3"/>
    <n v="15000"/>
    <m/>
  </r>
  <r>
    <s v="201902-04"/>
    <s v="Deepwater Conqueror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02-05"/>
    <s v="Deepwater Conqueror"/>
    <s v="Transocean"/>
    <s v="Piping"/>
    <x v="2"/>
    <s v="Drilling"/>
    <s v="Won"/>
    <x v="0"/>
    <m/>
    <x v="11"/>
    <x v="0"/>
    <n v="1"/>
    <n v="27000"/>
    <n v="27000"/>
    <n v="0.3"/>
    <n v="8100"/>
    <m/>
  </r>
  <r>
    <s v="201902-11"/>
    <s v="Deepwater Conqueror"/>
    <s v="Transocean"/>
    <s v="NDT on padeyes"/>
    <x v="1"/>
    <s v="Drilling"/>
    <s v="Won"/>
    <x v="0"/>
    <m/>
    <x v="9"/>
    <x v="0"/>
    <n v="1"/>
    <n v="6714"/>
    <n v="6714"/>
    <n v="0.3"/>
    <n v="2014.1999999999998"/>
    <m/>
  </r>
  <r>
    <s v="201902-11"/>
    <s v="Deepwater Conqueror"/>
    <s v="Transocean"/>
    <s v="NDT on padeyes"/>
    <x v="1"/>
    <s v="Drilling"/>
    <s v="Won"/>
    <x v="0"/>
    <m/>
    <x v="9"/>
    <x v="0"/>
    <n v="1"/>
    <n v="9024"/>
    <n v="9024"/>
    <n v="0.3"/>
    <n v="2707.2"/>
    <m/>
  </r>
  <r>
    <s v="201903-01"/>
    <s v="Deepwater Asgard"/>
    <s v="Transocean"/>
    <s v="Annual CCE"/>
    <x v="0"/>
    <s v="Drilling"/>
    <s v="Won"/>
    <x v="0"/>
    <m/>
    <x v="9"/>
    <x v="0"/>
    <n v="1"/>
    <n v="59378"/>
    <n v="59378"/>
    <n v="0.3"/>
    <n v="17813.399999999998"/>
    <m/>
  </r>
  <r>
    <s v="201903-03"/>
    <s v="Deepwater Asgard"/>
    <s v="Transocean"/>
    <s v="Annual LGI"/>
    <x v="1"/>
    <s v="Drilling"/>
    <s v="Won"/>
    <x v="0"/>
    <m/>
    <x v="9"/>
    <x v="0"/>
    <n v="1"/>
    <n v="15000"/>
    <n v="15000"/>
    <n v="0.3"/>
    <n v="4500"/>
    <m/>
  </r>
  <r>
    <s v="201903-04"/>
    <s v="Deepwater Asgard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03-12"/>
    <s v="Deepwater Asgard"/>
    <s v="Transocean"/>
    <s v="PRV calibration"/>
    <x v="7"/>
    <s v="Drilling"/>
    <s v="Won"/>
    <x v="0"/>
    <m/>
    <x v="9"/>
    <x v="0"/>
    <n v="1"/>
    <n v="28009"/>
    <n v="28009"/>
    <n v="0.3"/>
    <n v="8402.6999999999989"/>
    <m/>
  </r>
  <r>
    <s v="201905-01"/>
    <s v="Discoverer Inspiration"/>
    <s v="Transocean"/>
    <s v="Annual CCE"/>
    <x v="0"/>
    <s v="Drilling"/>
    <s v="Won"/>
    <x v="0"/>
    <m/>
    <x v="11"/>
    <x v="0"/>
    <n v="1"/>
    <n v="29378"/>
    <n v="29378"/>
    <n v="0.3"/>
    <n v="8813.4"/>
    <m/>
  </r>
  <r>
    <s v="201905-02"/>
    <s v="Discoverer Inspiration"/>
    <s v="Transocean"/>
    <s v="Annual DROPS"/>
    <x v="5"/>
    <s v="Drilling"/>
    <s v="Won"/>
    <x v="0"/>
    <m/>
    <x v="11"/>
    <x v="0"/>
    <n v="1"/>
    <n v="15939"/>
    <n v="15939"/>
    <n v="0.3"/>
    <n v="4781.7"/>
    <m/>
  </r>
  <r>
    <s v="201905-03"/>
    <s v="Discoverer Inspiration"/>
    <s v="Transocean"/>
    <s v="Annual LGI"/>
    <x v="1"/>
    <s v="Drilling"/>
    <s v="Won"/>
    <x v="0"/>
    <m/>
    <x v="9"/>
    <x v="0"/>
    <n v="1"/>
    <n v="15000"/>
    <n v="15000"/>
    <n v="0.3"/>
    <n v="4500"/>
    <m/>
  </r>
  <r>
    <s v="201910-01"/>
    <s v="Deepwater Poseidon"/>
    <s v="Transocean"/>
    <s v="Annual CCE"/>
    <x v="0"/>
    <s v="Drilling"/>
    <s v="Won"/>
    <x v="0"/>
    <m/>
    <x v="10"/>
    <x v="0"/>
    <n v="1"/>
    <n v="50150"/>
    <n v="50150"/>
    <n v="0.3"/>
    <n v="15045"/>
    <m/>
  </r>
  <r>
    <s v="201905-04"/>
    <s v="Discoverer Inspiration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10-03"/>
    <s v="Deepwater Poseidon"/>
    <s v="Transocean"/>
    <s v="Annual LGI"/>
    <x v="1"/>
    <s v="Drilling"/>
    <s v="Won"/>
    <x v="0"/>
    <m/>
    <x v="10"/>
    <x v="0"/>
    <n v="1"/>
    <n v="12000"/>
    <n v="12000"/>
    <n v="0.3"/>
    <n v="3600"/>
    <m/>
  </r>
  <r>
    <s v="201909-04"/>
    <s v="Deepwater Pontus"/>
    <s v="Transocean"/>
    <s v="Annual RWNDT Q4"/>
    <x v="2"/>
    <s v="Drilling"/>
    <s v="Won"/>
    <x v="0"/>
    <m/>
    <x v="11"/>
    <x v="0"/>
    <n v="1"/>
    <n v="18810.5"/>
    <n v="18810.5"/>
    <n v="0.3"/>
    <n v="5643.15"/>
    <m/>
  </r>
  <r>
    <s v="201910-04"/>
    <s v="Deepwater Poseidon"/>
    <s v="Transocean"/>
    <s v="Annual RWNDT Q2"/>
    <x v="2"/>
    <s v="Drilling"/>
    <s v="Won"/>
    <x v="0"/>
    <m/>
    <x v="3"/>
    <x v="0"/>
    <n v="1"/>
    <n v="18810.5"/>
    <n v="18810.5"/>
    <n v="0.3"/>
    <n v="5643.15"/>
    <m/>
  </r>
  <r>
    <s v="201909-07"/>
    <s v="Deepwater Pontus"/>
    <s v="Transocean"/>
    <s v="Annual Elevators"/>
    <x v="1"/>
    <s v="Drilling"/>
    <s v="Won"/>
    <x v="0"/>
    <m/>
    <x v="9"/>
    <x v="0"/>
    <n v="1"/>
    <n v="13900"/>
    <n v="13900"/>
    <n v="0.3"/>
    <n v="4170"/>
    <m/>
  </r>
  <r>
    <s v="201910-04"/>
    <s v="Deepwater Poseidon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0-04"/>
    <s v="Deepwater Poseidon"/>
    <s v="Transocean"/>
    <s v="Annual RWNDT Q3"/>
    <x v="2"/>
    <s v="Drilling"/>
    <s v="Won"/>
    <x v="0"/>
    <m/>
    <x v="8"/>
    <x v="0"/>
    <n v="1"/>
    <n v="18810.5"/>
    <n v="18810.5"/>
    <n v="0.3"/>
    <n v="5643.15"/>
    <m/>
  </r>
  <r>
    <s v="201910-01"/>
    <s v="Deepwater Poseidon"/>
    <s v="Transocean"/>
    <s v="Annual CCE"/>
    <x v="0"/>
    <s v="Drilling"/>
    <s v="Won"/>
    <x v="0"/>
    <m/>
    <x v="11"/>
    <x v="0"/>
    <n v="1"/>
    <n v="9000"/>
    <n v="9000"/>
    <n v="0.3"/>
    <n v="2700"/>
    <m/>
  </r>
  <r>
    <s v="201910-07"/>
    <s v="Deepwater Poseidon"/>
    <s v="Transocean"/>
    <s v="Annual Elevators"/>
    <x v="1"/>
    <s v="Drilling"/>
    <s v="Won"/>
    <x v="0"/>
    <m/>
    <x v="10"/>
    <x v="0"/>
    <n v="1"/>
    <n v="13900"/>
    <n v="13900"/>
    <n v="0.3"/>
    <n v="4170"/>
    <m/>
  </r>
  <r>
    <s v="201910-03"/>
    <s v="Deepwater Poseidon"/>
    <s v="Transocean"/>
    <s v="Annual LGI"/>
    <x v="1"/>
    <s v="Drilling"/>
    <s v="Won"/>
    <x v="0"/>
    <m/>
    <x v="11"/>
    <x v="0"/>
    <n v="1"/>
    <n v="19969"/>
    <n v="19969"/>
    <n v="0.3"/>
    <n v="5990.7"/>
    <m/>
  </r>
  <r>
    <s v="201911-01"/>
    <s v="Deepwater Proteus"/>
    <s v="Transocean"/>
    <s v="Annual CCE"/>
    <x v="0"/>
    <s v="Drilling"/>
    <s v="Won"/>
    <x v="0"/>
    <m/>
    <x v="3"/>
    <x v="0"/>
    <n v="1"/>
    <n v="59378"/>
    <n v="59378"/>
    <n v="0.3"/>
    <n v="17813.399999999998"/>
    <m/>
  </r>
  <r>
    <s v="201911-02"/>
    <s v="Deepwater Proteus"/>
    <s v="Transocean"/>
    <s v="Annual DROPS"/>
    <x v="5"/>
    <s v="Drilling"/>
    <s v="Won"/>
    <x v="0"/>
    <m/>
    <x v="5"/>
    <x v="0"/>
    <n v="1"/>
    <n v="30939"/>
    <n v="30939"/>
    <n v="0.3"/>
    <n v="9281.6999999999989"/>
    <m/>
  </r>
  <r>
    <s v="202011-11"/>
    <s v="Deepwater Proteus"/>
    <s v="Transocean"/>
    <s v="Ad-Hoc"/>
    <x v="2"/>
    <s v="Drilling"/>
    <s v="Won"/>
    <x v="0"/>
    <m/>
    <x v="6"/>
    <x v="1"/>
    <n v="1"/>
    <n v="10000"/>
    <n v="10000"/>
    <n v="0.3"/>
    <n v="3000"/>
    <m/>
  </r>
  <r>
    <s v="201911-04"/>
    <s v="Deepwater Proteus"/>
    <s v="Transocean"/>
    <s v="Annual RWNDT Q2"/>
    <x v="2"/>
    <s v="Drilling"/>
    <s v="Won"/>
    <x v="0"/>
    <m/>
    <x v="3"/>
    <x v="0"/>
    <n v="1"/>
    <n v="18810.5"/>
    <n v="18810.5"/>
    <n v="0.3"/>
    <n v="5643.15"/>
    <m/>
  </r>
  <r>
    <s v="201911-04"/>
    <s v="Deepwater Proteus"/>
    <s v="Transocean"/>
    <s v="Annual RWNDT Q3"/>
    <x v="2"/>
    <s v="Drilling"/>
    <s v="Won"/>
    <x v="0"/>
    <m/>
    <x v="4"/>
    <x v="0"/>
    <n v="1"/>
    <n v="0"/>
    <n v="0"/>
    <n v="0.3"/>
    <n v="0"/>
    <m/>
  </r>
  <r>
    <s v="201910-04"/>
    <s v="Deepwater Poseidon"/>
    <s v="Transocean"/>
    <s v="Annual RWNDT Q4"/>
    <x v="2"/>
    <s v="Drilling"/>
    <s v="Won"/>
    <x v="0"/>
    <m/>
    <x v="11"/>
    <x v="0"/>
    <n v="1"/>
    <n v="16810.5"/>
    <n v="16810.5"/>
    <n v="0.3"/>
    <n v="5043.1499999999996"/>
    <m/>
  </r>
  <r>
    <s v="201911-04"/>
    <s v="Deepwater Proteus"/>
    <s v="Transocean"/>
    <s v="Annual RWNDT Q3"/>
    <x v="2"/>
    <s v="Drilling"/>
    <s v="Won"/>
    <x v="0"/>
    <m/>
    <x v="5"/>
    <x v="0"/>
    <n v="1"/>
    <n v="10000"/>
    <n v="10000"/>
    <n v="0.3"/>
    <n v="3000"/>
    <m/>
  </r>
  <r>
    <s v="201911-04"/>
    <s v="Deepwater Proteus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0-05"/>
    <s v="Deepwater Poseidon"/>
    <s v="Transocean"/>
    <s v="Annual Pressurized Systems"/>
    <x v="7"/>
    <s v="Drilling"/>
    <s v="Won"/>
    <x v="0"/>
    <m/>
    <x v="11"/>
    <x v="0"/>
    <n v="1"/>
    <n v="27816"/>
    <n v="27816"/>
    <n v="0.3"/>
    <n v="8344.7999999999993"/>
    <m/>
  </r>
  <r>
    <s v="201911-07"/>
    <s v="Deepwater Proteus"/>
    <s v="Transocean"/>
    <s v="Annual Elevators"/>
    <x v="1"/>
    <s v="Drilling"/>
    <s v="Won"/>
    <x v="0"/>
    <m/>
    <x v="10"/>
    <x v="0"/>
    <n v="1"/>
    <n v="2300"/>
    <n v="2300"/>
    <n v="0.3"/>
    <n v="690"/>
    <m/>
  </r>
  <r>
    <s v="201910-11"/>
    <s v="Deepwater Poseidon"/>
    <s v="Transocean"/>
    <s v="Resocketing of 76mm KB2 "/>
    <x v="10"/>
    <s v="Drilling"/>
    <s v="Won"/>
    <x v="0"/>
    <m/>
    <x v="9"/>
    <x v="0"/>
    <n v="1"/>
    <n v="20000"/>
    <n v="20000"/>
    <n v="0.3"/>
    <n v="6000"/>
    <m/>
  </r>
  <r>
    <s v="201911-11"/>
    <s v="Deepwater Proteus"/>
    <s v="Transocean"/>
    <s v="Ad-Hoc Moonpool load test"/>
    <x v="2"/>
    <s v="Drilling"/>
    <s v="Won"/>
    <x v="0"/>
    <m/>
    <x v="0"/>
    <x v="0"/>
    <n v="1"/>
    <n v="10000"/>
    <n v="10000"/>
    <n v="0.3"/>
    <n v="3000"/>
    <m/>
  </r>
  <r>
    <s v="201912-01"/>
    <s v="Deepwater Thalassa"/>
    <s v="Transocean"/>
    <s v="Annual CCE"/>
    <x v="0"/>
    <s v="Drilling"/>
    <s v="Won"/>
    <x v="0"/>
    <m/>
    <x v="7"/>
    <x v="0"/>
    <n v="1"/>
    <n v="59378"/>
    <n v="59378"/>
    <n v="0.3"/>
    <n v="17813.399999999998"/>
    <m/>
  </r>
  <r>
    <s v="201912-02"/>
    <s v="Deepwater Thalassa"/>
    <s v="Transocean"/>
    <s v="Annual DROPS"/>
    <x v="5"/>
    <s v="Drilling"/>
    <s v="Won"/>
    <x v="0"/>
    <m/>
    <x v="5"/>
    <x v="0"/>
    <n v="1"/>
    <n v="15939"/>
    <n v="15939"/>
    <n v="0.3"/>
    <n v="4781.7"/>
    <m/>
  </r>
  <r>
    <s v="201912-02"/>
    <s v="Deepwater Thalassa"/>
    <s v="Transocean"/>
    <s v="Annual DROPS"/>
    <x v="5"/>
    <s v="Drilling"/>
    <s v="Won"/>
    <x v="0"/>
    <m/>
    <x v="0"/>
    <x v="0"/>
    <n v="1"/>
    <n v="15000"/>
    <n v="15000"/>
    <n v="0.3"/>
    <n v="4500"/>
    <m/>
  </r>
  <r>
    <s v="201912-03"/>
    <s v="Deepwater Thalassa"/>
    <s v="Transocean"/>
    <s v="Annual LGI"/>
    <x v="1"/>
    <s v="Drilling"/>
    <s v="Won"/>
    <x v="0"/>
    <m/>
    <x v="2"/>
    <x v="0"/>
    <n v="1"/>
    <n v="31969"/>
    <n v="31969"/>
    <n v="0.19"/>
    <n v="6074.11"/>
    <m/>
  </r>
  <r>
    <s v="201912-04"/>
    <s v="Deepwater Thalassa"/>
    <s v="Transocean"/>
    <s v="Annual RWNDT Q3"/>
    <x v="2"/>
    <s v="Drilling"/>
    <s v="Won"/>
    <x v="0"/>
    <m/>
    <x v="4"/>
    <x v="0"/>
    <n v="1"/>
    <n v="18810.5"/>
    <n v="18810.5"/>
    <n v="0.3"/>
    <n v="5643.15"/>
    <m/>
  </r>
  <r>
    <s v="201911-04"/>
    <s v="Deepwater Proteus"/>
    <s v="Transocean"/>
    <s v="Annual RWNDT Q4"/>
    <x v="2"/>
    <s v="Drilling"/>
    <s v="Won"/>
    <x v="0"/>
    <m/>
    <x v="11"/>
    <x v="0"/>
    <n v="1"/>
    <n v="3800"/>
    <n v="3800"/>
    <n v="0.3"/>
    <n v="1140"/>
    <m/>
  </r>
  <r>
    <s v="201912-04"/>
    <s v="Deepwater Thalassa"/>
    <s v="Transocean"/>
    <s v="Annual RWNDT Q2"/>
    <x v="2"/>
    <s v="Drilling"/>
    <s v="Won"/>
    <x v="0"/>
    <m/>
    <x v="0"/>
    <x v="0"/>
    <n v="1"/>
    <n v="18810.5"/>
    <n v="18810.5"/>
    <n v="0.3"/>
    <n v="5643.15"/>
    <m/>
  </r>
  <r>
    <s v="201912-04"/>
    <s v="Deepwater Thalassa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2-05"/>
    <s v="Deepwater Thalassa"/>
    <s v="Transocean"/>
    <s v="Annual Pressurized Systems"/>
    <x v="7"/>
    <s v="Drilling"/>
    <s v="Won"/>
    <x v="0"/>
    <m/>
    <x v="10"/>
    <x v="0"/>
    <n v="1"/>
    <n v="27816"/>
    <n v="27816"/>
    <n v="0.59"/>
    <n v="16411.439999999999"/>
    <m/>
  </r>
  <r>
    <s v="201912-07"/>
    <s v="Deepwater Thalassa"/>
    <s v="Transocean"/>
    <s v="Annual Elevators"/>
    <x v="1"/>
    <s v="Drilling"/>
    <s v="Won"/>
    <x v="0"/>
    <m/>
    <x v="8"/>
    <x v="0"/>
    <n v="1"/>
    <n v="13900"/>
    <n v="13900"/>
    <n v="0.3"/>
    <n v="4170"/>
    <m/>
  </r>
  <r>
    <s v="201911-05"/>
    <s v="Deepwater Proteus"/>
    <s v="Transocean"/>
    <s v="Annual Pressurized Systems"/>
    <x v="7"/>
    <s v="Drilling"/>
    <s v="Won"/>
    <x v="0"/>
    <m/>
    <x v="9"/>
    <x v="0"/>
    <n v="1"/>
    <n v="27816"/>
    <n v="27816"/>
    <n v="0.3"/>
    <n v="8344.7999999999993"/>
    <m/>
  </r>
  <r>
    <s v="201912-11"/>
    <s v="Deepwater Thalassa"/>
    <s v="Transocean"/>
    <s v="Ad-Hoc - TDS"/>
    <x v="10"/>
    <s v="Drilling"/>
    <s v="Won"/>
    <x v="0"/>
    <m/>
    <x v="0"/>
    <x v="0"/>
    <n v="1"/>
    <n v="12000"/>
    <n v="12000"/>
    <n v="0.59"/>
    <n v="7080"/>
    <m/>
  </r>
  <r>
    <s v="201914-01"/>
    <s v="Deepwater Invictus"/>
    <s v="Transocean"/>
    <s v="Annual CCE"/>
    <x v="0"/>
    <s v="Drilling"/>
    <s v="Won"/>
    <x v="0"/>
    <m/>
    <x v="5"/>
    <x v="0"/>
    <n v="1"/>
    <n v="9318"/>
    <n v="9318"/>
    <n v="0.56000000000000005"/>
    <n v="5218.0800000000008"/>
    <m/>
  </r>
  <r>
    <s v="201914-01"/>
    <s v="Deepwater Invictus"/>
    <s v="Transocean"/>
    <s v="Annual CCE"/>
    <x v="0"/>
    <s v="Drilling"/>
    <s v="Won"/>
    <x v="0"/>
    <m/>
    <x v="0"/>
    <x v="0"/>
    <n v="1"/>
    <n v="50000"/>
    <n v="50000"/>
    <n v="0.56000000000000005"/>
    <n v="28000.000000000004"/>
    <m/>
  </r>
  <r>
    <s v="201914-02"/>
    <s v="Deepwater Invictus"/>
    <s v="Transocean"/>
    <s v="Annual DROPS"/>
    <x v="5"/>
    <s v="Drilling"/>
    <s v="Won"/>
    <x v="0"/>
    <m/>
    <x v="2"/>
    <x v="0"/>
    <n v="1"/>
    <n v="15000"/>
    <n v="15000"/>
    <n v="0.3"/>
    <n v="4500"/>
    <m/>
  </r>
  <r>
    <s v="201914-02"/>
    <s v="Deepwater Invictus"/>
    <s v="Transocean"/>
    <s v="Annual DROPS"/>
    <x v="5"/>
    <s v="Drilling"/>
    <s v="Won"/>
    <x v="0"/>
    <m/>
    <x v="6"/>
    <x v="0"/>
    <n v="1"/>
    <n v="15939"/>
    <n v="15939"/>
    <n v="0.3"/>
    <n v="4781.7"/>
    <m/>
  </r>
  <r>
    <s v="201914-03"/>
    <s v="Deepwater Invictus"/>
    <s v="Transocean"/>
    <s v="Annual LGI"/>
    <x v="1"/>
    <s v="Drilling"/>
    <s v="Won"/>
    <x v="0"/>
    <m/>
    <x v="6"/>
    <x v="0"/>
    <n v="1"/>
    <n v="31969"/>
    <n v="31969"/>
    <n v="0.3"/>
    <n v="9590.6999999999989"/>
    <m/>
  </r>
  <r>
    <s v="201914-04"/>
    <s v="Deepwater Invictus"/>
    <s v="Transocean"/>
    <s v="Annual RWNDT Q3"/>
    <x v="2"/>
    <s v="Drilling"/>
    <s v="Won"/>
    <x v="0"/>
    <m/>
    <x v="4"/>
    <x v="0"/>
    <n v="1"/>
    <n v="-12128.5"/>
    <n v="-12128.5"/>
    <n v="0.3"/>
    <n v="-3638.5499999999997"/>
    <m/>
  </r>
  <r>
    <s v="201909-02"/>
    <s v="Deepwater Pontus"/>
    <s v="Transocean"/>
    <s v="Annual DROPS"/>
    <x v="5"/>
    <s v="Drilling"/>
    <s v="Won"/>
    <x v="0"/>
    <m/>
    <x v="6"/>
    <x v="1"/>
    <n v="1"/>
    <n v="30939"/>
    <n v="30939"/>
    <n v="0.3"/>
    <n v="9281.6999999999989"/>
    <m/>
  </r>
  <r>
    <s v="201914-04"/>
    <s v="Deepwater Invictus"/>
    <s v="Transocean"/>
    <s v="Annual RWNDT Q3"/>
    <x v="2"/>
    <s v="Drilling"/>
    <s v="Won"/>
    <x v="0"/>
    <m/>
    <x v="5"/>
    <x v="0"/>
    <n v="1"/>
    <n v="8000"/>
    <n v="8000"/>
    <n v="0.3"/>
    <n v="2400"/>
    <m/>
  </r>
  <r>
    <s v="201914-04"/>
    <s v="Deepwater Invictus"/>
    <s v="Transocean"/>
    <s v="Annual RWNDT Q2"/>
    <x v="2"/>
    <s v="Drilling"/>
    <s v="Won"/>
    <x v="0"/>
    <m/>
    <x v="0"/>
    <x v="0"/>
    <n v="1"/>
    <n v="18810.5"/>
    <n v="18810.5"/>
    <n v="0.3"/>
    <n v="5643.15"/>
    <m/>
  </r>
  <r>
    <s v="201914-04"/>
    <s v="Deepwater Invictus"/>
    <s v="Transocean"/>
    <s v="Annual RWNDT Q1"/>
    <x v="2"/>
    <s v="Drilling"/>
    <s v="Won"/>
    <x v="0"/>
    <m/>
    <x v="6"/>
    <x v="0"/>
    <n v="1"/>
    <n v="18810.5"/>
    <n v="18810.5"/>
    <n v="0.3"/>
    <n v="5643.15"/>
    <m/>
  </r>
  <r>
    <s v="201912-04"/>
    <s v="Deepwater Thalassa"/>
    <s v="Transocean"/>
    <s v="Annual RWNDT Q4"/>
    <x v="2"/>
    <s v="Drilling"/>
    <s v="Won"/>
    <x v="0"/>
    <m/>
    <x v="11"/>
    <x v="0"/>
    <n v="1"/>
    <n v="8800"/>
    <n v="8800"/>
    <n v="0.3"/>
    <n v="2640"/>
    <m/>
  </r>
  <r>
    <s v="201914-07"/>
    <s v="Deepwater Invictus"/>
    <s v="Transocean"/>
    <s v="Annual Elevators"/>
    <x v="1"/>
    <s v="Drilling"/>
    <s v="Won"/>
    <x v="0"/>
    <m/>
    <x v="6"/>
    <x v="0"/>
    <n v="1"/>
    <n v="13900"/>
    <n v="13900"/>
    <n v="0.3"/>
    <n v="4170"/>
    <m/>
  </r>
  <r>
    <s v="201914-11"/>
    <s v="Deepwater Invictus"/>
    <s v="Transocean"/>
    <s v="Mud pump inspection"/>
    <x v="2"/>
    <s v="Drilling"/>
    <s v="Won"/>
    <x v="0"/>
    <m/>
    <x v="3"/>
    <x v="0"/>
    <n v="1"/>
    <n v="35000"/>
    <n v="35000"/>
    <n v="0.3"/>
    <n v="10500"/>
    <m/>
  </r>
  <r>
    <s v="201914-11"/>
    <s v="Deepwater Invictus"/>
    <s v="Transocean"/>
    <s v="PAUT"/>
    <x v="2"/>
    <s v="Drilling"/>
    <s v="Won"/>
    <x v="0"/>
    <m/>
    <x v="3"/>
    <x v="0"/>
    <n v="1"/>
    <n v="52000"/>
    <n v="52000"/>
    <n v="0.3"/>
    <n v="15600"/>
    <m/>
  </r>
  <r>
    <s v="201944-12"/>
    <s v="Deepwater Mykonos"/>
    <s v="Transocean"/>
    <s v="Ad-Hoc - DROPS Closing"/>
    <x v="5"/>
    <s v="Drilling"/>
    <s v="Won"/>
    <x v="0"/>
    <m/>
    <x v="10"/>
    <x v="0"/>
    <n v="1"/>
    <n v="30000"/>
    <n v="30000"/>
    <n v="0.3"/>
    <n v="9000"/>
    <m/>
  </r>
  <r>
    <s v="201945-12"/>
    <s v="Deepwater Corcovado"/>
    <s v="Transocean"/>
    <s v="Ad-Hoc - DROPS Closing"/>
    <x v="5"/>
    <s v="Drilling"/>
    <s v="Won"/>
    <x v="0"/>
    <m/>
    <x v="10"/>
    <x v="0"/>
    <n v="1"/>
    <n v="30000"/>
    <n v="30000"/>
    <n v="0.3"/>
    <n v="9000"/>
    <m/>
  </r>
  <r>
    <s v="618038-01"/>
    <s v="FPSO Commsa"/>
    <s v="Commsa"/>
    <s v="Rigging support"/>
    <x v="10"/>
    <s v="Energy"/>
    <s v="Won"/>
    <x v="0"/>
    <m/>
    <x v="1"/>
    <x v="0"/>
    <n v="1"/>
    <n v="111000"/>
    <n v="111000"/>
    <n v="0.3"/>
    <n v="33300"/>
    <m/>
  </r>
  <r>
    <s v="618038-1"/>
    <s v="FPSO Commsa"/>
    <s v="Commsa"/>
    <s v="Rigging support"/>
    <x v="10"/>
    <s v="Energy"/>
    <s v="Won"/>
    <x v="0"/>
    <m/>
    <x v="3"/>
    <x v="0"/>
    <n v="1"/>
    <n v="117000"/>
    <n v="117000"/>
    <n v="0.3"/>
    <n v="35100"/>
    <m/>
  </r>
  <r>
    <s v="618038-1"/>
    <s v="FPSO Commsa"/>
    <s v="Commsa"/>
    <s v="Rigging support"/>
    <x v="10"/>
    <s v="Energy"/>
    <s v="Won"/>
    <x v="0"/>
    <m/>
    <x v="2"/>
    <x v="0"/>
    <n v="1"/>
    <n v="70000"/>
    <n v="70000"/>
    <n v="0.3"/>
    <n v="21000"/>
    <m/>
  </r>
  <r>
    <s v="201912-11"/>
    <s v="Deepwater Thalassa"/>
    <s v="Transocean"/>
    <s v="Ad-Hoc - Rope access support"/>
    <x v="10"/>
    <s v="Drilling"/>
    <s v="Won"/>
    <x v="0"/>
    <m/>
    <x v="9"/>
    <x v="0"/>
    <n v="1"/>
    <n v="24000"/>
    <n v="24000"/>
    <n v="0.59"/>
    <n v="14160"/>
    <m/>
  </r>
  <r>
    <s v="618038-1"/>
    <s v="FPSO Commsa"/>
    <s v="Commsa"/>
    <s v="Rigging support"/>
    <x v="10"/>
    <s v="Energy"/>
    <s v="Won"/>
    <x v="0"/>
    <m/>
    <x v="0"/>
    <x v="0"/>
    <n v="1"/>
    <n v="15000"/>
    <n v="15000"/>
    <n v="0.3"/>
    <n v="4500"/>
    <m/>
  </r>
  <r>
    <s v="618038-1"/>
    <s v="FPSO Commsa"/>
    <s v="Commsa"/>
    <s v="Rigging support"/>
    <x v="10"/>
    <s v="Energy"/>
    <s v="Won"/>
    <x v="0"/>
    <m/>
    <x v="6"/>
    <x v="0"/>
    <n v="1"/>
    <n v="185000"/>
    <n v="185000"/>
    <n v="0.3"/>
    <n v="55500"/>
    <m/>
  </r>
  <r>
    <s v="201914-04"/>
    <s v="Deepwater Invictus"/>
    <s v="Transocean"/>
    <s v="Annual RWNDT Q4"/>
    <x v="2"/>
    <s v="Drilling"/>
    <s v="Won"/>
    <x v="0"/>
    <m/>
    <x v="11"/>
    <x v="0"/>
    <n v="1"/>
    <n v="13000"/>
    <n v="13000"/>
    <n v="0.3"/>
    <n v="3900"/>
    <m/>
  </r>
  <r>
    <s v="618038-1"/>
    <s v="FPSO Commsa"/>
    <s v="Commsa"/>
    <s v="Rigging support"/>
    <x v="10"/>
    <s v="Energy"/>
    <s v="Won"/>
    <x v="0"/>
    <m/>
    <x v="10"/>
    <x v="0"/>
    <n v="1"/>
    <n v="65000"/>
    <n v="65000"/>
    <n v="0.3"/>
    <n v="19500"/>
    <m/>
  </r>
  <r>
    <s v="618038-1"/>
    <s v="FPSO Commsa"/>
    <s v="Commsa"/>
    <s v="Rigging support"/>
    <x v="10"/>
    <s v="Energy"/>
    <s v="Won"/>
    <x v="0"/>
    <m/>
    <x v="7"/>
    <x v="0"/>
    <n v="1"/>
    <n v="42000"/>
    <n v="42000"/>
    <n v="0.3"/>
    <n v="12600"/>
    <m/>
  </r>
  <r>
    <s v="619029-05"/>
    <s v="HP1"/>
    <s v="Helix"/>
    <m/>
    <x v="10"/>
    <s v="Drilling"/>
    <s v="Won"/>
    <x v="0"/>
    <m/>
    <x v="10"/>
    <x v="0"/>
    <n v="1"/>
    <n v="42900"/>
    <n v="42900"/>
    <n v="0.3"/>
    <n v="12870"/>
    <m/>
  </r>
  <r>
    <m/>
    <s v="Borr Odin"/>
    <s v="Borr"/>
    <s v="UWILD"/>
    <x v="2"/>
    <s v="Drilling"/>
    <s v="Pipeline"/>
    <x v="3"/>
    <m/>
    <x v="4"/>
    <x v="0"/>
    <n v="0.5"/>
    <n v="15000"/>
    <n v="7500"/>
    <n v="0.3"/>
    <n v="4500"/>
    <m/>
  </r>
  <r>
    <m/>
    <s v="Borr Odin"/>
    <s v="Borr"/>
    <s v="Rig Intergrity Managerment"/>
    <x v="10"/>
    <s v="Drilling"/>
    <s v="Quote"/>
    <x v="2"/>
    <s v="Q-HO-15233"/>
    <x v="5"/>
    <x v="0"/>
    <n v="0.2"/>
    <n v="0"/>
    <n v="0"/>
    <n v="0.3"/>
    <n v="0"/>
    <m/>
  </r>
  <r>
    <m/>
    <s v="DD3"/>
    <s v="Transocean"/>
    <s v="Annual CCE"/>
    <x v="0"/>
    <s v="Drilling"/>
    <s v="Won"/>
    <x v="0"/>
    <m/>
    <x v="5"/>
    <x v="0"/>
    <n v="1"/>
    <n v="59318"/>
    <n v="59318"/>
    <n v="0.3"/>
    <n v="17795.399999999998"/>
    <m/>
  </r>
  <r>
    <m/>
    <s v="DD3"/>
    <s v="Transocean"/>
    <s v="RWNDT"/>
    <x v="1"/>
    <s v="Drilling"/>
    <s v="Won"/>
    <x v="0"/>
    <m/>
    <x v="5"/>
    <x v="0"/>
    <n v="1"/>
    <n v="18810"/>
    <n v="18810"/>
    <n v="0.3"/>
    <n v="5643"/>
    <m/>
  </r>
  <r>
    <m/>
    <s v="Deepwater Asgard"/>
    <s v="Transocean"/>
    <s v="Gauge Calibration - Q-HO-14796"/>
    <x v="7"/>
    <s v="Drilling"/>
    <s v="Quote"/>
    <x v="2"/>
    <s v="Q-HO-14796"/>
    <x v="1"/>
    <x v="0"/>
    <n v="0.1"/>
    <n v="34890"/>
    <n v="3489"/>
    <n v="0.3"/>
    <n v="10467"/>
    <m/>
  </r>
  <r>
    <m/>
    <s v="Deepwater Corcovado"/>
    <s v="Transocean"/>
    <s v="Reactivation - Piping"/>
    <x v="1"/>
    <s v="Drilling"/>
    <s v="Pipeline"/>
    <x v="3"/>
    <m/>
    <x v="4"/>
    <x v="0"/>
    <n v="1"/>
    <n v="50000"/>
    <n v="50000"/>
    <n v="0.3"/>
    <n v="15000"/>
    <m/>
  </r>
  <r>
    <m/>
    <s v="Deepwater Corcovado"/>
    <s v="Transocean"/>
    <s v="Reactivation"/>
    <x v="1"/>
    <s v="Drilling"/>
    <s v="Won"/>
    <x v="0"/>
    <m/>
    <x v="5"/>
    <x v="0"/>
    <n v="1"/>
    <n v="65000"/>
    <n v="65000"/>
    <n v="0.3"/>
    <n v="19500"/>
    <m/>
  </r>
  <r>
    <m/>
    <s v="Deepwater Corcovado"/>
    <s v="Transocean"/>
    <s v="Inertia Heel"/>
    <x v="2"/>
    <s v="Drilling"/>
    <s v="Quote"/>
    <x v="2"/>
    <s v="Q-HO-15255"/>
    <x v="5"/>
    <x v="0"/>
    <n v="0.5"/>
    <n v="10648"/>
    <n v="5324"/>
    <n v="0.3"/>
    <n v="3194.4"/>
    <m/>
  </r>
  <r>
    <m/>
    <s v="Deepwater Corcovado"/>
    <s v="Transocean"/>
    <s v="RWNDT"/>
    <x v="1"/>
    <s v="Drilling"/>
    <s v="Quote"/>
    <x v="2"/>
    <m/>
    <x v="8"/>
    <x v="0"/>
    <n v="0.5"/>
    <n v="35000"/>
    <n v="17500"/>
    <n v="0.3"/>
    <n v="10500"/>
    <m/>
  </r>
  <r>
    <s v="201914-05"/>
    <s v="Deepwater Invictus"/>
    <s v="Transocean"/>
    <s v="Annual Pressurized Systems"/>
    <x v="7"/>
    <s v="Drilling"/>
    <s v="Won"/>
    <x v="0"/>
    <m/>
    <x v="11"/>
    <x v="0"/>
    <n v="1"/>
    <n v="27816"/>
    <n v="27816"/>
    <n v="0.59"/>
    <n v="16411.439999999999"/>
    <m/>
  </r>
  <r>
    <m/>
    <s v="Deepwater Invictus"/>
    <s v="Transocean"/>
    <s v="Ad-Hoc - 1800 day PM"/>
    <x v="2"/>
    <s v="Drilling"/>
    <s v="Won"/>
    <x v="0"/>
    <m/>
    <x v="5"/>
    <x v="0"/>
    <n v="1"/>
    <n v="15000"/>
    <n v="15000"/>
    <n v="0.56000000000000005"/>
    <n v="8400"/>
    <m/>
  </r>
  <r>
    <m/>
    <s v="Deepwater Mykonos"/>
    <s v="Transocean"/>
    <s v="Reactivation - CCE"/>
    <x v="1"/>
    <s v="Drilling"/>
    <s v="Pipeline"/>
    <x v="3"/>
    <m/>
    <x v="4"/>
    <x v="0"/>
    <n v="0.5"/>
    <n v="58000"/>
    <n v="29000"/>
    <n v="0.3"/>
    <n v="17400"/>
    <m/>
  </r>
  <r>
    <m/>
    <s v="Deepwater Mykonos"/>
    <s v="Transocean"/>
    <s v="Reactivation"/>
    <x v="1"/>
    <s v="Drilling"/>
    <s v="Won"/>
    <x v="0"/>
    <m/>
    <x v="5"/>
    <x v="0"/>
    <n v="1"/>
    <n v="65000"/>
    <n v="65000"/>
    <n v="0.3"/>
    <n v="19500"/>
    <m/>
  </r>
  <r>
    <m/>
    <s v="Deepwater Mykonos"/>
    <s v="Transocean"/>
    <s v="DROPS - closing of findings"/>
    <x v="5"/>
    <s v="Drilling"/>
    <s v="Quote"/>
    <x v="0"/>
    <m/>
    <x v="7"/>
    <x v="0"/>
    <n v="1"/>
    <n v="95000"/>
    <n v="95000"/>
    <n v="0.3"/>
    <n v="28500"/>
    <m/>
  </r>
  <r>
    <m/>
    <s v="Deepwater Mykonos"/>
    <s v="Transocean"/>
    <s v="DROPS - closing of findings"/>
    <x v="5"/>
    <s v="Drilling"/>
    <s v="Quote"/>
    <x v="2"/>
    <m/>
    <x v="8"/>
    <x v="0"/>
    <n v="1"/>
    <n v="70000"/>
    <n v="70000"/>
    <n v="0.3"/>
    <n v="21000"/>
    <m/>
  </r>
  <r>
    <m/>
    <s v="Deepwater Pontus"/>
    <s v="Transocean"/>
    <s v="Calibration"/>
    <x v="2"/>
    <s v="Drilling"/>
    <s v="Quote"/>
    <x v="2"/>
    <s v="Q-HO-15120"/>
    <x v="5"/>
    <x v="0"/>
    <n v="0.5"/>
    <n v="8125"/>
    <n v="4062.5"/>
    <n v="0.3"/>
    <n v="2437.5"/>
    <m/>
  </r>
  <r>
    <m/>
    <s v="Deepwater Thalassa"/>
    <s v="Transocean"/>
    <s v="EoW"/>
    <x v="2"/>
    <s v="Drilling"/>
    <s v="Won"/>
    <x v="0"/>
    <m/>
    <x v="5"/>
    <x v="0"/>
    <n v="1"/>
    <n v="35000"/>
    <n v="35000"/>
    <n v="0.3"/>
    <n v="10500"/>
    <m/>
  </r>
  <r>
    <m/>
    <s v="Deepwater Thalassa"/>
    <s v="Transocean"/>
    <s v="Phased Array"/>
    <x v="2"/>
    <s v="Drilling"/>
    <s v="Quote"/>
    <x v="2"/>
    <s v="Q-HO-15093"/>
    <x v="5"/>
    <x v="0"/>
    <n v="0.5"/>
    <n v="10125"/>
    <n v="5062.5"/>
    <n v="0.3"/>
    <n v="3037.5"/>
    <m/>
  </r>
  <r>
    <m/>
    <s v="Deepwater Thalassa"/>
    <s v="Transocean"/>
    <s v="DTH Ad-hoc Riser Bolts PAUT"/>
    <x v="11"/>
    <s v="Drilling"/>
    <m/>
    <x v="2"/>
    <s v="Q-HO-15853"/>
    <x v="10"/>
    <x v="0"/>
    <n v="0.25"/>
    <n v="16795"/>
    <n v="4198.75"/>
    <n v="0.3"/>
    <n v="5038.5"/>
    <m/>
  </r>
  <r>
    <m/>
    <s v="Ensco 8505"/>
    <s v="Valaris"/>
    <s v="CCE"/>
    <x v="1"/>
    <s v="Drilling"/>
    <s v="Quote"/>
    <x v="2"/>
    <s v="Q-HO-14523"/>
    <x v="7"/>
    <x v="0"/>
    <n v="1"/>
    <n v="12000"/>
    <n v="12000"/>
    <n v="0.3"/>
    <n v="3600"/>
    <m/>
  </r>
  <r>
    <m/>
    <s v="Ensco 8505"/>
    <s v="Valaris"/>
    <s v="CCE"/>
    <x v="1"/>
    <s v="Drilling"/>
    <s v="Quote"/>
    <x v="0"/>
    <m/>
    <x v="7"/>
    <x v="0"/>
    <n v="1"/>
    <n v="36832"/>
    <n v="36832"/>
    <n v="0.3"/>
    <n v="11049.6"/>
    <m/>
  </r>
  <r>
    <m/>
    <s v="Ensco 8505"/>
    <s v="Valaris"/>
    <s v="Crane wire ropes visual inspection"/>
    <x v="1"/>
    <s v="Drilling"/>
    <s v="Quote"/>
    <x v="2"/>
    <s v="Q-HO-14523"/>
    <x v="8"/>
    <x v="0"/>
    <n v="0.5"/>
    <n v="13836"/>
    <n v="6918"/>
    <n v="0.3"/>
    <n v="4150.8"/>
    <m/>
  </r>
  <r>
    <m/>
    <s v="Equinor"/>
    <s v="Equinor"/>
    <s v="LEC"/>
    <x v="1"/>
    <s v="Energy"/>
    <s v="Won"/>
    <x v="0"/>
    <m/>
    <x v="3"/>
    <x v="0"/>
    <n v="1"/>
    <n v="100000"/>
    <n v="100000"/>
    <n v="0.3"/>
    <n v="30000"/>
    <m/>
  </r>
  <r>
    <m/>
    <s v="Equinor"/>
    <s v="Equinor"/>
    <s v="LEC - MSF certification"/>
    <x v="1"/>
    <s v="Energy"/>
    <s v="Won"/>
    <x v="0"/>
    <m/>
    <x v="4"/>
    <x v="0"/>
    <n v="1"/>
    <n v="70000"/>
    <n v="70000"/>
    <n v="0.3"/>
    <n v="21000"/>
    <m/>
  </r>
  <r>
    <m/>
    <s v="Equinor"/>
    <s v="Equinor"/>
    <s v="LEC"/>
    <x v="1"/>
    <s v="Energy"/>
    <s v="Won"/>
    <x v="0"/>
    <m/>
    <x v="0"/>
    <x v="0"/>
    <n v="1"/>
    <n v="50000"/>
    <n v="50000"/>
    <n v="0.3"/>
    <n v="15000"/>
    <m/>
  </r>
  <r>
    <m/>
    <s v="Equinor"/>
    <s v="Equinor"/>
    <s v="LEC"/>
    <x v="1"/>
    <s v="Energy"/>
    <s v="Won"/>
    <x v="0"/>
    <m/>
    <x v="1"/>
    <x v="0"/>
    <n v="1"/>
    <n v="40000"/>
    <n v="40000"/>
    <n v="0.3"/>
    <n v="12000"/>
    <m/>
  </r>
  <r>
    <m/>
    <s v="Equinor"/>
    <s v="Equinor"/>
    <s v="DROPS"/>
    <x v="5"/>
    <s v="Energy"/>
    <s v="Quote"/>
    <x v="2"/>
    <m/>
    <x v="10"/>
    <x v="0"/>
    <n v="0.5"/>
    <n v="41250"/>
    <n v="20625"/>
    <n v="0.3"/>
    <n v="12375"/>
    <m/>
  </r>
  <r>
    <m/>
    <s v="Equinor"/>
    <s v="Equinor"/>
    <s v="DROPS"/>
    <x v="5"/>
    <s v="Energy"/>
    <s v="Quote"/>
    <x v="2"/>
    <m/>
    <x v="7"/>
    <x v="0"/>
    <n v="0.5"/>
    <n v="60000"/>
    <n v="30000"/>
    <n v="0.3"/>
    <n v="18000"/>
    <m/>
  </r>
  <r>
    <s v="618038-1"/>
    <s v="FPSO Commsa"/>
    <s v="Commsa"/>
    <s v="Rigging support"/>
    <x v="10"/>
    <s v="Energy"/>
    <s v="Won"/>
    <x v="0"/>
    <m/>
    <x v="9"/>
    <x v="0"/>
    <n v="1"/>
    <n v="50000"/>
    <n v="50000"/>
    <n v="0.3"/>
    <n v="15000"/>
    <m/>
  </r>
  <r>
    <m/>
    <s v="Telford 25"/>
    <s v="Telford"/>
    <s v="DP annual trials"/>
    <x v="12"/>
    <s v="Surf"/>
    <s v="Quoted"/>
    <x v="2"/>
    <m/>
    <x v="4"/>
    <x v="1"/>
    <n v="0.5"/>
    <n v="9000"/>
    <n v="4500"/>
    <m/>
    <n v="0"/>
    <m/>
  </r>
  <r>
    <m/>
    <s v="FPSO Ngomma"/>
    <s v="SBM"/>
    <s v="Safe lifting plann"/>
    <x v="8"/>
    <s v="FPSO"/>
    <s v="Won"/>
    <x v="0"/>
    <m/>
    <x v="7"/>
    <x v="0"/>
    <n v="1"/>
    <n v="70000"/>
    <n v="70000"/>
    <n v="0.3"/>
    <n v="21000"/>
    <m/>
  </r>
  <r>
    <m/>
    <s v="HP1"/>
    <s v="Helix"/>
    <s v="General scopes"/>
    <x v="1"/>
    <s v="FPSO"/>
    <s v="Won"/>
    <x v="0"/>
    <m/>
    <x v="4"/>
    <x v="0"/>
    <n v="1"/>
    <n v="20000"/>
    <n v="20000"/>
    <n v="0.3"/>
    <n v="6000"/>
    <m/>
  </r>
  <r>
    <m/>
    <s v="Husky"/>
    <s v="Husky"/>
    <s v="DROPS"/>
    <x v="5"/>
    <s v="Drilling"/>
    <s v="Won"/>
    <x v="2"/>
    <s v="Q-HO-15469"/>
    <x v="4"/>
    <x v="0"/>
    <n v="0.5"/>
    <n v="25000"/>
    <n v="12500"/>
    <n v="0.3"/>
    <n v="7500"/>
    <m/>
  </r>
  <r>
    <m/>
    <s v="Husky"/>
    <s v="Husky"/>
    <s v="DROPS"/>
    <x v="5"/>
    <s v="Drilling"/>
    <s v="Won"/>
    <x v="0"/>
    <s v="Q-HO-15469"/>
    <x v="8"/>
    <x v="0"/>
    <n v="0.5"/>
    <n v="23000"/>
    <n v="11500"/>
    <n v="0.3"/>
    <n v="6900"/>
    <m/>
  </r>
  <r>
    <m/>
    <s v="Noble Bob Douglas"/>
    <s v="Exxon"/>
    <s v="DROPS Sweep"/>
    <x v="5"/>
    <s v="Energy"/>
    <s v="Won"/>
    <x v="0"/>
    <m/>
    <x v="10"/>
    <x v="0"/>
    <n v="1"/>
    <n v="5000"/>
    <n v="5000"/>
    <n v="0.3"/>
    <n v="1500"/>
    <m/>
  </r>
  <r>
    <m/>
    <s v="Deepwater Invictus"/>
    <s v="Transocean"/>
    <s v="LEC"/>
    <x v="1"/>
    <s v="Drilling"/>
    <s v="Quote"/>
    <x v="2"/>
    <m/>
    <x v="11"/>
    <x v="0"/>
    <n v="0.5"/>
    <n v="25000"/>
    <n v="12500"/>
    <n v="0.3"/>
    <n v="7500"/>
    <m/>
  </r>
  <r>
    <m/>
    <s v="Noble Don Taylor"/>
    <s v="Exxon"/>
    <s v="DROPS Sweep"/>
    <x v="5"/>
    <s v="Energy"/>
    <s v="Won"/>
    <x v="0"/>
    <m/>
    <x v="10"/>
    <x v="0"/>
    <n v="1"/>
    <n v="35000"/>
    <n v="35000"/>
    <n v="0.3"/>
    <n v="10500"/>
    <m/>
  </r>
  <r>
    <m/>
    <s v="OceanRig Corcovado"/>
    <s v="Transocean"/>
    <s v="DROPS"/>
    <x v="5"/>
    <s v="Drilling"/>
    <s v="Quote"/>
    <x v="2"/>
    <m/>
    <x v="0"/>
    <x v="0"/>
    <n v="0.75"/>
    <n v="32000"/>
    <n v="24000"/>
    <n v="0.3"/>
    <n v="9600"/>
    <m/>
  </r>
  <r>
    <m/>
    <s v="OceanRig Corcovado"/>
    <s v="Transocean"/>
    <s v="DROPS - closing of findings"/>
    <x v="5"/>
    <s v="Drilling"/>
    <s v="Quote"/>
    <x v="0"/>
    <m/>
    <x v="7"/>
    <x v="0"/>
    <n v="1"/>
    <n v="110000"/>
    <n v="110000"/>
    <n v="0.3"/>
    <n v="33000"/>
    <m/>
  </r>
  <r>
    <m/>
    <s v="OceanRig Corcovado"/>
    <s v="Transocean"/>
    <s v="Piping"/>
    <x v="1"/>
    <s v="Drilling"/>
    <s v="Quote"/>
    <x v="2"/>
    <m/>
    <x v="8"/>
    <x v="0"/>
    <n v="0.8"/>
    <n v="27000"/>
    <n v="21600"/>
    <n v="0.3"/>
    <n v="8100"/>
    <m/>
  </r>
  <r>
    <m/>
    <s v="OceanRig Corcovado"/>
    <s v="Transocean"/>
    <s v="DROPS - closing of findings"/>
    <x v="5"/>
    <s v="Drilling"/>
    <s v="Quote"/>
    <x v="0"/>
    <m/>
    <x v="8"/>
    <x v="0"/>
    <n v="1"/>
    <n v="65000"/>
    <n v="65000"/>
    <n v="0.3"/>
    <n v="19500"/>
    <m/>
  </r>
  <r>
    <m/>
    <s v="OceanRig Mykonos"/>
    <s v="Transocean"/>
    <s v="Reactivation"/>
    <x v="1"/>
    <s v="Drilling"/>
    <s v="Won"/>
    <x v="0"/>
    <m/>
    <x v="0"/>
    <x v="0"/>
    <n v="1"/>
    <n v="150000"/>
    <n v="150000"/>
    <n v="0.3"/>
    <n v="45000"/>
    <m/>
  </r>
  <r>
    <m/>
    <s v="OceanRig Mykonos"/>
    <s v="Transocean"/>
    <s v="DROPS"/>
    <x v="5"/>
    <s v="Drilling"/>
    <s v="Won"/>
    <x v="0"/>
    <m/>
    <x v="1"/>
    <x v="0"/>
    <n v="1"/>
    <n v="32000"/>
    <n v="32000"/>
    <n v="0.3"/>
    <n v="9600"/>
    <m/>
  </r>
  <r>
    <m/>
    <s v="FPSO Ngomma"/>
    <s v="SBM"/>
    <s v="Safe lifting plann"/>
    <x v="13"/>
    <s v="FPSO"/>
    <s v="Won"/>
    <x v="0"/>
    <m/>
    <x v="11"/>
    <x v="0"/>
    <n v="1"/>
    <n v="60000"/>
    <n v="60000"/>
    <n v="0.3"/>
    <n v="18000"/>
    <m/>
  </r>
  <r>
    <m/>
    <s v="Out of the blue"/>
    <m/>
    <m/>
    <x v="3"/>
    <m/>
    <m/>
    <x v="1"/>
    <m/>
    <x v="10"/>
    <x v="0"/>
    <n v="1"/>
    <n v="150000"/>
    <n v="150000"/>
    <n v="0.3"/>
    <n v="45000"/>
    <m/>
  </r>
  <r>
    <s v="201814-12"/>
    <s v="Deepwater Invictus"/>
    <s v="Transocean"/>
    <s v="Ad-Hoc - 1800 day PM"/>
    <x v="2"/>
    <s v="Drilling"/>
    <s v="Won"/>
    <x v="0"/>
    <m/>
    <x v="12"/>
    <x v="2"/>
    <n v="1"/>
    <n v="15945"/>
    <n v="15945"/>
    <n v="0.56000000000000005"/>
    <n v="8929.2000000000007"/>
    <m/>
  </r>
  <r>
    <s v="201814-12"/>
    <s v="Deepwater Invictus"/>
    <s v="Transocean"/>
    <s v="Ad-Hoc - 1800 day PM"/>
    <x v="2"/>
    <s v="Drilling"/>
    <s v="Won"/>
    <x v="0"/>
    <m/>
    <x v="12"/>
    <x v="2"/>
    <n v="1"/>
    <n v="27531.67"/>
    <n v="27531.67"/>
    <n v="0.56000000000000005"/>
    <n v="15417.735200000001"/>
    <m/>
  </r>
  <r>
    <s v="201805-11"/>
    <s v="Discoverer Inspiration"/>
    <s v="Transocean"/>
    <s v="Ad-hoc - Mud pump NDE"/>
    <x v="2"/>
    <s v="Drilling"/>
    <s v="Won"/>
    <x v="0"/>
    <m/>
    <x v="12"/>
    <x v="2"/>
    <n v="1"/>
    <n v="59915"/>
    <n v="59915"/>
    <n v="0.3"/>
    <n v="17974.5"/>
    <m/>
  </r>
  <r>
    <s v="201802-12"/>
    <s v="Deepwater Conqueror"/>
    <s v="Transocean"/>
    <s v="ad-hoc - Water bag rental"/>
    <x v="1"/>
    <s v="Drilling"/>
    <s v="Won"/>
    <x v="0"/>
    <m/>
    <x v="12"/>
    <x v="2"/>
    <n v="1"/>
    <n v="37560"/>
    <n v="37560"/>
    <n v="0.3"/>
    <n v="11268"/>
    <m/>
  </r>
  <r>
    <s v="201911-06"/>
    <s v="Deepwater Proteus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s v="201905-06"/>
    <s v="Discoverer Inspiration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s v="201910-06"/>
    <s v="Deepwater Poseidon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s v="202014-07"/>
    <s v="Deepwater Invictus"/>
    <s v="Transocean"/>
    <s v="Annual EX Assessment"/>
    <x v="9"/>
    <s v="Drilling"/>
    <s v="Won"/>
    <x v="0"/>
    <m/>
    <x v="6"/>
    <x v="1"/>
    <n v="1"/>
    <n v="10620"/>
    <n v="10620"/>
    <n v="0.3"/>
    <n v="3186"/>
    <m/>
  </r>
  <r>
    <s v="201912-06"/>
    <s v="Deepwater Thalassa"/>
    <s v="Transocean"/>
    <s v="Annual EX Assessment"/>
    <x v="9"/>
    <s v="Drilling"/>
    <s v="Won"/>
    <x v="0"/>
    <m/>
    <x v="12"/>
    <x v="1"/>
    <n v="1"/>
    <n v="10620"/>
    <n v="10620"/>
    <n v="0.3"/>
    <n v="3186"/>
    <m/>
  </r>
  <r>
    <m/>
    <s v="Discoverer Inspiration"/>
    <s v="Transocean "/>
    <s v="NDT - Fixed price - Q3"/>
    <x v="2"/>
    <s v="Drilling"/>
    <s v="Order backlog "/>
    <x v="0"/>
    <m/>
    <x v="4"/>
    <x v="1"/>
    <n v="1"/>
    <n v="5586.6813750000001"/>
    <n v="5586.6813750000001"/>
    <n v="0.3"/>
    <n v="1676.0044124999999"/>
    <m/>
  </r>
  <r>
    <s v="202011-03"/>
    <s v="Deepwater Proteus"/>
    <s v="Transocean"/>
    <s v="Annual LGI"/>
    <x v="1"/>
    <s v="Drilling"/>
    <s v="Won"/>
    <x v="0"/>
    <m/>
    <x v="6"/>
    <x v="1"/>
    <n v="1"/>
    <n v="11969"/>
    <n v="11969"/>
    <n v="0.19"/>
    <n v="2274.11"/>
    <m/>
  </r>
  <r>
    <s v="201914-04"/>
    <s v="Deepwater Invictus"/>
    <s v="Transocean"/>
    <s v="Annual RWNDT Q1"/>
    <x v="2"/>
    <s v="Drilling"/>
    <s v="Won"/>
    <x v="0"/>
    <m/>
    <x v="2"/>
    <x v="1"/>
    <n v="1"/>
    <n v="18810.5"/>
    <n v="18810.5"/>
    <n v="0.3"/>
    <n v="5643.15"/>
    <m/>
  </r>
  <r>
    <s v="201914-03"/>
    <s v="Deepwater Invictus"/>
    <s v="Transocean"/>
    <s v="Annual LGI"/>
    <x v="1"/>
    <s v="Drilling"/>
    <s v="Won"/>
    <x v="0"/>
    <m/>
    <x v="6"/>
    <x v="1"/>
    <n v="1"/>
    <n v="1969"/>
    <n v="1969"/>
    <n v="0.3"/>
    <n v="590.69999999999993"/>
    <m/>
  </r>
  <r>
    <s v="201911-11"/>
    <s v="Deepwater Proteus"/>
    <s v="Transocean"/>
    <s v="Ad-Hoc Phased array"/>
    <x v="2"/>
    <s v="Drilling"/>
    <s v="Won"/>
    <x v="0"/>
    <m/>
    <x v="2"/>
    <x v="1"/>
    <n v="1"/>
    <n v="10000"/>
    <n v="10000"/>
    <n v="0.3"/>
    <n v="3000"/>
    <m/>
  </r>
  <r>
    <s v="201914-02"/>
    <s v="Deepwater Invictus"/>
    <s v="Transocean"/>
    <s v="Annual DROPS"/>
    <x v="5"/>
    <s v="Drilling"/>
    <s v="Won"/>
    <x v="0"/>
    <m/>
    <x v="2"/>
    <x v="1"/>
    <n v="1"/>
    <n v="15939"/>
    <n v="15939"/>
    <n v="0.3"/>
    <n v="4781.7"/>
    <m/>
  </r>
  <r>
    <s v="201914-07"/>
    <s v="Deepwater Invictus"/>
    <s v="Transocean"/>
    <s v="Annual Elevators"/>
    <x v="1"/>
    <s v="Drilling"/>
    <s v="Won"/>
    <x v="0"/>
    <m/>
    <x v="2"/>
    <x v="1"/>
    <n v="1"/>
    <n v="13900"/>
    <n v="13900"/>
    <n v="0.3"/>
    <n v="4170"/>
    <m/>
  </r>
  <r>
    <s v="202014-11"/>
    <s v="Deepwater Invictus"/>
    <s v="Transocean"/>
    <s v="Resocketing of 76mm KB2 "/>
    <x v="2"/>
    <s v="Drilling"/>
    <s v="Won"/>
    <x v="0"/>
    <m/>
    <x v="2"/>
    <x v="1"/>
    <n v="1"/>
    <n v="20000"/>
    <n v="20000"/>
    <n v="0.3"/>
    <n v="6000"/>
    <m/>
  </r>
  <r>
    <s v="201909-03"/>
    <s v="Deepwater Pontus"/>
    <s v="Transocean"/>
    <s v="Annual LGI"/>
    <x v="1"/>
    <s v="Drilling"/>
    <s v="Won"/>
    <x v="0"/>
    <m/>
    <x v="6"/>
    <x v="1"/>
    <n v="1"/>
    <n v="31969"/>
    <n v="31969"/>
    <n v="0.3"/>
    <n v="9590.6999999999989"/>
    <m/>
  </r>
  <r>
    <s v="201903-02"/>
    <s v="Deepwater Asgard"/>
    <s v="Transocean"/>
    <s v="Annual DROPS"/>
    <x v="5"/>
    <s v="Drilling"/>
    <s v="Won"/>
    <x v="0"/>
    <m/>
    <x v="9"/>
    <x v="1"/>
    <n v="1"/>
    <n v="30939"/>
    <n v="30939"/>
    <n v="0.3"/>
    <n v="9281.6999999999989"/>
    <m/>
  </r>
  <r>
    <s v="201910-04"/>
    <s v="Deepwater Poseidon"/>
    <s v="Transocean"/>
    <s v="Annual RWNDT Q1"/>
    <x v="2"/>
    <s v="Drilling"/>
    <s v="Won"/>
    <x v="0"/>
    <m/>
    <x v="2"/>
    <x v="1"/>
    <n v="1"/>
    <n v="18810.5"/>
    <n v="18810.5"/>
    <n v="0.3"/>
    <n v="5643.15"/>
    <m/>
  </r>
  <r>
    <s v="202015-03"/>
    <s v="DD3"/>
    <s v="Transocean"/>
    <s v="Stand-By Miami"/>
    <x v="3"/>
    <s v="Drilling"/>
    <s v="Won"/>
    <x v="0"/>
    <m/>
    <x v="0"/>
    <x v="1"/>
    <n v="1"/>
    <n v="17000"/>
    <n v="17000"/>
    <n v="0.3"/>
    <n v="5100"/>
    <s v="Performed"/>
  </r>
  <r>
    <m/>
    <s v="West Vela"/>
    <s v="Seadrill"/>
    <s v="NDT"/>
    <x v="2"/>
    <s v="Drilling"/>
    <s v="Quoted"/>
    <x v="2"/>
    <m/>
    <x v="12"/>
    <x v="1"/>
    <n v="0.5"/>
    <n v="10000"/>
    <n v="5000"/>
    <n v="0.3"/>
    <n v="3000"/>
    <m/>
  </r>
  <r>
    <m/>
    <s v="West Vela"/>
    <s v="Seadrill"/>
    <s v="NDT"/>
    <x v="2"/>
    <s v="Drilling"/>
    <s v="Quoted"/>
    <x v="2"/>
    <m/>
    <x v="0"/>
    <x v="1"/>
    <n v="1"/>
    <n v="10000"/>
    <n v="10000"/>
    <n v="0.3"/>
    <n v="3000"/>
    <s v="Not Performed"/>
  </r>
  <r>
    <m/>
    <s v="West Neptune"/>
    <s v="Seadrill"/>
    <s v="NDT"/>
    <x v="2"/>
    <s v="Drilling"/>
    <s v="Quoted"/>
    <x v="2"/>
    <m/>
    <x v="0"/>
    <x v="1"/>
    <n v="1"/>
    <n v="7000"/>
    <n v="7000"/>
    <n v="0.3"/>
    <n v="2100"/>
    <s v="Not Performed"/>
  </r>
  <r>
    <m/>
    <s v="West Neptune"/>
    <s v="Seadrill"/>
    <s v="NDT"/>
    <x v="2"/>
    <s v="Drilling"/>
    <s v="Quoted"/>
    <x v="2"/>
    <m/>
    <x v="12"/>
    <x v="1"/>
    <n v="0.5"/>
    <n v="20000"/>
    <n v="10000"/>
    <n v="0.3"/>
    <n v="6000"/>
    <m/>
  </r>
  <r>
    <s v="201911-04"/>
    <s v="Deepwater Proteus"/>
    <s v="Transocean"/>
    <s v="Annual RWNDT Q3"/>
    <x v="2"/>
    <s v="Drilling"/>
    <s v="Won"/>
    <x v="0"/>
    <m/>
    <x v="4"/>
    <x v="1"/>
    <n v="1"/>
    <n v="8622"/>
    <n v="8622"/>
    <n v="0.3"/>
    <n v="2586.6"/>
    <m/>
  </r>
  <r>
    <s v="202003-11"/>
    <s v="Deepwater Asgard"/>
    <s v="Transocean"/>
    <s v="Ad-hoc - NDT inspection "/>
    <x v="2"/>
    <s v="Drilling"/>
    <s v="Won"/>
    <x v="0"/>
    <m/>
    <x v="8"/>
    <x v="1"/>
    <n v="1"/>
    <n v="4000"/>
    <n v="4000"/>
    <n v="0.3"/>
    <n v="1200"/>
    <m/>
  </r>
  <r>
    <m/>
    <s v="SS Victoria"/>
    <s v="Ventura"/>
    <s v="Trial"/>
    <x v="12"/>
    <s v="Drilling"/>
    <s v="Order backlog "/>
    <x v="0"/>
    <m/>
    <x v="4"/>
    <x v="1"/>
    <n v="1"/>
    <n v="9000"/>
    <n v="9000"/>
    <m/>
    <n v="0"/>
    <m/>
  </r>
  <r>
    <s v="201902-04"/>
    <s v="Deepwater Conqueror"/>
    <s v="Transocean"/>
    <s v="Annual RWNDT Q1"/>
    <x v="2"/>
    <s v="Drilling"/>
    <s v="Won"/>
    <x v="0"/>
    <m/>
    <x v="6"/>
    <x v="1"/>
    <n v="1"/>
    <n v="6810"/>
    <n v="6810"/>
    <n v="0.3"/>
    <n v="2043"/>
    <m/>
  </r>
  <r>
    <s v="201911-04"/>
    <s v="Deepwater Proteus"/>
    <s v="Transocean"/>
    <s v="Annual RWNDT Q1"/>
    <x v="2"/>
    <s v="Drilling"/>
    <s v="Won"/>
    <x v="0"/>
    <m/>
    <x v="6"/>
    <x v="1"/>
    <n v="1"/>
    <n v="18810.5"/>
    <n v="18810.5"/>
    <n v="0.3"/>
    <n v="5643.15"/>
    <m/>
  </r>
  <r>
    <s v="201903-03"/>
    <s v="Deepwater Asgard"/>
    <s v="Transocean"/>
    <s v="Annual LGI"/>
    <x v="1"/>
    <s v="Drilling"/>
    <s v="Won"/>
    <x v="0"/>
    <m/>
    <x v="9"/>
    <x v="1"/>
    <n v="1"/>
    <n v="30000"/>
    <n v="30000"/>
    <n v="0.3"/>
    <n v="9000"/>
    <m/>
  </r>
  <r>
    <s v="201912-04"/>
    <s v="Deepwater Thalassa"/>
    <s v="Transocean"/>
    <s v="Annual RWNDT Q1"/>
    <x v="2"/>
    <s v="Drilling"/>
    <s v="Won"/>
    <x v="0"/>
    <m/>
    <x v="6"/>
    <x v="1"/>
    <n v="1"/>
    <n v="18810.5"/>
    <n v="18810.5"/>
    <n v="0.3"/>
    <n v="5643.15"/>
    <m/>
  </r>
  <r>
    <m/>
    <s v="Out of the blue"/>
    <m/>
    <m/>
    <x v="3"/>
    <m/>
    <m/>
    <x v="1"/>
    <m/>
    <x v="6"/>
    <x v="1"/>
    <n v="1"/>
    <n v="150000"/>
    <n v="150000"/>
    <n v="0.3"/>
    <n v="45000"/>
    <m/>
  </r>
  <r>
    <m/>
    <s v="Stena"/>
    <s v="Exxon"/>
    <s v="DROPS Sweep"/>
    <x v="5"/>
    <s v="Energy"/>
    <s v="Won"/>
    <x v="0"/>
    <m/>
    <x v="11"/>
    <x v="0"/>
    <n v="1"/>
    <n v="50000"/>
    <n v="50000"/>
    <n v="0.3"/>
    <n v="15000"/>
    <m/>
  </r>
  <r>
    <m/>
    <s v="West Intrepid"/>
    <s v="Transocean"/>
    <s v="Seadrill - West Intrepid - Annual DROPS and 4G Cat III Inspection Survey"/>
    <x v="11"/>
    <s v="Drilling"/>
    <m/>
    <x v="2"/>
    <s v="Q-HO-16051"/>
    <x v="10"/>
    <x v="0"/>
    <n v="0.15"/>
    <n v="29131"/>
    <n v="4369.6499999999996"/>
    <n v="0.3"/>
    <n v="8739.2999999999993"/>
    <m/>
  </r>
  <r>
    <m/>
    <s v="West Intrepid"/>
    <s v="Transocean"/>
    <s v="Seadrill - West Intrepid - Man-Rider Inspection"/>
    <x v="11"/>
    <s v="Drilling"/>
    <m/>
    <x v="2"/>
    <s v="Q-HO-16052"/>
    <x v="10"/>
    <x v="0"/>
    <n v="0.15"/>
    <n v="3067"/>
    <n v="460.05"/>
    <n v="0.3"/>
    <n v="920.1"/>
    <m/>
  </r>
  <r>
    <m/>
    <s v="Out of the blue"/>
    <m/>
    <m/>
    <x v="3"/>
    <m/>
    <m/>
    <x v="1"/>
    <m/>
    <x v="11"/>
    <x v="0"/>
    <n v="1"/>
    <n v="100000"/>
    <n v="100000"/>
    <n v="0.3"/>
    <n v="30000"/>
    <m/>
  </r>
  <r>
    <m/>
    <s v="Peregrino C"/>
    <s v="Equinor"/>
    <s v="Flaretip replacement"/>
    <x v="13"/>
    <s v="Energy"/>
    <s v="Won"/>
    <x v="0"/>
    <m/>
    <x v="11"/>
    <x v="0"/>
    <n v="1"/>
    <n v="10000"/>
    <n v="10000"/>
    <n v="0.3"/>
    <n v="3000"/>
    <m/>
  </r>
  <r>
    <s v="202003-04"/>
    <s v="Deepwater Asgard"/>
    <s v="Transocean"/>
    <s v="NDT - Fixed price - Q3"/>
    <x v="2"/>
    <s v="Drilling"/>
    <s v="Won"/>
    <x v="0"/>
    <m/>
    <x v="8"/>
    <x v="1"/>
    <n v="1"/>
    <n v="5040"/>
    <n v="5040"/>
    <n v="0.3"/>
    <n v="1512"/>
    <m/>
  </r>
  <r>
    <m/>
    <s v="Deepwater Proteus"/>
    <s v="Transocean"/>
    <s v="E-Mag inspection"/>
    <x v="2"/>
    <s v="Drilling"/>
    <s v="Won"/>
    <x v="0"/>
    <m/>
    <x v="0"/>
    <x v="1"/>
    <n v="1"/>
    <n v="15000"/>
    <n v="15000"/>
    <n v="0.3"/>
    <n v="4500"/>
    <s v="Performed"/>
  </r>
  <r>
    <s v="201905-04"/>
    <s v="Discoverer Inspiration"/>
    <s v="Transocean"/>
    <s v="Annual RWNDT Q1"/>
    <x v="2"/>
    <s v="Drilling"/>
    <s v="Won"/>
    <x v="0"/>
    <m/>
    <x v="6"/>
    <x v="1"/>
    <n v="1"/>
    <n v="18810.5"/>
    <n v="18810.5"/>
    <n v="0.3"/>
    <n v="5643.15"/>
    <m/>
  </r>
  <r>
    <s v="202015-04"/>
    <s v="DD3"/>
    <s v="Transocean"/>
    <s v="RWNDT 3rd Q"/>
    <x v="1"/>
    <s v="Drilling"/>
    <s v="Won"/>
    <x v="0"/>
    <m/>
    <x v="4"/>
    <x v="1"/>
    <n v="1"/>
    <n v="12000"/>
    <n v="12000"/>
    <n v="0.3"/>
    <n v="3600"/>
    <m/>
  </r>
  <r>
    <s v="202009-05"/>
    <s v="Deepwater Pontus "/>
    <s v="Transocean "/>
    <s v="HP/LP - Fixed price"/>
    <x v="7"/>
    <s v="Drilling"/>
    <s v="Order backlog "/>
    <x v="0"/>
    <m/>
    <x v="10"/>
    <x v="1"/>
    <n v="1"/>
    <n v="14537"/>
    <n v="14537"/>
    <m/>
    <n v="0"/>
    <m/>
  </r>
  <r>
    <s v="202009-01"/>
    <s v="Deepwater Pontus"/>
    <s v="Transocean"/>
    <s v="CCE"/>
    <x v="4"/>
    <s v="Drilling"/>
    <s v="Won"/>
    <x v="0"/>
    <m/>
    <x v="6"/>
    <x v="1"/>
    <n v="1"/>
    <n v="15000"/>
    <n v="15000"/>
    <n v="0.3"/>
    <n v="4500"/>
    <m/>
  </r>
  <r>
    <m/>
    <s v="Deepwater Pontus "/>
    <s v="Transocean "/>
    <s v="CCE - Fixed price"/>
    <x v="4"/>
    <s v="Drilling"/>
    <s v="Order backlog "/>
    <x v="0"/>
    <m/>
    <x v="6"/>
    <x v="1"/>
    <n v="1"/>
    <n v="58784.22"/>
    <n v="58784.22"/>
    <n v="0.3"/>
    <n v="17635.266"/>
    <m/>
  </r>
  <r>
    <m/>
    <s v="Deepwater Proteus"/>
    <s v="Transocean "/>
    <s v="CCE - Fixed price"/>
    <x v="4"/>
    <s v="Drilling"/>
    <s v="Won"/>
    <x v="0"/>
    <m/>
    <x v="3"/>
    <x v="1"/>
    <n v="1"/>
    <n v="59378"/>
    <n v="59378"/>
    <n v="0.3"/>
    <n v="17813.399999999998"/>
    <m/>
  </r>
  <r>
    <s v="202009-02"/>
    <s v="Deepwater Pontus"/>
    <s v="Transocean"/>
    <s v="DROPS"/>
    <x v="5"/>
    <s v="Drilling"/>
    <s v="Won"/>
    <x v="0"/>
    <m/>
    <x v="6"/>
    <x v="1"/>
    <n v="1"/>
    <n v="30000"/>
    <n v="30000"/>
    <n v="0.3"/>
    <n v="9000"/>
    <m/>
  </r>
  <r>
    <m/>
    <s v="Deepwater Asgard"/>
    <s v="Transocean "/>
    <s v="Ad-hoc"/>
    <x v="14"/>
    <s v="Drilling"/>
    <s v="Pipeline"/>
    <x v="3"/>
    <m/>
    <x v="6"/>
    <x v="1"/>
    <n v="1"/>
    <n v="13761"/>
    <n v="13761"/>
    <n v="0.3"/>
    <n v="4128.3"/>
    <m/>
  </r>
  <r>
    <m/>
    <s v="Deepwater Invictus"/>
    <s v="Transocean "/>
    <s v="EX - Fixed price"/>
    <x v="9"/>
    <s v="Drilling"/>
    <s v="Won"/>
    <x v="0"/>
    <m/>
    <x v="2"/>
    <x v="1"/>
    <n v="1"/>
    <n v="10620"/>
    <n v="10620"/>
    <m/>
    <n v="0"/>
    <m/>
  </r>
  <r>
    <m/>
    <s v="Deepwater Pontus "/>
    <s v="Transocean "/>
    <s v="Ad-hoc"/>
    <x v="2"/>
    <s v="Drilling"/>
    <s v="Pipeline"/>
    <x v="3"/>
    <m/>
    <x v="3"/>
    <x v="1"/>
    <n v="1"/>
    <n v="10000"/>
    <n v="10000"/>
    <n v="0.3"/>
    <n v="3000"/>
    <m/>
  </r>
  <r>
    <s v="201903-04"/>
    <s v="Deepwater Asgard"/>
    <s v="Transocean"/>
    <s v="Annual RWNDT Q1"/>
    <x v="2"/>
    <s v="Drilling"/>
    <s v="Won"/>
    <x v="0"/>
    <m/>
    <x v="9"/>
    <x v="1"/>
    <n v="1"/>
    <n v="18810.5"/>
    <n v="18810.5"/>
    <n v="0.3"/>
    <n v="5643.15"/>
    <m/>
  </r>
  <r>
    <m/>
    <s v="Deepwater Asgard"/>
    <s v="Transocean "/>
    <s v="NDT - Fixed price - Q2"/>
    <x v="2"/>
    <s v="Drilling"/>
    <s v="Won"/>
    <x v="0"/>
    <m/>
    <x v="1"/>
    <x v="1"/>
    <n v="1"/>
    <n v="4000"/>
    <n v="4000"/>
    <n v="0.3"/>
    <n v="1200"/>
    <m/>
  </r>
  <r>
    <m/>
    <s v="Deepwater Proteus"/>
    <s v="Transocean "/>
    <s v="NDT - Fixed price - Q2"/>
    <x v="2"/>
    <s v="Drilling"/>
    <s v="Won"/>
    <x v="0"/>
    <m/>
    <x v="0"/>
    <x v="1"/>
    <n v="1"/>
    <n v="5000"/>
    <n v="5000"/>
    <n v="0.3"/>
    <n v="1500"/>
    <s v="Performed"/>
  </r>
  <r>
    <m/>
    <s v="Deepwater Pontus "/>
    <s v="Transocean "/>
    <s v="NDT - Fixed price - Q2"/>
    <x v="2"/>
    <s v="Drilling"/>
    <s v="Won"/>
    <x v="0"/>
    <m/>
    <x v="3"/>
    <x v="1"/>
    <n v="1"/>
    <n v="18622.271250000002"/>
    <n v="18622.271250000002"/>
    <n v="0.3"/>
    <n v="5586.6813750000001"/>
    <m/>
  </r>
  <r>
    <m/>
    <s v="Deepwater Poseidon"/>
    <s v="Transocean "/>
    <s v="Ad-Hoc"/>
    <x v="2"/>
    <s v="Drilling"/>
    <s v="Won"/>
    <x v="0"/>
    <m/>
    <x v="3"/>
    <x v="1"/>
    <n v="1"/>
    <n v="8000"/>
    <n v="8000"/>
    <n v="0.3"/>
    <n v="2400"/>
    <m/>
  </r>
  <r>
    <m/>
    <s v="Deepwater Poseidon"/>
    <s v="Transocean "/>
    <s v="NDT - Fixed price - Q2"/>
    <x v="2"/>
    <s v="Drilling"/>
    <s v="Won"/>
    <x v="0"/>
    <m/>
    <x v="3"/>
    <x v="1"/>
    <n v="1"/>
    <n v="4622.2712499999998"/>
    <n v="4622.2712499999998"/>
    <n v="0.3"/>
    <n v="1386.6813749999999"/>
    <m/>
  </r>
  <r>
    <m/>
    <s v="Deepwater Poseidon"/>
    <s v="Transocean "/>
    <s v="NDT - Fixed price - Q2"/>
    <x v="2"/>
    <s v="Drilling"/>
    <s v="Won"/>
    <x v="0"/>
    <m/>
    <x v="3"/>
    <x v="1"/>
    <n v="1"/>
    <n v="14000"/>
    <n v="14000"/>
    <n v="0.3"/>
    <n v="4200"/>
    <m/>
  </r>
  <r>
    <m/>
    <s v="Q5000"/>
    <s v="Helix"/>
    <s v="2020 shipyard"/>
    <x v="3"/>
    <s v="Drilling"/>
    <s v="Won"/>
    <x v="0"/>
    <m/>
    <x v="6"/>
    <x v="1"/>
    <n v="1"/>
    <n v="25000"/>
    <n v="25000"/>
    <m/>
    <n v="0"/>
    <m/>
  </r>
  <r>
    <m/>
    <s v="Q5000"/>
    <s v="Helix"/>
    <s v="2020 shipyard"/>
    <x v="3"/>
    <s v="Drilling"/>
    <s v="Won"/>
    <x v="0"/>
    <m/>
    <x v="3"/>
    <x v="1"/>
    <n v="1"/>
    <n v="55000"/>
    <n v="55000"/>
    <n v="0.3"/>
    <n v="16500"/>
    <m/>
  </r>
  <r>
    <m/>
    <s v="Deepwater Conqueror"/>
    <s v="Transocean "/>
    <s v="NDT - Fixed price - Q2"/>
    <x v="2"/>
    <s v="Drilling"/>
    <s v="Won"/>
    <x v="0"/>
    <m/>
    <x v="0"/>
    <x v="1"/>
    <n v="1"/>
    <n v="10000"/>
    <n v="10000"/>
    <m/>
    <n v="0"/>
    <s v="Performed"/>
  </r>
  <r>
    <m/>
    <s v="Deepwater Proteus"/>
    <s v="Transocean "/>
    <s v="NDT - Fixed price - Q2"/>
    <x v="2"/>
    <s v="Drilling"/>
    <s v="Won"/>
    <x v="0"/>
    <m/>
    <x v="3"/>
    <x v="1"/>
    <n v="1"/>
    <n v="13622.27125"/>
    <n v="13622.27125"/>
    <n v="0.3"/>
    <n v="4086.6813749999997"/>
    <m/>
  </r>
  <r>
    <m/>
    <s v="Deepwater Invictus"/>
    <s v="Transocean "/>
    <s v="NDT - Fixed price - Q2"/>
    <x v="2"/>
    <s v="Drilling"/>
    <s v="Won"/>
    <x v="0"/>
    <m/>
    <x v="0"/>
    <x v="1"/>
    <n v="1"/>
    <n v="4622"/>
    <n v="4622"/>
    <m/>
    <n v="0"/>
    <s v="Performed"/>
  </r>
  <r>
    <m/>
    <s v="Deepwater Poseidon"/>
    <s v="Transocean "/>
    <s v="HP/LP - Fixed price"/>
    <x v="7"/>
    <s v="Drilling"/>
    <s v="Order backlog "/>
    <x v="0"/>
    <m/>
    <x v="4"/>
    <x v="1"/>
    <n v="1"/>
    <n v="15000"/>
    <n v="15000"/>
    <m/>
    <n v="0"/>
    <m/>
  </r>
  <r>
    <m/>
    <s v="Virginia Wind Clable Pulling"/>
    <s v="Subsea 7"/>
    <s v="Cable Pulling"/>
    <x v="12"/>
    <s v="Energy"/>
    <s v="Won"/>
    <x v="0"/>
    <m/>
    <x v="5"/>
    <x v="1"/>
    <n v="1"/>
    <n v="7500"/>
    <n v="7500"/>
    <m/>
    <n v="0"/>
    <m/>
  </r>
  <r>
    <m/>
    <s v="Virginia Wind Clable Pulling"/>
    <s v="Subsea 7"/>
    <s v="Cable Pulling"/>
    <x v="12"/>
    <s v="Energy"/>
    <s v="Won"/>
    <x v="0"/>
    <m/>
    <x v="0"/>
    <x v="1"/>
    <n v="1"/>
    <n v="50000"/>
    <n v="50000"/>
    <m/>
    <n v="0"/>
    <s v="Performed"/>
  </r>
  <r>
    <m/>
    <s v="Out of the blue"/>
    <m/>
    <m/>
    <x v="3"/>
    <s v="Drilling"/>
    <s v="Out of the blue "/>
    <x v="1"/>
    <m/>
    <x v="3"/>
    <x v="1"/>
    <n v="1"/>
    <n v="70000"/>
    <n v="70000"/>
    <n v="0.3"/>
    <n v="21000"/>
    <m/>
  </r>
  <r>
    <m/>
    <s v="Deepwater Thalassa"/>
    <s v="Transocean "/>
    <s v="DROPS - Fixed price"/>
    <x v="5"/>
    <s v="Drilling"/>
    <s v="Won"/>
    <x v="0"/>
    <m/>
    <x v="5"/>
    <x v="1"/>
    <n v="1"/>
    <n v="30939"/>
    <n v="30939"/>
    <m/>
    <n v="0"/>
    <m/>
  </r>
  <r>
    <m/>
    <s v="Deepwater Thalassa"/>
    <s v="Transocean "/>
    <s v="DROPS - Fixed price"/>
    <x v="5"/>
    <s v="Drilling"/>
    <s v="Won"/>
    <x v="0"/>
    <m/>
    <x v="0"/>
    <x v="1"/>
    <n v="1"/>
    <n v="30939"/>
    <n v="30939"/>
    <m/>
    <n v="0"/>
    <s v="Not Performed"/>
  </r>
  <r>
    <m/>
    <s v="Deepwater Invictus"/>
    <s v="Transocean "/>
    <s v="NDT - Fixed price - Q2"/>
    <x v="2"/>
    <s v="Drilling"/>
    <s v="Won"/>
    <x v="0"/>
    <m/>
    <x v="1"/>
    <x v="1"/>
    <n v="1"/>
    <n v="14000"/>
    <n v="14000"/>
    <m/>
    <n v="0"/>
    <m/>
  </r>
  <r>
    <s v="202002-02"/>
    <s v="Deepwater Conqueror"/>
    <s v="Transocean "/>
    <s v="DROPS - Fixed price"/>
    <x v="5"/>
    <s v="Drilling"/>
    <s v="Order backlog "/>
    <x v="0"/>
    <m/>
    <x v="8"/>
    <x v="1"/>
    <n v="1"/>
    <n v="30939"/>
    <n v="30939"/>
    <n v="0.3"/>
    <n v="9281.6999999999989"/>
    <m/>
  </r>
  <r>
    <s v="202003-03"/>
    <s v="Deepwater Conqueror"/>
    <s v="Transocean "/>
    <s v="LLG - Fixed price"/>
    <x v="1"/>
    <s v="Drilling"/>
    <s v="Order backlog "/>
    <x v="0"/>
    <m/>
    <x v="8"/>
    <x v="1"/>
    <n v="1"/>
    <n v="10969"/>
    <n v="10969"/>
    <n v="0.3"/>
    <n v="3290.7"/>
    <m/>
  </r>
  <r>
    <s v="202003-04"/>
    <s v="Deepwater Asgard"/>
    <s v="Transocean"/>
    <s v="NDT - Fixed price - Q3"/>
    <x v="2"/>
    <s v="Drilling"/>
    <s v="Won"/>
    <x v="0"/>
    <m/>
    <x v="5"/>
    <x v="1"/>
    <n v="1"/>
    <n v="7448.8"/>
    <n v="7448.8"/>
    <n v="0.3"/>
    <n v="2234.64"/>
    <m/>
  </r>
  <r>
    <m/>
    <s v="Virginia Wind Clable Pulling"/>
    <s v="Subsea 7"/>
    <s v="Cable Pulling"/>
    <x v="12"/>
    <s v="Energy"/>
    <s v="Won"/>
    <x v="0"/>
    <m/>
    <x v="4"/>
    <x v="1"/>
    <n v="1"/>
    <n v="15000"/>
    <n v="15000"/>
    <m/>
    <n v="0"/>
    <m/>
  </r>
  <r>
    <m/>
    <s v="Discoverer Inspiration"/>
    <s v="Transocean "/>
    <s v="NDT - Fixed price - Q2"/>
    <x v="2"/>
    <s v="Drilling"/>
    <s v="Order backlog "/>
    <x v="0"/>
    <m/>
    <x v="6"/>
    <x v="1"/>
    <n v="1"/>
    <n v="5000"/>
    <n v="5000"/>
    <n v="0.3"/>
    <n v="1500"/>
    <m/>
  </r>
  <r>
    <m/>
    <s v="Deepwater Asgard"/>
    <s v="Transocean "/>
    <s v="Cilynder - Hydraulic cath pan"/>
    <x v="4"/>
    <s v="Drilling"/>
    <s v="Won"/>
    <x v="0"/>
    <m/>
    <x v="1"/>
    <x v="1"/>
    <n v="1"/>
    <n v="5000"/>
    <n v="5000"/>
    <n v="0.3"/>
    <n v="1500"/>
    <m/>
  </r>
  <r>
    <m/>
    <s v="Discoverer Inspiration"/>
    <s v="Transocean "/>
    <s v="NDT - Fixed price - Q2"/>
    <x v="2"/>
    <s v="Drilling"/>
    <s v="Won"/>
    <x v="0"/>
    <m/>
    <x v="1"/>
    <x v="1"/>
    <n v="1"/>
    <n v="2622.2712499999998"/>
    <n v="2622.2712499999998"/>
    <n v="0.3"/>
    <n v="786.68137499999989"/>
    <m/>
  </r>
  <r>
    <m/>
    <s v="Discoverer Inspiration"/>
    <s v="Transocean "/>
    <s v="NDT - Fixed price - Q2"/>
    <x v="2"/>
    <s v="Drilling"/>
    <s v="Won"/>
    <x v="0"/>
    <m/>
    <x v="1"/>
    <x v="1"/>
    <n v="1"/>
    <n v="16000"/>
    <n v="16000"/>
    <n v="0.3"/>
    <n v="4800"/>
    <m/>
  </r>
  <r>
    <m/>
    <s v="Deepwater Thalassa"/>
    <s v="Transocean"/>
    <s v="DTH AD-HOC Removal of  ventilation diffuser screens"/>
    <x v="3"/>
    <s v="Drilling"/>
    <s v="Quote"/>
    <x v="2"/>
    <s v="Q-HO-17194"/>
    <x v="6"/>
    <x v="1"/>
    <n v="0.1"/>
    <n v="49134"/>
    <n v="4913.4000000000005"/>
    <n v="0.3"/>
    <n v="14740.199999999999"/>
    <m/>
  </r>
  <r>
    <m/>
    <s v="Deepwater Poseidon"/>
    <s v="Transocean"/>
    <s v="DTH AD-HOC Removal of  ventilation diffuser removal"/>
    <x v="3"/>
    <s v="Drilling"/>
    <s v="Quote"/>
    <x v="2"/>
    <s v="Q-HO-17191"/>
    <x v="6"/>
    <x v="1"/>
    <n v="0.25"/>
    <n v="32000"/>
    <n v="8000"/>
    <n v="0.3"/>
    <n v="9600"/>
    <m/>
  </r>
  <r>
    <m/>
    <s v="Ensco 102"/>
    <s v="Valaris"/>
    <s v="Valaris 102 - Crane Condition Evaluation"/>
    <x v="4"/>
    <s v="Drilling"/>
    <s v="Quote"/>
    <x v="2"/>
    <s v="Q-HO-17084"/>
    <x v="6"/>
    <x v="1"/>
    <n v="0.25"/>
    <n v="15000"/>
    <n v="3750"/>
    <n v="0.3"/>
    <n v="4500"/>
    <m/>
  </r>
  <r>
    <m/>
    <s v="Ensco 102"/>
    <s v="Valaris"/>
    <s v="Valaris 102 - Crane cable inspection and pressure lubrication"/>
    <x v="4"/>
    <s v="Drilling"/>
    <s v="Quote"/>
    <x v="2"/>
    <s v="Q-HO-17083"/>
    <x v="6"/>
    <x v="1"/>
    <n v="0.25"/>
    <n v="45000"/>
    <n v="11250"/>
    <n v="0.3"/>
    <n v="13500"/>
    <m/>
  </r>
  <r>
    <s v="202009-04"/>
    <s v="Deepwater Pontus"/>
    <s v="Transocean"/>
    <s v="RWNDT Q3"/>
    <x v="2"/>
    <s v="Drilling"/>
    <s v="Won"/>
    <x v="0"/>
    <m/>
    <x v="4"/>
    <x v="1"/>
    <n v="1"/>
    <n v="18622"/>
    <n v="18622"/>
    <n v="0.3"/>
    <n v="8344.7999999999993"/>
    <m/>
  </r>
  <r>
    <m/>
    <s v="West Capricorn"/>
    <s v="Seadrill"/>
    <s v="Deadweight survey"/>
    <x v="15"/>
    <s v="Drilling"/>
    <s v="Order backlog "/>
    <x v="0"/>
    <m/>
    <x v="1"/>
    <x v="1"/>
    <n v="1"/>
    <n v="35000"/>
    <n v="35000"/>
    <n v="0.3"/>
    <n v="10500"/>
    <m/>
  </r>
  <r>
    <m/>
    <s v="Ventura"/>
    <s v="Ventura"/>
    <s v="Sea trial"/>
    <x v="15"/>
    <s v="Drilling"/>
    <s v="Order backlog "/>
    <x v="0"/>
    <m/>
    <x v="1"/>
    <x v="1"/>
    <n v="1"/>
    <n v="40000"/>
    <n v="40000"/>
    <n v="0.3"/>
    <n v="12000"/>
    <m/>
  </r>
  <r>
    <m/>
    <s v="DD3"/>
    <s v="Transocean "/>
    <s v="Piping"/>
    <x v="2"/>
    <s v="Drilling"/>
    <s v="Won"/>
    <x v="0"/>
    <m/>
    <x v="4"/>
    <x v="1"/>
    <n v="1"/>
    <n v="19000"/>
    <n v="19000"/>
    <n v="0.3"/>
    <n v="5700"/>
    <m/>
  </r>
  <r>
    <s v="202009-04"/>
    <s v="Deepwater Pontus"/>
    <s v="Transocean"/>
    <s v="RWNDT Q1"/>
    <x v="2"/>
    <s v="Drilling"/>
    <s v="Won"/>
    <x v="0"/>
    <m/>
    <x v="6"/>
    <x v="1"/>
    <n v="1"/>
    <n v="18000"/>
    <n v="18000"/>
    <n v="0.3"/>
    <n v="8344.7999999999993"/>
    <m/>
  </r>
  <r>
    <s v="202015-02"/>
    <s v="DD3 - DROPS"/>
    <s v="Transocean"/>
    <s v="Annual DROPS"/>
    <x v="5"/>
    <s v="Drilling"/>
    <s v="Won"/>
    <x v="0"/>
    <m/>
    <x v="4"/>
    <x v="1"/>
    <n v="1"/>
    <n v="20000"/>
    <n v="20000"/>
    <n v="0.3"/>
    <n v="6000"/>
    <m/>
  </r>
  <r>
    <m/>
    <s v="West Capricorn"/>
    <s v="Seadrill"/>
    <s v="Mooring Trials"/>
    <x v="15"/>
    <s v="Drilling"/>
    <s v="Pipeline"/>
    <x v="3"/>
    <m/>
    <x v="4"/>
    <x v="1"/>
    <n v="1"/>
    <n v="25000"/>
    <n v="25000"/>
    <n v="0.3"/>
    <n v="7500"/>
    <m/>
  </r>
  <r>
    <m/>
    <s v="Out of the blue"/>
    <m/>
    <m/>
    <x v="3"/>
    <s v="Drilling"/>
    <s v="Out of the blue "/>
    <x v="1"/>
    <m/>
    <x v="1"/>
    <x v="1"/>
    <n v="1"/>
    <n v="50000"/>
    <n v="50000"/>
    <m/>
    <n v="0"/>
    <m/>
  </r>
  <r>
    <m/>
    <s v="Deepwater Conqueror"/>
    <s v="Transocean "/>
    <s v="KBC - SPS NDT"/>
    <x v="2"/>
    <s v="Drilling"/>
    <s v="Quoted"/>
    <x v="2"/>
    <s v="Q-HO-16944"/>
    <x v="4"/>
    <x v="1"/>
    <n v="0.25"/>
    <n v="117671"/>
    <n v="29417.75"/>
    <m/>
    <n v="0"/>
    <m/>
  </r>
  <r>
    <s v="202009-04"/>
    <s v="Deepwater Pontus"/>
    <s v="Transocean"/>
    <s v="Annual RWNDT Q3"/>
    <x v="2"/>
    <s v="Drilling"/>
    <s v="Order backlog "/>
    <x v="0"/>
    <m/>
    <x v="8"/>
    <x v="1"/>
    <n v="1"/>
    <n v="6622"/>
    <n v="6622"/>
    <n v="0.3"/>
    <n v="1986.6"/>
    <m/>
  </r>
  <r>
    <m/>
    <s v="Artemis Odyssey"/>
    <s v="BHP"/>
    <s v="OVID"/>
    <x v="12"/>
    <s v="Energy"/>
    <s v="Quoted"/>
    <x v="2"/>
    <m/>
    <x v="8"/>
    <x v="1"/>
    <n v="0.5"/>
    <n v="8000"/>
    <n v="4000"/>
    <n v="0.3"/>
    <n v="2400"/>
    <m/>
  </r>
  <r>
    <m/>
    <s v="Out of the blue"/>
    <m/>
    <s v="Out of the blue"/>
    <x v="3"/>
    <s v="Drilling"/>
    <s v="Out of the blue "/>
    <x v="1"/>
    <m/>
    <x v="0"/>
    <x v="1"/>
    <n v="1"/>
    <n v="100000"/>
    <n v="100000"/>
    <m/>
    <n v="0"/>
    <s v="Performed"/>
  </r>
  <r>
    <m/>
    <s v="Deepwater Conqueror"/>
    <s v="Transocean "/>
    <s v="BOP - Ram block inspection"/>
    <x v="2"/>
    <s v="Drilling"/>
    <s v="Pipeline"/>
    <x v="3"/>
    <m/>
    <x v="0"/>
    <x v="1"/>
    <n v="1"/>
    <n v="10000"/>
    <n v="10000"/>
    <m/>
    <n v="0"/>
    <s v="Performed"/>
  </r>
  <r>
    <m/>
    <s v="Deepwater Conqueror"/>
    <s v="Transocean "/>
    <s v="LLG - Fixed price"/>
    <x v="1"/>
    <s v="Drilling"/>
    <s v="Order backlog "/>
    <x v="0"/>
    <m/>
    <x v="4"/>
    <x v="1"/>
    <n v="1"/>
    <n v="21000"/>
    <n v="21000"/>
    <m/>
    <m/>
    <m/>
  </r>
  <r>
    <m/>
    <s v="Discoverer Inspiration"/>
    <s v="Transocean "/>
    <s v="NDT - Fixed price - Q3"/>
    <x v="2"/>
    <s v="Drilling"/>
    <s v="Order backlog "/>
    <x v="0"/>
    <m/>
    <x v="8"/>
    <x v="1"/>
    <n v="1"/>
    <n v="10080"/>
    <n v="10080"/>
    <n v="0.3"/>
    <n v="3024"/>
    <m/>
  </r>
  <r>
    <m/>
    <s v="Carolina"/>
    <s v="Ventura"/>
    <s v="Sea trial"/>
    <x v="15"/>
    <s v="Drilling"/>
    <s v="Pipeline"/>
    <x v="3"/>
    <m/>
    <x v="5"/>
    <x v="1"/>
    <n v="1"/>
    <n v="12000"/>
    <n v="12000"/>
    <m/>
    <n v="0"/>
    <m/>
  </r>
  <r>
    <m/>
    <s v="Carolina"/>
    <s v="Ventura"/>
    <s v="Sea trial"/>
    <x v="15"/>
    <s v="Drilling"/>
    <s v="Pipeline"/>
    <x v="3"/>
    <m/>
    <x v="0"/>
    <x v="1"/>
    <n v="1"/>
    <n v="50000"/>
    <n v="50000"/>
    <m/>
    <n v="0"/>
    <s v="Not Performed"/>
  </r>
  <r>
    <m/>
    <s v="Out of the blue"/>
    <m/>
    <m/>
    <x v="3"/>
    <s v="Drilling"/>
    <s v="Out of the blue "/>
    <x v="1"/>
    <m/>
    <x v="4"/>
    <x v="1"/>
    <n v="1"/>
    <n v="100000"/>
    <n v="100000"/>
    <m/>
    <n v="0"/>
    <m/>
  </r>
  <r>
    <s v="202011-04"/>
    <s v="Deepwater Proteus"/>
    <s v="Transocean "/>
    <s v="NDT - Fixed price - Q3"/>
    <x v="2"/>
    <s v="Drilling"/>
    <s v="Order backlog "/>
    <x v="0"/>
    <m/>
    <x v="8"/>
    <x v="1"/>
    <n v="1"/>
    <n v="3622"/>
    <n v="3622"/>
    <n v="0.3"/>
    <n v="1086.5999999999999"/>
    <m/>
  </r>
  <r>
    <s v="201911-04"/>
    <s v="Deepwater Proteus"/>
    <s v="Transocean"/>
    <s v="Annual RWNDT Q3"/>
    <x v="2"/>
    <s v="Drilling"/>
    <s v="Won"/>
    <x v="0"/>
    <m/>
    <x v="5"/>
    <x v="1"/>
    <n v="1"/>
    <n v="10000"/>
    <n v="10000"/>
    <n v="0.3"/>
    <n v="3000"/>
    <m/>
  </r>
  <r>
    <m/>
    <s v="Discoverer Inspiration"/>
    <s v="Transocean "/>
    <s v="Ad-hoc"/>
    <x v="2"/>
    <s v="Drilling"/>
    <s v="Won"/>
    <x v="0"/>
    <m/>
    <x v="3"/>
    <x v="1"/>
    <n v="1"/>
    <n v="6000"/>
    <n v="6000"/>
    <n v="0.3"/>
    <n v="1800"/>
    <m/>
  </r>
  <r>
    <s v="202002-06"/>
    <s v="Deepwater Conqueror"/>
    <s v="Transocean "/>
    <s v="Elevator - Fixed price"/>
    <x v="6"/>
    <s v="Drilling"/>
    <s v="Order backlog "/>
    <x v="0"/>
    <m/>
    <x v="8"/>
    <x v="1"/>
    <n v="1"/>
    <n v="13900"/>
    <n v="13900"/>
    <n v="0.3"/>
    <n v="4170"/>
    <m/>
  </r>
  <r>
    <m/>
    <s v="Deepwater Pontus "/>
    <s v="Transocean "/>
    <s v="HP/LP - Fixed price"/>
    <x v="7"/>
    <s v="Drilling"/>
    <s v="Order backlog "/>
    <x v="0"/>
    <m/>
    <x v="5"/>
    <x v="1"/>
    <n v="1"/>
    <n v="13000"/>
    <n v="13000"/>
    <m/>
    <n v="0"/>
    <m/>
  </r>
  <r>
    <m/>
    <s v="Deepwater Pontus "/>
    <s v="Transocean "/>
    <s v="EX - Fixed price"/>
    <x v="9"/>
    <s v="Drilling"/>
    <s v="Order backlog "/>
    <x v="0"/>
    <m/>
    <x v="5"/>
    <x v="1"/>
    <n v="1"/>
    <n v="10513.8"/>
    <n v="10513.8"/>
    <m/>
    <n v="0"/>
    <m/>
  </r>
  <r>
    <m/>
    <s v="SS Victoria"/>
    <s v="Ventura"/>
    <s v="Trial"/>
    <x v="12"/>
    <s v="Drilling"/>
    <s v="Order backlog "/>
    <x v="0"/>
    <m/>
    <x v="5"/>
    <x v="1"/>
    <n v="1"/>
    <n v="16500"/>
    <n v="16500"/>
    <m/>
    <n v="0"/>
    <m/>
  </r>
  <r>
    <m/>
    <s v="Deepwater Thalassa"/>
    <s v="Transocean "/>
    <s v="Ad-hoc"/>
    <x v="2"/>
    <s v="Drilling"/>
    <s v="Won"/>
    <x v="0"/>
    <m/>
    <x v="1"/>
    <x v="1"/>
    <n v="1"/>
    <n v="30000"/>
    <n v="30000"/>
    <n v="0.3"/>
    <n v="9000"/>
    <m/>
  </r>
  <r>
    <m/>
    <s v="Deepwater Thalassa"/>
    <s v="Transocean "/>
    <s v="Ad-hoc"/>
    <x v="2"/>
    <s v="Drilling"/>
    <s v="Won"/>
    <x v="0"/>
    <m/>
    <x v="3"/>
    <x v="1"/>
    <n v="1"/>
    <n v="50000"/>
    <n v="50000"/>
    <n v="0.3"/>
    <n v="15000"/>
    <m/>
  </r>
  <r>
    <s v="618038-02"/>
    <s v="Mizton"/>
    <m/>
    <s v="COMMSA Rigging Services Hook Up MIZTON - Phase II"/>
    <x v="2"/>
    <s v="Drilling"/>
    <s v="Won"/>
    <x v="0"/>
    <m/>
    <x v="3"/>
    <x v="1"/>
    <n v="1"/>
    <n v="25000"/>
    <n v="25000"/>
    <n v="0.3"/>
    <n v="7500"/>
    <m/>
  </r>
  <r>
    <m/>
    <s v="Deepwater Proteus"/>
    <s v="Transocean "/>
    <s v="DROPS - Fixed price"/>
    <x v="5"/>
    <s v="Drilling"/>
    <s v="Won"/>
    <x v="0"/>
    <m/>
    <x v="3"/>
    <x v="1"/>
    <n v="1"/>
    <n v="30939"/>
    <n v="30939"/>
    <n v="0.3"/>
    <n v="9281.6999999999989"/>
    <m/>
  </r>
  <r>
    <m/>
    <s v="Out of the blue"/>
    <m/>
    <m/>
    <x v="3"/>
    <s v="Drilling"/>
    <s v="Out of the blue "/>
    <x v="1"/>
    <m/>
    <x v="5"/>
    <x v="1"/>
    <n v="1"/>
    <n v="100000"/>
    <n v="100000"/>
    <m/>
    <n v="0"/>
    <m/>
  </r>
  <r>
    <m/>
    <s v="Sevan Louisiana"/>
    <s v="Seadrill"/>
    <s v="Towing padeyes inspection"/>
    <x v="2"/>
    <s v="Drilling"/>
    <s v="Quoted"/>
    <x v="2"/>
    <s v="Q-HO-17691"/>
    <x v="0"/>
    <x v="1"/>
    <n v="0.5"/>
    <n v="29000"/>
    <n v="14500"/>
    <m/>
    <n v="0"/>
    <s v="Performed"/>
  </r>
  <r>
    <m/>
    <s v="Discoverer Inspiration"/>
    <s v="Transocean"/>
    <s v="Lars inspection"/>
    <x v="2"/>
    <s v="Drilling"/>
    <s v="Quoted"/>
    <x v="2"/>
    <s v="Q-HO-17741"/>
    <x v="5"/>
    <x v="1"/>
    <n v="1"/>
    <n v="5000"/>
    <n v="5000"/>
    <m/>
    <n v="0"/>
    <m/>
  </r>
  <r>
    <m/>
    <s v="Discoverer Inspiration"/>
    <s v="Transocean"/>
    <s v="Lars inspection"/>
    <x v="2"/>
    <s v="Drilling"/>
    <s v="Quoted"/>
    <x v="2"/>
    <s v="Q-HO-17741"/>
    <x v="0"/>
    <x v="1"/>
    <n v="1"/>
    <n v="5000"/>
    <n v="5000"/>
    <m/>
    <n v="0"/>
    <s v="Not Performed"/>
  </r>
  <r>
    <m/>
    <s v="Deepwater Proteus"/>
    <s v="Transocean "/>
    <s v="Ad-hoc - SPS"/>
    <x v="2"/>
    <s v="Drilling"/>
    <s v="Pipeline "/>
    <x v="3"/>
    <m/>
    <x v="5"/>
    <x v="1"/>
    <n v="0.1"/>
    <n v="250000"/>
    <n v="25000"/>
    <m/>
    <n v="0"/>
    <m/>
  </r>
  <r>
    <m/>
    <s v="Deepwater Conqueror"/>
    <s v="Transocean "/>
    <s v="Ad-hoc"/>
    <x v="2"/>
    <s v="Drilling"/>
    <s v="Won"/>
    <x v="0"/>
    <m/>
    <x v="1"/>
    <x v="1"/>
    <n v="1"/>
    <n v="15000"/>
    <n v="15000"/>
    <n v="0.3"/>
    <n v="4500"/>
    <m/>
  </r>
  <r>
    <m/>
    <s v="Blackhornet"/>
    <s v="Diamond"/>
    <s v="DP / FMEA"/>
    <x v="15"/>
    <s v="Drilling"/>
    <s v="Won"/>
    <x v="0"/>
    <m/>
    <x v="1"/>
    <x v="1"/>
    <n v="1"/>
    <n v="5000"/>
    <n v="5000"/>
    <n v="0.3"/>
    <n v="1500"/>
    <m/>
  </r>
  <r>
    <m/>
    <s v="Deepwater Invictus"/>
    <s v="Transocean "/>
    <s v="CCE - Fixed price"/>
    <x v="4"/>
    <s v="Drilling"/>
    <s v="Order backlog "/>
    <x v="0"/>
    <m/>
    <x v="1"/>
    <x v="1"/>
    <n v="1"/>
    <n v="24000"/>
    <n v="24000"/>
    <m/>
    <n v="0"/>
    <m/>
  </r>
  <r>
    <m/>
    <s v="Deepwater Invictus"/>
    <s v="Transocean "/>
    <s v="CCE - Fixed price"/>
    <x v="4"/>
    <s v="Drilling"/>
    <s v="Order backlog "/>
    <x v="0"/>
    <m/>
    <x v="3"/>
    <x v="1"/>
    <n v="1"/>
    <n v="35000"/>
    <n v="35000"/>
    <m/>
    <n v="0"/>
    <m/>
  </r>
  <r>
    <m/>
    <s v="Quoted"/>
    <s v="Marine"/>
    <s v="MWS/Marine "/>
    <x v="15"/>
    <s v="Drilling"/>
    <s v="Quoted"/>
    <x v="2"/>
    <m/>
    <x v="5"/>
    <x v="1"/>
    <n v="1"/>
    <n v="8500"/>
    <n v="8500"/>
    <m/>
    <n v="0"/>
    <m/>
  </r>
  <r>
    <s v="201914-04"/>
    <s v="Deepwater Invictus"/>
    <s v="Transocean"/>
    <s v="Annual RWNDT Q3"/>
    <x v="2"/>
    <s v="Drilling"/>
    <s v="Order backlog "/>
    <x v="0"/>
    <m/>
    <x v="8"/>
    <x v="1"/>
    <n v="1"/>
    <n v="18622"/>
    <n v="18622"/>
    <n v="0.3"/>
    <n v="5586.5999999999995"/>
    <m/>
  </r>
  <r>
    <m/>
    <s v="Discoverer Inspiration"/>
    <s v="Transocean "/>
    <s v="NDT - Fixed price - Q3"/>
    <x v="2"/>
    <s v="Drilling"/>
    <s v="Order backlog "/>
    <x v="0"/>
    <m/>
    <x v="5"/>
    <x v="1"/>
    <n v="1"/>
    <n v="5586.6813750000001"/>
    <n v="5586.6813750000001"/>
    <n v="0.3"/>
    <n v="1676.0044124999999"/>
    <m/>
  </r>
  <r>
    <s v="202010-04"/>
    <s v="Deepwater Poseidon"/>
    <s v="Transocean "/>
    <s v="NDT - Fixed price - Q3"/>
    <x v="2"/>
    <s v="Drilling"/>
    <s v="Order backlog "/>
    <x v="0"/>
    <m/>
    <x v="7"/>
    <x v="1"/>
    <n v="1"/>
    <n v="8622"/>
    <n v="8622"/>
    <n v="0.3"/>
    <n v="2586.6"/>
    <m/>
  </r>
  <r>
    <s v="202002-04"/>
    <s v="Deepwater Conqueror"/>
    <s v="Transocean "/>
    <s v="NDT - Fixed price - Q3"/>
    <x v="2"/>
    <s v="Drilling"/>
    <s v="Order backlog "/>
    <x v="0"/>
    <m/>
    <x v="8"/>
    <x v="1"/>
    <n v="1"/>
    <n v="6622"/>
    <n v="6622"/>
    <n v="0.3"/>
    <n v="1986.6"/>
    <m/>
  </r>
  <r>
    <s v="202015-04"/>
    <s v="DD3"/>
    <s v="Transocean "/>
    <s v="NDT - Fixed price - Q3"/>
    <x v="2"/>
    <s v="Drilling"/>
    <s v="Order backlog "/>
    <x v="0"/>
    <m/>
    <x v="8"/>
    <x v="1"/>
    <n v="1"/>
    <n v="3000"/>
    <n v="3000"/>
    <n v="0.3"/>
    <n v="900"/>
    <m/>
  </r>
  <r>
    <s v="202012-04"/>
    <s v="Deepwater Thalassa"/>
    <s v="Transocean "/>
    <s v="NDT - Fixed price - Q3"/>
    <x v="2"/>
    <s v="Drilling"/>
    <s v="Order backlog "/>
    <x v="0"/>
    <m/>
    <x v="8"/>
    <x v="1"/>
    <n v="1"/>
    <n v="8622"/>
    <n v="8622"/>
    <n v="0.3"/>
    <n v="2586.6"/>
    <m/>
  </r>
  <r>
    <s v="202015-03"/>
    <s v="DD3 - LGI"/>
    <s v="Transocean"/>
    <s v="Annual LGI"/>
    <x v="1"/>
    <s v="Drilling"/>
    <s v="Won"/>
    <x v="0"/>
    <m/>
    <x v="8"/>
    <x v="1"/>
    <n v="1"/>
    <n v="27469"/>
    <n v="27469"/>
    <n v="0.3"/>
    <n v="8240.6999999999989"/>
    <m/>
  </r>
  <r>
    <s v="202010-01"/>
    <s v="Deepwater Poseidon"/>
    <s v="Transocean "/>
    <s v="CCE - Fixed price"/>
    <x v="4"/>
    <s v="Drilling"/>
    <s v="Order backlog "/>
    <x v="0"/>
    <m/>
    <x v="7"/>
    <x v="1"/>
    <n v="1"/>
    <n v="29000"/>
    <n v="29000"/>
    <n v="0.3"/>
    <n v="8700"/>
    <m/>
  </r>
  <r>
    <s v="202002-05"/>
    <s v="Deepwater Conqueror"/>
    <s v="Transocean "/>
    <s v="HP/LP - Fixed price"/>
    <x v="7"/>
    <s v="Drilling"/>
    <s v="Won"/>
    <x v="0"/>
    <m/>
    <x v="11"/>
    <x v="1"/>
    <n v="1"/>
    <n v="27816"/>
    <n v="27816"/>
    <n v="0.3"/>
    <n v="8344.7999999999993"/>
    <m/>
  </r>
  <r>
    <m/>
    <s v="Deepwater Thalassa"/>
    <s v="Transocean "/>
    <s v="Elevator - Fixed price"/>
    <x v="6"/>
    <s v="Drilling"/>
    <s v="Order backlog "/>
    <x v="0"/>
    <m/>
    <x v="4"/>
    <x v="1"/>
    <n v="1"/>
    <n v="13900"/>
    <n v="13900"/>
    <m/>
    <m/>
    <m/>
  </r>
  <r>
    <s v="202002-01"/>
    <s v="Deepwater Conqueror"/>
    <s v="Transocean "/>
    <s v="CCE - Fixed price"/>
    <x v="4"/>
    <s v="Drilling"/>
    <s v="Order backlog "/>
    <x v="0"/>
    <m/>
    <x v="8"/>
    <x v="1"/>
    <n v="1"/>
    <n v="9378"/>
    <n v="9378"/>
    <n v="0.3"/>
    <n v="2813.4"/>
    <m/>
  </r>
  <r>
    <m/>
    <s v="Deepwater Conqueror"/>
    <s v="Transocean "/>
    <s v="KBC - SPS NDT"/>
    <x v="2"/>
    <s v="Drilling"/>
    <s v="Quoted"/>
    <x v="2"/>
    <s v="Q-HO-16944"/>
    <x v="9"/>
    <x v="3"/>
    <n v="0.15"/>
    <n v="117671"/>
    <n v="17650.649999999998"/>
    <m/>
    <n v="0"/>
    <m/>
  </r>
  <r>
    <m/>
    <s v="Virginia Wind Clable Pulling"/>
    <s v="Subsea 7"/>
    <s v="Cable Pulling"/>
    <x v="1"/>
    <s v="Energy"/>
    <s v="Order backlog "/>
    <x v="0"/>
    <m/>
    <x v="8"/>
    <x v="1"/>
    <n v="1"/>
    <n v="20000"/>
    <n v="20000"/>
    <n v="0.3"/>
    <n v="6000"/>
    <m/>
  </r>
  <r>
    <m/>
    <s v="Q5000"/>
    <s v="Helix "/>
    <s v="Annual inspections"/>
    <x v="2"/>
    <s v="Energy"/>
    <s v="Pipeline "/>
    <x v="3"/>
    <m/>
    <x v="8"/>
    <x v="1"/>
    <n v="1"/>
    <n v="20000"/>
    <n v="20000"/>
    <n v="0.3"/>
    <n v="6000"/>
    <m/>
  </r>
  <r>
    <m/>
    <s v="Deepwater Poseidon"/>
    <s v="Transocean "/>
    <s v="NDT - Fixed price - Q3"/>
    <x v="2"/>
    <s v="Drilling"/>
    <s v="Order backlog "/>
    <x v="0"/>
    <m/>
    <x v="5"/>
    <x v="1"/>
    <n v="1"/>
    <n v="7000"/>
    <n v="7000"/>
    <n v="0.3"/>
    <n v="2100"/>
    <m/>
  </r>
  <r>
    <m/>
    <s v="Out of the blue"/>
    <m/>
    <s v="TRIM"/>
    <x v="3"/>
    <s v="Drilling"/>
    <s v="Out of the blue "/>
    <x v="1"/>
    <m/>
    <x v="8"/>
    <x v="1"/>
    <n v="1"/>
    <n v="80000"/>
    <n v="80000"/>
    <n v="0.3"/>
    <n v="24000"/>
    <m/>
  </r>
  <r>
    <m/>
    <s v="Noble Regina Allen"/>
    <s v="Noble"/>
    <s v="LGI"/>
    <x v="1"/>
    <s v="Drilling"/>
    <s v="Quoted"/>
    <x v="2"/>
    <m/>
    <x v="7"/>
    <x v="1"/>
    <n v="0.1"/>
    <n v="30000"/>
    <n v="3000"/>
    <m/>
    <n v="0"/>
    <m/>
  </r>
  <r>
    <s v="202015-04"/>
    <s v="DD3"/>
    <s v="Transocean"/>
    <s v="RWNDT 4th Q"/>
    <x v="1"/>
    <s v="Drilling"/>
    <s v="Won"/>
    <x v="0"/>
    <m/>
    <x v="10"/>
    <x v="1"/>
    <n v="1"/>
    <n v="12000"/>
    <n v="12000"/>
    <n v="0.3"/>
    <n v="3600"/>
    <m/>
  </r>
  <r>
    <s v="202003-04"/>
    <s v="Deepwater Asgard"/>
    <s v="Transocean "/>
    <s v="NDT - Fixed price - Q4"/>
    <x v="2"/>
    <s v="Drilling"/>
    <s v="Order backlog "/>
    <x v="0"/>
    <m/>
    <x v="7"/>
    <x v="1"/>
    <n v="1"/>
    <n v="18622.271250000002"/>
    <n v="18622.271250000002"/>
    <m/>
    <n v="0"/>
    <m/>
  </r>
  <r>
    <s v="202003-04"/>
    <s v="Deepwater Asgard"/>
    <s v="Transocean"/>
    <s v="Annual EX Assessment"/>
    <x v="9"/>
    <s v="Drilling"/>
    <s v="Won"/>
    <x v="0"/>
    <m/>
    <x v="10"/>
    <x v="1"/>
    <n v="1"/>
    <n v="10620"/>
    <n v="10620"/>
    <n v="0.3"/>
    <n v="3186"/>
    <m/>
  </r>
  <r>
    <s v="202002-07"/>
    <s v="Deepwater Conqueror"/>
    <s v="Transocean"/>
    <s v="Annual EX Assessment"/>
    <x v="9"/>
    <s v="Drilling"/>
    <s v="Won"/>
    <x v="0"/>
    <m/>
    <x v="10"/>
    <x v="1"/>
    <n v="1"/>
    <n v="10620"/>
    <n v="10620"/>
    <n v="0.3"/>
    <n v="3186"/>
    <m/>
  </r>
  <r>
    <m/>
    <s v="Deepwater Conqueror"/>
    <s v="Transocean "/>
    <s v="Vibration Analysis"/>
    <x v="2"/>
    <s v="Drilling"/>
    <s v="Quoted"/>
    <x v="2"/>
    <s v="Q-HO-17283"/>
    <x v="10"/>
    <x v="1"/>
    <n v="0.5"/>
    <n v="28841"/>
    <n v="14420.5"/>
    <m/>
    <n v="0"/>
    <m/>
  </r>
  <r>
    <m/>
    <s v="Deepwater Conqueror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Seadrill"/>
    <s v="Marine"/>
    <s v="MWS/Marine "/>
    <x v="2"/>
    <s v="Drilling"/>
    <s v="Pipeline "/>
    <x v="3"/>
    <m/>
    <x v="7"/>
    <x v="1"/>
    <n v="1"/>
    <n v="13500"/>
    <n v="13500"/>
    <m/>
    <n v="0"/>
    <m/>
  </r>
  <r>
    <m/>
    <s v="Deepwater Conqueror"/>
    <s v="Transocean"/>
    <s v="E-DROPS Implementation"/>
    <x v="5"/>
    <s v="Drilling"/>
    <s v="Order backlog "/>
    <x v="4"/>
    <m/>
    <x v="11"/>
    <x v="1"/>
    <n v="1"/>
    <n v="15000"/>
    <n v="15000"/>
    <m/>
    <n v="0"/>
    <m/>
  </r>
  <r>
    <m/>
    <s v="Deepwater Invictus"/>
    <s v="Transocean"/>
    <s v="E-DROPS Implementation"/>
    <x v="5"/>
    <s v="Drilling"/>
    <s v="Order backlog "/>
    <x v="4"/>
    <m/>
    <x v="7"/>
    <x v="1"/>
    <n v="1"/>
    <n v="15000"/>
    <n v="15000"/>
    <m/>
    <n v="0"/>
    <m/>
  </r>
  <r>
    <m/>
    <s v="Q5000"/>
    <s v="Helix "/>
    <s v="Annual inspections"/>
    <x v="2"/>
    <s v="Energy"/>
    <s v="Pipeline "/>
    <x v="3"/>
    <m/>
    <x v="7"/>
    <x v="1"/>
    <n v="1"/>
    <n v="60000"/>
    <n v="60000"/>
    <m/>
    <n v="0"/>
    <m/>
  </r>
  <r>
    <m/>
    <s v="Out of the blue"/>
    <m/>
    <m/>
    <x v="3"/>
    <s v="Drilling"/>
    <s v="Out of the blue "/>
    <x v="1"/>
    <m/>
    <x v="7"/>
    <x v="1"/>
    <n v="1"/>
    <n v="100000"/>
    <n v="100000"/>
    <m/>
    <n v="0"/>
    <m/>
  </r>
  <r>
    <m/>
    <s v="Deepwater Invictus"/>
    <s v="Transocean "/>
    <s v="HP/LP - Fixed price"/>
    <x v="7"/>
    <s v="Drilling"/>
    <s v="Order backlog "/>
    <x v="0"/>
    <m/>
    <x v="7"/>
    <x v="1"/>
    <n v="1"/>
    <n v="27816"/>
    <n v="27816"/>
    <m/>
    <n v="0"/>
    <m/>
  </r>
  <r>
    <m/>
    <s v="Deepwater Invictus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Deepwater Pontus"/>
    <s v="Transocean"/>
    <s v="E-DROPS Implementation"/>
    <x v="5"/>
    <s v="Drilling"/>
    <s v="Order backlog "/>
    <x v="2"/>
    <m/>
    <x v="10"/>
    <x v="1"/>
    <n v="1"/>
    <n v="15000"/>
    <n v="15000"/>
    <m/>
    <n v="0"/>
    <m/>
  </r>
  <r>
    <s v="202009-04"/>
    <s v="Deepwater Pontus 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Deepwater Poseidon"/>
    <s v="Transocean"/>
    <s v="E-DROPS Implementation"/>
    <x v="5"/>
    <s v="Drilling"/>
    <s v="Order backlog "/>
    <x v="4"/>
    <m/>
    <x v="7"/>
    <x v="1"/>
    <n v="1"/>
    <n v="15000"/>
    <n v="15000"/>
    <m/>
    <n v="0"/>
    <m/>
  </r>
  <r>
    <m/>
    <s v="Seadrill"/>
    <s v="Marine"/>
    <s v="MWS/Marine "/>
    <x v="2"/>
    <s v="Drilling"/>
    <s v="Pipeline "/>
    <x v="3"/>
    <m/>
    <x v="10"/>
    <x v="1"/>
    <n v="1"/>
    <n v="13500"/>
    <n v="13500"/>
    <m/>
    <n v="0"/>
    <m/>
  </r>
  <r>
    <m/>
    <s v="Deepwater Poseidon"/>
    <s v="Transocean "/>
    <s v="CCE - Fixed price"/>
    <x v="4"/>
    <s v="Drilling"/>
    <s v="Order backlog "/>
    <x v="0"/>
    <m/>
    <x v="7"/>
    <x v="1"/>
    <n v="1"/>
    <n v="29000"/>
    <n v="29000"/>
    <m/>
    <n v="0"/>
    <m/>
  </r>
  <r>
    <s v="202010-03"/>
    <s v="Deepwater Poseidon"/>
    <s v="Transocean "/>
    <s v="LLG - Fixed price"/>
    <x v="1"/>
    <s v="Drilling"/>
    <s v="Order backlog "/>
    <x v="0"/>
    <m/>
    <x v="11"/>
    <x v="1"/>
    <n v="1"/>
    <n v="31969"/>
    <n v="31969"/>
    <m/>
    <n v="0"/>
    <m/>
  </r>
  <r>
    <s v="202010-02"/>
    <s v="Deepwater Poseidon"/>
    <s v="Transocean "/>
    <s v="DROPS - Fixed price"/>
    <x v="5"/>
    <s v="Drilling"/>
    <s v="Order backlog "/>
    <x v="0"/>
    <m/>
    <x v="7"/>
    <x v="1"/>
    <n v="1"/>
    <n v="30939"/>
    <n v="30939"/>
    <m/>
    <n v="0"/>
    <m/>
  </r>
  <r>
    <s v="202010-04"/>
    <s v="Deepwater Poseidon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Other"/>
    <m/>
    <m/>
    <x v="3"/>
    <s v="Drilling"/>
    <s v="Quoted"/>
    <x v="2"/>
    <m/>
    <x v="10"/>
    <x v="1"/>
    <n v="1"/>
    <n v="100000"/>
    <n v="100000"/>
    <m/>
    <n v="0"/>
    <m/>
  </r>
  <r>
    <m/>
    <s v="Deepwater Poseidon"/>
    <s v="Transocean "/>
    <s v="HP/LP - Fixed price"/>
    <x v="7"/>
    <s v="Drilling"/>
    <s v="Order backlog "/>
    <x v="0"/>
    <m/>
    <x v="5"/>
    <x v="1"/>
    <n v="1"/>
    <n v="12000"/>
    <n v="12000"/>
    <m/>
    <n v="0"/>
    <m/>
  </r>
  <r>
    <m/>
    <s v="Out of the blue"/>
    <m/>
    <m/>
    <x v="3"/>
    <s v="Drilling"/>
    <s v="Out of the blue "/>
    <x v="1"/>
    <m/>
    <x v="10"/>
    <x v="1"/>
    <n v="1"/>
    <n v="100000"/>
    <n v="100000"/>
    <m/>
    <n v="0"/>
    <m/>
  </r>
  <r>
    <m/>
    <s v="Out of the blue"/>
    <m/>
    <m/>
    <x v="3"/>
    <s v="Drilling"/>
    <s v="Out of the blue "/>
    <x v="1"/>
    <m/>
    <x v="11"/>
    <x v="1"/>
    <n v="1"/>
    <n v="100000"/>
    <n v="100000"/>
    <m/>
    <n v="0"/>
    <m/>
  </r>
  <r>
    <s v="202010-06"/>
    <s v="Deepwater Poseidon"/>
    <s v="Transocean "/>
    <s v="Elevator - Fixed price"/>
    <x v="6"/>
    <s v="Drilling"/>
    <s v="Order backlog "/>
    <x v="0"/>
    <m/>
    <x v="7"/>
    <x v="1"/>
    <n v="1"/>
    <n v="13900"/>
    <n v="13900"/>
    <m/>
    <n v="0"/>
    <m/>
  </r>
  <r>
    <s v="202011-06"/>
    <s v="Deepwater Proteus"/>
    <s v="Transocean "/>
    <s v="Elevator - Fixed price"/>
    <x v="6"/>
    <s v="Drilling"/>
    <s v="Won"/>
    <x v="0"/>
    <m/>
    <x v="4"/>
    <x v="1"/>
    <n v="1"/>
    <n v="13900"/>
    <n v="13900"/>
    <m/>
    <n v="0"/>
    <m/>
  </r>
  <r>
    <m/>
    <s v="Deepwater Proteus"/>
    <s v="Transocean"/>
    <s v="E-DROPS Implementation"/>
    <x v="5"/>
    <s v="Drilling"/>
    <m/>
    <x v="2"/>
    <m/>
    <x v="10"/>
    <x v="1"/>
    <n v="1"/>
    <n v="15000"/>
    <n v="15000"/>
    <m/>
    <n v="0"/>
    <m/>
  </r>
  <r>
    <s v="202011-04"/>
    <s v="Deepwater Proteus"/>
    <s v="Transocean "/>
    <s v="NDT - Fixed price - Q4"/>
    <x v="2"/>
    <s v="Drilling"/>
    <s v="Won"/>
    <x v="0"/>
    <m/>
    <x v="11"/>
    <x v="1"/>
    <n v="1"/>
    <n v="18622.271250000002"/>
    <n v="18622.271250000002"/>
    <m/>
    <n v="0"/>
    <m/>
  </r>
  <r>
    <m/>
    <s v="Deepwater Thalassa"/>
    <s v="Transocean "/>
    <s v="HP/LP - Fixed price"/>
    <x v="7"/>
    <s v="Drilling"/>
    <s v="Order backlog "/>
    <x v="0"/>
    <m/>
    <x v="7"/>
    <x v="1"/>
    <n v="1"/>
    <n v="27816"/>
    <n v="27816"/>
    <m/>
    <n v="0"/>
    <m/>
  </r>
  <r>
    <m/>
    <s v="Deepwater Thalassa"/>
    <s v="Transocean "/>
    <s v="CCE - Fixed price"/>
    <x v="4"/>
    <s v="Drilling"/>
    <s v="Order backlog "/>
    <x v="0"/>
    <m/>
    <x v="7"/>
    <x v="1"/>
    <n v="1"/>
    <n v="59378"/>
    <n v="59378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n v="0.3"/>
    <n v="0"/>
    <m/>
  </r>
  <r>
    <m/>
    <s v="Discoverer Inspiration"/>
    <s v="Transocean"/>
    <s v="Annual LGI"/>
    <x v="1"/>
    <s v="Drilling"/>
    <s v="Pipeline"/>
    <x v="3"/>
    <m/>
    <x v="2"/>
    <x v="3"/>
    <n v="1"/>
    <n v="25000"/>
    <n v="25000"/>
    <n v="0.3"/>
    <n v="7500"/>
    <m/>
  </r>
  <r>
    <m/>
    <s v="Deepwater Invictus"/>
    <s v="Transocean"/>
    <s v="Annual DROPS"/>
    <x v="5"/>
    <s v="Drilling"/>
    <s v="Pipeline"/>
    <x v="3"/>
    <m/>
    <x v="2"/>
    <x v="3"/>
    <n v="1"/>
    <n v="28000"/>
    <n v="28000"/>
    <n v="0.3"/>
    <n v="8400"/>
    <m/>
  </r>
  <r>
    <m/>
    <s v="Deepwater Proteus"/>
    <s v="Transocean"/>
    <s v="Annual LGI"/>
    <x v="1"/>
    <s v="Drilling"/>
    <s v="Pipeline"/>
    <x v="3"/>
    <m/>
    <x v="2"/>
    <x v="3"/>
    <n v="1"/>
    <n v="31969"/>
    <n v="31969"/>
    <n v="0.19"/>
    <n v="6074.11"/>
    <m/>
  </r>
  <r>
    <m/>
    <s v="Deepwater Thalassa"/>
    <s v="Transocean"/>
    <s v="Annual LGI"/>
    <x v="1"/>
    <s v="Drilling"/>
    <s v="Pipeline"/>
    <x v="3"/>
    <m/>
    <x v="2"/>
    <x v="3"/>
    <n v="1"/>
    <n v="31969"/>
    <n v="31969"/>
    <n v="0.19"/>
    <n v="6074.11"/>
    <m/>
  </r>
  <r>
    <s v="-"/>
    <s v="Out of the blue"/>
    <m/>
    <m/>
    <x v="3"/>
    <s v="Drilling"/>
    <s v="Out of the blue "/>
    <x v="1"/>
    <m/>
    <x v="9"/>
    <x v="3"/>
    <n v="1"/>
    <n v="150000"/>
    <n v="150000"/>
    <n v="0.3"/>
    <n v="45000"/>
    <m/>
  </r>
  <r>
    <m/>
    <s v="Ensco 8505"/>
    <s v="Valaris"/>
    <s v="Pressure lube"/>
    <x v="4"/>
    <s v="Drilling"/>
    <s v="Pipeline"/>
    <x v="3"/>
    <m/>
    <x v="2"/>
    <x v="3"/>
    <n v="1"/>
    <n v="16000"/>
    <n v="16000"/>
    <n v="0.3"/>
    <n v="4800"/>
    <m/>
  </r>
  <r>
    <m/>
    <s v="Deepwater Asgard"/>
    <s v="Transocean"/>
    <s v="Elevator - Fixed price"/>
    <x v="4"/>
    <s v="Drilling"/>
    <s v="Pipeline"/>
    <x v="3"/>
    <m/>
    <x v="9"/>
    <x v="3"/>
    <n v="1"/>
    <n v="30000"/>
    <n v="30000"/>
    <n v="0.3"/>
    <n v="9000"/>
    <m/>
  </r>
  <r>
    <m/>
    <s v="Deepwater Asgard"/>
    <s v="Transocean"/>
    <s v="Annual CCE"/>
    <x v="4"/>
    <s v="Drilling"/>
    <s v="Pipeline"/>
    <x v="3"/>
    <m/>
    <x v="9"/>
    <x v="3"/>
    <n v="1"/>
    <n v="30000"/>
    <n v="30000"/>
    <n v="0.3"/>
    <n v="9000"/>
    <m/>
  </r>
  <r>
    <m/>
    <s v="Q5000"/>
    <s v="Helix"/>
    <s v="Misc LAG"/>
    <x v="1"/>
    <s v="Drilling"/>
    <s v="Pipeline"/>
    <x v="3"/>
    <m/>
    <x v="9"/>
    <x v="3"/>
    <n v="1"/>
    <n v="50000"/>
    <n v="50000"/>
    <n v="0.35"/>
    <n v="17500"/>
    <m/>
  </r>
  <r>
    <m/>
    <s v="Deepwater Pontus"/>
    <s v="Transocean"/>
    <s v="Annual Elevators"/>
    <x v="1"/>
    <s v="Drilling"/>
    <s v="Pipeline"/>
    <x v="3"/>
    <m/>
    <x v="9"/>
    <x v="3"/>
    <n v="1"/>
    <n v="13900"/>
    <n v="13900"/>
    <n v="0.3"/>
    <n v="4170"/>
    <m/>
  </r>
  <r>
    <m/>
    <s v="Discoverer Inspiration"/>
    <s v="Transocean"/>
    <s v="Annual LGI"/>
    <x v="1"/>
    <s v="Drilling"/>
    <s v="Pipeline"/>
    <x v="3"/>
    <m/>
    <x v="9"/>
    <x v="3"/>
    <n v="1"/>
    <n v="26000"/>
    <n v="26000"/>
    <n v="0.3"/>
    <n v="7800"/>
    <m/>
  </r>
  <r>
    <m/>
    <s v="Deepwater Proteus"/>
    <s v="Transocean"/>
    <s v="Annual Pressurized Systems"/>
    <x v="7"/>
    <s v="Drilling"/>
    <s v="Pipeline"/>
    <x v="3"/>
    <m/>
    <x v="9"/>
    <x v="3"/>
    <n v="1"/>
    <n v="27816"/>
    <n v="27816"/>
    <n v="0.3"/>
    <n v="8344.7999999999993"/>
    <m/>
  </r>
  <r>
    <m/>
    <s v="Deepwater Pontus"/>
    <s v="Transocean"/>
    <s v="Annual DROPS"/>
    <x v="5"/>
    <s v="Drilling"/>
    <s v="Pipeline"/>
    <x v="3"/>
    <m/>
    <x v="9"/>
    <x v="3"/>
    <n v="1"/>
    <n v="30000"/>
    <n v="30000"/>
    <n v="0.3"/>
    <n v="9000"/>
    <m/>
  </r>
  <r>
    <m/>
    <s v="Deepwater Pontus"/>
    <s v="Transocean"/>
    <s v="Annual LGI"/>
    <x v="1"/>
    <s v="Drilling"/>
    <s v="Pipeline"/>
    <x v="3"/>
    <m/>
    <x v="9"/>
    <x v="3"/>
    <n v="1"/>
    <n v="31000"/>
    <n v="31000"/>
    <n v="0.3"/>
    <n v="9300"/>
    <m/>
  </r>
  <r>
    <m/>
    <s v="Out of the blue"/>
    <m/>
    <m/>
    <x v="3"/>
    <m/>
    <s v="Pipeline"/>
    <x v="1"/>
    <m/>
    <x v="2"/>
    <x v="3"/>
    <n v="1"/>
    <n v="150000"/>
    <n v="150000"/>
    <n v="0.3"/>
    <n v="45000"/>
    <m/>
  </r>
  <r>
    <m/>
    <s v="Producer 1"/>
    <s v="Transocean"/>
    <s v="HP1 - Annual Lifting Gear Inspection "/>
    <x v="1"/>
    <s v="Drilling"/>
    <s v="Pipeline"/>
    <x v="3"/>
    <m/>
    <x v="9"/>
    <x v="3"/>
    <n v="0.25"/>
    <n v="23635"/>
    <n v="5908.75"/>
    <n v="0.3"/>
    <n v="1772.625"/>
    <m/>
  </r>
  <r>
    <m/>
    <s v="Deepwater Proteus"/>
    <s v="Transocean"/>
    <s v="Ad-Hoc"/>
    <x v="2"/>
    <s v="Drilling"/>
    <s v="Pipeline"/>
    <x v="3"/>
    <m/>
    <x v="6"/>
    <x v="3"/>
    <n v="1"/>
    <n v="10000"/>
    <n v="10000"/>
    <n v="0.3"/>
    <n v="3000"/>
    <m/>
  </r>
  <r>
    <m/>
    <s v="Deepwater Pontus"/>
    <s v="Transocean"/>
    <s v="Annual DROPS"/>
    <x v="5"/>
    <s v="Drilling"/>
    <s v="Pipeline"/>
    <x v="3"/>
    <m/>
    <x v="6"/>
    <x v="3"/>
    <n v="1"/>
    <n v="30939"/>
    <n v="30939"/>
    <n v="0.3"/>
    <n v="9281.6999999999989"/>
    <m/>
  </r>
  <r>
    <m/>
    <s v="DD3 - DROPS"/>
    <s v="Transocean"/>
    <s v="Annual DROPS"/>
    <x v="3"/>
    <s v="Drilling"/>
    <s v="Pipeline"/>
    <x v="3"/>
    <m/>
    <x v="6"/>
    <x v="3"/>
    <n v="1"/>
    <n v="26280"/>
    <n v="26280"/>
    <n v="0.3"/>
    <n v="7884"/>
    <m/>
  </r>
  <r>
    <m/>
    <s v="Deepwater Invictus"/>
    <s v="Transocean"/>
    <s v="Annual EX Assessment"/>
    <x v="9"/>
    <s v="Drilling"/>
    <s v="Pipeline"/>
    <x v="3"/>
    <m/>
    <x v="6"/>
    <x v="3"/>
    <n v="1"/>
    <n v="10620"/>
    <n v="10620"/>
    <n v="0.3"/>
    <n v="3186"/>
    <m/>
  </r>
  <r>
    <m/>
    <s v="Deepwater Proteus"/>
    <s v="Transocean"/>
    <s v="Annual LGI"/>
    <x v="1"/>
    <s v="Drilling"/>
    <s v="Pipeline"/>
    <x v="3"/>
    <m/>
    <x v="6"/>
    <x v="3"/>
    <n v="1"/>
    <n v="11969"/>
    <n v="11969"/>
    <n v="0.19"/>
    <n v="2274.11"/>
    <m/>
  </r>
  <r>
    <m/>
    <s v="Deepwater Invictus"/>
    <s v="Transocean"/>
    <s v="Annual RWNDT Q1"/>
    <x v="2"/>
    <s v="Drilling"/>
    <s v="Pipeline"/>
    <x v="3"/>
    <m/>
    <x v="2"/>
    <x v="3"/>
    <n v="1"/>
    <n v="18810.5"/>
    <n v="18810.5"/>
    <n v="0.3"/>
    <n v="5643.15"/>
    <m/>
  </r>
  <r>
    <m/>
    <s v="Deepwater Invictus"/>
    <s v="Transocean"/>
    <s v="Annual LGI"/>
    <x v="1"/>
    <s v="Drilling"/>
    <s v="Pipeline"/>
    <x v="3"/>
    <m/>
    <x v="6"/>
    <x v="3"/>
    <n v="1"/>
    <n v="1969"/>
    <n v="1969"/>
    <n v="0.3"/>
    <n v="590.69999999999993"/>
    <m/>
  </r>
  <r>
    <m/>
    <s v="Deepwater Proteus"/>
    <s v="Transocean"/>
    <s v="Ad-Hoc Phased array"/>
    <x v="2"/>
    <s v="Drilling"/>
    <s v="Pipeline"/>
    <x v="3"/>
    <m/>
    <x v="2"/>
    <x v="3"/>
    <n v="1"/>
    <n v="10000"/>
    <n v="10000"/>
    <n v="0.3"/>
    <n v="3000"/>
    <m/>
  </r>
  <r>
    <m/>
    <s v="Deepwater Invictus"/>
    <s v="Transocean"/>
    <s v="Annual DROPS"/>
    <x v="5"/>
    <s v="Drilling"/>
    <s v="Pipeline"/>
    <x v="3"/>
    <m/>
    <x v="2"/>
    <x v="3"/>
    <n v="1"/>
    <n v="15939"/>
    <n v="15939"/>
    <n v="0.3"/>
    <n v="4781.7"/>
    <m/>
  </r>
  <r>
    <m/>
    <s v="Deepwater Invictus"/>
    <s v="Transocean"/>
    <s v="Annual Elevators"/>
    <x v="1"/>
    <s v="Drilling"/>
    <s v="Pipeline"/>
    <x v="3"/>
    <m/>
    <x v="2"/>
    <x v="3"/>
    <n v="1"/>
    <n v="13900"/>
    <n v="13900"/>
    <n v="0.3"/>
    <n v="4170"/>
    <m/>
  </r>
  <r>
    <m/>
    <s v="Deepwater Invictus"/>
    <s v="Transocean"/>
    <s v="Resocketing of 76mm KB2 "/>
    <x v="2"/>
    <s v="Drilling"/>
    <s v="Pipeline"/>
    <x v="3"/>
    <m/>
    <x v="2"/>
    <x v="3"/>
    <n v="1"/>
    <n v="20000"/>
    <n v="20000"/>
    <n v="0.3"/>
    <n v="6000"/>
    <m/>
  </r>
  <r>
    <m/>
    <s v="Deepwater Pontus"/>
    <s v="Transocean"/>
    <s v="Annual LGI"/>
    <x v="1"/>
    <s v="Drilling"/>
    <s v="Pipeline"/>
    <x v="3"/>
    <m/>
    <x v="6"/>
    <x v="3"/>
    <n v="1"/>
    <n v="31969"/>
    <n v="31969"/>
    <n v="0.3"/>
    <n v="9590.6999999999989"/>
    <m/>
  </r>
  <r>
    <m/>
    <s v="Deepwater Asgard"/>
    <s v="Transocean"/>
    <s v="Annual DROPS"/>
    <x v="5"/>
    <s v="Drilling"/>
    <s v="Pipeline"/>
    <x v="3"/>
    <m/>
    <x v="9"/>
    <x v="3"/>
    <n v="1"/>
    <n v="30939"/>
    <n v="30939"/>
    <n v="0.3"/>
    <n v="9281.6999999999989"/>
    <m/>
  </r>
  <r>
    <m/>
    <s v="Deepwater Poseidon"/>
    <s v="Transocean"/>
    <s v="Annual RWNDT Q1"/>
    <x v="2"/>
    <s v="Drilling"/>
    <s v="Pipeline"/>
    <x v="3"/>
    <m/>
    <x v="2"/>
    <x v="3"/>
    <n v="1"/>
    <n v="18810.5"/>
    <n v="18810.5"/>
    <n v="0.3"/>
    <n v="5643.15"/>
    <m/>
  </r>
  <r>
    <m/>
    <s v="DD3 - LGI"/>
    <s v="Transocean"/>
    <s v="Annual LGI"/>
    <x v="3"/>
    <s v="Drilling"/>
    <s v="Pipeline"/>
    <x v="3"/>
    <m/>
    <x v="6"/>
    <x v="3"/>
    <n v="1"/>
    <n v="27469"/>
    <n v="27469"/>
    <n v="0.3"/>
    <n v="8240.6999999999989"/>
    <m/>
  </r>
  <r>
    <m/>
    <s v="Deepwater Conqueror"/>
    <s v="Transocean"/>
    <s v="Annual RWNDT Q1"/>
    <x v="2"/>
    <s v="Drilling"/>
    <s v="Pipeline"/>
    <x v="3"/>
    <m/>
    <x v="6"/>
    <x v="3"/>
    <n v="1"/>
    <n v="6810"/>
    <n v="6810"/>
    <n v="0.3"/>
    <n v="2043"/>
    <m/>
  </r>
  <r>
    <m/>
    <s v="Deepwater Proteus"/>
    <s v="Transocean"/>
    <s v="Annual RWNDT Q1"/>
    <x v="2"/>
    <s v="Drilling"/>
    <s v="Pipeline"/>
    <x v="3"/>
    <m/>
    <x v="6"/>
    <x v="3"/>
    <n v="1"/>
    <n v="18810.5"/>
    <n v="18810.5"/>
    <n v="0.3"/>
    <n v="5643.15"/>
    <m/>
  </r>
  <r>
    <m/>
    <s v="Deepwater Asgard"/>
    <s v="Transocean"/>
    <s v="Annual LGI"/>
    <x v="1"/>
    <s v="Drilling"/>
    <s v="Pipeline"/>
    <x v="3"/>
    <m/>
    <x v="9"/>
    <x v="3"/>
    <n v="1"/>
    <n v="30000"/>
    <n v="30000"/>
    <n v="0.3"/>
    <n v="9000"/>
    <m/>
  </r>
  <r>
    <m/>
    <s v="Deepwater Thalassa"/>
    <s v="Transocean"/>
    <s v="Annual RWNDT Q1"/>
    <x v="2"/>
    <s v="Drilling"/>
    <s v="Pipeline"/>
    <x v="3"/>
    <m/>
    <x v="6"/>
    <x v="3"/>
    <n v="1"/>
    <n v="18810.5"/>
    <n v="18810.5"/>
    <n v="0.3"/>
    <n v="5643.15"/>
    <m/>
  </r>
  <r>
    <m/>
    <s v="Out of the blue"/>
    <m/>
    <m/>
    <x v="3"/>
    <m/>
    <s v="Out of the blue "/>
    <x v="1"/>
    <m/>
    <x v="6"/>
    <x v="3"/>
    <n v="1"/>
    <n v="150000"/>
    <n v="150000"/>
    <n v="0.3"/>
    <n v="45000"/>
    <m/>
  </r>
  <r>
    <m/>
    <s v="Discoverer Inspiration"/>
    <s v="Transocean"/>
    <s v="Annual RWNDT Q1"/>
    <x v="2"/>
    <s v="Drilling"/>
    <s v="Pipeline"/>
    <x v="3"/>
    <m/>
    <x v="6"/>
    <x v="3"/>
    <n v="1"/>
    <n v="18810.5"/>
    <n v="18810.5"/>
    <n v="0.3"/>
    <n v="5643.15"/>
    <m/>
  </r>
  <r>
    <m/>
    <s v="Deepwater Pontus"/>
    <s v="Transocean"/>
    <s v="CCE"/>
    <x v="4"/>
    <s v="Drilling"/>
    <s v="Pipeline"/>
    <x v="3"/>
    <m/>
    <x v="6"/>
    <x v="3"/>
    <n v="1"/>
    <n v="15000"/>
    <n v="15000"/>
    <n v="0.3"/>
    <n v="4500"/>
    <m/>
  </r>
  <r>
    <m/>
    <s v="Deepwater Pontus "/>
    <s v="Transocean "/>
    <s v="CCE - Fixed price"/>
    <x v="4"/>
    <s v="Drilling"/>
    <s v="Pipeline"/>
    <x v="3"/>
    <m/>
    <x v="6"/>
    <x v="3"/>
    <n v="1"/>
    <n v="58784.22"/>
    <n v="58784.22"/>
    <n v="0.3"/>
    <n v="17635.266"/>
    <m/>
  </r>
  <r>
    <m/>
    <s v="Deepwater Proteus"/>
    <s v="Transocean "/>
    <s v="CCE - Fixed price"/>
    <x v="4"/>
    <s v="Drilling"/>
    <s v="Pipeline"/>
    <x v="3"/>
    <m/>
    <x v="3"/>
    <x v="3"/>
    <n v="1"/>
    <n v="59378"/>
    <n v="59378"/>
    <n v="0.3"/>
    <n v="17813.399999999998"/>
    <m/>
  </r>
  <r>
    <m/>
    <s v="Deepwater Pontus"/>
    <s v="Transocean"/>
    <s v="DROPS"/>
    <x v="5"/>
    <s v="Drilling"/>
    <s v="Pipeline"/>
    <x v="3"/>
    <m/>
    <x v="6"/>
    <x v="3"/>
    <n v="1"/>
    <n v="30000"/>
    <n v="30000"/>
    <n v="0.3"/>
    <n v="9000"/>
    <m/>
  </r>
  <r>
    <m/>
    <s v="Deepwater Asgard"/>
    <s v="Transocean"/>
    <s v="Annual RWNDT Q1"/>
    <x v="2"/>
    <s v="Drilling"/>
    <s v="Pipeline"/>
    <x v="3"/>
    <m/>
    <x v="9"/>
    <x v="3"/>
    <n v="1"/>
    <n v="18810.5"/>
    <n v="18810.5"/>
    <n v="0.3"/>
    <n v="5643.15"/>
    <m/>
  </r>
  <r>
    <m/>
    <s v="Deepwater Pontus "/>
    <s v="Transocean "/>
    <s v="NDT - Fixed price - Q2"/>
    <x v="2"/>
    <s v="Drilling"/>
    <s v="Pipeline"/>
    <x v="3"/>
    <m/>
    <x v="3"/>
    <x v="3"/>
    <n v="1"/>
    <n v="18622.271250000002"/>
    <n v="18622.271250000002"/>
    <n v="0.3"/>
    <n v="5586.6813750000001"/>
    <m/>
  </r>
  <r>
    <m/>
    <s v="Deepwater Poseidon"/>
    <s v="Transocean "/>
    <s v="NDT - Fixed price - Q2"/>
    <x v="2"/>
    <s v="Drilling"/>
    <s v="Pipeline"/>
    <x v="3"/>
    <m/>
    <x v="3"/>
    <x v="3"/>
    <n v="1"/>
    <n v="18622.271250000002"/>
    <n v="18622.271250000002"/>
    <n v="0.3"/>
    <n v="5586.6813750000001"/>
    <m/>
  </r>
  <r>
    <m/>
    <s v="Deepwater Proteus"/>
    <s v="Transocean "/>
    <s v="NDT - Fixed price - Q2"/>
    <x v="2"/>
    <s v="Drilling"/>
    <s v="Pipeline"/>
    <x v="3"/>
    <m/>
    <x v="3"/>
    <x v="3"/>
    <n v="1"/>
    <n v="18622.271250000002"/>
    <n v="18622.271250000002"/>
    <n v="0.3"/>
    <n v="5586.6813750000001"/>
    <m/>
  </r>
  <r>
    <m/>
    <s v="Out of the blue"/>
    <m/>
    <m/>
    <x v="3"/>
    <s v="Drilling"/>
    <s v="Out of the blue "/>
    <x v="1"/>
    <m/>
    <x v="3"/>
    <x v="3"/>
    <n v="1"/>
    <n v="150000"/>
    <n v="150000"/>
    <n v="0.3"/>
    <n v="45000"/>
    <m/>
  </r>
  <r>
    <m/>
    <s v="Discoverer Inspiration"/>
    <s v="Transocean "/>
    <s v="NDT - Fixed price - Q2"/>
    <x v="2"/>
    <s v="Drilling"/>
    <s v="Pipeline"/>
    <x v="3"/>
    <m/>
    <x v="6"/>
    <x v="3"/>
    <n v="1"/>
    <n v="5000"/>
    <n v="5000"/>
    <n v="0.3"/>
    <n v="1500"/>
    <m/>
  </r>
  <r>
    <m/>
    <s v="Deepwater Pontus"/>
    <s v="Transocean"/>
    <s v="RWNDT Q1"/>
    <x v="2"/>
    <s v="Drilling"/>
    <s v="Pipeline"/>
    <x v="3"/>
    <m/>
    <x v="6"/>
    <x v="3"/>
    <n v="1"/>
    <n v="18000"/>
    <n v="18000"/>
    <n v="0.3"/>
    <n v="8344.7999999999993"/>
    <m/>
  </r>
  <r>
    <m/>
    <s v="Deepwater Proteus"/>
    <s v="Transocean "/>
    <s v="DROPS - Fixed price"/>
    <x v="5"/>
    <s v="Drilling"/>
    <s v="Pipeline"/>
    <x v="3"/>
    <m/>
    <x v="3"/>
    <x v="3"/>
    <n v="1"/>
    <n v="30939"/>
    <n v="30939"/>
    <n v="0.3"/>
    <n v="9281.6999999999989"/>
    <m/>
  </r>
  <r>
    <m/>
    <s v="Deepwater Invictus"/>
    <s v="Transocean "/>
    <s v="CCE - Fixed price"/>
    <x v="4"/>
    <s v="Drilling"/>
    <s v="Pipeline"/>
    <x v="3"/>
    <m/>
    <x v="3"/>
    <x v="3"/>
    <n v="1"/>
    <n v="35000"/>
    <n v="3500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s v="Deepwater Proteus"/>
    <s v="Transocean"/>
    <s v="E-Mag inspection"/>
    <x v="2"/>
    <s v="Drilling"/>
    <s v="Pipeline"/>
    <x v="3"/>
    <m/>
    <x v="0"/>
    <x v="3"/>
    <n v="1"/>
    <n v="15000"/>
    <n v="15000"/>
    <n v="0.3"/>
    <n v="4500"/>
    <s v="Performed"/>
  </r>
  <r>
    <m/>
    <s v="Deepwater Proteus"/>
    <s v="Transocean "/>
    <s v="NDT - Fixed price - Q2"/>
    <x v="2"/>
    <s v="Drilling"/>
    <s v="Pipeline"/>
    <x v="3"/>
    <m/>
    <x v="0"/>
    <x v="3"/>
    <n v="1"/>
    <n v="5000"/>
    <n v="5000"/>
    <n v="0.3"/>
    <n v="1500"/>
    <s v="Performed"/>
  </r>
  <r>
    <m/>
    <s v="Deepwater Conqueror"/>
    <s v="Transocean "/>
    <s v="NDT - Fixed price - Q2"/>
    <x v="2"/>
    <s v="Drilling"/>
    <s v="Pipeline"/>
    <x v="3"/>
    <m/>
    <x v="0"/>
    <x v="3"/>
    <n v="1"/>
    <n v="10000"/>
    <n v="10000"/>
    <m/>
    <n v="0"/>
    <s v="Performed"/>
  </r>
  <r>
    <m/>
    <s v="Deepwater Invictus"/>
    <s v="Transocean "/>
    <s v="NDT - Fixed price - Q2"/>
    <x v="2"/>
    <s v="Drilling"/>
    <s v="Pipeline"/>
    <x v="3"/>
    <m/>
    <x v="0"/>
    <x v="3"/>
    <n v="1"/>
    <n v="4622"/>
    <n v="4622"/>
    <m/>
    <n v="0"/>
    <s v="Performed"/>
  </r>
  <r>
    <m/>
    <s v="Virginia Wind Clable Pulling"/>
    <s v="Subsea 7"/>
    <s v="Cable Pulling"/>
    <x v="12"/>
    <s v="Energy"/>
    <s v="Pipeline"/>
    <x v="3"/>
    <m/>
    <x v="0"/>
    <x v="3"/>
    <n v="1"/>
    <n v="50000"/>
    <n v="50000"/>
    <m/>
    <n v="0"/>
    <s v="Performed"/>
  </r>
  <r>
    <m/>
    <s v="Deepwater Thalassa"/>
    <s v="Transocean "/>
    <s v="DROPS - Fixed price"/>
    <x v="5"/>
    <s v="Drilling"/>
    <s v="Pipeline"/>
    <x v="3"/>
    <m/>
    <x v="0"/>
    <x v="3"/>
    <n v="1"/>
    <n v="30939"/>
    <n v="30939"/>
    <m/>
    <n v="0"/>
    <s v="Not Performed"/>
  </r>
  <r>
    <m/>
    <s v="Out of the blue"/>
    <m/>
    <s v="Out of the blue"/>
    <x v="3"/>
    <s v="Drilling"/>
    <s v="Out of the blue "/>
    <x v="1"/>
    <m/>
    <x v="0"/>
    <x v="3"/>
    <n v="1"/>
    <n v="150000"/>
    <n v="150000"/>
    <m/>
    <n v="0"/>
    <s v="Performed"/>
  </r>
  <r>
    <m/>
    <s v="Deepwater Conqueror"/>
    <s v="Transocean "/>
    <s v="BOP - Ram block inspection"/>
    <x v="2"/>
    <s v="Drilling"/>
    <s v="Pipeline"/>
    <x v="3"/>
    <m/>
    <x v="0"/>
    <x v="3"/>
    <n v="1"/>
    <n v="10000"/>
    <n v="10000"/>
    <m/>
    <n v="0"/>
    <s v="Performed"/>
  </r>
  <r>
    <m/>
    <s v="Sevan Louisiana"/>
    <s v="Seadrill"/>
    <s v="Towing padeyes inspection"/>
    <x v="2"/>
    <s v="Drilling"/>
    <s v="Pipeline"/>
    <x v="3"/>
    <s v="Q-HO-17691"/>
    <x v="0"/>
    <x v="3"/>
    <n v="1"/>
    <n v="29000"/>
    <n v="29000"/>
    <m/>
    <n v="0"/>
    <s v="Performed"/>
  </r>
  <r>
    <m/>
    <s v="Development Driller III"/>
    <s v="Transocean"/>
    <s v="E-DROPS Implementation"/>
    <x v="5"/>
    <s v="Drilling"/>
    <s v="Pipeline"/>
    <x v="4"/>
    <m/>
    <x v="9"/>
    <x v="3"/>
    <n v="1"/>
    <n v="15000"/>
    <n v="15000"/>
    <m/>
    <n v="0"/>
    <m/>
  </r>
  <r>
    <m/>
    <s v="Deepwater Thalassa"/>
    <s v="Transocean "/>
    <s v="NDT - Fixed price - Q4"/>
    <x v="2"/>
    <s v="Drilling"/>
    <s v="Order backlog "/>
    <x v="0"/>
    <m/>
    <x v="10"/>
    <x v="1"/>
    <n v="1"/>
    <n v="18622.271250000002"/>
    <n v="18622.271250000002"/>
    <m/>
    <n v="0"/>
    <m/>
  </r>
  <r>
    <m/>
    <s v="Deepwater Thalassa"/>
    <s v="Transocean"/>
    <s v="E-DROPS Implementation"/>
    <x v="5"/>
    <s v="Drilling"/>
    <s v="Order backlog "/>
    <x v="4"/>
    <m/>
    <x v="11"/>
    <x v="1"/>
    <n v="1"/>
    <n v="30000"/>
    <n v="30000"/>
    <m/>
    <n v="0"/>
    <m/>
  </r>
  <r>
    <s v="202005-07"/>
    <s v="Discoverer Inspiration"/>
    <s v="Transocean "/>
    <s v="EX - Fixed price"/>
    <x v="9"/>
    <s v="Drilling"/>
    <s v="Order backlog "/>
    <x v="0"/>
    <m/>
    <x v="10"/>
    <x v="1"/>
    <n v="1"/>
    <n v="10513.8"/>
    <n v="10513.8"/>
    <m/>
    <n v="0"/>
    <m/>
  </r>
  <r>
    <s v="202005-01"/>
    <s v="Discoverer Inspiration"/>
    <s v="Transocean "/>
    <s v="CCE - Fixed price"/>
    <x v="4"/>
    <s v="Drilling"/>
    <s v="Order backlog "/>
    <x v="0"/>
    <m/>
    <x v="11"/>
    <x v="1"/>
    <n v="1"/>
    <n v="58784.22"/>
    <n v="58784.22"/>
    <m/>
    <n v="0"/>
    <m/>
  </r>
  <r>
    <s v="202005-02"/>
    <s v="Discoverer Inspiration"/>
    <s v="Transocean "/>
    <s v="DROPS - Fixed price"/>
    <x v="5"/>
    <s v="Drilling"/>
    <s v="Order backlog "/>
    <x v="0"/>
    <m/>
    <x v="11"/>
    <x v="1"/>
    <n v="1"/>
    <n v="30629.61"/>
    <n v="30629.61"/>
    <m/>
    <n v="0"/>
    <m/>
  </r>
  <r>
    <s v="202005-04"/>
    <s v="Discoverer Inspiration"/>
    <s v="Transocean "/>
    <s v="NDT - Fixed price - Q4"/>
    <x v="2"/>
    <s v="Drilling"/>
    <s v="Order backlog "/>
    <x v="0"/>
    <m/>
    <x v="11"/>
    <x v="1"/>
    <n v="1"/>
    <n v="18622.271250000002"/>
    <n v="18622.271250000002"/>
    <m/>
    <n v="0"/>
    <m/>
  </r>
  <r>
    <m/>
    <s v="HP1"/>
    <s v="Transocean"/>
    <s v="General scopes"/>
    <x v="3"/>
    <s v="Drilling"/>
    <s v="Pipeline"/>
    <x v="3"/>
    <m/>
    <x v="10"/>
    <x v="1"/>
    <n v="1"/>
    <n v="100000"/>
    <n v="100000"/>
    <n v="0.3"/>
    <n v="30000"/>
    <m/>
  </r>
  <r>
    <m/>
    <s v="Discoverer Inspiration"/>
    <s v="Transocean"/>
    <s v="E-DROPS Implementation"/>
    <x v="5"/>
    <s v="Drilling"/>
    <s v="Order backlog "/>
    <x v="4"/>
    <m/>
    <x v="2"/>
    <x v="3"/>
    <n v="1"/>
    <n v="15000"/>
    <n v="15000"/>
    <m/>
    <n v="0"/>
    <m/>
  </r>
  <r>
    <m/>
    <s v="Deepwater Asgard"/>
    <s v="Transocean"/>
    <s v="E-DROPS Implementation"/>
    <x v="5"/>
    <s v="Drilling"/>
    <s v="Pipeline"/>
    <x v="4"/>
    <m/>
    <x v="9"/>
    <x v="3"/>
    <n v="1"/>
    <n v="15000"/>
    <n v="15000"/>
    <m/>
    <n v="0"/>
    <m/>
  </r>
  <r>
    <m/>
    <s v="Discoverer Inspiration"/>
    <s v="Transocean"/>
    <s v="Lars inspection"/>
    <x v="2"/>
    <s v="Drilling"/>
    <s v="Pipeline"/>
    <x v="3"/>
    <s v="Q-HO-17741"/>
    <x v="0"/>
    <x v="3"/>
    <n v="1"/>
    <n v="5000"/>
    <n v="5000"/>
    <m/>
    <n v="0"/>
    <s v="Not Performed"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s v="Deepwater Pontus "/>
    <s v="Transocean "/>
    <s v="HP/LP - Fixed price"/>
    <x v="7"/>
    <s v="Drilling"/>
    <s v="Pipeline"/>
    <x v="3"/>
    <m/>
    <x v="5"/>
    <x v="3"/>
    <n v="1"/>
    <n v="13000"/>
    <n v="13000"/>
    <m/>
    <n v="0"/>
    <m/>
  </r>
  <r>
    <m/>
    <s v="Deepwater Pontus "/>
    <s v="Transocean "/>
    <s v="EX - Fixed price"/>
    <x v="9"/>
    <s v="Drilling"/>
    <s v="Pipeline"/>
    <x v="3"/>
    <m/>
    <x v="5"/>
    <x v="3"/>
    <n v="1"/>
    <n v="10513.8"/>
    <n v="10513.8"/>
    <m/>
    <n v="0"/>
    <m/>
  </r>
  <r>
    <m/>
    <s v="Deepwater Poseidon"/>
    <s v="Transocean "/>
    <s v="NDT - Fixed price - Q3"/>
    <x v="2"/>
    <s v="Drilling"/>
    <s v="Pipeline"/>
    <x v="3"/>
    <m/>
    <x v="5"/>
    <x v="3"/>
    <n v="1"/>
    <n v="7000"/>
    <n v="7000"/>
    <m/>
    <m/>
    <m/>
  </r>
  <r>
    <m/>
    <s v="Deepwater Poseidon"/>
    <s v="Transocean "/>
    <s v="HP/LP - Fixed price"/>
    <x v="7"/>
    <s v="Drilling"/>
    <s v="Pipeline"/>
    <x v="3"/>
    <m/>
    <x v="5"/>
    <x v="3"/>
    <n v="1"/>
    <n v="12000"/>
    <n v="12000"/>
    <m/>
    <n v="0"/>
    <m/>
  </r>
  <r>
    <s v="201911-04"/>
    <s v="Deepwater Proteus"/>
    <s v="Transocean"/>
    <s v="Annual RWNDT Q3"/>
    <x v="2"/>
    <s v="Drilling"/>
    <s v="Pipeline"/>
    <x v="3"/>
    <m/>
    <x v="5"/>
    <x v="3"/>
    <n v="1"/>
    <n v="10000"/>
    <n v="10000"/>
    <n v="0.3"/>
    <n v="3000"/>
    <m/>
  </r>
  <r>
    <m/>
    <s v="Deepwater Thalassa"/>
    <s v="Transocean "/>
    <s v="DROPS - Fixed price"/>
    <x v="5"/>
    <s v="Drilling"/>
    <s v="Pipeline"/>
    <x v="3"/>
    <m/>
    <x v="5"/>
    <x v="3"/>
    <n v="1"/>
    <n v="30939"/>
    <n v="30939"/>
    <m/>
    <n v="0"/>
    <m/>
  </r>
  <r>
    <m/>
    <s v="Out of the blue"/>
    <m/>
    <m/>
    <x v="3"/>
    <s v="Drilling"/>
    <s v="Out of the blue"/>
    <x v="1"/>
    <m/>
    <x v="5"/>
    <x v="3"/>
    <n v="1"/>
    <n v="225000"/>
    <n v="22500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s v="DD3"/>
    <s v="Transocean"/>
    <s v="RWNDT 3rd Q"/>
    <x v="1"/>
    <s v="Drilling"/>
    <s v="Won"/>
    <x v="3"/>
    <m/>
    <x v="4"/>
    <x v="3"/>
    <n v="1"/>
    <n v="12000"/>
    <n v="12000"/>
    <n v="0.3"/>
    <n v="3600"/>
    <m/>
  </r>
  <r>
    <m/>
    <s v="Deepwater Pontus "/>
    <s v="Transocean "/>
    <s v="HP/LP - Fixed price"/>
    <x v="7"/>
    <s v="Drilling"/>
    <s v="Order backlog "/>
    <x v="3"/>
    <m/>
    <x v="4"/>
    <x v="3"/>
    <n v="1"/>
    <n v="14537"/>
    <n v="14537"/>
    <m/>
    <n v="0"/>
    <m/>
  </r>
  <r>
    <m/>
    <s v="Deepwater Poseidon"/>
    <s v="Transocean "/>
    <s v="HP/LP - Fixed price"/>
    <x v="7"/>
    <s v="Drilling"/>
    <s v="Order backlog "/>
    <x v="3"/>
    <m/>
    <x v="4"/>
    <x v="3"/>
    <n v="1"/>
    <n v="15000"/>
    <n v="15000"/>
    <m/>
    <n v="0"/>
    <m/>
  </r>
  <r>
    <m/>
    <s v="Deepwater Pontus"/>
    <s v="Transocean"/>
    <s v="RWNDT Q3"/>
    <x v="2"/>
    <s v="Drilling"/>
    <s v="Won"/>
    <x v="3"/>
    <m/>
    <x v="4"/>
    <x v="3"/>
    <n v="1"/>
    <n v="18622"/>
    <n v="18622"/>
    <n v="0.3"/>
    <n v="8344.7999999999993"/>
    <m/>
  </r>
  <r>
    <m/>
    <s v="DD3"/>
    <s v="Transocean "/>
    <s v="Piping"/>
    <x v="2"/>
    <s v="Drilling"/>
    <s v="Won"/>
    <x v="3"/>
    <m/>
    <x v="4"/>
    <x v="3"/>
    <n v="1"/>
    <n v="19000"/>
    <n v="19000"/>
    <n v="0.3"/>
    <n v="5700"/>
    <m/>
  </r>
  <r>
    <m/>
    <s v="DD3 - DROPS"/>
    <s v="Transocean"/>
    <s v="Annual DROPS"/>
    <x v="5"/>
    <s v="Drilling"/>
    <s v="Won"/>
    <x v="3"/>
    <m/>
    <x v="4"/>
    <x v="3"/>
    <n v="1"/>
    <n v="20000"/>
    <n v="20000"/>
    <n v="0.3"/>
    <n v="6000"/>
    <m/>
  </r>
  <r>
    <m/>
    <s v="Deepwater Conqueror"/>
    <s v="Transocean "/>
    <s v="LLG - Fixed price"/>
    <x v="1"/>
    <s v="Drilling"/>
    <s v="Order backlog "/>
    <x v="3"/>
    <m/>
    <x v="4"/>
    <x v="3"/>
    <n v="1"/>
    <n v="21000"/>
    <n v="21000"/>
    <m/>
    <m/>
    <m/>
  </r>
  <r>
    <m/>
    <s v="Out of the blue"/>
    <m/>
    <m/>
    <x v="3"/>
    <s v="Drilling"/>
    <s v="Out of the blue "/>
    <x v="1"/>
    <m/>
    <x v="4"/>
    <x v="3"/>
    <n v="1"/>
    <n v="200000"/>
    <n v="100000"/>
    <m/>
    <n v="0"/>
    <m/>
  </r>
  <r>
    <m/>
    <s v="Deepwater Thalassa"/>
    <s v="Transocean "/>
    <s v="Elevator - Fixed price"/>
    <x v="6"/>
    <s v="Drilling"/>
    <s v="Order backlog "/>
    <x v="3"/>
    <m/>
    <x v="4"/>
    <x v="3"/>
    <n v="1"/>
    <n v="13900"/>
    <n v="13900"/>
    <m/>
    <m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  <r>
    <m/>
    <m/>
    <m/>
    <m/>
    <x v="11"/>
    <m/>
    <m/>
    <x v="5"/>
    <m/>
    <x v="12"/>
    <x v="4"/>
    <m/>
    <m/>
    <n v="0"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E9E51E-5262-4C4B-A024-089139860566}" name="PivotTable1" cacheId="997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O34" firstHeaderRow="1" firstDataRow="2" firstDataCol="1" rowPageCount="1" colPageCount="1"/>
  <pivotFields count="17">
    <pivotField showAll="0"/>
    <pivotField showAll="0"/>
    <pivotField showAll="0"/>
    <pivotField showAll="0"/>
    <pivotField axis="axisRow" showAll="0">
      <items count="24">
        <item m="1" x="22"/>
        <item x="10"/>
        <item x="0"/>
        <item x="4"/>
        <item x="5"/>
        <item m="1" x="17"/>
        <item x="6"/>
        <item x="8"/>
        <item x="9"/>
        <item m="1" x="19"/>
        <item x="1"/>
        <item m="1" x="21"/>
        <item x="12"/>
        <item x="2"/>
        <item m="1" x="20"/>
        <item x="7"/>
        <item x="14"/>
        <item m="1" x="16"/>
        <item x="13"/>
        <item m="1" x="18"/>
        <item x="3"/>
        <item x="11"/>
        <item x="15"/>
        <item t="default"/>
      </items>
    </pivotField>
    <pivotField showAll="0"/>
    <pivotField showAll="0"/>
    <pivotField axis="axisRow" showAll="0">
      <items count="9">
        <item x="0"/>
        <item x="4"/>
        <item x="1"/>
        <item m="1" x="6"/>
        <item x="3"/>
        <item m="1" x="7"/>
        <item x="2"/>
        <item x="5"/>
        <item t="default"/>
      </items>
    </pivotField>
    <pivotField showAll="0"/>
    <pivotField axis="axisCol" showAll="0">
      <items count="14">
        <item x="9"/>
        <item x="2"/>
        <item x="6"/>
        <item x="3"/>
        <item x="1"/>
        <item x="0"/>
        <item x="5"/>
        <item x="4"/>
        <item x="8"/>
        <item x="7"/>
        <item x="10"/>
        <item x="11"/>
        <item x="12"/>
        <item t="default"/>
      </items>
    </pivotField>
    <pivotField axis="axisPage" showAll="0">
      <items count="6">
        <item x="2"/>
        <item x="0"/>
        <item x="1"/>
        <item x="4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7"/>
    <field x="4"/>
  </rowFields>
  <rowItems count="30">
    <i>
      <x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20"/>
    </i>
    <i r="1">
      <x v="22"/>
    </i>
    <i>
      <x v="1"/>
    </i>
    <i r="1">
      <x v="4"/>
    </i>
    <i>
      <x v="2"/>
    </i>
    <i r="1">
      <x v="20"/>
    </i>
    <i>
      <x v="4"/>
    </i>
    <i r="1">
      <x v="13"/>
    </i>
    <i r="1">
      <x v="16"/>
    </i>
    <i r="1">
      <x v="20"/>
    </i>
    <i r="1">
      <x v="22"/>
    </i>
    <i>
      <x v="6"/>
    </i>
    <i r="1">
      <x v="3"/>
    </i>
    <i r="1">
      <x v="4"/>
    </i>
    <i r="1">
      <x v="10"/>
    </i>
    <i r="1">
      <x v="12"/>
    </i>
    <i r="1">
      <x v="13"/>
    </i>
    <i r="1">
      <x v="20"/>
    </i>
    <i r="1">
      <x v="22"/>
    </i>
    <i t="grand">
      <x/>
    </i>
  </rowItems>
  <colFields count="1">
    <field x="9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0" item="2" hier="-1"/>
  </pageFields>
  <dataFields count="1">
    <dataField name="Sum of Rev. Based on PROB" fld="13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D743C-3738-4C65-8D8E-C2C8210857C3}" name="PivotTable1" cacheId="997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L30" firstHeaderRow="1" firstDataRow="2" firstDataCol="1" rowPageCount="1" colPageCount="1"/>
  <pivotFields count="17">
    <pivotField showAll="0"/>
    <pivotField showAll="0"/>
    <pivotField showAll="0"/>
    <pivotField showAll="0"/>
    <pivotField axis="axisRow" showAll="0">
      <items count="17">
        <item x="10"/>
        <item x="0"/>
        <item x="4"/>
        <item x="5"/>
        <item x="6"/>
        <item x="8"/>
        <item x="9"/>
        <item x="1"/>
        <item x="12"/>
        <item x="2"/>
        <item x="7"/>
        <item x="14"/>
        <item x="13"/>
        <item x="15"/>
        <item x="3"/>
        <item x="11"/>
        <item t="default"/>
      </items>
    </pivotField>
    <pivotField showAll="0"/>
    <pivotField showAll="0"/>
    <pivotField axis="axisRow" showAll="0">
      <items count="7">
        <item x="0"/>
        <item x="4"/>
        <item x="1"/>
        <item x="3"/>
        <item x="2"/>
        <item x="5"/>
        <item t="default"/>
      </items>
    </pivotField>
    <pivotField showAll="0"/>
    <pivotField axis="axisCol" showAll="0">
      <items count="14">
        <item x="9"/>
        <item x="2"/>
        <item x="6"/>
        <item x="3"/>
        <item x="1"/>
        <item x="0"/>
        <item x="5"/>
        <item x="4"/>
        <item x="8"/>
        <item x="7"/>
        <item x="10"/>
        <item x="11"/>
        <item x="12"/>
        <item t="default"/>
      </items>
    </pivotField>
    <pivotField axis="axisPage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2">
    <field x="7"/>
    <field x="4"/>
  </rowFields>
  <rowItems count="26">
    <i>
      <x/>
    </i>
    <i r="1">
      <x v="2"/>
    </i>
    <i r="1">
      <x v="3"/>
    </i>
    <i r="1">
      <x v="4"/>
    </i>
    <i r="1">
      <x v="9"/>
    </i>
    <i r="1">
      <x v="10"/>
    </i>
    <i>
      <x v="1"/>
    </i>
    <i r="1">
      <x v="3"/>
    </i>
    <i>
      <x v="2"/>
    </i>
    <i r="1">
      <x v="14"/>
    </i>
    <i>
      <x v="3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4"/>
    </i>
    <i r="1">
      <x v="15"/>
    </i>
    <i>
      <x v="4"/>
    </i>
    <i r="1">
      <x v="3"/>
    </i>
    <i r="1">
      <x v="7"/>
    </i>
    <i r="1">
      <x v="9"/>
    </i>
    <i t="grand">
      <x/>
    </i>
  </rowItems>
  <colFields count="1">
    <field x="9"/>
  </colFields>
  <colItems count="11">
    <i>
      <x/>
    </i>
    <i>
      <x v="1"/>
    </i>
    <i>
      <x v="2"/>
    </i>
    <i>
      <x v="3"/>
    </i>
    <i>
      <x v="5"/>
    </i>
    <i>
      <x v="6"/>
    </i>
    <i>
      <x v="7"/>
    </i>
    <i>
      <x v="9"/>
    </i>
    <i>
      <x v="11"/>
    </i>
    <i>
      <x v="12"/>
    </i>
    <i t="grand">
      <x/>
    </i>
  </colItems>
  <pageFields count="1">
    <pageField fld="10" item="3" hier="-1"/>
  </pageFields>
  <dataFields count="1">
    <dataField name="Sum of Rev. Based on PROB" fld="13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2:AW275" totalsRowShown="0" headerRowDxfId="304" dataDxfId="303" tableBorderDxfId="302">
  <autoFilter ref="A2:AW275" xr:uid="{00000000-0009-0000-0100-000004000000}">
    <filterColumn colId="29">
      <filters>
        <dateGroupItem year="2020" month="5" dateTimeGrouping="month"/>
        <dateGroupItem year="2020" month="6" dateTimeGrouping="month"/>
        <dateGroupItem year="2020" month="7" dateTimeGrouping="month"/>
        <dateGroupItem year="2020" month="8" dateTimeGrouping="month"/>
      </filters>
    </filterColumn>
  </autoFilter>
  <tableColumns count="49">
    <tableColumn id="1" xr3:uid="{00000000-0010-0000-0000-000001000000}" name="Project" dataDxfId="301"/>
    <tableColumn id="2" xr3:uid="{00000000-0010-0000-0000-000002000000}" name="WO" dataDxfId="300"/>
    <tableColumn id="8" xr3:uid="{B3EAD67C-BB59-4999-B9E5-81E37B05A682}" name="Work Order Number" dataDxfId="299">
      <calculatedColumnFormula>CONCATENATE(Table4[[#This Row],[Project]],"-",Table4[[#This Row],[WO]])</calculatedColumnFormula>
    </tableColumn>
    <tableColumn id="3" xr3:uid="{00000000-0010-0000-0000-000003000000}" name="Installation" dataDxfId="298"/>
    <tableColumn id="4" xr3:uid="{00000000-0010-0000-0000-000004000000}" name="Client" dataDxfId="297"/>
    <tableColumn id="44" xr3:uid="{3A232CA5-B9DE-483B-869E-70A336D239D1}" name="Segment" dataDxfId="296"/>
    <tableColumn id="46" xr3:uid="{F187CF1C-5DEC-40D3-B54A-A374EB7229C6}" name="Operational Status" dataDxfId="295"/>
    <tableColumn id="47" xr3:uid="{BF923083-1F3F-4B67-98F2-162A742AB2F4}" name="PM" dataDxfId="294"/>
    <tableColumn id="5" xr3:uid="{00000000-0010-0000-0000-000005000000}" name="Description:" dataDxfId="293"/>
    <tableColumn id="6" xr3:uid="{00000000-0010-0000-0000-000006000000}" name="Service" dataDxfId="292"/>
    <tableColumn id="9" xr3:uid="{00000000-0010-0000-0000-000009000000}" name="Axess Entity" dataDxfId="291"/>
    <tableColumn id="48" xr3:uid="{4903305B-E349-44C5-8474-E8C8A9F6571D}" name="BD Responsible2" dataDxfId="290"/>
    <tableColumn id="12" xr3:uid="{00000000-0010-0000-0000-00000C000000}" name="BD Status" dataDxfId="289"/>
    <tableColumn id="13" xr3:uid="{00000000-0010-0000-0000-00000D000000}" name="Country " dataDxfId="288"/>
    <tableColumn id="14" xr3:uid="{00000000-0010-0000-0000-00000E000000}" name="Quote No." dataDxfId="287"/>
    <tableColumn id="15" xr3:uid="{00000000-0010-0000-0000-00000F000000}" name="Client Contact Person" dataDxfId="286"/>
    <tableColumn id="16" xr3:uid="{00000000-0010-0000-0000-000010000000}" name="Client Contact Email" dataDxfId="285"/>
    <tableColumn id="17" xr3:uid="{00000000-0010-0000-0000-000011000000}" name="Projected _x000a_Month" dataDxfId="284"/>
    <tableColumn id="18" xr3:uid="{00000000-0010-0000-0000-000012000000}" name="Projected _x000a_Year" dataDxfId="283"/>
    <tableColumn id="19" xr3:uid="{00000000-0010-0000-0000-000013000000}" name="Probability" dataDxfId="282"/>
    <tableColumn id="20" xr3:uid="{00000000-0010-0000-0000-000014000000}" name="Expected Revenue" dataDxfId="281"/>
    <tableColumn id="41" xr3:uid="{00000000-0010-0000-0000-000029000000}" name="Rev. Based on PROB" dataDxfId="280">
      <calculatedColumnFormula>Table4[[#This Row],[Expected Revenue]]*Table4[[#This Row],[Probability]]</calculatedColumnFormula>
    </tableColumn>
    <tableColumn id="53" xr3:uid="{4FE00932-177B-4FEE-8914-2067C9072D4E}" name="Expected Costs" dataDxfId="279">
      <calculatedColumnFormula>(800*3+((550+310+290)*12)+1600+250*12)</calculatedColumnFormula>
    </tableColumn>
    <tableColumn id="40" xr3:uid="{00000000-0010-0000-0000-000028000000}" name="Expected CMR" dataDxfId="278"/>
    <tableColumn id="42" xr3:uid="{00000000-0010-0000-0000-00002A000000}" name="Expected Contribution" dataDxfId="277">
      <calculatedColumnFormula>Table4[[#This Row],[Expected Revenue]]*Table4[[#This Row],[Expected CMR]]</calculatedColumnFormula>
    </tableColumn>
    <tableColumn id="21" xr3:uid="{00000000-0010-0000-0000-000015000000}" name="PM2" dataDxfId="276"/>
    <tableColumn id="22" xr3:uid="{00000000-0010-0000-0000-000016000000}" name="PO received" dataDxfId="275"/>
    <tableColumn id="23" xr3:uid="{00000000-0010-0000-0000-000017000000}" name="PO Number" dataDxfId="274"/>
    <tableColumn id="24" xr3:uid="{00000000-0010-0000-0000-000018000000}" name="PO Value" dataDxfId="273"/>
    <tableColumn id="25" xr3:uid="{00000000-0010-0000-0000-000019000000}" name="Start (mob date)" dataDxfId="272"/>
    <tableColumn id="26" xr3:uid="{00000000-0010-0000-0000-00001A000000}" name="Finish (demob)" dataDxfId="271"/>
    <tableColumn id="50" xr3:uid="{CD7E49BD-1283-4B1A-A9B3-2388B18AD73A}" name="Accrual Month" dataDxfId="270"/>
    <tableColumn id="51" xr3:uid="{5A6916F0-21EF-4127-9CEC-74AF6A5506C4}" name="Accrued Revenue" dataDxfId="269"/>
    <tableColumn id="49" xr3:uid="{1591A3CE-B129-4AE0-81A7-2380E3721648}" name="Accrued Cost" dataDxfId="268"/>
    <tableColumn id="52" xr3:uid="{70A4566B-E289-4845-8AFF-EBEA687958F5}" name="Comments" dataDxfId="267"/>
    <tableColumn id="7" xr3:uid="{FB82F58A-7D76-47BD-9C0F-9F5C327FD6A8}" name="Why cost accrual" dataDxfId="266"/>
    <tableColumn id="56" xr3:uid="{40310A27-7CF8-43F6-8B52-804C7A4C9EB1}" name="Final Invoice Status" dataDxfId="265"/>
    <tableColumn id="57" xr3:uid="{6323A82D-1DD4-4C51-9A00-18027704DCC7}" name="Invoice Value" dataDxfId="264"/>
    <tableColumn id="58" xr3:uid="{9ABE605D-D3CC-441B-9683-C641536BFD7D}" name="Total cost" dataDxfId="263"/>
    <tableColumn id="11" xr3:uid="{2F973B2E-32B8-4198-8782-DC218DB777F7}" name="Invoice date" dataDxfId="262"/>
    <tableColumn id="27" xr3:uid="{00000000-0010-0000-0000-00001B000000}" name="Reports due for QA:" dataDxfId="261">
      <calculatedColumnFormula>IF(AE3&gt;0,AE3+3," - ")</calculatedColumnFormula>
    </tableColumn>
    <tableColumn id="28" xr3:uid="{00000000-0010-0000-0000-00001C000000}" name="Reports Due to Client" dataDxfId="260">
      <calculatedColumnFormula>IF(AE3&gt;0,AE3+14," - ")</calculatedColumnFormula>
    </tableColumn>
    <tableColumn id="29" xr3:uid="{00000000-0010-0000-0000-00001D000000}" name="Date Report is delivered:" dataDxfId="259"/>
    <tableColumn id="30" xr3:uid="{00000000-0010-0000-0000-00001E000000}" name="Status" dataDxfId="258">
      <calculatedColumnFormula>IF(AD3=0,"-",IF(AQ3&gt;0,"Delivered",IF(TODAY()&gt;AP3,"Overdue",IF(TODAY()&lt;AP3,"In Progress"))))</calculatedColumnFormula>
    </tableColumn>
    <tableColumn id="35" xr3:uid="{00000000-0010-0000-0000-000023000000}" name="Start-Up Meeting" dataDxfId="257"/>
    <tableColumn id="36" xr3:uid="{00000000-0010-0000-0000-000024000000}" name="Close-up Meeting" dataDxfId="256"/>
    <tableColumn id="59" xr3:uid="{6CD25D0E-6BD7-4B9C-B117-5D192F87CD50}" name="Equipment sent" dataDxfId="255"/>
    <tableColumn id="60" xr3:uid="{0864DC32-6DBE-48C0-896B-AD56670B5894}" name="Equipment return" dataDxfId="254"/>
    <tableColumn id="10" xr3:uid="{E6900A0B-D9B5-4FD3-BFC8-F84105021A55}" name="Client Evaluation" dataDxfId="2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D4021A-A954-47D9-A488-BC5FED7CB7B3}" name="Table43" displayName="Table43" ref="A5:U68" totalsRowShown="0" headerRowDxfId="246" dataDxfId="245" tableBorderDxfId="244">
  <autoFilter ref="A5:U68" xr:uid="{00000000-0009-0000-0100-000004000000}"/>
  <sortState xmlns:xlrd2="http://schemas.microsoft.com/office/spreadsheetml/2017/richdata2" ref="A6:U66">
    <sortCondition descending="1" ref="H5:H66"/>
  </sortState>
  <tableColumns count="21">
    <tableColumn id="3" xr3:uid="{6ED43F61-CADC-400B-B87F-B9B9E1D1DD49}" name="Installation" dataDxfId="243"/>
    <tableColumn id="4" xr3:uid="{DE2B417F-9689-457B-9F3B-2D96341F50F2}" name="Client" dataDxfId="242"/>
    <tableColumn id="5" xr3:uid="{3E081A2D-F4C6-4EB3-BC29-F377536C1B99}" name="Description:" dataDxfId="241"/>
    <tableColumn id="6" xr3:uid="{35A3442D-C986-48CA-A1C8-402350417AEF}" name="Service" dataDxfId="240"/>
    <tableColumn id="7" xr3:uid="{967DF36C-3167-4570-8118-2639A3C5631B}" name="Operational Status" dataDxfId="239"/>
    <tableColumn id="10" xr3:uid="{6FC83C8C-0E55-4794-9FC7-66D52E4A28E1}" name="Segment" dataDxfId="238"/>
    <tableColumn id="11" xr3:uid="{6B6340EA-DB7F-4ED0-8B7F-12DC1CF136EB}" name="BD Responsible" dataDxfId="237"/>
    <tableColumn id="12" xr3:uid="{3F43A455-03AA-455B-8277-55F689A82DD5}" name="BD Status" dataDxfId="236"/>
    <tableColumn id="14" xr3:uid="{303275E5-93BB-411B-8864-EF252821F2DC}" name="Quote No." dataDxfId="235"/>
    <tableColumn id="15" xr3:uid="{3729AC9B-2487-4EC7-9E67-709B0BB7D4E9}" name="Client Contact Person" dataDxfId="234"/>
    <tableColumn id="16" xr3:uid="{3AC4258F-E4E4-43C2-BE07-6FDF6E36E0C8}" name="Client Contact Email" dataDxfId="233"/>
    <tableColumn id="17" xr3:uid="{65361E4D-714D-4368-ABAD-7CA4D4BE4ECD}" name="Projected _x000a_Month" dataDxfId="232"/>
    <tableColumn id="18" xr3:uid="{AC745CE4-DE55-40C8-83A5-618E216F0847}" name="Projected _x000a_Year" dataDxfId="231"/>
    <tableColumn id="19" xr3:uid="{99625CEF-CD1D-4DCA-843B-085256212B64}" name="Probability" dataDxfId="230"/>
    <tableColumn id="20" xr3:uid="{3A43EC50-851B-4FF9-8F32-C206F86CAFD2}" name="Expected Revenue" dataDxfId="229"/>
    <tableColumn id="41" xr3:uid="{45063AD8-C57E-46C3-BC77-C1E08F530627}" name="Rev. Based on PROB" dataDxfId="228">
      <calculatedColumnFormula>Table43[[#This Row],[Expected Revenue]]*Table43[[#This Row],[Probability]]</calculatedColumnFormula>
    </tableColumn>
    <tableColumn id="40" xr3:uid="{EBFC41C9-F3AD-4FC2-8712-98C51F49CA10}" name="Expected CMR" dataDxfId="227"/>
    <tableColumn id="42" xr3:uid="{63D21139-16BA-4946-A5B9-CEE9CFA6F203}" name="Contribution" dataDxfId="226">
      <calculatedColumnFormula>Table43[[#This Row],[Expected Revenue]]*Table43[[#This Row],[Expected CMR]]</calculatedColumnFormula>
    </tableColumn>
    <tableColumn id="22" xr3:uid="{40134E46-88F1-4966-8C89-7D9EF227E3F7}" name="PO received" dataDxfId="225"/>
    <tableColumn id="23" xr3:uid="{DC94C67A-7E76-47DD-BC9D-4597A0104140}" name="PO Number" dataDxfId="224"/>
    <tableColumn id="24" xr3:uid="{9496EFB9-4CA2-4CC1-8DDF-2FBF21C57D5C}" name="PO Value" dataDxfId="2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1A1047-2E89-402C-982B-46FB7C8B6164}" name="Table1" displayName="Table1" ref="A2:F174" totalsRowShown="0" headerRowDxfId="222" dataDxfId="221" tableBorderDxfId="220">
  <autoFilter ref="A2:F174" xr:uid="{1E8BDFCC-C1B4-45E0-B8F3-55817EB0502B}"/>
  <tableColumns count="6">
    <tableColumn id="1" xr3:uid="{4B3C5EFF-5561-44BE-9F2B-33C83DA5861D}" name="Company" dataDxfId="219"/>
    <tableColumn id="2" xr3:uid="{2D010FBE-8B04-495B-ABA7-B37BCB5D636C}" name="Title" dataDxfId="218"/>
    <tableColumn id="3" xr3:uid="{D19A5D1F-B4C8-42B7-BDCD-C2432476BD39}" name="Phone" dataDxfId="217"/>
    <tableColumn id="4" xr3:uid="{6BE1D8CC-B54E-46DF-8EAC-36D3EE64C975}" name="Email" dataDxfId="216"/>
    <tableColumn id="5" xr3:uid="{553F8269-73AB-4E7F-B9C8-EBAE19526ABF}" name="Location" dataDxfId="215"/>
    <tableColumn id="6" xr3:uid="{48C90DF6-D703-48C0-855D-799B4F075FD6}" name="Notes" dataDxfId="21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570B6C-59A2-48B1-8B64-AF6B749A1910}" name="Table14" displayName="Table14" ref="A21:F42" totalsRowShown="0">
  <autoFilter ref="A21:F42" xr:uid="{34447B17-7F34-45F7-9A32-A9B9B2CE8EEA}"/>
  <tableColumns count="6">
    <tableColumn id="1" xr3:uid="{925BFB13-28A9-471C-9601-B4DD805F5273}" name="Rig" dataDxfId="213"/>
    <tableColumn id="2" xr3:uid="{51CA2033-F2AC-486E-B385-6A7E529D4B9C}" name="Fixed price"/>
    <tableColumn id="3" xr3:uid="{827F5459-3D3A-49B8-AE5C-EAFDC8A8B455}" name="Reactivation"/>
    <tableColumn id="4" xr3:uid="{55E334AE-2492-4702-B20F-36FF3D9E4811}" name="Ad-hoc" dataDxfId="212">
      <calculatedColumnFormula>150</calculatedColumnFormula>
    </tableColumn>
    <tableColumn id="5" xr3:uid="{028E8D2E-F190-4197-98E4-9746728C753A}" name="Total per rig" dataDxfId="211">
      <calculatedColumnFormula>SUM(E8:E21)</calculatedColumnFormula>
    </tableColumn>
    <tableColumn id="6" xr3:uid="{0714E5C5-6B5E-4F23-B3CC-8E059692D109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7D5F93-4F3C-45F7-81BF-ACCF2535221A}" name="Table2" displayName="Table2" ref="A45:B69" totalsRowShown="0">
  <autoFilter ref="A45:B69" xr:uid="{3A899BA2-C1C7-4472-A282-E937872C074A}"/>
  <tableColumns count="2">
    <tableColumn id="1" xr3:uid="{E40243AE-B928-41F1-813D-92D9942E87A5}" name="Costs"/>
    <tableColumn id="2" xr3:uid="{FB58E097-D268-44BF-86CE-18CBA6B70ABD}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F6DB2CB-8D80-4ED8-972C-263DF5A29724}" name="Table47910" displayName="Table47910" ref="A3:Q699" totalsRowCount="1" headerRowDxfId="207" dataDxfId="206" tableBorderDxfId="205">
  <autoFilter ref="A3:Q698" xr:uid="{00000000-0009-0000-0100-000004000000}">
    <filterColumn colId="9">
      <filters>
        <filter val="Jan"/>
      </filters>
    </filterColumn>
    <filterColumn colId="10">
      <filters>
        <filter val="2021"/>
      </filters>
    </filterColumn>
    <filterColumn colId="13">
      <customFilters>
        <customFilter operator="notEqual" val=" "/>
      </customFilters>
    </filterColumn>
  </autoFilter>
  <sortState xmlns:xlrd2="http://schemas.microsoft.com/office/spreadsheetml/2017/richdata2" ref="A4:Q263">
    <sortCondition ref="B3:B698"/>
  </sortState>
  <tableColumns count="17">
    <tableColumn id="44" xr3:uid="{2F6DF87C-2FC8-4CEB-959B-B3BD93715901}" name="Workorder" dataDxfId="203" totalsRowDxfId="204"/>
    <tableColumn id="3" xr3:uid="{820F7AD5-AC91-4FF0-8463-3C2D77FC5527}" name="Installation" dataDxfId="201" totalsRowDxfId="202"/>
    <tableColumn id="4" xr3:uid="{9DC6A425-FE71-4BE0-B0A5-B7179D29C2D0}" name="Client" dataDxfId="199" totalsRowDxfId="200"/>
    <tableColumn id="5" xr3:uid="{66E7E6C5-E708-40F0-9038-B13668E73369}" name="Description:" dataDxfId="197" totalsRowDxfId="198"/>
    <tableColumn id="6" xr3:uid="{9EBCFA84-8790-49CD-87E7-961BBADED80D}" name="Service" dataDxfId="195" totalsRowDxfId="196"/>
    <tableColumn id="10" xr3:uid="{E2CF6E6A-54F0-42DE-BD97-7EF79E6ED616}" name="Segment" dataDxfId="193" totalsRowDxfId="194"/>
    <tableColumn id="12" xr3:uid="{FEFD1B1F-862B-43DB-B8E0-4B8755A79C49}" name="BD Status" dataDxfId="191" totalsRowDxfId="192"/>
    <tableColumn id="45" xr3:uid="{E6332A71-05E5-42FC-9C54-91B239740B23}" name="Revenue Category" dataDxfId="189" totalsRowDxfId="190"/>
    <tableColumn id="14" xr3:uid="{966E4E42-B8D8-4BDF-97FC-5BDBC63942C9}" name="Quote No." dataDxfId="187" totalsRowDxfId="188"/>
    <tableColumn id="17" xr3:uid="{F196DF37-D692-40A3-ACCA-2C35AFB1D369}" name="Monthly revenue" dataDxfId="185" totalsRowDxfId="186"/>
    <tableColumn id="18" xr3:uid="{438A92A4-077E-47EB-BDE6-A8348CEA22E3}" name="Projected _x000a_Year" dataDxfId="183" totalsRowDxfId="184"/>
    <tableColumn id="19" xr3:uid="{7F943876-3E07-4A3B-8989-7314330E40AF}" name="Probability" dataDxfId="181" totalsRowDxfId="182"/>
    <tableColumn id="20" xr3:uid="{AA957D35-7E65-4A6B-A1B0-C79C3108D768}" name="Expected Revenue" totalsRowFunction="sum" dataDxfId="179" totalsRowDxfId="180"/>
    <tableColumn id="41" xr3:uid="{3509F9B3-5F80-4B90-9977-679B4FA2D4F7}" name="Rev. Based on PROB" totalsRowFunction="sum" dataDxfId="177" totalsRowDxfId="178">
      <calculatedColumnFormula>Table47910[[#This Row],[Expected Revenue]]*Table47910[[#This Row],[Probability]]</calculatedColumnFormula>
    </tableColumn>
    <tableColumn id="40" xr3:uid="{5A1280BD-D790-47F2-9F99-F0A51608453C}" name="Expected CMR" dataDxfId="175" totalsRowDxfId="176"/>
    <tableColumn id="42" xr3:uid="{CB26A1CB-0587-46E2-9BFF-A362C80224EC}" name="Contribution" dataDxfId="173" totalsRowDxfId="174">
      <calculatedColumnFormula>Table47910[[#This Row],[Expected Revenue]]*Table47910[[#This Row],[Expected CMR]]</calculatedColumnFormula>
    </tableColumn>
    <tableColumn id="1" xr3:uid="{9F54EA5E-5E9C-4C72-A18C-AC0DFAFB67EC}" name="Status" dataDxfId="171" totalsRowDxfId="17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82FD26-2478-474B-B3DE-6DF43670DA61}" name="Table47" displayName="Table47" ref="A3:Q666" totalsRowCount="1" headerRowDxfId="170" dataDxfId="169" tableBorderDxfId="168">
  <autoFilter ref="A3:Q665" xr:uid="{00000000-0009-0000-0100-000004000000}">
    <filterColumn colId="9">
      <filters>
        <filter val="Dec"/>
        <filter val="Nov"/>
      </filters>
    </filterColumn>
    <filterColumn colId="10">
      <filters>
        <filter val="2020"/>
      </filters>
    </filterColumn>
  </autoFilter>
  <sortState xmlns:xlrd2="http://schemas.microsoft.com/office/spreadsheetml/2017/richdata2" ref="A347:Q601">
    <sortCondition ref="B3:B665"/>
  </sortState>
  <tableColumns count="17">
    <tableColumn id="44" xr3:uid="{6AAB7C55-DB28-4009-8EE3-E8FE17DC56C1}" name="Workorder" dataDxfId="166" totalsRowDxfId="167"/>
    <tableColumn id="3" xr3:uid="{155B3C37-16E1-47A7-B02C-4CAD084C7B17}" name="Installation" dataDxfId="164" totalsRowDxfId="165"/>
    <tableColumn id="4" xr3:uid="{877E7784-FB73-41EC-B8CA-72B41C79F8F7}" name="Client" dataDxfId="162" totalsRowDxfId="163"/>
    <tableColumn id="5" xr3:uid="{698EC43E-9C71-433E-8C45-FE7C0FB8544C}" name="Description:" dataDxfId="160" totalsRowDxfId="161"/>
    <tableColumn id="6" xr3:uid="{F20D6386-7E04-4324-A721-DD9D4FD48DF3}" name="Service" dataDxfId="158" totalsRowDxfId="159"/>
    <tableColumn id="10" xr3:uid="{FD7D5FBC-CD02-4DC6-9A18-3116F9557E8A}" name="Segment" dataDxfId="156" totalsRowDxfId="157"/>
    <tableColumn id="12" xr3:uid="{BD11ED0C-F08A-46B6-962C-3A3A3F850440}" name="BD Status" dataDxfId="154" totalsRowDxfId="155"/>
    <tableColumn id="45" xr3:uid="{5CCBACA0-94FE-420E-9D56-E91A73990137}" name="Revenue Category" dataDxfId="152" totalsRowDxfId="153"/>
    <tableColumn id="14" xr3:uid="{51182EF2-C5E0-40FA-B933-BC5D5C81D119}" name="Quote No." dataDxfId="150" totalsRowDxfId="151"/>
    <tableColumn id="17" xr3:uid="{94B94C26-1CCA-4423-AFCE-B09D40E86C3D}" name="Monthly revenue" dataDxfId="148" totalsRowDxfId="149"/>
    <tableColumn id="18" xr3:uid="{ECFC4BDB-9AF0-4147-ACEC-CB5C276A751B}" name="Projected _x000a_Year" dataDxfId="146" totalsRowDxfId="147"/>
    <tableColumn id="19" xr3:uid="{D97DB9D5-2F07-4D10-86E8-C71663C05523}" name="Probability" dataDxfId="144" totalsRowDxfId="145"/>
    <tableColumn id="20" xr3:uid="{48F5A3E6-C694-4532-B6A4-FD62E2703CCF}" name="Expected Revenue" totalsRowFunction="sum" dataDxfId="142" totalsRowDxfId="143"/>
    <tableColumn id="41" xr3:uid="{EC34F9CE-BCA2-4ACC-B731-FE6F544F1E70}" name="Rev. Based on PROB" totalsRowFunction="sum" dataDxfId="140" totalsRowDxfId="141">
      <calculatedColumnFormula>Table47[[#This Row],[Expected Revenue]]*Table47[[#This Row],[Probability]]</calculatedColumnFormula>
    </tableColumn>
    <tableColumn id="40" xr3:uid="{AD22BC90-69E4-4AFA-96B7-2CCA7CF81610}" name="Expected CMR" dataDxfId="138" totalsRowDxfId="139"/>
    <tableColumn id="42" xr3:uid="{FE336E36-3A57-4E79-A669-E060520DDF63}" name="Contribution" dataDxfId="136" totalsRowDxfId="137">
      <calculatedColumnFormula>Table47[[#This Row],[Expected Revenue]]*Table47[[#This Row],[Expected CMR]]</calculatedColumnFormula>
    </tableColumn>
    <tableColumn id="1" xr3:uid="{83EE67F3-F233-4280-8733-40091B66E5D4}" name="Status" dataDxfId="134" totalsRowDxfId="13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71DD74B-6863-4930-B14B-EB7C24FD1B44}" name="Table489111289" displayName="Table489111289" ref="B2:AQ219" totalsRowShown="0" headerRowDxfId="133" dataDxfId="132" tableBorderDxfId="131">
  <autoFilter ref="B2:AQ219" xr:uid="{00000000-0009-0000-0100-000004000000}"/>
  <tableColumns count="42">
    <tableColumn id="33" xr3:uid="{BE62400E-BE89-40EA-B3FB-8895319F618B}" name="PO Number" dataDxfId="130"/>
    <tableColumn id="34" xr3:uid="{A6C602BD-2811-4417-89C2-769671D11DCE}" name="PO Value" dataDxfId="129"/>
    <tableColumn id="8" xr3:uid="{A776439F-CFA1-4AB0-B9CC-7026AE8CD6F2}" name="Pending BM / Invoice Value" dataDxfId="128"/>
    <tableColumn id="24" xr3:uid="{78FA9A2D-4923-4F92-83FD-E0EA147C7B00}" name="Description:" dataDxfId="127"/>
    <tableColumn id="14" xr3:uid="{33C3EC90-F536-4EA2-ABDF-FB8179B847B7}" name="Responsible/ Project Manager " dataDxfId="126"/>
    <tableColumn id="3" xr3:uid="{B61B5EEB-04FF-4A66-B64B-AC3AA8DCD372}" name="Installation" dataDxfId="125"/>
    <tableColumn id="4" xr3:uid="{FD420316-A808-4DD9-B3B7-B643DF699888}" name="Client" dataDxfId="124"/>
    <tableColumn id="47" xr3:uid="{C7DB7B79-8E6E-43D7-A792-18B8790CE567}" name="Client PM" dataDxfId="123"/>
    <tableColumn id="18" xr3:uid="{2F90EE24-8C03-4DCB-9E52-2E4A1BF2789D}" name="PERIOD" dataDxfId="122"/>
    <tableColumn id="21" xr3:uid="{55C6B14B-DFFB-46DD-A31D-FAB83F6D9DB3}" name="Forecasted Revenue" dataDxfId="121"/>
    <tableColumn id="16" xr3:uid="{8078D876-958C-4E35-B778-D3FFCA8F6B68}" name="commencement date" dataDxfId="120"/>
    <tableColumn id="17" xr3:uid="{873D2353-ABBB-4DA4-94C1-76A02522E1DE}" name="Project Close Date" dataDxfId="119"/>
    <tableColumn id="6" xr3:uid="{E4E8461C-871E-4C87-B94A-3850FAD827DF}" name="Service" dataDxfId="118"/>
    <tableColumn id="19" xr3:uid="{86B511D8-BD39-4072-AA79-3F9FA591DE04}" name="Recent Updates " dataDxfId="117"/>
    <tableColumn id="25" xr3:uid="{A8AB309E-35B1-4AC5-8BF5-D2789B464784}" name="Start (mob date)" dataDxfId="116"/>
    <tableColumn id="26" xr3:uid="{8008D2B2-945A-422B-A406-3D5330ED64CB}" name="Finish (demob)" dataDxfId="115"/>
    <tableColumn id="56" xr3:uid="{C3D47F1D-53DC-4A77-8251-A1F4B2470C90}" name="Invoice Number" dataDxfId="114"/>
    <tableColumn id="57" xr3:uid="{4D735C72-A941-40D6-9677-C8B792765A1F}" name="Invoice Value" dataDxfId="113"/>
    <tableColumn id="58" xr3:uid="{657ED4F8-3604-45EE-BF40-F3216AA4A70C}" name="Total cost" dataDxfId="112"/>
    <tableColumn id="1" xr3:uid="{52537FED-D27B-4729-BF48-B6E24F1E6ED1}" name="CMR" dataDxfId="111"/>
    <tableColumn id="11" xr3:uid="{BBC2B7B2-D74B-4EEB-97B1-0DF1FFCCDB99}" name="Invoice date" dataDxfId="110"/>
    <tableColumn id="22" xr3:uid="{4269343F-BD89-43A7-9FC1-C86BBB6BAC0B}" name="Personnel Files &amp; Competency Check" dataDxfId="109"/>
    <tableColumn id="27" xr3:uid="{6DFD8756-5BA7-423F-8BF4-F1E2B07DC9F9}" name="Reports due for QA:" dataDxfId="108"/>
    <tableColumn id="28" xr3:uid="{D87E7CF0-7A79-44E6-9149-6C8A1F4D298F}" name="Reports Due to Client" dataDxfId="107"/>
    <tableColumn id="29" xr3:uid="{D75229B8-2DF1-4017-A5FC-662900590871}" name="Date Report is delivered:" dataDxfId="106"/>
    <tableColumn id="30" xr3:uid="{97250001-D454-47B9-A704-0847A0C7EDFB}" name="Status" dataDxfId="105"/>
    <tableColumn id="7" xr3:uid="{5D561F34-79F6-4FA4-8CD3-6D75CE76070D}" name="Revised PO received &amp; Submitted to portal" dataDxfId="104"/>
    <tableColumn id="9" xr3:uid="{928EFBA3-A47F-458B-88EF-7BA14E3054A7}" name="Reports uploaded" dataDxfId="103"/>
    <tableColumn id="35" xr3:uid="{29FCBC26-120E-4ECA-948D-71217C4F55D6}" name="Start-Up Meeting Registered" dataDxfId="102"/>
    <tableColumn id="36" xr3:uid="{5E69618C-ED48-4C01-A818-BBA82773151E}" name="Close-up Meeting Registered" dataDxfId="101"/>
    <tableColumn id="59" xr3:uid="{EB218A7D-9165-47BF-B4BA-EAFF2AAA0D69}" name="Equipment sent" dataDxfId="100"/>
    <tableColumn id="60" xr3:uid="{E5F0469C-A269-4375-93A3-27581209A7DE}" name="Equipment return" dataDxfId="99"/>
    <tableColumn id="10" xr3:uid="{F7B65AAE-4B0D-479A-863B-DDFB6F62B04B}" name="Updated Sharepoint" dataDxfId="98"/>
    <tableColumn id="15" xr3:uid="{9E80E4A9-9816-49A5-9016-1E93BEC7D7CB}" name="Client Evaluation Onshore - Registered" dataDxfId="97"/>
    <tableColumn id="12" xr3:uid="{DC5E824D-E2A8-4950-B0C5-FC3175AE4C35}" name="HSE Plan" dataDxfId="96"/>
    <tableColumn id="13" xr3:uid="{7FCA2662-35E9-4000-BC64-0BF70CC0AEE5}" name="Rope Access Registered" dataDxfId="95"/>
    <tableColumn id="32" xr3:uid="{6F5C4D4A-D6FD-44B2-A349-184B00CBFC56}" name="Timesheets " dataDxfId="94"/>
    <tableColumn id="31" xr3:uid="{AF2582C2-1A07-42A4-96ED-A5F1637567BE}" name="Client eval " dataDxfId="93"/>
    <tableColumn id="23" xr3:uid="{DD1C503B-39E7-4359-BB89-6B88450C31EE}" name="Man days " dataDxfId="92"/>
    <tableColumn id="2" xr3:uid="{95636DF4-6588-458E-8DB3-24AFF20C3AD5}" name="Parked or Active" dataDxfId="91"/>
    <tableColumn id="20" xr3:uid="{4B3DD63A-68E7-42A9-8F18-9A5B33D3F3B2}" name="Current Status" dataDxfId="90"/>
    <tableColumn id="5" xr3:uid="{70C39529-7324-48FE-B578-E5E87E947309}" name="Comments/actions" dataDxfId="8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AA74851-57A9-48B5-97FB-CEC718888D37}" name="Table48911128" displayName="Table48911128" ref="B2:AQ221" totalsRowShown="0" headerRowDxfId="88" dataDxfId="87" tableBorderDxfId="86">
  <autoFilter ref="B2:AQ221" xr:uid="{00000000-0009-0000-0100-000004000000}"/>
  <tableColumns count="42">
    <tableColumn id="33" xr3:uid="{7E35078A-BE5C-4245-97D8-7E53A31CE305}" name="PO Number" dataDxfId="85"/>
    <tableColumn id="34" xr3:uid="{D9299E79-4EFF-4F89-AE0D-856A60A87D12}" name="PO Value" dataDxfId="84"/>
    <tableColumn id="8" xr3:uid="{F328A95E-E4D4-4736-9370-78A414961DCA}" name="Pending BM / Invoice Value" dataDxfId="83"/>
    <tableColumn id="24" xr3:uid="{BE3B7552-C79A-4C49-B6D9-53A14C88093B}" name="Description:" dataDxfId="82"/>
    <tableColumn id="14" xr3:uid="{9E8937A8-0E41-4118-9354-C6F70B1AD8F1}" name="Responsible/ Project Manager " dataDxfId="81"/>
    <tableColumn id="3" xr3:uid="{D6FF0C1C-1C8C-4225-BFEB-12B0E9537261}" name="Installation" dataDxfId="80"/>
    <tableColumn id="4" xr3:uid="{656F1F83-6478-4654-8D6B-547DCAFD3995}" name="Client" dataDxfId="79"/>
    <tableColumn id="47" xr3:uid="{B0A2DB51-8120-420C-9A87-15EFF20F955D}" name="Client PM" dataDxfId="78"/>
    <tableColumn id="18" xr3:uid="{05B8475C-1E70-4359-A076-58E5ECB9C3BA}" name="PERIOD" dataDxfId="77"/>
    <tableColumn id="21" xr3:uid="{249292D4-6397-40DF-BCD5-482C5FA61FD9}" name="Forecasted Revenue" dataDxfId="76"/>
    <tableColumn id="16" xr3:uid="{2F689433-B46D-4A4C-85CA-AB798CAF6A95}" name="commencement date" dataDxfId="75"/>
    <tableColumn id="17" xr3:uid="{46F0B032-843C-42C3-99B5-5C55AA624C1D}" name="Project Close Date" dataDxfId="74"/>
    <tableColumn id="6" xr3:uid="{C70DC67F-AA7F-42C5-A053-CE66DC43E72B}" name="Service" dataDxfId="73"/>
    <tableColumn id="19" xr3:uid="{37D2A2AA-B31A-4E1B-9C27-999D89EF481F}" name="Recent Updates " dataDxfId="72"/>
    <tableColumn id="25" xr3:uid="{5FC4E01D-5336-4A4E-B521-0F1B63E865A9}" name="Start (mob date)" dataDxfId="71"/>
    <tableColumn id="26" xr3:uid="{CF3B3220-2334-41D1-BB98-EBB1C2535414}" name="Finish (demob)" dataDxfId="70"/>
    <tableColumn id="56" xr3:uid="{EF3D30C7-24DA-487A-8627-F6FC1C8ECDD4}" name="Invoice Number" dataDxfId="69"/>
    <tableColumn id="57" xr3:uid="{5D801B25-DB0D-4312-BF53-635431FC5BD2}" name="Invoice Value" dataDxfId="68"/>
    <tableColumn id="58" xr3:uid="{48B51105-3DF6-4DB3-ABA8-3B0215E59D4B}" name="Total cost" dataDxfId="67"/>
    <tableColumn id="1" xr3:uid="{47C2D6DA-8830-421B-AB62-DB804E2ADBB7}" name="CMR" dataDxfId="66">
      <calculatedColumnFormula>(Table48911128[[#This Row],[Invoice Value]]-Table48911128[[#This Row],[Total cost]])/Table48911128[[#This Row],[Invoice Value]]</calculatedColumnFormula>
    </tableColumn>
    <tableColumn id="11" xr3:uid="{E1E8D9C3-A107-4EDF-9FB3-40C5784CD206}" name="Invoice date" dataDxfId="65"/>
    <tableColumn id="22" xr3:uid="{8EC22C0A-3EE9-4407-A0C6-DBB53DB2FA9B}" name="Personnel Files &amp; Competency Check" dataDxfId="64"/>
    <tableColumn id="27" xr3:uid="{CADD3773-0313-45D9-821F-40BDBD87AB7C}" name="Reports due for QA:" dataDxfId="63">
      <calculatedColumnFormula>IF(Q3&gt;0,Q3+3," - ")</calculatedColumnFormula>
    </tableColumn>
    <tableColumn id="28" xr3:uid="{B88A3B70-1A66-407F-B3EC-8868072A8CDE}" name="Reports Due to Client" dataDxfId="62">
      <calculatedColumnFormula>IF(Q3&gt;0,Q3+14," - ")</calculatedColumnFormula>
    </tableColumn>
    <tableColumn id="29" xr3:uid="{FBDED262-819C-4EA1-9911-963D4FF07711}" name="Date Report is delivered:" dataDxfId="61"/>
    <tableColumn id="30" xr3:uid="{CDE73357-60B5-4DFE-984B-A873CB9686AF}" name="Status" dataDxfId="60">
      <calculatedColumnFormula>IF(P3=0,"-",IF(Z3&gt;0,"Delivered",IF(TODAY()&gt;Y3,"Overdue",IF(TODAY()&lt;Y3,"In Progress"))))</calculatedColumnFormula>
    </tableColumn>
    <tableColumn id="7" xr3:uid="{D4D1E970-9D51-441E-8E6D-135B43D2800A}" name="Revised PO received &amp; Submitted to portal" dataDxfId="59"/>
    <tableColumn id="9" xr3:uid="{DF64F402-5148-49A9-ACD4-F28E8F87DCA1}" name="Reports uploaded" dataDxfId="58"/>
    <tableColumn id="35" xr3:uid="{6DF10BCE-AE7A-4963-99CA-FF65454BDE17}" name="Start-Up Meeting Registered" dataDxfId="57"/>
    <tableColumn id="36" xr3:uid="{A51C5FFD-1E4F-4781-BE9C-D2792BEFD445}" name="Close-up Meeting Registered" dataDxfId="56"/>
    <tableColumn id="59" xr3:uid="{34B0848F-ED5C-4A5A-B93A-142F44B4A9E8}" name="Equipment sent" dataDxfId="55"/>
    <tableColumn id="60" xr3:uid="{FA6962DD-D431-49AC-97C3-774844600CC3}" name="Equipment return" dataDxfId="54"/>
    <tableColumn id="10" xr3:uid="{99B220BE-F8E0-4772-AD6F-405E14567970}" name="Updated Sharepoint" dataDxfId="53"/>
    <tableColumn id="15" xr3:uid="{9511C53D-51FF-47FD-9E71-D137AC4DAD27}" name="Client Evaluation Onshore - Registered" dataDxfId="52"/>
    <tableColumn id="12" xr3:uid="{EDA8F9B2-E437-41FB-BEDA-85F0A09A983A}" name="HSE Plan" dataDxfId="51"/>
    <tableColumn id="13" xr3:uid="{1F01A7EF-8305-487C-9FF8-94068DDED542}" name="Rope Access Registered" dataDxfId="50"/>
    <tableColumn id="32" xr3:uid="{75EC4BDC-D80B-4323-849B-66FF2A4BAD15}" name="Timesheets " dataDxfId="49"/>
    <tableColumn id="31" xr3:uid="{F07AED40-B8DD-4BC3-8426-D9FD4840ACA5}" name="Client eval " dataDxfId="48"/>
    <tableColumn id="23" xr3:uid="{6D0501A7-24A2-4436-809D-51E5AA55C5A5}" name="Man days " dataDxfId="47"/>
    <tableColumn id="2" xr3:uid="{38B1D80E-5789-4D0E-BA81-2609BC9AA674}" name="Parked or Active" dataDxfId="46"/>
    <tableColumn id="20" xr3:uid="{39097C21-4931-4004-B21C-8EC1EE4F515F}" name="Current Status" dataDxfId="45"/>
    <tableColumn id="5" xr3:uid="{98A35E4A-24F6-4B8F-80B9-E5CBFE9768F2}" name="Comments/actions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688F685-17B1-421A-BD73-A93936274228}" name="Table4891112" displayName="Table4891112" ref="B2:AP251" totalsRowShown="0" headerRowDxfId="43" dataDxfId="42" tableBorderDxfId="41">
  <autoFilter ref="B2:AP251" xr:uid="{00000000-0009-0000-0100-000004000000}"/>
  <tableColumns count="41">
    <tableColumn id="33" xr3:uid="{5594C0D6-3903-4A41-A145-391409B6EB2C}" name="PO Number" dataDxfId="40"/>
    <tableColumn id="34" xr3:uid="{B574824B-6117-485C-8E2D-2EC7409CF2BE}" name="PO Value" dataDxfId="39"/>
    <tableColumn id="8" xr3:uid="{EEDEDDC2-738C-46F0-ABB6-BAA7A78DF6E7}" name="Pending BM / Invoice Value" dataDxfId="38"/>
    <tableColumn id="24" xr3:uid="{FBBD915B-DA43-48CE-A4C5-1FD3A996F10A}" name="Description:" dataDxfId="37"/>
    <tableColumn id="14" xr3:uid="{5F7D88FE-1AA6-4148-AAC6-795E13C36B7E}" name="Responsible/ Project Manager " dataDxfId="36"/>
    <tableColumn id="3" xr3:uid="{16EC9B36-6C9F-42D5-9ECB-1B1B203271EA}" name="Installation" dataDxfId="35"/>
    <tableColumn id="4" xr3:uid="{B794D44F-7C24-4F2A-9B3E-1067378EE38C}" name="Client" dataDxfId="34"/>
    <tableColumn id="47" xr3:uid="{6FB2DD6A-570B-41DE-927A-EBAFAB0BAD6C}" name="Client PM" dataDxfId="33"/>
    <tableColumn id="18" xr3:uid="{2E9133D6-614A-4F90-BF02-8FF41B1F9C51}" name="PERIOD" dataDxfId="32"/>
    <tableColumn id="21" xr3:uid="{6736C516-E9D0-4D99-972D-A127DDB1EC5F}" name="Forecasted Revenue" dataDxfId="31"/>
    <tableColumn id="16" xr3:uid="{0D900F40-2366-4CD5-B38E-FA4CBADC94E8}" name="commencement date" dataDxfId="30"/>
    <tableColumn id="17" xr3:uid="{91770FEF-561E-4180-93B2-4B2606E6D8F5}" name="Project Close Date" dataDxfId="29"/>
    <tableColumn id="6" xr3:uid="{A6E64128-8775-4FC1-8068-6083FA5505E3}" name="Service" dataDxfId="28"/>
    <tableColumn id="19" xr3:uid="{ABA6E214-EC30-477A-83D9-199C21DC7147}" name="Recent Updates " dataDxfId="27"/>
    <tableColumn id="25" xr3:uid="{270BD83E-EA40-4AB7-B00E-F34A4637E9F4}" name="Start (mob date)" dataDxfId="26"/>
    <tableColumn id="26" xr3:uid="{2F1FAE3E-F2DE-41CF-AEE6-E0A01BB54F46}" name="Finish (demob)" dataDxfId="25"/>
    <tableColumn id="56" xr3:uid="{CECDF4A2-619B-4045-9A65-5F6FE3D5B4D3}" name="Invoice Number" dataDxfId="24"/>
    <tableColumn id="57" xr3:uid="{6CD6CAA4-30C9-42A2-8836-D21E9EE184D0}" name="Invoice Value" dataDxfId="23"/>
    <tableColumn id="58" xr3:uid="{BE878471-3261-49A1-B69B-5FA51A805346}" name="Total cost" dataDxfId="22"/>
    <tableColumn id="1" xr3:uid="{1558847F-FF09-4C3D-A811-5F078EAB2FF2}" name="CMR" dataDxfId="21">
      <calculatedColumnFormula>(Table4891112[[#This Row],[Invoice Value]]-Table4891112[[#This Row],[Total cost]])/Table4891112[[#This Row],[Invoice Value]]</calculatedColumnFormula>
    </tableColumn>
    <tableColumn id="11" xr3:uid="{75CA3389-6AF7-4F3D-8847-068CE699899B}" name="Invoice date" dataDxfId="20"/>
    <tableColumn id="22" xr3:uid="{CCA5A2C5-2CDD-4F76-BA6E-81192DEA54D7}" name="Personnel Files &amp; Competency Check" dataDxfId="19"/>
    <tableColumn id="27" xr3:uid="{6C403F0C-4419-437F-9F89-362EF8B04A19}" name="Reports due for QA:" dataDxfId="18">
      <calculatedColumnFormula>IF(Q3&gt;0,Q3+3," - ")</calculatedColumnFormula>
    </tableColumn>
    <tableColumn id="28" xr3:uid="{C9A0295B-DF60-45BA-8C59-02809FF66C6C}" name="Reports Due to Client" dataDxfId="17">
      <calculatedColumnFormula>IF(Q3&gt;0,Q3+14," - ")</calculatedColumnFormula>
    </tableColumn>
    <tableColumn id="29" xr3:uid="{99F4A813-A66B-4E5A-8B45-7EFBF8D294FD}" name="Date Report is delivered:" dataDxfId="16"/>
    <tableColumn id="30" xr3:uid="{D74B305D-1466-41D4-B33D-851624910CA3}" name="Status" dataDxfId="15">
      <calculatedColumnFormula>IF(P3=0,"-",IF(Z3&gt;0,"Delivered",IF(TODAY()&gt;Y3,"Overdue",IF(TODAY()&lt;Y3,"In Progress"))))</calculatedColumnFormula>
    </tableColumn>
    <tableColumn id="7" xr3:uid="{7EC5126B-2080-49A1-8F11-0760A447DD0E}" name="Revised PO received &amp; Submitted to portal" dataDxfId="14"/>
    <tableColumn id="9" xr3:uid="{E39A8DF7-F900-4338-AC35-B9FAFEFCF0FA}" name="Reports uploaded" dataDxfId="13"/>
    <tableColumn id="35" xr3:uid="{D20EC64D-35B1-4082-BEBE-8D3CAFF5B20A}" name="Start-Up Meeting Registered" dataDxfId="12"/>
    <tableColumn id="36" xr3:uid="{9E976E86-E748-4B26-A01E-4E944C6B67FC}" name="Close-up Meeting Registered" dataDxfId="11"/>
    <tableColumn id="59" xr3:uid="{A63A4D3A-4B68-489A-8F99-0FD720DE6660}" name="Equipment sent" dataDxfId="10"/>
    <tableColumn id="60" xr3:uid="{92D91F91-3B31-4ECF-8087-AF4363A108F3}" name="Equipment return" dataDxfId="9"/>
    <tableColumn id="10" xr3:uid="{2C5C8D88-025F-4139-B34A-5B82327DD4B6}" name="Updated Sharepoint" dataDxfId="8"/>
    <tableColumn id="15" xr3:uid="{7BC5FCDA-BA1A-4462-8E60-31F89D00D19A}" name="Client Evaluation Onshore - Registered" dataDxfId="7"/>
    <tableColumn id="12" xr3:uid="{31B646AF-F45D-42C6-A7C2-E3666B8CD432}" name="HSE Plan" dataDxfId="6"/>
    <tableColumn id="13" xr3:uid="{BD8EA7E1-6BB7-4D85-9764-DD98FCFBE8AA}" name="Rope Access Registered" dataDxfId="5"/>
    <tableColumn id="32" xr3:uid="{1E17D2E0-ED10-4937-BCB1-4FE618B0A0E1}" name="Timesheets " dataDxfId="4"/>
    <tableColumn id="31" xr3:uid="{0AC2B310-180A-4B4D-8287-CA8244D7E442}" name="Client eval " dataDxfId="3"/>
    <tableColumn id="23" xr3:uid="{29535930-3FD0-4508-A0CF-93A2D739660F}" name="Man days " dataDxfId="2"/>
    <tableColumn id="2" xr3:uid="{BAA08868-3F73-4793-BFED-B38F4DEFBF59}" name="Parked or Active" dataDxfId="1"/>
    <tableColumn id="20" xr3:uid="{BD813AE7-D313-4611-B529-F2D86732A4E0}" name="Current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4-05-30T10:56:36.76" personId="{03BC44AD-37FB-4926-85F4-763B3486D08F}" id="{C4BD95D0-BA06-406D-BFB4-B4344543E623}">
    <text xml:space="preserve">Notes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" dT="2024-05-30T10:56:36.76" personId="{03BC44AD-37FB-4926-85F4-763B3486D08F}" id="{B6711862-DFF1-43E1-ACF3-EAD55EEB1709}">
    <text xml:space="preserve">Notes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2" dT="2024-05-30T10:56:36.76" personId="{03BC44AD-37FB-4926-85F4-763B3486D08F}" id="{92D99111-5A86-4AB2-BE63-B92DBCA58268}">
    <text xml:space="preserve">Notes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1" dT="2024-05-30T10:56:36.76" personId="{03BC44AD-37FB-4926-85F4-763B3486D08F}" id="{8D01AC5C-CFE1-4260-A07A-501F9362E24A}">
    <text xml:space="preserve">Notes 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Nathan.Irwin@deepwater.com" TargetMode="External"/><Relationship Id="rId21" Type="http://schemas.openxmlformats.org/officeDocument/2006/relationships/hyperlink" Target="mailto:Ross.Cameron@deepwater.com" TargetMode="External"/><Relationship Id="rId42" Type="http://schemas.openxmlformats.org/officeDocument/2006/relationships/hyperlink" Target="mailto:Ross.Cameron@deepwater.com" TargetMode="External"/><Relationship Id="rId47" Type="http://schemas.openxmlformats.org/officeDocument/2006/relationships/hyperlink" Target="mailto:Gregory.Besozzi@deepwater.com" TargetMode="External"/><Relationship Id="rId63" Type="http://schemas.openxmlformats.org/officeDocument/2006/relationships/hyperlink" Target="mailto:Travis.McGuire@deepwater.com" TargetMode="External"/><Relationship Id="rId68" Type="http://schemas.openxmlformats.org/officeDocument/2006/relationships/hyperlink" Target="mailto:Regulo.Salas@deepwater.com" TargetMode="External"/><Relationship Id="rId16" Type="http://schemas.openxmlformats.org/officeDocument/2006/relationships/hyperlink" Target="mailto:Travis.McGuire@deepwater.com" TargetMode="External"/><Relationship Id="rId11" Type="http://schemas.openxmlformats.org/officeDocument/2006/relationships/hyperlink" Target="mailto:Travis.McGuire@deepwater.com" TargetMode="External"/><Relationship Id="rId32" Type="http://schemas.openxmlformats.org/officeDocument/2006/relationships/hyperlink" Target="mailto:Ross.Cameron@deepwater.com" TargetMode="External"/><Relationship Id="rId37" Type="http://schemas.openxmlformats.org/officeDocument/2006/relationships/hyperlink" Target="mailto:Nathan.Irwin@deepwater.com" TargetMode="External"/><Relationship Id="rId53" Type="http://schemas.openxmlformats.org/officeDocument/2006/relationships/hyperlink" Target="mailto:aperera@helixesg.com" TargetMode="External"/><Relationship Id="rId58" Type="http://schemas.openxmlformats.org/officeDocument/2006/relationships/hyperlink" Target="mailto:Karsten.Petersen@deepwater.com" TargetMode="External"/><Relationship Id="rId74" Type="http://schemas.openxmlformats.org/officeDocument/2006/relationships/hyperlink" Target="mailto:Thomas.Iverson@deepwater.com" TargetMode="External"/><Relationship Id="rId79" Type="http://schemas.openxmlformats.org/officeDocument/2006/relationships/hyperlink" Target="mailto:Vishruti.Jakhar@deepwater.com" TargetMode="External"/><Relationship Id="rId5" Type="http://schemas.openxmlformats.org/officeDocument/2006/relationships/hyperlink" Target="mailto:Regulo.Salas@deepwater.com" TargetMode="External"/><Relationship Id="rId61" Type="http://schemas.openxmlformats.org/officeDocument/2006/relationships/hyperlink" Target="mailto:Gregory.Besozzi@deepwater.com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mailto:Ross.Cameron@deepwater.com" TargetMode="External"/><Relationship Id="rId14" Type="http://schemas.openxmlformats.org/officeDocument/2006/relationships/hyperlink" Target="mailto:Travis.McGuire@deepwater.com" TargetMode="External"/><Relationship Id="rId22" Type="http://schemas.openxmlformats.org/officeDocument/2006/relationships/hyperlink" Target="mailto:Ross.Cameron@deepwater.com" TargetMode="External"/><Relationship Id="rId27" Type="http://schemas.openxmlformats.org/officeDocument/2006/relationships/hyperlink" Target="mailto:Nathan.Irwin@deepwater.com" TargetMode="External"/><Relationship Id="rId30" Type="http://schemas.openxmlformats.org/officeDocument/2006/relationships/hyperlink" Target="mailto:Nathan.Irwin@deepwater.com" TargetMode="External"/><Relationship Id="rId35" Type="http://schemas.openxmlformats.org/officeDocument/2006/relationships/hyperlink" Target="mailto:Travis.McGuire@deepwater.com" TargetMode="External"/><Relationship Id="rId43" Type="http://schemas.openxmlformats.org/officeDocument/2006/relationships/hyperlink" Target="mailto:Gregory.Besozzi@deepwater.com" TargetMode="External"/><Relationship Id="rId48" Type="http://schemas.openxmlformats.org/officeDocument/2006/relationships/hyperlink" Target="mailto:Gregory.Besozzi@deepwater.com" TargetMode="External"/><Relationship Id="rId56" Type="http://schemas.openxmlformats.org/officeDocument/2006/relationships/hyperlink" Target="mailto:aperera@helixesg.com" TargetMode="External"/><Relationship Id="rId64" Type="http://schemas.openxmlformats.org/officeDocument/2006/relationships/hyperlink" Target="mailto:Travis.McGuire@deepwater.com" TargetMode="External"/><Relationship Id="rId69" Type="http://schemas.openxmlformats.org/officeDocument/2006/relationships/hyperlink" Target="mailto:Regulo.Salas@deepwater.com" TargetMode="External"/><Relationship Id="rId77" Type="http://schemas.openxmlformats.org/officeDocument/2006/relationships/hyperlink" Target="mailto:Gregory.Emberley@deepwater.com" TargetMode="External"/><Relationship Id="rId8" Type="http://schemas.openxmlformats.org/officeDocument/2006/relationships/hyperlink" Target="mailto:Regulo.Salas@deepwater.com" TargetMode="External"/><Relationship Id="rId51" Type="http://schemas.openxmlformats.org/officeDocument/2006/relationships/hyperlink" Target="mailto:Justin.Richardson@deepwater.com" TargetMode="External"/><Relationship Id="rId72" Type="http://schemas.openxmlformats.org/officeDocument/2006/relationships/hyperlink" Target="mailto:Regulo.Salas@deepwater.com" TargetMode="External"/><Relationship Id="rId80" Type="http://schemas.openxmlformats.org/officeDocument/2006/relationships/hyperlink" Target="mailto:aperera@helixesg.com" TargetMode="External"/><Relationship Id="rId3" Type="http://schemas.openxmlformats.org/officeDocument/2006/relationships/hyperlink" Target="mailto:Regulo.Salas@deepwater.com" TargetMode="External"/><Relationship Id="rId12" Type="http://schemas.openxmlformats.org/officeDocument/2006/relationships/hyperlink" Target="mailto:Travis.McGuire@deepwater.com" TargetMode="External"/><Relationship Id="rId17" Type="http://schemas.openxmlformats.org/officeDocument/2006/relationships/hyperlink" Target="mailto:Ross.Cameron@deepwater.com" TargetMode="External"/><Relationship Id="rId25" Type="http://schemas.openxmlformats.org/officeDocument/2006/relationships/hyperlink" Target="mailto:Nathan.Irwin@deepwater.com" TargetMode="External"/><Relationship Id="rId33" Type="http://schemas.openxmlformats.org/officeDocument/2006/relationships/hyperlink" Target="mailto:Travis.McGuire@deepwater.com" TargetMode="External"/><Relationship Id="rId38" Type="http://schemas.openxmlformats.org/officeDocument/2006/relationships/hyperlink" Target="mailto:Nathan.Irwin@deepwater.com" TargetMode="External"/><Relationship Id="rId46" Type="http://schemas.openxmlformats.org/officeDocument/2006/relationships/hyperlink" Target="mailto:Gregory.Besozzi@deepwater.com" TargetMode="External"/><Relationship Id="rId59" Type="http://schemas.openxmlformats.org/officeDocument/2006/relationships/hyperlink" Target="mailto:Regulo.Salas@deepwater.com" TargetMode="External"/><Relationship Id="rId67" Type="http://schemas.openxmlformats.org/officeDocument/2006/relationships/hyperlink" Target="mailto:Regulo.Salas@deepwater.com" TargetMode="External"/><Relationship Id="rId20" Type="http://schemas.openxmlformats.org/officeDocument/2006/relationships/hyperlink" Target="mailto:Ross.Cameron@deepwater.com" TargetMode="External"/><Relationship Id="rId41" Type="http://schemas.openxmlformats.org/officeDocument/2006/relationships/hyperlink" Target="mailto:Ross.Cameron@deepwater.com" TargetMode="External"/><Relationship Id="rId54" Type="http://schemas.openxmlformats.org/officeDocument/2006/relationships/hyperlink" Target="mailto:Ross.Cameron@deepwater.com" TargetMode="External"/><Relationship Id="rId62" Type="http://schemas.openxmlformats.org/officeDocument/2006/relationships/hyperlink" Target="mailto:Travis.McGuire@deepwater.com" TargetMode="External"/><Relationship Id="rId70" Type="http://schemas.openxmlformats.org/officeDocument/2006/relationships/hyperlink" Target="mailto:Regulo.Salas@deepwater.com" TargetMode="External"/><Relationship Id="rId75" Type="http://schemas.openxmlformats.org/officeDocument/2006/relationships/hyperlink" Target="mailto:Thomas.Iverson@deepwater.com" TargetMode="External"/><Relationship Id="rId83" Type="http://schemas.openxmlformats.org/officeDocument/2006/relationships/table" Target="../tables/table1.xml"/><Relationship Id="rId1" Type="http://schemas.openxmlformats.org/officeDocument/2006/relationships/hyperlink" Target="mailto:Nathan.Irwin@deepwater.com" TargetMode="External"/><Relationship Id="rId6" Type="http://schemas.openxmlformats.org/officeDocument/2006/relationships/hyperlink" Target="mailto:Regulo.Salas@deepwater.com" TargetMode="External"/><Relationship Id="rId15" Type="http://schemas.openxmlformats.org/officeDocument/2006/relationships/hyperlink" Target="mailto:Travis.McGuire@deepwater.com" TargetMode="External"/><Relationship Id="rId23" Type="http://schemas.openxmlformats.org/officeDocument/2006/relationships/hyperlink" Target="mailto:Gregory.Besozzi@deepwater.com" TargetMode="External"/><Relationship Id="rId28" Type="http://schemas.openxmlformats.org/officeDocument/2006/relationships/hyperlink" Target="mailto:Nathan.Irwin@deepwater.com" TargetMode="External"/><Relationship Id="rId36" Type="http://schemas.openxmlformats.org/officeDocument/2006/relationships/hyperlink" Target="mailto:Regulo.Salas@deepwater.com" TargetMode="External"/><Relationship Id="rId49" Type="http://schemas.openxmlformats.org/officeDocument/2006/relationships/hyperlink" Target="mailto:Gregory.Besozzi@deepwater.com" TargetMode="External"/><Relationship Id="rId57" Type="http://schemas.openxmlformats.org/officeDocument/2006/relationships/hyperlink" Target="mailto:aperera@helixesg.com" TargetMode="External"/><Relationship Id="rId10" Type="http://schemas.openxmlformats.org/officeDocument/2006/relationships/hyperlink" Target="mailto:Travis.McGuire@deepwater.com" TargetMode="External"/><Relationship Id="rId31" Type="http://schemas.openxmlformats.org/officeDocument/2006/relationships/hyperlink" Target="mailto:Nathan.Irwin@deepwater.com" TargetMode="External"/><Relationship Id="rId44" Type="http://schemas.openxmlformats.org/officeDocument/2006/relationships/hyperlink" Target="mailto:Gregory.Besozzi@deepwater.com" TargetMode="External"/><Relationship Id="rId52" Type="http://schemas.openxmlformats.org/officeDocument/2006/relationships/hyperlink" Target="mailto:aperera@helixesg.com" TargetMode="External"/><Relationship Id="rId60" Type="http://schemas.openxmlformats.org/officeDocument/2006/relationships/hyperlink" Target="mailto:Gregory.Besozzi@deepwater.com" TargetMode="External"/><Relationship Id="rId65" Type="http://schemas.openxmlformats.org/officeDocument/2006/relationships/hyperlink" Target="mailto:Gregory.Besozzi@deepwater.com" TargetMode="External"/><Relationship Id="rId73" Type="http://schemas.openxmlformats.org/officeDocument/2006/relationships/hyperlink" Target="mailto:Regulo.Salas@deepwater.com" TargetMode="External"/><Relationship Id="rId78" Type="http://schemas.openxmlformats.org/officeDocument/2006/relationships/hyperlink" Target="mailto:Vishruti.Jakhar@deepwater.com" TargetMode="External"/><Relationship Id="rId81" Type="http://schemas.openxmlformats.org/officeDocument/2006/relationships/hyperlink" Target="mailto:Vishruti.Jakhar@deepwater.com" TargetMode="External"/><Relationship Id="rId4" Type="http://schemas.openxmlformats.org/officeDocument/2006/relationships/hyperlink" Target="mailto:Regulo.Salas@deepwater.com" TargetMode="External"/><Relationship Id="rId9" Type="http://schemas.openxmlformats.org/officeDocument/2006/relationships/hyperlink" Target="mailto:Justin.Richardson@deepwater.com" TargetMode="External"/><Relationship Id="rId13" Type="http://schemas.openxmlformats.org/officeDocument/2006/relationships/hyperlink" Target="mailto:Travis.McGuire@deepwater.com" TargetMode="External"/><Relationship Id="rId18" Type="http://schemas.openxmlformats.org/officeDocument/2006/relationships/hyperlink" Target="mailto:Ross.Cameron@deepwater.com" TargetMode="External"/><Relationship Id="rId39" Type="http://schemas.openxmlformats.org/officeDocument/2006/relationships/hyperlink" Target="mailto:Nathan.Irwin@deepwater.com" TargetMode="External"/><Relationship Id="rId34" Type="http://schemas.openxmlformats.org/officeDocument/2006/relationships/hyperlink" Target="mailto:Travis.McGuire@deepwater.com" TargetMode="External"/><Relationship Id="rId50" Type="http://schemas.openxmlformats.org/officeDocument/2006/relationships/hyperlink" Target="mailto:Gregory.Besozzi@deepwater.com" TargetMode="External"/><Relationship Id="rId55" Type="http://schemas.openxmlformats.org/officeDocument/2006/relationships/hyperlink" Target="mailto:Gregory.Besozzi@deepwater.com" TargetMode="External"/><Relationship Id="rId76" Type="http://schemas.openxmlformats.org/officeDocument/2006/relationships/hyperlink" Target="mailto:Gregory.Emberley@deepwater.com" TargetMode="External"/><Relationship Id="rId7" Type="http://schemas.openxmlformats.org/officeDocument/2006/relationships/hyperlink" Target="mailto:Regulo.Salas@deepwater.com" TargetMode="External"/><Relationship Id="rId71" Type="http://schemas.openxmlformats.org/officeDocument/2006/relationships/hyperlink" Target="mailto:Regulo.Salas@deepwater.com" TargetMode="External"/><Relationship Id="rId2" Type="http://schemas.openxmlformats.org/officeDocument/2006/relationships/hyperlink" Target="mailto:Regulo.Salas@deepwater.com" TargetMode="External"/><Relationship Id="rId29" Type="http://schemas.openxmlformats.org/officeDocument/2006/relationships/hyperlink" Target="mailto:Nathan.Irwin@deepwater.com" TargetMode="External"/><Relationship Id="rId24" Type="http://schemas.openxmlformats.org/officeDocument/2006/relationships/hyperlink" Target="mailto:Gregory.Besozzi@deepwater.com" TargetMode="External"/><Relationship Id="rId40" Type="http://schemas.openxmlformats.org/officeDocument/2006/relationships/hyperlink" Target="mailto:Ross.Cameron@deepwater.com" TargetMode="External"/><Relationship Id="rId45" Type="http://schemas.openxmlformats.org/officeDocument/2006/relationships/hyperlink" Target="mailto:Gregory.Besozzi@deepwater.com" TargetMode="External"/><Relationship Id="rId66" Type="http://schemas.openxmlformats.org/officeDocument/2006/relationships/hyperlink" Target="mailto:aperera@helixesg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Blake.Clements@williams.com" TargetMode="External"/><Relationship Id="rId13" Type="http://schemas.openxmlformats.org/officeDocument/2006/relationships/hyperlink" Target="mailto:david.stroud@kosmos.com" TargetMode="External"/><Relationship Id="rId18" Type="http://schemas.openxmlformats.org/officeDocument/2006/relationships/hyperlink" Target="mailto:viggo.werth@vantagedrilling.com" TargetMode="External"/><Relationship Id="rId3" Type="http://schemas.openxmlformats.org/officeDocument/2006/relationships/hyperlink" Target="mailto:kai.christensen@bp.com" TargetMode="External"/><Relationship Id="rId21" Type="http://schemas.openxmlformats.org/officeDocument/2006/relationships/hyperlink" Target="mailto:dawhite@zdoktech.com" TargetMode="External"/><Relationship Id="rId7" Type="http://schemas.openxmlformats.org/officeDocument/2006/relationships/hyperlink" Target="mailto:kai.christensen@bp.com" TargetMode="External"/><Relationship Id="rId12" Type="http://schemas.openxmlformats.org/officeDocument/2006/relationships/hyperlink" Target="mailto:andrew.juran@seadrill.com" TargetMode="External"/><Relationship Id="rId17" Type="http://schemas.openxmlformats.org/officeDocument/2006/relationships/hyperlink" Target="mailto:jdennis@chevron.com" TargetMode="External"/><Relationship Id="rId25" Type="http://schemas.openxmlformats.org/officeDocument/2006/relationships/table" Target="../tables/table2.xml"/><Relationship Id="rId2" Type="http://schemas.openxmlformats.org/officeDocument/2006/relationships/hyperlink" Target="mailto:aperera@helixesg.com" TargetMode="External"/><Relationship Id="rId16" Type="http://schemas.openxmlformats.org/officeDocument/2006/relationships/hyperlink" Target="mailto:enakajima@chevron.com" TargetMode="External"/><Relationship Id="rId20" Type="http://schemas.openxmlformats.org/officeDocument/2006/relationships/hyperlink" Target="mailto:pbaker@hess.com" TargetMode="External"/><Relationship Id="rId1" Type="http://schemas.openxmlformats.org/officeDocument/2006/relationships/hyperlink" Target="mailto:Travis.McGuire@deepwater.com" TargetMode="External"/><Relationship Id="rId6" Type="http://schemas.openxmlformats.org/officeDocument/2006/relationships/hyperlink" Target="mailto:daniel.cazon@apcas.no" TargetMode="External"/><Relationship Id="rId11" Type="http://schemas.openxmlformats.org/officeDocument/2006/relationships/hyperlink" Target="mailto:heath.lavergne@seadrill.com" TargetMode="External"/><Relationship Id="rId24" Type="http://schemas.openxmlformats.org/officeDocument/2006/relationships/printerSettings" Target="../printerSettings/printerSettings3.bin"/><Relationship Id="rId5" Type="http://schemas.openxmlformats.org/officeDocument/2006/relationships/hyperlink" Target="mailto:daniel.cazon@apcas.no" TargetMode="External"/><Relationship Id="rId15" Type="http://schemas.openxmlformats.org/officeDocument/2006/relationships/hyperlink" Target="mailto:mike.wright@deepwater.com" TargetMode="External"/><Relationship Id="rId23" Type="http://schemas.openxmlformats.org/officeDocument/2006/relationships/hyperlink" Target="mailto:dawhite@zdoktech.com" TargetMode="External"/><Relationship Id="rId10" Type="http://schemas.openxmlformats.org/officeDocument/2006/relationships/hyperlink" Target="mailto:JGehrmann@vt-marine.com" TargetMode="External"/><Relationship Id="rId19" Type="http://schemas.openxmlformats.org/officeDocument/2006/relationships/hyperlink" Target="mailto:tsl.wneptune@seadrill.com" TargetMode="External"/><Relationship Id="rId4" Type="http://schemas.openxmlformats.org/officeDocument/2006/relationships/hyperlink" Target="mailto:maintsup.dgd@deepwater.com" TargetMode="External"/><Relationship Id="rId9" Type="http://schemas.openxmlformats.org/officeDocument/2006/relationships/hyperlink" Target="mailto:JGehrmann@vt-marine.com" TargetMode="External"/><Relationship Id="rId14" Type="http://schemas.openxmlformats.org/officeDocument/2006/relationships/hyperlink" Target="mailto:kmurphy@enscoplc.com" TargetMode="External"/><Relationship Id="rId22" Type="http://schemas.openxmlformats.org/officeDocument/2006/relationships/hyperlink" Target="mailto:dawhite@zdoktech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ete.millar@akersolutions" TargetMode="External"/><Relationship Id="rId21" Type="http://schemas.openxmlformats.org/officeDocument/2006/relationships/hyperlink" Target="mailto:scott.woodard@nov.com" TargetMode="External"/><Relationship Id="rId42" Type="http://schemas.openxmlformats.org/officeDocument/2006/relationships/hyperlink" Target="mailto:jrichards@dodi.com" TargetMode="External"/><Relationship Id="rId63" Type="http://schemas.openxmlformats.org/officeDocument/2006/relationships/hyperlink" Target="mailto:mdowdy@rowancompanies.com" TargetMode="External"/><Relationship Id="rId84" Type="http://schemas.openxmlformats.org/officeDocument/2006/relationships/hyperlink" Target="mailto:david.mize@bhpbilliton.com" TargetMode="External"/><Relationship Id="rId138" Type="http://schemas.openxmlformats.org/officeDocument/2006/relationships/hyperlink" Target="mailto:Aaron.Barr@deepwater.com" TargetMode="External"/><Relationship Id="rId159" Type="http://schemas.openxmlformats.org/officeDocument/2006/relationships/hyperlink" Target="mailto:kcasswell@dodi.com" TargetMode="External"/><Relationship Id="rId107" Type="http://schemas.openxmlformats.org/officeDocument/2006/relationships/hyperlink" Target="mailto:bdawson@helixesg.com" TargetMode="External"/><Relationship Id="rId11" Type="http://schemas.openxmlformats.org/officeDocument/2006/relationships/hyperlink" Target="mailto:Jlanteigne@enscoplc.com" TargetMode="External"/><Relationship Id="rId32" Type="http://schemas.openxmlformats.org/officeDocument/2006/relationships/hyperlink" Target="mailto:cchandler@noblecorp.com" TargetMode="External"/><Relationship Id="rId53" Type="http://schemas.openxmlformats.org/officeDocument/2006/relationships/hyperlink" Target="mailto:ronnie.krieg@f-e-t.com" TargetMode="External"/><Relationship Id="rId74" Type="http://schemas.openxmlformats.org/officeDocument/2006/relationships/hyperlink" Target="mailto:david.blacklaw@shell.com" TargetMode="External"/><Relationship Id="rId128" Type="http://schemas.openxmlformats.org/officeDocument/2006/relationships/hyperlink" Target="mailto:awen@dmar-engr.com" TargetMode="External"/><Relationship Id="rId149" Type="http://schemas.openxmlformats.org/officeDocument/2006/relationships/hyperlink" Target="mailto:steven.walker@deepwater.com" TargetMode="External"/><Relationship Id="rId5" Type="http://schemas.openxmlformats.org/officeDocument/2006/relationships/hyperlink" Target="mailto:jfreeman@enscoplc.com" TargetMode="External"/><Relationship Id="rId95" Type="http://schemas.openxmlformats.org/officeDocument/2006/relationships/hyperlink" Target="mailto:rpkliza@huisman-na-com" TargetMode="External"/><Relationship Id="rId160" Type="http://schemas.openxmlformats.org/officeDocument/2006/relationships/hyperlink" Target="mailto:bpierce@dodi.com" TargetMode="External"/><Relationship Id="rId22" Type="http://schemas.openxmlformats.org/officeDocument/2006/relationships/hyperlink" Target="mailto:ereese@fabritecllc.com" TargetMode="External"/><Relationship Id="rId43" Type="http://schemas.openxmlformats.org/officeDocument/2006/relationships/hyperlink" Target="mailto:olyle@noblecorp.com" TargetMode="External"/><Relationship Id="rId64" Type="http://schemas.openxmlformats.org/officeDocument/2006/relationships/hyperlink" Target="mailto:olyle@noblecorp.com" TargetMode="External"/><Relationship Id="rId118" Type="http://schemas.openxmlformats.org/officeDocument/2006/relationships/hyperlink" Target="mailto:greg_sentell@tescocorp.com" TargetMode="External"/><Relationship Id="rId139" Type="http://schemas.openxmlformats.org/officeDocument/2006/relationships/hyperlink" Target="mailto:rob.ross@deepwater.com" TargetMode="External"/><Relationship Id="rId85" Type="http://schemas.openxmlformats.org/officeDocument/2006/relationships/hyperlink" Target="mailto:herve.de-naurois@total.com" TargetMode="External"/><Relationship Id="rId150" Type="http://schemas.openxmlformats.org/officeDocument/2006/relationships/hyperlink" Target="mailto:glen.shropshire@deepwater.com" TargetMode="External"/><Relationship Id="rId12" Type="http://schemas.openxmlformats.org/officeDocument/2006/relationships/hyperlink" Target="mailto:rstrong@enscoplc.com" TargetMode="External"/><Relationship Id="rId17" Type="http://schemas.openxmlformats.org/officeDocument/2006/relationships/hyperlink" Target="mailto:joe.degregorio@seadrill.com" TargetMode="External"/><Relationship Id="rId33" Type="http://schemas.openxmlformats.org/officeDocument/2006/relationships/hyperlink" Target="mailto:acovin@noblecorp.com" TargetMode="External"/><Relationship Id="rId38" Type="http://schemas.openxmlformats.org/officeDocument/2006/relationships/hyperlink" Target="mailto:mikdur@rowancompanies.com" TargetMode="External"/><Relationship Id="rId59" Type="http://schemas.openxmlformats.org/officeDocument/2006/relationships/hyperlink" Target="mailto:scosmi@rowancompanies.com" TargetMode="External"/><Relationship Id="rId103" Type="http://schemas.openxmlformats.org/officeDocument/2006/relationships/hyperlink" Target="mailto:jsims@helixesg.com" TargetMode="External"/><Relationship Id="rId108" Type="http://schemas.openxmlformats.org/officeDocument/2006/relationships/hyperlink" Target="mailto:Bob.Nouh@seadrill.com" TargetMode="External"/><Relationship Id="rId124" Type="http://schemas.openxmlformats.org/officeDocument/2006/relationships/hyperlink" Target="mailto:dgreenwald@dynamicind.com" TargetMode="External"/><Relationship Id="rId129" Type="http://schemas.openxmlformats.org/officeDocument/2006/relationships/hyperlink" Target="mailto:jgehrmann@worldmarine.com" TargetMode="External"/><Relationship Id="rId54" Type="http://schemas.openxmlformats.org/officeDocument/2006/relationships/hyperlink" Target="mailto:david.hughes@vantagedrilling.com" TargetMode="External"/><Relationship Id="rId70" Type="http://schemas.openxmlformats.org/officeDocument/2006/relationships/hyperlink" Target="mailto:wan.c.kan@exxonmobil.com" TargetMode="External"/><Relationship Id="rId75" Type="http://schemas.openxmlformats.org/officeDocument/2006/relationships/hyperlink" Target="mailto:varadarajannadathur@shell.com" TargetMode="External"/><Relationship Id="rId91" Type="http://schemas.openxmlformats.org/officeDocument/2006/relationships/hyperlink" Target="mailto:cstewart@enscoplc.com" TargetMode="External"/><Relationship Id="rId96" Type="http://schemas.openxmlformats.org/officeDocument/2006/relationships/hyperlink" Target="mailto:Cbrod@huisman-na-com" TargetMode="External"/><Relationship Id="rId140" Type="http://schemas.openxmlformats.org/officeDocument/2006/relationships/hyperlink" Target="mailto:leonard.benfer@deepwater.com" TargetMode="External"/><Relationship Id="rId145" Type="http://schemas.openxmlformats.org/officeDocument/2006/relationships/hyperlink" Target="mailto:jered.norton@deepwater.com" TargetMode="External"/><Relationship Id="rId161" Type="http://schemas.openxmlformats.org/officeDocument/2006/relationships/hyperlink" Target="mailto:ayoung@dodi.com" TargetMode="External"/><Relationship Id="rId166" Type="http://schemas.openxmlformats.org/officeDocument/2006/relationships/hyperlink" Target="mailto:tomste@rowancompanies.com" TargetMode="External"/><Relationship Id="rId1" Type="http://schemas.openxmlformats.org/officeDocument/2006/relationships/hyperlink" Target="mailto:Nicholas.Colyer@seadrill.com" TargetMode="External"/><Relationship Id="rId6" Type="http://schemas.openxmlformats.org/officeDocument/2006/relationships/hyperlink" Target="mailto:rgreen@enscoplc.com" TargetMode="External"/><Relationship Id="rId23" Type="http://schemas.openxmlformats.org/officeDocument/2006/relationships/hyperlink" Target="mailto:jwaldron@noblecorp.com" TargetMode="External"/><Relationship Id="rId28" Type="http://schemas.openxmlformats.org/officeDocument/2006/relationships/hyperlink" Target="mailto:sfarley@noblecorp.com" TargetMode="External"/><Relationship Id="rId49" Type="http://schemas.openxmlformats.org/officeDocument/2006/relationships/hyperlink" Target="mailto:adam.hunt@seadrill.com" TargetMode="External"/><Relationship Id="rId114" Type="http://schemas.openxmlformats.org/officeDocument/2006/relationships/hyperlink" Target="mailto:Pat.sarsfield@mms.gov" TargetMode="External"/><Relationship Id="rId119" Type="http://schemas.openxmlformats.org/officeDocument/2006/relationships/hyperlink" Target="mailto:chris.johnson3@fmcti.com" TargetMode="External"/><Relationship Id="rId44" Type="http://schemas.openxmlformats.org/officeDocument/2006/relationships/hyperlink" Target="mailto:miccla@rowancompanies.com" TargetMode="External"/><Relationship Id="rId60" Type="http://schemas.openxmlformats.org/officeDocument/2006/relationships/hyperlink" Target="mailto:harcar@rowancompanies.com" TargetMode="External"/><Relationship Id="rId65" Type="http://schemas.openxmlformats.org/officeDocument/2006/relationships/hyperlink" Target="mailto:rkuilenburg@noblecorp.com" TargetMode="External"/><Relationship Id="rId81" Type="http://schemas.openxmlformats.org/officeDocument/2006/relationships/hyperlink" Target="mailto:Pablo.Roldos@conocophillips.com" TargetMode="External"/><Relationship Id="rId86" Type="http://schemas.openxmlformats.org/officeDocument/2006/relationships/hyperlink" Target="mailto:wei.chen@subsea7.com" TargetMode="External"/><Relationship Id="rId130" Type="http://schemas.openxmlformats.org/officeDocument/2006/relationships/hyperlink" Target="mailto:lfleming@hess.com" TargetMode="External"/><Relationship Id="rId135" Type="http://schemas.openxmlformats.org/officeDocument/2006/relationships/hyperlink" Target="mailto:robin.short@deepwater.com" TargetMode="External"/><Relationship Id="rId151" Type="http://schemas.openxmlformats.org/officeDocument/2006/relationships/hyperlink" Target="mailto:mike.wright@deepwater.com" TargetMode="External"/><Relationship Id="rId156" Type="http://schemas.openxmlformats.org/officeDocument/2006/relationships/hyperlink" Target="mailto:wullie.strachan@deepwater.com" TargetMode="External"/><Relationship Id="rId13" Type="http://schemas.openxmlformats.org/officeDocument/2006/relationships/hyperlink" Target="mailto:Jhollis@enscoplc" TargetMode="External"/><Relationship Id="rId18" Type="http://schemas.openxmlformats.org/officeDocument/2006/relationships/hyperlink" Target="mailto:olyle@noblecorp.com" TargetMode="External"/><Relationship Id="rId39" Type="http://schemas.openxmlformats.org/officeDocument/2006/relationships/hyperlink" Target="mailto:jeftow@rowancompanies.com" TargetMode="External"/><Relationship Id="rId109" Type="http://schemas.openxmlformats.org/officeDocument/2006/relationships/hyperlink" Target="mailto:ben.cole@seadrill.com" TargetMode="External"/><Relationship Id="rId34" Type="http://schemas.openxmlformats.org/officeDocument/2006/relationships/hyperlink" Target="mailto:jwaldron@noblecorp.com" TargetMode="External"/><Relationship Id="rId50" Type="http://schemas.openxmlformats.org/officeDocument/2006/relationships/hyperlink" Target="mailto:j.d.johnson@pacificdrilling.com" TargetMode="External"/><Relationship Id="rId55" Type="http://schemas.openxmlformats.org/officeDocument/2006/relationships/hyperlink" Target="mailto:jenmar@rowancompanies.com" TargetMode="External"/><Relationship Id="rId76" Type="http://schemas.openxmlformats.org/officeDocument/2006/relationships/hyperlink" Target="mailto:joao.matsuura@shell.com" TargetMode="External"/><Relationship Id="rId97" Type="http://schemas.openxmlformats.org/officeDocument/2006/relationships/hyperlink" Target="mailto:a.barrows@pacificdrilling.com" TargetMode="External"/><Relationship Id="rId104" Type="http://schemas.openxmlformats.org/officeDocument/2006/relationships/hyperlink" Target="mailto:ccook@helixesg.com" TargetMode="External"/><Relationship Id="rId120" Type="http://schemas.openxmlformats.org/officeDocument/2006/relationships/hyperlink" Target="mailto:wirajkarve@axonep.com" TargetMode="External"/><Relationship Id="rId125" Type="http://schemas.openxmlformats.org/officeDocument/2006/relationships/hyperlink" Target="mailto:dabrown@dodi.com" TargetMode="External"/><Relationship Id="rId141" Type="http://schemas.openxmlformats.org/officeDocument/2006/relationships/hyperlink" Target="mailto:jim.collins@deepwater.com" TargetMode="External"/><Relationship Id="rId146" Type="http://schemas.openxmlformats.org/officeDocument/2006/relationships/hyperlink" Target="mailto:david.lefort@deepwater.com" TargetMode="External"/><Relationship Id="rId167" Type="http://schemas.openxmlformats.org/officeDocument/2006/relationships/table" Target="../tables/table3.xml"/><Relationship Id="rId7" Type="http://schemas.openxmlformats.org/officeDocument/2006/relationships/hyperlink" Target="mailto:rward@enscoplc.com" TargetMode="External"/><Relationship Id="rId71" Type="http://schemas.openxmlformats.org/officeDocument/2006/relationships/hyperlink" Target="mailto:REPJ@chevron.com" TargetMode="External"/><Relationship Id="rId92" Type="http://schemas.openxmlformats.org/officeDocument/2006/relationships/hyperlink" Target="mailto:cserna@enscoplc.com" TargetMode="External"/><Relationship Id="rId162" Type="http://schemas.openxmlformats.org/officeDocument/2006/relationships/hyperlink" Target="mailto:gbaca@dodi.com" TargetMode="External"/><Relationship Id="rId2" Type="http://schemas.openxmlformats.org/officeDocument/2006/relationships/hyperlink" Target="mailto:Rex.Pigg@seadrill.com" TargetMode="External"/><Relationship Id="rId29" Type="http://schemas.openxmlformats.org/officeDocument/2006/relationships/hyperlink" Target="mailto:dbeatty@noblecorp.com" TargetMode="External"/><Relationship Id="rId24" Type="http://schemas.openxmlformats.org/officeDocument/2006/relationships/hyperlink" Target="mailto:jrichards@dodi.com" TargetMode="External"/><Relationship Id="rId40" Type="http://schemas.openxmlformats.org/officeDocument/2006/relationships/hyperlink" Target="mailto:scotri@rowancompanies.com" TargetMode="External"/><Relationship Id="rId45" Type="http://schemas.openxmlformats.org/officeDocument/2006/relationships/hyperlink" Target="mailto:petwil@rowancompanies.com" TargetMode="External"/><Relationship Id="rId66" Type="http://schemas.openxmlformats.org/officeDocument/2006/relationships/hyperlink" Target="mailto:ddmoore@marathonoil.com" TargetMode="External"/><Relationship Id="rId87" Type="http://schemas.openxmlformats.org/officeDocument/2006/relationships/hyperlink" Target="mailto:dermax@rowancompanies.com" TargetMode="External"/><Relationship Id="rId110" Type="http://schemas.openxmlformats.org/officeDocument/2006/relationships/hyperlink" Target="mailto:danny.campbell@vantagedrilling.com" TargetMode="External"/><Relationship Id="rId115" Type="http://schemas.openxmlformats.org/officeDocument/2006/relationships/hyperlink" Target="mailto:jhtaylor@mcdermott.com" TargetMode="External"/><Relationship Id="rId131" Type="http://schemas.openxmlformats.org/officeDocument/2006/relationships/hyperlink" Target="mailto:rbenavides@enscoplc.com" TargetMode="External"/><Relationship Id="rId136" Type="http://schemas.openxmlformats.org/officeDocument/2006/relationships/hyperlink" Target="mailto:charles.gentry@deepwater.com" TargetMode="External"/><Relationship Id="rId157" Type="http://schemas.openxmlformats.org/officeDocument/2006/relationships/hyperlink" Target="mailto:david.mitchell@deepwater.com" TargetMode="External"/><Relationship Id="rId61" Type="http://schemas.openxmlformats.org/officeDocument/2006/relationships/hyperlink" Target="mailto:marfit@rowancompanies.com" TargetMode="External"/><Relationship Id="rId82" Type="http://schemas.openxmlformats.org/officeDocument/2006/relationships/hyperlink" Target="mailto:Tyeshia.A.Waters@cop.com" TargetMode="External"/><Relationship Id="rId152" Type="http://schemas.openxmlformats.org/officeDocument/2006/relationships/hyperlink" Target="mailto:nathan.irwin@deepwater.com" TargetMode="External"/><Relationship Id="rId19" Type="http://schemas.openxmlformats.org/officeDocument/2006/relationships/hyperlink" Target="mailto:fbreland@dodi.com" TargetMode="External"/><Relationship Id="rId14" Type="http://schemas.openxmlformats.org/officeDocument/2006/relationships/hyperlink" Target="mailto:randy.atwood@seadrill.com" TargetMode="External"/><Relationship Id="rId30" Type="http://schemas.openxmlformats.org/officeDocument/2006/relationships/hyperlink" Target="mailto:jpower@noblecorp.com" TargetMode="External"/><Relationship Id="rId35" Type="http://schemas.openxmlformats.org/officeDocument/2006/relationships/hyperlink" Target="mailto:mharmon@noblecorp.com" TargetMode="External"/><Relationship Id="rId56" Type="http://schemas.openxmlformats.org/officeDocument/2006/relationships/hyperlink" Target="mailto:m.curtis@pacificdrilling.com" TargetMode="External"/><Relationship Id="rId77" Type="http://schemas.openxmlformats.org/officeDocument/2006/relationships/hyperlink" Target="mailto:petter.hopkins@shell.com" TargetMode="External"/><Relationship Id="rId100" Type="http://schemas.openxmlformats.org/officeDocument/2006/relationships/hyperlink" Target="mailto:ranzures@helixesg.com" TargetMode="External"/><Relationship Id="rId105" Type="http://schemas.openxmlformats.org/officeDocument/2006/relationships/hyperlink" Target="mailto:bbutler@helixesg.com" TargetMode="External"/><Relationship Id="rId126" Type="http://schemas.openxmlformats.org/officeDocument/2006/relationships/hyperlink" Target="mailto:cbordo@technip.com" TargetMode="External"/><Relationship Id="rId147" Type="http://schemas.openxmlformats.org/officeDocument/2006/relationships/hyperlink" Target="mailto:paul.johnson@deepwater.com" TargetMode="External"/><Relationship Id="rId8" Type="http://schemas.openxmlformats.org/officeDocument/2006/relationships/hyperlink" Target="mailto:tchaumont@enscoplc.com" TargetMode="External"/><Relationship Id="rId51" Type="http://schemas.openxmlformats.org/officeDocument/2006/relationships/hyperlink" Target="mailto:richard.a.holmes@exxonmobil.com" TargetMode="External"/><Relationship Id="rId72" Type="http://schemas.openxmlformats.org/officeDocument/2006/relationships/hyperlink" Target="mailto:jmullen@chevron.com" TargetMode="External"/><Relationship Id="rId93" Type="http://schemas.openxmlformats.org/officeDocument/2006/relationships/hyperlink" Target="mailto:bbabin@enscoplc.com" TargetMode="External"/><Relationship Id="rId98" Type="http://schemas.openxmlformats.org/officeDocument/2006/relationships/hyperlink" Target="mailto:j.morales@pacificdrilling.com" TargetMode="External"/><Relationship Id="rId121" Type="http://schemas.openxmlformats.org/officeDocument/2006/relationships/hyperlink" Target="mailto:craigwalther@axonep.com" TargetMode="External"/><Relationship Id="rId142" Type="http://schemas.openxmlformats.org/officeDocument/2006/relationships/hyperlink" Target="mailto:steven.snyder@deepwater.com" TargetMode="External"/><Relationship Id="rId163" Type="http://schemas.openxmlformats.org/officeDocument/2006/relationships/hyperlink" Target="mailto:fdaley@dodi.com" TargetMode="External"/><Relationship Id="rId3" Type="http://schemas.openxmlformats.org/officeDocument/2006/relationships/hyperlink" Target="mailto:rolha@statoil.com" TargetMode="External"/><Relationship Id="rId25" Type="http://schemas.openxmlformats.org/officeDocument/2006/relationships/hyperlink" Target="mailto:RMSGT1@noblecorp.com" TargetMode="External"/><Relationship Id="rId46" Type="http://schemas.openxmlformats.org/officeDocument/2006/relationships/hyperlink" Target="mailto:jacwin@rowancompanies.com" TargetMode="External"/><Relationship Id="rId67" Type="http://schemas.openxmlformats.org/officeDocument/2006/relationships/hyperlink" Target="mailto:bill.womack@anadarko.com" TargetMode="External"/><Relationship Id="rId116" Type="http://schemas.openxmlformats.org/officeDocument/2006/relationships/hyperlink" Target="mailto:erling.storaune@akersolutions.com" TargetMode="External"/><Relationship Id="rId137" Type="http://schemas.openxmlformats.org/officeDocument/2006/relationships/hyperlink" Target="mailto:scott.williams@deepwater.com" TargetMode="External"/><Relationship Id="rId158" Type="http://schemas.openxmlformats.org/officeDocument/2006/relationships/hyperlink" Target="mailto:scott.cote@deepwater.com" TargetMode="External"/><Relationship Id="rId20" Type="http://schemas.openxmlformats.org/officeDocument/2006/relationships/hyperlink" Target="mailto:ewedgeworth@dodi.com" TargetMode="External"/><Relationship Id="rId41" Type="http://schemas.openxmlformats.org/officeDocument/2006/relationships/hyperlink" Target="mailto:jwashmon@helixesg.com" TargetMode="External"/><Relationship Id="rId62" Type="http://schemas.openxmlformats.org/officeDocument/2006/relationships/hyperlink" Target="mailto:jacwin@rowancompanies.com" TargetMode="External"/><Relationship Id="rId83" Type="http://schemas.openxmlformats.org/officeDocument/2006/relationships/hyperlink" Target="mailto:skip.turner@bhpbilliton.com" TargetMode="External"/><Relationship Id="rId88" Type="http://schemas.openxmlformats.org/officeDocument/2006/relationships/hyperlink" Target="mailto:randyhy@rowancompanies.com" TargetMode="External"/><Relationship Id="rId111" Type="http://schemas.openxmlformats.org/officeDocument/2006/relationships/hyperlink" Target="mailto:andy.poosuthasee@vantagedrilling.com" TargetMode="External"/><Relationship Id="rId132" Type="http://schemas.openxmlformats.org/officeDocument/2006/relationships/hyperlink" Target="mailto:Andrew.Pope@sbmoffshore.com" TargetMode="External"/><Relationship Id="rId153" Type="http://schemas.openxmlformats.org/officeDocument/2006/relationships/hyperlink" Target="mailto:harinder.ayra@deepwater.com" TargetMode="External"/><Relationship Id="rId15" Type="http://schemas.openxmlformats.org/officeDocument/2006/relationships/hyperlink" Target="mailto:malcolm.glass@seadrill.com" TargetMode="External"/><Relationship Id="rId36" Type="http://schemas.openxmlformats.org/officeDocument/2006/relationships/hyperlink" Target="mailto:frebro@rowancompanies.com" TargetMode="External"/><Relationship Id="rId57" Type="http://schemas.openxmlformats.org/officeDocument/2006/relationships/hyperlink" Target="mailto:a.nejsum@pacificdrilling.com" TargetMode="External"/><Relationship Id="rId106" Type="http://schemas.openxmlformats.org/officeDocument/2006/relationships/hyperlink" Target="mailto:bronning@helixesg.com" TargetMode="External"/><Relationship Id="rId127" Type="http://schemas.openxmlformats.org/officeDocument/2006/relationships/hyperlink" Target="mailto:richard.white2@bakerhughes.com" TargetMode="External"/><Relationship Id="rId10" Type="http://schemas.openxmlformats.org/officeDocument/2006/relationships/hyperlink" Target="mailto:jfisher@enscoplc.com" TargetMode="External"/><Relationship Id="rId31" Type="http://schemas.openxmlformats.org/officeDocument/2006/relationships/hyperlink" Target="mailto:mjetter@noblecorp.com" TargetMode="External"/><Relationship Id="rId52" Type="http://schemas.openxmlformats.org/officeDocument/2006/relationships/hyperlink" Target="mailto:gmolmes@dynamicind.com" TargetMode="External"/><Relationship Id="rId73" Type="http://schemas.openxmlformats.org/officeDocument/2006/relationships/hyperlink" Target="mailto:Jwaller@chevron.com" TargetMode="External"/><Relationship Id="rId78" Type="http://schemas.openxmlformats.org/officeDocument/2006/relationships/hyperlink" Target="mailto:steve.curtis@shell.com" TargetMode="External"/><Relationship Id="rId94" Type="http://schemas.openxmlformats.org/officeDocument/2006/relationships/hyperlink" Target="mailto:gwright@huisman-na.com" TargetMode="External"/><Relationship Id="rId99" Type="http://schemas.openxmlformats.org/officeDocument/2006/relationships/hyperlink" Target="mailto:m.shah@pacificdrilling.com" TargetMode="External"/><Relationship Id="rId101" Type="http://schemas.openxmlformats.org/officeDocument/2006/relationships/hyperlink" Target="mailto:vioeza@helixesg.com" TargetMode="External"/><Relationship Id="rId122" Type="http://schemas.openxmlformats.org/officeDocument/2006/relationships/hyperlink" Target="mailto:ronald.dodd@saipem.com" TargetMode="External"/><Relationship Id="rId143" Type="http://schemas.openxmlformats.org/officeDocument/2006/relationships/hyperlink" Target="mailto:crojas@dodi.com" TargetMode="External"/><Relationship Id="rId148" Type="http://schemas.openxmlformats.org/officeDocument/2006/relationships/hyperlink" Target="mailto:elton.cherry@deepwater.com" TargetMode="External"/><Relationship Id="rId164" Type="http://schemas.openxmlformats.org/officeDocument/2006/relationships/hyperlink" Target="mailto:jbaugus@dodi.com" TargetMode="External"/><Relationship Id="rId4" Type="http://schemas.openxmlformats.org/officeDocument/2006/relationships/hyperlink" Target="mailto:pviteri@helixesg.com" TargetMode="External"/><Relationship Id="rId9" Type="http://schemas.openxmlformats.org/officeDocument/2006/relationships/hyperlink" Target="mailto:Gjohnson@enscoplc.com" TargetMode="External"/><Relationship Id="rId26" Type="http://schemas.openxmlformats.org/officeDocument/2006/relationships/hyperlink" Target="mailto:bblackman@noblecorp.com" TargetMode="External"/><Relationship Id="rId47" Type="http://schemas.openxmlformats.org/officeDocument/2006/relationships/hyperlink" Target="mailto:ericw@rowancompanies.com" TargetMode="External"/><Relationship Id="rId68" Type="http://schemas.openxmlformats.org/officeDocument/2006/relationships/hyperlink" Target="mailto:fernando.v.stump@exxonmobil.com" TargetMode="External"/><Relationship Id="rId89" Type="http://schemas.openxmlformats.org/officeDocument/2006/relationships/hyperlink" Target="mailto:ahmed.ezz@maerskdrilling.com" TargetMode="External"/><Relationship Id="rId112" Type="http://schemas.openxmlformats.org/officeDocument/2006/relationships/hyperlink" Target="mailto:jeff.thomson@vantagedrilling.com" TargetMode="External"/><Relationship Id="rId133" Type="http://schemas.openxmlformats.org/officeDocument/2006/relationships/hyperlink" Target="mailto:yong.gao@jpkenny.com" TargetMode="External"/><Relationship Id="rId154" Type="http://schemas.openxmlformats.org/officeDocument/2006/relationships/hyperlink" Target="mailto:michael.morgan@deepwater.com" TargetMode="External"/><Relationship Id="rId16" Type="http://schemas.openxmlformats.org/officeDocument/2006/relationships/hyperlink" Target="mailto:Steve.Morrall@seadrill.com" TargetMode="External"/><Relationship Id="rId37" Type="http://schemas.openxmlformats.org/officeDocument/2006/relationships/hyperlink" Target="mailto:albro@rowancompanies.com" TargetMode="External"/><Relationship Id="rId58" Type="http://schemas.openxmlformats.org/officeDocument/2006/relationships/hyperlink" Target="mailto:w.crighton@pacificdrilling.com" TargetMode="External"/><Relationship Id="rId79" Type="http://schemas.openxmlformats.org/officeDocument/2006/relationships/hyperlink" Target="mailto:Robert.Dysart@conocophillips.com" TargetMode="External"/><Relationship Id="rId102" Type="http://schemas.openxmlformats.org/officeDocument/2006/relationships/hyperlink" Target="mailto:aperera@helixesg.com" TargetMode="External"/><Relationship Id="rId123" Type="http://schemas.openxmlformats.org/officeDocument/2006/relationships/hyperlink" Target="mailto:ron.morrison@nabors.com" TargetMode="External"/><Relationship Id="rId144" Type="http://schemas.openxmlformats.org/officeDocument/2006/relationships/hyperlink" Target="mailto:Robert.Niles@deepwater.com" TargetMode="External"/><Relationship Id="rId90" Type="http://schemas.openxmlformats.org/officeDocument/2006/relationships/hyperlink" Target="mailto:jason.hannam@safekick.com" TargetMode="External"/><Relationship Id="rId165" Type="http://schemas.openxmlformats.org/officeDocument/2006/relationships/hyperlink" Target="mailto:dmehta@dodi.com" TargetMode="External"/><Relationship Id="rId27" Type="http://schemas.openxmlformats.org/officeDocument/2006/relationships/hyperlink" Target="mailto:jhawkins@noblecorp.com" TargetMode="External"/><Relationship Id="rId48" Type="http://schemas.openxmlformats.org/officeDocument/2006/relationships/hyperlink" Target="mailto:Gjohnson@enscoplc.com" TargetMode="External"/><Relationship Id="rId69" Type="http://schemas.openxmlformats.org/officeDocument/2006/relationships/hyperlink" Target="mailto:Julian.hallai@exxonmobil.com" TargetMode="External"/><Relationship Id="rId113" Type="http://schemas.openxmlformats.org/officeDocument/2006/relationships/hyperlink" Target="mailto:david.suire@mms.gov" TargetMode="External"/><Relationship Id="rId134" Type="http://schemas.openxmlformats.org/officeDocument/2006/relationships/hyperlink" Target="mailto:tom.atkins@deepwater.com" TargetMode="External"/><Relationship Id="rId80" Type="http://schemas.openxmlformats.org/officeDocument/2006/relationships/hyperlink" Target="mailto:Conway.R.Reimer@conocophillips.com" TargetMode="External"/><Relationship Id="rId155" Type="http://schemas.openxmlformats.org/officeDocument/2006/relationships/hyperlink" Target="mailto:dougie.robertson@deepwater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1.xml"/><Relationship Id="rId4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1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3.x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275"/>
  <sheetViews>
    <sheetView zoomScaleNormal="100" workbookViewId="0">
      <pane xSplit="11" ySplit="2" topLeftCell="Z255" activePane="bottomRight" state="frozen"/>
      <selection pane="bottomRight" activeCell="C283" sqref="C283"/>
      <selection pane="bottomLeft" activeCell="A3" sqref="A3"/>
      <selection pane="topRight" activeCell="L1" sqref="L1"/>
    </sheetView>
  </sheetViews>
  <sheetFormatPr defaultColWidth="8.5703125" defaultRowHeight="14.45"/>
  <cols>
    <col min="1" max="1" width="7.140625" style="66" customWidth="1"/>
    <col min="2" max="2" width="9.42578125" style="66" customWidth="1"/>
    <col min="3" max="3" width="23.42578125" style="66" bestFit="1" customWidth="1"/>
    <col min="4" max="4" width="17.5703125" style="66" bestFit="1" customWidth="1"/>
    <col min="5" max="5" width="11.5703125" style="66" customWidth="1"/>
    <col min="6" max="6" width="13.85546875" style="66" customWidth="1"/>
    <col min="7" max="7" width="22.42578125" style="66" customWidth="1"/>
    <col min="8" max="8" width="7.85546875" style="66" customWidth="1"/>
    <col min="9" max="9" width="23" style="104" customWidth="1"/>
    <col min="10" max="10" width="15.5703125" style="66" bestFit="1" customWidth="1"/>
    <col min="11" max="11" width="16.85546875" style="66" customWidth="1"/>
    <col min="12" max="12" width="20.42578125" style="66" hidden="1" customWidth="1"/>
    <col min="13" max="13" width="15.140625" style="89" hidden="1" customWidth="1"/>
    <col min="14" max="14" width="13.42578125" style="66" hidden="1" customWidth="1"/>
    <col min="15" max="15" width="15.140625" style="66" hidden="1" customWidth="1"/>
    <col min="16" max="16" width="25.5703125" style="66" hidden="1" customWidth="1"/>
    <col min="17" max="17" width="25.5703125" style="105" hidden="1" customWidth="1"/>
    <col min="18" max="18" width="15.42578125" style="66" hidden="1" customWidth="1"/>
    <col min="19" max="19" width="8.85546875" style="66" hidden="1" customWidth="1"/>
    <col min="20" max="20" width="7" style="66" hidden="1" customWidth="1"/>
    <col min="21" max="21" width="11.42578125" style="66" hidden="1" customWidth="1"/>
    <col min="22" max="22" width="25" style="66" hidden="1" customWidth="1"/>
    <col min="23" max="23" width="20.140625" style="66" hidden="1" customWidth="1"/>
    <col min="24" max="24" width="19.42578125" style="66" hidden="1" customWidth="1"/>
    <col min="25" max="25" width="14.140625" style="66" hidden="1" customWidth="1"/>
    <col min="26" max="26" width="7.85546875" style="186" customWidth="1"/>
    <col min="27" max="27" width="13.5703125" style="66" customWidth="1"/>
    <col min="28" max="28" width="14.85546875" style="66" customWidth="1"/>
    <col min="29" max="29" width="11.5703125" style="66" customWidth="1"/>
    <col min="30" max="30" width="16.140625" style="66" customWidth="1"/>
    <col min="31" max="31" width="15.42578125" style="66" customWidth="1"/>
    <col min="32" max="32" width="12" style="66" customWidth="1"/>
    <col min="33" max="33" width="15.5703125" style="66" customWidth="1"/>
    <col min="34" max="40" width="12" style="66" customWidth="1"/>
    <col min="41" max="41" width="18.85546875" style="66" customWidth="1" collapsed="1"/>
    <col min="42" max="43" width="13.5703125" style="66" customWidth="1"/>
    <col min="44" max="44" width="9.85546875" style="66" customWidth="1"/>
    <col min="45" max="45" width="8.5703125" style="66" customWidth="1"/>
    <col min="46" max="46" width="9.42578125" style="66" customWidth="1"/>
    <col min="47" max="47" width="11.85546875" style="66" customWidth="1"/>
    <col min="48" max="48" width="12.140625" style="66" customWidth="1"/>
    <col min="49" max="16384" width="8.5703125" style="66"/>
  </cols>
  <sheetData>
    <row r="1" spans="1:49" s="194" customFormat="1" ht="23.45">
      <c r="A1" s="1052" t="s">
        <v>0</v>
      </c>
      <c r="B1" s="1052"/>
      <c r="C1" s="1052"/>
      <c r="D1" s="1052"/>
      <c r="E1" s="1052"/>
      <c r="F1" s="1052"/>
      <c r="G1" s="1052"/>
      <c r="H1" s="1052"/>
      <c r="I1" s="1052"/>
      <c r="J1" s="1052"/>
      <c r="K1" s="1052"/>
      <c r="L1" s="1052" t="s">
        <v>1</v>
      </c>
      <c r="M1" s="1052"/>
      <c r="N1" s="1052"/>
      <c r="O1" s="1052"/>
      <c r="P1" s="1052"/>
      <c r="Q1" s="1052"/>
      <c r="R1" s="1052"/>
      <c r="S1" s="1052"/>
      <c r="T1" s="1052"/>
      <c r="U1" s="1052"/>
      <c r="V1" s="1052"/>
      <c r="W1" s="1052"/>
      <c r="X1" s="1052"/>
      <c r="Y1" s="1052"/>
      <c r="Z1" s="1052" t="s">
        <v>2</v>
      </c>
      <c r="AA1" s="1052"/>
      <c r="AB1" s="1052"/>
      <c r="AC1" s="1052"/>
      <c r="AD1" s="1052"/>
      <c r="AE1" s="1052"/>
      <c r="AF1" s="1052"/>
      <c r="AG1" s="1052"/>
      <c r="AH1" s="1052"/>
      <c r="AI1" s="1052"/>
      <c r="AJ1" s="1052"/>
      <c r="AK1" s="1052"/>
      <c r="AL1" s="1052"/>
      <c r="AM1" s="1052"/>
      <c r="AN1" s="1052"/>
      <c r="AO1" s="1052" t="s">
        <v>3</v>
      </c>
      <c r="AP1" s="1052"/>
      <c r="AQ1" s="1052"/>
      <c r="AR1" s="1052"/>
      <c r="AS1" s="1052" t="s">
        <v>4</v>
      </c>
      <c r="AT1" s="1052"/>
      <c r="AU1" s="1052" t="s">
        <v>5</v>
      </c>
      <c r="AV1" s="1052"/>
      <c r="AW1" s="194" t="s">
        <v>6</v>
      </c>
    </row>
    <row r="2" spans="1:49" ht="20.45">
      <c r="A2" s="67" t="s">
        <v>7</v>
      </c>
      <c r="B2" s="68" t="s">
        <v>8</v>
      </c>
      <c r="C2" s="177" t="s">
        <v>9</v>
      </c>
      <c r="D2" s="69" t="s">
        <v>10</v>
      </c>
      <c r="E2" s="70" t="s">
        <v>11</v>
      </c>
      <c r="F2" s="70" t="s">
        <v>12</v>
      </c>
      <c r="G2" s="70" t="s">
        <v>13</v>
      </c>
      <c r="H2" s="70" t="s">
        <v>14</v>
      </c>
      <c r="I2" s="70" t="s">
        <v>15</v>
      </c>
      <c r="J2" s="70" t="s">
        <v>16</v>
      </c>
      <c r="K2" s="70" t="s">
        <v>17</v>
      </c>
      <c r="L2" s="191" t="s">
        <v>18</v>
      </c>
      <c r="M2" s="191" t="s">
        <v>19</v>
      </c>
      <c r="N2" s="191" t="s">
        <v>20</v>
      </c>
      <c r="O2" s="191" t="s">
        <v>21</v>
      </c>
      <c r="P2" s="191" t="s">
        <v>22</v>
      </c>
      <c r="Q2" s="191" t="s">
        <v>23</v>
      </c>
      <c r="R2" s="191" t="s">
        <v>24</v>
      </c>
      <c r="S2" s="191" t="s">
        <v>25</v>
      </c>
      <c r="T2" s="191" t="s">
        <v>26</v>
      </c>
      <c r="U2" s="191" t="s">
        <v>27</v>
      </c>
      <c r="V2" s="191" t="s">
        <v>28</v>
      </c>
      <c r="W2" s="191" t="s">
        <v>29</v>
      </c>
      <c r="X2" s="191" t="s">
        <v>30</v>
      </c>
      <c r="Y2" s="191" t="s">
        <v>31</v>
      </c>
      <c r="Z2" s="216" t="s">
        <v>32</v>
      </c>
      <c r="AA2" s="184" t="s">
        <v>33</v>
      </c>
      <c r="AB2" s="184" t="s">
        <v>34</v>
      </c>
      <c r="AC2" s="184" t="s">
        <v>35</v>
      </c>
      <c r="AD2" s="184" t="s">
        <v>36</v>
      </c>
      <c r="AE2" s="184" t="s">
        <v>37</v>
      </c>
      <c r="AF2" s="184" t="s">
        <v>38</v>
      </c>
      <c r="AG2" s="184" t="s">
        <v>39</v>
      </c>
      <c r="AH2" s="184" t="s">
        <v>40</v>
      </c>
      <c r="AI2" s="184" t="s">
        <v>41</v>
      </c>
      <c r="AJ2" s="184" t="s">
        <v>42</v>
      </c>
      <c r="AK2" s="184" t="s">
        <v>43</v>
      </c>
      <c r="AL2" s="184" t="s">
        <v>44</v>
      </c>
      <c r="AM2" s="184" t="s">
        <v>45</v>
      </c>
      <c r="AN2" s="184" t="s">
        <v>46</v>
      </c>
      <c r="AO2" s="72" t="s">
        <v>47</v>
      </c>
      <c r="AP2" s="73" t="s">
        <v>48</v>
      </c>
      <c r="AQ2" s="73" t="s">
        <v>49</v>
      </c>
      <c r="AR2" s="74" t="s">
        <v>50</v>
      </c>
      <c r="AS2" s="71" t="s">
        <v>51</v>
      </c>
      <c r="AT2" s="71" t="s">
        <v>52</v>
      </c>
      <c r="AU2" s="71" t="s">
        <v>53</v>
      </c>
      <c r="AV2" s="71" t="s">
        <v>54</v>
      </c>
      <c r="AW2" s="191" t="s">
        <v>6</v>
      </c>
    </row>
    <row r="3" spans="1:49" hidden="1">
      <c r="A3" s="173">
        <v>201944</v>
      </c>
      <c r="B3" s="75" t="s">
        <v>55</v>
      </c>
      <c r="C3" s="77" t="str">
        <f>CONCATENATE(Table4[[#This Row],[Project]],"-",Table4[[#This Row],[WO]])</f>
        <v>201944-03</v>
      </c>
      <c r="D3" s="76" t="s">
        <v>56</v>
      </c>
      <c r="E3" s="77" t="s">
        <v>57</v>
      </c>
      <c r="F3" s="77" t="s">
        <v>58</v>
      </c>
      <c r="G3" s="77" t="s">
        <v>59</v>
      </c>
      <c r="H3" s="77" t="s">
        <v>60</v>
      </c>
      <c r="I3" s="102" t="s">
        <v>61</v>
      </c>
      <c r="J3" s="77" t="s">
        <v>62</v>
      </c>
      <c r="K3" s="77" t="s">
        <v>63</v>
      </c>
      <c r="L3" s="77" t="s">
        <v>64</v>
      </c>
      <c r="M3" s="77" t="s">
        <v>65</v>
      </c>
      <c r="N3" s="77" t="s">
        <v>66</v>
      </c>
      <c r="O3" s="77" t="s">
        <v>67</v>
      </c>
      <c r="P3" s="76"/>
      <c r="Q3" s="183"/>
      <c r="R3" s="152" t="s">
        <v>68</v>
      </c>
      <c r="S3" s="77">
        <v>2019</v>
      </c>
      <c r="T3" s="179">
        <v>1</v>
      </c>
      <c r="U3" s="180">
        <v>40000</v>
      </c>
      <c r="V3" s="180">
        <f>Table4[[#This Row],[Expected Revenue]]*Table4[[#This Row],[Probability]]</f>
        <v>40000</v>
      </c>
      <c r="W3" s="180">
        <f t="shared" ref="W3:W66" si="0">(800*3+((550+310+290)*12)+1600+250*12)</f>
        <v>20800</v>
      </c>
      <c r="X3" s="179">
        <v>0.3</v>
      </c>
      <c r="Y3" s="180">
        <f>Table4[[#This Row],[Rev. Based on PROB]]*Table4[[#This Row],[Expected CMR]]</f>
        <v>12000</v>
      </c>
      <c r="Z3" s="203" t="s">
        <v>60</v>
      </c>
      <c r="AA3" s="77"/>
      <c r="AB3" s="77"/>
      <c r="AC3" s="180"/>
      <c r="AD3" s="220"/>
      <c r="AE3" s="220"/>
      <c r="AF3" s="220">
        <v>43830</v>
      </c>
      <c r="AG3" s="185">
        <v>40000</v>
      </c>
      <c r="AH3" s="185">
        <v>0</v>
      </c>
      <c r="AI3" s="185"/>
      <c r="AJ3" s="185"/>
      <c r="AK3" s="979"/>
      <c r="AL3" s="180"/>
      <c r="AM3" s="77"/>
      <c r="AN3" s="77"/>
      <c r="AO3" s="110" t="str">
        <f>IF(Table4[[#This Row],[Finish (demob)]]&lt;&gt;"",Table4[[#This Row],[Finish (demob)]]+10,"")</f>
        <v/>
      </c>
      <c r="AP3" s="110" t="str">
        <f>IF(Table4[[#This Row],[Finish (demob)]]&lt;&gt;"",Table4[[#This Row],[Finish (demob)]]+10,"")</f>
        <v/>
      </c>
      <c r="AQ3" s="220"/>
      <c r="AR3" s="77" t="str">
        <f>IF(Table4[[#This Row],[Date Report is delivered:]]&lt;&gt;"", "Delivered", "")</f>
        <v/>
      </c>
      <c r="AS3" s="179"/>
      <c r="AT3" s="77"/>
      <c r="AU3" s="192"/>
      <c r="AV3" s="193"/>
      <c r="AW3" s="193"/>
    </row>
    <row r="4" spans="1:49" hidden="1">
      <c r="A4" s="173">
        <v>201944</v>
      </c>
      <c r="B4" s="75" t="s">
        <v>69</v>
      </c>
      <c r="C4" s="77" t="str">
        <f>CONCATENATE(Table4[[#This Row],[Project]],"-",Table4[[#This Row],[WO]])</f>
        <v>201944-12</v>
      </c>
      <c r="D4" s="76" t="s">
        <v>56</v>
      </c>
      <c r="E4" s="77" t="s">
        <v>57</v>
      </c>
      <c r="F4" s="77" t="s">
        <v>58</v>
      </c>
      <c r="G4" s="77" t="s">
        <v>59</v>
      </c>
      <c r="H4" s="77" t="s">
        <v>60</v>
      </c>
      <c r="I4" s="102" t="s">
        <v>70</v>
      </c>
      <c r="J4" s="77" t="s">
        <v>71</v>
      </c>
      <c r="K4" s="77" t="s">
        <v>63</v>
      </c>
      <c r="L4" s="77" t="s">
        <v>64</v>
      </c>
      <c r="M4" s="77" t="s">
        <v>65</v>
      </c>
      <c r="N4" s="77" t="s">
        <v>66</v>
      </c>
      <c r="O4" s="77" t="s">
        <v>67</v>
      </c>
      <c r="P4" s="76"/>
      <c r="Q4" s="183"/>
      <c r="R4" s="110" t="s">
        <v>68</v>
      </c>
      <c r="S4" s="77">
        <v>2019</v>
      </c>
      <c r="T4" s="179">
        <v>1</v>
      </c>
      <c r="U4" s="180">
        <v>135000</v>
      </c>
      <c r="V4" s="180">
        <f>Table4[[#This Row],[Expected Revenue]]*Table4[[#This Row],[Probability]]</f>
        <v>135000</v>
      </c>
      <c r="W4" s="180">
        <f t="shared" si="0"/>
        <v>20800</v>
      </c>
      <c r="X4" s="179">
        <v>0.3</v>
      </c>
      <c r="Y4" s="180">
        <f>Table4[[#This Row],[Rev. Based on PROB]]*Table4[[#This Row],[Expected CMR]]</f>
        <v>40500</v>
      </c>
      <c r="Z4" s="203" t="s">
        <v>60</v>
      </c>
      <c r="AA4" s="77"/>
      <c r="AB4" s="181"/>
      <c r="AC4" s="180"/>
      <c r="AD4" s="220"/>
      <c r="AE4" s="220"/>
      <c r="AF4" s="220">
        <v>43830</v>
      </c>
      <c r="AG4" s="185">
        <v>135000</v>
      </c>
      <c r="AH4" s="185">
        <v>0</v>
      </c>
      <c r="AI4" s="189"/>
      <c r="AJ4" s="185"/>
      <c r="AK4" s="182"/>
      <c r="AL4" s="180"/>
      <c r="AM4" s="77"/>
      <c r="AN4" s="77"/>
      <c r="AO4" s="110" t="str">
        <f>IF(Table4[[#This Row],[Finish (demob)]]&lt;&gt;"",Table4[[#This Row],[Finish (demob)]]+10,"")</f>
        <v/>
      </c>
      <c r="AP4" s="110" t="str">
        <f>IF(Table4[[#This Row],[Finish (demob)]]&lt;&gt;"",Table4[[#This Row],[Finish (demob)]]+10,"")</f>
        <v/>
      </c>
      <c r="AQ4" s="220"/>
      <c r="AR4" s="77" t="str">
        <f>IF(Table4[[#This Row],[Date Report is delivered:]]&lt;&gt;"", "Delivered", "")</f>
        <v/>
      </c>
      <c r="AS4" s="179"/>
      <c r="AT4" s="77"/>
      <c r="AU4" s="179"/>
      <c r="AV4" s="77"/>
      <c r="AW4" s="77"/>
    </row>
    <row r="5" spans="1:49" hidden="1">
      <c r="A5" s="173">
        <v>202003</v>
      </c>
      <c r="B5" s="75" t="s">
        <v>72</v>
      </c>
      <c r="C5" s="77" t="str">
        <f>CONCATENATE(Table4[[#This Row],[Project]],"-",Table4[[#This Row],[WO]])</f>
        <v>202003-07</v>
      </c>
      <c r="D5" s="76" t="s">
        <v>73</v>
      </c>
      <c r="E5" s="77" t="s">
        <v>57</v>
      </c>
      <c r="F5" s="77" t="s">
        <v>58</v>
      </c>
      <c r="G5" s="77" t="s">
        <v>59</v>
      </c>
      <c r="H5" s="77" t="s">
        <v>74</v>
      </c>
      <c r="I5" s="102" t="s">
        <v>75</v>
      </c>
      <c r="J5" s="77" t="s">
        <v>62</v>
      </c>
      <c r="K5" s="77" t="s">
        <v>63</v>
      </c>
      <c r="L5" s="77" t="s">
        <v>76</v>
      </c>
      <c r="M5" s="77" t="s">
        <v>65</v>
      </c>
      <c r="N5" s="77" t="s">
        <v>77</v>
      </c>
      <c r="O5" s="77" t="s">
        <v>67</v>
      </c>
      <c r="P5" s="76" t="s">
        <v>78</v>
      </c>
      <c r="Q5" s="183" t="s">
        <v>79</v>
      </c>
      <c r="R5" s="152" t="s">
        <v>80</v>
      </c>
      <c r="S5" s="77">
        <v>2020</v>
      </c>
      <c r="T5" s="179">
        <v>1</v>
      </c>
      <c r="U5" s="180">
        <v>10620</v>
      </c>
      <c r="V5" s="180">
        <f>Table4[[#This Row],[Expected Revenue]]*Table4[[#This Row],[Probability]]</f>
        <v>10620</v>
      </c>
      <c r="W5" s="180">
        <f t="shared" si="0"/>
        <v>20800</v>
      </c>
      <c r="X5" s="179">
        <v>0.3</v>
      </c>
      <c r="Y5" s="180">
        <f>Table4[[#This Row],[Rev. Based on PROB]]*Table4[[#This Row],[Expected CMR]]</f>
        <v>3186</v>
      </c>
      <c r="Z5" s="203" t="s">
        <v>74</v>
      </c>
      <c r="AA5" s="77"/>
      <c r="AB5" s="77"/>
      <c r="AC5" s="180"/>
      <c r="AD5" s="220"/>
      <c r="AE5" s="220"/>
      <c r="AF5" s="220"/>
      <c r="AG5" s="185"/>
      <c r="AH5" s="185"/>
      <c r="AI5" s="185"/>
      <c r="AJ5" s="185"/>
      <c r="AK5" s="979"/>
      <c r="AL5" s="180"/>
      <c r="AM5" s="77"/>
      <c r="AN5" s="77"/>
      <c r="AO5" s="110" t="str">
        <f>IF(Table4[[#This Row],[Finish (demob)]]&lt;&gt;"",Table4[[#This Row],[Finish (demob)]]+10,"")</f>
        <v/>
      </c>
      <c r="AP5" s="110" t="str">
        <f>IF(Table4[[#This Row],[Finish (demob)]]&lt;&gt;"",Table4[[#This Row],[Finish (demob)]]+10,"")</f>
        <v/>
      </c>
      <c r="AQ5" s="220"/>
      <c r="AR5" s="77" t="str">
        <f>IF(Table4[[#This Row],[Date Report is delivered:]]&lt;&gt;"", "Delivered", "")</f>
        <v/>
      </c>
      <c r="AS5" s="179"/>
      <c r="AT5" s="77"/>
      <c r="AU5" s="179"/>
      <c r="AV5" s="77"/>
      <c r="AW5" s="77"/>
    </row>
    <row r="6" spans="1:49" hidden="1">
      <c r="A6" s="173">
        <v>202003</v>
      </c>
      <c r="B6" s="75" t="s">
        <v>81</v>
      </c>
      <c r="C6" s="77" t="str">
        <f>CONCATENATE(Table4[[#This Row],[Project]],"-",Table4[[#This Row],[WO]])</f>
        <v>202003-06</v>
      </c>
      <c r="D6" s="76" t="s">
        <v>73</v>
      </c>
      <c r="E6" s="77" t="s">
        <v>57</v>
      </c>
      <c r="F6" s="77" t="s">
        <v>58</v>
      </c>
      <c r="G6" s="77" t="s">
        <v>59</v>
      </c>
      <c r="H6" s="77" t="s">
        <v>74</v>
      </c>
      <c r="I6" s="102" t="s">
        <v>82</v>
      </c>
      <c r="J6" s="77" t="s">
        <v>83</v>
      </c>
      <c r="K6" s="77" t="s">
        <v>63</v>
      </c>
      <c r="L6" s="77" t="s">
        <v>76</v>
      </c>
      <c r="M6" s="77" t="s">
        <v>65</v>
      </c>
      <c r="N6" s="77" t="s">
        <v>77</v>
      </c>
      <c r="O6" s="77" t="s">
        <v>67</v>
      </c>
      <c r="P6" s="76" t="s">
        <v>78</v>
      </c>
      <c r="Q6" s="183" t="s">
        <v>79</v>
      </c>
      <c r="R6" s="110" t="s">
        <v>84</v>
      </c>
      <c r="S6" s="77">
        <v>2020</v>
      </c>
      <c r="T6" s="179">
        <v>1</v>
      </c>
      <c r="U6" s="180">
        <v>17300</v>
      </c>
      <c r="V6" s="180">
        <f>Table4[[#This Row],[Expected Revenue]]*Table4[[#This Row],[Probability]]</f>
        <v>17300</v>
      </c>
      <c r="W6" s="180">
        <f t="shared" si="0"/>
        <v>20800</v>
      </c>
      <c r="X6" s="179">
        <v>0.3</v>
      </c>
      <c r="Y6" s="180">
        <f>Table4[[#This Row],[Rev. Based on PROB]]*Table4[[#This Row],[Expected CMR]]</f>
        <v>5190</v>
      </c>
      <c r="Z6" s="203" t="s">
        <v>74</v>
      </c>
      <c r="AA6" s="77"/>
      <c r="AB6" s="77"/>
      <c r="AC6" s="180"/>
      <c r="AD6" s="220"/>
      <c r="AE6" s="220"/>
      <c r="AF6" s="220"/>
      <c r="AG6" s="185"/>
      <c r="AH6" s="185"/>
      <c r="AI6" s="185"/>
      <c r="AJ6" s="185"/>
      <c r="AK6" s="979"/>
      <c r="AL6" s="180"/>
      <c r="AM6" s="77"/>
      <c r="AN6" s="77"/>
      <c r="AO6" s="110" t="str">
        <f>IF(Table4[[#This Row],[Finish (demob)]]&lt;&gt;"",Table4[[#This Row],[Finish (demob)]]+10,"")</f>
        <v/>
      </c>
      <c r="AP6" s="110" t="str">
        <f>IF(Table4[[#This Row],[Finish (demob)]]&lt;&gt;"",Table4[[#This Row],[Finish (demob)]]+10,"")</f>
        <v/>
      </c>
      <c r="AQ6" s="220"/>
      <c r="AR6" s="77" t="str">
        <f>IF(Table4[[#This Row],[Date Report is delivered:]]&lt;&gt;"", "Delivered", "")</f>
        <v/>
      </c>
      <c r="AS6" s="179"/>
      <c r="AT6" s="77"/>
      <c r="AU6" s="179"/>
      <c r="AV6" s="77"/>
      <c r="AW6" s="77"/>
    </row>
    <row r="7" spans="1:49" hidden="1">
      <c r="A7" s="173">
        <v>201945</v>
      </c>
      <c r="B7" s="75" t="s">
        <v>69</v>
      </c>
      <c r="C7" s="77" t="str">
        <f>CONCATENATE(Table4[[#This Row],[Project]],"-",Table4[[#This Row],[WO]])</f>
        <v>201945-12</v>
      </c>
      <c r="D7" s="76" t="s">
        <v>85</v>
      </c>
      <c r="E7" s="77" t="s">
        <v>57</v>
      </c>
      <c r="F7" s="77" t="s">
        <v>58</v>
      </c>
      <c r="G7" s="77" t="s">
        <v>59</v>
      </c>
      <c r="H7" s="77" t="s">
        <v>60</v>
      </c>
      <c r="I7" s="102" t="s">
        <v>70</v>
      </c>
      <c r="J7" s="77" t="s">
        <v>71</v>
      </c>
      <c r="K7" s="77" t="s">
        <v>63</v>
      </c>
      <c r="L7" s="77" t="s">
        <v>64</v>
      </c>
      <c r="M7" s="77" t="s">
        <v>65</v>
      </c>
      <c r="N7" s="77" t="s">
        <v>66</v>
      </c>
      <c r="O7" s="77" t="s">
        <v>67</v>
      </c>
      <c r="P7" s="76"/>
      <c r="Q7" s="183"/>
      <c r="R7" s="110" t="s">
        <v>68</v>
      </c>
      <c r="S7" s="77">
        <v>2019</v>
      </c>
      <c r="T7" s="179">
        <v>1</v>
      </c>
      <c r="U7" s="180">
        <v>133000</v>
      </c>
      <c r="V7" s="180">
        <f>Table4[[#This Row],[Expected Revenue]]*Table4[[#This Row],[Probability]]</f>
        <v>133000</v>
      </c>
      <c r="W7" s="180">
        <f t="shared" si="0"/>
        <v>20800</v>
      </c>
      <c r="X7" s="179">
        <v>0.3</v>
      </c>
      <c r="Y7" s="180">
        <f>Table4[[#This Row],[Rev. Based on PROB]]*Table4[[#This Row],[Expected CMR]]</f>
        <v>39900</v>
      </c>
      <c r="Z7" s="203" t="s">
        <v>60</v>
      </c>
      <c r="AA7" s="77"/>
      <c r="AB7" s="181"/>
      <c r="AC7" s="180"/>
      <c r="AD7" s="220"/>
      <c r="AE7" s="220"/>
      <c r="AF7" s="220">
        <v>43830</v>
      </c>
      <c r="AG7" s="185">
        <v>133000</v>
      </c>
      <c r="AH7" s="185">
        <v>0</v>
      </c>
      <c r="AI7" s="189"/>
      <c r="AJ7" s="185"/>
      <c r="AK7" s="182"/>
      <c r="AL7" s="180"/>
      <c r="AM7" s="77"/>
      <c r="AN7" s="77"/>
      <c r="AO7" s="110" t="str">
        <f>IF(Table4[[#This Row],[Finish (demob)]]&lt;&gt;"",Table4[[#This Row],[Finish (demob)]]+10,"")</f>
        <v/>
      </c>
      <c r="AP7" s="110" t="str">
        <f>IF(Table4[[#This Row],[Finish (demob)]]&lt;&gt;"",Table4[[#This Row],[Finish (demob)]]+10,"")</f>
        <v/>
      </c>
      <c r="AQ7" s="220"/>
      <c r="AR7" s="77" t="str">
        <f>IF(Table4[[#This Row],[Date Report is delivered:]]&lt;&gt;"", "Delivered", "")</f>
        <v/>
      </c>
      <c r="AS7" s="179"/>
      <c r="AT7" s="77"/>
      <c r="AU7" s="179"/>
      <c r="AV7" s="77"/>
      <c r="AW7" s="77"/>
    </row>
    <row r="8" spans="1:49" hidden="1">
      <c r="A8" s="173">
        <v>202003</v>
      </c>
      <c r="B8" s="75" t="s">
        <v>86</v>
      </c>
      <c r="C8" s="77" t="str">
        <f>CONCATENATE(Table4[[#This Row],[Project]],"-",Table4[[#This Row],[WO]])</f>
        <v>202003-05</v>
      </c>
      <c r="D8" s="76" t="s">
        <v>73</v>
      </c>
      <c r="E8" s="77" t="s">
        <v>57</v>
      </c>
      <c r="F8" s="77" t="s">
        <v>58</v>
      </c>
      <c r="G8" s="77" t="s">
        <v>59</v>
      </c>
      <c r="H8" s="77" t="s">
        <v>74</v>
      </c>
      <c r="I8" s="102" t="s">
        <v>87</v>
      </c>
      <c r="J8" s="77" t="s">
        <v>88</v>
      </c>
      <c r="K8" s="77" t="s">
        <v>63</v>
      </c>
      <c r="L8" s="77" t="s">
        <v>76</v>
      </c>
      <c r="M8" s="77" t="s">
        <v>65</v>
      </c>
      <c r="N8" s="77" t="s">
        <v>77</v>
      </c>
      <c r="O8" s="77" t="s">
        <v>67</v>
      </c>
      <c r="P8" s="76" t="s">
        <v>78</v>
      </c>
      <c r="Q8" s="183" t="s">
        <v>79</v>
      </c>
      <c r="R8" s="110" t="s">
        <v>89</v>
      </c>
      <c r="S8" s="77">
        <v>2020</v>
      </c>
      <c r="T8" s="179">
        <v>1</v>
      </c>
      <c r="U8" s="180">
        <v>27538</v>
      </c>
      <c r="V8" s="180">
        <f>Table4[[#This Row],[Expected Revenue]]*Table4[[#This Row],[Probability]]</f>
        <v>27538</v>
      </c>
      <c r="W8" s="180">
        <f t="shared" si="0"/>
        <v>20800</v>
      </c>
      <c r="X8" s="179">
        <v>0.3</v>
      </c>
      <c r="Y8" s="180">
        <f>Table4[[#This Row],[Rev. Based on PROB]]*Table4[[#This Row],[Expected CMR]]</f>
        <v>8261.4</v>
      </c>
      <c r="Z8" s="203" t="s">
        <v>74</v>
      </c>
      <c r="AA8" s="77"/>
      <c r="AB8" s="181"/>
      <c r="AC8" s="180"/>
      <c r="AD8" s="220"/>
      <c r="AE8" s="220"/>
      <c r="AF8" s="220"/>
      <c r="AG8" s="185"/>
      <c r="AH8" s="185"/>
      <c r="AI8" s="185"/>
      <c r="AJ8" s="185"/>
      <c r="AK8" s="979"/>
      <c r="AL8" s="180"/>
      <c r="AM8" s="77"/>
      <c r="AN8" s="77"/>
      <c r="AO8" s="110" t="str">
        <f>IF(Table4[[#This Row],[Finish (demob)]]&lt;&gt;"",Table4[[#This Row],[Finish (demob)]]+10,"")</f>
        <v/>
      </c>
      <c r="AP8" s="110" t="str">
        <f>IF(Table4[[#This Row],[Finish (demob)]]&lt;&gt;"",Table4[[#This Row],[Finish (demob)]]+10,"")</f>
        <v/>
      </c>
      <c r="AQ8" s="220"/>
      <c r="AR8" s="77" t="str">
        <f>IF(Table4[[#This Row],[Date Report is delivered:]]&lt;&gt;"", "Delivered", "")</f>
        <v/>
      </c>
      <c r="AS8" s="179"/>
      <c r="AT8" s="77"/>
      <c r="AU8" s="179"/>
      <c r="AV8" s="77"/>
      <c r="AW8" s="77"/>
    </row>
    <row r="9" spans="1:49" hidden="1">
      <c r="A9" s="173">
        <v>202003</v>
      </c>
      <c r="B9" s="75" t="s">
        <v>90</v>
      </c>
      <c r="C9" s="77" t="str">
        <f>CONCATENATE(Table4[[#This Row],[Project]],"-",Table4[[#This Row],[WO]])</f>
        <v>202003-04</v>
      </c>
      <c r="D9" s="76" t="s">
        <v>73</v>
      </c>
      <c r="E9" s="77" t="s">
        <v>57</v>
      </c>
      <c r="F9" s="77" t="s">
        <v>58</v>
      </c>
      <c r="G9" s="77" t="s">
        <v>59</v>
      </c>
      <c r="H9" s="77" t="s">
        <v>74</v>
      </c>
      <c r="I9" s="102" t="s">
        <v>91</v>
      </c>
      <c r="J9" s="77" t="s">
        <v>92</v>
      </c>
      <c r="K9" s="77" t="s">
        <v>63</v>
      </c>
      <c r="L9" s="77" t="s">
        <v>76</v>
      </c>
      <c r="M9" s="77" t="s">
        <v>65</v>
      </c>
      <c r="N9" s="77" t="s">
        <v>77</v>
      </c>
      <c r="O9" s="77" t="s">
        <v>67</v>
      </c>
      <c r="P9" s="76" t="s">
        <v>78</v>
      </c>
      <c r="Q9" s="183" t="s">
        <v>79</v>
      </c>
      <c r="R9" s="110" t="s">
        <v>93</v>
      </c>
      <c r="S9" s="77">
        <v>2020</v>
      </c>
      <c r="T9" s="179">
        <v>1</v>
      </c>
      <c r="U9" s="180">
        <v>18622.25</v>
      </c>
      <c r="V9" s="180">
        <f>Table4[[#This Row],[Expected Revenue]]*Table4[[#This Row],[Probability]]</f>
        <v>18622.25</v>
      </c>
      <c r="W9" s="180">
        <f t="shared" si="0"/>
        <v>20800</v>
      </c>
      <c r="X9" s="179">
        <v>0.3</v>
      </c>
      <c r="Y9" s="180">
        <f>Table4[[#This Row],[Rev. Based on PROB]]*Table4[[#This Row],[Expected CMR]]</f>
        <v>5586.6750000000002</v>
      </c>
      <c r="Z9" s="203" t="s">
        <v>74</v>
      </c>
      <c r="AA9" s="77"/>
      <c r="AB9" s="77"/>
      <c r="AC9" s="180"/>
      <c r="AD9" s="220">
        <v>43830</v>
      </c>
      <c r="AE9" s="220">
        <v>43852</v>
      </c>
      <c r="AF9" s="220">
        <v>43861</v>
      </c>
      <c r="AG9" s="185">
        <v>13500</v>
      </c>
      <c r="AH9" s="185">
        <v>5300</v>
      </c>
      <c r="AI9" s="189" t="s">
        <v>94</v>
      </c>
      <c r="AJ9" s="185" t="s">
        <v>95</v>
      </c>
      <c r="AK9" s="979"/>
      <c r="AL9" s="180"/>
      <c r="AM9" s="77"/>
      <c r="AN9" s="77"/>
      <c r="AO9" s="110">
        <f>IF(Table4[[#This Row],[Finish (demob)]]&lt;&gt;"",Table4[[#This Row],[Finish (demob)]]+10,"")</f>
        <v>43862</v>
      </c>
      <c r="AP9" s="110">
        <f>IF(Table4[[#This Row],[Finish (demob)]]&lt;&gt;"",Table4[[#This Row],[Finish (demob)]]+10,"")</f>
        <v>43862</v>
      </c>
      <c r="AQ9" s="220"/>
      <c r="AR9" s="77" t="str">
        <f>IF(Table4[[#This Row],[Date Report is delivered:]]&lt;&gt;"", "Delivered", "")</f>
        <v/>
      </c>
      <c r="AS9" s="179"/>
      <c r="AT9" s="77"/>
      <c r="AU9" s="179"/>
      <c r="AV9" s="77"/>
      <c r="AW9" s="77"/>
    </row>
    <row r="10" spans="1:49" hidden="1">
      <c r="A10" s="173">
        <v>202003</v>
      </c>
      <c r="B10" s="75" t="s">
        <v>90</v>
      </c>
      <c r="C10" s="77" t="str">
        <f>CONCATENATE(Table4[[#This Row],[Project]],"-",Table4[[#This Row],[WO]])</f>
        <v>202003-04</v>
      </c>
      <c r="D10" s="76" t="s">
        <v>73</v>
      </c>
      <c r="E10" s="77" t="s">
        <v>57</v>
      </c>
      <c r="F10" s="77" t="s">
        <v>58</v>
      </c>
      <c r="G10" s="77" t="s">
        <v>59</v>
      </c>
      <c r="H10" s="77" t="s">
        <v>74</v>
      </c>
      <c r="I10" s="102" t="s">
        <v>96</v>
      </c>
      <c r="J10" s="77" t="s">
        <v>92</v>
      </c>
      <c r="K10" s="77" t="s">
        <v>63</v>
      </c>
      <c r="L10" s="77" t="s">
        <v>76</v>
      </c>
      <c r="M10" s="77" t="s">
        <v>65</v>
      </c>
      <c r="N10" s="77" t="s">
        <v>77</v>
      </c>
      <c r="O10" s="77" t="s">
        <v>67</v>
      </c>
      <c r="P10" s="76" t="s">
        <v>78</v>
      </c>
      <c r="Q10" s="183" t="s">
        <v>79</v>
      </c>
      <c r="R10" s="110" t="s">
        <v>89</v>
      </c>
      <c r="S10" s="77">
        <v>2020</v>
      </c>
      <c r="T10" s="179">
        <v>1</v>
      </c>
      <c r="U10" s="180">
        <v>18622.25</v>
      </c>
      <c r="V10" s="180">
        <f>Table4[[#This Row],[Expected Revenue]]*Table4[[#This Row],[Probability]]</f>
        <v>18622.25</v>
      </c>
      <c r="W10" s="180">
        <f t="shared" si="0"/>
        <v>20800</v>
      </c>
      <c r="X10" s="179">
        <v>0.3</v>
      </c>
      <c r="Y10" s="180">
        <f>Table4[[#This Row],[Rev. Based on PROB]]*Table4[[#This Row],[Expected CMR]]</f>
        <v>5586.6750000000002</v>
      </c>
      <c r="Z10" s="203" t="s">
        <v>74</v>
      </c>
      <c r="AA10" s="77"/>
      <c r="AB10" s="77"/>
      <c r="AC10" s="180"/>
      <c r="AD10" s="220"/>
      <c r="AE10" s="220"/>
      <c r="AF10" s="220"/>
      <c r="AG10" s="185"/>
      <c r="AH10" s="185"/>
      <c r="AI10" s="185"/>
      <c r="AJ10" s="185"/>
      <c r="AK10" s="979"/>
      <c r="AL10" s="180"/>
      <c r="AM10" s="77"/>
      <c r="AN10" s="77"/>
      <c r="AO10" s="110" t="str">
        <f>IF(Table4[[#This Row],[Finish (demob)]]&lt;&gt;"",Table4[[#This Row],[Finish (demob)]]+10,"")</f>
        <v/>
      </c>
      <c r="AP10" s="110" t="str">
        <f>IF(Table4[[#This Row],[Finish (demob)]]&lt;&gt;"",Table4[[#This Row],[Finish (demob)]]+10,"")</f>
        <v/>
      </c>
      <c r="AQ10" s="220"/>
      <c r="AR10" s="77" t="str">
        <f>IF(Table4[[#This Row],[Date Report is delivered:]]&lt;&gt;"", "Delivered", "")</f>
        <v/>
      </c>
      <c r="AS10" s="179"/>
      <c r="AT10" s="77"/>
      <c r="AU10" s="179"/>
      <c r="AV10" s="77"/>
      <c r="AW10" s="77"/>
    </row>
    <row r="11" spans="1:49" hidden="1">
      <c r="A11" s="173">
        <v>202003</v>
      </c>
      <c r="B11" s="75" t="s">
        <v>90</v>
      </c>
      <c r="C11" s="77" t="str">
        <f>CONCATENATE(Table4[[#This Row],[Project]],"-",Table4[[#This Row],[WO]])</f>
        <v>202003-04</v>
      </c>
      <c r="D11" s="76" t="s">
        <v>73</v>
      </c>
      <c r="E11" s="77" t="s">
        <v>57</v>
      </c>
      <c r="F11" s="77" t="s">
        <v>58</v>
      </c>
      <c r="G11" s="77" t="s">
        <v>59</v>
      </c>
      <c r="H11" s="77" t="s">
        <v>74</v>
      </c>
      <c r="I11" s="102" t="s">
        <v>97</v>
      </c>
      <c r="J11" s="77" t="s">
        <v>92</v>
      </c>
      <c r="K11" s="77" t="s">
        <v>63</v>
      </c>
      <c r="L11" s="77" t="s">
        <v>76</v>
      </c>
      <c r="M11" s="77" t="s">
        <v>65</v>
      </c>
      <c r="N11" s="77" t="s">
        <v>77</v>
      </c>
      <c r="O11" s="77" t="s">
        <v>67</v>
      </c>
      <c r="P11" s="76" t="s">
        <v>78</v>
      </c>
      <c r="Q11" s="183" t="s">
        <v>79</v>
      </c>
      <c r="R11" s="110" t="s">
        <v>84</v>
      </c>
      <c r="S11" s="77">
        <v>2020</v>
      </c>
      <c r="T11" s="179">
        <v>1</v>
      </c>
      <c r="U11" s="180">
        <v>18622.25</v>
      </c>
      <c r="V11" s="180">
        <f>Table4[[#This Row],[Expected Revenue]]*Table4[[#This Row],[Probability]]</f>
        <v>18622.25</v>
      </c>
      <c r="W11" s="180">
        <f t="shared" si="0"/>
        <v>20800</v>
      </c>
      <c r="X11" s="179">
        <v>0.3</v>
      </c>
      <c r="Y11" s="180">
        <f>Table4[[#This Row],[Rev. Based on PROB]]*Table4[[#This Row],[Expected CMR]]</f>
        <v>5586.6750000000002</v>
      </c>
      <c r="Z11" s="203" t="s">
        <v>74</v>
      </c>
      <c r="AA11" s="77"/>
      <c r="AB11" s="77"/>
      <c r="AC11" s="180"/>
      <c r="AD11" s="220"/>
      <c r="AE11" s="220"/>
      <c r="AF11" s="220"/>
      <c r="AG11" s="185"/>
      <c r="AH11" s="185"/>
      <c r="AI11" s="185"/>
      <c r="AJ11" s="185"/>
      <c r="AK11" s="182"/>
      <c r="AL11" s="180"/>
      <c r="AM11" s="77"/>
      <c r="AN11" s="77"/>
      <c r="AO11" s="110" t="str">
        <f>IF(Table4[[#This Row],[Finish (demob)]]&lt;&gt;"",Table4[[#This Row],[Finish (demob)]]+10,"")</f>
        <v/>
      </c>
      <c r="AP11" s="110" t="str">
        <f>IF(Table4[[#This Row],[Finish (demob)]]&lt;&gt;"",Table4[[#This Row],[Finish (demob)]]+10,"")</f>
        <v/>
      </c>
      <c r="AQ11" s="220"/>
      <c r="AR11" s="77" t="str">
        <f>IF(Table4[[#This Row],[Date Report is delivered:]]&lt;&gt;"", "Delivered", "")</f>
        <v/>
      </c>
      <c r="AS11" s="179"/>
      <c r="AT11" s="77"/>
      <c r="AU11" s="179"/>
      <c r="AV11" s="77"/>
      <c r="AW11" s="77"/>
    </row>
    <row r="12" spans="1:49" hidden="1">
      <c r="A12" s="173">
        <v>202003</v>
      </c>
      <c r="B12" s="75" t="s">
        <v>98</v>
      </c>
      <c r="C12" s="77" t="str">
        <f>CONCATENATE(Table4[[#This Row],[Project]],"-",Table4[[#This Row],[WO]])</f>
        <v>202003-11</v>
      </c>
      <c r="D12" s="76" t="s">
        <v>73</v>
      </c>
      <c r="E12" s="77" t="s">
        <v>57</v>
      </c>
      <c r="F12" s="77" t="s">
        <v>58</v>
      </c>
      <c r="G12" s="77" t="s">
        <v>59</v>
      </c>
      <c r="H12" s="77" t="s">
        <v>74</v>
      </c>
      <c r="I12" s="102" t="s">
        <v>99</v>
      </c>
      <c r="J12" s="77" t="s">
        <v>92</v>
      </c>
      <c r="K12" s="77" t="s">
        <v>63</v>
      </c>
      <c r="L12" s="77" t="s">
        <v>76</v>
      </c>
      <c r="M12" s="77" t="s">
        <v>65</v>
      </c>
      <c r="N12" s="77" t="s">
        <v>77</v>
      </c>
      <c r="O12" s="77" t="s">
        <v>67</v>
      </c>
      <c r="P12" s="76" t="s">
        <v>78</v>
      </c>
      <c r="Q12" s="183" t="s">
        <v>79</v>
      </c>
      <c r="R12" s="110" t="s">
        <v>93</v>
      </c>
      <c r="S12" s="77">
        <v>2020</v>
      </c>
      <c r="T12" s="179">
        <v>1</v>
      </c>
      <c r="U12" s="180">
        <v>18622.25</v>
      </c>
      <c r="V12" s="180">
        <v>11955</v>
      </c>
      <c r="W12" s="180">
        <f t="shared" si="0"/>
        <v>20800</v>
      </c>
      <c r="X12" s="179">
        <v>0.3</v>
      </c>
      <c r="Y12" s="180">
        <f>Table4[[#This Row],[Rev. Based on PROB]]*Table4[[#This Row],[Expected CMR]]</f>
        <v>3586.5</v>
      </c>
      <c r="Z12" s="203" t="s">
        <v>74</v>
      </c>
      <c r="AA12" s="77"/>
      <c r="AB12" s="77"/>
      <c r="AC12" s="180"/>
      <c r="AD12" s="220">
        <v>43830</v>
      </c>
      <c r="AE12" s="220">
        <v>43852</v>
      </c>
      <c r="AF12" s="220"/>
      <c r="AG12" s="185"/>
      <c r="AH12" s="185">
        <v>3125</v>
      </c>
      <c r="AI12" s="185"/>
      <c r="AJ12" s="185"/>
      <c r="AK12" s="979" t="s">
        <v>100</v>
      </c>
      <c r="AL12" s="180">
        <v>11995</v>
      </c>
      <c r="AM12" s="77" t="s">
        <v>93</v>
      </c>
      <c r="AN12" s="77">
        <v>2020</v>
      </c>
      <c r="AO12" s="110">
        <f>IF(Table4[[#This Row],[Finish (demob)]]&lt;&gt;"",Table4[[#This Row],[Finish (demob)]]+10,"")</f>
        <v>43862</v>
      </c>
      <c r="AP12" s="110">
        <f>IF(Table4[[#This Row],[Finish (demob)]]&lt;&gt;"",Table4[[#This Row],[Finish (demob)]]+10,"")</f>
        <v>43862</v>
      </c>
      <c r="AQ12" s="220"/>
      <c r="AR12" s="77" t="str">
        <f>IF(Table4[[#This Row],[Date Report is delivered:]]&lt;&gt;"", "Delivered", "")</f>
        <v/>
      </c>
      <c r="AS12" s="179"/>
      <c r="AT12" s="77"/>
      <c r="AU12" s="179"/>
      <c r="AV12" s="77"/>
      <c r="AW12" s="77"/>
    </row>
    <row r="13" spans="1:49" hidden="1">
      <c r="A13" s="173">
        <v>202003</v>
      </c>
      <c r="B13" s="75" t="s">
        <v>90</v>
      </c>
      <c r="C13" s="77" t="str">
        <f>CONCATENATE(Table4[[#This Row],[Project]],"-",Table4[[#This Row],[WO]])</f>
        <v>202003-04</v>
      </c>
      <c r="D13" s="76" t="s">
        <v>73</v>
      </c>
      <c r="E13" s="77" t="s">
        <v>57</v>
      </c>
      <c r="F13" s="77" t="s">
        <v>58</v>
      </c>
      <c r="G13" s="77" t="s">
        <v>59</v>
      </c>
      <c r="H13" s="77" t="s">
        <v>74</v>
      </c>
      <c r="I13" s="102" t="s">
        <v>101</v>
      </c>
      <c r="J13" s="77" t="s">
        <v>92</v>
      </c>
      <c r="K13" s="77" t="s">
        <v>63</v>
      </c>
      <c r="L13" s="77" t="s">
        <v>76</v>
      </c>
      <c r="M13" s="77" t="s">
        <v>65</v>
      </c>
      <c r="N13" s="77" t="s">
        <v>77</v>
      </c>
      <c r="O13" s="77" t="s">
        <v>67</v>
      </c>
      <c r="P13" s="76" t="s">
        <v>78</v>
      </c>
      <c r="Q13" s="183" t="s">
        <v>79</v>
      </c>
      <c r="R13" s="110" t="s">
        <v>102</v>
      </c>
      <c r="S13" s="77">
        <v>2020</v>
      </c>
      <c r="T13" s="179">
        <v>1</v>
      </c>
      <c r="U13" s="180">
        <v>18622.25</v>
      </c>
      <c r="V13" s="180">
        <f>Table4[[#This Row],[Expected Revenue]]*Table4[[#This Row],[Probability]]</f>
        <v>18622.25</v>
      </c>
      <c r="W13" s="180">
        <f t="shared" si="0"/>
        <v>20800</v>
      </c>
      <c r="X13" s="179">
        <v>0.3</v>
      </c>
      <c r="Y13" s="180">
        <f>Table4[[#This Row],[Rev. Based on PROB]]*Table4[[#This Row],[Expected CMR]]</f>
        <v>5586.6750000000002</v>
      </c>
      <c r="Z13" s="203" t="s">
        <v>74</v>
      </c>
      <c r="AA13" s="77"/>
      <c r="AB13" s="77"/>
      <c r="AC13" s="180"/>
      <c r="AD13" s="220"/>
      <c r="AE13" s="220"/>
      <c r="AF13" s="220"/>
      <c r="AG13" s="185"/>
      <c r="AH13" s="185"/>
      <c r="AI13" s="185"/>
      <c r="AJ13" s="185"/>
      <c r="AK13" s="979"/>
      <c r="AL13" s="180"/>
      <c r="AM13" s="77"/>
      <c r="AN13" s="77"/>
      <c r="AO13" s="110" t="str">
        <f>IF(Table4[[#This Row],[Finish (demob)]]&lt;&gt;"",Table4[[#This Row],[Finish (demob)]]+10,"")</f>
        <v/>
      </c>
      <c r="AP13" s="110" t="str">
        <f>IF(Table4[[#This Row],[Finish (demob)]]&lt;&gt;"",Table4[[#This Row],[Finish (demob)]]+10,"")</f>
        <v/>
      </c>
      <c r="AQ13" s="220"/>
      <c r="AR13" s="77" t="str">
        <f>IF(Table4[[#This Row],[Date Report is delivered:]]&lt;&gt;"", "Delivered", "")</f>
        <v/>
      </c>
      <c r="AS13" s="179"/>
      <c r="AT13" s="77"/>
      <c r="AU13" s="179"/>
      <c r="AV13" s="77"/>
      <c r="AW13" s="77"/>
    </row>
    <row r="14" spans="1:49" hidden="1">
      <c r="A14" s="173">
        <v>202002</v>
      </c>
      <c r="B14" s="75" t="s">
        <v>103</v>
      </c>
      <c r="C14" s="77" t="str">
        <f>CONCATENATE(Table4[[#This Row],[Project]],"-",Table4[[#This Row],[WO]])</f>
        <v>202002-01</v>
      </c>
      <c r="D14" s="76" t="s">
        <v>104</v>
      </c>
      <c r="E14" s="77" t="s">
        <v>57</v>
      </c>
      <c r="F14" s="77" t="s">
        <v>58</v>
      </c>
      <c r="G14" s="77" t="s">
        <v>59</v>
      </c>
      <c r="H14" s="77" t="s">
        <v>105</v>
      </c>
      <c r="I14" s="102" t="s">
        <v>106</v>
      </c>
      <c r="J14" s="77" t="s">
        <v>107</v>
      </c>
      <c r="K14" s="77" t="s">
        <v>63</v>
      </c>
      <c r="L14" s="77" t="s">
        <v>108</v>
      </c>
      <c r="M14" s="77" t="s">
        <v>65</v>
      </c>
      <c r="N14" s="77" t="s">
        <v>77</v>
      </c>
      <c r="O14" s="77" t="s">
        <v>67</v>
      </c>
      <c r="P14" s="76" t="s">
        <v>109</v>
      </c>
      <c r="Q14" s="183" t="s">
        <v>110</v>
      </c>
      <c r="R14" s="110" t="s">
        <v>93</v>
      </c>
      <c r="S14" s="77">
        <v>2020</v>
      </c>
      <c r="T14" s="179">
        <v>1</v>
      </c>
      <c r="U14" s="180">
        <v>58784</v>
      </c>
      <c r="V14" s="180">
        <f>Table4[[#This Row],[Expected Revenue]]*Table4[[#This Row],[Probability]]</f>
        <v>58784</v>
      </c>
      <c r="W14" s="180">
        <f t="shared" si="0"/>
        <v>20800</v>
      </c>
      <c r="X14" s="179">
        <v>0.3</v>
      </c>
      <c r="Y14" s="180">
        <f>Table4[[#This Row],[Rev. Based on PROB]]*Table4[[#This Row],[Expected CMR]]</f>
        <v>17635.2</v>
      </c>
      <c r="Z14" s="203" t="s">
        <v>105</v>
      </c>
      <c r="AA14" s="77"/>
      <c r="AB14" s="181"/>
      <c r="AC14" s="180"/>
      <c r="AD14" s="220"/>
      <c r="AE14" s="220"/>
      <c r="AF14" s="220"/>
      <c r="AG14" s="185"/>
      <c r="AH14" s="185"/>
      <c r="AI14" s="185"/>
      <c r="AJ14" s="185"/>
      <c r="AK14" s="182"/>
      <c r="AL14" s="180"/>
      <c r="AM14" s="77"/>
      <c r="AN14" s="77"/>
      <c r="AO14" s="110" t="str">
        <f>IF(Table4[[#This Row],[Finish (demob)]]&lt;&gt;"",Table4[[#This Row],[Finish (demob)]]+7,"")</f>
        <v/>
      </c>
      <c r="AP14" s="110" t="str">
        <f>IF(Table4[[#This Row],[Finish (demob)]]&lt;&gt;"",Table4[[#This Row],[Finish (demob)]]+10,"")</f>
        <v/>
      </c>
      <c r="AQ14" s="220"/>
      <c r="AR14" s="77" t="str">
        <f>IF(Table4[[#This Row],[Date Report is delivered:]]&lt;&gt;"", "Delivered", "")</f>
        <v/>
      </c>
      <c r="AS14" s="179"/>
      <c r="AT14" s="77"/>
      <c r="AU14" s="179"/>
      <c r="AV14" s="77"/>
      <c r="AW14" s="77"/>
    </row>
    <row r="15" spans="1:49" hidden="1">
      <c r="A15" s="173">
        <v>202002</v>
      </c>
      <c r="B15" s="75" t="s">
        <v>111</v>
      </c>
      <c r="C15" s="77" t="str">
        <f>CONCATENATE(Table4[[#This Row],[Project]],"-",Table4[[#This Row],[WO]])</f>
        <v>202002-02</v>
      </c>
      <c r="D15" s="76" t="s">
        <v>104</v>
      </c>
      <c r="E15" s="77" t="s">
        <v>57</v>
      </c>
      <c r="F15" s="77" t="s">
        <v>58</v>
      </c>
      <c r="G15" s="77" t="s">
        <v>59</v>
      </c>
      <c r="H15" s="77" t="s">
        <v>105</v>
      </c>
      <c r="I15" s="102" t="s">
        <v>112</v>
      </c>
      <c r="J15" s="77" t="s">
        <v>71</v>
      </c>
      <c r="K15" s="77" t="s">
        <v>63</v>
      </c>
      <c r="L15" s="77" t="s">
        <v>108</v>
      </c>
      <c r="M15" s="77" t="s">
        <v>65</v>
      </c>
      <c r="N15" s="77" t="s">
        <v>77</v>
      </c>
      <c r="O15" s="77" t="s">
        <v>67</v>
      </c>
      <c r="P15" s="76" t="s">
        <v>109</v>
      </c>
      <c r="Q15" s="183" t="s">
        <v>110</v>
      </c>
      <c r="R15" s="110" t="s">
        <v>93</v>
      </c>
      <c r="S15" s="77">
        <v>2020</v>
      </c>
      <c r="T15" s="179">
        <v>1</v>
      </c>
      <c r="U15" s="180">
        <v>30630</v>
      </c>
      <c r="V15" s="180">
        <f>Table4[[#This Row],[Expected Revenue]]*Table4[[#This Row],[Probability]]</f>
        <v>30630</v>
      </c>
      <c r="W15" s="180">
        <f t="shared" si="0"/>
        <v>20800</v>
      </c>
      <c r="X15" s="179">
        <v>0.3</v>
      </c>
      <c r="Y15" s="180">
        <f>Table4[[#This Row],[Rev. Based on PROB]]*Table4[[#This Row],[Expected CMR]]</f>
        <v>9189</v>
      </c>
      <c r="Z15" s="203" t="s">
        <v>105</v>
      </c>
      <c r="AA15" s="77"/>
      <c r="AB15" s="77"/>
      <c r="AC15" s="180"/>
      <c r="AD15" s="220"/>
      <c r="AE15" s="220"/>
      <c r="AF15" s="220"/>
      <c r="AG15" s="185"/>
      <c r="AH15" s="185"/>
      <c r="AI15" s="185"/>
      <c r="AJ15" s="185"/>
      <c r="AK15" s="979"/>
      <c r="AL15" s="180"/>
      <c r="AM15" s="77"/>
      <c r="AN15" s="77"/>
      <c r="AO15" s="110" t="str">
        <f>IF(Table4[[#This Row],[Finish (demob)]]&lt;&gt;"",Table4[[#This Row],[Finish (demob)]]+10,"")</f>
        <v/>
      </c>
      <c r="AP15" s="110" t="str">
        <f>IF(Table4[[#This Row],[Finish (demob)]]&lt;&gt;"",Table4[[#This Row],[Finish (demob)]]+10,"")</f>
        <v/>
      </c>
      <c r="AQ15" s="220"/>
      <c r="AR15" s="77" t="str">
        <f>IF(Table4[[#This Row],[Date Report is delivered:]]&lt;&gt;"", "Delivered", "")</f>
        <v/>
      </c>
      <c r="AS15" s="179"/>
      <c r="AT15" s="77"/>
      <c r="AU15" s="179"/>
      <c r="AV15" s="77"/>
      <c r="AW15" s="77"/>
    </row>
    <row r="16" spans="1:49" hidden="1">
      <c r="A16" s="173">
        <v>202002</v>
      </c>
      <c r="B16" s="75" t="s">
        <v>72</v>
      </c>
      <c r="C16" s="77" t="str">
        <f>CONCATENATE(Table4[[#This Row],[Project]],"-",Table4[[#This Row],[WO]])</f>
        <v>202002-07</v>
      </c>
      <c r="D16" s="76" t="s">
        <v>104</v>
      </c>
      <c r="E16" s="77" t="s">
        <v>57</v>
      </c>
      <c r="F16" s="77" t="s">
        <v>58</v>
      </c>
      <c r="G16" s="77" t="s">
        <v>59</v>
      </c>
      <c r="H16" s="77" t="s">
        <v>105</v>
      </c>
      <c r="I16" s="102" t="s">
        <v>75</v>
      </c>
      <c r="J16" s="77" t="s">
        <v>62</v>
      </c>
      <c r="K16" s="77" t="s">
        <v>63</v>
      </c>
      <c r="L16" s="77" t="s">
        <v>108</v>
      </c>
      <c r="M16" s="77" t="s">
        <v>65</v>
      </c>
      <c r="N16" s="77" t="s">
        <v>77</v>
      </c>
      <c r="O16" s="77" t="s">
        <v>67</v>
      </c>
      <c r="P16" s="76" t="s">
        <v>109</v>
      </c>
      <c r="Q16" s="183" t="s">
        <v>110</v>
      </c>
      <c r="R16" s="152" t="s">
        <v>80</v>
      </c>
      <c r="S16" s="77">
        <v>2020</v>
      </c>
      <c r="T16" s="179">
        <v>1</v>
      </c>
      <c r="U16" s="180">
        <v>10620</v>
      </c>
      <c r="V16" s="180">
        <f>Table4[[#This Row],[Expected Revenue]]*Table4[[#This Row],[Probability]]</f>
        <v>10620</v>
      </c>
      <c r="W16" s="180">
        <f t="shared" si="0"/>
        <v>20800</v>
      </c>
      <c r="X16" s="179">
        <v>0.3</v>
      </c>
      <c r="Y16" s="180">
        <f>Table4[[#This Row],[Rev. Based on PROB]]*Table4[[#This Row],[Expected CMR]]</f>
        <v>3186</v>
      </c>
      <c r="Z16" s="203" t="s">
        <v>105</v>
      </c>
      <c r="AA16" s="77"/>
      <c r="AB16" s="77"/>
      <c r="AC16" s="180"/>
      <c r="AD16" s="220"/>
      <c r="AE16" s="220"/>
      <c r="AF16" s="220"/>
      <c r="AG16" s="185"/>
      <c r="AH16" s="185"/>
      <c r="AI16" s="185"/>
      <c r="AJ16" s="185"/>
      <c r="AK16" s="979"/>
      <c r="AL16" s="180"/>
      <c r="AM16" s="77"/>
      <c r="AN16" s="77"/>
      <c r="AO16" s="110" t="str">
        <f>IF(Table4[[#This Row],[Finish (demob)]]&lt;&gt;"",Table4[[#This Row],[Finish (demob)]]+10,"")</f>
        <v/>
      </c>
      <c r="AP16" s="110" t="str">
        <f>IF(Table4[[#This Row],[Finish (demob)]]&lt;&gt;"",Table4[[#This Row],[Finish (demob)]]+10,"")</f>
        <v/>
      </c>
      <c r="AQ16" s="220"/>
      <c r="AR16" s="77" t="str">
        <f>IF(Table4[[#This Row],[Date Report is delivered:]]&lt;&gt;"", "Delivered", "")</f>
        <v/>
      </c>
      <c r="AS16" s="179"/>
      <c r="AT16" s="77"/>
      <c r="AU16" s="179"/>
      <c r="AV16" s="77"/>
      <c r="AW16" s="77"/>
    </row>
    <row r="17" spans="1:49" hidden="1">
      <c r="A17" s="173">
        <v>202002</v>
      </c>
      <c r="B17" s="75" t="s">
        <v>81</v>
      </c>
      <c r="C17" s="77" t="str">
        <f>CONCATENATE(Table4[[#This Row],[Project]],"-",Table4[[#This Row],[WO]])</f>
        <v>202002-06</v>
      </c>
      <c r="D17" s="76" t="s">
        <v>104</v>
      </c>
      <c r="E17" s="77" t="s">
        <v>57</v>
      </c>
      <c r="F17" s="77" t="s">
        <v>58</v>
      </c>
      <c r="G17" s="77" t="s">
        <v>59</v>
      </c>
      <c r="H17" s="77" t="s">
        <v>105</v>
      </c>
      <c r="I17" s="102" t="s">
        <v>82</v>
      </c>
      <c r="J17" s="77" t="s">
        <v>83</v>
      </c>
      <c r="K17" s="77" t="s">
        <v>63</v>
      </c>
      <c r="L17" s="77" t="s">
        <v>108</v>
      </c>
      <c r="M17" s="77" t="s">
        <v>65</v>
      </c>
      <c r="N17" s="77" t="s">
        <v>77</v>
      </c>
      <c r="O17" s="77" t="s">
        <v>67</v>
      </c>
      <c r="P17" s="76" t="s">
        <v>109</v>
      </c>
      <c r="Q17" s="183" t="s">
        <v>110</v>
      </c>
      <c r="R17" s="110" t="s">
        <v>84</v>
      </c>
      <c r="S17" s="77">
        <v>2020</v>
      </c>
      <c r="T17" s="179">
        <v>1</v>
      </c>
      <c r="U17" s="180">
        <v>17300</v>
      </c>
      <c r="V17" s="180">
        <f>Table4[[#This Row],[Expected Revenue]]*Table4[[#This Row],[Probability]]</f>
        <v>17300</v>
      </c>
      <c r="W17" s="180">
        <f t="shared" si="0"/>
        <v>20800</v>
      </c>
      <c r="X17" s="179">
        <v>0.3</v>
      </c>
      <c r="Y17" s="180">
        <f>Table4[[#This Row],[Rev. Based on PROB]]*Table4[[#This Row],[Expected CMR]]</f>
        <v>5190</v>
      </c>
      <c r="Z17" s="203" t="s">
        <v>105</v>
      </c>
      <c r="AA17" s="77"/>
      <c r="AB17" s="77"/>
      <c r="AC17" s="180"/>
      <c r="AD17" s="220"/>
      <c r="AE17" s="220"/>
      <c r="AF17" s="220"/>
      <c r="AG17" s="185"/>
      <c r="AH17" s="185"/>
      <c r="AI17" s="185"/>
      <c r="AJ17" s="185"/>
      <c r="AK17" s="979"/>
      <c r="AL17" s="180"/>
      <c r="AM17" s="77"/>
      <c r="AN17" s="77"/>
      <c r="AO17" s="110" t="str">
        <f>IF(Table4[[#This Row],[Finish (demob)]]&lt;&gt;"",Table4[[#This Row],[Finish (demob)]]+10,"")</f>
        <v/>
      </c>
      <c r="AP17" s="110" t="str">
        <f>IF(Table4[[#This Row],[Finish (demob)]]&lt;&gt;"",Table4[[#This Row],[Finish (demob)]]+10,"")</f>
        <v/>
      </c>
      <c r="AQ17" s="220"/>
      <c r="AR17" s="77" t="str">
        <f>IF(Table4[[#This Row],[Date Report is delivered:]]&lt;&gt;"", "Delivered", "")</f>
        <v/>
      </c>
      <c r="AS17" s="179"/>
      <c r="AT17" s="77"/>
      <c r="AU17" s="179"/>
      <c r="AV17" s="77"/>
      <c r="AW17" s="77"/>
    </row>
    <row r="18" spans="1:49" hidden="1">
      <c r="A18" s="173">
        <v>202002</v>
      </c>
      <c r="B18" s="75" t="s">
        <v>55</v>
      </c>
      <c r="C18" s="77" t="str">
        <f>CONCATENATE(Table4[[#This Row],[Project]],"-",Table4[[#This Row],[WO]])</f>
        <v>202002-03</v>
      </c>
      <c r="D18" s="76" t="s">
        <v>104</v>
      </c>
      <c r="E18" s="77" t="s">
        <v>57</v>
      </c>
      <c r="F18" s="77" t="s">
        <v>58</v>
      </c>
      <c r="G18" s="77" t="s">
        <v>59</v>
      </c>
      <c r="H18" s="77" t="s">
        <v>105</v>
      </c>
      <c r="I18" s="102" t="s">
        <v>113</v>
      </c>
      <c r="J18" s="77" t="s">
        <v>62</v>
      </c>
      <c r="K18" s="77" t="s">
        <v>63</v>
      </c>
      <c r="L18" s="77" t="s">
        <v>108</v>
      </c>
      <c r="M18" s="77" t="s">
        <v>65</v>
      </c>
      <c r="N18" s="77" t="s">
        <v>77</v>
      </c>
      <c r="O18" s="77" t="s">
        <v>67</v>
      </c>
      <c r="P18" s="76" t="s">
        <v>109</v>
      </c>
      <c r="Q18" s="183" t="s">
        <v>110</v>
      </c>
      <c r="R18" s="110" t="s">
        <v>93</v>
      </c>
      <c r="S18" s="77">
        <v>2020</v>
      </c>
      <c r="T18" s="179">
        <v>1</v>
      </c>
      <c r="U18" s="180">
        <v>31649</v>
      </c>
      <c r="V18" s="180">
        <f>Table4[[#This Row],[Expected Revenue]]*Table4[[#This Row],[Probability]]</f>
        <v>31649</v>
      </c>
      <c r="W18" s="180">
        <f t="shared" si="0"/>
        <v>20800</v>
      </c>
      <c r="X18" s="179">
        <v>0.3</v>
      </c>
      <c r="Y18" s="180">
        <f>Table4[[#This Row],[Rev. Based on PROB]]*Table4[[#This Row],[Expected CMR]]</f>
        <v>9494.6999999999989</v>
      </c>
      <c r="Z18" s="203" t="s">
        <v>105</v>
      </c>
      <c r="AA18" s="77"/>
      <c r="AB18" s="77"/>
      <c r="AC18" s="180"/>
      <c r="AD18" s="220"/>
      <c r="AE18" s="220"/>
      <c r="AF18" s="220"/>
      <c r="AG18" s="185"/>
      <c r="AH18" s="185"/>
      <c r="AI18" s="185"/>
      <c r="AJ18" s="185"/>
      <c r="AK18" s="979"/>
      <c r="AL18" s="180"/>
      <c r="AM18" s="77"/>
      <c r="AN18" s="77"/>
      <c r="AO18" s="110" t="str">
        <f>IF(Table4[[#This Row],[Finish (demob)]]&lt;&gt;"",Table4[[#This Row],[Finish (demob)]]+10,"")</f>
        <v/>
      </c>
      <c r="AP18" s="110" t="str">
        <f>IF(Table4[[#This Row],[Finish (demob)]]&lt;&gt;"",Table4[[#This Row],[Finish (demob)]]+10,"")</f>
        <v/>
      </c>
      <c r="AQ18" s="220"/>
      <c r="AR18" s="77" t="str">
        <f>IF(Table4[[#This Row],[Date Report is delivered:]]&lt;&gt;"", "Delivered", "")</f>
        <v/>
      </c>
      <c r="AS18" s="179"/>
      <c r="AT18" s="77"/>
      <c r="AU18" s="179"/>
      <c r="AV18" s="77"/>
      <c r="AW18" s="77"/>
    </row>
    <row r="19" spans="1:49" hidden="1">
      <c r="A19" s="173">
        <v>202002</v>
      </c>
      <c r="B19" s="75" t="s">
        <v>86</v>
      </c>
      <c r="C19" s="77" t="str">
        <f>CONCATENATE(Table4[[#This Row],[Project]],"-",Table4[[#This Row],[WO]])</f>
        <v>202002-05</v>
      </c>
      <c r="D19" s="76" t="s">
        <v>104</v>
      </c>
      <c r="E19" s="77" t="s">
        <v>57</v>
      </c>
      <c r="F19" s="77" t="s">
        <v>58</v>
      </c>
      <c r="G19" s="77" t="s">
        <v>59</v>
      </c>
      <c r="H19" s="77" t="s">
        <v>105</v>
      </c>
      <c r="I19" s="102" t="s">
        <v>87</v>
      </c>
      <c r="J19" s="77" t="s">
        <v>88</v>
      </c>
      <c r="K19" s="77" t="s">
        <v>63</v>
      </c>
      <c r="L19" s="77" t="s">
        <v>108</v>
      </c>
      <c r="M19" s="77" t="s">
        <v>65</v>
      </c>
      <c r="N19" s="77" t="s">
        <v>77</v>
      </c>
      <c r="O19" s="77" t="s">
        <v>67</v>
      </c>
      <c r="P19" s="76" t="s">
        <v>109</v>
      </c>
      <c r="Q19" s="183" t="s">
        <v>110</v>
      </c>
      <c r="R19" s="110" t="s">
        <v>89</v>
      </c>
      <c r="S19" s="77">
        <v>2020</v>
      </c>
      <c r="T19" s="179">
        <v>1</v>
      </c>
      <c r="U19" s="180">
        <v>27538</v>
      </c>
      <c r="V19" s="180">
        <f>Table4[[#This Row],[Expected Revenue]]*Table4[[#This Row],[Probability]]</f>
        <v>27538</v>
      </c>
      <c r="W19" s="180">
        <f t="shared" si="0"/>
        <v>20800</v>
      </c>
      <c r="X19" s="179">
        <v>0.3</v>
      </c>
      <c r="Y19" s="180">
        <f>Table4[[#This Row],[Rev. Based on PROB]]*Table4[[#This Row],[Expected CMR]]</f>
        <v>8261.4</v>
      </c>
      <c r="Z19" s="203" t="s">
        <v>105</v>
      </c>
      <c r="AA19" s="77"/>
      <c r="AB19" s="181"/>
      <c r="AC19" s="180"/>
      <c r="AD19" s="220"/>
      <c r="AE19" s="220"/>
      <c r="AF19" s="220"/>
      <c r="AG19" s="185"/>
      <c r="AH19" s="185"/>
      <c r="AI19" s="185"/>
      <c r="AJ19" s="185"/>
      <c r="AK19" s="979"/>
      <c r="AL19" s="180"/>
      <c r="AM19" s="77"/>
      <c r="AN19" s="77"/>
      <c r="AO19" s="110" t="str">
        <f>IF(Table4[[#This Row],[Finish (demob)]]&lt;&gt;"",Table4[[#This Row],[Finish (demob)]]+10,"")</f>
        <v/>
      </c>
      <c r="AP19" s="110" t="str">
        <f>IF(Table4[[#This Row],[Finish (demob)]]&lt;&gt;"",Table4[[#This Row],[Finish (demob)]]+10,"")</f>
        <v/>
      </c>
      <c r="AQ19" s="220"/>
      <c r="AR19" s="77" t="str">
        <f>IF(Table4[[#This Row],[Date Report is delivered:]]&lt;&gt;"", "Delivered", "")</f>
        <v/>
      </c>
      <c r="AS19" s="179"/>
      <c r="AT19" s="77"/>
      <c r="AU19" s="179"/>
      <c r="AV19" s="77"/>
      <c r="AW19" s="77"/>
    </row>
    <row r="20" spans="1:49" hidden="1">
      <c r="A20" s="173">
        <v>202002</v>
      </c>
      <c r="B20" s="75" t="s">
        <v>90</v>
      </c>
      <c r="C20" s="77" t="str">
        <f>CONCATENATE(Table4[[#This Row],[Project]],"-",Table4[[#This Row],[WO]])</f>
        <v>202002-04</v>
      </c>
      <c r="D20" s="76" t="s">
        <v>104</v>
      </c>
      <c r="E20" s="77" t="s">
        <v>57</v>
      </c>
      <c r="F20" s="77" t="s">
        <v>58</v>
      </c>
      <c r="G20" s="77" t="s">
        <v>59</v>
      </c>
      <c r="H20" s="77" t="s">
        <v>105</v>
      </c>
      <c r="I20" s="102" t="s">
        <v>91</v>
      </c>
      <c r="J20" s="77" t="s">
        <v>92</v>
      </c>
      <c r="K20" s="77" t="s">
        <v>63</v>
      </c>
      <c r="L20" s="77" t="s">
        <v>108</v>
      </c>
      <c r="M20" s="77" t="s">
        <v>65</v>
      </c>
      <c r="N20" s="77" t="s">
        <v>77</v>
      </c>
      <c r="O20" s="77" t="s">
        <v>67</v>
      </c>
      <c r="P20" s="76" t="s">
        <v>109</v>
      </c>
      <c r="Q20" s="183" t="s">
        <v>110</v>
      </c>
      <c r="R20" s="110" t="s">
        <v>93</v>
      </c>
      <c r="S20" s="77">
        <v>2020</v>
      </c>
      <c r="T20" s="179">
        <v>1</v>
      </c>
      <c r="U20" s="180">
        <v>18622.25</v>
      </c>
      <c r="V20" s="180">
        <f>Table4[[#This Row],[Expected Revenue]]*Table4[[#This Row],[Probability]]</f>
        <v>18622.25</v>
      </c>
      <c r="W20" s="180">
        <f t="shared" si="0"/>
        <v>20800</v>
      </c>
      <c r="X20" s="179">
        <v>0.3</v>
      </c>
      <c r="Y20" s="180">
        <f>Table4[[#This Row],[Rev. Based on PROB]]*Table4[[#This Row],[Expected CMR]]</f>
        <v>5586.6750000000002</v>
      </c>
      <c r="Z20" s="203" t="s">
        <v>105</v>
      </c>
      <c r="AA20" s="77"/>
      <c r="AB20" s="77"/>
      <c r="AC20" s="180"/>
      <c r="AD20" s="220"/>
      <c r="AE20" s="220"/>
      <c r="AF20" s="220"/>
      <c r="AG20" s="185"/>
      <c r="AH20" s="185"/>
      <c r="AI20" s="185"/>
      <c r="AJ20" s="185"/>
      <c r="AK20" s="979"/>
      <c r="AL20" s="180"/>
      <c r="AM20" s="77"/>
      <c r="AN20" s="77"/>
      <c r="AO20" s="110" t="str">
        <f>IF(Table4[[#This Row],[Finish (demob)]]&lt;&gt;"",Table4[[#This Row],[Finish (demob)]]+10,"")</f>
        <v/>
      </c>
      <c r="AP20" s="110" t="str">
        <f>IF(Table4[[#This Row],[Finish (demob)]]&lt;&gt;"",Table4[[#This Row],[Finish (demob)]]+10,"")</f>
        <v/>
      </c>
      <c r="AQ20" s="220"/>
      <c r="AR20" s="77" t="str">
        <f>IF(Table4[[#This Row],[Date Report is delivered:]]&lt;&gt;"", "Delivered", "")</f>
        <v/>
      </c>
      <c r="AS20" s="179"/>
      <c r="AT20" s="77"/>
      <c r="AU20" s="179"/>
      <c r="AV20" s="77"/>
      <c r="AW20" s="77"/>
    </row>
    <row r="21" spans="1:49" hidden="1">
      <c r="A21" s="173">
        <v>202002</v>
      </c>
      <c r="B21" s="75" t="s">
        <v>90</v>
      </c>
      <c r="C21" s="77" t="str">
        <f>CONCATENATE(Table4[[#This Row],[Project]],"-",Table4[[#This Row],[WO]])</f>
        <v>202002-04</v>
      </c>
      <c r="D21" s="76" t="s">
        <v>104</v>
      </c>
      <c r="E21" s="77" t="s">
        <v>57</v>
      </c>
      <c r="F21" s="77" t="s">
        <v>58</v>
      </c>
      <c r="G21" s="77" t="s">
        <v>59</v>
      </c>
      <c r="H21" s="77" t="s">
        <v>105</v>
      </c>
      <c r="I21" s="102" t="s">
        <v>96</v>
      </c>
      <c r="J21" s="77" t="s">
        <v>92</v>
      </c>
      <c r="K21" s="77" t="s">
        <v>63</v>
      </c>
      <c r="L21" s="77" t="s">
        <v>108</v>
      </c>
      <c r="M21" s="77" t="s">
        <v>65</v>
      </c>
      <c r="N21" s="77" t="s">
        <v>77</v>
      </c>
      <c r="O21" s="77" t="s">
        <v>67</v>
      </c>
      <c r="P21" s="76" t="s">
        <v>109</v>
      </c>
      <c r="Q21" s="183" t="s">
        <v>110</v>
      </c>
      <c r="R21" s="110" t="s">
        <v>89</v>
      </c>
      <c r="S21" s="77">
        <v>2020</v>
      </c>
      <c r="T21" s="179">
        <v>1</v>
      </c>
      <c r="U21" s="180">
        <v>18622.25</v>
      </c>
      <c r="V21" s="180">
        <f>Table4[[#This Row],[Expected Revenue]]*Table4[[#This Row],[Probability]]</f>
        <v>18622.25</v>
      </c>
      <c r="W21" s="180">
        <f t="shared" si="0"/>
        <v>20800</v>
      </c>
      <c r="X21" s="179">
        <v>0.3</v>
      </c>
      <c r="Y21" s="180">
        <f>Table4[[#This Row],[Rev. Based on PROB]]*Table4[[#This Row],[Expected CMR]]</f>
        <v>5586.6750000000002</v>
      </c>
      <c r="Z21" s="203" t="s">
        <v>105</v>
      </c>
      <c r="AA21" s="77"/>
      <c r="AB21" s="77"/>
      <c r="AC21" s="180"/>
      <c r="AD21" s="220"/>
      <c r="AE21" s="220"/>
      <c r="AF21" s="220"/>
      <c r="AG21" s="185"/>
      <c r="AH21" s="185"/>
      <c r="AI21" s="185"/>
      <c r="AJ21" s="185"/>
      <c r="AK21" s="979"/>
      <c r="AL21" s="180"/>
      <c r="AM21" s="77"/>
      <c r="AN21" s="77"/>
      <c r="AO21" s="110" t="str">
        <f>IF(Table4[[#This Row],[Finish (demob)]]&lt;&gt;"",Table4[[#This Row],[Finish (demob)]]+10,"")</f>
        <v/>
      </c>
      <c r="AP21" s="110" t="str">
        <f>IF(Table4[[#This Row],[Finish (demob)]]&lt;&gt;"",Table4[[#This Row],[Finish (demob)]]+10,"")</f>
        <v/>
      </c>
      <c r="AQ21" s="220"/>
      <c r="AR21" s="77" t="str">
        <f>IF(Table4[[#This Row],[Date Report is delivered:]]&lt;&gt;"", "Delivered", "")</f>
        <v/>
      </c>
      <c r="AS21" s="179"/>
      <c r="AT21" s="77"/>
      <c r="AU21" s="179"/>
      <c r="AV21" s="77"/>
      <c r="AW21" s="77"/>
    </row>
    <row r="22" spans="1:49" hidden="1">
      <c r="A22" s="173">
        <v>202002</v>
      </c>
      <c r="B22" s="75" t="s">
        <v>90</v>
      </c>
      <c r="C22" s="77" t="str">
        <f>CONCATENATE(Table4[[#This Row],[Project]],"-",Table4[[#This Row],[WO]])</f>
        <v>202002-04</v>
      </c>
      <c r="D22" s="76" t="s">
        <v>104</v>
      </c>
      <c r="E22" s="77" t="s">
        <v>57</v>
      </c>
      <c r="F22" s="77" t="s">
        <v>58</v>
      </c>
      <c r="G22" s="77" t="s">
        <v>59</v>
      </c>
      <c r="H22" s="77" t="s">
        <v>105</v>
      </c>
      <c r="I22" s="102" t="s">
        <v>97</v>
      </c>
      <c r="J22" s="77" t="s">
        <v>92</v>
      </c>
      <c r="K22" s="77" t="s">
        <v>63</v>
      </c>
      <c r="L22" s="77" t="s">
        <v>108</v>
      </c>
      <c r="M22" s="77" t="s">
        <v>65</v>
      </c>
      <c r="N22" s="77" t="s">
        <v>77</v>
      </c>
      <c r="O22" s="77" t="s">
        <v>67</v>
      </c>
      <c r="P22" s="76" t="s">
        <v>109</v>
      </c>
      <c r="Q22" s="183" t="s">
        <v>110</v>
      </c>
      <c r="R22" s="110" t="s">
        <v>84</v>
      </c>
      <c r="S22" s="77">
        <v>2020</v>
      </c>
      <c r="T22" s="179">
        <v>1</v>
      </c>
      <c r="U22" s="180">
        <v>18622.25</v>
      </c>
      <c r="V22" s="180">
        <f>Table4[[#This Row],[Expected Revenue]]*Table4[[#This Row],[Probability]]</f>
        <v>18622.25</v>
      </c>
      <c r="W22" s="180">
        <f t="shared" si="0"/>
        <v>20800</v>
      </c>
      <c r="X22" s="179">
        <v>0.3</v>
      </c>
      <c r="Y22" s="180">
        <f>Table4[[#This Row],[Rev. Based on PROB]]*Table4[[#This Row],[Expected CMR]]</f>
        <v>5586.6750000000002</v>
      </c>
      <c r="Z22" s="203" t="s">
        <v>105</v>
      </c>
      <c r="AA22" s="77"/>
      <c r="AB22" s="77"/>
      <c r="AC22" s="180"/>
      <c r="AD22" s="220"/>
      <c r="AE22" s="220"/>
      <c r="AF22" s="220"/>
      <c r="AG22" s="185"/>
      <c r="AH22" s="185"/>
      <c r="AI22" s="185"/>
      <c r="AJ22" s="185"/>
      <c r="AK22" s="182"/>
      <c r="AL22" s="180"/>
      <c r="AM22" s="77"/>
      <c r="AN22" s="77"/>
      <c r="AO22" s="110" t="str">
        <f>IF(Table4[[#This Row],[Finish (demob)]]&lt;&gt;"",Table4[[#This Row],[Finish (demob)]]+10,"")</f>
        <v/>
      </c>
      <c r="AP22" s="110" t="str">
        <f>IF(Table4[[#This Row],[Finish (demob)]]&lt;&gt;"",Table4[[#This Row],[Finish (demob)]]+10,"")</f>
        <v/>
      </c>
      <c r="AQ22" s="220"/>
      <c r="AR22" s="77" t="str">
        <f>IF(Table4[[#This Row],[Date Report is delivered:]]&lt;&gt;"", "Delivered", "")</f>
        <v/>
      </c>
      <c r="AS22" s="179"/>
      <c r="AT22" s="77"/>
      <c r="AU22" s="179"/>
      <c r="AV22" s="77"/>
      <c r="AW22" s="77"/>
    </row>
    <row r="23" spans="1:49" hidden="1">
      <c r="A23" s="173">
        <v>202002</v>
      </c>
      <c r="B23" s="75" t="s">
        <v>90</v>
      </c>
      <c r="C23" s="77" t="str">
        <f>CONCATENATE(Table4[[#This Row],[Project]],"-",Table4[[#This Row],[WO]])</f>
        <v>202002-04</v>
      </c>
      <c r="D23" s="76" t="s">
        <v>104</v>
      </c>
      <c r="E23" s="77" t="s">
        <v>57</v>
      </c>
      <c r="F23" s="77" t="s">
        <v>58</v>
      </c>
      <c r="G23" s="77" t="s">
        <v>59</v>
      </c>
      <c r="H23" s="77" t="s">
        <v>105</v>
      </c>
      <c r="I23" s="102" t="s">
        <v>101</v>
      </c>
      <c r="J23" s="77" t="s">
        <v>92</v>
      </c>
      <c r="K23" s="77" t="s">
        <v>63</v>
      </c>
      <c r="L23" s="77" t="s">
        <v>108</v>
      </c>
      <c r="M23" s="77" t="s">
        <v>65</v>
      </c>
      <c r="N23" s="77" t="s">
        <v>77</v>
      </c>
      <c r="O23" s="77" t="s">
        <v>67</v>
      </c>
      <c r="P23" s="76" t="s">
        <v>109</v>
      </c>
      <c r="Q23" s="183" t="s">
        <v>110</v>
      </c>
      <c r="R23" s="110" t="s">
        <v>102</v>
      </c>
      <c r="S23" s="77">
        <v>2020</v>
      </c>
      <c r="T23" s="179">
        <v>1</v>
      </c>
      <c r="U23" s="180">
        <v>18622.25</v>
      </c>
      <c r="V23" s="180">
        <f>Table4[[#This Row],[Expected Revenue]]*Table4[[#This Row],[Probability]]</f>
        <v>18622.25</v>
      </c>
      <c r="W23" s="180">
        <f t="shared" si="0"/>
        <v>20800</v>
      </c>
      <c r="X23" s="179">
        <v>0.3</v>
      </c>
      <c r="Y23" s="180">
        <f>Table4[[#This Row],[Rev. Based on PROB]]*Table4[[#This Row],[Expected CMR]]</f>
        <v>5586.6750000000002</v>
      </c>
      <c r="Z23" s="203" t="s">
        <v>105</v>
      </c>
      <c r="AA23" s="77"/>
      <c r="AB23" s="77"/>
      <c r="AC23" s="180"/>
      <c r="AD23" s="220"/>
      <c r="AE23" s="220"/>
      <c r="AF23" s="220"/>
      <c r="AG23" s="185"/>
      <c r="AH23" s="185"/>
      <c r="AI23" s="185"/>
      <c r="AJ23" s="185"/>
      <c r="AK23" s="979"/>
      <c r="AL23" s="180"/>
      <c r="AM23" s="77"/>
      <c r="AN23" s="77"/>
      <c r="AO23" s="110" t="str">
        <f>IF(Table4[[#This Row],[Finish (demob)]]&lt;&gt;"",Table4[[#This Row],[Finish (demob)]]+10,"")</f>
        <v/>
      </c>
      <c r="AP23" s="110" t="str">
        <f>IF(Table4[[#This Row],[Finish (demob)]]&lt;&gt;"",Table4[[#This Row],[Finish (demob)]]+10,"")</f>
        <v/>
      </c>
      <c r="AQ23" s="220"/>
      <c r="AR23" s="77" t="str">
        <f>IF(Table4[[#This Row],[Date Report is delivered:]]&lt;&gt;"", "Delivered", "")</f>
        <v/>
      </c>
      <c r="AS23" s="179"/>
      <c r="AT23" s="77"/>
      <c r="AU23" s="179"/>
      <c r="AV23" s="77"/>
      <c r="AW23" s="77"/>
    </row>
    <row r="24" spans="1:49" hidden="1">
      <c r="A24" s="173">
        <v>202005</v>
      </c>
      <c r="B24" s="75" t="s">
        <v>103</v>
      </c>
      <c r="C24" s="77" t="str">
        <f>CONCATENATE(Table4[[#This Row],[Project]],"-",Table4[[#This Row],[WO]])</f>
        <v>202005-01</v>
      </c>
      <c r="D24" s="76" t="s">
        <v>114</v>
      </c>
      <c r="E24" s="77" t="s">
        <v>57</v>
      </c>
      <c r="F24" s="77" t="s">
        <v>58</v>
      </c>
      <c r="G24" s="77" t="s">
        <v>59</v>
      </c>
      <c r="H24" s="77" t="s">
        <v>74</v>
      </c>
      <c r="I24" s="102" t="s">
        <v>106</v>
      </c>
      <c r="J24" s="77" t="s">
        <v>107</v>
      </c>
      <c r="K24" s="77" t="s">
        <v>63</v>
      </c>
      <c r="L24" s="77" t="s">
        <v>76</v>
      </c>
      <c r="M24" s="77" t="s">
        <v>65</v>
      </c>
      <c r="N24" s="77" t="s">
        <v>77</v>
      </c>
      <c r="O24" s="77" t="s">
        <v>67</v>
      </c>
      <c r="P24" s="76" t="s">
        <v>115</v>
      </c>
      <c r="Q24" s="183" t="s">
        <v>116</v>
      </c>
      <c r="R24" s="110" t="s">
        <v>93</v>
      </c>
      <c r="S24" s="77">
        <v>2020</v>
      </c>
      <c r="T24" s="179">
        <v>1</v>
      </c>
      <c r="U24" s="180">
        <v>58784</v>
      </c>
      <c r="V24" s="180">
        <f>Table4[[#This Row],[Expected Revenue]]*Table4[[#This Row],[Probability]]</f>
        <v>58784</v>
      </c>
      <c r="W24" s="180">
        <f t="shared" si="0"/>
        <v>20800</v>
      </c>
      <c r="X24" s="179">
        <v>0.3</v>
      </c>
      <c r="Y24" s="180">
        <f>Table4[[#This Row],[Rev. Based on PROB]]*Table4[[#This Row],[Expected CMR]]</f>
        <v>17635.2</v>
      </c>
      <c r="Z24" s="203" t="s">
        <v>74</v>
      </c>
      <c r="AA24" s="77"/>
      <c r="AB24" s="181"/>
      <c r="AC24" s="180"/>
      <c r="AD24" s="220"/>
      <c r="AE24" s="220"/>
      <c r="AF24" s="220"/>
      <c r="AG24" s="185"/>
      <c r="AH24" s="185"/>
      <c r="AI24" s="185"/>
      <c r="AJ24" s="185"/>
      <c r="AK24" s="182"/>
      <c r="AL24" s="180"/>
      <c r="AM24" s="77"/>
      <c r="AN24" s="77"/>
      <c r="AO24" s="110" t="str">
        <f>IF(Table4[[#This Row],[Finish (demob)]]&lt;&gt;"",Table4[[#This Row],[Finish (demob)]]+7,"")</f>
        <v/>
      </c>
      <c r="AP24" s="110" t="str">
        <f>IF(Table4[[#This Row],[Finish (demob)]]&lt;&gt;"",Table4[[#This Row],[Finish (demob)]]+10,"")</f>
        <v/>
      </c>
      <c r="AQ24" s="220"/>
      <c r="AR24" s="77" t="str">
        <f>IF(Table4[[#This Row],[Date Report is delivered:]]&lt;&gt;"", "Delivered", "")</f>
        <v/>
      </c>
      <c r="AS24" s="179"/>
      <c r="AT24" s="77"/>
      <c r="AU24" s="179"/>
      <c r="AV24" s="77"/>
      <c r="AW24" s="77"/>
    </row>
    <row r="25" spans="1:49" hidden="1">
      <c r="A25" s="173">
        <v>202005</v>
      </c>
      <c r="B25" s="75" t="s">
        <v>111</v>
      </c>
      <c r="C25" s="77" t="str">
        <f>CONCATENATE(Table4[[#This Row],[Project]],"-",Table4[[#This Row],[WO]])</f>
        <v>202005-02</v>
      </c>
      <c r="D25" s="76" t="s">
        <v>114</v>
      </c>
      <c r="E25" s="77" t="s">
        <v>57</v>
      </c>
      <c r="F25" s="77" t="s">
        <v>58</v>
      </c>
      <c r="G25" s="77" t="s">
        <v>59</v>
      </c>
      <c r="H25" s="77" t="s">
        <v>74</v>
      </c>
      <c r="I25" s="102" t="s">
        <v>112</v>
      </c>
      <c r="J25" s="77" t="s">
        <v>71</v>
      </c>
      <c r="K25" s="77" t="s">
        <v>63</v>
      </c>
      <c r="L25" s="77" t="s">
        <v>76</v>
      </c>
      <c r="M25" s="77" t="s">
        <v>65</v>
      </c>
      <c r="N25" s="77" t="s">
        <v>77</v>
      </c>
      <c r="O25" s="77" t="s">
        <v>67</v>
      </c>
      <c r="P25" s="76" t="s">
        <v>115</v>
      </c>
      <c r="Q25" s="183" t="s">
        <v>116</v>
      </c>
      <c r="R25" s="110" t="s">
        <v>93</v>
      </c>
      <c r="S25" s="77">
        <v>2020</v>
      </c>
      <c r="T25" s="179">
        <v>1</v>
      </c>
      <c r="U25" s="180">
        <v>30630</v>
      </c>
      <c r="V25" s="180">
        <f>Table4[[#This Row],[Expected Revenue]]*Table4[[#This Row],[Probability]]</f>
        <v>30630</v>
      </c>
      <c r="W25" s="180">
        <f t="shared" si="0"/>
        <v>20800</v>
      </c>
      <c r="X25" s="179">
        <v>0.3</v>
      </c>
      <c r="Y25" s="180">
        <f>Table4[[#This Row],[Rev. Based on PROB]]*Table4[[#This Row],[Expected CMR]]</f>
        <v>9189</v>
      </c>
      <c r="Z25" s="203" t="s">
        <v>74</v>
      </c>
      <c r="AA25" s="77"/>
      <c r="AB25" s="77"/>
      <c r="AC25" s="180"/>
      <c r="AD25" s="220"/>
      <c r="AE25" s="220"/>
      <c r="AF25" s="220"/>
      <c r="AG25" s="185"/>
      <c r="AH25" s="185"/>
      <c r="AI25" s="185"/>
      <c r="AJ25" s="185"/>
      <c r="AK25" s="979"/>
      <c r="AL25" s="180"/>
      <c r="AM25" s="77"/>
      <c r="AN25" s="77"/>
      <c r="AO25" s="110" t="str">
        <f>IF(Table4[[#This Row],[Finish (demob)]]&lt;&gt;"",Table4[[#This Row],[Finish (demob)]]+10,"")</f>
        <v/>
      </c>
      <c r="AP25" s="110" t="str">
        <f>IF(Table4[[#This Row],[Finish (demob)]]&lt;&gt;"",Table4[[#This Row],[Finish (demob)]]+10,"")</f>
        <v/>
      </c>
      <c r="AQ25" s="220"/>
      <c r="AR25" s="77" t="str">
        <f>IF(Table4[[#This Row],[Date Report is delivered:]]&lt;&gt;"", "Delivered", "")</f>
        <v/>
      </c>
      <c r="AS25" s="179"/>
      <c r="AT25" s="77"/>
      <c r="AU25" s="179"/>
      <c r="AV25" s="77"/>
      <c r="AW25" s="77"/>
    </row>
    <row r="26" spans="1:49" hidden="1">
      <c r="A26" s="173">
        <v>202005</v>
      </c>
      <c r="B26" s="75" t="s">
        <v>72</v>
      </c>
      <c r="C26" s="77" t="str">
        <f>CONCATENATE(Table4[[#This Row],[Project]],"-",Table4[[#This Row],[WO]])</f>
        <v>202005-07</v>
      </c>
      <c r="D26" s="76" t="s">
        <v>114</v>
      </c>
      <c r="E26" s="77" t="s">
        <v>57</v>
      </c>
      <c r="F26" s="77" t="s">
        <v>58</v>
      </c>
      <c r="G26" s="77" t="s">
        <v>59</v>
      </c>
      <c r="H26" s="77" t="s">
        <v>74</v>
      </c>
      <c r="I26" s="102" t="s">
        <v>75</v>
      </c>
      <c r="J26" s="77" t="s">
        <v>62</v>
      </c>
      <c r="K26" s="77" t="s">
        <v>63</v>
      </c>
      <c r="L26" s="77" t="s">
        <v>76</v>
      </c>
      <c r="M26" s="77" t="s">
        <v>65</v>
      </c>
      <c r="N26" s="77" t="s">
        <v>77</v>
      </c>
      <c r="O26" s="77" t="s">
        <v>67</v>
      </c>
      <c r="P26" s="76" t="s">
        <v>115</v>
      </c>
      <c r="Q26" s="183" t="s">
        <v>116</v>
      </c>
      <c r="R26" s="152" t="s">
        <v>80</v>
      </c>
      <c r="S26" s="77">
        <v>2020</v>
      </c>
      <c r="T26" s="179">
        <v>1</v>
      </c>
      <c r="U26" s="180">
        <v>10620</v>
      </c>
      <c r="V26" s="180">
        <f>Table4[[#This Row],[Expected Revenue]]*Table4[[#This Row],[Probability]]</f>
        <v>10620</v>
      </c>
      <c r="W26" s="180">
        <f t="shared" si="0"/>
        <v>20800</v>
      </c>
      <c r="X26" s="179">
        <v>0.3</v>
      </c>
      <c r="Y26" s="180">
        <f>Table4[[#This Row],[Rev. Based on PROB]]*Table4[[#This Row],[Expected CMR]]</f>
        <v>3186</v>
      </c>
      <c r="Z26" s="203" t="s">
        <v>74</v>
      </c>
      <c r="AA26" s="77"/>
      <c r="AB26" s="77"/>
      <c r="AC26" s="180"/>
      <c r="AD26" s="220"/>
      <c r="AE26" s="220"/>
      <c r="AF26" s="220"/>
      <c r="AG26" s="185"/>
      <c r="AH26" s="185"/>
      <c r="AI26" s="185"/>
      <c r="AJ26" s="185"/>
      <c r="AK26" s="979"/>
      <c r="AL26" s="180"/>
      <c r="AM26" s="77"/>
      <c r="AN26" s="77"/>
      <c r="AO26" s="110" t="str">
        <f>IF(Table4[[#This Row],[Finish (demob)]]&lt;&gt;"",Table4[[#This Row],[Finish (demob)]]+10,"")</f>
        <v/>
      </c>
      <c r="AP26" s="110" t="str">
        <f>IF(Table4[[#This Row],[Finish (demob)]]&lt;&gt;"",Table4[[#This Row],[Finish (demob)]]+10,"")</f>
        <v/>
      </c>
      <c r="AQ26" s="220"/>
      <c r="AR26" s="77" t="str">
        <f>IF(Table4[[#This Row],[Date Report is delivered:]]&lt;&gt;"", "Delivered", "")</f>
        <v/>
      </c>
      <c r="AS26" s="179"/>
      <c r="AT26" s="77"/>
      <c r="AU26" s="179"/>
      <c r="AV26" s="77"/>
      <c r="AW26" s="77"/>
    </row>
    <row r="27" spans="1:49" hidden="1">
      <c r="A27" s="173">
        <v>202005</v>
      </c>
      <c r="B27" s="75" t="s">
        <v>81</v>
      </c>
      <c r="C27" s="77" t="str">
        <f>CONCATENATE(Table4[[#This Row],[Project]],"-",Table4[[#This Row],[WO]])</f>
        <v>202005-06</v>
      </c>
      <c r="D27" s="76" t="s">
        <v>114</v>
      </c>
      <c r="E27" s="77" t="s">
        <v>57</v>
      </c>
      <c r="F27" s="77" t="s">
        <v>58</v>
      </c>
      <c r="G27" s="77" t="s">
        <v>59</v>
      </c>
      <c r="H27" s="77" t="s">
        <v>74</v>
      </c>
      <c r="I27" s="102" t="s">
        <v>82</v>
      </c>
      <c r="J27" s="77" t="s">
        <v>83</v>
      </c>
      <c r="K27" s="77" t="s">
        <v>63</v>
      </c>
      <c r="L27" s="77" t="s">
        <v>76</v>
      </c>
      <c r="M27" s="77" t="s">
        <v>65</v>
      </c>
      <c r="N27" s="77" t="s">
        <v>77</v>
      </c>
      <c r="O27" s="77" t="s">
        <v>67</v>
      </c>
      <c r="P27" s="76" t="s">
        <v>115</v>
      </c>
      <c r="Q27" s="183" t="s">
        <v>116</v>
      </c>
      <c r="R27" s="110" t="s">
        <v>84</v>
      </c>
      <c r="S27" s="77">
        <v>2020</v>
      </c>
      <c r="T27" s="179">
        <v>1</v>
      </c>
      <c r="U27" s="180">
        <v>17300</v>
      </c>
      <c r="V27" s="180">
        <f>Table4[[#This Row],[Expected Revenue]]*Table4[[#This Row],[Probability]]</f>
        <v>17300</v>
      </c>
      <c r="W27" s="180">
        <f t="shared" si="0"/>
        <v>20800</v>
      </c>
      <c r="X27" s="179">
        <v>0.3</v>
      </c>
      <c r="Y27" s="180">
        <f>Table4[[#This Row],[Rev. Based on PROB]]*Table4[[#This Row],[Expected CMR]]</f>
        <v>5190</v>
      </c>
      <c r="Z27" s="203" t="s">
        <v>74</v>
      </c>
      <c r="AA27" s="77"/>
      <c r="AB27" s="77"/>
      <c r="AC27" s="180"/>
      <c r="AD27" s="220"/>
      <c r="AE27" s="220"/>
      <c r="AF27" s="220"/>
      <c r="AG27" s="185"/>
      <c r="AH27" s="185"/>
      <c r="AI27" s="185"/>
      <c r="AJ27" s="185"/>
      <c r="AK27" s="979"/>
      <c r="AL27" s="180"/>
      <c r="AM27" s="77"/>
      <c r="AN27" s="77"/>
      <c r="AO27" s="110" t="str">
        <f>IF(Table4[[#This Row],[Finish (demob)]]&lt;&gt;"",Table4[[#This Row],[Finish (demob)]]+10,"")</f>
        <v/>
      </c>
      <c r="AP27" s="110" t="str">
        <f>IF(Table4[[#This Row],[Finish (demob)]]&lt;&gt;"",Table4[[#This Row],[Finish (demob)]]+10,"")</f>
        <v/>
      </c>
      <c r="AQ27" s="220"/>
      <c r="AR27" s="77" t="str">
        <f>IF(Table4[[#This Row],[Date Report is delivered:]]&lt;&gt;"", "Delivered", "")</f>
        <v/>
      </c>
      <c r="AS27" s="179"/>
      <c r="AT27" s="77"/>
      <c r="AU27" s="179"/>
      <c r="AV27" s="77"/>
      <c r="AW27" s="77"/>
    </row>
    <row r="28" spans="1:49" hidden="1">
      <c r="A28" s="173">
        <v>202005</v>
      </c>
      <c r="B28" s="75" t="s">
        <v>55</v>
      </c>
      <c r="C28" s="77" t="str">
        <f>CONCATENATE(Table4[[#This Row],[Project]],"-",Table4[[#This Row],[WO]])</f>
        <v>202005-03</v>
      </c>
      <c r="D28" s="76" t="s">
        <v>114</v>
      </c>
      <c r="E28" s="77" t="s">
        <v>57</v>
      </c>
      <c r="F28" s="77" t="s">
        <v>58</v>
      </c>
      <c r="G28" s="77" t="s">
        <v>59</v>
      </c>
      <c r="H28" s="77" t="s">
        <v>74</v>
      </c>
      <c r="I28" s="102" t="s">
        <v>113</v>
      </c>
      <c r="J28" s="77" t="s">
        <v>62</v>
      </c>
      <c r="K28" s="77" t="s">
        <v>63</v>
      </c>
      <c r="L28" s="77" t="s">
        <v>76</v>
      </c>
      <c r="M28" s="77" t="s">
        <v>65</v>
      </c>
      <c r="N28" s="77" t="s">
        <v>77</v>
      </c>
      <c r="O28" s="77" t="s">
        <v>67</v>
      </c>
      <c r="P28" s="76" t="s">
        <v>115</v>
      </c>
      <c r="Q28" s="183" t="s">
        <v>116</v>
      </c>
      <c r="R28" s="110" t="s">
        <v>93</v>
      </c>
      <c r="S28" s="77">
        <v>2020</v>
      </c>
      <c r="T28" s="179">
        <v>1</v>
      </c>
      <c r="U28" s="180">
        <v>31649</v>
      </c>
      <c r="V28" s="180">
        <f>Table4[[#This Row],[Expected Revenue]]*Table4[[#This Row],[Probability]]</f>
        <v>31649</v>
      </c>
      <c r="W28" s="180">
        <f t="shared" si="0"/>
        <v>20800</v>
      </c>
      <c r="X28" s="179">
        <v>0.3</v>
      </c>
      <c r="Y28" s="180">
        <f>Table4[[#This Row],[Rev. Based on PROB]]*Table4[[#This Row],[Expected CMR]]</f>
        <v>9494.6999999999989</v>
      </c>
      <c r="Z28" s="203" t="s">
        <v>74</v>
      </c>
      <c r="AA28" s="77"/>
      <c r="AB28" s="77"/>
      <c r="AC28" s="180"/>
      <c r="AD28" s="220">
        <v>43858</v>
      </c>
      <c r="AE28" s="220"/>
      <c r="AF28" s="220"/>
      <c r="AG28" s="185"/>
      <c r="AH28" s="185"/>
      <c r="AI28" s="185"/>
      <c r="AJ28" s="185"/>
      <c r="AK28" s="979"/>
      <c r="AL28" s="180"/>
      <c r="AM28" s="77"/>
      <c r="AN28" s="77"/>
      <c r="AO28" s="110" t="str">
        <f>IF(Table4[[#This Row],[Finish (demob)]]&lt;&gt;"",Table4[[#This Row],[Finish (demob)]]+10,"")</f>
        <v/>
      </c>
      <c r="AP28" s="110" t="str">
        <f>IF(Table4[[#This Row],[Finish (demob)]]&lt;&gt;"",Table4[[#This Row],[Finish (demob)]]+10,"")</f>
        <v/>
      </c>
      <c r="AQ28" s="220"/>
      <c r="AR28" s="77" t="str">
        <f>IF(Table4[[#This Row],[Date Report is delivered:]]&lt;&gt;"", "Delivered", "")</f>
        <v/>
      </c>
      <c r="AS28" s="179"/>
      <c r="AT28" s="77"/>
      <c r="AU28" s="179"/>
      <c r="AV28" s="77"/>
      <c r="AW28" s="77"/>
    </row>
    <row r="29" spans="1:49" hidden="1">
      <c r="A29" s="173">
        <v>202005</v>
      </c>
      <c r="B29" s="75" t="s">
        <v>86</v>
      </c>
      <c r="C29" s="77" t="str">
        <f>CONCATENATE(Table4[[#This Row],[Project]],"-",Table4[[#This Row],[WO]])</f>
        <v>202005-05</v>
      </c>
      <c r="D29" s="76" t="s">
        <v>114</v>
      </c>
      <c r="E29" s="77" t="s">
        <v>57</v>
      </c>
      <c r="F29" s="77" t="s">
        <v>58</v>
      </c>
      <c r="G29" s="77" t="s">
        <v>59</v>
      </c>
      <c r="H29" s="77" t="s">
        <v>74</v>
      </c>
      <c r="I29" s="102" t="s">
        <v>87</v>
      </c>
      <c r="J29" s="77" t="s">
        <v>88</v>
      </c>
      <c r="K29" s="77" t="s">
        <v>63</v>
      </c>
      <c r="L29" s="77" t="s">
        <v>76</v>
      </c>
      <c r="M29" s="77" t="s">
        <v>65</v>
      </c>
      <c r="N29" s="77" t="s">
        <v>77</v>
      </c>
      <c r="O29" s="77" t="s">
        <v>67</v>
      </c>
      <c r="P29" s="76" t="s">
        <v>115</v>
      </c>
      <c r="Q29" s="183" t="s">
        <v>116</v>
      </c>
      <c r="R29" s="110" t="s">
        <v>89</v>
      </c>
      <c r="S29" s="77">
        <v>2020</v>
      </c>
      <c r="T29" s="179">
        <v>1</v>
      </c>
      <c r="U29" s="180">
        <v>27538</v>
      </c>
      <c r="V29" s="180">
        <f>Table4[[#This Row],[Expected Revenue]]*Table4[[#This Row],[Probability]]</f>
        <v>27538</v>
      </c>
      <c r="W29" s="180">
        <f t="shared" si="0"/>
        <v>20800</v>
      </c>
      <c r="X29" s="179">
        <v>0.3</v>
      </c>
      <c r="Y29" s="180">
        <f>Table4[[#This Row],[Rev. Based on PROB]]*Table4[[#This Row],[Expected CMR]]</f>
        <v>8261.4</v>
      </c>
      <c r="Z29" s="203" t="s">
        <v>74</v>
      </c>
      <c r="AA29" s="77"/>
      <c r="AB29" s="181"/>
      <c r="AC29" s="180"/>
      <c r="AD29" s="220"/>
      <c r="AE29" s="220"/>
      <c r="AF29" s="220"/>
      <c r="AG29" s="185"/>
      <c r="AH29" s="185"/>
      <c r="AI29" s="185"/>
      <c r="AJ29" s="185"/>
      <c r="AK29" s="979"/>
      <c r="AL29" s="180"/>
      <c r="AM29" s="77"/>
      <c r="AN29" s="77"/>
      <c r="AO29" s="110" t="str">
        <f>IF(Table4[[#This Row],[Finish (demob)]]&lt;&gt;"",Table4[[#This Row],[Finish (demob)]]+10,"")</f>
        <v/>
      </c>
      <c r="AP29" s="110" t="str">
        <f>IF(Table4[[#This Row],[Finish (demob)]]&lt;&gt;"",Table4[[#This Row],[Finish (demob)]]+10,"")</f>
        <v/>
      </c>
      <c r="AQ29" s="220"/>
      <c r="AR29" s="77" t="str">
        <f>IF(Table4[[#This Row],[Date Report is delivered:]]&lt;&gt;"", "Delivered", "")</f>
        <v/>
      </c>
      <c r="AS29" s="179"/>
      <c r="AT29" s="77"/>
      <c r="AU29" s="179"/>
      <c r="AV29" s="77"/>
      <c r="AW29" s="77"/>
    </row>
    <row r="30" spans="1:49" hidden="1">
      <c r="A30" s="173">
        <v>202005</v>
      </c>
      <c r="B30" s="75" t="s">
        <v>90</v>
      </c>
      <c r="C30" s="77" t="str">
        <f>CONCATENATE(Table4[[#This Row],[Project]],"-",Table4[[#This Row],[WO]])</f>
        <v>202005-04</v>
      </c>
      <c r="D30" s="76" t="s">
        <v>114</v>
      </c>
      <c r="E30" s="77" t="s">
        <v>57</v>
      </c>
      <c r="F30" s="77" t="s">
        <v>58</v>
      </c>
      <c r="G30" s="77" t="s">
        <v>59</v>
      </c>
      <c r="H30" s="77" t="s">
        <v>74</v>
      </c>
      <c r="I30" s="102" t="s">
        <v>91</v>
      </c>
      <c r="J30" s="77" t="s">
        <v>92</v>
      </c>
      <c r="K30" s="77" t="s">
        <v>63</v>
      </c>
      <c r="L30" s="77" t="s">
        <v>76</v>
      </c>
      <c r="M30" s="77" t="s">
        <v>65</v>
      </c>
      <c r="N30" s="77" t="s">
        <v>77</v>
      </c>
      <c r="O30" s="77" t="s">
        <v>67</v>
      </c>
      <c r="P30" s="76" t="s">
        <v>115</v>
      </c>
      <c r="Q30" s="183" t="s">
        <v>116</v>
      </c>
      <c r="R30" s="110" t="s">
        <v>93</v>
      </c>
      <c r="S30" s="77">
        <v>2020</v>
      </c>
      <c r="T30" s="179">
        <v>1</v>
      </c>
      <c r="U30" s="180">
        <v>18622.25</v>
      </c>
      <c r="V30" s="180">
        <f>Table4[[#This Row],[Expected Revenue]]*Table4[[#This Row],[Probability]]</f>
        <v>18622.25</v>
      </c>
      <c r="W30" s="180">
        <f t="shared" si="0"/>
        <v>20800</v>
      </c>
      <c r="X30" s="179">
        <v>0.3</v>
      </c>
      <c r="Y30" s="180">
        <f>Table4[[#This Row],[Rev. Based on PROB]]*Table4[[#This Row],[Expected CMR]]</f>
        <v>5586.6750000000002</v>
      </c>
      <c r="Z30" s="203" t="s">
        <v>74</v>
      </c>
      <c r="AA30" s="77"/>
      <c r="AB30" s="77"/>
      <c r="AC30" s="180"/>
      <c r="AD30" s="220">
        <v>43858</v>
      </c>
      <c r="AE30" s="220"/>
      <c r="AF30" s="220"/>
      <c r="AG30" s="185"/>
      <c r="AH30" s="185"/>
      <c r="AI30" s="185"/>
      <c r="AJ30" s="185"/>
      <c r="AK30" s="979"/>
      <c r="AL30" s="180"/>
      <c r="AM30" s="77"/>
      <c r="AN30" s="77"/>
      <c r="AO30" s="110" t="str">
        <f>IF(Table4[[#This Row],[Finish (demob)]]&lt;&gt;"",Table4[[#This Row],[Finish (demob)]]+10,"")</f>
        <v/>
      </c>
      <c r="AP30" s="110" t="str">
        <f>IF(Table4[[#This Row],[Finish (demob)]]&lt;&gt;"",Table4[[#This Row],[Finish (demob)]]+10,"")</f>
        <v/>
      </c>
      <c r="AQ30" s="220"/>
      <c r="AR30" s="77" t="str">
        <f>IF(Table4[[#This Row],[Date Report is delivered:]]&lt;&gt;"", "Delivered", "")</f>
        <v/>
      </c>
      <c r="AS30" s="179"/>
      <c r="AT30" s="77"/>
      <c r="AU30" s="179"/>
      <c r="AV30" s="77"/>
      <c r="AW30" s="77"/>
    </row>
    <row r="31" spans="1:49" hidden="1">
      <c r="A31" s="173">
        <v>202005</v>
      </c>
      <c r="B31" s="75" t="s">
        <v>90</v>
      </c>
      <c r="C31" s="77" t="str">
        <f>CONCATENATE(Table4[[#This Row],[Project]],"-",Table4[[#This Row],[WO]])</f>
        <v>202005-04</v>
      </c>
      <c r="D31" s="76" t="s">
        <v>114</v>
      </c>
      <c r="E31" s="77" t="s">
        <v>57</v>
      </c>
      <c r="F31" s="77" t="s">
        <v>58</v>
      </c>
      <c r="G31" s="77" t="s">
        <v>59</v>
      </c>
      <c r="H31" s="77" t="s">
        <v>74</v>
      </c>
      <c r="I31" s="102" t="s">
        <v>96</v>
      </c>
      <c r="J31" s="77" t="s">
        <v>92</v>
      </c>
      <c r="K31" s="77" t="s">
        <v>63</v>
      </c>
      <c r="L31" s="77" t="s">
        <v>76</v>
      </c>
      <c r="M31" s="77" t="s">
        <v>65</v>
      </c>
      <c r="N31" s="77" t="s">
        <v>77</v>
      </c>
      <c r="O31" s="77" t="s">
        <v>67</v>
      </c>
      <c r="P31" s="76" t="s">
        <v>115</v>
      </c>
      <c r="Q31" s="183" t="s">
        <v>116</v>
      </c>
      <c r="R31" s="110" t="s">
        <v>89</v>
      </c>
      <c r="S31" s="77">
        <v>2020</v>
      </c>
      <c r="T31" s="179">
        <v>1</v>
      </c>
      <c r="U31" s="180">
        <v>18622.25</v>
      </c>
      <c r="V31" s="180">
        <f>Table4[[#This Row],[Expected Revenue]]*Table4[[#This Row],[Probability]]</f>
        <v>18622.25</v>
      </c>
      <c r="W31" s="180">
        <f t="shared" si="0"/>
        <v>20800</v>
      </c>
      <c r="X31" s="179">
        <v>0.3</v>
      </c>
      <c r="Y31" s="180">
        <f>Table4[[#This Row],[Rev. Based on PROB]]*Table4[[#This Row],[Expected CMR]]</f>
        <v>5586.6750000000002</v>
      </c>
      <c r="Z31" s="203" t="s">
        <v>74</v>
      </c>
      <c r="AA31" s="77"/>
      <c r="AB31" s="77"/>
      <c r="AC31" s="180"/>
      <c r="AD31" s="220"/>
      <c r="AE31" s="220"/>
      <c r="AF31" s="220"/>
      <c r="AG31" s="185"/>
      <c r="AH31" s="185"/>
      <c r="AI31" s="185"/>
      <c r="AJ31" s="185"/>
      <c r="AK31" s="979"/>
      <c r="AL31" s="180"/>
      <c r="AM31" s="77"/>
      <c r="AN31" s="77"/>
      <c r="AO31" s="110" t="str">
        <f>IF(Table4[[#This Row],[Finish (demob)]]&lt;&gt;"",Table4[[#This Row],[Finish (demob)]]+10,"")</f>
        <v/>
      </c>
      <c r="AP31" s="110" t="str">
        <f>IF(Table4[[#This Row],[Finish (demob)]]&lt;&gt;"",Table4[[#This Row],[Finish (demob)]]+10,"")</f>
        <v/>
      </c>
      <c r="AQ31" s="220"/>
      <c r="AR31" s="77" t="str">
        <f>IF(Table4[[#This Row],[Date Report is delivered:]]&lt;&gt;"", "Delivered", "")</f>
        <v/>
      </c>
      <c r="AS31" s="179"/>
      <c r="AT31" s="77"/>
      <c r="AU31" s="179"/>
      <c r="AV31" s="77"/>
      <c r="AW31" s="77"/>
    </row>
    <row r="32" spans="1:49" hidden="1">
      <c r="A32" s="173">
        <v>202005</v>
      </c>
      <c r="B32" s="75" t="s">
        <v>90</v>
      </c>
      <c r="C32" s="77" t="str">
        <f>CONCATENATE(Table4[[#This Row],[Project]],"-",Table4[[#This Row],[WO]])</f>
        <v>202005-04</v>
      </c>
      <c r="D32" s="76" t="s">
        <v>114</v>
      </c>
      <c r="E32" s="77" t="s">
        <v>57</v>
      </c>
      <c r="F32" s="77" t="s">
        <v>58</v>
      </c>
      <c r="G32" s="77" t="s">
        <v>59</v>
      </c>
      <c r="H32" s="77" t="s">
        <v>74</v>
      </c>
      <c r="I32" s="102" t="s">
        <v>97</v>
      </c>
      <c r="J32" s="77" t="s">
        <v>92</v>
      </c>
      <c r="K32" s="77" t="s">
        <v>63</v>
      </c>
      <c r="L32" s="77" t="s">
        <v>76</v>
      </c>
      <c r="M32" s="77" t="s">
        <v>65</v>
      </c>
      <c r="N32" s="77" t="s">
        <v>77</v>
      </c>
      <c r="O32" s="77" t="s">
        <v>67</v>
      </c>
      <c r="P32" s="76" t="s">
        <v>115</v>
      </c>
      <c r="Q32" s="183" t="s">
        <v>116</v>
      </c>
      <c r="R32" s="110" t="s">
        <v>84</v>
      </c>
      <c r="S32" s="77">
        <v>2020</v>
      </c>
      <c r="T32" s="179">
        <v>1</v>
      </c>
      <c r="U32" s="180">
        <v>18622.25</v>
      </c>
      <c r="V32" s="180">
        <f>Table4[[#This Row],[Expected Revenue]]*Table4[[#This Row],[Probability]]</f>
        <v>18622.25</v>
      </c>
      <c r="W32" s="180">
        <f t="shared" si="0"/>
        <v>20800</v>
      </c>
      <c r="X32" s="179">
        <v>0.3</v>
      </c>
      <c r="Y32" s="180">
        <f>Table4[[#This Row],[Rev. Based on PROB]]*Table4[[#This Row],[Expected CMR]]</f>
        <v>5586.6750000000002</v>
      </c>
      <c r="Z32" s="203" t="s">
        <v>74</v>
      </c>
      <c r="AA32" s="77"/>
      <c r="AB32" s="77"/>
      <c r="AC32" s="180"/>
      <c r="AD32" s="220"/>
      <c r="AE32" s="220"/>
      <c r="AF32" s="220"/>
      <c r="AG32" s="185"/>
      <c r="AH32" s="185"/>
      <c r="AI32" s="185"/>
      <c r="AJ32" s="185"/>
      <c r="AK32" s="182"/>
      <c r="AL32" s="180"/>
      <c r="AM32" s="77"/>
      <c r="AN32" s="77"/>
      <c r="AO32" s="110" t="str">
        <f>IF(Table4[[#This Row],[Finish (demob)]]&lt;&gt;"",Table4[[#This Row],[Finish (demob)]]+10,"")</f>
        <v/>
      </c>
      <c r="AP32" s="110" t="str">
        <f>IF(Table4[[#This Row],[Finish (demob)]]&lt;&gt;"",Table4[[#This Row],[Finish (demob)]]+10,"")</f>
        <v/>
      </c>
      <c r="AQ32" s="220"/>
      <c r="AR32" s="77" t="str">
        <f>IF(Table4[[#This Row],[Date Report is delivered:]]&lt;&gt;"", "Delivered", "")</f>
        <v/>
      </c>
      <c r="AS32" s="179"/>
      <c r="AT32" s="77"/>
      <c r="AU32" s="179"/>
      <c r="AV32" s="77"/>
      <c r="AW32" s="77"/>
    </row>
    <row r="33" spans="1:49" hidden="1">
      <c r="A33" s="173">
        <v>202005</v>
      </c>
      <c r="B33" s="75" t="s">
        <v>90</v>
      </c>
      <c r="C33" s="77" t="str">
        <f>CONCATENATE(Table4[[#This Row],[Project]],"-",Table4[[#This Row],[WO]])</f>
        <v>202005-04</v>
      </c>
      <c r="D33" s="76" t="s">
        <v>114</v>
      </c>
      <c r="E33" s="77" t="s">
        <v>57</v>
      </c>
      <c r="F33" s="77" t="s">
        <v>58</v>
      </c>
      <c r="G33" s="77" t="s">
        <v>59</v>
      </c>
      <c r="H33" s="77" t="s">
        <v>74</v>
      </c>
      <c r="I33" s="102" t="s">
        <v>101</v>
      </c>
      <c r="J33" s="77" t="s">
        <v>92</v>
      </c>
      <c r="K33" s="77" t="s">
        <v>63</v>
      </c>
      <c r="L33" s="77" t="s">
        <v>76</v>
      </c>
      <c r="M33" s="77" t="s">
        <v>65</v>
      </c>
      <c r="N33" s="77" t="s">
        <v>77</v>
      </c>
      <c r="O33" s="77" t="s">
        <v>67</v>
      </c>
      <c r="P33" s="76" t="s">
        <v>115</v>
      </c>
      <c r="Q33" s="183" t="s">
        <v>116</v>
      </c>
      <c r="R33" s="110" t="s">
        <v>102</v>
      </c>
      <c r="S33" s="77">
        <v>2020</v>
      </c>
      <c r="T33" s="179">
        <v>1</v>
      </c>
      <c r="U33" s="180">
        <v>18622.25</v>
      </c>
      <c r="V33" s="180">
        <f>Table4[[#This Row],[Expected Revenue]]*Table4[[#This Row],[Probability]]</f>
        <v>18622.25</v>
      </c>
      <c r="W33" s="180">
        <f t="shared" si="0"/>
        <v>20800</v>
      </c>
      <c r="X33" s="179">
        <v>0.3</v>
      </c>
      <c r="Y33" s="180">
        <f>Table4[[#This Row],[Rev. Based on PROB]]*Table4[[#This Row],[Expected CMR]]</f>
        <v>5586.6750000000002</v>
      </c>
      <c r="Z33" s="203" t="s">
        <v>74</v>
      </c>
      <c r="AA33" s="77"/>
      <c r="AB33" s="77"/>
      <c r="AC33" s="180"/>
      <c r="AD33" s="220"/>
      <c r="AE33" s="220"/>
      <c r="AF33" s="220"/>
      <c r="AG33" s="185"/>
      <c r="AH33" s="185"/>
      <c r="AI33" s="185"/>
      <c r="AJ33" s="185"/>
      <c r="AK33" s="979"/>
      <c r="AL33" s="180"/>
      <c r="AM33" s="77"/>
      <c r="AN33" s="77"/>
      <c r="AO33" s="110" t="str">
        <f>IF(Table4[[#This Row],[Finish (demob)]]&lt;&gt;"",Table4[[#This Row],[Finish (demob)]]+10,"")</f>
        <v/>
      </c>
      <c r="AP33" s="110" t="str">
        <f>IF(Table4[[#This Row],[Finish (demob)]]&lt;&gt;"",Table4[[#This Row],[Finish (demob)]]+10,"")</f>
        <v/>
      </c>
      <c r="AQ33" s="220"/>
      <c r="AR33" s="77" t="str">
        <f>IF(Table4[[#This Row],[Date Report is delivered:]]&lt;&gt;"", "Delivered", "")</f>
        <v/>
      </c>
      <c r="AS33" s="179"/>
      <c r="AT33" s="77"/>
      <c r="AU33" s="179"/>
      <c r="AV33" s="77"/>
      <c r="AW33" s="77"/>
    </row>
    <row r="34" spans="1:49" hidden="1">
      <c r="A34" s="173">
        <v>202014</v>
      </c>
      <c r="B34" s="75" t="s">
        <v>55</v>
      </c>
      <c r="C34" s="77" t="str">
        <f>CONCATENATE(Table4[[#This Row],[Project]],"-",Table4[[#This Row],[WO]])</f>
        <v>202014-03</v>
      </c>
      <c r="D34" s="76" t="s">
        <v>117</v>
      </c>
      <c r="E34" s="77" t="s">
        <v>57</v>
      </c>
      <c r="F34" s="77" t="s">
        <v>58</v>
      </c>
      <c r="G34" s="77" t="s">
        <v>59</v>
      </c>
      <c r="H34" s="77" t="s">
        <v>105</v>
      </c>
      <c r="I34" s="102" t="s">
        <v>113</v>
      </c>
      <c r="J34" s="77" t="s">
        <v>62</v>
      </c>
      <c r="K34" s="77" t="s">
        <v>63</v>
      </c>
      <c r="L34" s="77" t="s">
        <v>108</v>
      </c>
      <c r="M34" s="77" t="s">
        <v>65</v>
      </c>
      <c r="N34" s="77" t="s">
        <v>77</v>
      </c>
      <c r="O34" s="77" t="s">
        <v>67</v>
      </c>
      <c r="P34" s="76" t="s">
        <v>118</v>
      </c>
      <c r="Q34" s="183" t="s">
        <v>119</v>
      </c>
      <c r="R34" s="110" t="s">
        <v>93</v>
      </c>
      <c r="S34" s="77">
        <v>2020</v>
      </c>
      <c r="T34" s="179">
        <v>1</v>
      </c>
      <c r="U34" s="180">
        <v>31649</v>
      </c>
      <c r="V34" s="180">
        <f>Table4[[#This Row],[Expected Revenue]]*Table4[[#This Row],[Probability]]</f>
        <v>31649</v>
      </c>
      <c r="W34" s="180">
        <f t="shared" si="0"/>
        <v>20800</v>
      </c>
      <c r="X34" s="179">
        <v>0.3</v>
      </c>
      <c r="Y34" s="180">
        <f>Table4[[#This Row],[Rev. Based on PROB]]*Table4[[#This Row],[Expected CMR]]</f>
        <v>9494.6999999999989</v>
      </c>
      <c r="Z34" s="203" t="s">
        <v>105</v>
      </c>
      <c r="AA34" s="77"/>
      <c r="AB34" s="77"/>
      <c r="AC34" s="180"/>
      <c r="AD34" s="220">
        <v>43857</v>
      </c>
      <c r="AE34" s="220"/>
      <c r="AF34" s="220">
        <v>43861</v>
      </c>
      <c r="AG34" s="185">
        <v>3990</v>
      </c>
      <c r="AH34" s="185">
        <v>2775</v>
      </c>
      <c r="AI34" s="189" t="s">
        <v>120</v>
      </c>
      <c r="AJ34" s="185" t="s">
        <v>121</v>
      </c>
      <c r="AK34" s="979"/>
      <c r="AL34" s="180"/>
      <c r="AM34" s="77"/>
      <c r="AN34" s="77"/>
      <c r="AO34" s="110" t="str">
        <f>IF(Table4[[#This Row],[Finish (demob)]]&lt;&gt;"",Table4[[#This Row],[Finish (demob)]]+10,"")</f>
        <v/>
      </c>
      <c r="AP34" s="110" t="str">
        <f>IF(Table4[[#This Row],[Finish (demob)]]&lt;&gt;"",Table4[[#This Row],[Finish (demob)]]+10,"")</f>
        <v/>
      </c>
      <c r="AQ34" s="220"/>
      <c r="AR34" s="77" t="str">
        <f>IF(Table4[[#This Row],[Date Report is delivered:]]&lt;&gt;"", "Delivered", "")</f>
        <v/>
      </c>
      <c r="AS34" s="179"/>
      <c r="AT34" s="77"/>
      <c r="AU34" s="179"/>
      <c r="AV34" s="77"/>
      <c r="AW34" s="77"/>
    </row>
    <row r="35" spans="1:49" hidden="1">
      <c r="A35" s="173">
        <v>202009</v>
      </c>
      <c r="B35" s="75" t="s">
        <v>111</v>
      </c>
      <c r="C35" s="77" t="str">
        <f>CONCATENATE(Table4[[#This Row],[Project]],"-",Table4[[#This Row],[WO]])</f>
        <v>202009-02</v>
      </c>
      <c r="D35" s="76" t="s">
        <v>122</v>
      </c>
      <c r="E35" s="77" t="s">
        <v>57</v>
      </c>
      <c r="F35" s="77" t="s">
        <v>58</v>
      </c>
      <c r="G35" s="77" t="s">
        <v>59</v>
      </c>
      <c r="H35" s="77" t="s">
        <v>123</v>
      </c>
      <c r="I35" s="102" t="s">
        <v>112</v>
      </c>
      <c r="J35" s="77" t="s">
        <v>71</v>
      </c>
      <c r="K35" s="77" t="s">
        <v>63</v>
      </c>
      <c r="L35" s="77" t="s">
        <v>124</v>
      </c>
      <c r="M35" s="77" t="s">
        <v>65</v>
      </c>
      <c r="N35" s="77" t="s">
        <v>77</v>
      </c>
      <c r="O35" s="77" t="s">
        <v>67</v>
      </c>
      <c r="P35" s="76"/>
      <c r="Q35" s="183"/>
      <c r="R35" s="110" t="s">
        <v>93</v>
      </c>
      <c r="S35" s="77">
        <v>2020</v>
      </c>
      <c r="T35" s="179">
        <v>1</v>
      </c>
      <c r="U35" s="180">
        <v>30630</v>
      </c>
      <c r="V35" s="180">
        <f>Table4[[#This Row],[Expected Revenue]]*Table4[[#This Row],[Probability]]</f>
        <v>30630</v>
      </c>
      <c r="W35" s="180">
        <f t="shared" si="0"/>
        <v>20800</v>
      </c>
      <c r="X35" s="179">
        <v>0.3</v>
      </c>
      <c r="Y35" s="180">
        <f>Table4[[#This Row],[Rev. Based on PROB]]*Table4[[#This Row],[Expected CMR]]</f>
        <v>9189</v>
      </c>
      <c r="Z35" s="203" t="s">
        <v>123</v>
      </c>
      <c r="AA35" s="77"/>
      <c r="AB35" s="77"/>
      <c r="AC35" s="180"/>
      <c r="AD35" s="220"/>
      <c r="AE35" s="220"/>
      <c r="AF35" s="220"/>
      <c r="AG35" s="185"/>
      <c r="AH35" s="185"/>
      <c r="AI35" s="185"/>
      <c r="AJ35" s="185"/>
      <c r="AK35" s="979"/>
      <c r="AL35" s="180"/>
      <c r="AM35" s="77"/>
      <c r="AN35" s="77"/>
      <c r="AO35" s="110" t="str">
        <f>IF(Table4[[#This Row],[Finish (demob)]]&lt;&gt;"",Table4[[#This Row],[Finish (demob)]]+10,"")</f>
        <v/>
      </c>
      <c r="AP35" s="110" t="str">
        <f>IF(Table4[[#This Row],[Finish (demob)]]&lt;&gt;"",Table4[[#This Row],[Finish (demob)]]+10,"")</f>
        <v/>
      </c>
      <c r="AQ35" s="220"/>
      <c r="AR35" s="77" t="str">
        <f>IF(Table4[[#This Row],[Date Report is delivered:]]&lt;&gt;"", "Delivered", "")</f>
        <v/>
      </c>
      <c r="AS35" s="179"/>
      <c r="AT35" s="77"/>
      <c r="AU35" s="179"/>
      <c r="AV35" s="77"/>
      <c r="AW35" s="77"/>
    </row>
    <row r="36" spans="1:49" hidden="1">
      <c r="A36" s="173">
        <v>202009</v>
      </c>
      <c r="B36" s="75" t="s">
        <v>72</v>
      </c>
      <c r="C36" s="77" t="str">
        <f>CONCATENATE(Table4[[#This Row],[Project]],"-",Table4[[#This Row],[WO]])</f>
        <v>202009-07</v>
      </c>
      <c r="D36" s="76" t="s">
        <v>122</v>
      </c>
      <c r="E36" s="77" t="s">
        <v>57</v>
      </c>
      <c r="F36" s="77" t="s">
        <v>58</v>
      </c>
      <c r="G36" s="77" t="s">
        <v>59</v>
      </c>
      <c r="H36" s="77" t="s">
        <v>123</v>
      </c>
      <c r="I36" s="102" t="s">
        <v>75</v>
      </c>
      <c r="J36" s="77" t="s">
        <v>62</v>
      </c>
      <c r="K36" s="77" t="s">
        <v>63</v>
      </c>
      <c r="L36" s="77" t="s">
        <v>124</v>
      </c>
      <c r="M36" s="77" t="s">
        <v>65</v>
      </c>
      <c r="N36" s="77" t="s">
        <v>77</v>
      </c>
      <c r="O36" s="77" t="s">
        <v>67</v>
      </c>
      <c r="P36" s="76"/>
      <c r="Q36" s="183"/>
      <c r="R36" s="152" t="s">
        <v>80</v>
      </c>
      <c r="S36" s="77">
        <v>2020</v>
      </c>
      <c r="T36" s="179">
        <v>1</v>
      </c>
      <c r="U36" s="180">
        <v>10620</v>
      </c>
      <c r="V36" s="180">
        <f>Table4[[#This Row],[Expected Revenue]]*Table4[[#This Row],[Probability]]</f>
        <v>10620</v>
      </c>
      <c r="W36" s="180">
        <f t="shared" si="0"/>
        <v>20800</v>
      </c>
      <c r="X36" s="179">
        <v>0.3</v>
      </c>
      <c r="Y36" s="180">
        <f>Table4[[#This Row],[Rev. Based on PROB]]*Table4[[#This Row],[Expected CMR]]</f>
        <v>3186</v>
      </c>
      <c r="Z36" s="203" t="s">
        <v>123</v>
      </c>
      <c r="AA36" s="77"/>
      <c r="AB36" s="77"/>
      <c r="AC36" s="180"/>
      <c r="AD36" s="220"/>
      <c r="AE36" s="220"/>
      <c r="AF36" s="220"/>
      <c r="AG36" s="185"/>
      <c r="AH36" s="185"/>
      <c r="AI36" s="185"/>
      <c r="AJ36" s="185"/>
      <c r="AK36" s="979"/>
      <c r="AL36" s="180"/>
      <c r="AM36" s="77"/>
      <c r="AN36" s="77"/>
      <c r="AO36" s="110" t="str">
        <f>IF(Table4[[#This Row],[Finish (demob)]]&lt;&gt;"",Table4[[#This Row],[Finish (demob)]]+10,"")</f>
        <v/>
      </c>
      <c r="AP36" s="110" t="str">
        <f>IF(Table4[[#This Row],[Finish (demob)]]&lt;&gt;"",Table4[[#This Row],[Finish (demob)]]+10,"")</f>
        <v/>
      </c>
      <c r="AQ36" s="220"/>
      <c r="AR36" s="77" t="str">
        <f>IF(Table4[[#This Row],[Date Report is delivered:]]&lt;&gt;"", "Delivered", "")</f>
        <v/>
      </c>
      <c r="AS36" s="179"/>
      <c r="AT36" s="77"/>
      <c r="AU36" s="179"/>
      <c r="AV36" s="77"/>
      <c r="AW36" s="77"/>
    </row>
    <row r="37" spans="1:49" hidden="1">
      <c r="A37" s="173">
        <v>202009</v>
      </c>
      <c r="B37" s="75" t="s">
        <v>81</v>
      </c>
      <c r="C37" s="77" t="str">
        <f>CONCATENATE(Table4[[#This Row],[Project]],"-",Table4[[#This Row],[WO]])</f>
        <v>202009-06</v>
      </c>
      <c r="D37" s="76" t="s">
        <v>122</v>
      </c>
      <c r="E37" s="77" t="s">
        <v>57</v>
      </c>
      <c r="F37" s="77" t="s">
        <v>58</v>
      </c>
      <c r="G37" s="77" t="s">
        <v>59</v>
      </c>
      <c r="H37" s="77" t="s">
        <v>123</v>
      </c>
      <c r="I37" s="102" t="s">
        <v>82</v>
      </c>
      <c r="J37" s="77" t="s">
        <v>83</v>
      </c>
      <c r="K37" s="77" t="s">
        <v>63</v>
      </c>
      <c r="L37" s="77" t="s">
        <v>124</v>
      </c>
      <c r="M37" s="77" t="s">
        <v>65</v>
      </c>
      <c r="N37" s="77" t="s">
        <v>77</v>
      </c>
      <c r="O37" s="77" t="s">
        <v>67</v>
      </c>
      <c r="P37" s="76"/>
      <c r="Q37" s="183"/>
      <c r="R37" s="110" t="s">
        <v>84</v>
      </c>
      <c r="S37" s="77">
        <v>2020</v>
      </c>
      <c r="T37" s="179">
        <v>1</v>
      </c>
      <c r="U37" s="180">
        <v>17300</v>
      </c>
      <c r="V37" s="180">
        <f>Table4[[#This Row],[Expected Revenue]]*Table4[[#This Row],[Probability]]</f>
        <v>17300</v>
      </c>
      <c r="W37" s="180">
        <f t="shared" si="0"/>
        <v>20800</v>
      </c>
      <c r="X37" s="179">
        <v>0.3</v>
      </c>
      <c r="Y37" s="180">
        <f>Table4[[#This Row],[Rev. Based on PROB]]*Table4[[#This Row],[Expected CMR]]</f>
        <v>5190</v>
      </c>
      <c r="Z37" s="203" t="s">
        <v>123</v>
      </c>
      <c r="AA37" s="77"/>
      <c r="AB37" s="77"/>
      <c r="AC37" s="180"/>
      <c r="AD37" s="220"/>
      <c r="AE37" s="220"/>
      <c r="AF37" s="220"/>
      <c r="AG37" s="185"/>
      <c r="AH37" s="185"/>
      <c r="AI37" s="185"/>
      <c r="AJ37" s="185"/>
      <c r="AK37" s="979"/>
      <c r="AL37" s="180"/>
      <c r="AM37" s="77"/>
      <c r="AN37" s="77"/>
      <c r="AO37" s="110" t="str">
        <f>IF(Table4[[#This Row],[Finish (demob)]]&lt;&gt;"",Table4[[#This Row],[Finish (demob)]]+10,"")</f>
        <v/>
      </c>
      <c r="AP37" s="110" t="str">
        <f>IF(Table4[[#This Row],[Finish (demob)]]&lt;&gt;"",Table4[[#This Row],[Finish (demob)]]+10,"")</f>
        <v/>
      </c>
      <c r="AQ37" s="220"/>
      <c r="AR37" s="77" t="str">
        <f>IF(Table4[[#This Row],[Date Report is delivered:]]&lt;&gt;"", "Delivered", "")</f>
        <v/>
      </c>
      <c r="AS37" s="179"/>
      <c r="AT37" s="77"/>
      <c r="AU37" s="179"/>
      <c r="AV37" s="77"/>
      <c r="AW37" s="77"/>
    </row>
    <row r="38" spans="1:49" hidden="1">
      <c r="A38" s="173">
        <v>202009</v>
      </c>
      <c r="B38" s="75" t="s">
        <v>55</v>
      </c>
      <c r="C38" s="77" t="str">
        <f>CONCATENATE(Table4[[#This Row],[Project]],"-",Table4[[#This Row],[WO]])</f>
        <v>202009-03</v>
      </c>
      <c r="D38" s="76" t="s">
        <v>122</v>
      </c>
      <c r="E38" s="77" t="s">
        <v>57</v>
      </c>
      <c r="F38" s="77" t="s">
        <v>58</v>
      </c>
      <c r="G38" s="77" t="s">
        <v>59</v>
      </c>
      <c r="H38" s="77" t="s">
        <v>123</v>
      </c>
      <c r="I38" s="102" t="s">
        <v>113</v>
      </c>
      <c r="J38" s="77" t="s">
        <v>62</v>
      </c>
      <c r="K38" s="77" t="s">
        <v>63</v>
      </c>
      <c r="L38" s="77" t="s">
        <v>124</v>
      </c>
      <c r="M38" s="77" t="s">
        <v>65</v>
      </c>
      <c r="N38" s="77" t="s">
        <v>77</v>
      </c>
      <c r="O38" s="77" t="s">
        <v>67</v>
      </c>
      <c r="P38" s="76"/>
      <c r="Q38" s="183"/>
      <c r="R38" s="110" t="s">
        <v>93</v>
      </c>
      <c r="S38" s="77">
        <v>2020</v>
      </c>
      <c r="T38" s="179">
        <v>1</v>
      </c>
      <c r="U38" s="180">
        <v>31649</v>
      </c>
      <c r="V38" s="180">
        <f>Table4[[#This Row],[Expected Revenue]]*Table4[[#This Row],[Probability]]</f>
        <v>31649</v>
      </c>
      <c r="W38" s="180">
        <f t="shared" si="0"/>
        <v>20800</v>
      </c>
      <c r="X38" s="179">
        <v>0.3</v>
      </c>
      <c r="Y38" s="180">
        <f>Table4[[#This Row],[Rev. Based on PROB]]*Table4[[#This Row],[Expected CMR]]</f>
        <v>9494.6999999999989</v>
      </c>
      <c r="Z38" s="203" t="s">
        <v>123</v>
      </c>
      <c r="AA38" s="77"/>
      <c r="AB38" s="77"/>
      <c r="AC38" s="180"/>
      <c r="AD38" s="220"/>
      <c r="AE38" s="220"/>
      <c r="AF38" s="220"/>
      <c r="AG38" s="185"/>
      <c r="AH38" s="185"/>
      <c r="AI38" s="185"/>
      <c r="AJ38" s="185"/>
      <c r="AK38" s="979"/>
      <c r="AL38" s="180"/>
      <c r="AM38" s="77"/>
      <c r="AN38" s="77"/>
      <c r="AO38" s="110" t="str">
        <f>IF(Table4[[#This Row],[Finish (demob)]]&lt;&gt;"",Table4[[#This Row],[Finish (demob)]]+10,"")</f>
        <v/>
      </c>
      <c r="AP38" s="110" t="str">
        <f>IF(Table4[[#This Row],[Finish (demob)]]&lt;&gt;"",Table4[[#This Row],[Finish (demob)]]+10,"")</f>
        <v/>
      </c>
      <c r="AQ38" s="220"/>
      <c r="AR38" s="77" t="str">
        <f>IF(Table4[[#This Row],[Date Report is delivered:]]&lt;&gt;"", "Delivered", "")</f>
        <v/>
      </c>
      <c r="AS38" s="179"/>
      <c r="AT38" s="77"/>
      <c r="AU38" s="179"/>
      <c r="AV38" s="77"/>
      <c r="AW38" s="77"/>
    </row>
    <row r="39" spans="1:49" hidden="1">
      <c r="A39" s="173">
        <v>202009</v>
      </c>
      <c r="B39" s="75" t="s">
        <v>86</v>
      </c>
      <c r="C39" s="77" t="str">
        <f>CONCATENATE(Table4[[#This Row],[Project]],"-",Table4[[#This Row],[WO]])</f>
        <v>202009-05</v>
      </c>
      <c r="D39" s="76" t="s">
        <v>122</v>
      </c>
      <c r="E39" s="77" t="s">
        <v>57</v>
      </c>
      <c r="F39" s="77" t="s">
        <v>58</v>
      </c>
      <c r="G39" s="77" t="s">
        <v>59</v>
      </c>
      <c r="H39" s="77" t="s">
        <v>123</v>
      </c>
      <c r="I39" s="102" t="s">
        <v>87</v>
      </c>
      <c r="J39" s="77" t="s">
        <v>88</v>
      </c>
      <c r="K39" s="77" t="s">
        <v>63</v>
      </c>
      <c r="L39" s="77" t="s">
        <v>124</v>
      </c>
      <c r="M39" s="77" t="s">
        <v>65</v>
      </c>
      <c r="N39" s="77" t="s">
        <v>77</v>
      </c>
      <c r="O39" s="77" t="s">
        <v>67</v>
      </c>
      <c r="P39" s="76"/>
      <c r="Q39" s="183"/>
      <c r="R39" s="110" t="s">
        <v>89</v>
      </c>
      <c r="S39" s="77">
        <v>2020</v>
      </c>
      <c r="T39" s="179">
        <v>1</v>
      </c>
      <c r="U39" s="180">
        <v>27538</v>
      </c>
      <c r="V39" s="180">
        <f>Table4[[#This Row],[Expected Revenue]]*Table4[[#This Row],[Probability]]</f>
        <v>27538</v>
      </c>
      <c r="W39" s="180">
        <f t="shared" si="0"/>
        <v>20800</v>
      </c>
      <c r="X39" s="179">
        <v>0.3</v>
      </c>
      <c r="Y39" s="180">
        <f>Table4[[#This Row],[Rev. Based on PROB]]*Table4[[#This Row],[Expected CMR]]</f>
        <v>8261.4</v>
      </c>
      <c r="Z39" s="203" t="s">
        <v>123</v>
      </c>
      <c r="AA39" s="77"/>
      <c r="AB39" s="181"/>
      <c r="AC39" s="180"/>
      <c r="AD39" s="220"/>
      <c r="AE39" s="220"/>
      <c r="AF39" s="220"/>
      <c r="AG39" s="185"/>
      <c r="AH39" s="185"/>
      <c r="AI39" s="185"/>
      <c r="AJ39" s="185"/>
      <c r="AK39" s="979"/>
      <c r="AL39" s="180"/>
      <c r="AM39" s="77"/>
      <c r="AN39" s="77"/>
      <c r="AO39" s="110" t="str">
        <f>IF(Table4[[#This Row],[Finish (demob)]]&lt;&gt;"",Table4[[#This Row],[Finish (demob)]]+10,"")</f>
        <v/>
      </c>
      <c r="AP39" s="110" t="str">
        <f>IF(Table4[[#This Row],[Finish (demob)]]&lt;&gt;"",Table4[[#This Row],[Finish (demob)]]+10,"")</f>
        <v/>
      </c>
      <c r="AQ39" s="220"/>
      <c r="AR39" s="77" t="str">
        <f>IF(Table4[[#This Row],[Date Report is delivered:]]&lt;&gt;"", "Delivered", "")</f>
        <v/>
      </c>
      <c r="AS39" s="179"/>
      <c r="AT39" s="77"/>
      <c r="AU39" s="179"/>
      <c r="AV39" s="77"/>
      <c r="AW39" s="77"/>
    </row>
    <row r="40" spans="1:49" hidden="1">
      <c r="A40" s="173">
        <v>211901</v>
      </c>
      <c r="B40" s="75" t="s">
        <v>103</v>
      </c>
      <c r="C40" s="77" t="str">
        <f>CONCATENATE(Table4[[#This Row],[Project]],"-",Table4[[#This Row],[WO]])</f>
        <v>211901-01</v>
      </c>
      <c r="D40" s="76" t="s">
        <v>125</v>
      </c>
      <c r="E40" s="77" t="s">
        <v>126</v>
      </c>
      <c r="F40" s="77" t="s">
        <v>58</v>
      </c>
      <c r="G40" s="77" t="s">
        <v>59</v>
      </c>
      <c r="H40" s="77" t="s">
        <v>105</v>
      </c>
      <c r="I40" s="102" t="s">
        <v>127</v>
      </c>
      <c r="J40" s="77" t="s">
        <v>107</v>
      </c>
      <c r="K40" s="77" t="s">
        <v>63</v>
      </c>
      <c r="L40" s="77" t="s">
        <v>108</v>
      </c>
      <c r="M40" s="77" t="s">
        <v>65</v>
      </c>
      <c r="N40" s="77" t="s">
        <v>77</v>
      </c>
      <c r="O40" s="77" t="s">
        <v>67</v>
      </c>
      <c r="P40" s="76"/>
      <c r="Q40" s="178"/>
      <c r="R40" s="110" t="s">
        <v>68</v>
      </c>
      <c r="S40" s="77">
        <v>2019</v>
      </c>
      <c r="T40" s="179">
        <v>1</v>
      </c>
      <c r="U40" s="180">
        <v>49682</v>
      </c>
      <c r="V40" s="180">
        <f>Table4[[#This Row],[Expected Revenue]]*Table4[[#This Row],[Probability]]</f>
        <v>49682</v>
      </c>
      <c r="W40" s="180">
        <f t="shared" si="0"/>
        <v>20800</v>
      </c>
      <c r="X40" s="179">
        <v>0.3</v>
      </c>
      <c r="Y40" s="180">
        <f>Table4[[#This Row],[Rev. Based on PROB]]*Table4[[#This Row],[Expected CMR]]</f>
        <v>14904.599999999999</v>
      </c>
      <c r="Z40" s="203" t="s">
        <v>105</v>
      </c>
      <c r="AA40" s="77"/>
      <c r="AB40" s="181"/>
      <c r="AC40" s="180"/>
      <c r="AD40" s="220">
        <v>43845</v>
      </c>
      <c r="AE40" s="220">
        <v>43851</v>
      </c>
      <c r="AF40" s="220">
        <v>43861</v>
      </c>
      <c r="AG40" s="185">
        <v>63481</v>
      </c>
      <c r="AH40" s="185">
        <v>0</v>
      </c>
      <c r="AI40" s="189" t="s">
        <v>128</v>
      </c>
      <c r="AJ40" s="185"/>
      <c r="AK40" s="182"/>
      <c r="AL40" s="180"/>
      <c r="AM40" s="77"/>
      <c r="AN40" s="77"/>
      <c r="AO40" s="110">
        <f>IF(Table4[[#This Row],[Finish (demob)]]&lt;&gt;"",Table4[[#This Row],[Finish (demob)]]+10,"")</f>
        <v>43861</v>
      </c>
      <c r="AP40" s="110">
        <f>IF(Table4[[#This Row],[Finish (demob)]]&lt;&gt;"",Table4[[#This Row],[Finish (demob)]]+10,"")</f>
        <v>43861</v>
      </c>
      <c r="AQ40" s="220"/>
      <c r="AR40" s="77" t="str">
        <f>IF(Table4[[#This Row],[Date Report is delivered:]]&lt;&gt;"", "Delivered", "")</f>
        <v/>
      </c>
      <c r="AS40" s="179"/>
      <c r="AT40" s="77"/>
      <c r="AU40" s="179"/>
      <c r="AV40" s="77"/>
      <c r="AW40" s="77"/>
    </row>
    <row r="41" spans="1:49" hidden="1">
      <c r="A41" s="173">
        <v>202009</v>
      </c>
      <c r="B41" s="75" t="s">
        <v>90</v>
      </c>
      <c r="C41" s="77" t="str">
        <f>CONCATENATE(Table4[[#This Row],[Project]],"-",Table4[[#This Row],[WO]])</f>
        <v>202009-04</v>
      </c>
      <c r="D41" s="76" t="s">
        <v>122</v>
      </c>
      <c r="E41" s="77" t="s">
        <v>57</v>
      </c>
      <c r="F41" s="77" t="s">
        <v>58</v>
      </c>
      <c r="G41" s="77" t="s">
        <v>59</v>
      </c>
      <c r="H41" s="77" t="s">
        <v>123</v>
      </c>
      <c r="I41" s="102" t="s">
        <v>96</v>
      </c>
      <c r="J41" s="77" t="s">
        <v>92</v>
      </c>
      <c r="K41" s="77" t="s">
        <v>63</v>
      </c>
      <c r="L41" s="77" t="s">
        <v>124</v>
      </c>
      <c r="M41" s="77" t="s">
        <v>65</v>
      </c>
      <c r="N41" s="77" t="s">
        <v>77</v>
      </c>
      <c r="O41" s="77" t="s">
        <v>67</v>
      </c>
      <c r="P41" s="76"/>
      <c r="Q41" s="183"/>
      <c r="R41" s="110" t="s">
        <v>89</v>
      </c>
      <c r="S41" s="77">
        <v>2020</v>
      </c>
      <c r="T41" s="179">
        <v>1</v>
      </c>
      <c r="U41" s="180">
        <v>18622.25</v>
      </c>
      <c r="V41" s="180">
        <f>Table4[[#This Row],[Expected Revenue]]*Table4[[#This Row],[Probability]]</f>
        <v>18622.25</v>
      </c>
      <c r="W41" s="180">
        <f t="shared" si="0"/>
        <v>20800</v>
      </c>
      <c r="X41" s="179">
        <v>0.3</v>
      </c>
      <c r="Y41" s="180">
        <f>Table4[[#This Row],[Rev. Based on PROB]]*Table4[[#This Row],[Expected CMR]]</f>
        <v>5586.6750000000002</v>
      </c>
      <c r="Z41" s="203" t="s">
        <v>123</v>
      </c>
      <c r="AA41" s="77"/>
      <c r="AB41" s="77"/>
      <c r="AC41" s="180"/>
      <c r="AD41" s="220"/>
      <c r="AE41" s="220"/>
      <c r="AF41" s="220"/>
      <c r="AG41" s="185"/>
      <c r="AH41" s="185"/>
      <c r="AI41" s="185"/>
      <c r="AJ41" s="185"/>
      <c r="AK41" s="979"/>
      <c r="AL41" s="180"/>
      <c r="AM41" s="77"/>
      <c r="AN41" s="77"/>
      <c r="AO41" s="110" t="str">
        <f>IF(Table4[[#This Row],[Finish (demob)]]&lt;&gt;"",Table4[[#This Row],[Finish (demob)]]+10,"")</f>
        <v/>
      </c>
      <c r="AP41" s="110" t="str">
        <f>IF(Table4[[#This Row],[Finish (demob)]]&lt;&gt;"",Table4[[#This Row],[Finish (demob)]]+10,"")</f>
        <v/>
      </c>
      <c r="AQ41" s="220"/>
      <c r="AR41" s="77" t="str">
        <f>IF(Table4[[#This Row],[Date Report is delivered:]]&lt;&gt;"", "Delivered", "")</f>
        <v/>
      </c>
      <c r="AS41" s="179"/>
      <c r="AT41" s="77"/>
      <c r="AU41" s="179"/>
      <c r="AV41" s="77"/>
      <c r="AW41" s="77"/>
    </row>
    <row r="42" spans="1:49" hidden="1">
      <c r="A42" s="173">
        <v>202009</v>
      </c>
      <c r="B42" s="75" t="s">
        <v>90</v>
      </c>
      <c r="C42" s="77" t="str">
        <f>CONCATENATE(Table4[[#This Row],[Project]],"-",Table4[[#This Row],[WO]])</f>
        <v>202009-04</v>
      </c>
      <c r="D42" s="76" t="s">
        <v>122</v>
      </c>
      <c r="E42" s="77" t="s">
        <v>57</v>
      </c>
      <c r="F42" s="77" t="s">
        <v>58</v>
      </c>
      <c r="G42" s="77" t="s">
        <v>59</v>
      </c>
      <c r="H42" s="77" t="s">
        <v>123</v>
      </c>
      <c r="I42" s="102" t="s">
        <v>97</v>
      </c>
      <c r="J42" s="77" t="s">
        <v>92</v>
      </c>
      <c r="K42" s="77" t="s">
        <v>63</v>
      </c>
      <c r="L42" s="77" t="s">
        <v>124</v>
      </c>
      <c r="M42" s="77" t="s">
        <v>65</v>
      </c>
      <c r="N42" s="77" t="s">
        <v>77</v>
      </c>
      <c r="O42" s="77" t="s">
        <v>67</v>
      </c>
      <c r="P42" s="76"/>
      <c r="Q42" s="183"/>
      <c r="R42" s="110" t="s">
        <v>84</v>
      </c>
      <c r="S42" s="77">
        <v>2020</v>
      </c>
      <c r="T42" s="179">
        <v>1</v>
      </c>
      <c r="U42" s="180">
        <v>18622.25</v>
      </c>
      <c r="V42" s="180">
        <f>Table4[[#This Row],[Expected Revenue]]*Table4[[#This Row],[Probability]]</f>
        <v>18622.25</v>
      </c>
      <c r="W42" s="180">
        <f t="shared" si="0"/>
        <v>20800</v>
      </c>
      <c r="X42" s="179">
        <v>0.3</v>
      </c>
      <c r="Y42" s="180">
        <f>Table4[[#This Row],[Rev. Based on PROB]]*Table4[[#This Row],[Expected CMR]]</f>
        <v>5586.6750000000002</v>
      </c>
      <c r="Z42" s="203" t="s">
        <v>123</v>
      </c>
      <c r="AA42" s="77"/>
      <c r="AB42" s="77"/>
      <c r="AC42" s="180"/>
      <c r="AD42" s="220"/>
      <c r="AE42" s="220"/>
      <c r="AF42" s="220"/>
      <c r="AG42" s="185"/>
      <c r="AH42" s="185"/>
      <c r="AI42" s="185"/>
      <c r="AJ42" s="185"/>
      <c r="AK42" s="182"/>
      <c r="AL42" s="180"/>
      <c r="AM42" s="77"/>
      <c r="AN42" s="77"/>
      <c r="AO42" s="110" t="str">
        <f>IF(Table4[[#This Row],[Finish (demob)]]&lt;&gt;"",Table4[[#This Row],[Finish (demob)]]+10,"")</f>
        <v/>
      </c>
      <c r="AP42" s="110" t="str">
        <f>IF(Table4[[#This Row],[Finish (demob)]]&lt;&gt;"",Table4[[#This Row],[Finish (demob)]]+10,"")</f>
        <v/>
      </c>
      <c r="AQ42" s="220"/>
      <c r="AR42" s="77" t="str">
        <f>IF(Table4[[#This Row],[Date Report is delivered:]]&lt;&gt;"", "Delivered", "")</f>
        <v/>
      </c>
      <c r="AS42" s="179"/>
      <c r="AT42" s="77"/>
      <c r="AU42" s="179"/>
      <c r="AV42" s="77"/>
      <c r="AW42" s="77"/>
    </row>
    <row r="43" spans="1:49" hidden="1">
      <c r="A43" s="173">
        <v>202009</v>
      </c>
      <c r="B43" s="75" t="s">
        <v>90</v>
      </c>
      <c r="C43" s="77" t="s">
        <v>129</v>
      </c>
      <c r="D43" s="76" t="s">
        <v>122</v>
      </c>
      <c r="E43" s="77" t="s">
        <v>57</v>
      </c>
      <c r="F43" s="77" t="s">
        <v>58</v>
      </c>
      <c r="G43" s="77" t="s">
        <v>59</v>
      </c>
      <c r="H43" s="77" t="s">
        <v>123</v>
      </c>
      <c r="I43" s="102" t="s">
        <v>101</v>
      </c>
      <c r="J43" s="77" t="s">
        <v>92</v>
      </c>
      <c r="K43" s="77" t="s">
        <v>63</v>
      </c>
      <c r="L43" s="77" t="s">
        <v>124</v>
      </c>
      <c r="M43" s="77" t="s">
        <v>65</v>
      </c>
      <c r="N43" s="77" t="s">
        <v>77</v>
      </c>
      <c r="O43" s="77" t="s">
        <v>67</v>
      </c>
      <c r="P43" s="76"/>
      <c r="Q43" s="183"/>
      <c r="R43" s="110" t="s">
        <v>102</v>
      </c>
      <c r="S43" s="77">
        <v>2020</v>
      </c>
      <c r="T43" s="179">
        <v>1</v>
      </c>
      <c r="U43" s="180">
        <v>18622.25</v>
      </c>
      <c r="V43" s="180">
        <v>18622.25</v>
      </c>
      <c r="W43" s="180">
        <f t="shared" si="0"/>
        <v>20800</v>
      </c>
      <c r="X43" s="179">
        <v>0.3</v>
      </c>
      <c r="Y43" s="180">
        <v>5586.6750000000002</v>
      </c>
      <c r="Z43" s="203" t="s">
        <v>123</v>
      </c>
      <c r="AA43" s="220"/>
      <c r="AB43" s="220"/>
      <c r="AC43" s="220"/>
      <c r="AD43" s="185"/>
      <c r="AE43" s="185"/>
      <c r="AF43" s="979"/>
      <c r="AG43" s="180"/>
      <c r="AH43" s="77"/>
      <c r="AI43" s="86"/>
      <c r="AJ43" s="77"/>
      <c r="AK43" s="980"/>
      <c r="AL43" s="980"/>
      <c r="AM43" s="980"/>
      <c r="AN43" s="980"/>
      <c r="AO43" s="77"/>
      <c r="AP43" s="179"/>
      <c r="AQ43" s="980"/>
      <c r="AR43" s="980"/>
      <c r="AS43" s="980"/>
      <c r="AT43" s="980"/>
      <c r="AU43" s="77"/>
      <c r="AV43" s="77"/>
      <c r="AW43" s="77"/>
    </row>
    <row r="44" spans="1:49" hidden="1">
      <c r="A44" s="173">
        <v>202010</v>
      </c>
      <c r="B44" s="75" t="s">
        <v>86</v>
      </c>
      <c r="C44" s="77" t="str">
        <f>CONCATENATE(Table4[[#This Row],[Project]],"-",Table4[[#This Row],[WO]])</f>
        <v>202010-05</v>
      </c>
      <c r="D44" s="76" t="s">
        <v>130</v>
      </c>
      <c r="E44" s="77" t="s">
        <v>57</v>
      </c>
      <c r="F44" s="77" t="s">
        <v>58</v>
      </c>
      <c r="G44" s="77" t="s">
        <v>59</v>
      </c>
      <c r="H44" s="77" t="s">
        <v>123</v>
      </c>
      <c r="I44" s="102" t="s">
        <v>87</v>
      </c>
      <c r="J44" s="77" t="s">
        <v>88</v>
      </c>
      <c r="K44" s="77" t="s">
        <v>63</v>
      </c>
      <c r="L44" s="77" t="s">
        <v>124</v>
      </c>
      <c r="M44" s="77" t="s">
        <v>65</v>
      </c>
      <c r="N44" s="77" t="s">
        <v>77</v>
      </c>
      <c r="O44" s="77" t="s">
        <v>67</v>
      </c>
      <c r="P44" s="76"/>
      <c r="Q44" s="183"/>
      <c r="R44" s="110" t="s">
        <v>89</v>
      </c>
      <c r="S44" s="77">
        <v>2020</v>
      </c>
      <c r="T44" s="179">
        <v>1</v>
      </c>
      <c r="U44" s="180">
        <v>27538</v>
      </c>
      <c r="V44" s="180">
        <f>Table4[[#This Row],[Expected Revenue]]*Table4[[#This Row],[Probability]]</f>
        <v>27538</v>
      </c>
      <c r="W44" s="180">
        <f t="shared" si="0"/>
        <v>20800</v>
      </c>
      <c r="X44" s="179">
        <v>0.3</v>
      </c>
      <c r="Y44" s="180">
        <f>Table4[[#This Row],[Rev. Based on PROB]]*Table4[[#This Row],[Expected CMR]]</f>
        <v>8261.4</v>
      </c>
      <c r="Z44" s="203" t="s">
        <v>123</v>
      </c>
      <c r="AA44" s="77"/>
      <c r="AB44" s="181"/>
      <c r="AC44" s="180"/>
      <c r="AD44" s="220">
        <v>43846</v>
      </c>
      <c r="AE44" s="220">
        <v>43854</v>
      </c>
      <c r="AF44" s="220">
        <v>43861</v>
      </c>
      <c r="AG44" s="185">
        <v>2753</v>
      </c>
      <c r="AH44" s="185">
        <v>0</v>
      </c>
      <c r="AI44" s="189" t="s">
        <v>131</v>
      </c>
      <c r="AJ44" s="185"/>
      <c r="AK44" s="979"/>
      <c r="AL44" s="180"/>
      <c r="AM44" s="77"/>
      <c r="AN44" s="77"/>
      <c r="AO44" s="110">
        <f>IF(Table4[[#This Row],[Finish (demob)]]&lt;&gt;"",Table4[[#This Row],[Finish (demob)]]+10,"")</f>
        <v>43864</v>
      </c>
      <c r="AP44" s="110">
        <f>IF(Table4[[#This Row],[Finish (demob)]]&lt;&gt;"",Table4[[#This Row],[Finish (demob)]]+10,"")</f>
        <v>43864</v>
      </c>
      <c r="AQ44" s="220"/>
      <c r="AR44" s="77" t="str">
        <f>IF(Table4[[#This Row],[Date Report is delivered:]]&lt;&gt;"", "Delivered", "")</f>
        <v/>
      </c>
      <c r="AS44" s="179"/>
      <c r="AT44" s="77"/>
      <c r="AU44" s="179"/>
      <c r="AV44" s="77"/>
      <c r="AW44" s="77"/>
    </row>
    <row r="45" spans="1:49" hidden="1">
      <c r="A45" s="173">
        <v>202010</v>
      </c>
      <c r="B45" s="75" t="s">
        <v>103</v>
      </c>
      <c r="C45" s="77" t="str">
        <f>CONCATENATE(Table4[[#This Row],[Project]],"-",Table4[[#This Row],[WO]])</f>
        <v>202010-01</v>
      </c>
      <c r="D45" s="76" t="s">
        <v>130</v>
      </c>
      <c r="E45" s="77" t="s">
        <v>57</v>
      </c>
      <c r="F45" s="77" t="s">
        <v>58</v>
      </c>
      <c r="G45" s="77" t="s">
        <v>59</v>
      </c>
      <c r="H45" s="77" t="s">
        <v>123</v>
      </c>
      <c r="I45" s="102" t="s">
        <v>106</v>
      </c>
      <c r="J45" s="77" t="s">
        <v>107</v>
      </c>
      <c r="K45" s="77" t="s">
        <v>63</v>
      </c>
      <c r="L45" s="77" t="s">
        <v>124</v>
      </c>
      <c r="M45" s="77" t="s">
        <v>65</v>
      </c>
      <c r="N45" s="77" t="s">
        <v>77</v>
      </c>
      <c r="O45" s="77" t="s">
        <v>67</v>
      </c>
      <c r="P45" s="76"/>
      <c r="Q45" s="183"/>
      <c r="R45" s="110" t="s">
        <v>93</v>
      </c>
      <c r="S45" s="77">
        <v>2020</v>
      </c>
      <c r="T45" s="179">
        <v>1</v>
      </c>
      <c r="U45" s="180">
        <v>58784</v>
      </c>
      <c r="V45" s="180">
        <f>Table4[[#This Row],[Expected Revenue]]*Table4[[#This Row],[Probability]]</f>
        <v>58784</v>
      </c>
      <c r="W45" s="180">
        <f t="shared" si="0"/>
        <v>20800</v>
      </c>
      <c r="X45" s="179">
        <v>0.3</v>
      </c>
      <c r="Y45" s="180">
        <f>Table4[[#This Row],[Rev. Based on PROB]]*Table4[[#This Row],[Expected CMR]]</f>
        <v>17635.2</v>
      </c>
      <c r="Z45" s="203" t="s">
        <v>123</v>
      </c>
      <c r="AA45" s="77"/>
      <c r="AB45" s="181"/>
      <c r="AC45" s="180"/>
      <c r="AD45" s="220"/>
      <c r="AE45" s="220"/>
      <c r="AF45" s="220"/>
      <c r="AG45" s="185"/>
      <c r="AH45" s="185"/>
      <c r="AI45" s="185"/>
      <c r="AJ45" s="185"/>
      <c r="AK45" s="182"/>
      <c r="AL45" s="180"/>
      <c r="AM45" s="77"/>
      <c r="AN45" s="77"/>
      <c r="AO45" s="110" t="str">
        <f>IF(Table4[[#This Row],[Finish (demob)]]&lt;&gt;"",Table4[[#This Row],[Finish (demob)]]+7,"")</f>
        <v/>
      </c>
      <c r="AP45" s="110" t="str">
        <f>IF(Table4[[#This Row],[Finish (demob)]]&lt;&gt;"",Table4[[#This Row],[Finish (demob)]]+10,"")</f>
        <v/>
      </c>
      <c r="AQ45" s="220"/>
      <c r="AR45" s="77" t="str">
        <f>IF(Table4[[#This Row],[Date Report is delivered:]]&lt;&gt;"", "Delivered", "")</f>
        <v/>
      </c>
      <c r="AS45" s="179"/>
      <c r="AT45" s="77"/>
      <c r="AU45" s="179"/>
      <c r="AV45" s="77"/>
      <c r="AW45" s="77"/>
    </row>
    <row r="46" spans="1:49" hidden="1">
      <c r="A46" s="173">
        <v>202010</v>
      </c>
      <c r="B46" s="75" t="s">
        <v>111</v>
      </c>
      <c r="C46" s="77" t="str">
        <f>CONCATENATE(Table4[[#This Row],[Project]],"-",Table4[[#This Row],[WO]])</f>
        <v>202010-02</v>
      </c>
      <c r="D46" s="76" t="s">
        <v>130</v>
      </c>
      <c r="E46" s="77" t="s">
        <v>57</v>
      </c>
      <c r="F46" s="77" t="s">
        <v>58</v>
      </c>
      <c r="G46" s="77" t="s">
        <v>59</v>
      </c>
      <c r="H46" s="77" t="s">
        <v>123</v>
      </c>
      <c r="I46" s="102" t="s">
        <v>112</v>
      </c>
      <c r="J46" s="77" t="s">
        <v>71</v>
      </c>
      <c r="K46" s="77" t="s">
        <v>63</v>
      </c>
      <c r="L46" s="77" t="s">
        <v>124</v>
      </c>
      <c r="M46" s="77" t="s">
        <v>65</v>
      </c>
      <c r="N46" s="77" t="s">
        <v>77</v>
      </c>
      <c r="O46" s="77" t="s">
        <v>67</v>
      </c>
      <c r="P46" s="76"/>
      <c r="Q46" s="183"/>
      <c r="R46" s="110" t="s">
        <v>93</v>
      </c>
      <c r="S46" s="77">
        <v>2020</v>
      </c>
      <c r="T46" s="179">
        <v>1</v>
      </c>
      <c r="U46" s="180">
        <v>30630</v>
      </c>
      <c r="V46" s="180">
        <f>Table4[[#This Row],[Expected Revenue]]*Table4[[#This Row],[Probability]]</f>
        <v>30630</v>
      </c>
      <c r="W46" s="180">
        <f t="shared" si="0"/>
        <v>20800</v>
      </c>
      <c r="X46" s="179">
        <v>0.3</v>
      </c>
      <c r="Y46" s="180">
        <f>Table4[[#This Row],[Rev. Based on PROB]]*Table4[[#This Row],[Expected CMR]]</f>
        <v>9189</v>
      </c>
      <c r="Z46" s="203" t="s">
        <v>123</v>
      </c>
      <c r="AA46" s="77"/>
      <c r="AB46" s="77"/>
      <c r="AC46" s="180"/>
      <c r="AD46" s="220"/>
      <c r="AE46" s="220"/>
      <c r="AF46" s="220"/>
      <c r="AG46" s="185"/>
      <c r="AH46" s="185"/>
      <c r="AI46" s="185"/>
      <c r="AJ46" s="185"/>
      <c r="AK46" s="979"/>
      <c r="AL46" s="180"/>
      <c r="AM46" s="77"/>
      <c r="AN46" s="77"/>
      <c r="AO46" s="110" t="str">
        <f>IF(Table4[[#This Row],[Finish (demob)]]&lt;&gt;"",Table4[[#This Row],[Finish (demob)]]+10,"")</f>
        <v/>
      </c>
      <c r="AP46" s="110" t="str">
        <f>IF(Table4[[#This Row],[Finish (demob)]]&lt;&gt;"",Table4[[#This Row],[Finish (demob)]]+10,"")</f>
        <v/>
      </c>
      <c r="AQ46" s="220"/>
      <c r="AR46" s="77" t="str">
        <f>IF(Table4[[#This Row],[Date Report is delivered:]]&lt;&gt;"", "Delivered", "")</f>
        <v/>
      </c>
      <c r="AS46" s="179"/>
      <c r="AT46" s="77"/>
      <c r="AU46" s="179"/>
      <c r="AV46" s="77"/>
      <c r="AW46" s="77"/>
    </row>
    <row r="47" spans="1:49" hidden="1">
      <c r="A47" s="173">
        <v>202010</v>
      </c>
      <c r="B47" s="75" t="s">
        <v>72</v>
      </c>
      <c r="C47" s="77" t="str">
        <f>CONCATENATE(Table4[[#This Row],[Project]],"-",Table4[[#This Row],[WO]])</f>
        <v>202010-07</v>
      </c>
      <c r="D47" s="76" t="s">
        <v>130</v>
      </c>
      <c r="E47" s="77" t="s">
        <v>57</v>
      </c>
      <c r="F47" s="77" t="s">
        <v>58</v>
      </c>
      <c r="G47" s="77" t="s">
        <v>59</v>
      </c>
      <c r="H47" s="77" t="s">
        <v>123</v>
      </c>
      <c r="I47" s="102" t="s">
        <v>75</v>
      </c>
      <c r="J47" s="77" t="s">
        <v>62</v>
      </c>
      <c r="K47" s="77" t="s">
        <v>63</v>
      </c>
      <c r="L47" s="77" t="s">
        <v>124</v>
      </c>
      <c r="M47" s="77" t="s">
        <v>65</v>
      </c>
      <c r="N47" s="77" t="s">
        <v>77</v>
      </c>
      <c r="O47" s="77" t="s">
        <v>67</v>
      </c>
      <c r="P47" s="76"/>
      <c r="Q47" s="183"/>
      <c r="R47" s="152" t="s">
        <v>80</v>
      </c>
      <c r="S47" s="77">
        <v>2020</v>
      </c>
      <c r="T47" s="179">
        <v>1</v>
      </c>
      <c r="U47" s="180">
        <v>10620</v>
      </c>
      <c r="V47" s="180">
        <f>Table4[[#This Row],[Expected Revenue]]*Table4[[#This Row],[Probability]]</f>
        <v>10620</v>
      </c>
      <c r="W47" s="180">
        <f t="shared" si="0"/>
        <v>20800</v>
      </c>
      <c r="X47" s="179">
        <v>0.3</v>
      </c>
      <c r="Y47" s="180">
        <f>Table4[[#This Row],[Rev. Based on PROB]]*Table4[[#This Row],[Expected CMR]]</f>
        <v>3186</v>
      </c>
      <c r="Z47" s="203" t="s">
        <v>123</v>
      </c>
      <c r="AA47" s="77"/>
      <c r="AB47" s="77"/>
      <c r="AC47" s="180"/>
      <c r="AD47" s="220"/>
      <c r="AE47" s="220"/>
      <c r="AF47" s="220"/>
      <c r="AG47" s="185"/>
      <c r="AH47" s="185"/>
      <c r="AI47" s="185"/>
      <c r="AJ47" s="185"/>
      <c r="AK47" s="979"/>
      <c r="AL47" s="180"/>
      <c r="AM47" s="77"/>
      <c r="AN47" s="77"/>
      <c r="AO47" s="110" t="str">
        <f>IF(Table4[[#This Row],[Finish (demob)]]&lt;&gt;"",Table4[[#This Row],[Finish (demob)]]+10,"")</f>
        <v/>
      </c>
      <c r="AP47" s="110" t="str">
        <f>IF(Table4[[#This Row],[Finish (demob)]]&lt;&gt;"",Table4[[#This Row],[Finish (demob)]]+10,"")</f>
        <v/>
      </c>
      <c r="AQ47" s="220"/>
      <c r="AR47" s="77" t="str">
        <f>IF(Table4[[#This Row],[Date Report is delivered:]]&lt;&gt;"", "Delivered", "")</f>
        <v/>
      </c>
      <c r="AS47" s="179"/>
      <c r="AT47" s="77"/>
      <c r="AU47" s="179"/>
      <c r="AV47" s="77"/>
      <c r="AW47" s="77"/>
    </row>
    <row r="48" spans="1:49" hidden="1">
      <c r="A48" s="173">
        <v>202010</v>
      </c>
      <c r="B48" s="75" t="s">
        <v>81</v>
      </c>
      <c r="C48" s="77" t="str">
        <f>CONCATENATE(Table4[[#This Row],[Project]],"-",Table4[[#This Row],[WO]])</f>
        <v>202010-06</v>
      </c>
      <c r="D48" s="76" t="s">
        <v>130</v>
      </c>
      <c r="E48" s="77" t="s">
        <v>57</v>
      </c>
      <c r="F48" s="77" t="s">
        <v>58</v>
      </c>
      <c r="G48" s="77" t="s">
        <v>59</v>
      </c>
      <c r="H48" s="77" t="s">
        <v>123</v>
      </c>
      <c r="I48" s="102" t="s">
        <v>82</v>
      </c>
      <c r="J48" s="77" t="s">
        <v>83</v>
      </c>
      <c r="K48" s="77" t="s">
        <v>63</v>
      </c>
      <c r="L48" s="77" t="s">
        <v>124</v>
      </c>
      <c r="M48" s="77" t="s">
        <v>65</v>
      </c>
      <c r="N48" s="77" t="s">
        <v>77</v>
      </c>
      <c r="O48" s="77" t="s">
        <v>67</v>
      </c>
      <c r="P48" s="76"/>
      <c r="Q48" s="183"/>
      <c r="R48" s="110" t="s">
        <v>84</v>
      </c>
      <c r="S48" s="77">
        <v>2020</v>
      </c>
      <c r="T48" s="179">
        <v>1</v>
      </c>
      <c r="U48" s="180">
        <v>17300</v>
      </c>
      <c r="V48" s="180">
        <f>Table4[[#This Row],[Expected Revenue]]*Table4[[#This Row],[Probability]]</f>
        <v>17300</v>
      </c>
      <c r="W48" s="180">
        <f t="shared" si="0"/>
        <v>20800</v>
      </c>
      <c r="X48" s="179">
        <v>0.3</v>
      </c>
      <c r="Y48" s="180">
        <f>Table4[[#This Row],[Rev. Based on PROB]]*Table4[[#This Row],[Expected CMR]]</f>
        <v>5190</v>
      </c>
      <c r="Z48" s="203" t="s">
        <v>123</v>
      </c>
      <c r="AA48" s="77"/>
      <c r="AB48" s="77"/>
      <c r="AC48" s="180"/>
      <c r="AD48" s="220"/>
      <c r="AE48" s="220"/>
      <c r="AF48" s="220"/>
      <c r="AG48" s="185"/>
      <c r="AH48" s="185"/>
      <c r="AI48" s="185"/>
      <c r="AJ48" s="185"/>
      <c r="AK48" s="979"/>
      <c r="AL48" s="180"/>
      <c r="AM48" s="77"/>
      <c r="AN48" s="77"/>
      <c r="AO48" s="110" t="str">
        <f>IF(Table4[[#This Row],[Finish (demob)]]&lt;&gt;"",Table4[[#This Row],[Finish (demob)]]+10,"")</f>
        <v/>
      </c>
      <c r="AP48" s="110" t="str">
        <f>IF(Table4[[#This Row],[Finish (demob)]]&lt;&gt;"",Table4[[#This Row],[Finish (demob)]]+10,"")</f>
        <v/>
      </c>
      <c r="AQ48" s="220"/>
      <c r="AR48" s="77" t="str">
        <f>IF(Table4[[#This Row],[Date Report is delivered:]]&lt;&gt;"", "Delivered", "")</f>
        <v/>
      </c>
      <c r="AS48" s="179"/>
      <c r="AT48" s="77"/>
      <c r="AU48" s="179"/>
      <c r="AV48" s="77"/>
      <c r="AW48" s="77"/>
    </row>
    <row r="49" spans="1:49" hidden="1">
      <c r="A49" s="173">
        <v>202010</v>
      </c>
      <c r="B49" s="75" t="s">
        <v>55</v>
      </c>
      <c r="C49" s="77" t="str">
        <f>CONCATENATE(Table4[[#This Row],[Project]],"-",Table4[[#This Row],[WO]])</f>
        <v>202010-03</v>
      </c>
      <c r="D49" s="76" t="s">
        <v>130</v>
      </c>
      <c r="E49" s="77" t="s">
        <v>57</v>
      </c>
      <c r="F49" s="77" t="s">
        <v>58</v>
      </c>
      <c r="G49" s="77" t="s">
        <v>59</v>
      </c>
      <c r="H49" s="77" t="s">
        <v>123</v>
      </c>
      <c r="I49" s="102" t="s">
        <v>113</v>
      </c>
      <c r="J49" s="77" t="s">
        <v>62</v>
      </c>
      <c r="K49" s="77" t="s">
        <v>63</v>
      </c>
      <c r="L49" s="77" t="s">
        <v>124</v>
      </c>
      <c r="M49" s="77" t="s">
        <v>65</v>
      </c>
      <c r="N49" s="77" t="s">
        <v>77</v>
      </c>
      <c r="O49" s="77" t="s">
        <v>67</v>
      </c>
      <c r="P49" s="76"/>
      <c r="Q49" s="183"/>
      <c r="R49" s="110" t="s">
        <v>93</v>
      </c>
      <c r="S49" s="77">
        <v>2020</v>
      </c>
      <c r="T49" s="179">
        <v>1</v>
      </c>
      <c r="U49" s="180">
        <v>31649</v>
      </c>
      <c r="V49" s="180">
        <f>Table4[[#This Row],[Expected Revenue]]*Table4[[#This Row],[Probability]]</f>
        <v>31649</v>
      </c>
      <c r="W49" s="180">
        <f t="shared" si="0"/>
        <v>20800</v>
      </c>
      <c r="X49" s="179">
        <v>0.3</v>
      </c>
      <c r="Y49" s="180">
        <f>Table4[[#This Row],[Rev. Based on PROB]]*Table4[[#This Row],[Expected CMR]]</f>
        <v>9494.6999999999989</v>
      </c>
      <c r="Z49" s="203" t="s">
        <v>123</v>
      </c>
      <c r="AA49" s="77"/>
      <c r="AB49" s="77"/>
      <c r="AC49" s="180"/>
      <c r="AD49" s="220"/>
      <c r="AE49" s="220"/>
      <c r="AF49" s="220"/>
      <c r="AG49" s="185"/>
      <c r="AH49" s="185"/>
      <c r="AI49" s="185"/>
      <c r="AJ49" s="185"/>
      <c r="AK49" s="979"/>
      <c r="AL49" s="180"/>
      <c r="AM49" s="77"/>
      <c r="AN49" s="77"/>
      <c r="AO49" s="110" t="str">
        <f>IF(Table4[[#This Row],[Finish (demob)]]&lt;&gt;"",Table4[[#This Row],[Finish (demob)]]+10,"")</f>
        <v/>
      </c>
      <c r="AP49" s="110" t="str">
        <f>IF(Table4[[#This Row],[Finish (demob)]]&lt;&gt;"",Table4[[#This Row],[Finish (demob)]]+10,"")</f>
        <v/>
      </c>
      <c r="AQ49" s="220"/>
      <c r="AR49" s="77" t="str">
        <f>IF(Table4[[#This Row],[Date Report is delivered:]]&lt;&gt;"", "Delivered", "")</f>
        <v/>
      </c>
      <c r="AS49" s="179"/>
      <c r="AT49" s="77"/>
      <c r="AU49" s="179"/>
      <c r="AV49" s="77"/>
      <c r="AW49" s="77"/>
    </row>
    <row r="50" spans="1:49" hidden="1">
      <c r="A50" s="173">
        <v>202014</v>
      </c>
      <c r="B50" s="75" t="s">
        <v>90</v>
      </c>
      <c r="C50" s="77" t="str">
        <f>CONCATENATE(Table4[[#This Row],[Project]],"-",Table4[[#This Row],[WO]])</f>
        <v>202014-04</v>
      </c>
      <c r="D50" s="76" t="s">
        <v>117</v>
      </c>
      <c r="E50" s="77" t="s">
        <v>57</v>
      </c>
      <c r="F50" s="77" t="s">
        <v>58</v>
      </c>
      <c r="G50" s="77" t="s">
        <v>59</v>
      </c>
      <c r="H50" s="77" t="s">
        <v>105</v>
      </c>
      <c r="I50" s="102" t="s">
        <v>91</v>
      </c>
      <c r="J50" s="77" t="s">
        <v>92</v>
      </c>
      <c r="K50" s="77" t="s">
        <v>63</v>
      </c>
      <c r="L50" s="77" t="s">
        <v>108</v>
      </c>
      <c r="M50" s="77" t="s">
        <v>65</v>
      </c>
      <c r="N50" s="77" t="s">
        <v>77</v>
      </c>
      <c r="O50" s="77" t="s">
        <v>67</v>
      </c>
      <c r="P50" s="76" t="s">
        <v>118</v>
      </c>
      <c r="Q50" s="183" t="s">
        <v>119</v>
      </c>
      <c r="R50" s="110" t="s">
        <v>93</v>
      </c>
      <c r="S50" s="77">
        <v>2020</v>
      </c>
      <c r="T50" s="179">
        <v>1</v>
      </c>
      <c r="U50" s="180">
        <v>18622.25</v>
      </c>
      <c r="V50" s="180">
        <f>Table4[[#This Row],[Expected Revenue]]*Table4[[#This Row],[Probability]]</f>
        <v>18622.25</v>
      </c>
      <c r="W50" s="180">
        <f t="shared" si="0"/>
        <v>20800</v>
      </c>
      <c r="X50" s="179">
        <v>0.3</v>
      </c>
      <c r="Y50" s="180">
        <f>Table4[[#This Row],[Rev. Based on PROB]]*Table4[[#This Row],[Expected CMR]]</f>
        <v>5586.6750000000002</v>
      </c>
      <c r="Z50" s="203" t="s">
        <v>105</v>
      </c>
      <c r="AA50" s="77"/>
      <c r="AB50" s="77"/>
      <c r="AC50" s="180"/>
      <c r="AD50" s="220">
        <v>43857</v>
      </c>
      <c r="AE50" s="220"/>
      <c r="AF50" s="220">
        <v>43861</v>
      </c>
      <c r="AG50" s="185">
        <v>4521</v>
      </c>
      <c r="AH50" s="185">
        <v>1850</v>
      </c>
      <c r="AI50" s="189" t="s">
        <v>132</v>
      </c>
      <c r="AJ50" s="185" t="s">
        <v>121</v>
      </c>
      <c r="AK50" s="979"/>
      <c r="AL50" s="180"/>
      <c r="AM50" s="77"/>
      <c r="AN50" s="77"/>
      <c r="AO50" s="110" t="str">
        <f>IF(Table4[[#This Row],[Finish (demob)]]&lt;&gt;"",Table4[[#This Row],[Finish (demob)]]+10,"")</f>
        <v/>
      </c>
      <c r="AP50" s="110" t="str">
        <f>IF(Table4[[#This Row],[Finish (demob)]]&lt;&gt;"",Table4[[#This Row],[Finish (demob)]]+10,"")</f>
        <v/>
      </c>
      <c r="AQ50" s="220"/>
      <c r="AR50" s="77" t="str">
        <f>IF(Table4[[#This Row],[Date Report is delivered:]]&lt;&gt;"", "Delivered", "")</f>
        <v/>
      </c>
      <c r="AS50" s="179"/>
      <c r="AT50" s="77"/>
      <c r="AU50" s="179"/>
      <c r="AV50" s="77"/>
      <c r="AW50" s="77"/>
    </row>
    <row r="51" spans="1:49" hidden="1">
      <c r="A51" s="173">
        <v>202010</v>
      </c>
      <c r="B51" s="75" t="s">
        <v>90</v>
      </c>
      <c r="C51" s="77" t="str">
        <f>CONCATENATE(Table4[[#This Row],[Project]],"-",Table4[[#This Row],[WO]])</f>
        <v>202010-04</v>
      </c>
      <c r="D51" s="76" t="s">
        <v>130</v>
      </c>
      <c r="E51" s="77" t="s">
        <v>57</v>
      </c>
      <c r="F51" s="77" t="s">
        <v>58</v>
      </c>
      <c r="G51" s="77" t="s">
        <v>59</v>
      </c>
      <c r="H51" s="77" t="s">
        <v>123</v>
      </c>
      <c r="I51" s="102" t="s">
        <v>91</v>
      </c>
      <c r="J51" s="77" t="s">
        <v>92</v>
      </c>
      <c r="K51" s="77" t="s">
        <v>63</v>
      </c>
      <c r="L51" s="77" t="s">
        <v>124</v>
      </c>
      <c r="M51" s="77" t="s">
        <v>65</v>
      </c>
      <c r="N51" s="77" t="s">
        <v>77</v>
      </c>
      <c r="O51" s="77" t="s">
        <v>67</v>
      </c>
      <c r="P51" s="76"/>
      <c r="Q51" s="183"/>
      <c r="R51" s="110" t="s">
        <v>93</v>
      </c>
      <c r="S51" s="77">
        <v>2020</v>
      </c>
      <c r="T51" s="179">
        <v>1</v>
      </c>
      <c r="U51" s="180">
        <v>18622.25</v>
      </c>
      <c r="V51" s="180">
        <f>Table4[[#This Row],[Expected Revenue]]*Table4[[#This Row],[Probability]]</f>
        <v>18622.25</v>
      </c>
      <c r="W51" s="180">
        <f t="shared" si="0"/>
        <v>20800</v>
      </c>
      <c r="X51" s="179">
        <v>0.3</v>
      </c>
      <c r="Y51" s="180">
        <f>Table4[[#This Row],[Rev. Based on PROB]]*Table4[[#This Row],[Expected CMR]]</f>
        <v>5586.6750000000002</v>
      </c>
      <c r="Z51" s="203" t="s">
        <v>123</v>
      </c>
      <c r="AA51" s="77"/>
      <c r="AB51" s="77"/>
      <c r="AC51" s="180"/>
      <c r="AD51" s="220">
        <v>43840</v>
      </c>
      <c r="AE51" s="220">
        <v>43854</v>
      </c>
      <c r="AF51" s="220"/>
      <c r="AG51" s="185"/>
      <c r="AH51" s="185"/>
      <c r="AI51" s="185"/>
      <c r="AJ51" s="185"/>
      <c r="AK51" s="979"/>
      <c r="AL51" s="180"/>
      <c r="AM51" s="77"/>
      <c r="AN51" s="77"/>
      <c r="AO51" s="110">
        <f>IF(Table4[[#This Row],[Finish (demob)]]&lt;&gt;"",Table4[[#This Row],[Finish (demob)]]+10,"")</f>
        <v>43864</v>
      </c>
      <c r="AP51" s="110">
        <f>IF(Table4[[#This Row],[Finish (demob)]]&lt;&gt;"",Table4[[#This Row],[Finish (demob)]]+10,"")</f>
        <v>43864</v>
      </c>
      <c r="AQ51" s="220"/>
      <c r="AR51" s="77" t="str">
        <f>IF(Table4[[#This Row],[Date Report is delivered:]]&lt;&gt;"", "Delivered", "")</f>
        <v/>
      </c>
      <c r="AS51" s="179"/>
      <c r="AT51" s="77"/>
      <c r="AU51" s="179"/>
      <c r="AV51" s="77"/>
      <c r="AW51" s="77"/>
    </row>
    <row r="52" spans="1:49" hidden="1">
      <c r="A52" s="173">
        <v>202010</v>
      </c>
      <c r="B52" s="75" t="s">
        <v>90</v>
      </c>
      <c r="C52" s="77" t="str">
        <f>CONCATENATE(Table4[[#This Row],[Project]],"-",Table4[[#This Row],[WO]])</f>
        <v>202010-04</v>
      </c>
      <c r="D52" s="76" t="s">
        <v>130</v>
      </c>
      <c r="E52" s="77" t="s">
        <v>57</v>
      </c>
      <c r="F52" s="77" t="s">
        <v>58</v>
      </c>
      <c r="G52" s="77" t="s">
        <v>59</v>
      </c>
      <c r="H52" s="77" t="s">
        <v>123</v>
      </c>
      <c r="I52" s="102" t="s">
        <v>96</v>
      </c>
      <c r="J52" s="77" t="s">
        <v>92</v>
      </c>
      <c r="K52" s="77" t="s">
        <v>63</v>
      </c>
      <c r="L52" s="77" t="s">
        <v>124</v>
      </c>
      <c r="M52" s="77" t="s">
        <v>65</v>
      </c>
      <c r="N52" s="77" t="s">
        <v>77</v>
      </c>
      <c r="O52" s="77" t="s">
        <v>67</v>
      </c>
      <c r="P52" s="76"/>
      <c r="Q52" s="183"/>
      <c r="R52" s="110" t="s">
        <v>89</v>
      </c>
      <c r="S52" s="77">
        <v>2020</v>
      </c>
      <c r="T52" s="179">
        <v>1</v>
      </c>
      <c r="U52" s="180">
        <v>18622.25</v>
      </c>
      <c r="V52" s="180">
        <f>Table4[[#This Row],[Expected Revenue]]*Table4[[#This Row],[Probability]]</f>
        <v>18622.25</v>
      </c>
      <c r="W52" s="180">
        <f t="shared" si="0"/>
        <v>20800</v>
      </c>
      <c r="X52" s="179">
        <v>0.3</v>
      </c>
      <c r="Y52" s="180">
        <f>Table4[[#This Row],[Rev. Based on PROB]]*Table4[[#This Row],[Expected CMR]]</f>
        <v>5586.6750000000002</v>
      </c>
      <c r="Z52" s="203" t="s">
        <v>123</v>
      </c>
      <c r="AA52" s="77"/>
      <c r="AB52" s="77"/>
      <c r="AC52" s="180"/>
      <c r="AD52" s="220"/>
      <c r="AE52" s="220"/>
      <c r="AF52" s="220"/>
      <c r="AG52" s="185"/>
      <c r="AH52" s="185"/>
      <c r="AI52" s="185"/>
      <c r="AJ52" s="185"/>
      <c r="AK52" s="979"/>
      <c r="AL52" s="180"/>
      <c r="AM52" s="77"/>
      <c r="AN52" s="77"/>
      <c r="AO52" s="110" t="str">
        <f>IF(Table4[[#This Row],[Finish (demob)]]&lt;&gt;"",Table4[[#This Row],[Finish (demob)]]+10,"")</f>
        <v/>
      </c>
      <c r="AP52" s="110" t="str">
        <f>IF(Table4[[#This Row],[Finish (demob)]]&lt;&gt;"",Table4[[#This Row],[Finish (demob)]]+10,"")</f>
        <v/>
      </c>
      <c r="AQ52" s="220"/>
      <c r="AR52" s="77" t="str">
        <f>IF(Table4[[#This Row],[Date Report is delivered:]]&lt;&gt;"", "Delivered", "")</f>
        <v/>
      </c>
      <c r="AS52" s="179"/>
      <c r="AT52" s="77"/>
      <c r="AU52" s="179"/>
      <c r="AV52" s="77"/>
      <c r="AW52" s="77"/>
    </row>
    <row r="53" spans="1:49" hidden="1">
      <c r="A53" s="173">
        <v>202010</v>
      </c>
      <c r="B53" s="75" t="s">
        <v>90</v>
      </c>
      <c r="C53" s="77" t="str">
        <f>CONCATENATE(Table4[[#This Row],[Project]],"-",Table4[[#This Row],[WO]])</f>
        <v>202010-04</v>
      </c>
      <c r="D53" s="76" t="s">
        <v>130</v>
      </c>
      <c r="E53" s="77" t="s">
        <v>57</v>
      </c>
      <c r="F53" s="77" t="s">
        <v>58</v>
      </c>
      <c r="G53" s="77" t="s">
        <v>59</v>
      </c>
      <c r="H53" s="77" t="s">
        <v>123</v>
      </c>
      <c r="I53" s="102" t="s">
        <v>97</v>
      </c>
      <c r="J53" s="77" t="s">
        <v>92</v>
      </c>
      <c r="K53" s="77" t="s">
        <v>63</v>
      </c>
      <c r="L53" s="77" t="s">
        <v>124</v>
      </c>
      <c r="M53" s="77" t="s">
        <v>65</v>
      </c>
      <c r="N53" s="77" t="s">
        <v>77</v>
      </c>
      <c r="O53" s="77" t="s">
        <v>67</v>
      </c>
      <c r="P53" s="76"/>
      <c r="Q53" s="183"/>
      <c r="R53" s="110" t="s">
        <v>84</v>
      </c>
      <c r="S53" s="77">
        <v>2020</v>
      </c>
      <c r="T53" s="179">
        <v>1</v>
      </c>
      <c r="U53" s="180">
        <v>18622.25</v>
      </c>
      <c r="V53" s="180">
        <f>Table4[[#This Row],[Expected Revenue]]*Table4[[#This Row],[Probability]]</f>
        <v>18622.25</v>
      </c>
      <c r="W53" s="180">
        <f t="shared" si="0"/>
        <v>20800</v>
      </c>
      <c r="X53" s="179">
        <v>0.3</v>
      </c>
      <c r="Y53" s="180">
        <f>Table4[[#This Row],[Rev. Based on PROB]]*Table4[[#This Row],[Expected CMR]]</f>
        <v>5586.6750000000002</v>
      </c>
      <c r="Z53" s="203" t="s">
        <v>123</v>
      </c>
      <c r="AA53" s="77"/>
      <c r="AB53" s="77"/>
      <c r="AC53" s="180"/>
      <c r="AD53" s="220"/>
      <c r="AE53" s="220"/>
      <c r="AF53" s="220"/>
      <c r="AG53" s="185"/>
      <c r="AH53" s="185"/>
      <c r="AI53" s="185"/>
      <c r="AJ53" s="185"/>
      <c r="AK53" s="182"/>
      <c r="AL53" s="180"/>
      <c r="AM53" s="77"/>
      <c r="AN53" s="77"/>
      <c r="AO53" s="110" t="str">
        <f>IF(Table4[[#This Row],[Finish (demob)]]&lt;&gt;"",Table4[[#This Row],[Finish (demob)]]+10,"")</f>
        <v/>
      </c>
      <c r="AP53" s="110" t="str">
        <f>IF(Table4[[#This Row],[Finish (demob)]]&lt;&gt;"",Table4[[#This Row],[Finish (demob)]]+10,"")</f>
        <v/>
      </c>
      <c r="AQ53" s="220"/>
      <c r="AR53" s="77" t="str">
        <f>IF(Table4[[#This Row],[Date Report is delivered:]]&lt;&gt;"", "Delivered", "")</f>
        <v/>
      </c>
      <c r="AS53" s="179"/>
      <c r="AT53" s="77"/>
      <c r="AU53" s="179"/>
      <c r="AV53" s="77"/>
      <c r="AW53" s="77"/>
    </row>
    <row r="54" spans="1:49" hidden="1">
      <c r="A54" s="173">
        <v>202010</v>
      </c>
      <c r="B54" s="75" t="s">
        <v>90</v>
      </c>
      <c r="C54" s="77" t="str">
        <f>CONCATENATE(Table4[[#This Row],[Project]],"-",Table4[[#This Row],[WO]])</f>
        <v>202010-04</v>
      </c>
      <c r="D54" s="76" t="s">
        <v>130</v>
      </c>
      <c r="E54" s="77" t="s">
        <v>57</v>
      </c>
      <c r="F54" s="77" t="s">
        <v>58</v>
      </c>
      <c r="G54" s="77" t="s">
        <v>59</v>
      </c>
      <c r="H54" s="77" t="s">
        <v>123</v>
      </c>
      <c r="I54" s="102" t="s">
        <v>101</v>
      </c>
      <c r="J54" s="77" t="s">
        <v>92</v>
      </c>
      <c r="K54" s="77" t="s">
        <v>63</v>
      </c>
      <c r="L54" s="77" t="s">
        <v>124</v>
      </c>
      <c r="M54" s="77" t="s">
        <v>65</v>
      </c>
      <c r="N54" s="77" t="s">
        <v>77</v>
      </c>
      <c r="O54" s="77" t="s">
        <v>67</v>
      </c>
      <c r="P54" s="76"/>
      <c r="Q54" s="183"/>
      <c r="R54" s="110" t="s">
        <v>102</v>
      </c>
      <c r="S54" s="77">
        <v>2020</v>
      </c>
      <c r="T54" s="179">
        <v>1</v>
      </c>
      <c r="U54" s="180">
        <v>18622.25</v>
      </c>
      <c r="V54" s="180">
        <f>Table4[[#This Row],[Expected Revenue]]*Table4[[#This Row],[Probability]]</f>
        <v>18622.25</v>
      </c>
      <c r="W54" s="180">
        <f t="shared" si="0"/>
        <v>20800</v>
      </c>
      <c r="X54" s="179">
        <v>0.3</v>
      </c>
      <c r="Y54" s="180">
        <f>Table4[[#This Row],[Rev. Based on PROB]]*Table4[[#This Row],[Expected CMR]]</f>
        <v>5586.6750000000002</v>
      </c>
      <c r="Z54" s="203" t="s">
        <v>123</v>
      </c>
      <c r="AA54" s="77"/>
      <c r="AB54" s="77"/>
      <c r="AC54" s="180"/>
      <c r="AD54" s="220"/>
      <c r="AE54" s="220"/>
      <c r="AF54" s="220"/>
      <c r="AG54" s="185"/>
      <c r="AH54" s="185"/>
      <c r="AI54" s="185"/>
      <c r="AJ54" s="185"/>
      <c r="AK54" s="979"/>
      <c r="AL54" s="180"/>
      <c r="AM54" s="77"/>
      <c r="AN54" s="77"/>
      <c r="AO54" s="110" t="str">
        <f>IF(Table4[[#This Row],[Finish (demob)]]&lt;&gt;"",Table4[[#This Row],[Finish (demob)]]+10,"")</f>
        <v/>
      </c>
      <c r="AP54" s="110" t="str">
        <f>IF(Table4[[#This Row],[Finish (demob)]]&lt;&gt;"",Table4[[#This Row],[Finish (demob)]]+10,"")</f>
        <v/>
      </c>
      <c r="AQ54" s="220"/>
      <c r="AR54" s="77" t="str">
        <f>IF(Table4[[#This Row],[Date Report is delivered:]]&lt;&gt;"", "Delivered", "")</f>
        <v/>
      </c>
      <c r="AS54" s="179"/>
      <c r="AT54" s="77"/>
      <c r="AU54" s="179"/>
      <c r="AV54" s="77"/>
      <c r="AW54" s="77"/>
    </row>
    <row r="55" spans="1:49" hidden="1">
      <c r="A55" s="173">
        <v>202010</v>
      </c>
      <c r="B55" s="75" t="s">
        <v>133</v>
      </c>
      <c r="C55" s="77" t="str">
        <f>CONCATENATE(Table4[[#This Row],[Project]],"-",Table4[[#This Row],[WO]])</f>
        <v>202010-13</v>
      </c>
      <c r="D55" s="76" t="s">
        <v>130</v>
      </c>
      <c r="E55" s="77" t="s">
        <v>57</v>
      </c>
      <c r="F55" s="77" t="s">
        <v>58</v>
      </c>
      <c r="G55" s="77" t="s">
        <v>59</v>
      </c>
      <c r="H55" s="77" t="s">
        <v>123</v>
      </c>
      <c r="I55" s="102" t="s">
        <v>134</v>
      </c>
      <c r="J55" s="77" t="s">
        <v>135</v>
      </c>
      <c r="K55" s="77" t="s">
        <v>63</v>
      </c>
      <c r="L55" s="77" t="s">
        <v>124</v>
      </c>
      <c r="M55" s="77" t="s">
        <v>65</v>
      </c>
      <c r="N55" s="77" t="s">
        <v>77</v>
      </c>
      <c r="O55" s="77" t="s">
        <v>67</v>
      </c>
      <c r="P55" s="76"/>
      <c r="Q55" s="183"/>
      <c r="R55" s="110" t="s">
        <v>93</v>
      </c>
      <c r="S55" s="77">
        <v>2020</v>
      </c>
      <c r="T55" s="179">
        <v>1</v>
      </c>
      <c r="U55" s="180">
        <v>5000</v>
      </c>
      <c r="V55" s="180">
        <f>Table4[[#This Row],[Expected Revenue]]*Table4[[#This Row],[Probability]]</f>
        <v>5000</v>
      </c>
      <c r="W55" s="180">
        <f t="shared" si="0"/>
        <v>20800</v>
      </c>
      <c r="X55" s="179">
        <v>0.3</v>
      </c>
      <c r="Y55" s="180">
        <f>Table4[[#This Row],[Rev. Based on PROB]]*Table4[[#This Row],[Expected CMR]]</f>
        <v>1500</v>
      </c>
      <c r="Z55" s="203" t="s">
        <v>123</v>
      </c>
      <c r="AA55" s="77"/>
      <c r="AB55" s="77"/>
      <c r="AC55" s="180"/>
      <c r="AD55" s="220">
        <v>43832</v>
      </c>
      <c r="AE55" s="220">
        <v>43835</v>
      </c>
      <c r="AF55" s="220"/>
      <c r="AG55" s="185"/>
      <c r="AH55" s="185"/>
      <c r="AI55" s="185"/>
      <c r="AJ55" s="185"/>
      <c r="AK55" s="979" t="s">
        <v>136</v>
      </c>
      <c r="AL55" s="180">
        <v>6145</v>
      </c>
      <c r="AM55" s="77" t="s">
        <v>93</v>
      </c>
      <c r="AN55" s="77">
        <v>2020</v>
      </c>
      <c r="AO55" s="110">
        <f>IF(Table4[[#This Row],[Finish (demob)]]&lt;&gt;"",Table4[[#This Row],[Finish (demob)]]+10,"")</f>
        <v>43845</v>
      </c>
      <c r="AP55" s="110">
        <f>IF(Table4[[#This Row],[Finish (demob)]]&lt;&gt;"",Table4[[#This Row],[Finish (demob)]]+10,"")</f>
        <v>43845</v>
      </c>
      <c r="AQ55" s="220"/>
      <c r="AR55" s="77" t="str">
        <f>IF(Table4[[#This Row],[Date Report is delivered:]]&lt;&gt;"", "Delivered", "")</f>
        <v/>
      </c>
      <c r="AS55" s="179" t="e">
        <f>1-(#REF!/#REF!)</f>
        <v>#REF!</v>
      </c>
      <c r="AT55" s="77"/>
      <c r="AU55" s="179"/>
      <c r="AV55" s="77"/>
      <c r="AW55" s="77"/>
    </row>
    <row r="56" spans="1:49" hidden="1">
      <c r="A56" s="173">
        <v>202011</v>
      </c>
      <c r="B56" s="75" t="s">
        <v>103</v>
      </c>
      <c r="C56" s="77" t="str">
        <f>CONCATENATE(Table4[[#This Row],[Project]],"-",Table4[[#This Row],[WO]])</f>
        <v>202011-01</v>
      </c>
      <c r="D56" s="76" t="s">
        <v>137</v>
      </c>
      <c r="E56" s="77" t="s">
        <v>57</v>
      </c>
      <c r="F56" s="77" t="s">
        <v>58</v>
      </c>
      <c r="G56" s="77" t="s">
        <v>59</v>
      </c>
      <c r="H56" s="77" t="s">
        <v>123</v>
      </c>
      <c r="I56" s="102" t="s">
        <v>138</v>
      </c>
      <c r="J56" s="77" t="s">
        <v>107</v>
      </c>
      <c r="K56" s="77" t="s">
        <v>63</v>
      </c>
      <c r="L56" s="77" t="s">
        <v>108</v>
      </c>
      <c r="M56" s="77" t="s">
        <v>65</v>
      </c>
      <c r="N56" s="77" t="s">
        <v>77</v>
      </c>
      <c r="O56" s="77" t="s">
        <v>67</v>
      </c>
      <c r="P56" s="76"/>
      <c r="Q56" s="183"/>
      <c r="R56" s="110" t="s">
        <v>139</v>
      </c>
      <c r="S56" s="77">
        <v>2020</v>
      </c>
      <c r="T56" s="179">
        <v>1</v>
      </c>
      <c r="U56" s="180">
        <v>58784</v>
      </c>
      <c r="V56" s="180">
        <f>Table4[[#This Row],[Expected Revenue]]*Table4[[#This Row],[Probability]]</f>
        <v>58784</v>
      </c>
      <c r="W56" s="180">
        <f>(800*3+((550+310+290)*14)+1600+250*18)</f>
        <v>24600</v>
      </c>
      <c r="X56" s="179">
        <f>Table4[[#This Row],[Expected Contribution]]/Table4[[#This Row],[Rev. Based on PROB]]</f>
        <v>0.58151878062057705</v>
      </c>
      <c r="Y56" s="180">
        <f>Table4[[#This Row],[Rev. Based on PROB]]-Table4[[#This Row],[Expected Costs]]</f>
        <v>34184</v>
      </c>
      <c r="Z56" s="203" t="s">
        <v>105</v>
      </c>
      <c r="AA56" s="77"/>
      <c r="AB56" s="181"/>
      <c r="AC56" s="180"/>
      <c r="AD56" s="220">
        <v>43928</v>
      </c>
      <c r="AE56" s="220">
        <v>43954</v>
      </c>
      <c r="AF56" s="220" t="s">
        <v>140</v>
      </c>
      <c r="AG56" s="185">
        <v>58784</v>
      </c>
      <c r="AH56" s="185"/>
      <c r="AI56" s="185"/>
      <c r="AJ56" s="185" t="s">
        <v>141</v>
      </c>
      <c r="AK56" s="179" t="s">
        <v>100</v>
      </c>
      <c r="AL56" s="180">
        <v>58784</v>
      </c>
      <c r="AM56" s="77" t="s">
        <v>89</v>
      </c>
      <c r="AN56" s="77">
        <v>2020</v>
      </c>
      <c r="AO56" s="110">
        <f>IF(Table4[[#This Row],[Finish (demob)]]&lt;&gt;"",Table4[[#This Row],[Finish (demob)]]+7,"")</f>
        <v>43961</v>
      </c>
      <c r="AP56" s="110">
        <f>IF(Table4[[#This Row],[Finish (demob)]]&lt;&gt;"",Table4[[#This Row],[Finish (demob)]]+10,"")</f>
        <v>43964</v>
      </c>
      <c r="AQ56" s="220"/>
      <c r="AR56" s="77" t="str">
        <f>IF(Table4[[#This Row],[Date Report is delivered:]]&lt;&gt;"", "Delivered", "")</f>
        <v/>
      </c>
      <c r="AS56" s="179" t="s">
        <v>100</v>
      </c>
      <c r="AT56" s="77"/>
      <c r="AU56" s="179"/>
      <c r="AV56" s="77"/>
      <c r="AW56" s="77"/>
    </row>
    <row r="57" spans="1:49" hidden="1">
      <c r="A57" s="173">
        <v>202011</v>
      </c>
      <c r="B57" s="75" t="s">
        <v>111</v>
      </c>
      <c r="C57" s="77" t="str">
        <f>CONCATENATE(Table4[[#This Row],[Project]],"-",Table4[[#This Row],[WO]])</f>
        <v>202011-02</v>
      </c>
      <c r="D57" s="76" t="s">
        <v>137</v>
      </c>
      <c r="E57" s="77" t="s">
        <v>57</v>
      </c>
      <c r="F57" s="77" t="s">
        <v>58</v>
      </c>
      <c r="G57" s="77" t="s">
        <v>59</v>
      </c>
      <c r="H57" s="77" t="s">
        <v>123</v>
      </c>
      <c r="I57" s="102" t="s">
        <v>142</v>
      </c>
      <c r="J57" s="77" t="s">
        <v>71</v>
      </c>
      <c r="K57" s="77" t="s">
        <v>63</v>
      </c>
      <c r="L57" s="77" t="s">
        <v>108</v>
      </c>
      <c r="M57" s="77" t="s">
        <v>65</v>
      </c>
      <c r="N57" s="77" t="s">
        <v>77</v>
      </c>
      <c r="O57" s="77" t="s">
        <v>67</v>
      </c>
      <c r="P57" s="76"/>
      <c r="Q57" s="183"/>
      <c r="R57" s="110" t="s">
        <v>139</v>
      </c>
      <c r="S57" s="77">
        <v>2020</v>
      </c>
      <c r="T57" s="179">
        <v>1</v>
      </c>
      <c r="U57" s="180">
        <v>30630</v>
      </c>
      <c r="V57" s="180">
        <f>Table4[[#This Row],[Expected Revenue]]*Table4[[#This Row],[Probability]]</f>
        <v>30630</v>
      </c>
      <c r="W57" s="180">
        <f>(((550+310+290)*10)+1600+180*10)</f>
        <v>14900</v>
      </c>
      <c r="X57" s="179">
        <f>Table4[[#This Row],[Expected Contribution]]/Table4[[#This Row],[Rev. Based on PROB]]</f>
        <v>0.51354880835781913</v>
      </c>
      <c r="Y57" s="180">
        <f>Table4[[#This Row],[Rev. Based on PROB]]-Table4[[#This Row],[Expected Costs]]</f>
        <v>15730</v>
      </c>
      <c r="Z57" s="203" t="s">
        <v>105</v>
      </c>
      <c r="AA57" s="77"/>
      <c r="AB57" s="77"/>
      <c r="AC57" s="180"/>
      <c r="AD57" s="220">
        <v>43928</v>
      </c>
      <c r="AE57" s="220">
        <v>43954</v>
      </c>
      <c r="AF57" s="220" t="s">
        <v>140</v>
      </c>
      <c r="AG57" s="185">
        <v>30630</v>
      </c>
      <c r="AH57" s="185"/>
      <c r="AI57" s="185"/>
      <c r="AJ57" s="185" t="s">
        <v>141</v>
      </c>
      <c r="AK57" s="179" t="s">
        <v>100</v>
      </c>
      <c r="AL57" s="180">
        <v>30630</v>
      </c>
      <c r="AM57" s="77" t="s">
        <v>89</v>
      </c>
      <c r="AN57" s="77">
        <v>2020</v>
      </c>
      <c r="AO57" s="110">
        <f>IF(Table4[[#This Row],[Finish (demob)]]&lt;&gt;"",Table4[[#This Row],[Finish (demob)]]+10,"")</f>
        <v>43964</v>
      </c>
      <c r="AP57" s="110">
        <f>IF(Table4[[#This Row],[Finish (demob)]]&lt;&gt;"",Table4[[#This Row],[Finish (demob)]]+10,"")</f>
        <v>43964</v>
      </c>
      <c r="AQ57" s="220"/>
      <c r="AR57" s="77" t="str">
        <f>IF(Table4[[#This Row],[Date Report is delivered:]]&lt;&gt;"", "Delivered", "")</f>
        <v/>
      </c>
      <c r="AS57" s="179" t="s">
        <v>100</v>
      </c>
      <c r="AT57" s="77"/>
      <c r="AU57" s="179"/>
      <c r="AV57" s="77"/>
      <c r="AW57" s="77"/>
    </row>
    <row r="58" spans="1:49" hidden="1">
      <c r="A58" s="173">
        <v>202011</v>
      </c>
      <c r="B58" s="75" t="s">
        <v>72</v>
      </c>
      <c r="C58" s="77" t="str">
        <f>CONCATENATE(Table4[[#This Row],[Project]],"-",Table4[[#This Row],[WO]])</f>
        <v>202011-07</v>
      </c>
      <c r="D58" s="76" t="s">
        <v>137</v>
      </c>
      <c r="E58" s="77" t="s">
        <v>57</v>
      </c>
      <c r="F58" s="77" t="s">
        <v>58</v>
      </c>
      <c r="G58" s="77" t="s">
        <v>59</v>
      </c>
      <c r="H58" s="77" t="s">
        <v>123</v>
      </c>
      <c r="I58" s="102" t="s">
        <v>75</v>
      </c>
      <c r="J58" s="77" t="s">
        <v>62</v>
      </c>
      <c r="K58" s="77" t="s">
        <v>63</v>
      </c>
      <c r="L58" s="77" t="s">
        <v>124</v>
      </c>
      <c r="M58" s="77" t="s">
        <v>65</v>
      </c>
      <c r="N58" s="77" t="s">
        <v>77</v>
      </c>
      <c r="O58" s="77" t="s">
        <v>67</v>
      </c>
      <c r="P58" s="76"/>
      <c r="Q58" s="183"/>
      <c r="R58" s="152" t="s">
        <v>80</v>
      </c>
      <c r="S58" s="77">
        <v>2020</v>
      </c>
      <c r="T58" s="179">
        <v>1</v>
      </c>
      <c r="U58" s="180">
        <v>10620</v>
      </c>
      <c r="V58" s="180">
        <f>Table4[[#This Row],[Expected Revenue]]*Table4[[#This Row],[Probability]]</f>
        <v>10620</v>
      </c>
      <c r="W58" s="180"/>
      <c r="X58" s="179">
        <v>0.3</v>
      </c>
      <c r="Y58" s="180">
        <f>Table4[[#This Row],[Rev. Based on PROB]]*Table4[[#This Row],[Expected CMR]]</f>
        <v>3186</v>
      </c>
      <c r="Z58" s="203" t="s">
        <v>105</v>
      </c>
      <c r="AA58" s="77"/>
      <c r="AB58" s="77"/>
      <c r="AC58" s="180"/>
      <c r="AD58" s="220"/>
      <c r="AE58" s="220"/>
      <c r="AF58" s="220"/>
      <c r="AG58" s="185"/>
      <c r="AH58" s="185"/>
      <c r="AI58" s="185"/>
      <c r="AJ58" s="185"/>
      <c r="AK58" s="979"/>
      <c r="AL58" s="180"/>
      <c r="AM58" s="77"/>
      <c r="AN58" s="77"/>
      <c r="AO58" s="110" t="str">
        <f>IF(Table4[[#This Row],[Finish (demob)]]&lt;&gt;"",Table4[[#This Row],[Finish (demob)]]+10,"")</f>
        <v/>
      </c>
      <c r="AP58" s="110" t="str">
        <f>IF(Table4[[#This Row],[Finish (demob)]]&lt;&gt;"",Table4[[#This Row],[Finish (demob)]]+10,"")</f>
        <v/>
      </c>
      <c r="AQ58" s="220"/>
      <c r="AR58" s="77" t="str">
        <f>IF(Table4[[#This Row],[Date Report is delivered:]]&lt;&gt;"", "Delivered", "")</f>
        <v/>
      </c>
      <c r="AS58" s="179"/>
      <c r="AT58" s="77"/>
      <c r="AU58" s="179"/>
      <c r="AV58" s="77"/>
      <c r="AW58" s="77"/>
    </row>
    <row r="59" spans="1:49" hidden="1">
      <c r="A59" s="173">
        <v>202011</v>
      </c>
      <c r="B59" s="75" t="s">
        <v>81</v>
      </c>
      <c r="C59" s="77" t="str">
        <f>CONCATENATE(Table4[[#This Row],[Project]],"-",Table4[[#This Row],[WO]])</f>
        <v>202011-06</v>
      </c>
      <c r="D59" s="76" t="s">
        <v>137</v>
      </c>
      <c r="E59" s="77" t="s">
        <v>57</v>
      </c>
      <c r="F59" s="77" t="s">
        <v>58</v>
      </c>
      <c r="G59" s="77" t="s">
        <v>59</v>
      </c>
      <c r="H59" s="77" t="s">
        <v>123</v>
      </c>
      <c r="I59" s="102" t="s">
        <v>82</v>
      </c>
      <c r="J59" s="77" t="s">
        <v>83</v>
      </c>
      <c r="K59" s="77" t="s">
        <v>63</v>
      </c>
      <c r="L59" s="77" t="s">
        <v>124</v>
      </c>
      <c r="M59" s="77" t="s">
        <v>65</v>
      </c>
      <c r="N59" s="77" t="s">
        <v>77</v>
      </c>
      <c r="O59" s="77" t="s">
        <v>67</v>
      </c>
      <c r="P59" s="76"/>
      <c r="Q59" s="183"/>
      <c r="R59" s="110" t="s">
        <v>84</v>
      </c>
      <c r="S59" s="77">
        <v>2020</v>
      </c>
      <c r="T59" s="179">
        <v>1</v>
      </c>
      <c r="U59" s="180">
        <v>17300</v>
      </c>
      <c r="V59" s="180">
        <f>Table4[[#This Row],[Expected Revenue]]*Table4[[#This Row],[Probability]]</f>
        <v>17300</v>
      </c>
      <c r="W59" s="180"/>
      <c r="X59" s="179">
        <v>0.3</v>
      </c>
      <c r="Y59" s="180">
        <f>Table4[[#This Row],[Rev. Based on PROB]]*Table4[[#This Row],[Expected CMR]]</f>
        <v>5190</v>
      </c>
      <c r="Z59" s="203" t="s">
        <v>105</v>
      </c>
      <c r="AA59" s="77"/>
      <c r="AB59" s="77"/>
      <c r="AC59" s="180"/>
      <c r="AD59" s="220"/>
      <c r="AE59" s="220"/>
      <c r="AF59" s="220"/>
      <c r="AG59" s="185"/>
      <c r="AH59" s="185"/>
      <c r="AI59" s="185"/>
      <c r="AJ59" s="185"/>
      <c r="AK59" s="979"/>
      <c r="AL59" s="180"/>
      <c r="AM59" s="77"/>
      <c r="AN59" s="77"/>
      <c r="AO59" s="110" t="str">
        <f>IF(Table4[[#This Row],[Finish (demob)]]&lt;&gt;"",Table4[[#This Row],[Finish (demob)]]+10,"")</f>
        <v/>
      </c>
      <c r="AP59" s="110" t="str">
        <f>IF(Table4[[#This Row],[Finish (demob)]]&lt;&gt;"",Table4[[#This Row],[Finish (demob)]]+10,"")</f>
        <v/>
      </c>
      <c r="AQ59" s="220"/>
      <c r="AR59" s="77" t="str">
        <f>IF(Table4[[#This Row],[Date Report is delivered:]]&lt;&gt;"", "Delivered", "")</f>
        <v/>
      </c>
      <c r="AS59" s="179"/>
      <c r="AT59" s="77"/>
      <c r="AU59" s="179"/>
      <c r="AV59" s="77"/>
      <c r="AW59" s="77"/>
    </row>
    <row r="60" spans="1:49" hidden="1">
      <c r="A60" s="173">
        <v>202011</v>
      </c>
      <c r="B60" s="75" t="s">
        <v>55</v>
      </c>
      <c r="C60" s="77" t="str">
        <f>CONCATENATE(Table4[[#This Row],[Project]],"-",Table4[[#This Row],[WO]])</f>
        <v>202011-03</v>
      </c>
      <c r="D60" s="76" t="s">
        <v>137</v>
      </c>
      <c r="E60" s="77" t="s">
        <v>57</v>
      </c>
      <c r="F60" s="77" t="s">
        <v>58</v>
      </c>
      <c r="G60" s="77" t="s">
        <v>59</v>
      </c>
      <c r="H60" s="77" t="s">
        <v>123</v>
      </c>
      <c r="I60" s="102" t="s">
        <v>113</v>
      </c>
      <c r="J60" s="77" t="s">
        <v>62</v>
      </c>
      <c r="K60" s="77" t="s">
        <v>63</v>
      </c>
      <c r="L60" s="77" t="s">
        <v>124</v>
      </c>
      <c r="M60" s="77" t="s">
        <v>65</v>
      </c>
      <c r="N60" s="77" t="s">
        <v>77</v>
      </c>
      <c r="O60" s="77" t="s">
        <v>67</v>
      </c>
      <c r="P60" s="76"/>
      <c r="Q60" s="183"/>
      <c r="R60" s="110" t="s">
        <v>93</v>
      </c>
      <c r="S60" s="77">
        <v>2020</v>
      </c>
      <c r="T60" s="179">
        <v>1</v>
      </c>
      <c r="U60" s="180">
        <v>31649</v>
      </c>
      <c r="V60" s="180">
        <f>Table4[[#This Row],[Expected Revenue]]*Table4[[#This Row],[Probability]]</f>
        <v>31649</v>
      </c>
      <c r="W60" s="180"/>
      <c r="X60" s="179">
        <v>0.3</v>
      </c>
      <c r="Y60" s="180">
        <f>Table4[[#This Row],[Rev. Based on PROB]]*Table4[[#This Row],[Expected CMR]]</f>
        <v>9494.6999999999989</v>
      </c>
      <c r="Z60" s="203" t="s">
        <v>105</v>
      </c>
      <c r="AA60" s="77"/>
      <c r="AB60" s="77"/>
      <c r="AC60" s="180"/>
      <c r="AD60" s="220"/>
      <c r="AE60" s="220"/>
      <c r="AF60" s="220"/>
      <c r="AG60" s="185"/>
      <c r="AH60" s="185"/>
      <c r="AI60" s="185"/>
      <c r="AJ60" s="185"/>
      <c r="AK60" s="979"/>
      <c r="AL60" s="180"/>
      <c r="AM60" s="77"/>
      <c r="AN60" s="77"/>
      <c r="AO60" s="110" t="str">
        <f>IF(Table4[[#This Row],[Finish (demob)]]&lt;&gt;"",Table4[[#This Row],[Finish (demob)]]+10,"")</f>
        <v/>
      </c>
      <c r="AP60" s="110" t="str">
        <f>IF(Table4[[#This Row],[Finish (demob)]]&lt;&gt;"",Table4[[#This Row],[Finish (demob)]]+10,"")</f>
        <v/>
      </c>
      <c r="AQ60" s="220"/>
      <c r="AR60" s="77" t="str">
        <f>IF(Table4[[#This Row],[Date Report is delivered:]]&lt;&gt;"", "Delivered", "")</f>
        <v/>
      </c>
      <c r="AS60" s="179"/>
      <c r="AT60" s="77"/>
      <c r="AU60" s="179"/>
      <c r="AV60" s="77"/>
      <c r="AW60" s="77"/>
    </row>
    <row r="61" spans="1:49" hidden="1">
      <c r="A61" s="173">
        <v>202011</v>
      </c>
      <c r="B61" s="75" t="s">
        <v>86</v>
      </c>
      <c r="C61" s="77" t="str">
        <f>CONCATENATE(Table4[[#This Row],[Project]],"-",Table4[[#This Row],[WO]])</f>
        <v>202011-05</v>
      </c>
      <c r="D61" s="76" t="s">
        <v>137</v>
      </c>
      <c r="E61" s="77" t="s">
        <v>57</v>
      </c>
      <c r="F61" s="77" t="s">
        <v>58</v>
      </c>
      <c r="G61" s="77" t="s">
        <v>59</v>
      </c>
      <c r="H61" s="77" t="s">
        <v>123</v>
      </c>
      <c r="I61" s="102" t="s">
        <v>87</v>
      </c>
      <c r="J61" s="77" t="s">
        <v>88</v>
      </c>
      <c r="K61" s="77" t="s">
        <v>63</v>
      </c>
      <c r="L61" s="77" t="s">
        <v>124</v>
      </c>
      <c r="M61" s="77" t="s">
        <v>65</v>
      </c>
      <c r="N61" s="77" t="s">
        <v>77</v>
      </c>
      <c r="O61" s="77" t="s">
        <v>67</v>
      </c>
      <c r="P61" s="76"/>
      <c r="Q61" s="183"/>
      <c r="R61" s="110" t="s">
        <v>89</v>
      </c>
      <c r="S61" s="77">
        <v>2020</v>
      </c>
      <c r="T61" s="179">
        <v>1</v>
      </c>
      <c r="U61" s="180">
        <v>27538</v>
      </c>
      <c r="V61" s="180">
        <f>Table4[[#This Row],[Expected Revenue]]*Table4[[#This Row],[Probability]]</f>
        <v>27538</v>
      </c>
      <c r="W61" s="180"/>
      <c r="X61" s="179">
        <v>0.3</v>
      </c>
      <c r="Y61" s="180">
        <f>Table4[[#This Row],[Rev. Based on PROB]]*Table4[[#This Row],[Expected CMR]]</f>
        <v>8261.4</v>
      </c>
      <c r="Z61" s="203" t="s">
        <v>105</v>
      </c>
      <c r="AA61" s="77"/>
      <c r="AB61" s="181"/>
      <c r="AC61" s="180"/>
      <c r="AD61" s="220"/>
      <c r="AE61" s="220"/>
      <c r="AF61" s="220"/>
      <c r="AG61" s="185"/>
      <c r="AH61" s="185"/>
      <c r="AI61" s="185"/>
      <c r="AJ61" s="185"/>
      <c r="AK61" s="979"/>
      <c r="AL61" s="180"/>
      <c r="AM61" s="77"/>
      <c r="AN61" s="77"/>
      <c r="AO61" s="110" t="str">
        <f>IF(Table4[[#This Row],[Finish (demob)]]&lt;&gt;"",Table4[[#This Row],[Finish (demob)]]+10,"")</f>
        <v/>
      </c>
      <c r="AP61" s="110" t="str">
        <f>IF(Table4[[#This Row],[Finish (demob)]]&lt;&gt;"",Table4[[#This Row],[Finish (demob)]]+10,"")</f>
        <v/>
      </c>
      <c r="AQ61" s="220"/>
      <c r="AR61" s="77" t="str">
        <f>IF(Table4[[#This Row],[Date Report is delivered:]]&lt;&gt;"", "Delivered", "")</f>
        <v/>
      </c>
      <c r="AS61" s="179"/>
      <c r="AT61" s="77"/>
      <c r="AU61" s="179"/>
      <c r="AV61" s="77"/>
      <c r="AW61" s="77"/>
    </row>
    <row r="62" spans="1:49" hidden="1">
      <c r="A62" s="173">
        <v>202011</v>
      </c>
      <c r="B62" s="75" t="s">
        <v>90</v>
      </c>
      <c r="C62" s="77" t="str">
        <f>CONCATENATE(Table4[[#This Row],[Project]],"-",Table4[[#This Row],[WO]])</f>
        <v>202011-04</v>
      </c>
      <c r="D62" s="76" t="s">
        <v>137</v>
      </c>
      <c r="E62" s="77" t="s">
        <v>57</v>
      </c>
      <c r="F62" s="77" t="s">
        <v>58</v>
      </c>
      <c r="G62" s="77" t="s">
        <v>59</v>
      </c>
      <c r="H62" s="77" t="s">
        <v>123</v>
      </c>
      <c r="I62" s="102" t="s">
        <v>91</v>
      </c>
      <c r="J62" s="77" t="s">
        <v>92</v>
      </c>
      <c r="K62" s="77" t="s">
        <v>63</v>
      </c>
      <c r="L62" s="77" t="s">
        <v>124</v>
      </c>
      <c r="M62" s="77" t="s">
        <v>65</v>
      </c>
      <c r="N62" s="77" t="s">
        <v>77</v>
      </c>
      <c r="O62" s="77" t="s">
        <v>67</v>
      </c>
      <c r="P62" s="76"/>
      <c r="Q62" s="183"/>
      <c r="R62" s="110" t="s">
        <v>93</v>
      </c>
      <c r="S62" s="77">
        <v>2020</v>
      </c>
      <c r="T62" s="179">
        <v>1</v>
      </c>
      <c r="U62" s="180">
        <v>18622.25</v>
      </c>
      <c r="V62" s="180">
        <f>Table4[[#This Row],[Expected Revenue]]*Table4[[#This Row],[Probability]]</f>
        <v>18622.25</v>
      </c>
      <c r="W62" s="180"/>
      <c r="X62" s="179">
        <v>0.3</v>
      </c>
      <c r="Y62" s="180">
        <f>Table4[[#This Row],[Rev. Based on PROB]]*Table4[[#This Row],[Expected CMR]]</f>
        <v>5586.6750000000002</v>
      </c>
      <c r="Z62" s="203" t="s">
        <v>105</v>
      </c>
      <c r="AA62" s="77"/>
      <c r="AB62" s="77"/>
      <c r="AC62" s="180"/>
      <c r="AD62" s="220"/>
      <c r="AE62" s="220"/>
      <c r="AF62" s="220"/>
      <c r="AG62" s="185"/>
      <c r="AH62" s="185"/>
      <c r="AI62" s="185"/>
      <c r="AJ62" s="185"/>
      <c r="AK62" s="979"/>
      <c r="AL62" s="180"/>
      <c r="AM62" s="77"/>
      <c r="AN62" s="77"/>
      <c r="AO62" s="110" t="str">
        <f>IF(Table4[[#This Row],[Finish (demob)]]&lt;&gt;"",Table4[[#This Row],[Finish (demob)]]+10,"")</f>
        <v/>
      </c>
      <c r="AP62" s="110" t="str">
        <f>IF(Table4[[#This Row],[Finish (demob)]]&lt;&gt;"",Table4[[#This Row],[Finish (demob)]]+10,"")</f>
        <v/>
      </c>
      <c r="AQ62" s="220"/>
      <c r="AR62" s="77" t="str">
        <f>IF(Table4[[#This Row],[Date Report is delivered:]]&lt;&gt;"", "Delivered", "")</f>
        <v/>
      </c>
      <c r="AS62" s="179"/>
      <c r="AT62" s="77"/>
      <c r="AU62" s="179"/>
      <c r="AV62" s="77"/>
      <c r="AW62" s="77"/>
    </row>
    <row r="63" spans="1:49" hidden="1">
      <c r="A63" s="173">
        <v>202011</v>
      </c>
      <c r="B63" s="75" t="s">
        <v>90</v>
      </c>
      <c r="C63" s="77" t="str">
        <f>CONCATENATE(Table4[[#This Row],[Project]],"-",Table4[[#This Row],[WO]])</f>
        <v>202011-04</v>
      </c>
      <c r="D63" s="76" t="s">
        <v>137</v>
      </c>
      <c r="E63" s="77" t="s">
        <v>57</v>
      </c>
      <c r="F63" s="77" t="s">
        <v>58</v>
      </c>
      <c r="G63" s="77" t="s">
        <v>59</v>
      </c>
      <c r="H63" s="77" t="s">
        <v>123</v>
      </c>
      <c r="I63" s="102" t="s">
        <v>143</v>
      </c>
      <c r="J63" s="77" t="s">
        <v>92</v>
      </c>
      <c r="K63" s="77" t="s">
        <v>63</v>
      </c>
      <c r="L63" s="77" t="s">
        <v>124</v>
      </c>
      <c r="M63" s="77" t="s">
        <v>65</v>
      </c>
      <c r="N63" s="77" t="s">
        <v>77</v>
      </c>
      <c r="O63" s="77" t="s">
        <v>67</v>
      </c>
      <c r="P63" s="76"/>
      <c r="Q63" s="183"/>
      <c r="R63" s="110" t="s">
        <v>139</v>
      </c>
      <c r="S63" s="77">
        <v>2020</v>
      </c>
      <c r="T63" s="179">
        <v>1</v>
      </c>
      <c r="U63" s="180">
        <v>18622.25</v>
      </c>
      <c r="V63" s="180">
        <f>Table4[[#This Row],[Expected Revenue]]*Table4[[#This Row],[Probability]]</f>
        <v>18622.25</v>
      </c>
      <c r="W63" s="180">
        <f>(((550+310+290)*8)+1600+180*8)</f>
        <v>12240</v>
      </c>
      <c r="X63" s="179">
        <f>Table4[[#This Row],[Expected Contribution]]/Table4[[#This Row],[Rev. Based on PROB]]</f>
        <v>0.34272174415014295</v>
      </c>
      <c r="Y63" s="180">
        <f>Table4[[#This Row],[Rev. Based on PROB]]-Table4[[#This Row],[Expected Costs]]</f>
        <v>6382.25</v>
      </c>
      <c r="Z63" s="203" t="s">
        <v>105</v>
      </c>
      <c r="AA63" s="77"/>
      <c r="AB63" s="77"/>
      <c r="AC63" s="180"/>
      <c r="AD63" s="220">
        <v>43928</v>
      </c>
      <c r="AE63" s="220">
        <v>43954</v>
      </c>
      <c r="AF63" s="220"/>
      <c r="AG63" s="185"/>
      <c r="AH63" s="185"/>
      <c r="AI63" s="185"/>
      <c r="AJ63" s="185"/>
      <c r="AK63" s="179" t="s">
        <v>144</v>
      </c>
      <c r="AL63" s="180"/>
      <c r="AM63" s="77"/>
      <c r="AN63" s="77"/>
      <c r="AO63" s="110">
        <f>IF(Table4[[#This Row],[Finish (demob)]]&lt;&gt;"",Table4[[#This Row],[Finish (demob)]]+10,"")</f>
        <v>43964</v>
      </c>
      <c r="AP63" s="110">
        <f>IF(Table4[[#This Row],[Finish (demob)]]&lt;&gt;"",Table4[[#This Row],[Finish (demob)]]+10,"")</f>
        <v>43964</v>
      </c>
      <c r="AQ63" s="220"/>
      <c r="AR63" s="77" t="str">
        <f>IF(Table4[[#This Row],[Date Report is delivered:]]&lt;&gt;"", "Delivered", "")</f>
        <v/>
      </c>
      <c r="AS63" s="179" t="s">
        <v>100</v>
      </c>
      <c r="AT63" s="77"/>
      <c r="AU63" s="179"/>
      <c r="AV63" s="77"/>
      <c r="AW63" s="77"/>
    </row>
    <row r="64" spans="1:49" hidden="1">
      <c r="A64" s="173">
        <v>202011</v>
      </c>
      <c r="B64" s="75" t="s">
        <v>90</v>
      </c>
      <c r="C64" s="77" t="str">
        <f>CONCATENATE(Table4[[#This Row],[Project]],"-",Table4[[#This Row],[WO]])</f>
        <v>202011-04</v>
      </c>
      <c r="D64" s="76" t="s">
        <v>137</v>
      </c>
      <c r="E64" s="77" t="s">
        <v>57</v>
      </c>
      <c r="F64" s="77" t="s">
        <v>58</v>
      </c>
      <c r="G64" s="77" t="s">
        <v>59</v>
      </c>
      <c r="H64" s="77" t="s">
        <v>123</v>
      </c>
      <c r="I64" s="102" t="s">
        <v>97</v>
      </c>
      <c r="J64" s="77" t="s">
        <v>92</v>
      </c>
      <c r="K64" s="77" t="s">
        <v>63</v>
      </c>
      <c r="L64" s="77" t="s">
        <v>124</v>
      </c>
      <c r="M64" s="77" t="s">
        <v>65</v>
      </c>
      <c r="N64" s="77" t="s">
        <v>77</v>
      </c>
      <c r="O64" s="77" t="s">
        <v>67</v>
      </c>
      <c r="P64" s="76"/>
      <c r="Q64" s="183"/>
      <c r="R64" s="110" t="s">
        <v>84</v>
      </c>
      <c r="S64" s="77">
        <v>2020</v>
      </c>
      <c r="T64" s="179">
        <v>1</v>
      </c>
      <c r="U64" s="180">
        <v>18622.25</v>
      </c>
      <c r="V64" s="180">
        <f>Table4[[#This Row],[Expected Revenue]]*Table4[[#This Row],[Probability]]</f>
        <v>18622.25</v>
      </c>
      <c r="W64" s="180"/>
      <c r="X64" s="179">
        <v>0.3</v>
      </c>
      <c r="Y64" s="180">
        <f>Table4[[#This Row],[Rev. Based on PROB]]*Table4[[#This Row],[Expected CMR]]</f>
        <v>5586.6750000000002</v>
      </c>
      <c r="Z64" s="203" t="s">
        <v>105</v>
      </c>
      <c r="AA64" s="77"/>
      <c r="AB64" s="77"/>
      <c r="AC64" s="180"/>
      <c r="AD64" s="220"/>
      <c r="AE64" s="220"/>
      <c r="AF64" s="220"/>
      <c r="AG64" s="185"/>
      <c r="AH64" s="185"/>
      <c r="AI64" s="185"/>
      <c r="AJ64" s="185"/>
      <c r="AK64" s="182"/>
      <c r="AL64" s="180"/>
      <c r="AM64" s="77"/>
      <c r="AN64" s="77"/>
      <c r="AO64" s="110" t="str">
        <f>IF(Table4[[#This Row],[Finish (demob)]]&lt;&gt;"",Table4[[#This Row],[Finish (demob)]]+10,"")</f>
        <v/>
      </c>
      <c r="AP64" s="110" t="str">
        <f>IF(Table4[[#This Row],[Finish (demob)]]&lt;&gt;"",Table4[[#This Row],[Finish (demob)]]+10,"")</f>
        <v/>
      </c>
      <c r="AQ64" s="220"/>
      <c r="AR64" s="77" t="str">
        <f>IF(Table4[[#This Row],[Date Report is delivered:]]&lt;&gt;"", "Delivered", "")</f>
        <v/>
      </c>
      <c r="AS64" s="179"/>
      <c r="AT64" s="77"/>
      <c r="AU64" s="179"/>
      <c r="AV64" s="77"/>
      <c r="AW64" s="77"/>
    </row>
    <row r="65" spans="1:49" hidden="1">
      <c r="A65" s="173">
        <v>202011</v>
      </c>
      <c r="B65" s="75" t="s">
        <v>90</v>
      </c>
      <c r="C65" s="77" t="s">
        <v>145</v>
      </c>
      <c r="D65" s="76" t="s">
        <v>137</v>
      </c>
      <c r="E65" s="77" t="s">
        <v>57</v>
      </c>
      <c r="F65" s="77" t="s">
        <v>58</v>
      </c>
      <c r="G65" s="77" t="s">
        <v>59</v>
      </c>
      <c r="H65" s="77" t="s">
        <v>123</v>
      </c>
      <c r="I65" s="102" t="s">
        <v>101</v>
      </c>
      <c r="J65" s="77" t="s">
        <v>92</v>
      </c>
      <c r="K65" s="77" t="s">
        <v>63</v>
      </c>
      <c r="L65" s="77" t="s">
        <v>124</v>
      </c>
      <c r="M65" s="77" t="s">
        <v>65</v>
      </c>
      <c r="N65" s="77" t="s">
        <v>77</v>
      </c>
      <c r="O65" s="77" t="s">
        <v>67</v>
      </c>
      <c r="P65" s="76"/>
      <c r="Q65" s="183"/>
      <c r="R65" s="110" t="s">
        <v>102</v>
      </c>
      <c r="S65" s="77">
        <v>2020</v>
      </c>
      <c r="T65" s="179">
        <v>1</v>
      </c>
      <c r="U65" s="180">
        <v>18622.25</v>
      </c>
      <c r="V65" s="180">
        <v>18622.25</v>
      </c>
      <c r="W65" s="180"/>
      <c r="X65" s="179">
        <v>0.3</v>
      </c>
      <c r="Y65" s="180">
        <v>5586.6750000000002</v>
      </c>
      <c r="Z65" s="203" t="s">
        <v>105</v>
      </c>
      <c r="AA65" s="220"/>
      <c r="AB65" s="220"/>
      <c r="AC65" s="220"/>
      <c r="AD65" s="185"/>
      <c r="AE65" s="185"/>
      <c r="AF65" s="979"/>
      <c r="AG65" s="180"/>
      <c r="AH65" s="77"/>
      <c r="AI65" s="86"/>
      <c r="AJ65" s="77"/>
      <c r="AK65" s="980"/>
      <c r="AL65" s="980"/>
      <c r="AM65" s="980"/>
      <c r="AN65" s="980"/>
      <c r="AO65" s="77"/>
      <c r="AP65" s="179"/>
      <c r="AQ65" s="980"/>
      <c r="AR65" s="980"/>
      <c r="AS65" s="980"/>
      <c r="AT65" s="980"/>
      <c r="AU65" s="77"/>
      <c r="AV65" s="77"/>
      <c r="AW65" s="77"/>
    </row>
    <row r="66" spans="1:49" hidden="1">
      <c r="A66" s="173">
        <v>202010</v>
      </c>
      <c r="B66" s="75" t="s">
        <v>111</v>
      </c>
      <c r="C66" s="77" t="str">
        <f>CONCATENATE(Table4[[#This Row],[Project]],"-",Table4[[#This Row],[WO]])</f>
        <v>202010-02</v>
      </c>
      <c r="D66" s="76" t="s">
        <v>130</v>
      </c>
      <c r="E66" s="77" t="s">
        <v>57</v>
      </c>
      <c r="F66" s="77" t="s">
        <v>58</v>
      </c>
      <c r="G66" s="77" t="s">
        <v>59</v>
      </c>
      <c r="H66" s="77" t="s">
        <v>123</v>
      </c>
      <c r="I66" s="102" t="s">
        <v>71</v>
      </c>
      <c r="J66" s="77" t="s">
        <v>71</v>
      </c>
      <c r="K66" s="77" t="s">
        <v>63</v>
      </c>
      <c r="L66" s="77" t="s">
        <v>124</v>
      </c>
      <c r="M66" s="77" t="s">
        <v>65</v>
      </c>
      <c r="N66" s="77" t="s">
        <v>77</v>
      </c>
      <c r="O66" s="77" t="s">
        <v>67</v>
      </c>
      <c r="P66" s="76"/>
      <c r="Q66" s="183"/>
      <c r="R66" s="110" t="s">
        <v>68</v>
      </c>
      <c r="S66" s="77">
        <v>2019</v>
      </c>
      <c r="T66" s="179">
        <v>1</v>
      </c>
      <c r="U66" s="180">
        <v>3000</v>
      </c>
      <c r="V66" s="180">
        <f>Table4[[#This Row],[Expected Revenue]]*Table4[[#This Row],[Probability]]</f>
        <v>3000</v>
      </c>
      <c r="W66" s="180">
        <f t="shared" si="0"/>
        <v>20800</v>
      </c>
      <c r="X66" s="179">
        <v>0.3</v>
      </c>
      <c r="Y66" s="180">
        <f>Table4[[#This Row],[Rev. Based on PROB]]*Table4[[#This Row],[Expected CMR]]</f>
        <v>900</v>
      </c>
      <c r="Z66" s="203" t="s">
        <v>123</v>
      </c>
      <c r="AA66" s="77"/>
      <c r="AB66" s="181"/>
      <c r="AC66" s="180"/>
      <c r="AD66" s="220"/>
      <c r="AE66" s="220"/>
      <c r="AF66" s="220">
        <v>43830</v>
      </c>
      <c r="AG66" s="185">
        <v>3000</v>
      </c>
      <c r="AH66" s="185"/>
      <c r="AI66" s="189"/>
      <c r="AJ66" s="185"/>
      <c r="AK66" s="182"/>
      <c r="AL66" s="180"/>
      <c r="AM66" s="77"/>
      <c r="AN66" s="77"/>
      <c r="AO66" s="110" t="str">
        <f>IF(Table4[[#This Row],[Finish (demob)]]&lt;&gt;"",Table4[[#This Row],[Finish (demob)]]+10,"")</f>
        <v/>
      </c>
      <c r="AP66" s="110" t="str">
        <f>IF(Table4[[#This Row],[Finish (demob)]]&lt;&gt;"",Table4[[#This Row],[Finish (demob)]]+10,"")</f>
        <v/>
      </c>
      <c r="AQ66" s="220"/>
      <c r="AR66" s="77" t="str">
        <f>IF(Table4[[#This Row],[Date Report is delivered:]]&lt;&gt;"", "Delivered", "")</f>
        <v/>
      </c>
      <c r="AS66" s="179"/>
      <c r="AT66" s="77"/>
      <c r="AU66" s="179"/>
      <c r="AV66" s="77"/>
      <c r="AW66" s="77"/>
    </row>
    <row r="67" spans="1:49" hidden="1">
      <c r="A67" s="173">
        <v>202012</v>
      </c>
      <c r="B67" s="75" t="s">
        <v>103</v>
      </c>
      <c r="C67" s="77" t="str">
        <f>CONCATENATE(Table4[[#This Row],[Project]],"-",Table4[[#This Row],[WO]])</f>
        <v>202012-01</v>
      </c>
      <c r="D67" s="76" t="s">
        <v>146</v>
      </c>
      <c r="E67" s="77" t="s">
        <v>57</v>
      </c>
      <c r="F67" s="77" t="s">
        <v>58</v>
      </c>
      <c r="G67" s="77" t="s">
        <v>59</v>
      </c>
      <c r="H67" s="77" t="s">
        <v>123</v>
      </c>
      <c r="I67" s="102" t="s">
        <v>106</v>
      </c>
      <c r="J67" s="77" t="s">
        <v>107</v>
      </c>
      <c r="K67" s="77" t="s">
        <v>63</v>
      </c>
      <c r="L67" s="77" t="s">
        <v>124</v>
      </c>
      <c r="M67" s="77" t="s">
        <v>65</v>
      </c>
      <c r="N67" s="77" t="s">
        <v>77</v>
      </c>
      <c r="O67" s="77" t="s">
        <v>67</v>
      </c>
      <c r="P67" s="76"/>
      <c r="Q67" s="183"/>
      <c r="R67" s="110" t="s">
        <v>93</v>
      </c>
      <c r="S67" s="77">
        <v>2020</v>
      </c>
      <c r="T67" s="179">
        <v>1</v>
      </c>
      <c r="U67" s="180">
        <v>58784</v>
      </c>
      <c r="V67" s="180">
        <f>Table4[[#This Row],[Expected Revenue]]*Table4[[#This Row],[Probability]]</f>
        <v>58784</v>
      </c>
      <c r="W67" s="180">
        <f t="shared" ref="W67:W130" si="1">(800*3+((550+310+290)*12)+1600+250*12)</f>
        <v>20800</v>
      </c>
      <c r="X67" s="179">
        <v>0.3</v>
      </c>
      <c r="Y67" s="180">
        <f>Table4[[#This Row],[Rev. Based on PROB]]*Table4[[#This Row],[Expected CMR]]</f>
        <v>17635.2</v>
      </c>
      <c r="Z67" s="203" t="s">
        <v>123</v>
      </c>
      <c r="AA67" s="77"/>
      <c r="AB67" s="181"/>
      <c r="AC67" s="180"/>
      <c r="AD67" s="220"/>
      <c r="AE67" s="220"/>
      <c r="AF67" s="220"/>
      <c r="AG67" s="185"/>
      <c r="AH67" s="185"/>
      <c r="AI67" s="185"/>
      <c r="AJ67" s="185"/>
      <c r="AK67" s="182"/>
      <c r="AL67" s="180"/>
      <c r="AM67" s="77"/>
      <c r="AN67" s="77"/>
      <c r="AO67" s="110" t="str">
        <f>IF(Table4[[#This Row],[Finish (demob)]]&lt;&gt;"",Table4[[#This Row],[Finish (demob)]]+7,"")</f>
        <v/>
      </c>
      <c r="AP67" s="110" t="str">
        <f>IF(Table4[[#This Row],[Finish (demob)]]&lt;&gt;"",Table4[[#This Row],[Finish (demob)]]+10,"")</f>
        <v/>
      </c>
      <c r="AQ67" s="220"/>
      <c r="AR67" s="77" t="str">
        <f>IF(Table4[[#This Row],[Date Report is delivered:]]&lt;&gt;"", "Delivered", "")</f>
        <v/>
      </c>
      <c r="AS67" s="179"/>
      <c r="AT67" s="77"/>
      <c r="AU67" s="179"/>
      <c r="AV67" s="77"/>
      <c r="AW67" s="77"/>
    </row>
    <row r="68" spans="1:49" hidden="1">
      <c r="A68" s="173">
        <v>202012</v>
      </c>
      <c r="B68" s="75" t="s">
        <v>111</v>
      </c>
      <c r="C68" s="77" t="str">
        <f>CONCATENATE(Table4[[#This Row],[Project]],"-",Table4[[#This Row],[WO]])</f>
        <v>202012-02</v>
      </c>
      <c r="D68" s="76" t="s">
        <v>146</v>
      </c>
      <c r="E68" s="77" t="s">
        <v>57</v>
      </c>
      <c r="F68" s="77" t="s">
        <v>58</v>
      </c>
      <c r="G68" s="77" t="s">
        <v>59</v>
      </c>
      <c r="H68" s="77" t="s">
        <v>123</v>
      </c>
      <c r="I68" s="102" t="s">
        <v>112</v>
      </c>
      <c r="J68" s="77" t="s">
        <v>71</v>
      </c>
      <c r="K68" s="77" t="s">
        <v>63</v>
      </c>
      <c r="L68" s="77" t="s">
        <v>124</v>
      </c>
      <c r="M68" s="77" t="s">
        <v>65</v>
      </c>
      <c r="N68" s="77" t="s">
        <v>77</v>
      </c>
      <c r="O68" s="77" t="s">
        <v>67</v>
      </c>
      <c r="P68" s="76"/>
      <c r="Q68" s="183"/>
      <c r="R68" s="110" t="s">
        <v>93</v>
      </c>
      <c r="S68" s="77">
        <v>2020</v>
      </c>
      <c r="T68" s="179">
        <v>1</v>
      </c>
      <c r="U68" s="180">
        <v>30630</v>
      </c>
      <c r="V68" s="180">
        <f>Table4[[#This Row],[Expected Revenue]]*Table4[[#This Row],[Probability]]</f>
        <v>30630</v>
      </c>
      <c r="W68" s="180">
        <f t="shared" si="1"/>
        <v>20800</v>
      </c>
      <c r="X68" s="179">
        <v>0.3</v>
      </c>
      <c r="Y68" s="180">
        <f>Table4[[#This Row],[Rev. Based on PROB]]*Table4[[#This Row],[Expected CMR]]</f>
        <v>9189</v>
      </c>
      <c r="Z68" s="203" t="s">
        <v>123</v>
      </c>
      <c r="AA68" s="77"/>
      <c r="AB68" s="77"/>
      <c r="AC68" s="180"/>
      <c r="AD68" s="220"/>
      <c r="AE68" s="220"/>
      <c r="AF68" s="220"/>
      <c r="AG68" s="185"/>
      <c r="AH68" s="185"/>
      <c r="AI68" s="185"/>
      <c r="AJ68" s="185"/>
      <c r="AK68" s="979"/>
      <c r="AL68" s="180"/>
      <c r="AM68" s="77"/>
      <c r="AN68" s="77"/>
      <c r="AO68" s="110" t="str">
        <f>IF(Table4[[#This Row],[Finish (demob)]]&lt;&gt;"",Table4[[#This Row],[Finish (demob)]]+10,"")</f>
        <v/>
      </c>
      <c r="AP68" s="110" t="str">
        <f>IF(Table4[[#This Row],[Finish (demob)]]&lt;&gt;"",Table4[[#This Row],[Finish (demob)]]+10,"")</f>
        <v/>
      </c>
      <c r="AQ68" s="220"/>
      <c r="AR68" s="77" t="str">
        <f>IF(Table4[[#This Row],[Date Report is delivered:]]&lt;&gt;"", "Delivered", "")</f>
        <v/>
      </c>
      <c r="AS68" s="179"/>
      <c r="AT68" s="77"/>
      <c r="AU68" s="179"/>
      <c r="AV68" s="77"/>
      <c r="AW68" s="77"/>
    </row>
    <row r="69" spans="1:49" hidden="1">
      <c r="A69" s="173">
        <v>202012</v>
      </c>
      <c r="B69" s="75" t="s">
        <v>72</v>
      </c>
      <c r="C69" s="77" t="str">
        <f>CONCATENATE(Table4[[#This Row],[Project]],"-",Table4[[#This Row],[WO]])</f>
        <v>202012-07</v>
      </c>
      <c r="D69" s="76" t="s">
        <v>146</v>
      </c>
      <c r="E69" s="77" t="s">
        <v>57</v>
      </c>
      <c r="F69" s="77" t="s">
        <v>58</v>
      </c>
      <c r="G69" s="77" t="s">
        <v>59</v>
      </c>
      <c r="H69" s="77" t="s">
        <v>123</v>
      </c>
      <c r="I69" s="102" t="s">
        <v>75</v>
      </c>
      <c r="J69" s="77" t="s">
        <v>62</v>
      </c>
      <c r="K69" s="77" t="s">
        <v>63</v>
      </c>
      <c r="L69" s="77" t="s">
        <v>124</v>
      </c>
      <c r="M69" s="77" t="s">
        <v>65</v>
      </c>
      <c r="N69" s="77" t="s">
        <v>77</v>
      </c>
      <c r="O69" s="77" t="s">
        <v>67</v>
      </c>
      <c r="P69" s="76"/>
      <c r="Q69" s="183"/>
      <c r="R69" s="152" t="s">
        <v>80</v>
      </c>
      <c r="S69" s="77">
        <v>2020</v>
      </c>
      <c r="T69" s="179">
        <v>1</v>
      </c>
      <c r="U69" s="180">
        <v>10620</v>
      </c>
      <c r="V69" s="180">
        <f>Table4[[#This Row],[Expected Revenue]]*Table4[[#This Row],[Probability]]</f>
        <v>10620</v>
      </c>
      <c r="W69" s="180">
        <f t="shared" si="1"/>
        <v>20800</v>
      </c>
      <c r="X69" s="179">
        <v>0.3</v>
      </c>
      <c r="Y69" s="180">
        <f>Table4[[#This Row],[Rev. Based on PROB]]*Table4[[#This Row],[Expected CMR]]</f>
        <v>3186</v>
      </c>
      <c r="Z69" s="203" t="s">
        <v>123</v>
      </c>
      <c r="AA69" s="77"/>
      <c r="AB69" s="77"/>
      <c r="AC69" s="180"/>
      <c r="AD69" s="220"/>
      <c r="AE69" s="220"/>
      <c r="AF69" s="220"/>
      <c r="AG69" s="185"/>
      <c r="AH69" s="185"/>
      <c r="AI69" s="185"/>
      <c r="AJ69" s="185"/>
      <c r="AK69" s="979"/>
      <c r="AL69" s="180"/>
      <c r="AM69" s="77"/>
      <c r="AN69" s="77"/>
      <c r="AO69" s="110" t="str">
        <f>IF(Table4[[#This Row],[Finish (demob)]]&lt;&gt;"",Table4[[#This Row],[Finish (demob)]]+10,"")</f>
        <v/>
      </c>
      <c r="AP69" s="110" t="str">
        <f>IF(Table4[[#This Row],[Finish (demob)]]&lt;&gt;"",Table4[[#This Row],[Finish (demob)]]+10,"")</f>
        <v/>
      </c>
      <c r="AQ69" s="220"/>
      <c r="AR69" s="77" t="str">
        <f>IF(Table4[[#This Row],[Date Report is delivered:]]&lt;&gt;"", "Delivered", "")</f>
        <v/>
      </c>
      <c r="AS69" s="179"/>
      <c r="AT69" s="77"/>
      <c r="AU69" s="179"/>
      <c r="AV69" s="77"/>
      <c r="AW69" s="77"/>
    </row>
    <row r="70" spans="1:49" hidden="1">
      <c r="A70" s="173">
        <v>202012</v>
      </c>
      <c r="B70" s="75" t="s">
        <v>81</v>
      </c>
      <c r="C70" s="77" t="str">
        <f>CONCATENATE(Table4[[#This Row],[Project]],"-",Table4[[#This Row],[WO]])</f>
        <v>202012-06</v>
      </c>
      <c r="D70" s="76" t="s">
        <v>146</v>
      </c>
      <c r="E70" s="77" t="s">
        <v>57</v>
      </c>
      <c r="F70" s="77" t="s">
        <v>58</v>
      </c>
      <c r="G70" s="77" t="s">
        <v>59</v>
      </c>
      <c r="H70" s="77" t="s">
        <v>123</v>
      </c>
      <c r="I70" s="102" t="s">
        <v>82</v>
      </c>
      <c r="J70" s="77" t="s">
        <v>83</v>
      </c>
      <c r="K70" s="77" t="s">
        <v>63</v>
      </c>
      <c r="L70" s="77" t="s">
        <v>124</v>
      </c>
      <c r="M70" s="77" t="s">
        <v>65</v>
      </c>
      <c r="N70" s="77" t="s">
        <v>77</v>
      </c>
      <c r="O70" s="77" t="s">
        <v>67</v>
      </c>
      <c r="P70" s="76"/>
      <c r="Q70" s="183"/>
      <c r="R70" s="110" t="s">
        <v>84</v>
      </c>
      <c r="S70" s="77">
        <v>2020</v>
      </c>
      <c r="T70" s="179">
        <v>1</v>
      </c>
      <c r="U70" s="180">
        <v>17300</v>
      </c>
      <c r="V70" s="180">
        <f>Table4[[#This Row],[Expected Revenue]]*Table4[[#This Row],[Probability]]</f>
        <v>17300</v>
      </c>
      <c r="W70" s="180">
        <f t="shared" si="1"/>
        <v>20800</v>
      </c>
      <c r="X70" s="179">
        <v>0.3</v>
      </c>
      <c r="Y70" s="180">
        <f>Table4[[#This Row],[Rev. Based on PROB]]*Table4[[#This Row],[Expected CMR]]</f>
        <v>5190</v>
      </c>
      <c r="Z70" s="203" t="s">
        <v>123</v>
      </c>
      <c r="AA70" s="77"/>
      <c r="AB70" s="77"/>
      <c r="AC70" s="180"/>
      <c r="AD70" s="220"/>
      <c r="AE70" s="220"/>
      <c r="AF70" s="220"/>
      <c r="AG70" s="185"/>
      <c r="AH70" s="185"/>
      <c r="AI70" s="185"/>
      <c r="AJ70" s="185"/>
      <c r="AK70" s="979"/>
      <c r="AL70" s="180"/>
      <c r="AM70" s="77"/>
      <c r="AN70" s="77"/>
      <c r="AO70" s="110" t="str">
        <f>IF(Table4[[#This Row],[Finish (demob)]]&lt;&gt;"",Table4[[#This Row],[Finish (demob)]]+10,"")</f>
        <v/>
      </c>
      <c r="AP70" s="110" t="str">
        <f>IF(Table4[[#This Row],[Finish (demob)]]&lt;&gt;"",Table4[[#This Row],[Finish (demob)]]+10,"")</f>
        <v/>
      </c>
      <c r="AQ70" s="220"/>
      <c r="AR70" s="77" t="str">
        <f>IF(Table4[[#This Row],[Date Report is delivered:]]&lt;&gt;"", "Delivered", "")</f>
        <v/>
      </c>
      <c r="AS70" s="179"/>
      <c r="AT70" s="77"/>
      <c r="AU70" s="179"/>
      <c r="AV70" s="77"/>
      <c r="AW70" s="77"/>
    </row>
    <row r="71" spans="1:49" hidden="1">
      <c r="A71" s="173">
        <v>202012</v>
      </c>
      <c r="B71" s="75" t="s">
        <v>55</v>
      </c>
      <c r="C71" s="77" t="str">
        <f>CONCATENATE(Table4[[#This Row],[Project]],"-",Table4[[#This Row],[WO]])</f>
        <v>202012-03</v>
      </c>
      <c r="D71" s="76" t="s">
        <v>146</v>
      </c>
      <c r="E71" s="77" t="s">
        <v>57</v>
      </c>
      <c r="F71" s="77" t="s">
        <v>58</v>
      </c>
      <c r="G71" s="77" t="s">
        <v>59</v>
      </c>
      <c r="H71" s="77" t="s">
        <v>123</v>
      </c>
      <c r="I71" s="102" t="s">
        <v>113</v>
      </c>
      <c r="J71" s="77" t="s">
        <v>62</v>
      </c>
      <c r="K71" s="77" t="s">
        <v>63</v>
      </c>
      <c r="L71" s="77" t="s">
        <v>124</v>
      </c>
      <c r="M71" s="77" t="s">
        <v>65</v>
      </c>
      <c r="N71" s="77" t="s">
        <v>77</v>
      </c>
      <c r="O71" s="77" t="s">
        <v>67</v>
      </c>
      <c r="P71" s="76"/>
      <c r="Q71" s="183"/>
      <c r="R71" s="110" t="s">
        <v>93</v>
      </c>
      <c r="S71" s="77">
        <v>2020</v>
      </c>
      <c r="T71" s="179">
        <v>1</v>
      </c>
      <c r="U71" s="180">
        <v>31649</v>
      </c>
      <c r="V71" s="180">
        <f>Table4[[#This Row],[Expected Revenue]]*Table4[[#This Row],[Probability]]</f>
        <v>31649</v>
      </c>
      <c r="W71" s="180">
        <f t="shared" si="1"/>
        <v>20800</v>
      </c>
      <c r="X71" s="179">
        <v>0.3</v>
      </c>
      <c r="Y71" s="180">
        <f>Table4[[#This Row],[Rev. Based on PROB]]*Table4[[#This Row],[Expected CMR]]</f>
        <v>9494.6999999999989</v>
      </c>
      <c r="Z71" s="203" t="s">
        <v>123</v>
      </c>
      <c r="AA71" s="77"/>
      <c r="AB71" s="77"/>
      <c r="AC71" s="180"/>
      <c r="AD71" s="220"/>
      <c r="AE71" s="220"/>
      <c r="AF71" s="220"/>
      <c r="AG71" s="185"/>
      <c r="AH71" s="185"/>
      <c r="AI71" s="185"/>
      <c r="AJ71" s="185"/>
      <c r="AK71" s="979"/>
      <c r="AL71" s="180"/>
      <c r="AM71" s="77"/>
      <c r="AN71" s="77"/>
      <c r="AO71" s="110" t="str">
        <f>IF(Table4[[#This Row],[Finish (demob)]]&lt;&gt;"",Table4[[#This Row],[Finish (demob)]]+10,"")</f>
        <v/>
      </c>
      <c r="AP71" s="110" t="str">
        <f>IF(Table4[[#This Row],[Finish (demob)]]&lt;&gt;"",Table4[[#This Row],[Finish (demob)]]+10,"")</f>
        <v/>
      </c>
      <c r="AQ71" s="220"/>
      <c r="AR71" s="77" t="str">
        <f>IF(Table4[[#This Row],[Date Report is delivered:]]&lt;&gt;"", "Delivered", "")</f>
        <v/>
      </c>
      <c r="AS71" s="179"/>
      <c r="AT71" s="77"/>
      <c r="AU71" s="179"/>
      <c r="AV71" s="77"/>
      <c r="AW71" s="77"/>
    </row>
    <row r="72" spans="1:49" hidden="1">
      <c r="A72" s="173">
        <v>202012</v>
      </c>
      <c r="B72" s="75" t="s">
        <v>86</v>
      </c>
      <c r="C72" s="77" t="str">
        <f>CONCATENATE(Table4[[#This Row],[Project]],"-",Table4[[#This Row],[WO]])</f>
        <v>202012-05</v>
      </c>
      <c r="D72" s="76" t="s">
        <v>146</v>
      </c>
      <c r="E72" s="77" t="s">
        <v>57</v>
      </c>
      <c r="F72" s="77" t="s">
        <v>58</v>
      </c>
      <c r="G72" s="77" t="s">
        <v>59</v>
      </c>
      <c r="H72" s="77" t="s">
        <v>123</v>
      </c>
      <c r="I72" s="102" t="s">
        <v>87</v>
      </c>
      <c r="J72" s="77" t="s">
        <v>88</v>
      </c>
      <c r="K72" s="77" t="s">
        <v>63</v>
      </c>
      <c r="L72" s="77" t="s">
        <v>124</v>
      </c>
      <c r="M72" s="77" t="s">
        <v>65</v>
      </c>
      <c r="N72" s="77" t="s">
        <v>77</v>
      </c>
      <c r="O72" s="77" t="s">
        <v>67</v>
      </c>
      <c r="P72" s="76"/>
      <c r="Q72" s="183"/>
      <c r="R72" s="110" t="s">
        <v>89</v>
      </c>
      <c r="S72" s="77">
        <v>2020</v>
      </c>
      <c r="T72" s="179">
        <v>1</v>
      </c>
      <c r="U72" s="180">
        <v>27538</v>
      </c>
      <c r="V72" s="180">
        <f>Table4[[#This Row],[Expected Revenue]]*Table4[[#This Row],[Probability]]</f>
        <v>27538</v>
      </c>
      <c r="W72" s="180">
        <f t="shared" si="1"/>
        <v>20800</v>
      </c>
      <c r="X72" s="179">
        <v>0.3</v>
      </c>
      <c r="Y72" s="180">
        <f>Table4[[#This Row],[Rev. Based on PROB]]*Table4[[#This Row],[Expected CMR]]</f>
        <v>8261.4</v>
      </c>
      <c r="Z72" s="203" t="s">
        <v>123</v>
      </c>
      <c r="AA72" s="77"/>
      <c r="AB72" s="181"/>
      <c r="AC72" s="180"/>
      <c r="AD72" s="220"/>
      <c r="AE72" s="220"/>
      <c r="AF72" s="220"/>
      <c r="AG72" s="185"/>
      <c r="AH72" s="185"/>
      <c r="AI72" s="185"/>
      <c r="AJ72" s="185"/>
      <c r="AK72" s="979"/>
      <c r="AL72" s="180"/>
      <c r="AM72" s="77"/>
      <c r="AN72" s="77"/>
      <c r="AO72" s="110" t="str">
        <f>IF(Table4[[#This Row],[Finish (demob)]]&lt;&gt;"",Table4[[#This Row],[Finish (demob)]]+10,"")</f>
        <v/>
      </c>
      <c r="AP72" s="110" t="str">
        <f>IF(Table4[[#This Row],[Finish (demob)]]&lt;&gt;"",Table4[[#This Row],[Finish (demob)]]+10,"")</f>
        <v/>
      </c>
      <c r="AQ72" s="220"/>
      <c r="AR72" s="77" t="str">
        <f>IF(Table4[[#This Row],[Date Report is delivered:]]&lt;&gt;"", "Delivered", "")</f>
        <v/>
      </c>
      <c r="AS72" s="179"/>
      <c r="AT72" s="77"/>
      <c r="AU72" s="179"/>
      <c r="AV72" s="77"/>
      <c r="AW72" s="77"/>
    </row>
    <row r="73" spans="1:49" hidden="1">
      <c r="A73" s="173">
        <v>202012</v>
      </c>
      <c r="B73" s="75" t="s">
        <v>90</v>
      </c>
      <c r="C73" s="77" t="str">
        <f>CONCATENATE(Table4[[#This Row],[Project]],"-",Table4[[#This Row],[WO]])</f>
        <v>202012-04</v>
      </c>
      <c r="D73" s="76" t="s">
        <v>146</v>
      </c>
      <c r="E73" s="77" t="s">
        <v>57</v>
      </c>
      <c r="F73" s="77" t="s">
        <v>58</v>
      </c>
      <c r="G73" s="77" t="s">
        <v>59</v>
      </c>
      <c r="H73" s="77" t="s">
        <v>123</v>
      </c>
      <c r="I73" s="102" t="s">
        <v>91</v>
      </c>
      <c r="J73" s="77" t="s">
        <v>92</v>
      </c>
      <c r="K73" s="77" t="s">
        <v>63</v>
      </c>
      <c r="L73" s="77" t="s">
        <v>124</v>
      </c>
      <c r="M73" s="77" t="s">
        <v>65</v>
      </c>
      <c r="N73" s="77" t="s">
        <v>77</v>
      </c>
      <c r="O73" s="77" t="s">
        <v>67</v>
      </c>
      <c r="P73" s="76"/>
      <c r="Q73" s="183"/>
      <c r="R73" s="110" t="s">
        <v>93</v>
      </c>
      <c r="S73" s="77">
        <v>2020</v>
      </c>
      <c r="T73" s="179">
        <v>1</v>
      </c>
      <c r="U73" s="180">
        <v>18622.25</v>
      </c>
      <c r="V73" s="180">
        <f>Table4[[#This Row],[Expected Revenue]]*Table4[[#This Row],[Probability]]</f>
        <v>18622.25</v>
      </c>
      <c r="W73" s="180">
        <f t="shared" si="1"/>
        <v>20800</v>
      </c>
      <c r="X73" s="179">
        <v>0.3</v>
      </c>
      <c r="Y73" s="180">
        <f>Table4[[#This Row],[Rev. Based on PROB]]*Table4[[#This Row],[Expected CMR]]</f>
        <v>5586.6750000000002</v>
      </c>
      <c r="Z73" s="203" t="s">
        <v>123</v>
      </c>
      <c r="AA73" s="77"/>
      <c r="AB73" s="77"/>
      <c r="AC73" s="180"/>
      <c r="AD73" s="220">
        <v>43829</v>
      </c>
      <c r="AE73" s="220">
        <v>43839</v>
      </c>
      <c r="AF73" s="220"/>
      <c r="AG73" s="185"/>
      <c r="AH73" s="185"/>
      <c r="AI73" s="185"/>
      <c r="AJ73" s="185"/>
      <c r="AK73" s="979"/>
      <c r="AL73" s="180"/>
      <c r="AM73" s="77"/>
      <c r="AN73" s="77"/>
      <c r="AO73" s="110">
        <f>IF(Table4[[#This Row],[Finish (demob)]]&lt;&gt;"",Table4[[#This Row],[Finish (demob)]]+10,"")</f>
        <v>43849</v>
      </c>
      <c r="AP73" s="110">
        <f>IF(Table4[[#This Row],[Finish (demob)]]&lt;&gt;"",Table4[[#This Row],[Finish (demob)]]+10,"")</f>
        <v>43849</v>
      </c>
      <c r="AQ73" s="220"/>
      <c r="AR73" s="77" t="str">
        <f>IF(Table4[[#This Row],[Date Report is delivered:]]&lt;&gt;"", "Delivered", "")</f>
        <v/>
      </c>
      <c r="AS73" s="179"/>
      <c r="AT73" s="77"/>
      <c r="AU73" s="179"/>
      <c r="AV73" s="77"/>
      <c r="AW73" s="77"/>
    </row>
    <row r="74" spans="1:49" hidden="1">
      <c r="A74" s="173">
        <v>202012</v>
      </c>
      <c r="B74" s="75" t="s">
        <v>90</v>
      </c>
      <c r="C74" s="77" t="str">
        <f>CONCATENATE(Table4[[#This Row],[Project]],"-",Table4[[#This Row],[WO]])</f>
        <v>202012-04</v>
      </c>
      <c r="D74" s="76" t="s">
        <v>146</v>
      </c>
      <c r="E74" s="77" t="s">
        <v>57</v>
      </c>
      <c r="F74" s="77" t="s">
        <v>58</v>
      </c>
      <c r="G74" s="77" t="s">
        <v>59</v>
      </c>
      <c r="H74" s="77" t="s">
        <v>123</v>
      </c>
      <c r="I74" s="102" t="s">
        <v>96</v>
      </c>
      <c r="J74" s="77" t="s">
        <v>92</v>
      </c>
      <c r="K74" s="77" t="s">
        <v>63</v>
      </c>
      <c r="L74" s="77" t="s">
        <v>124</v>
      </c>
      <c r="M74" s="77" t="s">
        <v>65</v>
      </c>
      <c r="N74" s="77" t="s">
        <v>77</v>
      </c>
      <c r="O74" s="77" t="s">
        <v>67</v>
      </c>
      <c r="P74" s="76"/>
      <c r="Q74" s="183"/>
      <c r="R74" s="110" t="s">
        <v>89</v>
      </c>
      <c r="S74" s="77">
        <v>2020</v>
      </c>
      <c r="T74" s="179">
        <v>1</v>
      </c>
      <c r="U74" s="180">
        <v>18622.25</v>
      </c>
      <c r="V74" s="180">
        <f>Table4[[#This Row],[Expected Revenue]]*Table4[[#This Row],[Probability]]</f>
        <v>18622.25</v>
      </c>
      <c r="W74" s="180">
        <f t="shared" si="1"/>
        <v>20800</v>
      </c>
      <c r="X74" s="179">
        <v>0.3</v>
      </c>
      <c r="Y74" s="180">
        <f>Table4[[#This Row],[Rev. Based on PROB]]*Table4[[#This Row],[Expected CMR]]</f>
        <v>5586.6750000000002</v>
      </c>
      <c r="Z74" s="203" t="s">
        <v>123</v>
      </c>
      <c r="AA74" s="77"/>
      <c r="AB74" s="77"/>
      <c r="AC74" s="180"/>
      <c r="AD74" s="220"/>
      <c r="AE74" s="220"/>
      <c r="AF74" s="220"/>
      <c r="AG74" s="185"/>
      <c r="AH74" s="185"/>
      <c r="AI74" s="185"/>
      <c r="AJ74" s="185"/>
      <c r="AK74" s="979"/>
      <c r="AL74" s="180"/>
      <c r="AM74" s="77"/>
      <c r="AN74" s="77"/>
      <c r="AO74" s="110" t="str">
        <f>IF(Table4[[#This Row],[Finish (demob)]]&lt;&gt;"",Table4[[#This Row],[Finish (demob)]]+10,"")</f>
        <v/>
      </c>
      <c r="AP74" s="110" t="str">
        <f>IF(Table4[[#This Row],[Finish (demob)]]&lt;&gt;"",Table4[[#This Row],[Finish (demob)]]+10,"")</f>
        <v/>
      </c>
      <c r="AQ74" s="220"/>
      <c r="AR74" s="77" t="str">
        <f>IF(Table4[[#This Row],[Date Report is delivered:]]&lt;&gt;"", "Delivered", "")</f>
        <v/>
      </c>
      <c r="AS74" s="179"/>
      <c r="AT74" s="77"/>
      <c r="AU74" s="179"/>
      <c r="AV74" s="77"/>
      <c r="AW74" s="77"/>
    </row>
    <row r="75" spans="1:49" hidden="1">
      <c r="A75" s="173">
        <v>202012</v>
      </c>
      <c r="B75" s="75" t="s">
        <v>90</v>
      </c>
      <c r="C75" s="77" t="str">
        <f>CONCATENATE(Table4[[#This Row],[Project]],"-",Table4[[#This Row],[WO]])</f>
        <v>202012-04</v>
      </c>
      <c r="D75" s="76" t="s">
        <v>146</v>
      </c>
      <c r="E75" s="77" t="s">
        <v>57</v>
      </c>
      <c r="F75" s="77" t="s">
        <v>58</v>
      </c>
      <c r="G75" s="77" t="s">
        <v>59</v>
      </c>
      <c r="H75" s="77" t="s">
        <v>123</v>
      </c>
      <c r="I75" s="102" t="s">
        <v>97</v>
      </c>
      <c r="J75" s="77" t="s">
        <v>92</v>
      </c>
      <c r="K75" s="77" t="s">
        <v>63</v>
      </c>
      <c r="L75" s="77" t="s">
        <v>124</v>
      </c>
      <c r="M75" s="77" t="s">
        <v>65</v>
      </c>
      <c r="N75" s="77" t="s">
        <v>77</v>
      </c>
      <c r="O75" s="77" t="s">
        <v>67</v>
      </c>
      <c r="P75" s="76"/>
      <c r="Q75" s="183"/>
      <c r="R75" s="110" t="s">
        <v>84</v>
      </c>
      <c r="S75" s="77">
        <v>2020</v>
      </c>
      <c r="T75" s="179">
        <v>1</v>
      </c>
      <c r="U75" s="180">
        <v>18622.25</v>
      </c>
      <c r="V75" s="180">
        <f>Table4[[#This Row],[Expected Revenue]]*Table4[[#This Row],[Probability]]</f>
        <v>18622.25</v>
      </c>
      <c r="W75" s="180">
        <f t="shared" si="1"/>
        <v>20800</v>
      </c>
      <c r="X75" s="179">
        <v>0.3</v>
      </c>
      <c r="Y75" s="180">
        <f>Table4[[#This Row],[Rev. Based on PROB]]*Table4[[#This Row],[Expected CMR]]</f>
        <v>5586.6750000000002</v>
      </c>
      <c r="Z75" s="203" t="s">
        <v>123</v>
      </c>
      <c r="AA75" s="77"/>
      <c r="AB75" s="77"/>
      <c r="AC75" s="180"/>
      <c r="AD75" s="220"/>
      <c r="AE75" s="220"/>
      <c r="AF75" s="220"/>
      <c r="AG75" s="185"/>
      <c r="AH75" s="185"/>
      <c r="AI75" s="185"/>
      <c r="AJ75" s="185"/>
      <c r="AK75" s="182"/>
      <c r="AL75" s="180"/>
      <c r="AM75" s="77"/>
      <c r="AN75" s="77"/>
      <c r="AO75" s="110" t="str">
        <f>IF(Table4[[#This Row],[Finish (demob)]]&lt;&gt;"",Table4[[#This Row],[Finish (demob)]]+10,"")</f>
        <v/>
      </c>
      <c r="AP75" s="110" t="str">
        <f>IF(Table4[[#This Row],[Finish (demob)]]&lt;&gt;"",Table4[[#This Row],[Finish (demob)]]+10,"")</f>
        <v/>
      </c>
      <c r="AQ75" s="220"/>
      <c r="AR75" s="77" t="str">
        <f>IF(Table4[[#This Row],[Date Report is delivered:]]&lt;&gt;"", "Delivered", "")</f>
        <v/>
      </c>
      <c r="AS75" s="179"/>
      <c r="AT75" s="77"/>
      <c r="AU75" s="179"/>
      <c r="AV75" s="77"/>
      <c r="AW75" s="77"/>
    </row>
    <row r="76" spans="1:49" hidden="1">
      <c r="A76" s="173">
        <v>202012</v>
      </c>
      <c r="B76" s="75" t="s">
        <v>90</v>
      </c>
      <c r="C76" s="77" t="str">
        <f>CONCATENATE(Table4[[#This Row],[Project]],"-",Table4[[#This Row],[WO]])</f>
        <v>202012-04</v>
      </c>
      <c r="D76" s="76" t="s">
        <v>146</v>
      </c>
      <c r="E76" s="77" t="s">
        <v>57</v>
      </c>
      <c r="F76" s="77" t="s">
        <v>58</v>
      </c>
      <c r="G76" s="77" t="s">
        <v>59</v>
      </c>
      <c r="H76" s="77" t="s">
        <v>123</v>
      </c>
      <c r="I76" s="102" t="s">
        <v>101</v>
      </c>
      <c r="J76" s="77" t="s">
        <v>92</v>
      </c>
      <c r="K76" s="77" t="s">
        <v>63</v>
      </c>
      <c r="L76" s="77" t="s">
        <v>124</v>
      </c>
      <c r="M76" s="77" t="s">
        <v>65</v>
      </c>
      <c r="N76" s="77" t="s">
        <v>77</v>
      </c>
      <c r="O76" s="77" t="s">
        <v>67</v>
      </c>
      <c r="P76" s="76"/>
      <c r="Q76" s="183"/>
      <c r="R76" s="110" t="s">
        <v>102</v>
      </c>
      <c r="S76" s="77">
        <v>2020</v>
      </c>
      <c r="T76" s="179">
        <v>1</v>
      </c>
      <c r="U76" s="180">
        <v>18622.25</v>
      </c>
      <c r="V76" s="180">
        <f>Table4[[#This Row],[Expected Revenue]]*Table4[[#This Row],[Probability]]</f>
        <v>18622.25</v>
      </c>
      <c r="W76" s="180">
        <f t="shared" si="1"/>
        <v>20800</v>
      </c>
      <c r="X76" s="179">
        <v>0.3</v>
      </c>
      <c r="Y76" s="180">
        <f>Table4[[#This Row],[Rev. Based on PROB]]*Table4[[#This Row],[Expected CMR]]</f>
        <v>5586.6750000000002</v>
      </c>
      <c r="Z76" s="203" t="s">
        <v>123</v>
      </c>
      <c r="AA76" s="77"/>
      <c r="AB76" s="77"/>
      <c r="AC76" s="180"/>
      <c r="AD76" s="220"/>
      <c r="AE76" s="220"/>
      <c r="AF76" s="220"/>
      <c r="AG76" s="185"/>
      <c r="AH76" s="185"/>
      <c r="AI76" s="185"/>
      <c r="AJ76" s="185"/>
      <c r="AK76" s="979"/>
      <c r="AL76" s="180"/>
      <c r="AM76" s="77"/>
      <c r="AN76" s="77"/>
      <c r="AO76" s="110" t="str">
        <f>IF(Table4[[#This Row],[Finish (demob)]]&lt;&gt;"",Table4[[#This Row],[Finish (demob)]]+10,"")</f>
        <v/>
      </c>
      <c r="AP76" s="110" t="str">
        <f>IF(Table4[[#This Row],[Finish (demob)]]&lt;&gt;"",Table4[[#This Row],[Finish (demob)]]+10,"")</f>
        <v/>
      </c>
      <c r="AQ76" s="220"/>
      <c r="AR76" s="77" t="str">
        <f>IF(Table4[[#This Row],[Date Report is delivered:]]&lt;&gt;"", "Delivered", "")</f>
        <v/>
      </c>
      <c r="AS76" s="179"/>
      <c r="AT76" s="77"/>
      <c r="AU76" s="179"/>
      <c r="AV76" s="77"/>
      <c r="AW76" s="77"/>
    </row>
    <row r="77" spans="1:49" hidden="1">
      <c r="A77" s="173">
        <v>202012</v>
      </c>
      <c r="B77" s="75" t="s">
        <v>98</v>
      </c>
      <c r="C77" s="77" t="str">
        <f>CONCATENATE(Table4[[#This Row],[Project]],"-",Table4[[#This Row],[WO]])</f>
        <v>202012-11</v>
      </c>
      <c r="D77" s="76" t="s">
        <v>146</v>
      </c>
      <c r="E77" s="77" t="s">
        <v>57</v>
      </c>
      <c r="F77" s="77" t="s">
        <v>58</v>
      </c>
      <c r="G77" s="77" t="s">
        <v>59</v>
      </c>
      <c r="H77" s="77" t="s">
        <v>123</v>
      </c>
      <c r="I77" s="102" t="s">
        <v>147</v>
      </c>
      <c r="J77" s="77" t="s">
        <v>92</v>
      </c>
      <c r="K77" s="77" t="s">
        <v>63</v>
      </c>
      <c r="L77" s="77" t="s">
        <v>124</v>
      </c>
      <c r="M77" s="77" t="s">
        <v>65</v>
      </c>
      <c r="N77" s="77" t="s">
        <v>77</v>
      </c>
      <c r="O77" s="77" t="s">
        <v>67</v>
      </c>
      <c r="P77" s="76"/>
      <c r="Q77" s="183"/>
      <c r="R77" s="110" t="s">
        <v>93</v>
      </c>
      <c r="S77" s="77">
        <v>2020</v>
      </c>
      <c r="T77" s="179">
        <v>1</v>
      </c>
      <c r="U77" s="180">
        <v>3500</v>
      </c>
      <c r="V77" s="180">
        <f>Table4[[#This Row],[Expected Revenue]]*Table4[[#This Row],[Probability]]</f>
        <v>3500</v>
      </c>
      <c r="W77" s="180">
        <f t="shared" si="1"/>
        <v>20800</v>
      </c>
      <c r="X77" s="179">
        <v>0.3</v>
      </c>
      <c r="Y77" s="180">
        <f>Table4[[#This Row],[Rev. Based on PROB]]*Table4[[#This Row],[Expected CMR]]</f>
        <v>1050</v>
      </c>
      <c r="Z77" s="203" t="s">
        <v>123</v>
      </c>
      <c r="AA77" s="77"/>
      <c r="AB77" s="77"/>
      <c r="AC77" s="180"/>
      <c r="AD77" s="220"/>
      <c r="AE77" s="220"/>
      <c r="AF77" s="220"/>
      <c r="AG77" s="185"/>
      <c r="AH77" s="185"/>
      <c r="AI77" s="185"/>
      <c r="AJ77" s="185"/>
      <c r="AK77" s="979" t="s">
        <v>100</v>
      </c>
      <c r="AL77" s="180">
        <v>3500</v>
      </c>
      <c r="AM77" s="77" t="s">
        <v>93</v>
      </c>
      <c r="AN77" s="77">
        <v>2020</v>
      </c>
      <c r="AO77" s="110" t="str">
        <f>IF(Table4[[#This Row],[Finish (demob)]]&lt;&gt;"",Table4[[#This Row],[Finish (demob)]]+10,"")</f>
        <v/>
      </c>
      <c r="AP77" s="110" t="str">
        <f>IF(Table4[[#This Row],[Finish (demob)]]&lt;&gt;"",Table4[[#This Row],[Finish (demob)]]+10,"")</f>
        <v/>
      </c>
      <c r="AQ77" s="220"/>
      <c r="AR77" s="77" t="str">
        <f>IF(Table4[[#This Row],[Date Report is delivered:]]&lt;&gt;"", "Delivered", "")</f>
        <v/>
      </c>
      <c r="AS77" s="179" t="e">
        <f>1-(#REF!/#REF!)</f>
        <v>#REF!</v>
      </c>
      <c r="AT77" s="77"/>
      <c r="AU77" s="179"/>
      <c r="AV77" s="77"/>
      <c r="AW77" s="77"/>
    </row>
    <row r="78" spans="1:49" hidden="1">
      <c r="A78" s="173">
        <v>202014</v>
      </c>
      <c r="B78" s="75" t="s">
        <v>103</v>
      </c>
      <c r="C78" s="77" t="str">
        <f>CONCATENATE(Table4[[#This Row],[Project]],"-",Table4[[#This Row],[WO]])</f>
        <v>202014-01</v>
      </c>
      <c r="D78" s="76" t="s">
        <v>117</v>
      </c>
      <c r="E78" s="77" t="s">
        <v>57</v>
      </c>
      <c r="F78" s="77" t="s">
        <v>58</v>
      </c>
      <c r="G78" s="77" t="s">
        <v>59</v>
      </c>
      <c r="H78" s="77" t="s">
        <v>105</v>
      </c>
      <c r="I78" s="102" t="s">
        <v>106</v>
      </c>
      <c r="J78" s="77" t="s">
        <v>107</v>
      </c>
      <c r="K78" s="77" t="s">
        <v>63</v>
      </c>
      <c r="L78" s="77" t="s">
        <v>108</v>
      </c>
      <c r="M78" s="77" t="s">
        <v>65</v>
      </c>
      <c r="N78" s="77" t="s">
        <v>77</v>
      </c>
      <c r="O78" s="77" t="s">
        <v>67</v>
      </c>
      <c r="P78" s="76" t="s">
        <v>118</v>
      </c>
      <c r="Q78" s="183" t="s">
        <v>119</v>
      </c>
      <c r="R78" s="110" t="s">
        <v>93</v>
      </c>
      <c r="S78" s="77">
        <v>2020</v>
      </c>
      <c r="T78" s="179">
        <v>1</v>
      </c>
      <c r="U78" s="180">
        <v>58784</v>
      </c>
      <c r="V78" s="180">
        <f>Table4[[#This Row],[Expected Revenue]]*Table4[[#This Row],[Probability]]</f>
        <v>58784</v>
      </c>
      <c r="W78" s="180">
        <f t="shared" si="1"/>
        <v>20800</v>
      </c>
      <c r="X78" s="179">
        <v>0.3</v>
      </c>
      <c r="Y78" s="180">
        <f>Table4[[#This Row],[Rev. Based on PROB]]*Table4[[#This Row],[Expected CMR]]</f>
        <v>17635.2</v>
      </c>
      <c r="Z78" s="203" t="s">
        <v>105</v>
      </c>
      <c r="AA78" s="77"/>
      <c r="AB78" s="181"/>
      <c r="AC78" s="180"/>
      <c r="AD78" s="220"/>
      <c r="AE78" s="220"/>
      <c r="AF78" s="220"/>
      <c r="AG78" s="185"/>
      <c r="AH78" s="185"/>
      <c r="AI78" s="185"/>
      <c r="AJ78" s="185"/>
      <c r="AK78" s="182"/>
      <c r="AL78" s="180"/>
      <c r="AM78" s="77"/>
      <c r="AN78" s="77"/>
      <c r="AO78" s="110" t="str">
        <f>IF(Table4[[#This Row],[Finish (demob)]]&lt;&gt;"",Table4[[#This Row],[Finish (demob)]]+7,"")</f>
        <v/>
      </c>
      <c r="AP78" s="110" t="str">
        <f>IF(Table4[[#This Row],[Finish (demob)]]&lt;&gt;"",Table4[[#This Row],[Finish (demob)]]+10,"")</f>
        <v/>
      </c>
      <c r="AQ78" s="220"/>
      <c r="AR78" s="77" t="str">
        <f>IF(Table4[[#This Row],[Date Report is delivered:]]&lt;&gt;"", "Delivered", "")</f>
        <v/>
      </c>
      <c r="AS78" s="179"/>
      <c r="AT78" s="77"/>
      <c r="AU78" s="179"/>
      <c r="AV78" s="77"/>
      <c r="AW78" s="77"/>
    </row>
    <row r="79" spans="1:49" hidden="1">
      <c r="A79" s="173">
        <v>202014</v>
      </c>
      <c r="B79" s="75" t="s">
        <v>111</v>
      </c>
      <c r="C79" s="77" t="str">
        <f>CONCATENATE(Table4[[#This Row],[Project]],"-",Table4[[#This Row],[WO]])</f>
        <v>202014-02</v>
      </c>
      <c r="D79" s="76" t="s">
        <v>117</v>
      </c>
      <c r="E79" s="77" t="s">
        <v>57</v>
      </c>
      <c r="F79" s="77" t="s">
        <v>58</v>
      </c>
      <c r="G79" s="77" t="s">
        <v>59</v>
      </c>
      <c r="H79" s="77" t="s">
        <v>105</v>
      </c>
      <c r="I79" s="102" t="s">
        <v>112</v>
      </c>
      <c r="J79" s="77" t="s">
        <v>71</v>
      </c>
      <c r="K79" s="77" t="s">
        <v>63</v>
      </c>
      <c r="L79" s="77" t="s">
        <v>108</v>
      </c>
      <c r="M79" s="77" t="s">
        <v>65</v>
      </c>
      <c r="N79" s="77" t="s">
        <v>77</v>
      </c>
      <c r="O79" s="77" t="s">
        <v>67</v>
      </c>
      <c r="P79" s="76" t="s">
        <v>118</v>
      </c>
      <c r="Q79" s="183" t="s">
        <v>119</v>
      </c>
      <c r="R79" s="110" t="s">
        <v>93</v>
      </c>
      <c r="S79" s="77">
        <v>2020</v>
      </c>
      <c r="T79" s="179">
        <v>1</v>
      </c>
      <c r="U79" s="180">
        <v>30630</v>
      </c>
      <c r="V79" s="180">
        <f>Table4[[#This Row],[Expected Revenue]]*Table4[[#This Row],[Probability]]</f>
        <v>30630</v>
      </c>
      <c r="W79" s="180">
        <f t="shared" si="1"/>
        <v>20800</v>
      </c>
      <c r="X79" s="179">
        <v>0.3</v>
      </c>
      <c r="Y79" s="180">
        <f>Table4[[#This Row],[Rev. Based on PROB]]*Table4[[#This Row],[Expected CMR]]</f>
        <v>9189</v>
      </c>
      <c r="Z79" s="203" t="s">
        <v>105</v>
      </c>
      <c r="AA79" s="77"/>
      <c r="AB79" s="77"/>
      <c r="AC79" s="180"/>
      <c r="AD79" s="220"/>
      <c r="AE79" s="220"/>
      <c r="AF79" s="220"/>
      <c r="AG79" s="185"/>
      <c r="AH79" s="185"/>
      <c r="AI79" s="185"/>
      <c r="AJ79" s="185"/>
      <c r="AK79" s="979"/>
      <c r="AL79" s="180"/>
      <c r="AM79" s="77"/>
      <c r="AN79" s="77"/>
      <c r="AO79" s="110" t="str">
        <f>IF(Table4[[#This Row],[Finish (demob)]]&lt;&gt;"",Table4[[#This Row],[Finish (demob)]]+10,"")</f>
        <v/>
      </c>
      <c r="AP79" s="110" t="str">
        <f>IF(Table4[[#This Row],[Finish (demob)]]&lt;&gt;"",Table4[[#This Row],[Finish (demob)]]+10,"")</f>
        <v/>
      </c>
      <c r="AQ79" s="220"/>
      <c r="AR79" s="77" t="str">
        <f>IF(Table4[[#This Row],[Date Report is delivered:]]&lt;&gt;"", "Delivered", "")</f>
        <v/>
      </c>
      <c r="AS79" s="179"/>
      <c r="AT79" s="77"/>
      <c r="AU79" s="179"/>
      <c r="AV79" s="77"/>
      <c r="AW79" s="77"/>
    </row>
    <row r="80" spans="1:49" hidden="1">
      <c r="A80" s="173">
        <v>202014</v>
      </c>
      <c r="B80" s="75" t="s">
        <v>72</v>
      </c>
      <c r="C80" s="77" t="str">
        <f>CONCATENATE(Table4[[#This Row],[Project]],"-",Table4[[#This Row],[WO]])</f>
        <v>202014-07</v>
      </c>
      <c r="D80" s="76" t="s">
        <v>117</v>
      </c>
      <c r="E80" s="77" t="s">
        <v>57</v>
      </c>
      <c r="F80" s="77" t="s">
        <v>58</v>
      </c>
      <c r="G80" s="77" t="s">
        <v>59</v>
      </c>
      <c r="H80" s="77" t="s">
        <v>105</v>
      </c>
      <c r="I80" s="102" t="s">
        <v>75</v>
      </c>
      <c r="J80" s="77" t="s">
        <v>62</v>
      </c>
      <c r="K80" s="77" t="s">
        <v>63</v>
      </c>
      <c r="L80" s="77" t="s">
        <v>108</v>
      </c>
      <c r="M80" s="77" t="s">
        <v>65</v>
      </c>
      <c r="N80" s="77" t="s">
        <v>77</v>
      </c>
      <c r="O80" s="77" t="s">
        <v>67</v>
      </c>
      <c r="P80" s="76" t="s">
        <v>118</v>
      </c>
      <c r="Q80" s="183" t="s">
        <v>119</v>
      </c>
      <c r="R80" s="152" t="s">
        <v>80</v>
      </c>
      <c r="S80" s="77">
        <v>2020</v>
      </c>
      <c r="T80" s="179">
        <v>1</v>
      </c>
      <c r="U80" s="180">
        <v>10620</v>
      </c>
      <c r="V80" s="180">
        <f>Table4[[#This Row],[Expected Revenue]]*Table4[[#This Row],[Probability]]</f>
        <v>10620</v>
      </c>
      <c r="W80" s="180">
        <f t="shared" si="1"/>
        <v>20800</v>
      </c>
      <c r="X80" s="179">
        <v>0.3</v>
      </c>
      <c r="Y80" s="180">
        <f>Table4[[#This Row],[Rev. Based on PROB]]*Table4[[#This Row],[Expected CMR]]</f>
        <v>3186</v>
      </c>
      <c r="Z80" s="203" t="s">
        <v>105</v>
      </c>
      <c r="AA80" s="77"/>
      <c r="AB80" s="77"/>
      <c r="AC80" s="180"/>
      <c r="AD80" s="220"/>
      <c r="AE80" s="220"/>
      <c r="AF80" s="220"/>
      <c r="AG80" s="185"/>
      <c r="AH80" s="185"/>
      <c r="AI80" s="185"/>
      <c r="AJ80" s="185"/>
      <c r="AK80" s="979"/>
      <c r="AL80" s="180"/>
      <c r="AM80" s="77"/>
      <c r="AN80" s="77"/>
      <c r="AO80" s="110" t="str">
        <f>IF(Table4[[#This Row],[Finish (demob)]]&lt;&gt;"",Table4[[#This Row],[Finish (demob)]]+10,"")</f>
        <v/>
      </c>
      <c r="AP80" s="110" t="str">
        <f>IF(Table4[[#This Row],[Finish (demob)]]&lt;&gt;"",Table4[[#This Row],[Finish (demob)]]+10,"")</f>
        <v/>
      </c>
      <c r="AQ80" s="220"/>
      <c r="AR80" s="77" t="str">
        <f>IF(Table4[[#This Row],[Date Report is delivered:]]&lt;&gt;"", "Delivered", "")</f>
        <v/>
      </c>
      <c r="AS80" s="179"/>
      <c r="AT80" s="77"/>
      <c r="AU80" s="179"/>
      <c r="AV80" s="77"/>
      <c r="AW80" s="77"/>
    </row>
    <row r="81" spans="1:49" hidden="1">
      <c r="A81" s="173">
        <v>202014</v>
      </c>
      <c r="B81" s="75" t="s">
        <v>81</v>
      </c>
      <c r="C81" s="77" t="str">
        <f>CONCATENATE(Table4[[#This Row],[Project]],"-",Table4[[#This Row],[WO]])</f>
        <v>202014-06</v>
      </c>
      <c r="D81" s="76" t="s">
        <v>117</v>
      </c>
      <c r="E81" s="77" t="s">
        <v>57</v>
      </c>
      <c r="F81" s="77" t="s">
        <v>58</v>
      </c>
      <c r="G81" s="77" t="s">
        <v>59</v>
      </c>
      <c r="H81" s="77" t="s">
        <v>105</v>
      </c>
      <c r="I81" s="102" t="s">
        <v>82</v>
      </c>
      <c r="J81" s="77" t="s">
        <v>83</v>
      </c>
      <c r="K81" s="77" t="s">
        <v>63</v>
      </c>
      <c r="L81" s="77" t="s">
        <v>108</v>
      </c>
      <c r="M81" s="77" t="s">
        <v>65</v>
      </c>
      <c r="N81" s="77" t="s">
        <v>77</v>
      </c>
      <c r="O81" s="77" t="s">
        <v>67</v>
      </c>
      <c r="P81" s="76" t="s">
        <v>118</v>
      </c>
      <c r="Q81" s="183" t="s">
        <v>119</v>
      </c>
      <c r="R81" s="110" t="s">
        <v>84</v>
      </c>
      <c r="S81" s="77">
        <v>2020</v>
      </c>
      <c r="T81" s="179">
        <v>1</v>
      </c>
      <c r="U81" s="180">
        <v>17300</v>
      </c>
      <c r="V81" s="180">
        <f>Table4[[#This Row],[Expected Revenue]]*Table4[[#This Row],[Probability]]</f>
        <v>17300</v>
      </c>
      <c r="W81" s="180">
        <f t="shared" si="1"/>
        <v>20800</v>
      </c>
      <c r="X81" s="179">
        <v>0.3</v>
      </c>
      <c r="Y81" s="180">
        <f>Table4[[#This Row],[Rev. Based on PROB]]*Table4[[#This Row],[Expected CMR]]</f>
        <v>5190</v>
      </c>
      <c r="Z81" s="203" t="s">
        <v>105</v>
      </c>
      <c r="AA81" s="77"/>
      <c r="AB81" s="77"/>
      <c r="AC81" s="180"/>
      <c r="AD81" s="220"/>
      <c r="AE81" s="220"/>
      <c r="AF81" s="220"/>
      <c r="AG81" s="185"/>
      <c r="AH81" s="185"/>
      <c r="AI81" s="185"/>
      <c r="AJ81" s="185"/>
      <c r="AK81" s="979"/>
      <c r="AL81" s="180"/>
      <c r="AM81" s="77"/>
      <c r="AN81" s="77"/>
      <c r="AO81" s="110" t="str">
        <f>IF(Table4[[#This Row],[Finish (demob)]]&lt;&gt;"",Table4[[#This Row],[Finish (demob)]]+10,"")</f>
        <v/>
      </c>
      <c r="AP81" s="110" t="str">
        <f>IF(Table4[[#This Row],[Finish (demob)]]&lt;&gt;"",Table4[[#This Row],[Finish (demob)]]+10,"")</f>
        <v/>
      </c>
      <c r="AQ81" s="220"/>
      <c r="AR81" s="77" t="str">
        <f>IF(Table4[[#This Row],[Date Report is delivered:]]&lt;&gt;"", "Delivered", "")</f>
        <v/>
      </c>
      <c r="AS81" s="179"/>
      <c r="AT81" s="77"/>
      <c r="AU81" s="179"/>
      <c r="AV81" s="77"/>
      <c r="AW81" s="77"/>
    </row>
    <row r="82" spans="1:49" hidden="1">
      <c r="A82" s="173">
        <v>202011</v>
      </c>
      <c r="B82" s="75" t="s">
        <v>98</v>
      </c>
      <c r="C82" s="77" t="str">
        <f>CONCATENATE(Table4[[#This Row],[Project]],"-",Table4[[#This Row],[WO]])</f>
        <v>202011-11</v>
      </c>
      <c r="D82" s="76" t="s">
        <v>137</v>
      </c>
      <c r="E82" s="77" t="s">
        <v>57</v>
      </c>
      <c r="F82" s="77" t="s">
        <v>58</v>
      </c>
      <c r="G82" s="77" t="s">
        <v>59</v>
      </c>
      <c r="H82" s="77" t="s">
        <v>123</v>
      </c>
      <c r="I82" s="102" t="s">
        <v>61</v>
      </c>
      <c r="J82" s="77"/>
      <c r="K82" s="77" t="s">
        <v>63</v>
      </c>
      <c r="L82" s="77" t="s">
        <v>108</v>
      </c>
      <c r="M82" s="77" t="s">
        <v>65</v>
      </c>
      <c r="N82" s="77" t="s">
        <v>77</v>
      </c>
      <c r="O82" s="77" t="s">
        <v>67</v>
      </c>
      <c r="P82" s="76"/>
      <c r="Q82" s="183"/>
      <c r="R82" s="110" t="s">
        <v>68</v>
      </c>
      <c r="S82" s="77">
        <v>2020</v>
      </c>
      <c r="T82" s="179">
        <v>1</v>
      </c>
      <c r="U82" s="180">
        <v>5000</v>
      </c>
      <c r="V82" s="180">
        <f>Table4[[#This Row],[Expected Revenue]]*Table4[[#This Row],[Probability]]</f>
        <v>5000</v>
      </c>
      <c r="W82" s="180"/>
      <c r="X82" s="179">
        <v>0.3</v>
      </c>
      <c r="Y82" s="180">
        <f>Table4[[#This Row],[Rev. Based on PROB]]*Table4[[#This Row],[Expected CMR]]</f>
        <v>1500</v>
      </c>
      <c r="Z82" s="203" t="s">
        <v>105</v>
      </c>
      <c r="AA82" s="77"/>
      <c r="AB82" s="181"/>
      <c r="AC82" s="180"/>
      <c r="AD82" s="220">
        <v>43928</v>
      </c>
      <c r="AE82" s="220">
        <v>43954</v>
      </c>
      <c r="AF82" s="220"/>
      <c r="AG82" s="185">
        <v>0</v>
      </c>
      <c r="AH82" s="185"/>
      <c r="AI82" s="185" t="s">
        <v>148</v>
      </c>
      <c r="AJ82" s="185"/>
      <c r="AK82" s="179" t="s">
        <v>100</v>
      </c>
      <c r="AL82" s="180">
        <v>21630</v>
      </c>
      <c r="AM82" s="77" t="s">
        <v>89</v>
      </c>
      <c r="AN82" s="77">
        <v>2020</v>
      </c>
      <c r="AO82" s="110" t="s">
        <v>148</v>
      </c>
      <c r="AP82" s="110"/>
      <c r="AQ82" s="220"/>
      <c r="AR82" s="77"/>
      <c r="AS82" s="179" t="s">
        <v>100</v>
      </c>
      <c r="AT82" s="77"/>
      <c r="AU82" s="179"/>
      <c r="AV82" s="77"/>
      <c r="AW82" s="77"/>
    </row>
    <row r="83" spans="1:49" hidden="1">
      <c r="A83" s="173">
        <v>202010</v>
      </c>
      <c r="B83" s="75" t="s">
        <v>69</v>
      </c>
      <c r="C83" s="77" t="str">
        <f>CONCATENATE(Table4[[#This Row],[Project]],"-",Table4[[#This Row],[WO]])</f>
        <v>202010-12</v>
      </c>
      <c r="D83" s="76" t="s">
        <v>130</v>
      </c>
      <c r="E83" s="77" t="s">
        <v>57</v>
      </c>
      <c r="F83" s="77" t="s">
        <v>58</v>
      </c>
      <c r="G83" s="77" t="s">
        <v>59</v>
      </c>
      <c r="H83" s="77" t="s">
        <v>123</v>
      </c>
      <c r="I83" s="102" t="s">
        <v>61</v>
      </c>
      <c r="J83" s="77"/>
      <c r="K83" s="77" t="s">
        <v>63</v>
      </c>
      <c r="L83" s="77" t="s">
        <v>124</v>
      </c>
      <c r="M83" s="77" t="s">
        <v>65</v>
      </c>
      <c r="N83" s="77" t="s">
        <v>77</v>
      </c>
      <c r="O83" s="77" t="s">
        <v>67</v>
      </c>
      <c r="P83" s="76"/>
      <c r="Q83" s="183"/>
      <c r="R83" s="110" t="s">
        <v>68</v>
      </c>
      <c r="S83" s="77">
        <v>2020</v>
      </c>
      <c r="T83" s="179">
        <v>1</v>
      </c>
      <c r="U83" s="180">
        <v>10000</v>
      </c>
      <c r="V83" s="180">
        <f>Table4[[#This Row],[Expected Revenue]]*Table4[[#This Row],[Probability]]</f>
        <v>10000</v>
      </c>
      <c r="W83" s="180">
        <f t="shared" si="1"/>
        <v>20800</v>
      </c>
      <c r="X83" s="179">
        <v>0.3</v>
      </c>
      <c r="Y83" s="180">
        <f>Table4[[#This Row],[Rev. Based on PROB]]*Table4[[#This Row],[Expected CMR]]</f>
        <v>3000</v>
      </c>
      <c r="Z83" s="203" t="s">
        <v>123</v>
      </c>
      <c r="AA83" s="77"/>
      <c r="AB83" s="181"/>
      <c r="AC83" s="180"/>
      <c r="AD83" s="185">
        <v>0</v>
      </c>
      <c r="AE83" s="185">
        <v>0</v>
      </c>
      <c r="AF83" s="220"/>
      <c r="AG83" s="185">
        <v>0</v>
      </c>
      <c r="AH83" s="185">
        <v>0</v>
      </c>
      <c r="AI83" s="189"/>
      <c r="AJ83" s="185"/>
      <c r="AK83" s="182" t="s">
        <v>100</v>
      </c>
      <c r="AL83" s="180">
        <v>10745</v>
      </c>
      <c r="AM83" s="77" t="s">
        <v>93</v>
      </c>
      <c r="AN83" s="77">
        <v>2020</v>
      </c>
      <c r="AO83" s="110">
        <f>IF(Table4[[#This Row],[Finish (demob)]]&lt;&gt;"",Table4[[#This Row],[Finish (demob)]]+10,"")</f>
        <v>10</v>
      </c>
      <c r="AP83" s="110">
        <f>IF(Table4[[#This Row],[Finish (demob)]]&lt;&gt;"",Table4[[#This Row],[Finish (demob)]]+10,"")</f>
        <v>10</v>
      </c>
      <c r="AQ83" s="220"/>
      <c r="AR83" s="77" t="str">
        <f>IF(Table4[[#This Row],[Date Report is delivered:]]&lt;&gt;"", "Delivered", "")</f>
        <v/>
      </c>
      <c r="AS83" s="179" t="e">
        <f>1-(#REF!/#REF!)</f>
        <v>#REF!</v>
      </c>
      <c r="AT83" s="77"/>
      <c r="AU83" s="179"/>
      <c r="AV83" s="77"/>
      <c r="AW83" s="77"/>
    </row>
    <row r="84" spans="1:49" hidden="1">
      <c r="A84" s="173">
        <v>202014</v>
      </c>
      <c r="B84" s="75" t="s">
        <v>86</v>
      </c>
      <c r="C84" s="77" t="str">
        <f>CONCATENATE(Table4[[#This Row],[Project]],"-",Table4[[#This Row],[WO]])</f>
        <v>202014-05</v>
      </c>
      <c r="D84" s="76" t="s">
        <v>117</v>
      </c>
      <c r="E84" s="77" t="s">
        <v>57</v>
      </c>
      <c r="F84" s="77" t="s">
        <v>58</v>
      </c>
      <c r="G84" s="77" t="s">
        <v>59</v>
      </c>
      <c r="H84" s="77" t="s">
        <v>105</v>
      </c>
      <c r="I84" s="102" t="s">
        <v>87</v>
      </c>
      <c r="J84" s="77" t="s">
        <v>88</v>
      </c>
      <c r="K84" s="77" t="s">
        <v>63</v>
      </c>
      <c r="L84" s="77" t="s">
        <v>108</v>
      </c>
      <c r="M84" s="77" t="s">
        <v>65</v>
      </c>
      <c r="N84" s="77" t="s">
        <v>77</v>
      </c>
      <c r="O84" s="77" t="s">
        <v>67</v>
      </c>
      <c r="P84" s="76" t="s">
        <v>118</v>
      </c>
      <c r="Q84" s="183" t="s">
        <v>119</v>
      </c>
      <c r="R84" s="110" t="s">
        <v>89</v>
      </c>
      <c r="S84" s="77">
        <v>2020</v>
      </c>
      <c r="T84" s="179">
        <v>1</v>
      </c>
      <c r="U84" s="180">
        <v>27538</v>
      </c>
      <c r="V84" s="180">
        <f>Table4[[#This Row],[Expected Revenue]]*Table4[[#This Row],[Probability]]</f>
        <v>27538</v>
      </c>
      <c r="W84" s="180">
        <f t="shared" si="1"/>
        <v>20800</v>
      </c>
      <c r="X84" s="179">
        <v>0.3</v>
      </c>
      <c r="Y84" s="180">
        <f>Table4[[#This Row],[Rev. Based on PROB]]*Table4[[#This Row],[Expected CMR]]</f>
        <v>8261.4</v>
      </c>
      <c r="Z84" s="203" t="s">
        <v>105</v>
      </c>
      <c r="AA84" s="77"/>
      <c r="AB84" s="181"/>
      <c r="AC84" s="180"/>
      <c r="AD84" s="220"/>
      <c r="AE84" s="220"/>
      <c r="AF84" s="220"/>
      <c r="AG84" s="185"/>
      <c r="AH84" s="185"/>
      <c r="AI84" s="185"/>
      <c r="AJ84" s="185"/>
      <c r="AK84" s="979"/>
      <c r="AL84" s="180"/>
      <c r="AM84" s="77"/>
      <c r="AN84" s="77"/>
      <c r="AO84" s="110" t="str">
        <f>IF(Table4[[#This Row],[Finish (demob)]]&lt;&gt;"",Table4[[#This Row],[Finish (demob)]]+10,"")</f>
        <v/>
      </c>
      <c r="AP84" s="110" t="str">
        <f>IF(Table4[[#This Row],[Finish (demob)]]&lt;&gt;"",Table4[[#This Row],[Finish (demob)]]+10,"")</f>
        <v/>
      </c>
      <c r="AQ84" s="220"/>
      <c r="AR84" s="77" t="str">
        <f>IF(Table4[[#This Row],[Date Report is delivered:]]&lt;&gt;"", "Delivered", "")</f>
        <v/>
      </c>
      <c r="AS84" s="179"/>
      <c r="AT84" s="77"/>
      <c r="AU84" s="179"/>
      <c r="AV84" s="77"/>
      <c r="AW84" s="77"/>
    </row>
    <row r="85" spans="1:49" hidden="1">
      <c r="A85" s="173">
        <v>202003</v>
      </c>
      <c r="B85" s="75" t="s">
        <v>55</v>
      </c>
      <c r="C85" s="77" t="str">
        <f>CONCATENATE(Table4[[#This Row],[Project]],"-",Table4[[#This Row],[WO]])</f>
        <v>202003-03</v>
      </c>
      <c r="D85" s="76" t="s">
        <v>73</v>
      </c>
      <c r="E85" s="77" t="s">
        <v>57</v>
      </c>
      <c r="F85" s="77" t="s">
        <v>58</v>
      </c>
      <c r="G85" s="77" t="s">
        <v>59</v>
      </c>
      <c r="H85" s="77" t="s">
        <v>74</v>
      </c>
      <c r="I85" s="102" t="s">
        <v>113</v>
      </c>
      <c r="J85" s="77" t="s">
        <v>62</v>
      </c>
      <c r="K85" s="77" t="s">
        <v>63</v>
      </c>
      <c r="L85" s="77" t="s">
        <v>76</v>
      </c>
      <c r="M85" s="77" t="s">
        <v>65</v>
      </c>
      <c r="N85" s="77" t="s">
        <v>77</v>
      </c>
      <c r="O85" s="77" t="s">
        <v>67</v>
      </c>
      <c r="P85" s="76" t="s">
        <v>78</v>
      </c>
      <c r="Q85" s="183" t="s">
        <v>79</v>
      </c>
      <c r="R85" s="110" t="s">
        <v>93</v>
      </c>
      <c r="S85" s="77">
        <v>2020</v>
      </c>
      <c r="T85" s="179">
        <v>1</v>
      </c>
      <c r="U85" s="180">
        <v>31649</v>
      </c>
      <c r="V85" s="180">
        <f>Table4[[#This Row],[Expected Revenue]]*Table4[[#This Row],[Probability]]</f>
        <v>31649</v>
      </c>
      <c r="W85" s="180">
        <f t="shared" si="1"/>
        <v>20800</v>
      </c>
      <c r="X85" s="179">
        <v>0.3</v>
      </c>
      <c r="Y85" s="180">
        <f>Table4[[#This Row],[Rev. Based on PROB]]*Table4[[#This Row],[Expected CMR]]</f>
        <v>9494.6999999999989</v>
      </c>
      <c r="Z85" s="203" t="s">
        <v>74</v>
      </c>
      <c r="AA85" s="77"/>
      <c r="AB85" s="77"/>
      <c r="AC85" s="180"/>
      <c r="AD85" s="220">
        <v>43830</v>
      </c>
      <c r="AE85" s="220">
        <v>43852</v>
      </c>
      <c r="AF85" s="220">
        <v>43861</v>
      </c>
      <c r="AG85" s="185">
        <v>31649</v>
      </c>
      <c r="AH85" s="185">
        <v>8725</v>
      </c>
      <c r="AI85" s="189" t="s">
        <v>132</v>
      </c>
      <c r="AJ85" s="185" t="s">
        <v>95</v>
      </c>
      <c r="AK85" s="979"/>
      <c r="AL85" s="180"/>
      <c r="AM85" s="77"/>
      <c r="AN85" s="77"/>
      <c r="AO85" s="110">
        <f>IF(Table4[[#This Row],[Finish (demob)]]&lt;&gt;"",Table4[[#This Row],[Finish (demob)]]+10,"")</f>
        <v>43862</v>
      </c>
      <c r="AP85" s="110">
        <f>IF(Table4[[#This Row],[Finish (demob)]]&lt;&gt;"",Table4[[#This Row],[Finish (demob)]]+10,"")</f>
        <v>43862</v>
      </c>
      <c r="AQ85" s="220"/>
      <c r="AR85" s="77" t="str">
        <f>IF(Table4[[#This Row],[Date Report is delivered:]]&lt;&gt;"", "Delivered", "")</f>
        <v/>
      </c>
      <c r="AS85" s="179"/>
      <c r="AT85" s="77"/>
      <c r="AU85" s="179"/>
      <c r="AV85" s="77"/>
      <c r="AW85" s="77"/>
    </row>
    <row r="86" spans="1:49" hidden="1">
      <c r="A86" s="173">
        <v>202014</v>
      </c>
      <c r="B86" s="75" t="s">
        <v>90</v>
      </c>
      <c r="C86" s="77" t="str">
        <f>CONCATENATE(Table4[[#This Row],[Project]],"-",Table4[[#This Row],[WO]])</f>
        <v>202014-04</v>
      </c>
      <c r="D86" s="76" t="s">
        <v>117</v>
      </c>
      <c r="E86" s="77" t="s">
        <v>57</v>
      </c>
      <c r="F86" s="77" t="s">
        <v>58</v>
      </c>
      <c r="G86" s="77" t="s">
        <v>59</v>
      </c>
      <c r="H86" s="77" t="s">
        <v>105</v>
      </c>
      <c r="I86" s="102" t="s">
        <v>96</v>
      </c>
      <c r="J86" s="77" t="s">
        <v>92</v>
      </c>
      <c r="K86" s="77" t="s">
        <v>63</v>
      </c>
      <c r="L86" s="77" t="s">
        <v>108</v>
      </c>
      <c r="M86" s="77" t="s">
        <v>65</v>
      </c>
      <c r="N86" s="77" t="s">
        <v>77</v>
      </c>
      <c r="O86" s="77" t="s">
        <v>67</v>
      </c>
      <c r="P86" s="76" t="s">
        <v>118</v>
      </c>
      <c r="Q86" s="183" t="s">
        <v>119</v>
      </c>
      <c r="R86" s="110" t="s">
        <v>89</v>
      </c>
      <c r="S86" s="77">
        <v>2020</v>
      </c>
      <c r="T86" s="179">
        <v>1</v>
      </c>
      <c r="U86" s="180">
        <v>18622.25</v>
      </c>
      <c r="V86" s="180">
        <f>Table4[[#This Row],[Expected Revenue]]*Table4[[#This Row],[Probability]]</f>
        <v>18622.25</v>
      </c>
      <c r="W86" s="180">
        <f t="shared" si="1"/>
        <v>20800</v>
      </c>
      <c r="X86" s="179">
        <v>0.3</v>
      </c>
      <c r="Y86" s="180">
        <f>Table4[[#This Row],[Rev. Based on PROB]]*Table4[[#This Row],[Expected CMR]]</f>
        <v>5586.6750000000002</v>
      </c>
      <c r="Z86" s="203" t="s">
        <v>105</v>
      </c>
      <c r="AA86" s="77"/>
      <c r="AB86" s="77"/>
      <c r="AC86" s="180"/>
      <c r="AD86" s="220"/>
      <c r="AE86" s="220"/>
      <c r="AF86" s="220"/>
      <c r="AG86" s="185"/>
      <c r="AH86" s="185"/>
      <c r="AI86" s="185"/>
      <c r="AJ86" s="185"/>
      <c r="AK86" s="979"/>
      <c r="AL86" s="180"/>
      <c r="AM86" s="77"/>
      <c r="AN86" s="77"/>
      <c r="AO86" s="110" t="str">
        <f>IF(Table4[[#This Row],[Finish (demob)]]&lt;&gt;"",Table4[[#This Row],[Finish (demob)]]+10,"")</f>
        <v/>
      </c>
      <c r="AP86" s="110" t="str">
        <f>IF(Table4[[#This Row],[Finish (demob)]]&lt;&gt;"",Table4[[#This Row],[Finish (demob)]]+10,"")</f>
        <v/>
      </c>
      <c r="AQ86" s="220"/>
      <c r="AR86" s="77" t="str">
        <f>IF(Table4[[#This Row],[Date Report is delivered:]]&lt;&gt;"", "Delivered", "")</f>
        <v/>
      </c>
      <c r="AS86" s="179"/>
      <c r="AT86" s="77"/>
      <c r="AU86" s="179"/>
      <c r="AV86" s="77"/>
      <c r="AW86" s="77"/>
    </row>
    <row r="87" spans="1:49" hidden="1">
      <c r="A87" s="173">
        <v>202014</v>
      </c>
      <c r="B87" s="75" t="s">
        <v>90</v>
      </c>
      <c r="C87" s="77" t="str">
        <f>CONCATENATE(Table4[[#This Row],[Project]],"-",Table4[[#This Row],[WO]])</f>
        <v>202014-04</v>
      </c>
      <c r="D87" s="76" t="s">
        <v>117</v>
      </c>
      <c r="E87" s="77" t="s">
        <v>57</v>
      </c>
      <c r="F87" s="77" t="s">
        <v>58</v>
      </c>
      <c r="G87" s="77" t="s">
        <v>59</v>
      </c>
      <c r="H87" s="77" t="s">
        <v>105</v>
      </c>
      <c r="I87" s="102" t="s">
        <v>97</v>
      </c>
      <c r="J87" s="77" t="s">
        <v>92</v>
      </c>
      <c r="K87" s="77" t="s">
        <v>63</v>
      </c>
      <c r="L87" s="77" t="s">
        <v>108</v>
      </c>
      <c r="M87" s="77" t="s">
        <v>65</v>
      </c>
      <c r="N87" s="77" t="s">
        <v>77</v>
      </c>
      <c r="O87" s="77" t="s">
        <v>67</v>
      </c>
      <c r="P87" s="76" t="s">
        <v>118</v>
      </c>
      <c r="Q87" s="183" t="s">
        <v>119</v>
      </c>
      <c r="R87" s="110" t="s">
        <v>84</v>
      </c>
      <c r="S87" s="77">
        <v>2020</v>
      </c>
      <c r="T87" s="179">
        <v>1</v>
      </c>
      <c r="U87" s="180">
        <v>18622.25</v>
      </c>
      <c r="V87" s="180">
        <f>Table4[[#This Row],[Expected Revenue]]*Table4[[#This Row],[Probability]]</f>
        <v>18622.25</v>
      </c>
      <c r="W87" s="180">
        <f t="shared" si="1"/>
        <v>20800</v>
      </c>
      <c r="X87" s="179">
        <v>0.3</v>
      </c>
      <c r="Y87" s="180">
        <f>Table4[[#This Row],[Rev. Based on PROB]]*Table4[[#This Row],[Expected CMR]]</f>
        <v>5586.6750000000002</v>
      </c>
      <c r="Z87" s="203" t="s">
        <v>105</v>
      </c>
      <c r="AA87" s="77"/>
      <c r="AB87" s="77"/>
      <c r="AC87" s="180"/>
      <c r="AD87" s="220"/>
      <c r="AE87" s="220"/>
      <c r="AF87" s="220"/>
      <c r="AG87" s="185"/>
      <c r="AH87" s="185"/>
      <c r="AI87" s="185"/>
      <c r="AJ87" s="185"/>
      <c r="AK87" s="182"/>
      <c r="AL87" s="180"/>
      <c r="AM87" s="77"/>
      <c r="AN87" s="77"/>
      <c r="AO87" s="110" t="str">
        <f>IF(Table4[[#This Row],[Finish (demob)]]&lt;&gt;"",Table4[[#This Row],[Finish (demob)]]+10,"")</f>
        <v/>
      </c>
      <c r="AP87" s="110" t="str">
        <f>IF(Table4[[#This Row],[Finish (demob)]]&lt;&gt;"",Table4[[#This Row],[Finish (demob)]]+10,"")</f>
        <v/>
      </c>
      <c r="AQ87" s="220"/>
      <c r="AR87" s="77" t="str">
        <f>IF(Table4[[#This Row],[Date Report is delivered:]]&lt;&gt;"", "Delivered", "")</f>
        <v/>
      </c>
      <c r="AS87" s="179"/>
      <c r="AT87" s="77"/>
      <c r="AU87" s="179"/>
      <c r="AV87" s="77"/>
      <c r="AW87" s="77"/>
    </row>
    <row r="88" spans="1:49" hidden="1">
      <c r="A88" s="173">
        <v>202014</v>
      </c>
      <c r="B88" s="75" t="s">
        <v>90</v>
      </c>
      <c r="C88" s="77" t="str">
        <f>CONCATENATE(Table4[[#This Row],[Project]],"-",Table4[[#This Row],[WO]])</f>
        <v>202014-04</v>
      </c>
      <c r="D88" s="76" t="s">
        <v>117</v>
      </c>
      <c r="E88" s="77" t="s">
        <v>57</v>
      </c>
      <c r="F88" s="77" t="s">
        <v>58</v>
      </c>
      <c r="G88" s="77" t="s">
        <v>59</v>
      </c>
      <c r="H88" s="77" t="s">
        <v>105</v>
      </c>
      <c r="I88" s="102" t="s">
        <v>101</v>
      </c>
      <c r="J88" s="77" t="s">
        <v>92</v>
      </c>
      <c r="K88" s="77" t="s">
        <v>63</v>
      </c>
      <c r="L88" s="77" t="s">
        <v>108</v>
      </c>
      <c r="M88" s="77" t="s">
        <v>65</v>
      </c>
      <c r="N88" s="77" t="s">
        <v>77</v>
      </c>
      <c r="O88" s="77" t="s">
        <v>67</v>
      </c>
      <c r="P88" s="76" t="s">
        <v>118</v>
      </c>
      <c r="Q88" s="183" t="s">
        <v>119</v>
      </c>
      <c r="R88" s="110" t="s">
        <v>102</v>
      </c>
      <c r="S88" s="77">
        <v>2020</v>
      </c>
      <c r="T88" s="179">
        <v>1</v>
      </c>
      <c r="U88" s="180">
        <v>18622.25</v>
      </c>
      <c r="V88" s="180">
        <f>Table4[[#This Row],[Expected Revenue]]*Table4[[#This Row],[Probability]]</f>
        <v>18622.25</v>
      </c>
      <c r="W88" s="180">
        <f t="shared" si="1"/>
        <v>20800</v>
      </c>
      <c r="X88" s="179">
        <v>0.3</v>
      </c>
      <c r="Y88" s="180">
        <f>Table4[[#This Row],[Rev. Based on PROB]]*Table4[[#This Row],[Expected CMR]]</f>
        <v>5586.6750000000002</v>
      </c>
      <c r="Z88" s="203" t="s">
        <v>105</v>
      </c>
      <c r="AA88" s="77"/>
      <c r="AB88" s="77"/>
      <c r="AC88" s="180"/>
      <c r="AD88" s="220"/>
      <c r="AE88" s="220"/>
      <c r="AF88" s="220"/>
      <c r="AG88" s="185"/>
      <c r="AH88" s="185"/>
      <c r="AI88" s="185"/>
      <c r="AJ88" s="185"/>
      <c r="AK88" s="979"/>
      <c r="AL88" s="180"/>
      <c r="AM88" s="77"/>
      <c r="AN88" s="77"/>
      <c r="AO88" s="110" t="str">
        <f>IF(Table4[[#This Row],[Finish (demob)]]&lt;&gt;"",Table4[[#This Row],[Finish (demob)]]+10,"")</f>
        <v/>
      </c>
      <c r="AP88" s="110" t="str">
        <f>IF(Table4[[#This Row],[Finish (demob)]]&lt;&gt;"",Table4[[#This Row],[Finish (demob)]]+10,"")</f>
        <v/>
      </c>
      <c r="AQ88" s="220"/>
      <c r="AR88" s="77" t="str">
        <f>IF(Table4[[#This Row],[Date Report is delivered:]]&lt;&gt;"", "Delivered", "")</f>
        <v/>
      </c>
      <c r="AS88" s="179"/>
      <c r="AT88" s="77"/>
      <c r="AU88" s="179"/>
      <c r="AV88" s="77"/>
      <c r="AW88" s="77"/>
    </row>
    <row r="89" spans="1:49" hidden="1">
      <c r="A89" s="173">
        <v>202015</v>
      </c>
      <c r="B89" s="75" t="s">
        <v>103</v>
      </c>
      <c r="C89" s="77" t="str">
        <f>CONCATENATE(Table4[[#This Row],[Project]],"-",Table4[[#This Row],[WO]])</f>
        <v>202015-01</v>
      </c>
      <c r="D89" s="76" t="s">
        <v>149</v>
      </c>
      <c r="E89" s="77" t="s">
        <v>57</v>
      </c>
      <c r="F89" s="77" t="s">
        <v>58</v>
      </c>
      <c r="G89" s="77" t="s">
        <v>59</v>
      </c>
      <c r="H89" s="77" t="s">
        <v>123</v>
      </c>
      <c r="I89" s="102" t="s">
        <v>106</v>
      </c>
      <c r="J89" s="77" t="s">
        <v>107</v>
      </c>
      <c r="K89" s="77" t="s">
        <v>63</v>
      </c>
      <c r="L89" s="77" t="s">
        <v>124</v>
      </c>
      <c r="M89" s="77" t="s">
        <v>65</v>
      </c>
      <c r="N89" s="77" t="s">
        <v>77</v>
      </c>
      <c r="O89" s="77" t="s">
        <v>67</v>
      </c>
      <c r="P89" s="76"/>
      <c r="Q89" s="183"/>
      <c r="R89" s="110" t="s">
        <v>93</v>
      </c>
      <c r="S89" s="77">
        <v>2020</v>
      </c>
      <c r="T89" s="179">
        <v>1</v>
      </c>
      <c r="U89" s="180">
        <v>58784</v>
      </c>
      <c r="V89" s="180">
        <f>Table4[[#This Row],[Expected Revenue]]*Table4[[#This Row],[Probability]]</f>
        <v>58784</v>
      </c>
      <c r="W89" s="180">
        <f t="shared" si="1"/>
        <v>20800</v>
      </c>
      <c r="X89" s="179">
        <v>0.3</v>
      </c>
      <c r="Y89" s="180">
        <f>Table4[[#This Row],[Rev. Based on PROB]]*Table4[[#This Row],[Expected CMR]]</f>
        <v>17635.2</v>
      </c>
      <c r="Z89" s="203" t="s">
        <v>123</v>
      </c>
      <c r="AA89" s="77"/>
      <c r="AB89" s="181"/>
      <c r="AC89" s="180"/>
      <c r="AD89" s="220"/>
      <c r="AE89" s="220"/>
      <c r="AF89" s="220"/>
      <c r="AG89" s="185"/>
      <c r="AH89" s="185"/>
      <c r="AI89" s="185"/>
      <c r="AJ89" s="185"/>
      <c r="AK89" s="182"/>
      <c r="AL89" s="180"/>
      <c r="AM89" s="77"/>
      <c r="AN89" s="77"/>
      <c r="AO89" s="110" t="str">
        <f>IF(Table4[[#This Row],[Finish (demob)]]&lt;&gt;"",Table4[[#This Row],[Finish (demob)]]+7,"")</f>
        <v/>
      </c>
      <c r="AP89" s="110" t="str">
        <f>IF(Table4[[#This Row],[Finish (demob)]]&lt;&gt;"",Table4[[#This Row],[Finish (demob)]]+10,"")</f>
        <v/>
      </c>
      <c r="AQ89" s="220"/>
      <c r="AR89" s="77" t="str">
        <f>IF(Table4[[#This Row],[Date Report is delivered:]]&lt;&gt;"", "Delivered", "")</f>
        <v/>
      </c>
      <c r="AS89" s="179"/>
      <c r="AT89" s="77"/>
      <c r="AU89" s="179"/>
      <c r="AV89" s="77"/>
      <c r="AW89" s="77"/>
    </row>
    <row r="90" spans="1:49" hidden="1">
      <c r="A90" s="173">
        <v>202015</v>
      </c>
      <c r="B90" s="75" t="s">
        <v>111</v>
      </c>
      <c r="C90" s="77" t="str">
        <f>CONCATENATE(Table4[[#This Row],[Project]],"-",Table4[[#This Row],[WO]])</f>
        <v>202015-02</v>
      </c>
      <c r="D90" s="76" t="s">
        <v>149</v>
      </c>
      <c r="E90" s="77" t="s">
        <v>57</v>
      </c>
      <c r="F90" s="77" t="s">
        <v>58</v>
      </c>
      <c r="G90" s="77" t="s">
        <v>59</v>
      </c>
      <c r="H90" s="77" t="s">
        <v>123</v>
      </c>
      <c r="I90" s="102" t="s">
        <v>112</v>
      </c>
      <c r="J90" s="77" t="s">
        <v>71</v>
      </c>
      <c r="K90" s="77" t="s">
        <v>63</v>
      </c>
      <c r="L90" s="77" t="s">
        <v>124</v>
      </c>
      <c r="M90" s="77" t="s">
        <v>65</v>
      </c>
      <c r="N90" s="77" t="s">
        <v>77</v>
      </c>
      <c r="O90" s="77" t="s">
        <v>67</v>
      </c>
      <c r="P90" s="76"/>
      <c r="Q90" s="183"/>
      <c r="R90" s="110" t="s">
        <v>93</v>
      </c>
      <c r="S90" s="77">
        <v>2020</v>
      </c>
      <c r="T90" s="179">
        <v>1</v>
      </c>
      <c r="U90" s="180">
        <v>30630</v>
      </c>
      <c r="V90" s="180">
        <f>Table4[[#This Row],[Expected Revenue]]*Table4[[#This Row],[Probability]]</f>
        <v>30630</v>
      </c>
      <c r="W90" s="180">
        <f t="shared" si="1"/>
        <v>20800</v>
      </c>
      <c r="X90" s="179">
        <v>0.3</v>
      </c>
      <c r="Y90" s="180">
        <f>Table4[[#This Row],[Rev. Based on PROB]]*Table4[[#This Row],[Expected CMR]]</f>
        <v>9189</v>
      </c>
      <c r="Z90" s="203" t="s">
        <v>123</v>
      </c>
      <c r="AA90" s="77"/>
      <c r="AB90" s="77"/>
      <c r="AC90" s="180"/>
      <c r="AD90" s="220"/>
      <c r="AE90" s="220"/>
      <c r="AF90" s="220"/>
      <c r="AG90" s="185"/>
      <c r="AH90" s="185"/>
      <c r="AI90" s="185"/>
      <c r="AJ90" s="185"/>
      <c r="AK90" s="979"/>
      <c r="AL90" s="180"/>
      <c r="AM90" s="77"/>
      <c r="AN90" s="77"/>
      <c r="AO90" s="110" t="str">
        <f>IF(Table4[[#This Row],[Finish (demob)]]&lt;&gt;"",Table4[[#This Row],[Finish (demob)]]+10,"")</f>
        <v/>
      </c>
      <c r="AP90" s="110" t="str">
        <f>IF(Table4[[#This Row],[Finish (demob)]]&lt;&gt;"",Table4[[#This Row],[Finish (demob)]]+10,"")</f>
        <v/>
      </c>
      <c r="AQ90" s="220"/>
      <c r="AR90" s="77" t="str">
        <f>IF(Table4[[#This Row],[Date Report is delivered:]]&lt;&gt;"", "Delivered", "")</f>
        <v/>
      </c>
      <c r="AS90" s="179"/>
      <c r="AT90" s="77"/>
      <c r="AU90" s="179"/>
      <c r="AV90" s="77"/>
      <c r="AW90" s="77"/>
    </row>
    <row r="91" spans="1:49" hidden="1">
      <c r="A91" s="173">
        <v>202015</v>
      </c>
      <c r="B91" s="75" t="s">
        <v>72</v>
      </c>
      <c r="C91" s="77" t="str">
        <f>CONCATENATE(Table4[[#This Row],[Project]],"-",Table4[[#This Row],[WO]])</f>
        <v>202015-07</v>
      </c>
      <c r="D91" s="76" t="s">
        <v>149</v>
      </c>
      <c r="E91" s="77" t="s">
        <v>57</v>
      </c>
      <c r="F91" s="77" t="s">
        <v>58</v>
      </c>
      <c r="G91" s="77" t="s">
        <v>59</v>
      </c>
      <c r="H91" s="77" t="s">
        <v>123</v>
      </c>
      <c r="I91" s="102" t="s">
        <v>75</v>
      </c>
      <c r="J91" s="77" t="s">
        <v>62</v>
      </c>
      <c r="K91" s="77" t="s">
        <v>63</v>
      </c>
      <c r="L91" s="77" t="s">
        <v>124</v>
      </c>
      <c r="M91" s="77" t="s">
        <v>65</v>
      </c>
      <c r="N91" s="77" t="s">
        <v>77</v>
      </c>
      <c r="O91" s="77" t="s">
        <v>67</v>
      </c>
      <c r="P91" s="76"/>
      <c r="Q91" s="183"/>
      <c r="R91" s="152" t="s">
        <v>80</v>
      </c>
      <c r="S91" s="77">
        <v>2020</v>
      </c>
      <c r="T91" s="179">
        <v>1</v>
      </c>
      <c r="U91" s="180">
        <v>10620</v>
      </c>
      <c r="V91" s="180">
        <f>Table4[[#This Row],[Expected Revenue]]*Table4[[#This Row],[Probability]]</f>
        <v>10620</v>
      </c>
      <c r="W91" s="180">
        <f t="shared" si="1"/>
        <v>20800</v>
      </c>
      <c r="X91" s="179">
        <v>0.3</v>
      </c>
      <c r="Y91" s="180">
        <f>Table4[[#This Row],[Rev. Based on PROB]]*Table4[[#This Row],[Expected CMR]]</f>
        <v>3186</v>
      </c>
      <c r="Z91" s="203" t="s">
        <v>123</v>
      </c>
      <c r="AA91" s="77"/>
      <c r="AB91" s="77"/>
      <c r="AC91" s="180"/>
      <c r="AD91" s="220"/>
      <c r="AE91" s="220"/>
      <c r="AF91" s="220"/>
      <c r="AG91" s="185"/>
      <c r="AH91" s="185"/>
      <c r="AI91" s="185"/>
      <c r="AJ91" s="185"/>
      <c r="AK91" s="979"/>
      <c r="AL91" s="180"/>
      <c r="AM91" s="77"/>
      <c r="AN91" s="77"/>
      <c r="AO91" s="110" t="str">
        <f>IF(Table4[[#This Row],[Finish (demob)]]&lt;&gt;"",Table4[[#This Row],[Finish (demob)]]+10,"")</f>
        <v/>
      </c>
      <c r="AP91" s="110" t="str">
        <f>IF(Table4[[#This Row],[Finish (demob)]]&lt;&gt;"",Table4[[#This Row],[Finish (demob)]]+10,"")</f>
        <v/>
      </c>
      <c r="AQ91" s="220"/>
      <c r="AR91" s="77" t="str">
        <f>IF(Table4[[#This Row],[Date Report is delivered:]]&lt;&gt;"", "Delivered", "")</f>
        <v/>
      </c>
      <c r="AS91" s="179"/>
      <c r="AT91" s="77"/>
      <c r="AU91" s="179"/>
      <c r="AV91" s="77"/>
      <c r="AW91" s="77"/>
    </row>
    <row r="92" spans="1:49" hidden="1">
      <c r="A92" s="173">
        <v>202015</v>
      </c>
      <c r="B92" s="75" t="s">
        <v>81</v>
      </c>
      <c r="C92" s="77" t="str">
        <f>CONCATENATE(Table4[[#This Row],[Project]],"-",Table4[[#This Row],[WO]])</f>
        <v>202015-06</v>
      </c>
      <c r="D92" s="76" t="s">
        <v>149</v>
      </c>
      <c r="E92" s="77" t="s">
        <v>57</v>
      </c>
      <c r="F92" s="77" t="s">
        <v>58</v>
      </c>
      <c r="G92" s="77" t="s">
        <v>59</v>
      </c>
      <c r="H92" s="77" t="s">
        <v>123</v>
      </c>
      <c r="I92" s="102" t="s">
        <v>82</v>
      </c>
      <c r="J92" s="77" t="s">
        <v>83</v>
      </c>
      <c r="K92" s="77" t="s">
        <v>63</v>
      </c>
      <c r="L92" s="77" t="s">
        <v>124</v>
      </c>
      <c r="M92" s="77" t="s">
        <v>65</v>
      </c>
      <c r="N92" s="77" t="s">
        <v>77</v>
      </c>
      <c r="O92" s="77" t="s">
        <v>67</v>
      </c>
      <c r="P92" s="76"/>
      <c r="Q92" s="183"/>
      <c r="R92" s="110" t="s">
        <v>84</v>
      </c>
      <c r="S92" s="77">
        <v>2020</v>
      </c>
      <c r="T92" s="179">
        <v>1</v>
      </c>
      <c r="U92" s="180">
        <v>17300</v>
      </c>
      <c r="V92" s="180">
        <f>Table4[[#This Row],[Expected Revenue]]*Table4[[#This Row],[Probability]]</f>
        <v>17300</v>
      </c>
      <c r="W92" s="180">
        <f t="shared" si="1"/>
        <v>20800</v>
      </c>
      <c r="X92" s="179">
        <v>0.3</v>
      </c>
      <c r="Y92" s="180">
        <f>Table4[[#This Row],[Rev. Based on PROB]]*Table4[[#This Row],[Expected CMR]]</f>
        <v>5190</v>
      </c>
      <c r="Z92" s="203" t="s">
        <v>123</v>
      </c>
      <c r="AA92" s="77"/>
      <c r="AB92" s="77"/>
      <c r="AC92" s="180"/>
      <c r="AD92" s="220"/>
      <c r="AE92" s="220"/>
      <c r="AF92" s="220"/>
      <c r="AG92" s="185"/>
      <c r="AH92" s="185"/>
      <c r="AI92" s="185"/>
      <c r="AJ92" s="185"/>
      <c r="AK92" s="979"/>
      <c r="AL92" s="180"/>
      <c r="AM92" s="77"/>
      <c r="AN92" s="77"/>
      <c r="AO92" s="110" t="str">
        <f>IF(Table4[[#This Row],[Finish (demob)]]&lt;&gt;"",Table4[[#This Row],[Finish (demob)]]+10,"")</f>
        <v/>
      </c>
      <c r="AP92" s="110" t="str">
        <f>IF(Table4[[#This Row],[Finish (demob)]]&lt;&gt;"",Table4[[#This Row],[Finish (demob)]]+10,"")</f>
        <v/>
      </c>
      <c r="AQ92" s="220"/>
      <c r="AR92" s="77" t="str">
        <f>IF(Table4[[#This Row],[Date Report is delivered:]]&lt;&gt;"", "Delivered", "")</f>
        <v/>
      </c>
      <c r="AS92" s="179"/>
      <c r="AT92" s="77"/>
      <c r="AU92" s="179"/>
      <c r="AV92" s="77"/>
      <c r="AW92" s="77"/>
    </row>
    <row r="93" spans="1:49" hidden="1">
      <c r="A93" s="173">
        <v>202015</v>
      </c>
      <c r="B93" s="75" t="s">
        <v>55</v>
      </c>
      <c r="C93" s="77" t="str">
        <f>CONCATENATE(Table4[[#This Row],[Project]],"-",Table4[[#This Row],[WO]])</f>
        <v>202015-03</v>
      </c>
      <c r="D93" s="76" t="s">
        <v>149</v>
      </c>
      <c r="E93" s="77" t="s">
        <v>57</v>
      </c>
      <c r="F93" s="77" t="s">
        <v>58</v>
      </c>
      <c r="G93" s="77" t="s">
        <v>59</v>
      </c>
      <c r="H93" s="77" t="s">
        <v>123</v>
      </c>
      <c r="I93" s="102" t="s">
        <v>113</v>
      </c>
      <c r="J93" s="77" t="s">
        <v>62</v>
      </c>
      <c r="K93" s="77" t="s">
        <v>63</v>
      </c>
      <c r="L93" s="77" t="s">
        <v>124</v>
      </c>
      <c r="M93" s="77" t="s">
        <v>65</v>
      </c>
      <c r="N93" s="77" t="s">
        <v>77</v>
      </c>
      <c r="O93" s="77" t="s">
        <v>67</v>
      </c>
      <c r="P93" s="76"/>
      <c r="Q93" s="183"/>
      <c r="R93" s="110" t="s">
        <v>93</v>
      </c>
      <c r="S93" s="77">
        <v>2020</v>
      </c>
      <c r="T93" s="179">
        <v>1</v>
      </c>
      <c r="U93" s="180">
        <v>31649</v>
      </c>
      <c r="V93" s="180">
        <f>Table4[[#This Row],[Expected Revenue]]*Table4[[#This Row],[Probability]]</f>
        <v>31649</v>
      </c>
      <c r="W93" s="180">
        <f t="shared" si="1"/>
        <v>20800</v>
      </c>
      <c r="X93" s="179">
        <v>0.3</v>
      </c>
      <c r="Y93" s="180">
        <f>Table4[[#This Row],[Rev. Based on PROB]]*Table4[[#This Row],[Expected CMR]]</f>
        <v>9494.6999999999989</v>
      </c>
      <c r="Z93" s="203" t="s">
        <v>123</v>
      </c>
      <c r="AA93" s="77"/>
      <c r="AB93" s="77"/>
      <c r="AC93" s="180"/>
      <c r="AD93" s="220"/>
      <c r="AE93" s="220"/>
      <c r="AF93" s="220"/>
      <c r="AG93" s="185"/>
      <c r="AH93" s="185"/>
      <c r="AI93" s="185"/>
      <c r="AJ93" s="185"/>
      <c r="AK93" s="979"/>
      <c r="AL93" s="180"/>
      <c r="AM93" s="77"/>
      <c r="AN93" s="77"/>
      <c r="AO93" s="110" t="str">
        <f>IF(Table4[[#This Row],[Finish (demob)]]&lt;&gt;"",Table4[[#This Row],[Finish (demob)]]+10,"")</f>
        <v/>
      </c>
      <c r="AP93" s="110" t="str">
        <f>IF(Table4[[#This Row],[Finish (demob)]]&lt;&gt;"",Table4[[#This Row],[Finish (demob)]]+10,"")</f>
        <v/>
      </c>
      <c r="AQ93" s="220"/>
      <c r="AR93" s="77" t="str">
        <f>IF(Table4[[#This Row],[Date Report is delivered:]]&lt;&gt;"", "Delivered", "")</f>
        <v/>
      </c>
      <c r="AS93" s="179"/>
      <c r="AT93" s="77"/>
      <c r="AU93" s="179"/>
      <c r="AV93" s="77"/>
      <c r="AW93" s="77"/>
    </row>
    <row r="94" spans="1:49" hidden="1">
      <c r="A94" s="173">
        <v>202015</v>
      </c>
      <c r="B94" s="75" t="s">
        <v>86</v>
      </c>
      <c r="C94" s="77" t="str">
        <f>CONCATENATE(Table4[[#This Row],[Project]],"-",Table4[[#This Row],[WO]])</f>
        <v>202015-05</v>
      </c>
      <c r="D94" s="76" t="s">
        <v>149</v>
      </c>
      <c r="E94" s="77" t="s">
        <v>57</v>
      </c>
      <c r="F94" s="77" t="s">
        <v>58</v>
      </c>
      <c r="G94" s="77" t="s">
        <v>59</v>
      </c>
      <c r="H94" s="77" t="s">
        <v>123</v>
      </c>
      <c r="I94" s="102" t="s">
        <v>87</v>
      </c>
      <c r="J94" s="77" t="s">
        <v>88</v>
      </c>
      <c r="K94" s="77" t="s">
        <v>63</v>
      </c>
      <c r="L94" s="77" t="s">
        <v>124</v>
      </c>
      <c r="M94" s="77" t="s">
        <v>65</v>
      </c>
      <c r="N94" s="77" t="s">
        <v>77</v>
      </c>
      <c r="O94" s="77" t="s">
        <v>67</v>
      </c>
      <c r="P94" s="76"/>
      <c r="Q94" s="183"/>
      <c r="R94" s="110" t="s">
        <v>89</v>
      </c>
      <c r="S94" s="77">
        <v>2020</v>
      </c>
      <c r="T94" s="179">
        <v>1</v>
      </c>
      <c r="U94" s="180">
        <v>27538</v>
      </c>
      <c r="V94" s="180">
        <f>Table4[[#This Row],[Expected Revenue]]*Table4[[#This Row],[Probability]]</f>
        <v>27538</v>
      </c>
      <c r="W94" s="180">
        <f t="shared" si="1"/>
        <v>20800</v>
      </c>
      <c r="X94" s="179">
        <v>0.3</v>
      </c>
      <c r="Y94" s="180">
        <f>Table4[[#This Row],[Rev. Based on PROB]]*Table4[[#This Row],[Expected CMR]]</f>
        <v>8261.4</v>
      </c>
      <c r="Z94" s="203" t="s">
        <v>123</v>
      </c>
      <c r="AA94" s="77"/>
      <c r="AB94" s="181"/>
      <c r="AC94" s="180"/>
      <c r="AD94" s="220"/>
      <c r="AE94" s="220"/>
      <c r="AF94" s="220"/>
      <c r="AG94" s="185"/>
      <c r="AH94" s="185"/>
      <c r="AI94" s="185"/>
      <c r="AJ94" s="185"/>
      <c r="AK94" s="979"/>
      <c r="AL94" s="180"/>
      <c r="AM94" s="77"/>
      <c r="AN94" s="77"/>
      <c r="AO94" s="110" t="str">
        <f>IF(Table4[[#This Row],[Finish (demob)]]&lt;&gt;"",Table4[[#This Row],[Finish (demob)]]+10,"")</f>
        <v/>
      </c>
      <c r="AP94" s="110" t="str">
        <f>IF(Table4[[#This Row],[Finish (demob)]]&lt;&gt;"",Table4[[#This Row],[Finish (demob)]]+10,"")</f>
        <v/>
      </c>
      <c r="AQ94" s="220"/>
      <c r="AR94" s="77" t="str">
        <f>IF(Table4[[#This Row],[Date Report is delivered:]]&lt;&gt;"", "Delivered", "")</f>
        <v/>
      </c>
      <c r="AS94" s="179"/>
      <c r="AT94" s="77"/>
      <c r="AU94" s="179"/>
      <c r="AV94" s="77"/>
      <c r="AW94" s="77"/>
    </row>
    <row r="95" spans="1:49" hidden="1">
      <c r="A95" s="173">
        <v>202015</v>
      </c>
      <c r="B95" s="75" t="s">
        <v>90</v>
      </c>
      <c r="C95" s="77" t="str">
        <f>CONCATENATE(Table4[[#This Row],[Project]],"-",Table4[[#This Row],[WO]])</f>
        <v>202015-04</v>
      </c>
      <c r="D95" s="76" t="s">
        <v>149</v>
      </c>
      <c r="E95" s="77" t="s">
        <v>57</v>
      </c>
      <c r="F95" s="77" t="s">
        <v>58</v>
      </c>
      <c r="G95" s="77" t="s">
        <v>59</v>
      </c>
      <c r="H95" s="77" t="s">
        <v>123</v>
      </c>
      <c r="I95" s="102" t="s">
        <v>91</v>
      </c>
      <c r="J95" s="77" t="s">
        <v>92</v>
      </c>
      <c r="K95" s="77" t="s">
        <v>63</v>
      </c>
      <c r="L95" s="77" t="s">
        <v>124</v>
      </c>
      <c r="M95" s="77" t="s">
        <v>65</v>
      </c>
      <c r="N95" s="77" t="s">
        <v>77</v>
      </c>
      <c r="O95" s="77" t="s">
        <v>67</v>
      </c>
      <c r="P95" s="76"/>
      <c r="Q95" s="183"/>
      <c r="R95" s="110" t="s">
        <v>93</v>
      </c>
      <c r="S95" s="77">
        <v>2020</v>
      </c>
      <c r="T95" s="179">
        <v>1</v>
      </c>
      <c r="U95" s="180">
        <v>18622.25</v>
      </c>
      <c r="V95" s="180">
        <f>Table4[[#This Row],[Expected Revenue]]*Table4[[#This Row],[Probability]]</f>
        <v>18622.25</v>
      </c>
      <c r="W95" s="180">
        <f t="shared" si="1"/>
        <v>20800</v>
      </c>
      <c r="X95" s="179">
        <v>0.3</v>
      </c>
      <c r="Y95" s="180">
        <f>Table4[[#This Row],[Rev. Based on PROB]]*Table4[[#This Row],[Expected CMR]]</f>
        <v>5586.6750000000002</v>
      </c>
      <c r="Z95" s="203" t="s">
        <v>123</v>
      </c>
      <c r="AA95" s="77"/>
      <c r="AB95" s="77"/>
      <c r="AC95" s="180"/>
      <c r="AD95" s="220"/>
      <c r="AE95" s="220"/>
      <c r="AF95" s="220"/>
      <c r="AG95" s="185"/>
      <c r="AH95" s="185"/>
      <c r="AI95" s="185"/>
      <c r="AJ95" s="185"/>
      <c r="AK95" s="979"/>
      <c r="AL95" s="180"/>
      <c r="AM95" s="77"/>
      <c r="AN95" s="77"/>
      <c r="AO95" s="110" t="str">
        <f>IF(Table4[[#This Row],[Finish (demob)]]&lt;&gt;"",Table4[[#This Row],[Finish (demob)]]+10,"")</f>
        <v/>
      </c>
      <c r="AP95" s="110" t="str">
        <f>IF(Table4[[#This Row],[Finish (demob)]]&lt;&gt;"",Table4[[#This Row],[Finish (demob)]]+10,"")</f>
        <v/>
      </c>
      <c r="AQ95" s="220"/>
      <c r="AR95" s="77" t="str">
        <f>IF(Table4[[#This Row],[Date Report is delivered:]]&lt;&gt;"", "Delivered", "")</f>
        <v/>
      </c>
      <c r="AS95" s="179"/>
      <c r="AT95" s="77"/>
      <c r="AU95" s="179"/>
      <c r="AV95" s="77"/>
      <c r="AW95" s="77"/>
    </row>
    <row r="96" spans="1:49" hidden="1">
      <c r="A96" s="173">
        <v>202015</v>
      </c>
      <c r="B96" s="75" t="s">
        <v>90</v>
      </c>
      <c r="C96" s="77" t="str">
        <f>CONCATENATE(Table4[[#This Row],[Project]],"-",Table4[[#This Row],[WO]])</f>
        <v>202015-04</v>
      </c>
      <c r="D96" s="76" t="s">
        <v>149</v>
      </c>
      <c r="E96" s="77" t="s">
        <v>57</v>
      </c>
      <c r="F96" s="77" t="s">
        <v>58</v>
      </c>
      <c r="G96" s="77" t="s">
        <v>59</v>
      </c>
      <c r="H96" s="77" t="s">
        <v>123</v>
      </c>
      <c r="I96" s="102" t="s">
        <v>96</v>
      </c>
      <c r="J96" s="77" t="s">
        <v>92</v>
      </c>
      <c r="K96" s="77" t="s">
        <v>63</v>
      </c>
      <c r="L96" s="77" t="s">
        <v>124</v>
      </c>
      <c r="M96" s="77" t="s">
        <v>65</v>
      </c>
      <c r="N96" s="77" t="s">
        <v>77</v>
      </c>
      <c r="O96" s="77" t="s">
        <v>67</v>
      </c>
      <c r="P96" s="76"/>
      <c r="Q96" s="183"/>
      <c r="R96" s="110" t="s">
        <v>89</v>
      </c>
      <c r="S96" s="77">
        <v>2020</v>
      </c>
      <c r="T96" s="179">
        <v>1</v>
      </c>
      <c r="U96" s="180">
        <v>18622.25</v>
      </c>
      <c r="V96" s="180">
        <f>Table4[[#This Row],[Expected Revenue]]*Table4[[#This Row],[Probability]]</f>
        <v>18622.25</v>
      </c>
      <c r="W96" s="180">
        <f t="shared" si="1"/>
        <v>20800</v>
      </c>
      <c r="X96" s="179">
        <v>0.3</v>
      </c>
      <c r="Y96" s="180">
        <f>Table4[[#This Row],[Rev. Based on PROB]]*Table4[[#This Row],[Expected CMR]]</f>
        <v>5586.6750000000002</v>
      </c>
      <c r="Z96" s="203" t="s">
        <v>123</v>
      </c>
      <c r="AA96" s="77"/>
      <c r="AB96" s="77"/>
      <c r="AC96" s="180"/>
      <c r="AD96" s="220"/>
      <c r="AE96" s="220"/>
      <c r="AF96" s="220"/>
      <c r="AG96" s="185"/>
      <c r="AH96" s="185"/>
      <c r="AI96" s="185"/>
      <c r="AJ96" s="185"/>
      <c r="AK96" s="979"/>
      <c r="AL96" s="180"/>
      <c r="AM96" s="77"/>
      <c r="AN96" s="77"/>
      <c r="AO96" s="110" t="str">
        <f>IF(Table4[[#This Row],[Finish (demob)]]&lt;&gt;"",Table4[[#This Row],[Finish (demob)]]+10,"")</f>
        <v/>
      </c>
      <c r="AP96" s="110" t="str">
        <f>IF(Table4[[#This Row],[Finish (demob)]]&lt;&gt;"",Table4[[#This Row],[Finish (demob)]]+10,"")</f>
        <v/>
      </c>
      <c r="AQ96" s="220"/>
      <c r="AR96" s="77" t="str">
        <f>IF(Table4[[#This Row],[Date Report is delivered:]]&lt;&gt;"", "Delivered", "")</f>
        <v/>
      </c>
      <c r="AS96" s="179"/>
      <c r="AT96" s="77"/>
      <c r="AU96" s="179"/>
      <c r="AV96" s="77"/>
      <c r="AW96" s="77"/>
    </row>
    <row r="97" spans="1:49" hidden="1">
      <c r="A97" s="173">
        <v>202015</v>
      </c>
      <c r="B97" s="75" t="s">
        <v>90</v>
      </c>
      <c r="C97" s="77" t="str">
        <f>CONCATENATE(Table4[[#This Row],[Project]],"-",Table4[[#This Row],[WO]])</f>
        <v>202015-04</v>
      </c>
      <c r="D97" s="76" t="s">
        <v>149</v>
      </c>
      <c r="E97" s="77" t="s">
        <v>57</v>
      </c>
      <c r="F97" s="77" t="s">
        <v>58</v>
      </c>
      <c r="G97" s="77" t="s">
        <v>59</v>
      </c>
      <c r="H97" s="77" t="s">
        <v>123</v>
      </c>
      <c r="I97" s="102" t="s">
        <v>97</v>
      </c>
      <c r="J97" s="77" t="s">
        <v>92</v>
      </c>
      <c r="K97" s="77" t="s">
        <v>63</v>
      </c>
      <c r="L97" s="77" t="s">
        <v>124</v>
      </c>
      <c r="M97" s="77" t="s">
        <v>65</v>
      </c>
      <c r="N97" s="77" t="s">
        <v>77</v>
      </c>
      <c r="O97" s="77" t="s">
        <v>67</v>
      </c>
      <c r="P97" s="76"/>
      <c r="Q97" s="183"/>
      <c r="R97" s="110" t="s">
        <v>84</v>
      </c>
      <c r="S97" s="77">
        <v>2020</v>
      </c>
      <c r="T97" s="179">
        <v>1</v>
      </c>
      <c r="U97" s="180">
        <v>18622.25</v>
      </c>
      <c r="V97" s="180">
        <f>Table4[[#This Row],[Expected Revenue]]*Table4[[#This Row],[Probability]]</f>
        <v>18622.25</v>
      </c>
      <c r="W97" s="180">
        <f t="shared" si="1"/>
        <v>20800</v>
      </c>
      <c r="X97" s="179">
        <v>0.3</v>
      </c>
      <c r="Y97" s="180">
        <f>Table4[[#This Row],[Rev. Based on PROB]]*Table4[[#This Row],[Expected CMR]]</f>
        <v>5586.6750000000002</v>
      </c>
      <c r="Z97" s="203" t="s">
        <v>123</v>
      </c>
      <c r="AA97" s="77"/>
      <c r="AB97" s="77"/>
      <c r="AC97" s="180"/>
      <c r="AD97" s="220"/>
      <c r="AE97" s="220"/>
      <c r="AF97" s="220"/>
      <c r="AG97" s="185"/>
      <c r="AH97" s="185"/>
      <c r="AI97" s="185"/>
      <c r="AJ97" s="185"/>
      <c r="AK97" s="182"/>
      <c r="AL97" s="180"/>
      <c r="AM97" s="77"/>
      <c r="AN97" s="77"/>
      <c r="AO97" s="110" t="str">
        <f>IF(Table4[[#This Row],[Finish (demob)]]&lt;&gt;"",Table4[[#This Row],[Finish (demob)]]+10,"")</f>
        <v/>
      </c>
      <c r="AP97" s="110" t="str">
        <f>IF(Table4[[#This Row],[Finish (demob)]]&lt;&gt;"",Table4[[#This Row],[Finish (demob)]]+10,"")</f>
        <v/>
      </c>
      <c r="AQ97" s="220"/>
      <c r="AR97" s="77" t="str">
        <f>IF(Table4[[#This Row],[Date Report is delivered:]]&lt;&gt;"", "Delivered", "")</f>
        <v/>
      </c>
      <c r="AS97" s="179"/>
      <c r="AT97" s="77"/>
      <c r="AU97" s="179"/>
      <c r="AV97" s="77"/>
      <c r="AW97" s="77"/>
    </row>
    <row r="98" spans="1:49" hidden="1">
      <c r="A98" s="173">
        <v>202015</v>
      </c>
      <c r="B98" s="75" t="s">
        <v>90</v>
      </c>
      <c r="C98" s="77" t="str">
        <f>CONCATENATE(Table4[[#This Row],[Project]],"-",Table4[[#This Row],[WO]])</f>
        <v>202015-04</v>
      </c>
      <c r="D98" s="76" t="s">
        <v>149</v>
      </c>
      <c r="E98" s="77" t="s">
        <v>57</v>
      </c>
      <c r="F98" s="77" t="s">
        <v>58</v>
      </c>
      <c r="G98" s="77" t="s">
        <v>59</v>
      </c>
      <c r="H98" s="77" t="s">
        <v>123</v>
      </c>
      <c r="I98" s="102" t="s">
        <v>101</v>
      </c>
      <c r="J98" s="77" t="s">
        <v>92</v>
      </c>
      <c r="K98" s="77" t="s">
        <v>63</v>
      </c>
      <c r="L98" s="77" t="s">
        <v>124</v>
      </c>
      <c r="M98" s="77" t="s">
        <v>65</v>
      </c>
      <c r="N98" s="77" t="s">
        <v>77</v>
      </c>
      <c r="O98" s="77" t="s">
        <v>67</v>
      </c>
      <c r="P98" s="76"/>
      <c r="Q98" s="183"/>
      <c r="R98" s="110" t="s">
        <v>102</v>
      </c>
      <c r="S98" s="77">
        <v>2020</v>
      </c>
      <c r="T98" s="179">
        <v>1</v>
      </c>
      <c r="U98" s="180">
        <v>18622.25</v>
      </c>
      <c r="V98" s="180">
        <f>Table4[[#This Row],[Expected Revenue]]*Table4[[#This Row],[Probability]]</f>
        <v>18622.25</v>
      </c>
      <c r="W98" s="180">
        <f t="shared" si="1"/>
        <v>20800</v>
      </c>
      <c r="X98" s="179">
        <v>0.3</v>
      </c>
      <c r="Y98" s="180">
        <f>Table4[[#This Row],[Rev. Based on PROB]]*Table4[[#This Row],[Expected CMR]]</f>
        <v>5586.6750000000002</v>
      </c>
      <c r="Z98" s="203" t="s">
        <v>123</v>
      </c>
      <c r="AA98" s="77"/>
      <c r="AB98" s="77"/>
      <c r="AC98" s="180"/>
      <c r="AD98" s="220"/>
      <c r="AE98" s="220"/>
      <c r="AF98" s="220"/>
      <c r="AG98" s="185"/>
      <c r="AH98" s="185"/>
      <c r="AI98" s="185"/>
      <c r="AJ98" s="185"/>
      <c r="AK98" s="979"/>
      <c r="AL98" s="180"/>
      <c r="AM98" s="77"/>
      <c r="AN98" s="77"/>
      <c r="AO98" s="110" t="str">
        <f>IF(Table4[[#This Row],[Finish (demob)]]&lt;&gt;"",Table4[[#This Row],[Finish (demob)]]+10,"")</f>
        <v/>
      </c>
      <c r="AP98" s="110" t="str">
        <f>IF(Table4[[#This Row],[Finish (demob)]]&lt;&gt;"",Table4[[#This Row],[Finish (demob)]]+10,"")</f>
        <v/>
      </c>
      <c r="AQ98" s="220"/>
      <c r="AR98" s="77" t="str">
        <f>IF(Table4[[#This Row],[Date Report is delivered:]]&lt;&gt;"", "Delivered", "")</f>
        <v/>
      </c>
      <c r="AS98" s="179"/>
      <c r="AT98" s="77"/>
      <c r="AU98" s="179"/>
      <c r="AV98" s="77"/>
      <c r="AW98" s="77"/>
    </row>
    <row r="99" spans="1:49" hidden="1">
      <c r="A99" s="173">
        <v>619030</v>
      </c>
      <c r="B99" s="75" t="s">
        <v>55</v>
      </c>
      <c r="C99" s="77" t="str">
        <f>CONCATENATE(Table4[[#This Row],[Project]],"-",Table4[[#This Row],[WO]])</f>
        <v>619030-03</v>
      </c>
      <c r="D99" s="76" t="s">
        <v>150</v>
      </c>
      <c r="E99" s="77" t="s">
        <v>151</v>
      </c>
      <c r="F99" s="77" t="s">
        <v>58</v>
      </c>
      <c r="G99" s="77" t="s">
        <v>59</v>
      </c>
      <c r="H99" s="77" t="s">
        <v>60</v>
      </c>
      <c r="I99" s="102" t="s">
        <v>152</v>
      </c>
      <c r="J99" s="77" t="s">
        <v>92</v>
      </c>
      <c r="K99" s="77" t="s">
        <v>63</v>
      </c>
      <c r="L99" s="77" t="s">
        <v>64</v>
      </c>
      <c r="M99" s="77" t="s">
        <v>65</v>
      </c>
      <c r="N99" s="77" t="s">
        <v>77</v>
      </c>
      <c r="O99" s="77" t="s">
        <v>67</v>
      </c>
      <c r="P99" s="76"/>
      <c r="Q99" s="178"/>
      <c r="R99" s="110" t="s">
        <v>93</v>
      </c>
      <c r="S99" s="77">
        <v>2020</v>
      </c>
      <c r="T99" s="179">
        <v>1</v>
      </c>
      <c r="U99" s="180">
        <v>137300</v>
      </c>
      <c r="V99" s="180">
        <f>Table4[[#This Row],[Expected Revenue]]*Table4[[#This Row],[Probability]]</f>
        <v>137300</v>
      </c>
      <c r="W99" s="180">
        <f t="shared" si="1"/>
        <v>20800</v>
      </c>
      <c r="X99" s="179">
        <v>0.3</v>
      </c>
      <c r="Y99" s="180">
        <f>Table4[[#This Row],[Rev. Based on PROB]]*Table4[[#This Row],[Expected CMR]]</f>
        <v>41190</v>
      </c>
      <c r="Z99" s="203" t="s">
        <v>105</v>
      </c>
      <c r="AA99" s="77"/>
      <c r="AB99" s="181"/>
      <c r="AC99" s="180"/>
      <c r="AD99" s="220">
        <v>43837</v>
      </c>
      <c r="AE99" s="220"/>
      <c r="AF99" s="220">
        <v>43861</v>
      </c>
      <c r="AG99" s="185">
        <v>226391</v>
      </c>
      <c r="AH99" s="185">
        <f>111850+10000</f>
        <v>121850</v>
      </c>
      <c r="AI99" s="189" t="s">
        <v>132</v>
      </c>
      <c r="AJ99" s="185" t="s">
        <v>153</v>
      </c>
      <c r="AK99" s="182"/>
      <c r="AL99" s="180"/>
      <c r="AM99" s="77"/>
      <c r="AN99" s="77"/>
      <c r="AO99" s="110" t="str">
        <f>IF(Table4[[#This Row],[Finish (demob)]]&lt;&gt;"",Table4[[#This Row],[Finish (demob)]]+10,"")</f>
        <v/>
      </c>
      <c r="AP99" s="110" t="str">
        <f>IF(Table4[[#This Row],[Finish (demob)]]&lt;&gt;"",Table4[[#This Row],[Finish (demob)]]+10,"")</f>
        <v/>
      </c>
      <c r="AQ99" s="220"/>
      <c r="AR99" s="77" t="str">
        <f>IF(Table4[[#This Row],[Date Report is delivered:]]&lt;&gt;"", "Delivered", "")</f>
        <v/>
      </c>
      <c r="AS99" s="179"/>
      <c r="AT99" s="77"/>
      <c r="AU99" s="179"/>
      <c r="AV99" s="77"/>
      <c r="AW99" s="77"/>
    </row>
    <row r="100" spans="1:49" hidden="1">
      <c r="A100" s="173">
        <v>202009</v>
      </c>
      <c r="B100" s="75" t="s">
        <v>69</v>
      </c>
      <c r="C100" s="77" t="str">
        <f>CONCATENATE(Table4[[#This Row],[Project]],"-",Table4[[#This Row],[WO]])</f>
        <v>202009-12</v>
      </c>
      <c r="D100" s="76" t="s">
        <v>122</v>
      </c>
      <c r="E100" s="77" t="s">
        <v>57</v>
      </c>
      <c r="F100" s="77" t="s">
        <v>58</v>
      </c>
      <c r="G100" s="77" t="s">
        <v>59</v>
      </c>
      <c r="H100" s="77" t="s">
        <v>123</v>
      </c>
      <c r="I100" s="102" t="s">
        <v>154</v>
      </c>
      <c r="J100" s="77" t="s">
        <v>92</v>
      </c>
      <c r="K100" s="77" t="s">
        <v>63</v>
      </c>
      <c r="L100" s="77" t="s">
        <v>124</v>
      </c>
      <c r="M100" s="77" t="s">
        <v>65</v>
      </c>
      <c r="N100" s="77" t="s">
        <v>77</v>
      </c>
      <c r="O100" s="77" t="s">
        <v>67</v>
      </c>
      <c r="P100" s="76"/>
      <c r="Q100" s="183"/>
      <c r="R100" s="110" t="s">
        <v>93</v>
      </c>
      <c r="S100" s="77">
        <v>2020</v>
      </c>
      <c r="T100" s="179">
        <v>1</v>
      </c>
      <c r="U100" s="180">
        <v>10000</v>
      </c>
      <c r="V100" s="180">
        <f>Table4[[#This Row],[Expected Revenue]]*Table4[[#This Row],[Probability]]</f>
        <v>10000</v>
      </c>
      <c r="W100" s="180">
        <f t="shared" si="1"/>
        <v>20800</v>
      </c>
      <c r="X100" s="179">
        <v>0.3</v>
      </c>
      <c r="Y100" s="180">
        <f>Table4[[#This Row],[Rev. Based on PROB]]*Table4[[#This Row],[Expected CMR]]</f>
        <v>3000</v>
      </c>
      <c r="Z100" s="203" t="s">
        <v>123</v>
      </c>
      <c r="AA100" s="77"/>
      <c r="AB100" s="77"/>
      <c r="AC100" s="180"/>
      <c r="AD100" s="220">
        <v>43851</v>
      </c>
      <c r="AE100" s="220"/>
      <c r="AF100" s="220">
        <v>43861</v>
      </c>
      <c r="AG100" s="185">
        <v>1750</v>
      </c>
      <c r="AH100" s="185">
        <v>1160</v>
      </c>
      <c r="AI100" s="189" t="s">
        <v>132</v>
      </c>
      <c r="AJ100" s="187" t="s">
        <v>155</v>
      </c>
      <c r="AK100" s="979"/>
      <c r="AL100" s="180"/>
      <c r="AM100" s="77"/>
      <c r="AN100" s="77"/>
      <c r="AO100" s="110" t="str">
        <f>IF(Table4[[#This Row],[Finish (demob)]]&lt;&gt;"",Table4[[#This Row],[Finish (demob)]]+10,"")</f>
        <v/>
      </c>
      <c r="AP100" s="110" t="str">
        <f>IF(Table4[[#This Row],[Finish (demob)]]&lt;&gt;"",Table4[[#This Row],[Finish (demob)]]+10,"")</f>
        <v/>
      </c>
      <c r="AQ100" s="220"/>
      <c r="AR100" s="77" t="str">
        <f>IF(Table4[[#This Row],[Date Report is delivered:]]&lt;&gt;"", "Delivered", "")</f>
        <v/>
      </c>
      <c r="AS100" s="179"/>
      <c r="AT100" s="77"/>
      <c r="AU100" s="179"/>
      <c r="AV100" s="77"/>
      <c r="AW100" s="77"/>
    </row>
    <row r="101" spans="1:49" s="186" customFormat="1" hidden="1">
      <c r="A101" s="173">
        <v>619052</v>
      </c>
      <c r="B101" s="75" t="s">
        <v>103</v>
      </c>
      <c r="C101" s="77" t="str">
        <f>CONCATENATE(Table4[[#This Row],[Project]],"-",Table4[[#This Row],[WO]])</f>
        <v>619052-01</v>
      </c>
      <c r="D101" s="76" t="s">
        <v>156</v>
      </c>
      <c r="E101" s="77" t="s">
        <v>157</v>
      </c>
      <c r="F101" s="77" t="s">
        <v>158</v>
      </c>
      <c r="G101" s="77" t="s">
        <v>59</v>
      </c>
      <c r="H101" s="77" t="s">
        <v>159</v>
      </c>
      <c r="I101" s="102" t="s">
        <v>160</v>
      </c>
      <c r="J101" s="77" t="s">
        <v>92</v>
      </c>
      <c r="K101" s="77" t="s">
        <v>63</v>
      </c>
      <c r="L101" s="77" t="s">
        <v>161</v>
      </c>
      <c r="M101" s="77" t="s">
        <v>65</v>
      </c>
      <c r="N101" s="77" t="s">
        <v>77</v>
      </c>
      <c r="O101" s="77" t="s">
        <v>67</v>
      </c>
      <c r="P101" s="76" t="s">
        <v>162</v>
      </c>
      <c r="Q101" s="183" t="s">
        <v>163</v>
      </c>
      <c r="R101" s="110" t="s">
        <v>93</v>
      </c>
      <c r="S101" s="77">
        <v>2020</v>
      </c>
      <c r="T101" s="179">
        <v>1</v>
      </c>
      <c r="U101" s="180">
        <v>100000</v>
      </c>
      <c r="V101" s="180">
        <f>Table4[[#This Row],[Expected Revenue]]*Table4[[#This Row],[Probability]]</f>
        <v>100000</v>
      </c>
      <c r="W101" s="180">
        <f t="shared" si="1"/>
        <v>20800</v>
      </c>
      <c r="X101" s="179">
        <v>0.3</v>
      </c>
      <c r="Y101" s="180">
        <f>Table4[[#This Row],[Rev. Based on PROB]]*Table4[[#This Row],[Expected CMR]]</f>
        <v>30000</v>
      </c>
      <c r="Z101" s="203" t="s">
        <v>159</v>
      </c>
      <c r="AA101" s="77"/>
      <c r="AB101" s="77"/>
      <c r="AC101" s="180"/>
      <c r="AD101" s="220">
        <v>43826</v>
      </c>
      <c r="AE101" s="220"/>
      <c r="AF101" s="220">
        <v>43861</v>
      </c>
      <c r="AG101" s="185">
        <v>200000</v>
      </c>
      <c r="AH101" s="185">
        <v>29000</v>
      </c>
      <c r="AI101" s="189" t="s">
        <v>132</v>
      </c>
      <c r="AJ101" s="185" t="s">
        <v>164</v>
      </c>
      <c r="AK101" s="182"/>
      <c r="AL101" s="180"/>
      <c r="AM101" s="77"/>
      <c r="AN101" s="77"/>
      <c r="AO101" s="110" t="str">
        <f>IF(Table4[[#This Row],[Finish (demob)]]&lt;&gt;"",Table4[[#This Row],[Finish (demob)]]+10,"")</f>
        <v/>
      </c>
      <c r="AP101" s="110" t="str">
        <f>IF(Table4[[#This Row],[Finish (demob)]]&lt;&gt;"",Table4[[#This Row],[Finish (demob)]]+10,"")</f>
        <v/>
      </c>
      <c r="AQ101" s="220"/>
      <c r="AR101" s="77" t="str">
        <f>IF(Table4[[#This Row],[Date Report is delivered:]]&lt;&gt;"", "Delivered", "")</f>
        <v/>
      </c>
      <c r="AS101" s="179"/>
      <c r="AT101" s="77"/>
      <c r="AU101" s="179"/>
      <c r="AV101" s="77"/>
      <c r="AW101" s="77"/>
    </row>
    <row r="102" spans="1:49" s="186" customFormat="1" hidden="1">
      <c r="A102" s="173">
        <v>202011</v>
      </c>
      <c r="B102" s="75" t="s">
        <v>69</v>
      </c>
      <c r="C102" s="77" t="str">
        <f>CONCATENATE(Table4[[#This Row],[Project]],"-",Table4[[#This Row],[WO]])</f>
        <v>202011-12</v>
      </c>
      <c r="D102" s="76" t="s">
        <v>137</v>
      </c>
      <c r="E102" s="77" t="s">
        <v>57</v>
      </c>
      <c r="F102" s="77" t="s">
        <v>58</v>
      </c>
      <c r="G102" s="77" t="s">
        <v>59</v>
      </c>
      <c r="H102" s="77" t="s">
        <v>123</v>
      </c>
      <c r="I102" s="102" t="s">
        <v>165</v>
      </c>
      <c r="J102" s="77" t="s">
        <v>135</v>
      </c>
      <c r="K102" s="77" t="s">
        <v>63</v>
      </c>
      <c r="L102" s="77" t="s">
        <v>124</v>
      </c>
      <c r="M102" s="77" t="s">
        <v>65</v>
      </c>
      <c r="N102" s="77" t="s">
        <v>77</v>
      </c>
      <c r="O102" s="77" t="s">
        <v>67</v>
      </c>
      <c r="P102" s="76"/>
      <c r="Q102" s="183"/>
      <c r="R102" s="110" t="s">
        <v>93</v>
      </c>
      <c r="S102" s="77">
        <v>2020</v>
      </c>
      <c r="T102" s="179">
        <v>1</v>
      </c>
      <c r="U102" s="180">
        <v>6000</v>
      </c>
      <c r="V102" s="180">
        <f>Table4[[#This Row],[Expected Revenue]]*Table4[[#This Row],[Probability]]</f>
        <v>6000</v>
      </c>
      <c r="W102" s="180"/>
      <c r="X102" s="179">
        <v>0.3</v>
      </c>
      <c r="Y102" s="180">
        <f>Table4[[#This Row],[Rev. Based on PROB]]*Table4[[#This Row],[Expected CMR]]</f>
        <v>1800</v>
      </c>
      <c r="Z102" s="203" t="s">
        <v>105</v>
      </c>
      <c r="AA102" s="77"/>
      <c r="AB102" s="77"/>
      <c r="AC102" s="180"/>
      <c r="AD102" s="220">
        <v>43859</v>
      </c>
      <c r="AE102" s="220">
        <v>43861</v>
      </c>
      <c r="AF102" s="220">
        <v>43861</v>
      </c>
      <c r="AG102" s="185">
        <v>6145</v>
      </c>
      <c r="AH102" s="185">
        <v>3847</v>
      </c>
      <c r="AI102" s="189" t="s">
        <v>132</v>
      </c>
      <c r="AJ102" s="185" t="s">
        <v>166</v>
      </c>
      <c r="AK102" s="979"/>
      <c r="AL102" s="180"/>
      <c r="AM102" s="77"/>
      <c r="AN102" s="77"/>
      <c r="AO102" s="110">
        <f>IF(Table4[[#This Row],[Finish (demob)]]&lt;&gt;"",Table4[[#This Row],[Finish (demob)]]+10,"")</f>
        <v>43871</v>
      </c>
      <c r="AP102" s="110">
        <f>IF(Table4[[#This Row],[Finish (demob)]]&lt;&gt;"",Table4[[#This Row],[Finish (demob)]]+10,"")</f>
        <v>43871</v>
      </c>
      <c r="AQ102" s="220"/>
      <c r="AR102" s="77" t="str">
        <f>IF(Table4[[#This Row],[Date Report is delivered:]]&lt;&gt;"", "Delivered", "")</f>
        <v/>
      </c>
      <c r="AS102" s="179"/>
      <c r="AT102" s="77"/>
      <c r="AU102" s="179"/>
      <c r="AV102" s="77"/>
      <c r="AW102" s="77"/>
    </row>
    <row r="103" spans="1:49" s="186" customFormat="1" hidden="1">
      <c r="A103" s="173">
        <v>202009</v>
      </c>
      <c r="B103" s="75" t="s">
        <v>90</v>
      </c>
      <c r="C103" s="77" t="str">
        <f>CONCATENATE(Table4[[#This Row],[Project]],"-",Table4[[#This Row],[WO]])</f>
        <v>202009-04</v>
      </c>
      <c r="D103" s="76" t="s">
        <v>122</v>
      </c>
      <c r="E103" s="77" t="s">
        <v>57</v>
      </c>
      <c r="F103" s="77" t="s">
        <v>58</v>
      </c>
      <c r="G103" s="77" t="s">
        <v>59</v>
      </c>
      <c r="H103" s="77" t="s">
        <v>123</v>
      </c>
      <c r="I103" s="102" t="s">
        <v>91</v>
      </c>
      <c r="J103" s="77" t="s">
        <v>92</v>
      </c>
      <c r="K103" s="77" t="s">
        <v>63</v>
      </c>
      <c r="L103" s="77" t="s">
        <v>124</v>
      </c>
      <c r="M103" s="77" t="s">
        <v>65</v>
      </c>
      <c r="N103" s="77" t="s">
        <v>77</v>
      </c>
      <c r="O103" s="77" t="s">
        <v>67</v>
      </c>
      <c r="P103" s="76"/>
      <c r="Q103" s="183"/>
      <c r="R103" s="110" t="s">
        <v>93</v>
      </c>
      <c r="S103" s="77">
        <v>2020</v>
      </c>
      <c r="T103" s="179">
        <v>1</v>
      </c>
      <c r="U103" s="180">
        <v>18622.25</v>
      </c>
      <c r="V103" s="180">
        <f>Table4[[#This Row],[Expected Revenue]]*Table4[[#This Row],[Probability]]</f>
        <v>18622.25</v>
      </c>
      <c r="W103" s="180">
        <f t="shared" si="1"/>
        <v>20800</v>
      </c>
      <c r="X103" s="179">
        <v>0.3</v>
      </c>
      <c r="Y103" s="180">
        <f>Table4[[#This Row],[Rev. Based on PROB]]*Table4[[#This Row],[Expected CMR]]</f>
        <v>5586.6750000000002</v>
      </c>
      <c r="Z103" s="203" t="s">
        <v>123</v>
      </c>
      <c r="AA103" s="77"/>
      <c r="AB103" s="77"/>
      <c r="AC103" s="180"/>
      <c r="AD103" s="220">
        <v>43851</v>
      </c>
      <c r="AE103" s="220"/>
      <c r="AF103" s="220">
        <v>43861</v>
      </c>
      <c r="AG103" s="185">
        <v>32000</v>
      </c>
      <c r="AH103" s="185">
        <v>16068</v>
      </c>
      <c r="AI103" s="189" t="s">
        <v>132</v>
      </c>
      <c r="AJ103" s="185" t="s">
        <v>167</v>
      </c>
      <c r="AK103" s="979"/>
      <c r="AL103" s="180"/>
      <c r="AM103" s="77"/>
      <c r="AN103" s="77"/>
      <c r="AO103" s="110" t="str">
        <f>IF(Table4[[#This Row],[Finish (demob)]]&lt;&gt;"",Table4[[#This Row],[Finish (demob)]]+10,"")</f>
        <v/>
      </c>
      <c r="AP103" s="110" t="str">
        <f>IF(Table4[[#This Row],[Finish (demob)]]&lt;&gt;"",Table4[[#This Row],[Finish (demob)]]+10,"")</f>
        <v/>
      </c>
      <c r="AQ103" s="220"/>
      <c r="AR103" s="77" t="str">
        <f>IF(Table4[[#This Row],[Date Report is delivered:]]&lt;&gt;"", "Delivered", "")</f>
        <v/>
      </c>
      <c r="AS103" s="179"/>
      <c r="AT103" s="77"/>
      <c r="AU103" s="179"/>
      <c r="AV103" s="77"/>
      <c r="AW103" s="77"/>
    </row>
    <row r="104" spans="1:49" s="186" customFormat="1" hidden="1">
      <c r="A104" s="173">
        <v>202009</v>
      </c>
      <c r="B104" s="75" t="s">
        <v>103</v>
      </c>
      <c r="C104" s="77" t="str">
        <f>CONCATENATE(Table4[[#This Row],[Project]],"-",Table4[[#This Row],[WO]])</f>
        <v>202009-01</v>
      </c>
      <c r="D104" s="76" t="s">
        <v>122</v>
      </c>
      <c r="E104" s="77" t="s">
        <v>57</v>
      </c>
      <c r="F104" s="77" t="s">
        <v>58</v>
      </c>
      <c r="G104" s="77" t="s">
        <v>59</v>
      </c>
      <c r="H104" s="77" t="s">
        <v>123</v>
      </c>
      <c r="I104" s="102" t="s">
        <v>106</v>
      </c>
      <c r="J104" s="77" t="s">
        <v>107</v>
      </c>
      <c r="K104" s="77" t="s">
        <v>63</v>
      </c>
      <c r="L104" s="77" t="s">
        <v>124</v>
      </c>
      <c r="M104" s="77" t="s">
        <v>65</v>
      </c>
      <c r="N104" s="77" t="s">
        <v>77</v>
      </c>
      <c r="O104" s="77" t="s">
        <v>67</v>
      </c>
      <c r="P104" s="76"/>
      <c r="Q104" s="183"/>
      <c r="R104" s="110" t="s">
        <v>93</v>
      </c>
      <c r="S104" s="77">
        <v>2020</v>
      </c>
      <c r="T104" s="179">
        <v>1</v>
      </c>
      <c r="U104" s="180">
        <v>58784</v>
      </c>
      <c r="V104" s="180">
        <f>Table4[[#This Row],[Expected Revenue]]*Table4[[#This Row],[Probability]]</f>
        <v>58784</v>
      </c>
      <c r="W104" s="180">
        <f t="shared" si="1"/>
        <v>20800</v>
      </c>
      <c r="X104" s="179">
        <v>0.3</v>
      </c>
      <c r="Y104" s="180">
        <f>Table4[[#This Row],[Rev. Based on PROB]]*Table4[[#This Row],[Expected CMR]]</f>
        <v>17635.2</v>
      </c>
      <c r="Z104" s="203" t="s">
        <v>123</v>
      </c>
      <c r="AA104" s="77"/>
      <c r="AB104" s="181"/>
      <c r="AC104" s="180"/>
      <c r="AD104" s="220">
        <v>43859</v>
      </c>
      <c r="AE104" s="220"/>
      <c r="AF104" s="220">
        <v>43861</v>
      </c>
      <c r="AG104" s="185">
        <v>4408</v>
      </c>
      <c r="AH104" s="185">
        <v>2574</v>
      </c>
      <c r="AI104" s="189" t="s">
        <v>168</v>
      </c>
      <c r="AJ104" s="185" t="s">
        <v>169</v>
      </c>
      <c r="AK104" s="182"/>
      <c r="AL104" s="180"/>
      <c r="AM104" s="77"/>
      <c r="AN104" s="77"/>
      <c r="AO104" s="110" t="str">
        <f>IF(Table4[[#This Row],[Finish (demob)]]&lt;&gt;"",Table4[[#This Row],[Finish (demob)]]+7,"")</f>
        <v/>
      </c>
      <c r="AP104" s="110" t="str">
        <f>IF(Table4[[#This Row],[Finish (demob)]]&lt;&gt;"",Table4[[#This Row],[Finish (demob)]]+10,"")</f>
        <v/>
      </c>
      <c r="AQ104" s="220"/>
      <c r="AR104" s="77" t="str">
        <f>IF(Table4[[#This Row],[Date Report is delivered:]]&lt;&gt;"", "Delivered", "")</f>
        <v/>
      </c>
      <c r="AS104" s="179"/>
      <c r="AT104" s="77"/>
      <c r="AU104" s="179"/>
      <c r="AV104" s="77"/>
      <c r="AW104" s="77"/>
    </row>
    <row r="105" spans="1:49" hidden="1">
      <c r="A105" s="173">
        <v>202003</v>
      </c>
      <c r="B105" s="75" t="s">
        <v>111</v>
      </c>
      <c r="C105" s="77" t="str">
        <f>CONCATENATE(Table4[[#This Row],[Project]],"-",Table4[[#This Row],[WO]])</f>
        <v>202003-02</v>
      </c>
      <c r="D105" s="76" t="s">
        <v>73</v>
      </c>
      <c r="E105" s="77" t="s">
        <v>57</v>
      </c>
      <c r="F105" s="77" t="s">
        <v>58</v>
      </c>
      <c r="G105" s="77" t="s">
        <v>59</v>
      </c>
      <c r="H105" s="77" t="s">
        <v>74</v>
      </c>
      <c r="I105" s="102" t="s">
        <v>112</v>
      </c>
      <c r="J105" s="77" t="s">
        <v>71</v>
      </c>
      <c r="K105" s="77" t="s">
        <v>63</v>
      </c>
      <c r="L105" s="77" t="s">
        <v>76</v>
      </c>
      <c r="M105" s="77" t="s">
        <v>65</v>
      </c>
      <c r="N105" s="77" t="s">
        <v>77</v>
      </c>
      <c r="O105" s="77" t="s">
        <v>67</v>
      </c>
      <c r="P105" s="76" t="s">
        <v>78</v>
      </c>
      <c r="Q105" s="183" t="s">
        <v>79</v>
      </c>
      <c r="R105" s="110" t="s">
        <v>93</v>
      </c>
      <c r="S105" s="77">
        <v>2020</v>
      </c>
      <c r="T105" s="179">
        <v>1</v>
      </c>
      <c r="U105" s="180">
        <v>30630</v>
      </c>
      <c r="V105" s="180">
        <f>Table4[[#This Row],[Expected Revenue]]*Table4[[#This Row],[Probability]]</f>
        <v>30630</v>
      </c>
      <c r="W105" s="180">
        <f t="shared" si="1"/>
        <v>20800</v>
      </c>
      <c r="X105" s="179">
        <v>0.3</v>
      </c>
      <c r="Y105" s="180">
        <f>Table4[[#This Row],[Rev. Based on PROB]]*Table4[[#This Row],[Expected CMR]]</f>
        <v>9189</v>
      </c>
      <c r="Z105" s="203" t="s">
        <v>74</v>
      </c>
      <c r="AA105" s="77"/>
      <c r="AB105" s="77"/>
      <c r="AC105" s="180"/>
      <c r="AD105" s="220">
        <v>43830</v>
      </c>
      <c r="AE105" s="220">
        <v>43852</v>
      </c>
      <c r="AF105" s="220">
        <v>43861</v>
      </c>
      <c r="AG105" s="185">
        <v>30630</v>
      </c>
      <c r="AH105" s="185">
        <v>8625</v>
      </c>
      <c r="AI105" s="189" t="s">
        <v>170</v>
      </c>
      <c r="AJ105" s="185" t="s">
        <v>95</v>
      </c>
      <c r="AK105" s="979"/>
      <c r="AL105" s="180"/>
      <c r="AM105" s="77"/>
      <c r="AN105" s="77"/>
      <c r="AO105" s="110">
        <f>IF(Table4[[#This Row],[Finish (demob)]]&lt;&gt;"",Table4[[#This Row],[Finish (demob)]]+10,"")</f>
        <v>43862</v>
      </c>
      <c r="AP105" s="110">
        <f>IF(Table4[[#This Row],[Finish (demob)]]&lt;&gt;"",Table4[[#This Row],[Finish (demob)]]+10,"")</f>
        <v>43862</v>
      </c>
      <c r="AQ105" s="220"/>
      <c r="AR105" s="77" t="str">
        <f>IF(Table4[[#This Row],[Date Report is delivered:]]&lt;&gt;"", "Delivered", "")</f>
        <v/>
      </c>
      <c r="AS105" s="179"/>
      <c r="AT105" s="77"/>
      <c r="AU105" s="179"/>
      <c r="AV105" s="77"/>
      <c r="AW105" s="77"/>
    </row>
    <row r="106" spans="1:49" hidden="1">
      <c r="A106" s="173">
        <v>618034</v>
      </c>
      <c r="B106" s="75" t="s">
        <v>103</v>
      </c>
      <c r="C106" s="77" t="str">
        <f>CONCATENATE(Table4[[#This Row],[Project]],"-",Table4[[#This Row],[WO]])</f>
        <v>618034-01</v>
      </c>
      <c r="D106" s="76" t="s">
        <v>171</v>
      </c>
      <c r="E106" s="77" t="s">
        <v>172</v>
      </c>
      <c r="F106" s="77" t="s">
        <v>158</v>
      </c>
      <c r="G106" s="77" t="s">
        <v>59</v>
      </c>
      <c r="H106" s="77" t="s">
        <v>105</v>
      </c>
      <c r="I106" s="102" t="s">
        <v>173</v>
      </c>
      <c r="J106" s="77" t="s">
        <v>174</v>
      </c>
      <c r="K106" s="77" t="s">
        <v>63</v>
      </c>
      <c r="L106" s="77" t="s">
        <v>108</v>
      </c>
      <c r="M106" s="77" t="s">
        <v>65</v>
      </c>
      <c r="N106" s="77" t="s">
        <v>77</v>
      </c>
      <c r="O106" s="77" t="s">
        <v>67</v>
      </c>
      <c r="P106" s="76"/>
      <c r="Q106" s="178"/>
      <c r="R106" s="110" t="s">
        <v>68</v>
      </c>
      <c r="S106" s="77">
        <v>2019</v>
      </c>
      <c r="T106" s="179">
        <v>1</v>
      </c>
      <c r="U106" s="180">
        <v>36685</v>
      </c>
      <c r="V106" s="180">
        <f>Table4[[#This Row],[Expected Revenue]]*Table4[[#This Row],[Probability]]</f>
        <v>36685</v>
      </c>
      <c r="W106" s="180">
        <f t="shared" si="1"/>
        <v>20800</v>
      </c>
      <c r="X106" s="179">
        <v>0.3</v>
      </c>
      <c r="Y106" s="180">
        <f>Table4[[#This Row],[Rev. Based on PROB]]*Table4[[#This Row],[Expected CMR]]</f>
        <v>11005.5</v>
      </c>
      <c r="Z106" s="203" t="s">
        <v>105</v>
      </c>
      <c r="AA106" s="77"/>
      <c r="AB106" s="181"/>
      <c r="AC106" s="180"/>
      <c r="AD106" s="220"/>
      <c r="AE106" s="220"/>
      <c r="AF106" s="220">
        <v>43830</v>
      </c>
      <c r="AG106" s="185">
        <v>36685</v>
      </c>
      <c r="AH106" s="185">
        <v>0</v>
      </c>
      <c r="AI106" s="189"/>
      <c r="AJ106" s="185"/>
      <c r="AK106" s="182"/>
      <c r="AL106" s="180"/>
      <c r="AM106" s="77"/>
      <c r="AN106" s="77"/>
      <c r="AO106" s="110" t="str">
        <f>IF(Table4[[#This Row],[Finish (demob)]]&lt;&gt;"",Table4[[#This Row],[Finish (demob)]]+10,"")</f>
        <v/>
      </c>
      <c r="AP106" s="110" t="str">
        <f>IF(Table4[[#This Row],[Finish (demob)]]&lt;&gt;"",Table4[[#This Row],[Finish (demob)]]+10,"")</f>
        <v/>
      </c>
      <c r="AQ106" s="220"/>
      <c r="AR106" s="77" t="str">
        <f>IF(Table4[[#This Row],[Date Report is delivered:]]&lt;&gt;"", "Delivered", "")</f>
        <v/>
      </c>
      <c r="AS106" s="179"/>
      <c r="AT106" s="77"/>
      <c r="AU106" s="179"/>
      <c r="AV106" s="77"/>
      <c r="AW106" s="77"/>
    </row>
    <row r="107" spans="1:49" s="186" customFormat="1" hidden="1">
      <c r="A107" s="173">
        <v>671011</v>
      </c>
      <c r="B107" s="75" t="s">
        <v>175</v>
      </c>
      <c r="C107" s="77" t="str">
        <f>CONCATENATE(Table4[[#This Row],[Project]],"-",Table4[[#This Row],[WO]])</f>
        <v>671011-20</v>
      </c>
      <c r="D107" s="76" t="s">
        <v>176</v>
      </c>
      <c r="E107" s="77"/>
      <c r="F107" s="77"/>
      <c r="G107" s="77"/>
      <c r="H107" s="77" t="s">
        <v>105</v>
      </c>
      <c r="I107" s="102" t="s">
        <v>177</v>
      </c>
      <c r="J107" s="77" t="s">
        <v>92</v>
      </c>
      <c r="K107" s="77"/>
      <c r="L107" s="77"/>
      <c r="M107" s="77"/>
      <c r="N107" s="77"/>
      <c r="O107" s="77"/>
      <c r="P107" s="76"/>
      <c r="Q107" s="178"/>
      <c r="R107" s="110" t="s">
        <v>93</v>
      </c>
      <c r="S107" s="77"/>
      <c r="T107" s="179"/>
      <c r="U107" s="180"/>
      <c r="V107" s="180">
        <f>Table4[[#This Row],[Expected Revenue]]*Table4[[#This Row],[Probability]]</f>
        <v>0</v>
      </c>
      <c r="W107" s="180">
        <f t="shared" si="1"/>
        <v>20800</v>
      </c>
      <c r="X107" s="179"/>
      <c r="Y107" s="180">
        <f>Table4[[#This Row],[Rev. Based on PROB]]*Table4[[#This Row],[Expected CMR]]</f>
        <v>0</v>
      </c>
      <c r="Z107" s="203" t="s">
        <v>105</v>
      </c>
      <c r="AA107" s="77"/>
      <c r="AB107" s="181"/>
      <c r="AC107" s="180"/>
      <c r="AD107" s="220"/>
      <c r="AE107" s="220"/>
      <c r="AF107" s="220"/>
      <c r="AG107" s="185"/>
      <c r="AH107" s="185">
        <f>3500</f>
        <v>3500</v>
      </c>
      <c r="AI107" s="185"/>
      <c r="AJ107" s="185" t="s">
        <v>178</v>
      </c>
      <c r="AK107" s="182"/>
      <c r="AL107" s="180"/>
      <c r="AM107" s="77"/>
      <c r="AN107" s="77"/>
      <c r="AO107" s="110" t="str">
        <f>IF(Table4[[#This Row],[Finish (demob)]]&lt;&gt;"",Table4[[#This Row],[Finish (demob)]]+10,"")</f>
        <v/>
      </c>
      <c r="AP107" s="110" t="str">
        <f>IF(Table4[[#This Row],[Finish (demob)]]&lt;&gt;"",Table4[[#This Row],[Finish (demob)]]+10,"")</f>
        <v/>
      </c>
      <c r="AQ107" s="220"/>
      <c r="AR107" s="77" t="str">
        <f>IF(Table4[[#This Row],[Date Report is delivered:]]&lt;&gt;"", "Delivered", "")</f>
        <v/>
      </c>
      <c r="AS107" s="179"/>
      <c r="AT107" s="77"/>
      <c r="AU107" s="179"/>
      <c r="AV107" s="77"/>
      <c r="AW107" s="77"/>
    </row>
    <row r="108" spans="1:49" s="186" customFormat="1" hidden="1">
      <c r="A108" s="173">
        <v>672000</v>
      </c>
      <c r="B108" s="75" t="s">
        <v>103</v>
      </c>
      <c r="C108" s="77" t="str">
        <f>CONCATENATE(Table4[[#This Row],[Project]],"-",Table4[[#This Row],[WO]])</f>
        <v>672000-01</v>
      </c>
      <c r="D108" s="76" t="s">
        <v>179</v>
      </c>
      <c r="E108" s="77"/>
      <c r="F108" s="77"/>
      <c r="G108" s="77"/>
      <c r="H108" s="77" t="s">
        <v>105</v>
      </c>
      <c r="I108" s="102" t="s">
        <v>180</v>
      </c>
      <c r="J108" s="77" t="s">
        <v>62</v>
      </c>
      <c r="K108" s="77"/>
      <c r="L108" s="77"/>
      <c r="M108" s="77"/>
      <c r="N108" s="77"/>
      <c r="O108" s="77"/>
      <c r="P108" s="76"/>
      <c r="Q108" s="178"/>
      <c r="R108" s="110" t="s">
        <v>93</v>
      </c>
      <c r="S108" s="77"/>
      <c r="T108" s="179"/>
      <c r="U108" s="180"/>
      <c r="V108" s="180">
        <f>Table4[[#This Row],[Expected Revenue]]*Table4[[#This Row],[Probability]]</f>
        <v>0</v>
      </c>
      <c r="W108" s="180">
        <f t="shared" si="1"/>
        <v>20800</v>
      </c>
      <c r="X108" s="179"/>
      <c r="Y108" s="180">
        <f>Table4[[#This Row],[Rev. Based on PROB]]*Table4[[#This Row],[Expected CMR]]</f>
        <v>0</v>
      </c>
      <c r="Z108" s="203" t="s">
        <v>105</v>
      </c>
      <c r="AA108" s="77"/>
      <c r="AB108" s="181"/>
      <c r="AC108" s="180"/>
      <c r="AD108" s="220"/>
      <c r="AE108" s="220"/>
      <c r="AF108" s="220"/>
      <c r="AG108" s="185"/>
      <c r="AH108" s="185"/>
      <c r="AI108" s="185"/>
      <c r="AJ108" s="185"/>
      <c r="AK108" s="182"/>
      <c r="AL108" s="180"/>
      <c r="AM108" s="77"/>
      <c r="AN108" s="77"/>
      <c r="AO108" s="110" t="str">
        <f>IF(Table4[[#This Row],[Finish (demob)]]&lt;&gt;"",Table4[[#This Row],[Finish (demob)]]+10,"")</f>
        <v/>
      </c>
      <c r="AP108" s="110" t="str">
        <f>IF(Table4[[#This Row],[Finish (demob)]]&lt;&gt;"",Table4[[#This Row],[Finish (demob)]]+10,"")</f>
        <v/>
      </c>
      <c r="AQ108" s="220"/>
      <c r="AR108" s="77" t="str">
        <f>IF(Table4[[#This Row],[Date Report is delivered:]]&lt;&gt;"", "Delivered", "")</f>
        <v/>
      </c>
      <c r="AS108" s="179"/>
      <c r="AT108" s="77"/>
      <c r="AU108" s="179"/>
      <c r="AV108" s="77"/>
      <c r="AW108" s="77"/>
    </row>
    <row r="109" spans="1:49" s="186" customFormat="1" hidden="1">
      <c r="A109" s="173">
        <v>672002</v>
      </c>
      <c r="B109" s="75" t="s">
        <v>103</v>
      </c>
      <c r="C109" s="77" t="str">
        <f>CONCATENATE(Table4[[#This Row],[Project]],"-",Table4[[#This Row],[WO]])</f>
        <v>672002-01</v>
      </c>
      <c r="D109" s="76"/>
      <c r="E109" s="77"/>
      <c r="F109" s="77"/>
      <c r="G109" s="77"/>
      <c r="H109" s="77"/>
      <c r="I109" s="102"/>
      <c r="J109" s="77"/>
      <c r="K109" s="77"/>
      <c r="L109" s="77"/>
      <c r="M109" s="77"/>
      <c r="N109" s="77"/>
      <c r="O109" s="77"/>
      <c r="P109" s="76"/>
      <c r="Q109" s="178"/>
      <c r="R109" s="110"/>
      <c r="S109" s="77"/>
      <c r="T109" s="179"/>
      <c r="U109" s="180"/>
      <c r="V109" s="180">
        <f>Table4[[#This Row],[Expected Revenue]]*Table4[[#This Row],[Probability]]</f>
        <v>0</v>
      </c>
      <c r="W109" s="180">
        <f t="shared" si="1"/>
        <v>20800</v>
      </c>
      <c r="X109" s="179"/>
      <c r="Y109" s="180">
        <f>Table4[[#This Row],[Rev. Based on PROB]]*Table4[[#This Row],[Expected CMR]]</f>
        <v>0</v>
      </c>
      <c r="Z109" s="203"/>
      <c r="AA109" s="77"/>
      <c r="AB109" s="181"/>
      <c r="AC109" s="180"/>
      <c r="AD109" s="220"/>
      <c r="AE109" s="220"/>
      <c r="AF109" s="220"/>
      <c r="AG109" s="185"/>
      <c r="AH109" s="185"/>
      <c r="AI109" s="185"/>
      <c r="AJ109" s="185"/>
      <c r="AK109" s="182"/>
      <c r="AL109" s="180"/>
      <c r="AM109" s="77"/>
      <c r="AN109" s="77"/>
      <c r="AO109" s="110" t="str">
        <f>IF(Table4[[#This Row],[Finish (demob)]]&lt;&gt;"",Table4[[#This Row],[Finish (demob)]]+10,"")</f>
        <v/>
      </c>
      <c r="AP109" s="110" t="str">
        <f>IF(Table4[[#This Row],[Finish (demob)]]&lt;&gt;"",Table4[[#This Row],[Finish (demob)]]+10,"")</f>
        <v/>
      </c>
      <c r="AQ109" s="220"/>
      <c r="AR109" s="77" t="str">
        <f>IF(Table4[[#This Row],[Date Report is delivered:]]&lt;&gt;"", "Delivered", "")</f>
        <v/>
      </c>
      <c r="AS109" s="179"/>
      <c r="AT109" s="77"/>
      <c r="AU109" s="179"/>
      <c r="AV109" s="77"/>
      <c r="AW109" s="77"/>
    </row>
    <row r="110" spans="1:49" s="186" customFormat="1" hidden="1">
      <c r="A110" s="173">
        <v>672003</v>
      </c>
      <c r="B110" s="75" t="s">
        <v>103</v>
      </c>
      <c r="C110" s="77" t="str">
        <f>CONCATENATE(Table4[[#This Row],[Project]],"-",Table4[[#This Row],[WO]])</f>
        <v>672003-01</v>
      </c>
      <c r="D110" s="76" t="s">
        <v>181</v>
      </c>
      <c r="E110" s="77"/>
      <c r="F110" s="77"/>
      <c r="G110" s="77"/>
      <c r="H110" s="77" t="s">
        <v>105</v>
      </c>
      <c r="I110" s="102" t="s">
        <v>180</v>
      </c>
      <c r="J110" s="77" t="s">
        <v>62</v>
      </c>
      <c r="K110" s="77"/>
      <c r="L110" s="77"/>
      <c r="M110" s="77"/>
      <c r="N110" s="77"/>
      <c r="O110" s="77"/>
      <c r="P110" s="76"/>
      <c r="Q110" s="178"/>
      <c r="R110" s="110" t="s">
        <v>93</v>
      </c>
      <c r="S110" s="77"/>
      <c r="T110" s="179"/>
      <c r="U110" s="180"/>
      <c r="V110" s="180">
        <f>Table4[[#This Row],[Expected Revenue]]*Table4[[#This Row],[Probability]]</f>
        <v>0</v>
      </c>
      <c r="W110" s="180">
        <f t="shared" si="1"/>
        <v>20800</v>
      </c>
      <c r="X110" s="179"/>
      <c r="Y110" s="180">
        <f>Table4[[#This Row],[Rev. Based on PROB]]*Table4[[#This Row],[Expected CMR]]</f>
        <v>0</v>
      </c>
      <c r="Z110" s="203" t="s">
        <v>105</v>
      </c>
      <c r="AA110" s="77"/>
      <c r="AB110" s="181"/>
      <c r="AC110" s="180"/>
      <c r="AD110" s="220"/>
      <c r="AE110" s="220"/>
      <c r="AF110" s="220"/>
      <c r="AG110" s="185"/>
      <c r="AH110" s="185"/>
      <c r="AI110" s="185"/>
      <c r="AJ110" s="185"/>
      <c r="AK110" s="182"/>
      <c r="AL110" s="180"/>
      <c r="AM110" s="77"/>
      <c r="AN110" s="77"/>
      <c r="AO110" s="110" t="str">
        <f>IF(Table4[[#This Row],[Finish (demob)]]&lt;&gt;"",Table4[[#This Row],[Finish (demob)]]+10,"")</f>
        <v/>
      </c>
      <c r="AP110" s="110" t="str">
        <f>IF(Table4[[#This Row],[Finish (demob)]]&lt;&gt;"",Table4[[#This Row],[Finish (demob)]]+10,"")</f>
        <v/>
      </c>
      <c r="AQ110" s="220"/>
      <c r="AR110" s="77" t="str">
        <f>IF(Table4[[#This Row],[Date Report is delivered:]]&lt;&gt;"", "Delivered", "")</f>
        <v/>
      </c>
      <c r="AS110" s="179"/>
      <c r="AT110" s="77"/>
      <c r="AU110" s="179"/>
      <c r="AV110" s="77"/>
      <c r="AW110" s="77"/>
    </row>
    <row r="111" spans="1:49" hidden="1">
      <c r="A111" s="173">
        <v>672004</v>
      </c>
      <c r="B111" s="75" t="s">
        <v>103</v>
      </c>
      <c r="C111" s="77" t="str">
        <f>CONCATENATE(Table4[[#This Row],[Project]],"-",Table4[[#This Row],[WO]])</f>
        <v>672004-01</v>
      </c>
      <c r="D111" s="76" t="s">
        <v>182</v>
      </c>
      <c r="E111" s="77"/>
      <c r="F111" s="77"/>
      <c r="G111" s="77"/>
      <c r="H111" s="77" t="s">
        <v>105</v>
      </c>
      <c r="I111" s="102" t="s">
        <v>183</v>
      </c>
      <c r="J111" s="77" t="s">
        <v>107</v>
      </c>
      <c r="K111" s="77"/>
      <c r="L111" s="77"/>
      <c r="M111" s="77"/>
      <c r="N111" s="77"/>
      <c r="O111" s="77"/>
      <c r="P111" s="76"/>
      <c r="Q111" s="178"/>
      <c r="R111" s="110" t="s">
        <v>93</v>
      </c>
      <c r="S111" s="77"/>
      <c r="T111" s="179"/>
      <c r="U111" s="180"/>
      <c r="V111" s="180">
        <f>Table4[[#This Row],[Expected Revenue]]*Table4[[#This Row],[Probability]]</f>
        <v>0</v>
      </c>
      <c r="W111" s="180">
        <f t="shared" si="1"/>
        <v>20800</v>
      </c>
      <c r="X111" s="179"/>
      <c r="Y111" s="180">
        <f>Table4[[#This Row],[Rev. Based on PROB]]*Table4[[#This Row],[Expected CMR]]</f>
        <v>0</v>
      </c>
      <c r="Z111" s="203" t="s">
        <v>105</v>
      </c>
      <c r="AA111" s="77"/>
      <c r="AB111" s="181"/>
      <c r="AC111" s="180"/>
      <c r="AD111" s="220"/>
      <c r="AE111" s="220"/>
      <c r="AF111" s="220"/>
      <c r="AG111" s="185"/>
      <c r="AH111" s="185">
        <f>10*340+1*200</f>
        <v>3600</v>
      </c>
      <c r="AI111" s="185"/>
      <c r="AJ111" s="185"/>
      <c r="AK111" s="182" t="s">
        <v>100</v>
      </c>
      <c r="AL111" s="180">
        <v>3960</v>
      </c>
      <c r="AM111" s="77" t="s">
        <v>93</v>
      </c>
      <c r="AN111" s="77">
        <v>2020</v>
      </c>
      <c r="AO111" s="110" t="str">
        <f>IF(Table4[[#This Row],[Finish (demob)]]&lt;&gt;"",Table4[[#This Row],[Finish (demob)]]+10,"")</f>
        <v/>
      </c>
      <c r="AP111" s="110" t="str">
        <f>IF(Table4[[#This Row],[Finish (demob)]]&lt;&gt;"",Table4[[#This Row],[Finish (demob)]]+10,"")</f>
        <v/>
      </c>
      <c r="AQ111" s="220"/>
      <c r="AR111" s="77" t="str">
        <f>IF(Table4[[#This Row],[Date Report is delivered:]]&lt;&gt;"", "Delivered", "")</f>
        <v/>
      </c>
      <c r="AS111" s="179" t="e">
        <f>1-(Table4[[#This Row],[Accrued Cost]]/#REF!)</f>
        <v>#REF!</v>
      </c>
      <c r="AT111" s="77"/>
      <c r="AU111" s="179"/>
      <c r="AV111" s="77"/>
      <c r="AW111" s="77"/>
    </row>
    <row r="112" spans="1:49" hidden="1">
      <c r="A112" s="173">
        <v>202003</v>
      </c>
      <c r="B112" s="75" t="s">
        <v>103</v>
      </c>
      <c r="C112" s="77" t="str">
        <f>CONCATENATE(Table4[[#This Row],[Project]],"-",Table4[[#This Row],[WO]])</f>
        <v>202003-01</v>
      </c>
      <c r="D112" s="76" t="s">
        <v>73</v>
      </c>
      <c r="E112" s="77" t="s">
        <v>57</v>
      </c>
      <c r="F112" s="77" t="s">
        <v>58</v>
      </c>
      <c r="G112" s="77" t="s">
        <v>59</v>
      </c>
      <c r="H112" s="77" t="s">
        <v>74</v>
      </c>
      <c r="I112" s="102" t="s">
        <v>106</v>
      </c>
      <c r="J112" s="77" t="s">
        <v>107</v>
      </c>
      <c r="K112" s="77" t="s">
        <v>63</v>
      </c>
      <c r="L112" s="77" t="s">
        <v>76</v>
      </c>
      <c r="M112" s="77" t="s">
        <v>65</v>
      </c>
      <c r="N112" s="77" t="s">
        <v>77</v>
      </c>
      <c r="O112" s="77" t="s">
        <v>67</v>
      </c>
      <c r="P112" s="76" t="s">
        <v>78</v>
      </c>
      <c r="Q112" s="183" t="s">
        <v>79</v>
      </c>
      <c r="R112" s="110" t="s">
        <v>93</v>
      </c>
      <c r="S112" s="77">
        <v>2020</v>
      </c>
      <c r="T112" s="179">
        <v>1</v>
      </c>
      <c r="U112" s="180">
        <v>58784</v>
      </c>
      <c r="V112" s="180">
        <f>Table4[[#This Row],[Expected Revenue]]*Table4[[#This Row],[Probability]]</f>
        <v>58784</v>
      </c>
      <c r="W112" s="180">
        <f t="shared" si="1"/>
        <v>20800</v>
      </c>
      <c r="X112" s="179">
        <v>0.3</v>
      </c>
      <c r="Y112" s="180">
        <f>Table4[[#This Row],[Rev. Based on PROB]]*Table4[[#This Row],[Expected CMR]]</f>
        <v>17635.2</v>
      </c>
      <c r="Z112" s="203" t="s">
        <v>74</v>
      </c>
      <c r="AA112" s="77"/>
      <c r="AB112" s="181"/>
      <c r="AC112" s="180"/>
      <c r="AD112" s="220">
        <v>43851</v>
      </c>
      <c r="AE112" s="220">
        <v>43860</v>
      </c>
      <c r="AF112" s="220">
        <v>43861</v>
      </c>
      <c r="AG112" s="185">
        <v>58784</v>
      </c>
      <c r="AH112" s="185">
        <v>1550</v>
      </c>
      <c r="AI112" s="189" t="s">
        <v>168</v>
      </c>
      <c r="AJ112" s="185" t="s">
        <v>95</v>
      </c>
      <c r="AK112" s="182"/>
      <c r="AL112" s="180"/>
      <c r="AM112" s="77"/>
      <c r="AN112" s="77"/>
      <c r="AO112" s="110">
        <f>IF(Table4[[#This Row],[Finish (demob)]]&lt;&gt;"",Table4[[#This Row],[Finish (demob)]]+7,"")</f>
        <v>43867</v>
      </c>
      <c r="AP112" s="110">
        <f>IF(Table4[[#This Row],[Finish (demob)]]&lt;&gt;"",Table4[[#This Row],[Finish (demob)]]+10,"")</f>
        <v>43870</v>
      </c>
      <c r="AQ112" s="220"/>
      <c r="AR112" s="77" t="str">
        <f>IF(Table4[[#This Row],[Date Report is delivered:]]&lt;&gt;"", "Delivered", "")</f>
        <v/>
      </c>
      <c r="AS112" s="179"/>
      <c r="AT112" s="77"/>
      <c r="AU112" s="179"/>
      <c r="AV112" s="77"/>
      <c r="AW112" s="77"/>
    </row>
    <row r="113" spans="1:49" hidden="1">
      <c r="A113" s="173">
        <v>619039</v>
      </c>
      <c r="B113" s="75" t="s">
        <v>86</v>
      </c>
      <c r="C113" s="77" t="str">
        <f>CONCATENATE(Table4[[#This Row],[Project]],"-",Table4[[#This Row],[WO]])</f>
        <v>619039-05</v>
      </c>
      <c r="D113" s="76" t="s">
        <v>184</v>
      </c>
      <c r="E113" s="77" t="s">
        <v>185</v>
      </c>
      <c r="F113" s="77" t="s">
        <v>186</v>
      </c>
      <c r="G113" s="77" t="s">
        <v>59</v>
      </c>
      <c r="H113" s="77" t="s">
        <v>105</v>
      </c>
      <c r="I113" s="102" t="s">
        <v>187</v>
      </c>
      <c r="J113" s="77"/>
      <c r="K113" s="77"/>
      <c r="L113" s="77"/>
      <c r="M113" s="77"/>
      <c r="N113" s="77"/>
      <c r="O113" s="77"/>
      <c r="P113" s="76"/>
      <c r="Q113" s="178"/>
      <c r="R113" s="110"/>
      <c r="S113" s="77"/>
      <c r="T113" s="179"/>
      <c r="U113" s="180"/>
      <c r="V113" s="180">
        <f>Table4[[#This Row],[Expected Revenue]]*Table4[[#This Row],[Probability]]</f>
        <v>0</v>
      </c>
      <c r="W113" s="180">
        <f t="shared" si="1"/>
        <v>20800</v>
      </c>
      <c r="X113" s="179"/>
      <c r="Y113" s="180">
        <f>Table4[[#This Row],[Rev. Based on PROB]]*Table4[[#This Row],[Expected CMR]]</f>
        <v>0</v>
      </c>
      <c r="Z113" s="203"/>
      <c r="AA113" s="77"/>
      <c r="AB113" s="181"/>
      <c r="AC113" s="180"/>
      <c r="AD113" s="220"/>
      <c r="AE113" s="220"/>
      <c r="AF113" s="220"/>
      <c r="AG113" s="185"/>
      <c r="AH113" s="185">
        <v>3800</v>
      </c>
      <c r="AI113" s="185"/>
      <c r="AJ113" s="185" t="s">
        <v>188</v>
      </c>
      <c r="AK113" s="182"/>
      <c r="AL113" s="180"/>
      <c r="AM113" s="77"/>
      <c r="AN113" s="77"/>
      <c r="AO113" s="110" t="str">
        <f>IF(Table4[[#This Row],[Finish (demob)]]&lt;&gt;"",Table4[[#This Row],[Finish (demob)]]+10,"")</f>
        <v/>
      </c>
      <c r="AP113" s="110" t="str">
        <f>IF(Table4[[#This Row],[Finish (demob)]]&lt;&gt;"",Table4[[#This Row],[Finish (demob)]]+10,"")</f>
        <v/>
      </c>
      <c r="AQ113" s="220"/>
      <c r="AR113" s="77" t="str">
        <f>IF(Table4[[#This Row],[Date Report is delivered:]]&lt;&gt;"", "Delivered", "")</f>
        <v/>
      </c>
      <c r="AS113" s="179"/>
      <c r="AT113" s="77"/>
      <c r="AU113" s="179"/>
      <c r="AV113" s="77"/>
      <c r="AW113" s="77"/>
    </row>
    <row r="114" spans="1:49" hidden="1">
      <c r="A114" s="173">
        <v>619060</v>
      </c>
      <c r="B114" s="75" t="s">
        <v>103</v>
      </c>
      <c r="C114" s="77" t="str">
        <f>CONCATENATE(Table4[[#This Row],[Project]],"-",Table4[[#This Row],[WO]])</f>
        <v>619060-01</v>
      </c>
      <c r="D114" s="76" t="s">
        <v>189</v>
      </c>
      <c r="E114" s="77"/>
      <c r="F114" s="77"/>
      <c r="G114" s="77"/>
      <c r="H114" s="77" t="s">
        <v>190</v>
      </c>
      <c r="I114" s="102" t="s">
        <v>191</v>
      </c>
      <c r="J114" s="77"/>
      <c r="K114" s="77"/>
      <c r="L114" s="77"/>
      <c r="M114" s="77"/>
      <c r="N114" s="77"/>
      <c r="O114" s="77"/>
      <c r="P114" s="76"/>
      <c r="Q114" s="178"/>
      <c r="R114" s="110"/>
      <c r="S114" s="77"/>
      <c r="T114" s="179"/>
      <c r="U114" s="180"/>
      <c r="V114" s="180">
        <f>Table4[[#This Row],[Expected Revenue]]*Table4[[#This Row],[Probability]]</f>
        <v>0</v>
      </c>
      <c r="W114" s="180">
        <f t="shared" si="1"/>
        <v>20800</v>
      </c>
      <c r="X114" s="179"/>
      <c r="Y114" s="180">
        <f>Table4[[#This Row],[Rev. Based on PROB]]*Table4[[#This Row],[Expected CMR]]</f>
        <v>0</v>
      </c>
      <c r="Z114" s="203"/>
      <c r="AA114" s="77"/>
      <c r="AB114" s="181"/>
      <c r="AC114" s="180"/>
      <c r="AD114" s="220"/>
      <c r="AE114" s="220"/>
      <c r="AF114" s="220"/>
      <c r="AG114" s="185"/>
      <c r="AH114" s="185"/>
      <c r="AI114" s="185"/>
      <c r="AJ114" s="185"/>
      <c r="AK114" s="182"/>
      <c r="AL114" s="180"/>
      <c r="AM114" s="77"/>
      <c r="AN114" s="77"/>
      <c r="AO114" s="110" t="str">
        <f>IF(Table4[[#This Row],[Finish (demob)]]&lt;&gt;"",Table4[[#This Row],[Finish (demob)]]+10,"")</f>
        <v/>
      </c>
      <c r="AP114" s="110" t="str">
        <f>IF(Table4[[#This Row],[Finish (demob)]]&lt;&gt;"",Table4[[#This Row],[Finish (demob)]]+10,"")</f>
        <v/>
      </c>
      <c r="AQ114" s="220"/>
      <c r="AR114" s="77" t="str">
        <f>IF(Table4[[#This Row],[Date Report is delivered:]]&lt;&gt;"", "Delivered", "")</f>
        <v/>
      </c>
      <c r="AS114" s="179"/>
      <c r="AT114" s="77"/>
      <c r="AU114" s="179"/>
      <c r="AV114" s="77"/>
      <c r="AW114" s="77"/>
    </row>
    <row r="115" spans="1:49" hidden="1">
      <c r="A115" s="173">
        <v>211902</v>
      </c>
      <c r="B115" s="75" t="s">
        <v>90</v>
      </c>
      <c r="C115" s="77" t="str">
        <f>CONCATENATE(Table4[[#This Row],[Project]],"-",Table4[[#This Row],[WO]])</f>
        <v>211902-04</v>
      </c>
      <c r="D115" s="76"/>
      <c r="E115" s="77"/>
      <c r="F115" s="77"/>
      <c r="G115" s="77"/>
      <c r="H115" s="77"/>
      <c r="I115" s="102"/>
      <c r="J115" s="77"/>
      <c r="K115" s="77"/>
      <c r="L115" s="77"/>
      <c r="M115" s="77"/>
      <c r="N115" s="77"/>
      <c r="O115" s="77"/>
      <c r="P115" s="76"/>
      <c r="Q115" s="178"/>
      <c r="R115" s="110"/>
      <c r="S115" s="77"/>
      <c r="T115" s="179"/>
      <c r="U115" s="180"/>
      <c r="V115" s="180">
        <f>Table4[[#This Row],[Expected Revenue]]*Table4[[#This Row],[Probability]]</f>
        <v>0</v>
      </c>
      <c r="W115" s="180">
        <f t="shared" si="1"/>
        <v>20800</v>
      </c>
      <c r="X115" s="179"/>
      <c r="Y115" s="180">
        <f>Table4[[#This Row],[Rev. Based on PROB]]*Table4[[#This Row],[Expected CMR]]</f>
        <v>0</v>
      </c>
      <c r="Z115" s="203"/>
      <c r="AA115" s="77"/>
      <c r="AB115" s="181"/>
      <c r="AC115" s="180"/>
      <c r="AD115" s="220"/>
      <c r="AE115" s="220"/>
      <c r="AF115" s="220">
        <v>43861</v>
      </c>
      <c r="AG115" s="185">
        <f>10856*1.1</f>
        <v>11941.6</v>
      </c>
      <c r="AH115" s="185"/>
      <c r="AI115" s="189"/>
      <c r="AJ115" s="185"/>
      <c r="AK115" s="182"/>
      <c r="AL115" s="180"/>
      <c r="AM115" s="77"/>
      <c r="AN115" s="77"/>
      <c r="AO115" s="110" t="str">
        <f>IF(Table4[[#This Row],[Finish (demob)]]&lt;&gt;"",Table4[[#This Row],[Finish (demob)]]+10,"")</f>
        <v/>
      </c>
      <c r="AP115" s="110" t="str">
        <f>IF(Table4[[#This Row],[Finish (demob)]]&lt;&gt;"",Table4[[#This Row],[Finish (demob)]]+10,"")</f>
        <v/>
      </c>
      <c r="AQ115" s="220"/>
      <c r="AR115" s="77" t="str">
        <f>IF(Table4[[#This Row],[Date Report is delivered:]]&lt;&gt;"", "Delivered", "")</f>
        <v/>
      </c>
      <c r="AS115" s="179"/>
      <c r="AT115" s="77"/>
      <c r="AU115" s="179"/>
      <c r="AV115" s="77"/>
      <c r="AW115" s="77"/>
    </row>
    <row r="116" spans="1:49" hidden="1">
      <c r="A116" s="173">
        <v>201912</v>
      </c>
      <c r="B116" s="75" t="s">
        <v>133</v>
      </c>
      <c r="C116" s="77" t="str">
        <f>CONCATENATE(Table4[[#This Row],[Project]],"-",Table4[[#This Row],[WO]])</f>
        <v>201912-13</v>
      </c>
      <c r="D116" s="76" t="s">
        <v>146</v>
      </c>
      <c r="E116" s="77" t="s">
        <v>57</v>
      </c>
      <c r="F116" s="77" t="s">
        <v>58</v>
      </c>
      <c r="G116" s="77" t="s">
        <v>59</v>
      </c>
      <c r="H116" s="77" t="s">
        <v>123</v>
      </c>
      <c r="I116" s="102" t="s">
        <v>192</v>
      </c>
      <c r="J116" s="77" t="s">
        <v>92</v>
      </c>
      <c r="K116" s="77" t="s">
        <v>63</v>
      </c>
      <c r="L116" s="77" t="s">
        <v>193</v>
      </c>
      <c r="M116" s="77" t="s">
        <v>65</v>
      </c>
      <c r="N116" s="77" t="s">
        <v>77</v>
      </c>
      <c r="O116" s="77"/>
      <c r="P116" s="76" t="s">
        <v>194</v>
      </c>
      <c r="Q116" s="183" t="s">
        <v>195</v>
      </c>
      <c r="R116" s="110" t="s">
        <v>68</v>
      </c>
      <c r="S116" s="77">
        <v>2019</v>
      </c>
      <c r="T116" s="179">
        <v>1</v>
      </c>
      <c r="U116" s="180">
        <f>75242/4</f>
        <v>18810.5</v>
      </c>
      <c r="V116" s="180">
        <f>Table4[[#This Row],[Expected Revenue]]*Table4[[#This Row],[Probability]]</f>
        <v>18810.5</v>
      </c>
      <c r="W116" s="180">
        <f t="shared" si="1"/>
        <v>20800</v>
      </c>
      <c r="X116" s="179">
        <v>0.3</v>
      </c>
      <c r="Y116" s="180">
        <f>Table4[[#This Row],[Expected Revenue]]*Table4[[#This Row],[Expected CMR]]</f>
        <v>5643.15</v>
      </c>
      <c r="Z116" s="203" t="s">
        <v>123</v>
      </c>
      <c r="AA116" s="77"/>
      <c r="AB116" s="77"/>
      <c r="AC116" s="180"/>
      <c r="AD116" s="220"/>
      <c r="AE116" s="220"/>
      <c r="AF116" s="220"/>
      <c r="AG116" s="220"/>
      <c r="AH116" s="220"/>
      <c r="AI116" s="188"/>
      <c r="AJ116" s="220"/>
      <c r="AK116" s="979" t="s">
        <v>100</v>
      </c>
      <c r="AL116" s="180">
        <v>20185</v>
      </c>
      <c r="AM116" s="77" t="s">
        <v>93</v>
      </c>
      <c r="AN116" s="77">
        <v>2020</v>
      </c>
      <c r="AO116" s="110" t="str">
        <f>IF(AE116&gt;0,AE116+3," - ")</f>
        <v xml:space="preserve"> - </v>
      </c>
      <c r="AP116" s="110" t="str">
        <f>IF(AE116&gt;0,AE116+14," - ")</f>
        <v xml:space="preserve"> - </v>
      </c>
      <c r="AQ116" s="220"/>
      <c r="AR116" s="77" t="str">
        <f ca="1">IF(AD116=0,"-",IF(AQ116&gt;0,"Delivered",IF(TODAY()&gt;AP116,"Overdue",IF(TODAY()&lt;AP116,"In Progress"))))</f>
        <v>-</v>
      </c>
      <c r="AS116" s="179"/>
      <c r="AT116" s="77"/>
      <c r="AU116" s="179"/>
      <c r="AV116" s="77"/>
      <c r="AW116" s="77"/>
    </row>
    <row r="117" spans="1:49" hidden="1">
      <c r="A117" s="173"/>
      <c r="B117" s="75"/>
      <c r="C117" s="77" t="str">
        <f>CONCATENATE(Table4[[#This Row],[Project]],"-",Table4[[#This Row],[WO]])</f>
        <v>-</v>
      </c>
      <c r="D117" s="76"/>
      <c r="E117" s="77"/>
      <c r="F117" s="77"/>
      <c r="G117" s="77"/>
      <c r="H117" s="77"/>
      <c r="I117" s="102"/>
      <c r="J117" s="77"/>
      <c r="K117" s="77"/>
      <c r="L117" s="77"/>
      <c r="M117" s="77"/>
      <c r="N117" s="77"/>
      <c r="O117" s="77"/>
      <c r="P117" s="76"/>
      <c r="Q117" s="178"/>
      <c r="R117" s="110"/>
      <c r="S117" s="77"/>
      <c r="T117" s="179"/>
      <c r="U117" s="180"/>
      <c r="V117" s="180">
        <f>Table4[[#This Row],[Expected Revenue]]*Table4[[#This Row],[Probability]]</f>
        <v>0</v>
      </c>
      <c r="W117" s="180">
        <f t="shared" si="1"/>
        <v>20800</v>
      </c>
      <c r="X117" s="179"/>
      <c r="Y117" s="180">
        <f>Table4[[#This Row],[Rev. Based on PROB]]*Table4[[#This Row],[Expected CMR]]</f>
        <v>0</v>
      </c>
      <c r="Z117" s="203"/>
      <c r="AA117" s="77"/>
      <c r="AB117" s="181"/>
      <c r="AC117" s="180"/>
      <c r="AD117" s="220"/>
      <c r="AE117" s="220"/>
      <c r="AF117" s="220"/>
      <c r="AG117" s="185"/>
      <c r="AH117" s="185"/>
      <c r="AI117" s="185"/>
      <c r="AJ117" s="185"/>
      <c r="AK117" s="182"/>
      <c r="AL117" s="180"/>
      <c r="AM117" s="77"/>
      <c r="AN117" s="77"/>
      <c r="AO117" s="110" t="str">
        <f>IF(Table4[[#This Row],[Finish (demob)]]&lt;&gt;"",Table4[[#This Row],[Finish (demob)]]+10,"")</f>
        <v/>
      </c>
      <c r="AP117" s="110" t="str">
        <f>IF(Table4[[#This Row],[Finish (demob)]]&lt;&gt;"",Table4[[#This Row],[Finish (demob)]]+10,"")</f>
        <v/>
      </c>
      <c r="AQ117" s="220"/>
      <c r="AR117" s="77" t="str">
        <f>IF(Table4[[#This Row],[Date Report is delivered:]]&lt;&gt;"", "Delivered", "")</f>
        <v/>
      </c>
      <c r="AS117" s="179"/>
      <c r="AT117" s="77"/>
      <c r="AU117" s="179"/>
      <c r="AV117" s="77"/>
      <c r="AW117" s="77"/>
    </row>
    <row r="118" spans="1:49" hidden="1">
      <c r="A118" s="173"/>
      <c r="B118" s="75"/>
      <c r="C118" s="77" t="str">
        <f>CONCATENATE(Table4[[#This Row],[Project]],"-",Table4[[#This Row],[WO]])</f>
        <v>-</v>
      </c>
      <c r="D118" s="76"/>
      <c r="E118" s="77"/>
      <c r="F118" s="77"/>
      <c r="G118" s="77"/>
      <c r="H118" s="77"/>
      <c r="I118" s="102"/>
      <c r="J118" s="77"/>
      <c r="K118" s="77"/>
      <c r="L118" s="77"/>
      <c r="M118" s="77"/>
      <c r="N118" s="77"/>
      <c r="O118" s="77"/>
      <c r="P118" s="76"/>
      <c r="Q118" s="178"/>
      <c r="R118" s="110"/>
      <c r="S118" s="77"/>
      <c r="T118" s="179"/>
      <c r="U118" s="180"/>
      <c r="V118" s="180">
        <f>Table4[[#This Row],[Expected Revenue]]*Table4[[#This Row],[Probability]]</f>
        <v>0</v>
      </c>
      <c r="W118" s="180">
        <f t="shared" si="1"/>
        <v>20800</v>
      </c>
      <c r="X118" s="179"/>
      <c r="Y118" s="180">
        <f>Table4[[#This Row],[Rev. Based on PROB]]*Table4[[#This Row],[Expected CMR]]</f>
        <v>0</v>
      </c>
      <c r="Z118" s="203"/>
      <c r="AA118" s="77"/>
      <c r="AB118" s="181"/>
      <c r="AC118" s="180"/>
      <c r="AD118" s="220"/>
      <c r="AE118" s="220"/>
      <c r="AF118" s="220"/>
      <c r="AG118" s="185"/>
      <c r="AH118" s="185"/>
      <c r="AI118" s="185"/>
      <c r="AJ118" s="185"/>
      <c r="AK118" s="182"/>
      <c r="AL118" s="180"/>
      <c r="AM118" s="77"/>
      <c r="AN118" s="77"/>
      <c r="AO118" s="110" t="str">
        <f>IF(Table4[[#This Row],[Finish (demob)]]&lt;&gt;"",Table4[[#This Row],[Finish (demob)]]+10,"")</f>
        <v/>
      </c>
      <c r="AP118" s="110" t="str">
        <f>IF(Table4[[#This Row],[Finish (demob)]]&lt;&gt;"",Table4[[#This Row],[Finish (demob)]]+10,"")</f>
        <v/>
      </c>
      <c r="AQ118" s="220"/>
      <c r="AR118" s="77" t="str">
        <f>IF(Table4[[#This Row],[Date Report is delivered:]]&lt;&gt;"", "Delivered", "")</f>
        <v/>
      </c>
      <c r="AS118" s="179"/>
      <c r="AT118" s="77"/>
      <c r="AU118" s="179"/>
      <c r="AV118" s="77"/>
      <c r="AW118" s="77"/>
    </row>
    <row r="119" spans="1:49" hidden="1">
      <c r="A119" s="173"/>
      <c r="B119" s="75"/>
      <c r="C119" s="77" t="str">
        <f>CONCATENATE(Table4[[#This Row],[Project]],"-",Table4[[#This Row],[WO]])</f>
        <v>-</v>
      </c>
      <c r="D119" s="76"/>
      <c r="E119" s="77"/>
      <c r="F119" s="77"/>
      <c r="G119" s="77"/>
      <c r="H119" s="77"/>
      <c r="I119" s="102"/>
      <c r="J119" s="77"/>
      <c r="K119" s="77"/>
      <c r="L119" s="77"/>
      <c r="M119" s="77"/>
      <c r="N119" s="77"/>
      <c r="O119" s="77"/>
      <c r="P119" s="76"/>
      <c r="Q119" s="178"/>
      <c r="R119" s="110"/>
      <c r="S119" s="77"/>
      <c r="T119" s="179"/>
      <c r="U119" s="180"/>
      <c r="V119" s="180">
        <f>Table4[[#This Row],[Expected Revenue]]*Table4[[#This Row],[Probability]]</f>
        <v>0</v>
      </c>
      <c r="W119" s="180">
        <f t="shared" si="1"/>
        <v>20800</v>
      </c>
      <c r="X119" s="179"/>
      <c r="Y119" s="180">
        <f>Table4[[#This Row],[Rev. Based on PROB]]*Table4[[#This Row],[Expected CMR]]</f>
        <v>0</v>
      </c>
      <c r="Z119" s="203"/>
      <c r="AA119" s="77"/>
      <c r="AB119" s="181"/>
      <c r="AC119" s="180"/>
      <c r="AD119" s="220"/>
      <c r="AE119" s="220"/>
      <c r="AF119" s="220"/>
      <c r="AG119" s="185"/>
      <c r="AH119" s="185"/>
      <c r="AI119" s="185"/>
      <c r="AJ119" s="185"/>
      <c r="AK119" s="182"/>
      <c r="AL119" s="180"/>
      <c r="AM119" s="77"/>
      <c r="AN119" s="77"/>
      <c r="AO119" s="110" t="str">
        <f>IF(Table4[[#This Row],[Finish (demob)]]&lt;&gt;"",Table4[[#This Row],[Finish (demob)]]+10,"")</f>
        <v/>
      </c>
      <c r="AP119" s="110" t="str">
        <f>IF(Table4[[#This Row],[Finish (demob)]]&lt;&gt;"",Table4[[#This Row],[Finish (demob)]]+10,"")</f>
        <v/>
      </c>
      <c r="AQ119" s="220"/>
      <c r="AR119" s="77" t="str">
        <f>IF(Table4[[#This Row],[Date Report is delivered:]]&lt;&gt;"", "Delivered", "")</f>
        <v/>
      </c>
      <c r="AS119" s="179"/>
      <c r="AT119" s="77"/>
      <c r="AU119" s="179"/>
      <c r="AV119" s="77"/>
      <c r="AW119" s="77"/>
    </row>
    <row r="120" spans="1:49" hidden="1">
      <c r="A120" s="173"/>
      <c r="B120" s="75"/>
      <c r="C120" s="77" t="str">
        <f>CONCATENATE(Table4[[#This Row],[Project]],"-",Table4[[#This Row],[WO]])</f>
        <v>-</v>
      </c>
      <c r="D120" s="76"/>
      <c r="E120" s="77"/>
      <c r="F120" s="77"/>
      <c r="G120" s="77"/>
      <c r="H120" s="77"/>
      <c r="I120" s="102"/>
      <c r="J120" s="77"/>
      <c r="K120" s="77"/>
      <c r="L120" s="77"/>
      <c r="M120" s="77"/>
      <c r="N120" s="77"/>
      <c r="O120" s="77"/>
      <c r="P120" s="76"/>
      <c r="Q120" s="178"/>
      <c r="R120" s="110"/>
      <c r="S120" s="77"/>
      <c r="T120" s="179"/>
      <c r="U120" s="180"/>
      <c r="V120" s="180">
        <f>Table4[[#This Row],[Expected Revenue]]*Table4[[#This Row],[Probability]]</f>
        <v>0</v>
      </c>
      <c r="W120" s="180">
        <f t="shared" si="1"/>
        <v>20800</v>
      </c>
      <c r="X120" s="179"/>
      <c r="Y120" s="180">
        <f>Table4[[#This Row],[Rev. Based on PROB]]*Table4[[#This Row],[Expected CMR]]</f>
        <v>0</v>
      </c>
      <c r="Z120" s="203"/>
      <c r="AA120" s="77"/>
      <c r="AB120" s="181"/>
      <c r="AC120" s="180"/>
      <c r="AD120" s="220"/>
      <c r="AE120" s="220"/>
      <c r="AF120" s="220"/>
      <c r="AG120" s="185"/>
      <c r="AH120" s="185"/>
      <c r="AI120" s="185"/>
      <c r="AJ120" s="185"/>
      <c r="AK120" s="182"/>
      <c r="AL120" s="180"/>
      <c r="AM120" s="77"/>
      <c r="AN120" s="77"/>
      <c r="AO120" s="110" t="str">
        <f>IF(Table4[[#This Row],[Finish (demob)]]&lt;&gt;"",Table4[[#This Row],[Finish (demob)]]+10,"")</f>
        <v/>
      </c>
      <c r="AP120" s="110" t="str">
        <f>IF(Table4[[#This Row],[Finish (demob)]]&lt;&gt;"",Table4[[#This Row],[Finish (demob)]]+10,"")</f>
        <v/>
      </c>
      <c r="AQ120" s="220"/>
      <c r="AR120" s="77" t="str">
        <f>IF(Table4[[#This Row],[Date Report is delivered:]]&lt;&gt;"", "Delivered", "")</f>
        <v/>
      </c>
      <c r="AS120" s="179"/>
      <c r="AT120" s="77"/>
      <c r="AU120" s="179"/>
      <c r="AV120" s="77"/>
      <c r="AW120" s="77"/>
    </row>
    <row r="121" spans="1:49" hidden="1">
      <c r="A121" s="173"/>
      <c r="B121" s="75"/>
      <c r="C121" s="77" t="str">
        <f>CONCATENATE(Table4[[#This Row],[Project]],"-",Table4[[#This Row],[WO]])</f>
        <v>-</v>
      </c>
      <c r="D121" s="76"/>
      <c r="E121" s="77"/>
      <c r="F121" s="77"/>
      <c r="G121" s="77"/>
      <c r="H121" s="77"/>
      <c r="I121" s="102"/>
      <c r="J121" s="77"/>
      <c r="K121" s="77"/>
      <c r="L121" s="77"/>
      <c r="M121" s="77"/>
      <c r="N121" s="77"/>
      <c r="O121" s="77"/>
      <c r="P121" s="76"/>
      <c r="Q121" s="178"/>
      <c r="R121" s="110"/>
      <c r="S121" s="77"/>
      <c r="T121" s="179"/>
      <c r="U121" s="180"/>
      <c r="V121" s="180">
        <f>Table4[[#This Row],[Expected Revenue]]*Table4[[#This Row],[Probability]]</f>
        <v>0</v>
      </c>
      <c r="W121" s="180">
        <f t="shared" si="1"/>
        <v>20800</v>
      </c>
      <c r="X121" s="179"/>
      <c r="Y121" s="180">
        <f>Table4[[#This Row],[Rev. Based on PROB]]*Table4[[#This Row],[Expected CMR]]</f>
        <v>0</v>
      </c>
      <c r="Z121" s="203"/>
      <c r="AA121" s="77"/>
      <c r="AB121" s="181"/>
      <c r="AC121" s="180"/>
      <c r="AD121" s="220"/>
      <c r="AE121" s="220"/>
      <c r="AF121" s="220"/>
      <c r="AG121" s="185"/>
      <c r="AH121" s="185"/>
      <c r="AI121" s="185"/>
      <c r="AJ121" s="185"/>
      <c r="AK121" s="182"/>
      <c r="AL121" s="180"/>
      <c r="AM121" s="77"/>
      <c r="AN121" s="77"/>
      <c r="AO121" s="110" t="str">
        <f>IF(Table4[[#This Row],[Finish (demob)]]&lt;&gt;"",Table4[[#This Row],[Finish (demob)]]+10,"")</f>
        <v/>
      </c>
      <c r="AP121" s="110" t="str">
        <f>IF(Table4[[#This Row],[Finish (demob)]]&lt;&gt;"",Table4[[#This Row],[Finish (demob)]]+10,"")</f>
        <v/>
      </c>
      <c r="AQ121" s="220"/>
      <c r="AR121" s="77" t="str">
        <f>IF(Table4[[#This Row],[Date Report is delivered:]]&lt;&gt;"", "Delivered", "")</f>
        <v/>
      </c>
      <c r="AS121" s="179"/>
      <c r="AT121" s="77"/>
      <c r="AU121" s="179"/>
      <c r="AV121" s="77"/>
      <c r="AW121" s="77"/>
    </row>
    <row r="122" spans="1:49" hidden="1">
      <c r="A122" s="173"/>
      <c r="B122" s="75"/>
      <c r="C122" s="77" t="str">
        <f>CONCATENATE(Table4[[#This Row],[Project]],"-",Table4[[#This Row],[WO]])</f>
        <v>-</v>
      </c>
      <c r="D122" s="76"/>
      <c r="E122" s="77"/>
      <c r="F122" s="77"/>
      <c r="G122" s="77"/>
      <c r="H122" s="77"/>
      <c r="I122" s="102"/>
      <c r="J122" s="77"/>
      <c r="K122" s="77"/>
      <c r="L122" s="77"/>
      <c r="M122" s="77"/>
      <c r="N122" s="77"/>
      <c r="O122" s="77"/>
      <c r="P122" s="76"/>
      <c r="Q122" s="178"/>
      <c r="R122" s="110"/>
      <c r="S122" s="77"/>
      <c r="T122" s="179"/>
      <c r="U122" s="180"/>
      <c r="V122" s="180">
        <f>Table4[[#This Row],[Expected Revenue]]*Table4[[#This Row],[Probability]]</f>
        <v>0</v>
      </c>
      <c r="W122" s="180">
        <f t="shared" si="1"/>
        <v>20800</v>
      </c>
      <c r="X122" s="179"/>
      <c r="Y122" s="180">
        <f>Table4[[#This Row],[Rev. Based on PROB]]*Table4[[#This Row],[Expected CMR]]</f>
        <v>0</v>
      </c>
      <c r="Z122" s="203"/>
      <c r="AA122" s="77"/>
      <c r="AB122" s="181"/>
      <c r="AC122" s="180"/>
      <c r="AD122" s="220"/>
      <c r="AE122" s="220"/>
      <c r="AF122" s="220"/>
      <c r="AG122" s="185"/>
      <c r="AH122" s="185"/>
      <c r="AI122" s="185"/>
      <c r="AJ122" s="185"/>
      <c r="AK122" s="182"/>
      <c r="AL122" s="180"/>
      <c r="AM122" s="77"/>
      <c r="AN122" s="77"/>
      <c r="AO122" s="110" t="str">
        <f>IF(Table4[[#This Row],[Finish (demob)]]&lt;&gt;"",Table4[[#This Row],[Finish (demob)]]+10,"")</f>
        <v/>
      </c>
      <c r="AP122" s="110" t="str">
        <f>IF(Table4[[#This Row],[Finish (demob)]]&lt;&gt;"",Table4[[#This Row],[Finish (demob)]]+10,"")</f>
        <v/>
      </c>
      <c r="AQ122" s="220"/>
      <c r="AR122" s="77" t="str">
        <f>IF(Table4[[#This Row],[Date Report is delivered:]]&lt;&gt;"", "Delivered", "")</f>
        <v/>
      </c>
      <c r="AS122" s="179"/>
      <c r="AT122" s="77"/>
      <c r="AU122" s="179"/>
      <c r="AV122" s="77"/>
      <c r="AW122" s="77"/>
    </row>
    <row r="123" spans="1:49" hidden="1">
      <c r="A123" s="173"/>
      <c r="B123" s="75"/>
      <c r="C123" s="77" t="str">
        <f>CONCATENATE(Table4[[#This Row],[Project]],"-",Table4[[#This Row],[WO]])</f>
        <v>-</v>
      </c>
      <c r="D123" s="76"/>
      <c r="E123" s="77"/>
      <c r="F123" s="77"/>
      <c r="G123" s="77"/>
      <c r="H123" s="77"/>
      <c r="I123" s="102"/>
      <c r="J123" s="77"/>
      <c r="K123" s="77"/>
      <c r="L123" s="77"/>
      <c r="M123" s="77"/>
      <c r="N123" s="77"/>
      <c r="O123" s="77"/>
      <c r="P123" s="76"/>
      <c r="Q123" s="178"/>
      <c r="R123" s="110"/>
      <c r="S123" s="77"/>
      <c r="T123" s="179"/>
      <c r="U123" s="180"/>
      <c r="V123" s="180">
        <f>Table4[[#This Row],[Expected Revenue]]*Table4[[#This Row],[Probability]]</f>
        <v>0</v>
      </c>
      <c r="W123" s="180">
        <f t="shared" si="1"/>
        <v>20800</v>
      </c>
      <c r="X123" s="179"/>
      <c r="Y123" s="180">
        <f>Table4[[#This Row],[Rev. Based on PROB]]*Table4[[#This Row],[Expected CMR]]</f>
        <v>0</v>
      </c>
      <c r="Z123" s="203"/>
      <c r="AA123" s="77"/>
      <c r="AB123" s="181"/>
      <c r="AC123" s="180"/>
      <c r="AD123" s="220"/>
      <c r="AE123" s="220"/>
      <c r="AF123" s="220"/>
      <c r="AG123" s="185"/>
      <c r="AH123" s="185"/>
      <c r="AI123" s="185"/>
      <c r="AJ123" s="185"/>
      <c r="AK123" s="182"/>
      <c r="AL123" s="180"/>
      <c r="AM123" s="77"/>
      <c r="AN123" s="77"/>
      <c r="AO123" s="110" t="str">
        <f>IF(Table4[[#This Row],[Finish (demob)]]&lt;&gt;"",Table4[[#This Row],[Finish (demob)]]+10,"")</f>
        <v/>
      </c>
      <c r="AP123" s="110" t="str">
        <f>IF(Table4[[#This Row],[Finish (demob)]]&lt;&gt;"",Table4[[#This Row],[Finish (demob)]]+10,"")</f>
        <v/>
      </c>
      <c r="AQ123" s="220"/>
      <c r="AR123" s="77" t="str">
        <f>IF(Table4[[#This Row],[Date Report is delivered:]]&lt;&gt;"", "Delivered", "")</f>
        <v/>
      </c>
      <c r="AS123" s="179"/>
      <c r="AT123" s="77"/>
      <c r="AU123" s="179"/>
      <c r="AV123" s="77"/>
      <c r="AW123" s="77"/>
    </row>
    <row r="124" spans="1:49" hidden="1">
      <c r="A124" s="173"/>
      <c r="B124" s="75"/>
      <c r="C124" s="77" t="str">
        <f>CONCATENATE(Table4[[#This Row],[Project]],"-",Table4[[#This Row],[WO]])</f>
        <v>-</v>
      </c>
      <c r="D124" s="76"/>
      <c r="E124" s="77"/>
      <c r="F124" s="77"/>
      <c r="G124" s="77"/>
      <c r="H124" s="77"/>
      <c r="I124" s="102"/>
      <c r="J124" s="77"/>
      <c r="K124" s="77"/>
      <c r="L124" s="77"/>
      <c r="M124" s="77"/>
      <c r="N124" s="77"/>
      <c r="O124" s="77"/>
      <c r="P124" s="76"/>
      <c r="Q124" s="178"/>
      <c r="R124" s="110"/>
      <c r="S124" s="77"/>
      <c r="T124" s="179"/>
      <c r="U124" s="180"/>
      <c r="V124" s="180">
        <f>Table4[[#This Row],[Expected Revenue]]*Table4[[#This Row],[Probability]]</f>
        <v>0</v>
      </c>
      <c r="W124" s="180">
        <f t="shared" si="1"/>
        <v>20800</v>
      </c>
      <c r="X124" s="179"/>
      <c r="Y124" s="180">
        <f>Table4[[#This Row],[Rev. Based on PROB]]*Table4[[#This Row],[Expected CMR]]</f>
        <v>0</v>
      </c>
      <c r="Z124" s="203"/>
      <c r="AA124" s="77"/>
      <c r="AB124" s="181"/>
      <c r="AC124" s="180"/>
      <c r="AD124" s="220"/>
      <c r="AE124" s="220"/>
      <c r="AF124" s="220"/>
      <c r="AG124" s="185"/>
      <c r="AH124" s="185"/>
      <c r="AI124" s="185"/>
      <c r="AJ124" s="185"/>
      <c r="AK124" s="182"/>
      <c r="AL124" s="180"/>
      <c r="AM124" s="77"/>
      <c r="AN124" s="77"/>
      <c r="AO124" s="110" t="str">
        <f>IF(Table4[[#This Row],[Finish (demob)]]&lt;&gt;"",Table4[[#This Row],[Finish (demob)]]+10,"")</f>
        <v/>
      </c>
      <c r="AP124" s="110" t="str">
        <f>IF(Table4[[#This Row],[Finish (demob)]]&lt;&gt;"",Table4[[#This Row],[Finish (demob)]]+10,"")</f>
        <v/>
      </c>
      <c r="AQ124" s="220"/>
      <c r="AR124" s="77" t="str">
        <f>IF(Table4[[#This Row],[Date Report is delivered:]]&lt;&gt;"", "Delivered", "")</f>
        <v/>
      </c>
      <c r="AS124" s="179"/>
      <c r="AT124" s="77"/>
      <c r="AU124" s="179"/>
      <c r="AV124" s="77"/>
      <c r="AW124" s="77"/>
    </row>
    <row r="125" spans="1:49" hidden="1">
      <c r="A125" s="173"/>
      <c r="B125" s="75"/>
      <c r="C125" s="77" t="str">
        <f>CONCATENATE(Table4[[#This Row],[Project]],"-",Table4[[#This Row],[WO]])</f>
        <v>-</v>
      </c>
      <c r="D125" s="76"/>
      <c r="E125" s="77"/>
      <c r="F125" s="77"/>
      <c r="G125" s="77"/>
      <c r="H125" s="77"/>
      <c r="I125" s="102"/>
      <c r="J125" s="77"/>
      <c r="K125" s="77"/>
      <c r="L125" s="77"/>
      <c r="M125" s="77"/>
      <c r="N125" s="77"/>
      <c r="O125" s="77"/>
      <c r="P125" s="76"/>
      <c r="Q125" s="178"/>
      <c r="R125" s="110"/>
      <c r="S125" s="77"/>
      <c r="T125" s="179"/>
      <c r="U125" s="180"/>
      <c r="V125" s="180">
        <f>Table4[[#This Row],[Expected Revenue]]*Table4[[#This Row],[Probability]]</f>
        <v>0</v>
      </c>
      <c r="W125" s="180">
        <f t="shared" si="1"/>
        <v>20800</v>
      </c>
      <c r="X125" s="179"/>
      <c r="Y125" s="180">
        <f>Table4[[#This Row],[Rev. Based on PROB]]*Table4[[#This Row],[Expected CMR]]</f>
        <v>0</v>
      </c>
      <c r="Z125" s="203"/>
      <c r="AA125" s="77"/>
      <c r="AB125" s="181"/>
      <c r="AC125" s="180"/>
      <c r="AD125" s="220"/>
      <c r="AE125" s="220"/>
      <c r="AF125" s="220"/>
      <c r="AG125" s="185"/>
      <c r="AH125" s="185"/>
      <c r="AI125" s="185"/>
      <c r="AJ125" s="185"/>
      <c r="AK125" s="182"/>
      <c r="AL125" s="180"/>
      <c r="AM125" s="77"/>
      <c r="AN125" s="77"/>
      <c r="AO125" s="110" t="str">
        <f>IF(Table4[[#This Row],[Finish (demob)]]&lt;&gt;"",Table4[[#This Row],[Finish (demob)]]+10,"")</f>
        <v/>
      </c>
      <c r="AP125" s="110" t="str">
        <f>IF(Table4[[#This Row],[Finish (demob)]]&lt;&gt;"",Table4[[#This Row],[Finish (demob)]]+10,"")</f>
        <v/>
      </c>
      <c r="AQ125" s="220"/>
      <c r="AR125" s="77" t="str">
        <f>IF(Table4[[#This Row],[Date Report is delivered:]]&lt;&gt;"", "Delivered", "")</f>
        <v/>
      </c>
      <c r="AS125" s="179"/>
      <c r="AT125" s="77"/>
      <c r="AU125" s="179"/>
      <c r="AV125" s="77"/>
      <c r="AW125" s="77"/>
    </row>
    <row r="126" spans="1:49" hidden="1">
      <c r="A126" s="173"/>
      <c r="B126" s="75"/>
      <c r="C126" s="77" t="str">
        <f>CONCATENATE(Table4[[#This Row],[Project]],"-",Table4[[#This Row],[WO]])</f>
        <v>-</v>
      </c>
      <c r="D126" s="76"/>
      <c r="E126" s="77"/>
      <c r="F126" s="77"/>
      <c r="G126" s="77"/>
      <c r="H126" s="77"/>
      <c r="I126" s="102"/>
      <c r="J126" s="77"/>
      <c r="K126" s="77"/>
      <c r="L126" s="77"/>
      <c r="M126" s="77"/>
      <c r="N126" s="77"/>
      <c r="O126" s="77"/>
      <c r="P126" s="76"/>
      <c r="Q126" s="178"/>
      <c r="R126" s="110"/>
      <c r="S126" s="77"/>
      <c r="T126" s="179"/>
      <c r="U126" s="180"/>
      <c r="V126" s="180">
        <f>Table4[[#This Row],[Expected Revenue]]*Table4[[#This Row],[Probability]]</f>
        <v>0</v>
      </c>
      <c r="W126" s="180">
        <f t="shared" si="1"/>
        <v>20800</v>
      </c>
      <c r="X126" s="179"/>
      <c r="Y126" s="180">
        <f>Table4[[#This Row],[Rev. Based on PROB]]*Table4[[#This Row],[Expected CMR]]</f>
        <v>0</v>
      </c>
      <c r="Z126" s="203"/>
      <c r="AA126" s="77"/>
      <c r="AB126" s="181"/>
      <c r="AC126" s="180"/>
      <c r="AD126" s="220"/>
      <c r="AE126" s="220"/>
      <c r="AF126" s="220"/>
      <c r="AG126" s="185"/>
      <c r="AH126" s="185"/>
      <c r="AI126" s="185"/>
      <c r="AJ126" s="185"/>
      <c r="AK126" s="182"/>
      <c r="AL126" s="180"/>
      <c r="AM126" s="77"/>
      <c r="AN126" s="77"/>
      <c r="AO126" s="110" t="str">
        <f>IF(Table4[[#This Row],[Finish (demob)]]&lt;&gt;"",Table4[[#This Row],[Finish (demob)]]+10,"")</f>
        <v/>
      </c>
      <c r="AP126" s="110" t="str">
        <f>IF(Table4[[#This Row],[Finish (demob)]]&lt;&gt;"",Table4[[#This Row],[Finish (demob)]]+10,"")</f>
        <v/>
      </c>
      <c r="AQ126" s="220"/>
      <c r="AR126" s="77" t="str">
        <f>IF(Table4[[#This Row],[Date Report is delivered:]]&lt;&gt;"", "Delivered", "")</f>
        <v/>
      </c>
      <c r="AS126" s="179"/>
      <c r="AT126" s="77"/>
      <c r="AU126" s="179"/>
      <c r="AV126" s="77"/>
      <c r="AW126" s="77"/>
    </row>
    <row r="127" spans="1:49" hidden="1">
      <c r="A127" s="173"/>
      <c r="B127" s="75"/>
      <c r="C127" s="77" t="str">
        <f>CONCATENATE(Table4[[#This Row],[Project]],"-",Table4[[#This Row],[WO]])</f>
        <v>-</v>
      </c>
      <c r="D127" s="76"/>
      <c r="E127" s="77"/>
      <c r="F127" s="77"/>
      <c r="G127" s="77"/>
      <c r="H127" s="77"/>
      <c r="I127" s="102"/>
      <c r="J127" s="77"/>
      <c r="K127" s="77"/>
      <c r="L127" s="77"/>
      <c r="M127" s="77"/>
      <c r="N127" s="77"/>
      <c r="O127" s="77"/>
      <c r="P127" s="76"/>
      <c r="Q127" s="178"/>
      <c r="R127" s="110"/>
      <c r="S127" s="77"/>
      <c r="T127" s="179"/>
      <c r="U127" s="180"/>
      <c r="V127" s="180">
        <f>Table4[[#This Row],[Expected Revenue]]*Table4[[#This Row],[Probability]]</f>
        <v>0</v>
      </c>
      <c r="W127" s="180">
        <f t="shared" si="1"/>
        <v>20800</v>
      </c>
      <c r="X127" s="179"/>
      <c r="Y127" s="180">
        <f>Table4[[#This Row],[Rev. Based on PROB]]*Table4[[#This Row],[Expected CMR]]</f>
        <v>0</v>
      </c>
      <c r="Z127" s="203"/>
      <c r="AA127" s="77"/>
      <c r="AB127" s="181"/>
      <c r="AC127" s="180"/>
      <c r="AD127" s="220"/>
      <c r="AE127" s="220"/>
      <c r="AF127" s="220"/>
      <c r="AG127" s="220"/>
      <c r="AH127" s="220"/>
      <c r="AI127" s="188"/>
      <c r="AJ127" s="220"/>
      <c r="AK127" s="182"/>
      <c r="AL127" s="180"/>
      <c r="AM127" s="77"/>
      <c r="AN127" s="77"/>
      <c r="AO127" s="110" t="str">
        <f>IF(Table4[[#This Row],[Finish (demob)]]&lt;&gt;"",Table4[[#This Row],[Finish (demob)]]+10,"")</f>
        <v/>
      </c>
      <c r="AP127" s="110" t="str">
        <f>IF(Table4[[#This Row],[Finish (demob)]]&lt;&gt;"",Table4[[#This Row],[Finish (demob)]]+10,"")</f>
        <v/>
      </c>
      <c r="AQ127" s="220"/>
      <c r="AR127" s="77" t="str">
        <f>IF(Table4[[#This Row],[Date Report is delivered:]]&lt;&gt;"", "Delivered", "")</f>
        <v/>
      </c>
      <c r="AS127" s="179"/>
      <c r="AT127" s="77"/>
      <c r="AU127" s="179"/>
      <c r="AV127" s="77"/>
      <c r="AW127" s="77"/>
    </row>
    <row r="128" spans="1:49" hidden="1">
      <c r="A128" s="173"/>
      <c r="B128" s="75"/>
      <c r="C128" s="77" t="str">
        <f>CONCATENATE(Table4[[#This Row],[Project]],"-",Table4[[#This Row],[WO]])</f>
        <v>-</v>
      </c>
      <c r="D128" s="76"/>
      <c r="E128" s="77"/>
      <c r="F128" s="77"/>
      <c r="G128" s="77"/>
      <c r="H128" s="77"/>
      <c r="I128" s="102"/>
      <c r="J128" s="77"/>
      <c r="K128" s="77"/>
      <c r="L128" s="77"/>
      <c r="M128" s="77"/>
      <c r="N128" s="77"/>
      <c r="O128" s="77"/>
      <c r="P128" s="76"/>
      <c r="Q128" s="178"/>
      <c r="R128" s="110"/>
      <c r="S128" s="77"/>
      <c r="T128" s="179"/>
      <c r="U128" s="180"/>
      <c r="V128" s="180">
        <f>Table4[[#This Row],[Expected Revenue]]*Table4[[#This Row],[Probability]]</f>
        <v>0</v>
      </c>
      <c r="W128" s="180">
        <f t="shared" si="1"/>
        <v>20800</v>
      </c>
      <c r="X128" s="179"/>
      <c r="Y128" s="180">
        <f>Table4[[#This Row],[Rev. Based on PROB]]*Table4[[#This Row],[Expected CMR]]</f>
        <v>0</v>
      </c>
      <c r="Z128" s="203"/>
      <c r="AA128" s="77"/>
      <c r="AB128" s="181"/>
      <c r="AC128" s="180"/>
      <c r="AD128" s="220"/>
      <c r="AE128" s="220"/>
      <c r="AF128" s="220"/>
      <c r="AG128" s="220"/>
      <c r="AH128" s="220"/>
      <c r="AI128" s="188"/>
      <c r="AJ128" s="220"/>
      <c r="AK128" s="182"/>
      <c r="AL128" s="180"/>
      <c r="AM128" s="77"/>
      <c r="AN128" s="77"/>
      <c r="AO128" s="110" t="str">
        <f>IF(Table4[[#This Row],[Finish (demob)]]&lt;&gt;"",Table4[[#This Row],[Finish (demob)]]+10,"")</f>
        <v/>
      </c>
      <c r="AP128" s="110" t="str">
        <f>IF(Table4[[#This Row],[Finish (demob)]]&lt;&gt;"",Table4[[#This Row],[Finish (demob)]]+10,"")</f>
        <v/>
      </c>
      <c r="AQ128" s="220"/>
      <c r="AR128" s="77" t="str">
        <f>IF(Table4[[#This Row],[Date Report is delivered:]]&lt;&gt;"", "Delivered", "")</f>
        <v/>
      </c>
      <c r="AS128" s="179"/>
      <c r="AT128" s="77"/>
      <c r="AU128" s="179"/>
      <c r="AV128" s="77"/>
      <c r="AW128" s="77"/>
    </row>
    <row r="129" spans="1:49" hidden="1">
      <c r="A129" s="173"/>
      <c r="B129" s="75"/>
      <c r="C129" s="77" t="str">
        <f>CONCATENATE(Table4[[#This Row],[Project]],"-",Table4[[#This Row],[WO]])</f>
        <v>-</v>
      </c>
      <c r="D129" s="76"/>
      <c r="E129" s="77"/>
      <c r="F129" s="77"/>
      <c r="G129" s="77"/>
      <c r="H129" s="77"/>
      <c r="I129" s="102"/>
      <c r="J129" s="77"/>
      <c r="K129" s="77"/>
      <c r="L129" s="77"/>
      <c r="M129" s="77"/>
      <c r="N129" s="77"/>
      <c r="O129" s="77"/>
      <c r="P129" s="76"/>
      <c r="Q129" s="178"/>
      <c r="R129" s="110"/>
      <c r="S129" s="77"/>
      <c r="T129" s="179"/>
      <c r="U129" s="180"/>
      <c r="V129" s="180">
        <f>Table4[[#This Row],[Expected Revenue]]*Table4[[#This Row],[Probability]]</f>
        <v>0</v>
      </c>
      <c r="W129" s="180">
        <f t="shared" si="1"/>
        <v>20800</v>
      </c>
      <c r="X129" s="179"/>
      <c r="Y129" s="180">
        <f>Table4[[#This Row],[Rev. Based on PROB]]*Table4[[#This Row],[Expected CMR]]</f>
        <v>0</v>
      </c>
      <c r="Z129" s="203"/>
      <c r="AA129" s="77"/>
      <c r="AB129" s="181"/>
      <c r="AC129" s="180"/>
      <c r="AD129" s="220"/>
      <c r="AE129" s="220"/>
      <c r="AF129" s="220"/>
      <c r="AG129" s="220"/>
      <c r="AH129" s="220"/>
      <c r="AI129" s="188"/>
      <c r="AJ129" s="220"/>
      <c r="AK129" s="182"/>
      <c r="AL129" s="180"/>
      <c r="AM129" s="77"/>
      <c r="AN129" s="77"/>
      <c r="AO129" s="110" t="str">
        <f>IF(Table4[[#This Row],[Finish (demob)]]&lt;&gt;"",Table4[[#This Row],[Finish (demob)]]+10,"")</f>
        <v/>
      </c>
      <c r="AP129" s="110" t="str">
        <f>IF(Table4[[#This Row],[Finish (demob)]]&lt;&gt;"",Table4[[#This Row],[Finish (demob)]]+10,"")</f>
        <v/>
      </c>
      <c r="AQ129" s="220"/>
      <c r="AR129" s="77" t="str">
        <f>IF(Table4[[#This Row],[Date Report is delivered:]]&lt;&gt;"", "Delivered", "")</f>
        <v/>
      </c>
      <c r="AS129" s="179"/>
      <c r="AT129" s="77"/>
      <c r="AU129" s="179"/>
      <c r="AV129" s="77"/>
      <c r="AW129" s="77"/>
    </row>
    <row r="130" spans="1:49" hidden="1">
      <c r="A130" s="173"/>
      <c r="B130" s="75"/>
      <c r="C130" s="77" t="str">
        <f>CONCATENATE(Table4[[#This Row],[Project]],"-",Table4[[#This Row],[WO]])</f>
        <v>-</v>
      </c>
      <c r="D130" s="76"/>
      <c r="E130" s="77"/>
      <c r="F130" s="77"/>
      <c r="G130" s="77"/>
      <c r="H130" s="77"/>
      <c r="I130" s="102"/>
      <c r="J130" s="77"/>
      <c r="K130" s="77"/>
      <c r="L130" s="77"/>
      <c r="M130" s="77"/>
      <c r="N130" s="77"/>
      <c r="O130" s="77"/>
      <c r="P130" s="76"/>
      <c r="Q130" s="178"/>
      <c r="R130" s="110"/>
      <c r="S130" s="77"/>
      <c r="T130" s="179"/>
      <c r="U130" s="180"/>
      <c r="V130" s="180">
        <f>Table4[[#This Row],[Expected Revenue]]*Table4[[#This Row],[Probability]]</f>
        <v>0</v>
      </c>
      <c r="W130" s="180">
        <f t="shared" si="1"/>
        <v>20800</v>
      </c>
      <c r="X130" s="179"/>
      <c r="Y130" s="180">
        <f>Table4[[#This Row],[Rev. Based on PROB]]*Table4[[#This Row],[Expected CMR]]</f>
        <v>0</v>
      </c>
      <c r="Z130" s="203"/>
      <c r="AA130" s="77"/>
      <c r="AB130" s="181"/>
      <c r="AC130" s="180"/>
      <c r="AD130" s="220"/>
      <c r="AE130" s="220"/>
      <c r="AF130" s="220"/>
      <c r="AG130" s="220"/>
      <c r="AH130" s="220"/>
      <c r="AI130" s="188"/>
      <c r="AJ130" s="220"/>
      <c r="AK130" s="182"/>
      <c r="AL130" s="180"/>
      <c r="AM130" s="77"/>
      <c r="AN130" s="77"/>
      <c r="AO130" s="110" t="str">
        <f>IF(Table4[[#This Row],[Finish (demob)]]&lt;&gt;"",Table4[[#This Row],[Finish (demob)]]+10,"")</f>
        <v/>
      </c>
      <c r="AP130" s="110" t="str">
        <f>IF(Table4[[#This Row],[Finish (demob)]]&lt;&gt;"",Table4[[#This Row],[Finish (demob)]]+10,"")</f>
        <v/>
      </c>
      <c r="AQ130" s="220"/>
      <c r="AR130" s="77" t="str">
        <f>IF(Table4[[#This Row],[Date Report is delivered:]]&lt;&gt;"", "Delivered", "")</f>
        <v/>
      </c>
      <c r="AS130" s="179"/>
      <c r="AT130" s="77"/>
      <c r="AU130" s="179"/>
      <c r="AV130" s="77"/>
      <c r="AW130" s="77"/>
    </row>
    <row r="131" spans="1:49" hidden="1">
      <c r="A131" s="173"/>
      <c r="B131" s="75"/>
      <c r="C131" s="77" t="str">
        <f>CONCATENATE(Table4[[#This Row],[Project]],"-",Table4[[#This Row],[WO]])</f>
        <v>-</v>
      </c>
      <c r="D131" s="76"/>
      <c r="E131" s="77"/>
      <c r="F131" s="77"/>
      <c r="G131" s="77"/>
      <c r="H131" s="77"/>
      <c r="I131" s="102"/>
      <c r="J131" s="77"/>
      <c r="K131" s="77"/>
      <c r="L131" s="77"/>
      <c r="M131" s="77"/>
      <c r="N131" s="77"/>
      <c r="O131" s="77"/>
      <c r="P131" s="76"/>
      <c r="Q131" s="178"/>
      <c r="R131" s="110"/>
      <c r="S131" s="77"/>
      <c r="T131" s="179"/>
      <c r="U131" s="180"/>
      <c r="V131" s="180">
        <f>Table4[[#This Row],[Expected Revenue]]*Table4[[#This Row],[Probability]]</f>
        <v>0</v>
      </c>
      <c r="W131" s="180">
        <f t="shared" ref="W131:W194" si="2">(800*3+((550+310+290)*12)+1600+250*12)</f>
        <v>20800</v>
      </c>
      <c r="X131" s="179"/>
      <c r="Y131" s="180">
        <f>Table4[[#This Row],[Rev. Based on PROB]]*Table4[[#This Row],[Expected CMR]]</f>
        <v>0</v>
      </c>
      <c r="Z131" s="203"/>
      <c r="AA131" s="77"/>
      <c r="AB131" s="181"/>
      <c r="AC131" s="180"/>
      <c r="AD131" s="220"/>
      <c r="AE131" s="220"/>
      <c r="AF131" s="220"/>
      <c r="AG131" s="220"/>
      <c r="AH131" s="220"/>
      <c r="AI131" s="188"/>
      <c r="AJ131" s="220"/>
      <c r="AK131" s="182"/>
      <c r="AL131" s="180"/>
      <c r="AM131" s="77"/>
      <c r="AN131" s="77"/>
      <c r="AO131" s="110" t="str">
        <f>IF(Table4[[#This Row],[Finish (demob)]]&lt;&gt;"",Table4[[#This Row],[Finish (demob)]]+10,"")</f>
        <v/>
      </c>
      <c r="AP131" s="110" t="str">
        <f>IF(Table4[[#This Row],[Finish (demob)]]&lt;&gt;"",Table4[[#This Row],[Finish (demob)]]+10,"")</f>
        <v/>
      </c>
      <c r="AQ131" s="220"/>
      <c r="AR131" s="77" t="str">
        <f>IF(Table4[[#This Row],[Date Report is delivered:]]&lt;&gt;"", "Delivered", "")</f>
        <v/>
      </c>
      <c r="AS131" s="179"/>
      <c r="AT131" s="77"/>
      <c r="AU131" s="179"/>
      <c r="AV131" s="77"/>
      <c r="AW131" s="77"/>
    </row>
    <row r="132" spans="1:49" hidden="1">
      <c r="A132" s="173"/>
      <c r="B132" s="75"/>
      <c r="C132" s="77" t="str">
        <f>CONCATENATE(Table4[[#This Row],[Project]],"-",Table4[[#This Row],[WO]])</f>
        <v>-</v>
      </c>
      <c r="D132" s="76"/>
      <c r="E132" s="77"/>
      <c r="F132" s="77"/>
      <c r="G132" s="77"/>
      <c r="H132" s="77"/>
      <c r="I132" s="102"/>
      <c r="J132" s="77"/>
      <c r="K132" s="77"/>
      <c r="L132" s="77"/>
      <c r="M132" s="77"/>
      <c r="N132" s="77"/>
      <c r="O132" s="77"/>
      <c r="P132" s="76"/>
      <c r="Q132" s="178"/>
      <c r="R132" s="110"/>
      <c r="S132" s="77"/>
      <c r="T132" s="179"/>
      <c r="U132" s="180"/>
      <c r="V132" s="180">
        <f>Table4[[#This Row],[Expected Revenue]]*Table4[[#This Row],[Probability]]</f>
        <v>0</v>
      </c>
      <c r="W132" s="180">
        <f t="shared" si="2"/>
        <v>20800</v>
      </c>
      <c r="X132" s="179"/>
      <c r="Y132" s="180">
        <f>Table4[[#This Row],[Rev. Based on PROB]]*Table4[[#This Row],[Expected CMR]]</f>
        <v>0</v>
      </c>
      <c r="Z132" s="203"/>
      <c r="AA132" s="77"/>
      <c r="AB132" s="181"/>
      <c r="AC132" s="180"/>
      <c r="AD132" s="220"/>
      <c r="AE132" s="220"/>
      <c r="AF132" s="220"/>
      <c r="AG132" s="220"/>
      <c r="AH132" s="220"/>
      <c r="AI132" s="188"/>
      <c r="AJ132" s="220"/>
      <c r="AK132" s="182"/>
      <c r="AL132" s="180"/>
      <c r="AM132" s="77"/>
      <c r="AN132" s="77"/>
      <c r="AO132" s="110" t="str">
        <f>IF(Table4[[#This Row],[Finish (demob)]]&lt;&gt;"",Table4[[#This Row],[Finish (demob)]]+10,"")</f>
        <v/>
      </c>
      <c r="AP132" s="110" t="str">
        <f>IF(Table4[[#This Row],[Finish (demob)]]&lt;&gt;"",Table4[[#This Row],[Finish (demob)]]+10,"")</f>
        <v/>
      </c>
      <c r="AQ132" s="220"/>
      <c r="AR132" s="77" t="str">
        <f>IF(Table4[[#This Row],[Date Report is delivered:]]&lt;&gt;"", "Delivered", "")</f>
        <v/>
      </c>
      <c r="AS132" s="179"/>
      <c r="AT132" s="77"/>
      <c r="AU132" s="179"/>
      <c r="AV132" s="77"/>
      <c r="AW132" s="77"/>
    </row>
    <row r="133" spans="1:49" hidden="1">
      <c r="A133" s="173"/>
      <c r="B133" s="75"/>
      <c r="C133" s="77" t="str">
        <f>CONCATENATE(Table4[[#This Row],[Project]],"-",Table4[[#This Row],[WO]])</f>
        <v>-</v>
      </c>
      <c r="D133" s="76"/>
      <c r="E133" s="77"/>
      <c r="F133" s="77"/>
      <c r="G133" s="77"/>
      <c r="H133" s="77"/>
      <c r="I133" s="102"/>
      <c r="J133" s="77"/>
      <c r="K133" s="77"/>
      <c r="L133" s="77"/>
      <c r="M133" s="77"/>
      <c r="N133" s="77"/>
      <c r="O133" s="77"/>
      <c r="P133" s="76"/>
      <c r="Q133" s="178"/>
      <c r="R133" s="110"/>
      <c r="S133" s="77"/>
      <c r="T133" s="179"/>
      <c r="U133" s="180"/>
      <c r="V133" s="180">
        <f>Table4[[#This Row],[Expected Revenue]]*Table4[[#This Row],[Probability]]</f>
        <v>0</v>
      </c>
      <c r="W133" s="180">
        <f t="shared" si="2"/>
        <v>20800</v>
      </c>
      <c r="X133" s="179"/>
      <c r="Y133" s="180">
        <f>Table4[[#This Row],[Rev. Based on PROB]]*Table4[[#This Row],[Expected CMR]]</f>
        <v>0</v>
      </c>
      <c r="Z133" s="203"/>
      <c r="AA133" s="77"/>
      <c r="AB133" s="181"/>
      <c r="AC133" s="180"/>
      <c r="AD133" s="220"/>
      <c r="AE133" s="220"/>
      <c r="AF133" s="220"/>
      <c r="AG133" s="220"/>
      <c r="AH133" s="220"/>
      <c r="AI133" s="188"/>
      <c r="AJ133" s="220"/>
      <c r="AK133" s="182"/>
      <c r="AL133" s="180"/>
      <c r="AM133" s="77"/>
      <c r="AN133" s="77"/>
      <c r="AO133" s="110" t="str">
        <f>IF(Table4[[#This Row],[Finish (demob)]]&lt;&gt;"",Table4[[#This Row],[Finish (demob)]]+10,"")</f>
        <v/>
      </c>
      <c r="AP133" s="110" t="str">
        <f>IF(Table4[[#This Row],[Finish (demob)]]&lt;&gt;"",Table4[[#This Row],[Finish (demob)]]+10,"")</f>
        <v/>
      </c>
      <c r="AQ133" s="220"/>
      <c r="AR133" s="77" t="str">
        <f>IF(Table4[[#This Row],[Date Report is delivered:]]&lt;&gt;"", "Delivered", "")</f>
        <v/>
      </c>
      <c r="AS133" s="179"/>
      <c r="AT133" s="77"/>
      <c r="AU133" s="179"/>
      <c r="AV133" s="77"/>
      <c r="AW133" s="77"/>
    </row>
    <row r="134" spans="1:49" hidden="1">
      <c r="A134" s="173"/>
      <c r="B134" s="75"/>
      <c r="C134" s="77" t="str">
        <f>CONCATENATE(Table4[[#This Row],[Project]],"-",Table4[[#This Row],[WO]])</f>
        <v>-</v>
      </c>
      <c r="D134" s="76"/>
      <c r="E134" s="77"/>
      <c r="F134" s="77"/>
      <c r="G134" s="77"/>
      <c r="H134" s="77"/>
      <c r="I134" s="102"/>
      <c r="J134" s="77"/>
      <c r="K134" s="77"/>
      <c r="L134" s="77"/>
      <c r="M134" s="77"/>
      <c r="N134" s="77"/>
      <c r="O134" s="77"/>
      <c r="P134" s="76"/>
      <c r="Q134" s="178"/>
      <c r="R134" s="110"/>
      <c r="S134" s="77"/>
      <c r="T134" s="179"/>
      <c r="U134" s="180"/>
      <c r="V134" s="180">
        <f>Table4[[#This Row],[Expected Revenue]]*Table4[[#This Row],[Probability]]</f>
        <v>0</v>
      </c>
      <c r="W134" s="180">
        <f t="shared" si="2"/>
        <v>20800</v>
      </c>
      <c r="X134" s="179"/>
      <c r="Y134" s="180">
        <f>Table4[[#This Row],[Rev. Based on PROB]]*Table4[[#This Row],[Expected CMR]]</f>
        <v>0</v>
      </c>
      <c r="Z134" s="203"/>
      <c r="AA134" s="77"/>
      <c r="AB134" s="181"/>
      <c r="AC134" s="180"/>
      <c r="AD134" s="220"/>
      <c r="AE134" s="220"/>
      <c r="AF134" s="220"/>
      <c r="AG134" s="220"/>
      <c r="AH134" s="220"/>
      <c r="AI134" s="188"/>
      <c r="AJ134" s="220"/>
      <c r="AK134" s="182"/>
      <c r="AL134" s="180"/>
      <c r="AM134" s="77"/>
      <c r="AN134" s="77"/>
      <c r="AO134" s="110" t="str">
        <f>IF(Table4[[#This Row],[Finish (demob)]]&lt;&gt;"",Table4[[#This Row],[Finish (demob)]]+10,"")</f>
        <v/>
      </c>
      <c r="AP134" s="110" t="str">
        <f>IF(Table4[[#This Row],[Finish (demob)]]&lt;&gt;"",Table4[[#This Row],[Finish (demob)]]+10,"")</f>
        <v/>
      </c>
      <c r="AQ134" s="220"/>
      <c r="AR134" s="77" t="str">
        <f>IF(Table4[[#This Row],[Date Report is delivered:]]&lt;&gt;"", "Delivered", "")</f>
        <v/>
      </c>
      <c r="AS134" s="179"/>
      <c r="AT134" s="77"/>
      <c r="AU134" s="179"/>
      <c r="AV134" s="77"/>
      <c r="AW134" s="77"/>
    </row>
    <row r="135" spans="1:49" hidden="1">
      <c r="A135" s="173"/>
      <c r="B135" s="75"/>
      <c r="C135" s="77" t="str">
        <f>CONCATENATE(Table4[[#This Row],[Project]],"-",Table4[[#This Row],[WO]])</f>
        <v>-</v>
      </c>
      <c r="D135" s="76"/>
      <c r="E135" s="77"/>
      <c r="F135" s="77"/>
      <c r="G135" s="77"/>
      <c r="H135" s="77"/>
      <c r="I135" s="102"/>
      <c r="J135" s="77"/>
      <c r="K135" s="77"/>
      <c r="L135" s="77"/>
      <c r="M135" s="77"/>
      <c r="N135" s="77"/>
      <c r="O135" s="77"/>
      <c r="P135" s="76"/>
      <c r="Q135" s="178"/>
      <c r="R135" s="110"/>
      <c r="S135" s="77"/>
      <c r="T135" s="179"/>
      <c r="U135" s="180"/>
      <c r="V135" s="180">
        <f>Table4[[#This Row],[Expected Revenue]]*Table4[[#This Row],[Probability]]</f>
        <v>0</v>
      </c>
      <c r="W135" s="180">
        <f t="shared" si="2"/>
        <v>20800</v>
      </c>
      <c r="X135" s="179"/>
      <c r="Y135" s="180">
        <f>Table4[[#This Row],[Rev. Based on PROB]]*Table4[[#This Row],[Expected CMR]]</f>
        <v>0</v>
      </c>
      <c r="Z135" s="203"/>
      <c r="AA135" s="77"/>
      <c r="AB135" s="181"/>
      <c r="AC135" s="180"/>
      <c r="AD135" s="220"/>
      <c r="AE135" s="220"/>
      <c r="AF135" s="220"/>
      <c r="AG135" s="220"/>
      <c r="AH135" s="220"/>
      <c r="AI135" s="188"/>
      <c r="AJ135" s="220"/>
      <c r="AK135" s="182"/>
      <c r="AL135" s="180"/>
      <c r="AM135" s="77"/>
      <c r="AN135" s="77"/>
      <c r="AO135" s="110" t="str">
        <f>IF(Table4[[#This Row],[Finish (demob)]]&lt;&gt;"",Table4[[#This Row],[Finish (demob)]]+10,"")</f>
        <v/>
      </c>
      <c r="AP135" s="110" t="str">
        <f>IF(Table4[[#This Row],[Finish (demob)]]&lt;&gt;"",Table4[[#This Row],[Finish (demob)]]+10,"")</f>
        <v/>
      </c>
      <c r="AQ135" s="220"/>
      <c r="AR135" s="77" t="str">
        <f>IF(Table4[[#This Row],[Date Report is delivered:]]&lt;&gt;"", "Delivered", "")</f>
        <v/>
      </c>
      <c r="AS135" s="179"/>
      <c r="AT135" s="77"/>
      <c r="AU135" s="179"/>
      <c r="AV135" s="77"/>
      <c r="AW135" s="77"/>
    </row>
    <row r="136" spans="1:49" hidden="1">
      <c r="A136" s="173"/>
      <c r="B136" s="75"/>
      <c r="C136" s="77" t="str">
        <f>CONCATENATE(Table4[[#This Row],[Project]],"-",Table4[[#This Row],[WO]])</f>
        <v>-</v>
      </c>
      <c r="D136" s="76"/>
      <c r="E136" s="77"/>
      <c r="F136" s="77"/>
      <c r="G136" s="77"/>
      <c r="H136" s="77"/>
      <c r="I136" s="102"/>
      <c r="J136" s="77"/>
      <c r="K136" s="77"/>
      <c r="L136" s="77"/>
      <c r="M136" s="77"/>
      <c r="N136" s="77"/>
      <c r="O136" s="77"/>
      <c r="P136" s="76"/>
      <c r="Q136" s="178"/>
      <c r="R136" s="110"/>
      <c r="S136" s="77"/>
      <c r="T136" s="179"/>
      <c r="U136" s="180"/>
      <c r="V136" s="180">
        <f>Table4[[#This Row],[Expected Revenue]]*Table4[[#This Row],[Probability]]</f>
        <v>0</v>
      </c>
      <c r="W136" s="180">
        <f t="shared" si="2"/>
        <v>20800</v>
      </c>
      <c r="X136" s="179"/>
      <c r="Y136" s="180">
        <f>Table4[[#This Row],[Rev. Based on PROB]]*Table4[[#This Row],[Expected CMR]]</f>
        <v>0</v>
      </c>
      <c r="Z136" s="203"/>
      <c r="AA136" s="77"/>
      <c r="AB136" s="181"/>
      <c r="AC136" s="180"/>
      <c r="AD136" s="220"/>
      <c r="AE136" s="220"/>
      <c r="AF136" s="220"/>
      <c r="AG136" s="220"/>
      <c r="AH136" s="220"/>
      <c r="AI136" s="188"/>
      <c r="AJ136" s="220"/>
      <c r="AK136" s="182"/>
      <c r="AL136" s="180"/>
      <c r="AM136" s="77"/>
      <c r="AN136" s="77"/>
      <c r="AO136" s="110" t="str">
        <f>IF(Table4[[#This Row],[Finish (demob)]]&lt;&gt;"",Table4[[#This Row],[Finish (demob)]]+10,"")</f>
        <v/>
      </c>
      <c r="AP136" s="110" t="str">
        <f>IF(Table4[[#This Row],[Finish (demob)]]&lt;&gt;"",Table4[[#This Row],[Finish (demob)]]+10,"")</f>
        <v/>
      </c>
      <c r="AQ136" s="220"/>
      <c r="AR136" s="77" t="str">
        <f>IF(Table4[[#This Row],[Date Report is delivered:]]&lt;&gt;"", "Delivered", "")</f>
        <v/>
      </c>
      <c r="AS136" s="179"/>
      <c r="AT136" s="77"/>
      <c r="AU136" s="179"/>
      <c r="AV136" s="77"/>
      <c r="AW136" s="77"/>
    </row>
    <row r="137" spans="1:49" hidden="1">
      <c r="A137" s="173"/>
      <c r="B137" s="75"/>
      <c r="C137" s="77" t="str">
        <f>CONCATENATE(Table4[[#This Row],[Project]],"-",Table4[[#This Row],[WO]])</f>
        <v>-</v>
      </c>
      <c r="D137" s="76"/>
      <c r="E137" s="77"/>
      <c r="F137" s="77"/>
      <c r="G137" s="77"/>
      <c r="H137" s="77"/>
      <c r="I137" s="102"/>
      <c r="J137" s="77"/>
      <c r="K137" s="77"/>
      <c r="L137" s="77"/>
      <c r="M137" s="77"/>
      <c r="N137" s="77"/>
      <c r="O137" s="77"/>
      <c r="P137" s="76"/>
      <c r="Q137" s="178"/>
      <c r="R137" s="110"/>
      <c r="S137" s="77"/>
      <c r="T137" s="179"/>
      <c r="U137" s="180"/>
      <c r="V137" s="180">
        <f>Table4[[#This Row],[Expected Revenue]]*Table4[[#This Row],[Probability]]</f>
        <v>0</v>
      </c>
      <c r="W137" s="180">
        <f t="shared" si="2"/>
        <v>20800</v>
      </c>
      <c r="X137" s="179"/>
      <c r="Y137" s="180">
        <f>Table4[[#This Row],[Rev. Based on PROB]]*Table4[[#This Row],[Expected CMR]]</f>
        <v>0</v>
      </c>
      <c r="Z137" s="203"/>
      <c r="AA137" s="77"/>
      <c r="AB137" s="181"/>
      <c r="AC137" s="180"/>
      <c r="AD137" s="220"/>
      <c r="AE137" s="220"/>
      <c r="AF137" s="220"/>
      <c r="AG137" s="220"/>
      <c r="AH137" s="220"/>
      <c r="AI137" s="188"/>
      <c r="AJ137" s="220"/>
      <c r="AK137" s="182"/>
      <c r="AL137" s="180"/>
      <c r="AM137" s="77"/>
      <c r="AN137" s="77"/>
      <c r="AO137" s="110" t="str">
        <f>IF(Table4[[#This Row],[Finish (demob)]]&lt;&gt;"",Table4[[#This Row],[Finish (demob)]]+10,"")</f>
        <v/>
      </c>
      <c r="AP137" s="110" t="str">
        <f>IF(Table4[[#This Row],[Finish (demob)]]&lt;&gt;"",Table4[[#This Row],[Finish (demob)]]+10,"")</f>
        <v/>
      </c>
      <c r="AQ137" s="220"/>
      <c r="AR137" s="77" t="str">
        <f>IF(Table4[[#This Row],[Date Report is delivered:]]&lt;&gt;"", "Delivered", "")</f>
        <v/>
      </c>
      <c r="AS137" s="179"/>
      <c r="AT137" s="77"/>
      <c r="AU137" s="179"/>
      <c r="AV137" s="77"/>
      <c r="AW137" s="77"/>
    </row>
    <row r="138" spans="1:49" hidden="1">
      <c r="A138" s="173"/>
      <c r="B138" s="75"/>
      <c r="C138" s="77" t="str">
        <f>CONCATENATE(Table4[[#This Row],[Project]],"-",Table4[[#This Row],[WO]])</f>
        <v>-</v>
      </c>
      <c r="D138" s="76"/>
      <c r="E138" s="77"/>
      <c r="F138" s="77"/>
      <c r="G138" s="77"/>
      <c r="H138" s="77"/>
      <c r="I138" s="102"/>
      <c r="J138" s="77"/>
      <c r="K138" s="77"/>
      <c r="L138" s="77"/>
      <c r="M138" s="77"/>
      <c r="N138" s="77"/>
      <c r="O138" s="77"/>
      <c r="P138" s="76"/>
      <c r="Q138" s="178"/>
      <c r="R138" s="110"/>
      <c r="S138" s="77"/>
      <c r="T138" s="179"/>
      <c r="U138" s="180"/>
      <c r="V138" s="180">
        <f>Table4[[#This Row],[Expected Revenue]]*Table4[[#This Row],[Probability]]</f>
        <v>0</v>
      </c>
      <c r="W138" s="180">
        <f t="shared" si="2"/>
        <v>20800</v>
      </c>
      <c r="X138" s="179"/>
      <c r="Y138" s="180">
        <f>Table4[[#This Row],[Rev. Based on PROB]]*Table4[[#This Row],[Expected CMR]]</f>
        <v>0</v>
      </c>
      <c r="Z138" s="203"/>
      <c r="AA138" s="77"/>
      <c r="AB138" s="181"/>
      <c r="AC138" s="180"/>
      <c r="AD138" s="220"/>
      <c r="AE138" s="220"/>
      <c r="AF138" s="220"/>
      <c r="AG138" s="220"/>
      <c r="AH138" s="220"/>
      <c r="AI138" s="188"/>
      <c r="AJ138" s="220"/>
      <c r="AK138" s="182"/>
      <c r="AL138" s="180"/>
      <c r="AM138" s="77"/>
      <c r="AN138" s="77"/>
      <c r="AO138" s="110" t="str">
        <f>IF(Table4[[#This Row],[Finish (demob)]]&lt;&gt;"",Table4[[#This Row],[Finish (demob)]]+10,"")</f>
        <v/>
      </c>
      <c r="AP138" s="110" t="str">
        <f>IF(Table4[[#This Row],[Finish (demob)]]&lt;&gt;"",Table4[[#This Row],[Finish (demob)]]+10,"")</f>
        <v/>
      </c>
      <c r="AQ138" s="220"/>
      <c r="AR138" s="77" t="str">
        <f>IF(Table4[[#This Row],[Date Report is delivered:]]&lt;&gt;"", "Delivered", "")</f>
        <v/>
      </c>
      <c r="AS138" s="179"/>
      <c r="AT138" s="77"/>
      <c r="AU138" s="179"/>
      <c r="AV138" s="77"/>
      <c r="AW138" s="77"/>
    </row>
    <row r="139" spans="1:49" hidden="1">
      <c r="A139" s="173">
        <v>201814</v>
      </c>
      <c r="B139" s="75" t="s">
        <v>69</v>
      </c>
      <c r="C139" s="77" t="str">
        <f>CONCATENATE(Table4[[#This Row],[Project]],"-",Table4[[#This Row],[WO]])</f>
        <v>201814-12</v>
      </c>
      <c r="D139" s="76" t="s">
        <v>117</v>
      </c>
      <c r="E139" s="77" t="s">
        <v>57</v>
      </c>
      <c r="F139" s="77" t="s">
        <v>58</v>
      </c>
      <c r="G139" s="77" t="s">
        <v>59</v>
      </c>
      <c r="H139" s="77" t="s">
        <v>105</v>
      </c>
      <c r="I139" s="102" t="s">
        <v>196</v>
      </c>
      <c r="J139" s="77" t="s">
        <v>92</v>
      </c>
      <c r="K139" s="77" t="s">
        <v>63</v>
      </c>
      <c r="L139" s="77" t="s">
        <v>193</v>
      </c>
      <c r="M139" s="77" t="s">
        <v>65</v>
      </c>
      <c r="N139" s="77" t="s">
        <v>77</v>
      </c>
      <c r="O139" s="77"/>
      <c r="P139" s="76" t="s">
        <v>197</v>
      </c>
      <c r="Q139" s="183" t="s">
        <v>198</v>
      </c>
      <c r="R139" s="110" t="s">
        <v>68</v>
      </c>
      <c r="S139" s="77">
        <v>2018</v>
      </c>
      <c r="T139" s="179">
        <v>1</v>
      </c>
      <c r="U139" s="180">
        <v>15945</v>
      </c>
      <c r="V139" s="180">
        <f>Table4[[#This Row],[Expected Revenue]]*Table4[[#This Row],[Probability]]</f>
        <v>15945</v>
      </c>
      <c r="W139" s="180">
        <f t="shared" si="2"/>
        <v>20800</v>
      </c>
      <c r="X139" s="179">
        <v>0.56000000000000005</v>
      </c>
      <c r="Y139" s="180">
        <f>Table4[[#This Row],[Expected Revenue]]*Table4[[#This Row],[Expected CMR]]</f>
        <v>8929.2000000000007</v>
      </c>
      <c r="Z139" s="203" t="s">
        <v>105</v>
      </c>
      <c r="AA139" s="77" t="s">
        <v>100</v>
      </c>
      <c r="AB139" s="181" t="s">
        <v>199</v>
      </c>
      <c r="AC139" s="180">
        <v>23103.33</v>
      </c>
      <c r="AD139" s="220">
        <v>43406</v>
      </c>
      <c r="AE139" s="220">
        <v>43421</v>
      </c>
      <c r="AF139" s="220"/>
      <c r="AG139" s="220"/>
      <c r="AH139" s="220"/>
      <c r="AI139" s="188"/>
      <c r="AJ139" s="220"/>
      <c r="AK139" s="182" t="s">
        <v>100</v>
      </c>
      <c r="AL139" s="180">
        <v>15945</v>
      </c>
      <c r="AM139" s="77" t="s">
        <v>93</v>
      </c>
      <c r="AN139" s="77">
        <v>2019</v>
      </c>
      <c r="AO139" s="110">
        <f>IF(AE139&gt;0,AE139+3," - ")</f>
        <v>43424</v>
      </c>
      <c r="AP139" s="110">
        <f t="shared" ref="AP139:AP147" si="3">IF(AE139&gt;0,AE139+14," - ")</f>
        <v>43435</v>
      </c>
      <c r="AQ139" s="220">
        <v>43429</v>
      </c>
      <c r="AR139" s="77" t="str">
        <f t="shared" ref="AR139:AR147" ca="1" si="4">IF(AD139=0,"-",IF(AQ139&gt;0,"Delivered",IF(TODAY()&gt;AP139,"Overdue",IF(TODAY()&lt;AP139,"In Progress"))))</f>
        <v>Delivered</v>
      </c>
      <c r="AS139" s="179">
        <v>0.35</v>
      </c>
      <c r="AT139" s="77" t="s">
        <v>144</v>
      </c>
      <c r="AU139" s="179"/>
      <c r="AV139" s="77"/>
      <c r="AW139" s="77"/>
    </row>
    <row r="140" spans="1:49" hidden="1">
      <c r="A140" s="173">
        <v>201814</v>
      </c>
      <c r="B140" s="173" t="s">
        <v>69</v>
      </c>
      <c r="C140" s="173" t="str">
        <f>CONCATENATE(Table4[[#This Row],[Project]],"-",Table4[[#This Row],[WO]])</f>
        <v>201814-12</v>
      </c>
      <c r="D140" s="76" t="s">
        <v>117</v>
      </c>
      <c r="E140" s="77" t="s">
        <v>57</v>
      </c>
      <c r="F140" s="77" t="s">
        <v>58</v>
      </c>
      <c r="G140" s="77" t="s">
        <v>59</v>
      </c>
      <c r="H140" s="77" t="s">
        <v>105</v>
      </c>
      <c r="I140" s="102" t="s">
        <v>196</v>
      </c>
      <c r="J140" s="77" t="s">
        <v>92</v>
      </c>
      <c r="K140" s="77" t="s">
        <v>63</v>
      </c>
      <c r="L140" s="77" t="s">
        <v>193</v>
      </c>
      <c r="M140" s="77" t="s">
        <v>65</v>
      </c>
      <c r="N140" s="77" t="s">
        <v>77</v>
      </c>
      <c r="O140" s="77"/>
      <c r="P140" s="76" t="s">
        <v>197</v>
      </c>
      <c r="Q140" s="178" t="s">
        <v>198</v>
      </c>
      <c r="R140" s="110" t="s">
        <v>68</v>
      </c>
      <c r="S140" s="77">
        <v>2018</v>
      </c>
      <c r="T140" s="179">
        <v>1</v>
      </c>
      <c r="U140" s="180">
        <v>27531.67</v>
      </c>
      <c r="V140" s="180">
        <f>Table4[[#This Row],[Expected Revenue]]*Table4[[#This Row],[Probability]]</f>
        <v>27531.67</v>
      </c>
      <c r="W140" s="180">
        <f t="shared" si="2"/>
        <v>20800</v>
      </c>
      <c r="X140" s="179">
        <v>0.56000000000000005</v>
      </c>
      <c r="Y140" s="180">
        <f>Table4[[#This Row],[Expected Revenue]]*Table4[[#This Row],[Expected CMR]]</f>
        <v>15417.735200000001</v>
      </c>
      <c r="Z140" s="203" t="s">
        <v>105</v>
      </c>
      <c r="AA140" s="77" t="s">
        <v>100</v>
      </c>
      <c r="AB140" s="181" t="s">
        <v>200</v>
      </c>
      <c r="AC140" s="180">
        <v>40396.65</v>
      </c>
      <c r="AD140" s="220">
        <v>43406</v>
      </c>
      <c r="AE140" s="220">
        <v>43450</v>
      </c>
      <c r="AF140" s="220"/>
      <c r="AG140" s="220"/>
      <c r="AH140" s="220"/>
      <c r="AI140" s="188"/>
      <c r="AJ140" s="220"/>
      <c r="AK140" s="182" t="s">
        <v>100</v>
      </c>
      <c r="AL140" s="180">
        <v>27531.67</v>
      </c>
      <c r="AM140" s="77" t="s">
        <v>93</v>
      </c>
      <c r="AN140" s="77">
        <v>2019</v>
      </c>
      <c r="AO140" s="110">
        <v>43460</v>
      </c>
      <c r="AP140" s="110">
        <f t="shared" si="3"/>
        <v>43464</v>
      </c>
      <c r="AQ140" s="220">
        <v>43433</v>
      </c>
      <c r="AR140" s="77" t="str">
        <f t="shared" ca="1" si="4"/>
        <v>Delivered</v>
      </c>
      <c r="AS140" s="179">
        <v>0.35</v>
      </c>
      <c r="AT140" s="77" t="s">
        <v>144</v>
      </c>
      <c r="AU140" s="179"/>
      <c r="AV140" s="77"/>
      <c r="AW140" s="77"/>
    </row>
    <row r="141" spans="1:49" hidden="1">
      <c r="A141" s="173">
        <v>201805</v>
      </c>
      <c r="B141" s="75" t="s">
        <v>98</v>
      </c>
      <c r="C141" s="77" t="str">
        <f>CONCATENATE(Table4[[#This Row],[Project]],"-",Table4[[#This Row],[WO]])</f>
        <v>201805-11</v>
      </c>
      <c r="D141" s="76" t="s">
        <v>114</v>
      </c>
      <c r="E141" s="77" t="s">
        <v>57</v>
      </c>
      <c r="F141" s="77" t="s">
        <v>58</v>
      </c>
      <c r="G141" s="77" t="s">
        <v>59</v>
      </c>
      <c r="H141" s="77" t="s">
        <v>105</v>
      </c>
      <c r="I141" s="102" t="s">
        <v>201</v>
      </c>
      <c r="J141" s="77" t="s">
        <v>92</v>
      </c>
      <c r="K141" s="77" t="s">
        <v>63</v>
      </c>
      <c r="L141" s="77" t="s">
        <v>193</v>
      </c>
      <c r="M141" s="77" t="s">
        <v>65</v>
      </c>
      <c r="N141" s="77" t="s">
        <v>77</v>
      </c>
      <c r="O141" s="77"/>
      <c r="P141" s="76" t="s">
        <v>202</v>
      </c>
      <c r="Q141" s="183" t="s">
        <v>203</v>
      </c>
      <c r="R141" s="152" t="s">
        <v>68</v>
      </c>
      <c r="S141" s="77">
        <v>2018</v>
      </c>
      <c r="T141" s="179">
        <v>1</v>
      </c>
      <c r="U141" s="180">
        <v>59915</v>
      </c>
      <c r="V141" s="180">
        <f>Table4[[#This Row],[Expected Revenue]]*Table4[[#This Row],[Probability]]</f>
        <v>59915</v>
      </c>
      <c r="W141" s="180">
        <f t="shared" si="2"/>
        <v>20800</v>
      </c>
      <c r="X141" s="179">
        <v>0.3</v>
      </c>
      <c r="Y141" s="180">
        <f>Table4[[#This Row],[Expected Revenue]]*Table4[[#This Row],[Expected CMR]]</f>
        <v>17974.5</v>
      </c>
      <c r="Z141" s="203" t="s">
        <v>105</v>
      </c>
      <c r="AA141" s="77" t="s">
        <v>100</v>
      </c>
      <c r="AB141" s="181" t="s">
        <v>204</v>
      </c>
      <c r="AC141" s="180">
        <v>1691.2</v>
      </c>
      <c r="AD141" s="220">
        <v>43429</v>
      </c>
      <c r="AE141" s="220">
        <v>43443</v>
      </c>
      <c r="AF141" s="220"/>
      <c r="AG141" s="220"/>
      <c r="AH141" s="220"/>
      <c r="AI141" s="188"/>
      <c r="AJ141" s="220"/>
      <c r="AK141" s="182" t="s">
        <v>100</v>
      </c>
      <c r="AL141" s="180">
        <v>59915</v>
      </c>
      <c r="AM141" s="77" t="s">
        <v>93</v>
      </c>
      <c r="AN141" s="77">
        <v>2019</v>
      </c>
      <c r="AO141" s="110">
        <f t="shared" ref="AO141:AO147" si="5">IF(AE141&gt;0,AE141+3," - ")</f>
        <v>43446</v>
      </c>
      <c r="AP141" s="110">
        <f t="shared" si="3"/>
        <v>43457</v>
      </c>
      <c r="AQ141" s="220">
        <v>43462</v>
      </c>
      <c r="AR141" s="77" t="str">
        <f t="shared" ca="1" si="4"/>
        <v>Delivered</v>
      </c>
      <c r="AS141" s="179">
        <v>0.35</v>
      </c>
      <c r="AT141" s="77" t="s">
        <v>136</v>
      </c>
      <c r="AU141" s="179"/>
      <c r="AV141" s="77"/>
      <c r="AW141" s="77"/>
    </row>
    <row r="142" spans="1:49" hidden="1">
      <c r="A142" s="173">
        <v>201905</v>
      </c>
      <c r="B142" s="75" t="s">
        <v>98</v>
      </c>
      <c r="C142" s="77" t="str">
        <f>CONCATENATE(Table4[[#This Row],[Project]],"-",Table4[[#This Row],[WO]])</f>
        <v>201905-11</v>
      </c>
      <c r="D142" s="76" t="s">
        <v>114</v>
      </c>
      <c r="E142" s="77" t="s">
        <v>57</v>
      </c>
      <c r="F142" s="77" t="s">
        <v>58</v>
      </c>
      <c r="G142" s="77" t="s">
        <v>59</v>
      </c>
      <c r="H142" s="77" t="s">
        <v>105</v>
      </c>
      <c r="I142" s="102" t="s">
        <v>205</v>
      </c>
      <c r="J142" s="77" t="s">
        <v>92</v>
      </c>
      <c r="K142" s="77" t="s">
        <v>63</v>
      </c>
      <c r="L142" s="77" t="s">
        <v>193</v>
      </c>
      <c r="M142" s="77" t="s">
        <v>65</v>
      </c>
      <c r="N142" s="77" t="s">
        <v>77</v>
      </c>
      <c r="O142" s="77"/>
      <c r="P142" s="76" t="s">
        <v>202</v>
      </c>
      <c r="Q142" s="183" t="s">
        <v>203</v>
      </c>
      <c r="R142" s="110" t="s">
        <v>80</v>
      </c>
      <c r="S142" s="77">
        <v>2019</v>
      </c>
      <c r="T142" s="179">
        <v>1</v>
      </c>
      <c r="U142" s="180">
        <v>30000</v>
      </c>
      <c r="V142" s="180">
        <f>Table4[[#This Row],[Expected Revenue]]*Table4[[#This Row],[Probability]]</f>
        <v>30000</v>
      </c>
      <c r="W142" s="180">
        <f t="shared" si="2"/>
        <v>20800</v>
      </c>
      <c r="X142" s="179">
        <v>0.3</v>
      </c>
      <c r="Y142" s="180">
        <f>Table4[[#This Row],[Expected Revenue]]*Table4[[#This Row],[Expected CMR]]</f>
        <v>9000</v>
      </c>
      <c r="Z142" s="203" t="s">
        <v>105</v>
      </c>
      <c r="AA142" s="77" t="s">
        <v>100</v>
      </c>
      <c r="AB142" s="181" t="s">
        <v>206</v>
      </c>
      <c r="AC142" s="180">
        <v>17748</v>
      </c>
      <c r="AD142" s="220">
        <v>43497</v>
      </c>
      <c r="AE142" s="220">
        <v>43506</v>
      </c>
      <c r="AF142" s="220"/>
      <c r="AG142" s="220"/>
      <c r="AH142" s="220"/>
      <c r="AI142" s="188"/>
      <c r="AJ142" s="220"/>
      <c r="AK142" s="182" t="s">
        <v>100</v>
      </c>
      <c r="AL142" s="180">
        <v>31112.5</v>
      </c>
      <c r="AM142" s="77" t="s">
        <v>80</v>
      </c>
      <c r="AN142" s="77">
        <v>2019</v>
      </c>
      <c r="AO142" s="110">
        <f t="shared" si="5"/>
        <v>43509</v>
      </c>
      <c r="AP142" s="110">
        <f t="shared" si="3"/>
        <v>43520</v>
      </c>
      <c r="AQ142" s="220">
        <v>43516</v>
      </c>
      <c r="AR142" s="77" t="str">
        <f t="shared" ca="1" si="4"/>
        <v>Delivered</v>
      </c>
      <c r="AS142" s="179">
        <v>0.35</v>
      </c>
      <c r="AT142" s="77" t="s">
        <v>207</v>
      </c>
      <c r="AU142" s="179"/>
      <c r="AV142" s="77"/>
      <c r="AW142" s="77"/>
    </row>
    <row r="143" spans="1:49" hidden="1">
      <c r="A143" s="173">
        <v>201912</v>
      </c>
      <c r="B143" s="75" t="s">
        <v>98</v>
      </c>
      <c r="C143" s="77" t="str">
        <f>CONCATENATE(Table4[[#This Row],[Project]],"-",Table4[[#This Row],[WO]])</f>
        <v>201912-11</v>
      </c>
      <c r="D143" s="76" t="s">
        <v>146</v>
      </c>
      <c r="E143" s="77" t="s">
        <v>57</v>
      </c>
      <c r="F143" s="77" t="s">
        <v>58</v>
      </c>
      <c r="G143" s="77" t="s">
        <v>59</v>
      </c>
      <c r="H143" s="77" t="s">
        <v>60</v>
      </c>
      <c r="I143" s="102" t="s">
        <v>208</v>
      </c>
      <c r="J143" s="77" t="s">
        <v>209</v>
      </c>
      <c r="K143" s="77" t="s">
        <v>63</v>
      </c>
      <c r="L143" s="77" t="s">
        <v>193</v>
      </c>
      <c r="M143" s="77" t="s">
        <v>65</v>
      </c>
      <c r="N143" s="77" t="s">
        <v>77</v>
      </c>
      <c r="O143" s="77"/>
      <c r="P143" s="76" t="s">
        <v>194</v>
      </c>
      <c r="Q143" s="183" t="s">
        <v>195</v>
      </c>
      <c r="R143" s="110" t="s">
        <v>93</v>
      </c>
      <c r="S143" s="77">
        <v>2019</v>
      </c>
      <c r="T143" s="179">
        <v>1</v>
      </c>
      <c r="U143" s="180">
        <v>24000</v>
      </c>
      <c r="V143" s="180">
        <f>Table4[[#This Row],[Expected Revenue]]*Table4[[#This Row],[Probability]]</f>
        <v>24000</v>
      </c>
      <c r="W143" s="180">
        <f t="shared" si="2"/>
        <v>20800</v>
      </c>
      <c r="X143" s="179">
        <v>0.59</v>
      </c>
      <c r="Y143" s="180">
        <f>Table4[[#This Row],[Expected Revenue]]*Table4[[#This Row],[Expected CMR]]</f>
        <v>14160</v>
      </c>
      <c r="Z143" s="203" t="s">
        <v>60</v>
      </c>
      <c r="AA143" s="77"/>
      <c r="AB143" s="77"/>
      <c r="AC143" s="180"/>
      <c r="AD143" s="220"/>
      <c r="AE143" s="220"/>
      <c r="AF143" s="220"/>
      <c r="AG143" s="220"/>
      <c r="AH143" s="220"/>
      <c r="AI143" s="188"/>
      <c r="AJ143" s="220"/>
      <c r="AK143" s="979"/>
      <c r="AL143" s="180"/>
      <c r="AM143" s="77"/>
      <c r="AN143" s="77"/>
      <c r="AO143" s="110" t="str">
        <f t="shared" si="5"/>
        <v xml:space="preserve"> - </v>
      </c>
      <c r="AP143" s="110" t="str">
        <f t="shared" si="3"/>
        <v xml:space="preserve"> - </v>
      </c>
      <c r="AQ143" s="220"/>
      <c r="AR143" s="77" t="str">
        <f t="shared" ca="1" si="4"/>
        <v>-</v>
      </c>
      <c r="AS143" s="179"/>
      <c r="AT143" s="77"/>
      <c r="AU143" s="179"/>
      <c r="AV143" s="77"/>
      <c r="AW143" s="77"/>
    </row>
    <row r="144" spans="1:49" hidden="1">
      <c r="A144" s="173">
        <v>201802</v>
      </c>
      <c r="B144" s="75" t="s">
        <v>69</v>
      </c>
      <c r="C144" s="77" t="str">
        <f>CONCATENATE(Table4[[#This Row],[Project]],"-",Table4[[#This Row],[WO]])</f>
        <v>201802-12</v>
      </c>
      <c r="D144" s="76" t="s">
        <v>104</v>
      </c>
      <c r="E144" s="77" t="s">
        <v>57</v>
      </c>
      <c r="F144" s="77" t="s">
        <v>58</v>
      </c>
      <c r="G144" s="77" t="s">
        <v>59</v>
      </c>
      <c r="H144" s="77" t="s">
        <v>105</v>
      </c>
      <c r="I144" s="102" t="s">
        <v>210</v>
      </c>
      <c r="J144" s="77" t="s">
        <v>62</v>
      </c>
      <c r="K144" s="77" t="s">
        <v>63</v>
      </c>
      <c r="L144" s="77" t="s">
        <v>193</v>
      </c>
      <c r="M144" s="77" t="s">
        <v>65</v>
      </c>
      <c r="N144" s="77" t="s">
        <v>77</v>
      </c>
      <c r="O144" s="77"/>
      <c r="P144" s="76" t="s">
        <v>211</v>
      </c>
      <c r="Q144" s="183" t="s">
        <v>212</v>
      </c>
      <c r="R144" s="110" t="s">
        <v>68</v>
      </c>
      <c r="S144" s="77">
        <v>2018</v>
      </c>
      <c r="T144" s="179">
        <v>1</v>
      </c>
      <c r="U144" s="180">
        <v>37560</v>
      </c>
      <c r="V144" s="180">
        <f>Table4[[#This Row],[Expected Revenue]]*Table4[[#This Row],[Probability]]</f>
        <v>37560</v>
      </c>
      <c r="W144" s="180">
        <f t="shared" si="2"/>
        <v>20800</v>
      </c>
      <c r="X144" s="179">
        <v>0.3</v>
      </c>
      <c r="Y144" s="180">
        <f>Table4[[#This Row],[Expected Revenue]]*Table4[[#This Row],[Expected CMR]]</f>
        <v>11268</v>
      </c>
      <c r="Z144" s="203" t="s">
        <v>105</v>
      </c>
      <c r="AA144" s="77" t="s">
        <v>100</v>
      </c>
      <c r="AB144" s="181" t="s">
        <v>213</v>
      </c>
      <c r="AC144" s="180">
        <v>6080.01</v>
      </c>
      <c r="AD144" s="220">
        <v>43423</v>
      </c>
      <c r="AE144" s="220">
        <v>43462</v>
      </c>
      <c r="AF144" s="220"/>
      <c r="AG144" s="220"/>
      <c r="AH144" s="220"/>
      <c r="AI144" s="188"/>
      <c r="AJ144" s="220"/>
      <c r="AK144" s="182" t="s">
        <v>100</v>
      </c>
      <c r="AL144" s="180">
        <v>37560</v>
      </c>
      <c r="AM144" s="77" t="s">
        <v>93</v>
      </c>
      <c r="AN144" s="77">
        <v>2019</v>
      </c>
      <c r="AO144" s="110">
        <f t="shared" si="5"/>
        <v>43465</v>
      </c>
      <c r="AP144" s="110">
        <f t="shared" si="3"/>
        <v>43476</v>
      </c>
      <c r="AQ144" s="220">
        <v>43462</v>
      </c>
      <c r="AR144" s="77" t="str">
        <f t="shared" ca="1" si="4"/>
        <v>Delivered</v>
      </c>
      <c r="AS144" s="179">
        <v>0.55000000000000004</v>
      </c>
      <c r="AT144" s="77" t="s">
        <v>144</v>
      </c>
      <c r="AU144" s="179"/>
      <c r="AV144" s="77"/>
      <c r="AW144" s="77"/>
    </row>
    <row r="145" spans="1:49" hidden="1">
      <c r="A145" s="173">
        <v>201911</v>
      </c>
      <c r="B145" s="75" t="s">
        <v>98</v>
      </c>
      <c r="C145" s="77" t="str">
        <f>CONCATENATE(Table4[[#This Row],[Project]],"-",Table4[[#This Row],[WO]])</f>
        <v>201911-11</v>
      </c>
      <c r="D145" s="76" t="s">
        <v>137</v>
      </c>
      <c r="E145" s="77" t="s">
        <v>57</v>
      </c>
      <c r="F145" s="77" t="s">
        <v>58</v>
      </c>
      <c r="G145" s="77" t="s">
        <v>59</v>
      </c>
      <c r="H145" s="77" t="s">
        <v>60</v>
      </c>
      <c r="I145" s="102" t="s">
        <v>214</v>
      </c>
      <c r="J145" s="77" t="s">
        <v>92</v>
      </c>
      <c r="K145" s="77" t="s">
        <v>63</v>
      </c>
      <c r="L145" s="77" t="s">
        <v>193</v>
      </c>
      <c r="M145" s="77" t="s">
        <v>65</v>
      </c>
      <c r="N145" s="77" t="s">
        <v>77</v>
      </c>
      <c r="O145" s="77"/>
      <c r="P145" s="76" t="s">
        <v>215</v>
      </c>
      <c r="Q145" s="183" t="s">
        <v>216</v>
      </c>
      <c r="R145" s="110" t="s">
        <v>93</v>
      </c>
      <c r="S145" s="77">
        <v>2019</v>
      </c>
      <c r="T145" s="179">
        <v>1</v>
      </c>
      <c r="U145" s="180">
        <v>10000</v>
      </c>
      <c r="V145" s="180">
        <f>Table4[[#This Row],[Expected Revenue]]*Table4[[#This Row],[Probability]]</f>
        <v>10000</v>
      </c>
      <c r="W145" s="180">
        <f t="shared" si="2"/>
        <v>20800</v>
      </c>
      <c r="X145" s="179">
        <v>0.3</v>
      </c>
      <c r="Y145" s="180">
        <f>Table4[[#This Row],[Expected Revenue]]*Table4[[#This Row],[Expected CMR]]</f>
        <v>3000</v>
      </c>
      <c r="Z145" s="203" t="s">
        <v>60</v>
      </c>
      <c r="AA145" s="77"/>
      <c r="AB145" s="77"/>
      <c r="AC145" s="180"/>
      <c r="AD145" s="220"/>
      <c r="AE145" s="220"/>
      <c r="AF145" s="220"/>
      <c r="AG145" s="220"/>
      <c r="AH145" s="220"/>
      <c r="AI145" s="188"/>
      <c r="AJ145" s="220"/>
      <c r="AK145" s="979"/>
      <c r="AL145" s="180"/>
      <c r="AM145" s="77"/>
      <c r="AN145" s="77"/>
      <c r="AO145" s="110" t="str">
        <f t="shared" si="5"/>
        <v xml:space="preserve"> - </v>
      </c>
      <c r="AP145" s="110" t="str">
        <f t="shared" si="3"/>
        <v xml:space="preserve"> - </v>
      </c>
      <c r="AQ145" s="220"/>
      <c r="AR145" s="77" t="str">
        <f t="shared" ca="1" si="4"/>
        <v>-</v>
      </c>
      <c r="AS145" s="179"/>
      <c r="AT145" s="77"/>
      <c r="AU145" s="179"/>
      <c r="AV145" s="77"/>
      <c r="AW145" s="77"/>
    </row>
    <row r="146" spans="1:49" hidden="1">
      <c r="A146" s="173">
        <v>201905</v>
      </c>
      <c r="B146" s="75" t="s">
        <v>103</v>
      </c>
      <c r="C146" s="77" t="str">
        <f>CONCATENATE(Table4[[#This Row],[Project]],"-",Table4[[#This Row],[WO]])</f>
        <v>201905-01</v>
      </c>
      <c r="D146" s="76" t="s">
        <v>114</v>
      </c>
      <c r="E146" s="77" t="s">
        <v>57</v>
      </c>
      <c r="F146" s="77" t="s">
        <v>58</v>
      </c>
      <c r="G146" s="77" t="s">
        <v>59</v>
      </c>
      <c r="H146" s="77" t="s">
        <v>105</v>
      </c>
      <c r="I146" s="102" t="s">
        <v>106</v>
      </c>
      <c r="J146" s="77" t="s">
        <v>107</v>
      </c>
      <c r="K146" s="77" t="s">
        <v>63</v>
      </c>
      <c r="L146" s="77" t="s">
        <v>193</v>
      </c>
      <c r="M146" s="77" t="s">
        <v>65</v>
      </c>
      <c r="N146" s="77" t="s">
        <v>77</v>
      </c>
      <c r="O146" s="77"/>
      <c r="P146" s="76" t="s">
        <v>202</v>
      </c>
      <c r="Q146" s="183" t="s">
        <v>203</v>
      </c>
      <c r="R146" s="110" t="s">
        <v>68</v>
      </c>
      <c r="S146" s="77">
        <v>2019</v>
      </c>
      <c r="T146" s="179">
        <v>1</v>
      </c>
      <c r="U146" s="180">
        <v>59378</v>
      </c>
      <c r="V146" s="180">
        <f>Table4[[#This Row],[Expected Revenue]]*Table4[[#This Row],[Probability]]</f>
        <v>59378</v>
      </c>
      <c r="W146" s="180">
        <f t="shared" si="2"/>
        <v>20800</v>
      </c>
      <c r="X146" s="179">
        <v>0.3</v>
      </c>
      <c r="Y146" s="180">
        <f>Table4[[#This Row],[Expected Revenue]]*Table4[[#This Row],[Expected CMR]]</f>
        <v>17813.399999999998</v>
      </c>
      <c r="Z146" s="203" t="s">
        <v>105</v>
      </c>
      <c r="AA146" s="77"/>
      <c r="AB146" s="77"/>
      <c r="AC146" s="180"/>
      <c r="AD146" s="220"/>
      <c r="AE146" s="220"/>
      <c r="AF146" s="220"/>
      <c r="AG146" s="220"/>
      <c r="AH146" s="220"/>
      <c r="AI146" s="188"/>
      <c r="AJ146" s="220"/>
      <c r="AK146" s="979"/>
      <c r="AL146" s="180"/>
      <c r="AM146" s="77"/>
      <c r="AN146" s="77"/>
      <c r="AO146" s="110" t="str">
        <f t="shared" si="5"/>
        <v xml:space="preserve"> - </v>
      </c>
      <c r="AP146" s="110" t="str">
        <f t="shared" si="3"/>
        <v xml:space="preserve"> - </v>
      </c>
      <c r="AQ146" s="220"/>
      <c r="AR146" s="77" t="str">
        <f t="shared" ca="1" si="4"/>
        <v>-</v>
      </c>
      <c r="AS146" s="179"/>
      <c r="AT146" s="77"/>
      <c r="AU146" s="179"/>
      <c r="AV146" s="77"/>
      <c r="AW146" s="77"/>
    </row>
    <row r="147" spans="1:49" hidden="1">
      <c r="A147" s="173">
        <v>201912</v>
      </c>
      <c r="B147" s="75" t="s">
        <v>103</v>
      </c>
      <c r="C147" s="77" t="str">
        <f>CONCATENATE(Table4[[#This Row],[Project]],"-",Table4[[#This Row],[WO]])</f>
        <v>201912-01</v>
      </c>
      <c r="D147" s="76" t="s">
        <v>146</v>
      </c>
      <c r="E147" s="77" t="s">
        <v>57</v>
      </c>
      <c r="F147" s="77" t="s">
        <v>58</v>
      </c>
      <c r="G147" s="77" t="s">
        <v>59</v>
      </c>
      <c r="H147" s="77" t="s">
        <v>60</v>
      </c>
      <c r="I147" s="102" t="s">
        <v>106</v>
      </c>
      <c r="J147" s="77" t="s">
        <v>107</v>
      </c>
      <c r="K147" s="77" t="s">
        <v>63</v>
      </c>
      <c r="L147" s="77" t="s">
        <v>193</v>
      </c>
      <c r="M147" s="77" t="s">
        <v>65</v>
      </c>
      <c r="N147" s="77" t="s">
        <v>77</v>
      </c>
      <c r="O147" s="77"/>
      <c r="P147" s="76" t="s">
        <v>194</v>
      </c>
      <c r="Q147" s="183" t="s">
        <v>195</v>
      </c>
      <c r="R147" s="110" t="s">
        <v>80</v>
      </c>
      <c r="S147" s="77">
        <v>2019</v>
      </c>
      <c r="T147" s="179">
        <v>1</v>
      </c>
      <c r="U147" s="180">
        <v>59378</v>
      </c>
      <c r="V147" s="180">
        <f>Table4[[#This Row],[Expected Revenue]]*Table4[[#This Row],[Probability]]</f>
        <v>59378</v>
      </c>
      <c r="W147" s="180">
        <f t="shared" si="2"/>
        <v>20800</v>
      </c>
      <c r="X147" s="179">
        <v>0.3</v>
      </c>
      <c r="Y147" s="180">
        <f>Table4[[#This Row],[Expected Revenue]]*Table4[[#This Row],[Expected CMR]]</f>
        <v>17813.399999999998</v>
      </c>
      <c r="Z147" s="203" t="s">
        <v>60</v>
      </c>
      <c r="AA147" s="77"/>
      <c r="AB147" s="77"/>
      <c r="AC147" s="180"/>
      <c r="AD147" s="220"/>
      <c r="AE147" s="220"/>
      <c r="AF147" s="220"/>
      <c r="AG147" s="220"/>
      <c r="AH147" s="220"/>
      <c r="AI147" s="188"/>
      <c r="AJ147" s="220"/>
      <c r="AK147" s="979"/>
      <c r="AL147" s="180"/>
      <c r="AM147" s="77"/>
      <c r="AN147" s="77"/>
      <c r="AO147" s="110" t="str">
        <f t="shared" si="5"/>
        <v xml:space="preserve"> - </v>
      </c>
      <c r="AP147" s="110" t="str">
        <f t="shared" si="3"/>
        <v xml:space="preserve"> - </v>
      </c>
      <c r="AQ147" s="220"/>
      <c r="AR147" s="77" t="str">
        <f t="shared" ca="1" si="4"/>
        <v>-</v>
      </c>
      <c r="AS147" s="179"/>
      <c r="AT147" s="77"/>
      <c r="AU147" s="179"/>
      <c r="AV147" s="77"/>
      <c r="AW147" s="77"/>
    </row>
    <row r="148" spans="1:49" hidden="1">
      <c r="A148" s="173">
        <v>201903</v>
      </c>
      <c r="B148" s="75" t="s">
        <v>103</v>
      </c>
      <c r="C148" s="77" t="str">
        <f>CONCATENATE(Table4[[#This Row],[Project]],"-",Table4[[#This Row],[WO]])</f>
        <v>201903-01</v>
      </c>
      <c r="D148" s="76" t="s">
        <v>73</v>
      </c>
      <c r="E148" s="77" t="s">
        <v>57</v>
      </c>
      <c r="F148" s="77" t="s">
        <v>58</v>
      </c>
      <c r="G148" s="77" t="s">
        <v>59</v>
      </c>
      <c r="H148" s="77" t="s">
        <v>105</v>
      </c>
      <c r="I148" s="102" t="s">
        <v>106</v>
      </c>
      <c r="J148" s="77" t="s">
        <v>107</v>
      </c>
      <c r="K148" s="77" t="s">
        <v>63</v>
      </c>
      <c r="L148" s="77" t="s">
        <v>217</v>
      </c>
      <c r="M148" s="77" t="s">
        <v>65</v>
      </c>
      <c r="N148" s="77" t="s">
        <v>77</v>
      </c>
      <c r="O148" s="77"/>
      <c r="P148" s="76" t="s">
        <v>78</v>
      </c>
      <c r="Q148" s="183" t="s">
        <v>79</v>
      </c>
      <c r="R148" s="110" t="s">
        <v>93</v>
      </c>
      <c r="S148" s="77">
        <v>2019</v>
      </c>
      <c r="T148" s="179">
        <v>1</v>
      </c>
      <c r="U148" s="180">
        <v>59378</v>
      </c>
      <c r="V148" s="180">
        <f>Table4[[#This Row],[Expected Revenue]]*Table4[[#This Row],[Probability]]</f>
        <v>59378</v>
      </c>
      <c r="W148" s="180">
        <f t="shared" si="2"/>
        <v>20800</v>
      </c>
      <c r="X148" s="179">
        <v>0.3</v>
      </c>
      <c r="Y148" s="180">
        <f>Table4[[#This Row],[Rev. Based on PROB]]*Table4[[#This Row],[Expected CMR]]</f>
        <v>17813.399999999998</v>
      </c>
      <c r="Z148" s="203" t="s">
        <v>105</v>
      </c>
      <c r="AA148" s="77" t="s">
        <v>136</v>
      </c>
      <c r="AB148" s="181" t="s">
        <v>218</v>
      </c>
      <c r="AC148" s="180">
        <v>59378</v>
      </c>
      <c r="AD148" s="220">
        <v>43474</v>
      </c>
      <c r="AE148" s="220">
        <v>43486</v>
      </c>
      <c r="AF148" s="220"/>
      <c r="AG148" s="220"/>
      <c r="AH148" s="220"/>
      <c r="AI148" s="188"/>
      <c r="AJ148" s="220"/>
      <c r="AK148" s="182" t="s">
        <v>100</v>
      </c>
      <c r="AL148" s="180">
        <v>59378</v>
      </c>
      <c r="AM148" s="77" t="s">
        <v>80</v>
      </c>
      <c r="AN148" s="77">
        <v>2019</v>
      </c>
      <c r="AO148" s="110">
        <f>IF(Table4[[#This Row],[Finish (demob)]]&lt;&gt;"",Table4[[#This Row],[Finish (demob)]]+10,"")</f>
        <v>43496</v>
      </c>
      <c r="AP148" s="110">
        <f>IF(Table4[[#This Row],[Finish (demob)]]&lt;&gt;"",Table4[[#This Row],[Finish (demob)]]+10,"")</f>
        <v>43496</v>
      </c>
      <c r="AQ148" s="220">
        <v>43496</v>
      </c>
      <c r="AR148" s="77" t="str">
        <f>IF(Table4[[#This Row],[Date Report is delivered:]]&lt;&gt;"", "Delivered", "")</f>
        <v>Delivered</v>
      </c>
      <c r="AS148" s="179">
        <v>0.76</v>
      </c>
      <c r="AT148" s="77" t="s">
        <v>136</v>
      </c>
      <c r="AU148" s="179"/>
      <c r="AV148" s="77"/>
      <c r="AW148" s="77"/>
    </row>
    <row r="149" spans="1:49" hidden="1">
      <c r="A149" s="173">
        <v>201902</v>
      </c>
      <c r="B149" s="75" t="s">
        <v>103</v>
      </c>
      <c r="C149" s="77" t="str">
        <f>CONCATENATE(Table4[[#This Row],[Project]],"-",Table4[[#This Row],[WO]])</f>
        <v>201902-01</v>
      </c>
      <c r="D149" s="76" t="s">
        <v>104</v>
      </c>
      <c r="E149" s="77" t="s">
        <v>57</v>
      </c>
      <c r="F149" s="77" t="s">
        <v>58</v>
      </c>
      <c r="G149" s="77" t="s">
        <v>59</v>
      </c>
      <c r="H149" s="77" t="s">
        <v>105</v>
      </c>
      <c r="I149" s="102" t="s">
        <v>106</v>
      </c>
      <c r="J149" s="77" t="s">
        <v>107</v>
      </c>
      <c r="K149" s="77" t="s">
        <v>63</v>
      </c>
      <c r="L149" s="77" t="s">
        <v>193</v>
      </c>
      <c r="M149" s="77" t="s">
        <v>65</v>
      </c>
      <c r="N149" s="77" t="s">
        <v>77</v>
      </c>
      <c r="O149" s="77"/>
      <c r="P149" s="76" t="s">
        <v>211</v>
      </c>
      <c r="Q149" s="183" t="s">
        <v>212</v>
      </c>
      <c r="R149" s="110" t="s">
        <v>219</v>
      </c>
      <c r="S149" s="77">
        <v>2019</v>
      </c>
      <c r="T149" s="179">
        <v>1</v>
      </c>
      <c r="U149" s="180">
        <v>59378</v>
      </c>
      <c r="V149" s="180">
        <f>Table4[[#This Row],[Expected Revenue]]*Table4[[#This Row],[Probability]]</f>
        <v>59378</v>
      </c>
      <c r="W149" s="180">
        <f t="shared" si="2"/>
        <v>20800</v>
      </c>
      <c r="X149" s="179">
        <v>0.3</v>
      </c>
      <c r="Y149" s="180">
        <f>Table4[[#This Row],[Expected Revenue]]*Table4[[#This Row],[Expected CMR]]</f>
        <v>17813.399999999998</v>
      </c>
      <c r="Z149" s="203" t="s">
        <v>105</v>
      </c>
      <c r="AA149" s="77"/>
      <c r="AB149" s="77"/>
      <c r="AC149" s="180"/>
      <c r="AD149" s="220"/>
      <c r="AE149" s="220"/>
      <c r="AF149" s="220"/>
      <c r="AG149" s="220"/>
      <c r="AH149" s="220"/>
      <c r="AI149" s="188"/>
      <c r="AJ149" s="220"/>
      <c r="AK149" s="979"/>
      <c r="AL149" s="180"/>
      <c r="AM149" s="77"/>
      <c r="AN149" s="77"/>
      <c r="AO149" s="110" t="str">
        <f t="shared" ref="AO149:AO155" si="6">IF(AE149&gt;0,AE149+3," - ")</f>
        <v xml:space="preserve"> - </v>
      </c>
      <c r="AP149" s="110" t="str">
        <f t="shared" ref="AP149:AP155" si="7">IF(AE149&gt;0,AE149+14," - ")</f>
        <v xml:space="preserve"> - </v>
      </c>
      <c r="AQ149" s="220"/>
      <c r="AR149" s="77" t="str">
        <f t="shared" ref="AR149:AR155" ca="1" si="8">IF(AD149=0,"-",IF(AQ149&gt;0,"Delivered",IF(TODAY()&gt;AP149,"Overdue",IF(TODAY()&lt;AP149,"In Progress"))))</f>
        <v>-</v>
      </c>
      <c r="AS149" s="179"/>
      <c r="AT149" s="77"/>
      <c r="AU149" s="179"/>
      <c r="AV149" s="77"/>
      <c r="AW149" s="77"/>
    </row>
    <row r="150" spans="1:49" hidden="1">
      <c r="A150" s="173">
        <v>201909</v>
      </c>
      <c r="B150" s="75" t="s">
        <v>103</v>
      </c>
      <c r="C150" s="77" t="str">
        <f>CONCATENATE(Table4[[#This Row],[Project]],"-",Table4[[#This Row],[WO]])</f>
        <v>201909-01</v>
      </c>
      <c r="D150" s="76" t="s">
        <v>122</v>
      </c>
      <c r="E150" s="77" t="s">
        <v>57</v>
      </c>
      <c r="F150" s="77" t="s">
        <v>58</v>
      </c>
      <c r="G150" s="77" t="s">
        <v>59</v>
      </c>
      <c r="H150" s="77" t="s">
        <v>60</v>
      </c>
      <c r="I150" s="102" t="s">
        <v>106</v>
      </c>
      <c r="J150" s="77" t="s">
        <v>107</v>
      </c>
      <c r="K150" s="77" t="s">
        <v>63</v>
      </c>
      <c r="L150" s="77" t="s">
        <v>193</v>
      </c>
      <c r="M150" s="77" t="s">
        <v>65</v>
      </c>
      <c r="N150" s="77" t="s">
        <v>77</v>
      </c>
      <c r="O150" s="77"/>
      <c r="P150" s="76" t="s">
        <v>220</v>
      </c>
      <c r="Q150" s="183" t="s">
        <v>221</v>
      </c>
      <c r="R150" s="110" t="s">
        <v>222</v>
      </c>
      <c r="S150" s="77">
        <v>2019</v>
      </c>
      <c r="T150" s="179">
        <v>1</v>
      </c>
      <c r="U150" s="180">
        <v>59378</v>
      </c>
      <c r="V150" s="180">
        <f>Table4[[#This Row],[Expected Revenue]]*Table4[[#This Row],[Probability]]</f>
        <v>59378</v>
      </c>
      <c r="W150" s="180">
        <f t="shared" si="2"/>
        <v>20800</v>
      </c>
      <c r="X150" s="179">
        <v>0.3</v>
      </c>
      <c r="Y150" s="180">
        <f>Table4[[#This Row],[Expected Revenue]]*Table4[[#This Row],[Expected CMR]]</f>
        <v>17813.399999999998</v>
      </c>
      <c r="Z150" s="203" t="s">
        <v>60</v>
      </c>
      <c r="AA150" s="77"/>
      <c r="AB150" s="77"/>
      <c r="AC150" s="180"/>
      <c r="AD150" s="220"/>
      <c r="AE150" s="220"/>
      <c r="AF150" s="220"/>
      <c r="AG150" s="220"/>
      <c r="AH150" s="220"/>
      <c r="AI150" s="188"/>
      <c r="AJ150" s="220"/>
      <c r="AK150" s="979"/>
      <c r="AL150" s="180"/>
      <c r="AM150" s="77"/>
      <c r="AN150" s="77"/>
      <c r="AO150" s="110" t="str">
        <f t="shared" si="6"/>
        <v xml:space="preserve"> - </v>
      </c>
      <c r="AP150" s="110" t="str">
        <f t="shared" si="7"/>
        <v xml:space="preserve"> - </v>
      </c>
      <c r="AQ150" s="220"/>
      <c r="AR150" s="77" t="str">
        <f t="shared" ca="1" si="8"/>
        <v>-</v>
      </c>
      <c r="AS150" s="179"/>
      <c r="AT150" s="77"/>
      <c r="AU150" s="179"/>
      <c r="AV150" s="77"/>
      <c r="AW150" s="77"/>
    </row>
    <row r="151" spans="1:49" hidden="1">
      <c r="A151" s="173">
        <v>201911</v>
      </c>
      <c r="B151" s="75" t="s">
        <v>103</v>
      </c>
      <c r="C151" s="77" t="str">
        <f>CONCATENATE(Table4[[#This Row],[Project]],"-",Table4[[#This Row],[WO]])</f>
        <v>201911-01</v>
      </c>
      <c r="D151" s="76" t="s">
        <v>137</v>
      </c>
      <c r="E151" s="77" t="s">
        <v>57</v>
      </c>
      <c r="F151" s="77" t="s">
        <v>58</v>
      </c>
      <c r="G151" s="77" t="s">
        <v>59</v>
      </c>
      <c r="H151" s="77" t="s">
        <v>60</v>
      </c>
      <c r="I151" s="102" t="s">
        <v>106</v>
      </c>
      <c r="J151" s="77" t="s">
        <v>107</v>
      </c>
      <c r="K151" s="77" t="s">
        <v>63</v>
      </c>
      <c r="L151" s="77" t="s">
        <v>193</v>
      </c>
      <c r="M151" s="77" t="s">
        <v>65</v>
      </c>
      <c r="N151" s="77" t="s">
        <v>77</v>
      </c>
      <c r="O151" s="77"/>
      <c r="P151" s="76" t="s">
        <v>215</v>
      </c>
      <c r="Q151" s="183" t="s">
        <v>216</v>
      </c>
      <c r="R151" s="110" t="s">
        <v>222</v>
      </c>
      <c r="S151" s="77">
        <v>2019</v>
      </c>
      <c r="T151" s="179">
        <v>1</v>
      </c>
      <c r="U151" s="180">
        <v>59378</v>
      </c>
      <c r="V151" s="180">
        <f>Table4[[#This Row],[Expected Revenue]]*Table4[[#This Row],[Probability]]</f>
        <v>59378</v>
      </c>
      <c r="W151" s="180">
        <f t="shared" si="2"/>
        <v>20800</v>
      </c>
      <c r="X151" s="179">
        <v>0.3</v>
      </c>
      <c r="Y151" s="180">
        <f>Table4[[#This Row],[Expected Revenue]]*Table4[[#This Row],[Expected CMR]]</f>
        <v>17813.399999999998</v>
      </c>
      <c r="Z151" s="203" t="s">
        <v>60</v>
      </c>
      <c r="AA151" s="77"/>
      <c r="AB151" s="77"/>
      <c r="AC151" s="180"/>
      <c r="AD151" s="220"/>
      <c r="AE151" s="220"/>
      <c r="AF151" s="220"/>
      <c r="AG151" s="220"/>
      <c r="AH151" s="220"/>
      <c r="AI151" s="188"/>
      <c r="AJ151" s="220"/>
      <c r="AK151" s="979"/>
      <c r="AL151" s="180"/>
      <c r="AM151" s="77"/>
      <c r="AN151" s="77"/>
      <c r="AO151" s="110" t="str">
        <f t="shared" si="6"/>
        <v xml:space="preserve"> - </v>
      </c>
      <c r="AP151" s="110" t="str">
        <f t="shared" si="7"/>
        <v xml:space="preserve"> - </v>
      </c>
      <c r="AQ151" s="220"/>
      <c r="AR151" s="77" t="str">
        <f t="shared" ca="1" si="8"/>
        <v>-</v>
      </c>
      <c r="AS151" s="179"/>
      <c r="AT151" s="77"/>
      <c r="AU151" s="179"/>
      <c r="AV151" s="77"/>
      <c r="AW151" s="77"/>
    </row>
    <row r="152" spans="1:49" hidden="1">
      <c r="A152" s="173">
        <v>201914</v>
      </c>
      <c r="B152" s="75" t="s">
        <v>103</v>
      </c>
      <c r="C152" s="77" t="str">
        <f>CONCATENATE(Table4[[#This Row],[Project]],"-",Table4[[#This Row],[WO]])</f>
        <v>201914-01</v>
      </c>
      <c r="D152" s="76" t="s">
        <v>117</v>
      </c>
      <c r="E152" s="77" t="s">
        <v>57</v>
      </c>
      <c r="F152" s="77" t="s">
        <v>58</v>
      </c>
      <c r="G152" s="77" t="s">
        <v>59</v>
      </c>
      <c r="H152" s="77" t="s">
        <v>105</v>
      </c>
      <c r="I152" s="102" t="s">
        <v>106</v>
      </c>
      <c r="J152" s="77" t="s">
        <v>107</v>
      </c>
      <c r="K152" s="77" t="s">
        <v>63</v>
      </c>
      <c r="L152" s="77" t="s">
        <v>193</v>
      </c>
      <c r="M152" s="77" t="s">
        <v>65</v>
      </c>
      <c r="N152" s="77" t="s">
        <v>77</v>
      </c>
      <c r="O152" s="77"/>
      <c r="P152" s="76" t="s">
        <v>197</v>
      </c>
      <c r="Q152" s="183" t="s">
        <v>198</v>
      </c>
      <c r="R152" s="110" t="s">
        <v>89</v>
      </c>
      <c r="S152" s="77">
        <v>2019</v>
      </c>
      <c r="T152" s="179">
        <v>1</v>
      </c>
      <c r="U152" s="180">
        <v>59318</v>
      </c>
      <c r="V152" s="180">
        <f>Table4[[#This Row],[Expected Revenue]]*Table4[[#This Row],[Probability]]</f>
        <v>59318</v>
      </c>
      <c r="W152" s="180">
        <f t="shared" si="2"/>
        <v>20800</v>
      </c>
      <c r="X152" s="179">
        <v>0.56000000000000005</v>
      </c>
      <c r="Y152" s="180">
        <f>Table4[[#This Row],[Expected Revenue]]*Table4[[#This Row],[Expected CMR]]</f>
        <v>33218.080000000002</v>
      </c>
      <c r="Z152" s="203" t="s">
        <v>105</v>
      </c>
      <c r="AA152" s="77"/>
      <c r="AB152" s="77"/>
      <c r="AC152" s="180"/>
      <c r="AD152" s="220"/>
      <c r="AE152" s="220"/>
      <c r="AF152" s="220"/>
      <c r="AG152" s="220"/>
      <c r="AH152" s="220"/>
      <c r="AI152" s="188"/>
      <c r="AJ152" s="220"/>
      <c r="AK152" s="979"/>
      <c r="AL152" s="180"/>
      <c r="AM152" s="77"/>
      <c r="AN152" s="77"/>
      <c r="AO152" s="110" t="str">
        <f t="shared" si="6"/>
        <v xml:space="preserve"> - </v>
      </c>
      <c r="AP152" s="110" t="str">
        <f t="shared" si="7"/>
        <v xml:space="preserve"> - </v>
      </c>
      <c r="AQ152" s="220"/>
      <c r="AR152" s="77" t="str">
        <f t="shared" ca="1" si="8"/>
        <v>-</v>
      </c>
      <c r="AS152" s="179"/>
      <c r="AT152" s="77"/>
      <c r="AU152" s="179"/>
      <c r="AV152" s="77"/>
      <c r="AW152" s="77"/>
    </row>
    <row r="153" spans="1:49" hidden="1">
      <c r="A153" s="173">
        <v>201910</v>
      </c>
      <c r="B153" s="75" t="s">
        <v>103</v>
      </c>
      <c r="C153" s="77" t="str">
        <f>CONCATENATE(Table4[[#This Row],[Project]],"-",Table4[[#This Row],[WO]])</f>
        <v>201910-01</v>
      </c>
      <c r="D153" s="76" t="s">
        <v>130</v>
      </c>
      <c r="E153" s="77" t="s">
        <v>57</v>
      </c>
      <c r="F153" s="77" t="s">
        <v>58</v>
      </c>
      <c r="G153" s="77" t="s">
        <v>59</v>
      </c>
      <c r="H153" s="77" t="s">
        <v>105</v>
      </c>
      <c r="I153" s="102" t="s">
        <v>106</v>
      </c>
      <c r="J153" s="77" t="s">
        <v>107</v>
      </c>
      <c r="K153" s="77" t="s">
        <v>63</v>
      </c>
      <c r="L153" s="77" t="s">
        <v>193</v>
      </c>
      <c r="M153" s="77" t="s">
        <v>65</v>
      </c>
      <c r="N153" s="77" t="s">
        <v>77</v>
      </c>
      <c r="O153" s="77"/>
      <c r="P153" s="76" t="s">
        <v>223</v>
      </c>
      <c r="Q153" s="183" t="s">
        <v>224</v>
      </c>
      <c r="R153" s="110" t="s">
        <v>102</v>
      </c>
      <c r="S153" s="77">
        <v>2019</v>
      </c>
      <c r="T153" s="179">
        <v>1</v>
      </c>
      <c r="U153" s="180">
        <v>59378</v>
      </c>
      <c r="V153" s="180">
        <f>Table4[[#This Row],[Expected Revenue]]*Table4[[#This Row],[Probability]]</f>
        <v>59378</v>
      </c>
      <c r="W153" s="180">
        <f t="shared" si="2"/>
        <v>20800</v>
      </c>
      <c r="X153" s="179">
        <v>0.3</v>
      </c>
      <c r="Y153" s="180">
        <f>Table4[[#This Row],[Expected Revenue]]*Table4[[#This Row],[Expected CMR]]</f>
        <v>17813.399999999998</v>
      </c>
      <c r="Z153" s="203" t="s">
        <v>105</v>
      </c>
      <c r="AA153" s="77"/>
      <c r="AB153" s="77"/>
      <c r="AC153" s="180"/>
      <c r="AD153" s="220"/>
      <c r="AE153" s="220"/>
      <c r="AF153" s="220"/>
      <c r="AG153" s="220"/>
      <c r="AH153" s="220"/>
      <c r="AI153" s="188"/>
      <c r="AJ153" s="220"/>
      <c r="AK153" s="979"/>
      <c r="AL153" s="180"/>
      <c r="AM153" s="77"/>
      <c r="AN153" s="77"/>
      <c r="AO153" s="110" t="str">
        <f t="shared" si="6"/>
        <v xml:space="preserve"> - </v>
      </c>
      <c r="AP153" s="110" t="str">
        <f t="shared" si="7"/>
        <v xml:space="preserve"> - </v>
      </c>
      <c r="AQ153" s="220"/>
      <c r="AR153" s="77" t="str">
        <f t="shared" ca="1" si="8"/>
        <v>-</v>
      </c>
      <c r="AS153" s="179"/>
      <c r="AT153" s="77"/>
      <c r="AU153" s="179"/>
      <c r="AV153" s="77"/>
      <c r="AW153" s="77"/>
    </row>
    <row r="154" spans="1:49" hidden="1">
      <c r="A154" s="173">
        <v>201901</v>
      </c>
      <c r="B154" s="75" t="s">
        <v>103</v>
      </c>
      <c r="C154" s="77" t="str">
        <f>CONCATENATE(Table4[[#This Row],[Project]],"-",Table4[[#This Row],[WO]])</f>
        <v>201901-01</v>
      </c>
      <c r="D154" s="76" t="s">
        <v>225</v>
      </c>
      <c r="E154" s="77" t="s">
        <v>57</v>
      </c>
      <c r="F154" s="77" t="s">
        <v>58</v>
      </c>
      <c r="G154" s="77" t="s">
        <v>226</v>
      </c>
      <c r="H154" s="77" t="s">
        <v>60</v>
      </c>
      <c r="I154" s="102" t="s">
        <v>106</v>
      </c>
      <c r="J154" s="77" t="s">
        <v>107</v>
      </c>
      <c r="K154" s="77" t="s">
        <v>63</v>
      </c>
      <c r="L154" s="77" t="s">
        <v>193</v>
      </c>
      <c r="M154" s="77" t="s">
        <v>65</v>
      </c>
      <c r="N154" s="77" t="s">
        <v>77</v>
      </c>
      <c r="O154" s="76"/>
      <c r="P154" s="76" t="s">
        <v>227</v>
      </c>
      <c r="Q154" s="183" t="s">
        <v>228</v>
      </c>
      <c r="R154" s="110" t="s">
        <v>229</v>
      </c>
      <c r="S154" s="77">
        <v>2019</v>
      </c>
      <c r="T154" s="179">
        <v>0.9</v>
      </c>
      <c r="U154" s="180">
        <v>59378</v>
      </c>
      <c r="V154" s="180">
        <f>Table4[[#This Row],[Expected Revenue]]*Table4[[#This Row],[Probability]]</f>
        <v>53440.200000000004</v>
      </c>
      <c r="W154" s="180">
        <f t="shared" si="2"/>
        <v>20800</v>
      </c>
      <c r="X154" s="179">
        <v>0.4</v>
      </c>
      <c r="Y154" s="180">
        <f>Table4[[#This Row],[Expected Revenue]]*Table4[[#This Row],[Expected CMR]]</f>
        <v>23751.200000000001</v>
      </c>
      <c r="Z154" s="203" t="s">
        <v>60</v>
      </c>
      <c r="AA154" s="77"/>
      <c r="AB154" s="77"/>
      <c r="AC154" s="180"/>
      <c r="AD154" s="220"/>
      <c r="AE154" s="220"/>
      <c r="AF154" s="220"/>
      <c r="AG154" s="220"/>
      <c r="AH154" s="220"/>
      <c r="AI154" s="188"/>
      <c r="AJ154" s="220"/>
      <c r="AK154" s="979"/>
      <c r="AL154" s="180"/>
      <c r="AM154" s="77"/>
      <c r="AN154" s="77"/>
      <c r="AO154" s="110" t="str">
        <f t="shared" si="6"/>
        <v xml:space="preserve"> - </v>
      </c>
      <c r="AP154" s="110" t="str">
        <f t="shared" si="7"/>
        <v xml:space="preserve"> - </v>
      </c>
      <c r="AQ154" s="220"/>
      <c r="AR154" s="77" t="str">
        <f t="shared" ca="1" si="8"/>
        <v>-</v>
      </c>
      <c r="AS154" s="179"/>
      <c r="AT154" s="77"/>
      <c r="AU154" s="179"/>
      <c r="AV154" s="77"/>
      <c r="AW154" s="77"/>
    </row>
    <row r="155" spans="1:49" hidden="1">
      <c r="A155" s="173">
        <v>201905</v>
      </c>
      <c r="B155" s="75" t="s">
        <v>111</v>
      </c>
      <c r="C155" s="77" t="str">
        <f>CONCATENATE(Table4[[#This Row],[Project]],"-",Table4[[#This Row],[WO]])</f>
        <v>201905-02</v>
      </c>
      <c r="D155" s="76" t="s">
        <v>114</v>
      </c>
      <c r="E155" s="77" t="s">
        <v>57</v>
      </c>
      <c r="F155" s="77" t="s">
        <v>58</v>
      </c>
      <c r="G155" s="77" t="s">
        <v>59</v>
      </c>
      <c r="H155" s="77" t="s">
        <v>105</v>
      </c>
      <c r="I155" s="102" t="s">
        <v>112</v>
      </c>
      <c r="J155" s="77" t="s">
        <v>71</v>
      </c>
      <c r="K155" s="77" t="s">
        <v>63</v>
      </c>
      <c r="L155" s="77" t="s">
        <v>193</v>
      </c>
      <c r="M155" s="77" t="s">
        <v>65</v>
      </c>
      <c r="N155" s="77" t="s">
        <v>77</v>
      </c>
      <c r="O155" s="77"/>
      <c r="P155" s="76" t="s">
        <v>202</v>
      </c>
      <c r="Q155" s="183" t="s">
        <v>203</v>
      </c>
      <c r="R155" s="110" t="s">
        <v>68</v>
      </c>
      <c r="S155" s="77">
        <v>2019</v>
      </c>
      <c r="T155" s="179">
        <v>1</v>
      </c>
      <c r="U155" s="180">
        <v>30939</v>
      </c>
      <c r="V155" s="180">
        <f>Table4[[#This Row],[Expected Revenue]]*Table4[[#This Row],[Probability]]</f>
        <v>30939</v>
      </c>
      <c r="W155" s="180">
        <f t="shared" si="2"/>
        <v>20800</v>
      </c>
      <c r="X155" s="179">
        <v>0.3</v>
      </c>
      <c r="Y155" s="180">
        <f>Table4[[#This Row],[Expected Revenue]]*Table4[[#This Row],[Expected CMR]]</f>
        <v>9281.6999999999989</v>
      </c>
      <c r="Z155" s="203" t="s">
        <v>105</v>
      </c>
      <c r="AA155" s="77"/>
      <c r="AB155" s="77"/>
      <c r="AC155" s="180"/>
      <c r="AD155" s="220"/>
      <c r="AE155" s="220"/>
      <c r="AF155" s="220"/>
      <c r="AG155" s="220"/>
      <c r="AH155" s="220"/>
      <c r="AI155" s="188"/>
      <c r="AJ155" s="220"/>
      <c r="AK155" s="979"/>
      <c r="AL155" s="180"/>
      <c r="AM155" s="77"/>
      <c r="AN155" s="77"/>
      <c r="AO155" s="110" t="str">
        <f t="shared" si="6"/>
        <v xml:space="preserve"> - </v>
      </c>
      <c r="AP155" s="110" t="str">
        <f t="shared" si="7"/>
        <v xml:space="preserve"> - </v>
      </c>
      <c r="AQ155" s="220"/>
      <c r="AR155" s="77" t="str">
        <f t="shared" ca="1" si="8"/>
        <v>-</v>
      </c>
      <c r="AS155" s="179"/>
      <c r="AT155" s="77"/>
      <c r="AU155" s="179"/>
      <c r="AV155" s="77"/>
      <c r="AW155" s="77"/>
    </row>
    <row r="156" spans="1:49" hidden="1">
      <c r="A156" s="173">
        <v>201903</v>
      </c>
      <c r="B156" s="75" t="s">
        <v>111</v>
      </c>
      <c r="C156" s="77" t="str">
        <f>CONCATENATE(Table4[[#This Row],[Project]],"-",Table4[[#This Row],[WO]])</f>
        <v>201903-02</v>
      </c>
      <c r="D156" s="76" t="s">
        <v>73</v>
      </c>
      <c r="E156" s="77" t="s">
        <v>57</v>
      </c>
      <c r="F156" s="77" t="s">
        <v>58</v>
      </c>
      <c r="G156" s="77" t="s">
        <v>59</v>
      </c>
      <c r="H156" s="77" t="s">
        <v>105</v>
      </c>
      <c r="I156" s="102" t="s">
        <v>112</v>
      </c>
      <c r="J156" s="77" t="s">
        <v>71</v>
      </c>
      <c r="K156" s="77" t="s">
        <v>63</v>
      </c>
      <c r="L156" s="77" t="s">
        <v>217</v>
      </c>
      <c r="M156" s="77" t="s">
        <v>65</v>
      </c>
      <c r="N156" s="77" t="s">
        <v>77</v>
      </c>
      <c r="O156" s="77"/>
      <c r="P156" s="76" t="s">
        <v>78</v>
      </c>
      <c r="Q156" s="183" t="s">
        <v>79</v>
      </c>
      <c r="R156" s="110" t="s">
        <v>230</v>
      </c>
      <c r="S156" s="77">
        <v>2019</v>
      </c>
      <c r="T156" s="179">
        <v>1</v>
      </c>
      <c r="U156" s="180">
        <v>30939</v>
      </c>
      <c r="V156" s="180">
        <f>Table4[[#This Row],[Expected Revenue]]*Table4[[#This Row],[Probability]]</f>
        <v>30939</v>
      </c>
      <c r="W156" s="180">
        <f t="shared" si="2"/>
        <v>20800</v>
      </c>
      <c r="X156" s="179">
        <v>0.3</v>
      </c>
      <c r="Y156" s="180">
        <f>Table4[[#This Row],[Rev. Based on PROB]]*Table4[[#This Row],[Expected CMR]]</f>
        <v>9281.6999999999989</v>
      </c>
      <c r="Z156" s="203" t="s">
        <v>105</v>
      </c>
      <c r="AA156" s="77"/>
      <c r="AB156" s="77"/>
      <c r="AC156" s="180"/>
      <c r="AD156" s="220"/>
      <c r="AE156" s="220"/>
      <c r="AF156" s="220"/>
      <c r="AG156" s="220"/>
      <c r="AH156" s="220"/>
      <c r="AI156" s="188"/>
      <c r="AJ156" s="220"/>
      <c r="AK156" s="979"/>
      <c r="AL156" s="180"/>
      <c r="AM156" s="77"/>
      <c r="AN156" s="77"/>
      <c r="AO156" s="110" t="str">
        <f>IF(Table4[[#This Row],[Finish (demob)]]&lt;&gt;"",Table4[[#This Row],[Finish (demob)]]+10,"")</f>
        <v/>
      </c>
      <c r="AP156" s="110" t="str">
        <f>IF(Table4[[#This Row],[Finish (demob)]]&lt;&gt;"",Table4[[#This Row],[Finish (demob)]]+10,"")</f>
        <v/>
      </c>
      <c r="AQ156" s="220"/>
      <c r="AR156" s="77" t="str">
        <f>IF(Table4[[#This Row],[Date Report is delivered:]]&lt;&gt;"", "Delivered", "")</f>
        <v/>
      </c>
      <c r="AS156" s="179"/>
      <c r="AT156" s="77"/>
      <c r="AU156" s="179"/>
      <c r="AV156" s="77"/>
      <c r="AW156" s="77"/>
    </row>
    <row r="157" spans="1:49" hidden="1">
      <c r="A157" s="173">
        <v>201910</v>
      </c>
      <c r="B157" s="75" t="s">
        <v>111</v>
      </c>
      <c r="C157" s="77" t="str">
        <f>CONCATENATE(Table4[[#This Row],[Project]],"-",Table4[[#This Row],[WO]])</f>
        <v>201910-02</v>
      </c>
      <c r="D157" s="76" t="s">
        <v>130</v>
      </c>
      <c r="E157" s="77" t="s">
        <v>57</v>
      </c>
      <c r="F157" s="77" t="s">
        <v>58</v>
      </c>
      <c r="G157" s="77" t="s">
        <v>59</v>
      </c>
      <c r="H157" s="77" t="s">
        <v>105</v>
      </c>
      <c r="I157" s="102" t="s">
        <v>112</v>
      </c>
      <c r="J157" s="77" t="s">
        <v>71</v>
      </c>
      <c r="K157" s="77" t="s">
        <v>63</v>
      </c>
      <c r="L157" s="77" t="s">
        <v>193</v>
      </c>
      <c r="M157" s="77" t="s">
        <v>65</v>
      </c>
      <c r="N157" s="77" t="s">
        <v>77</v>
      </c>
      <c r="O157" s="77"/>
      <c r="P157" s="76" t="s">
        <v>223</v>
      </c>
      <c r="Q157" s="183" t="s">
        <v>224</v>
      </c>
      <c r="R157" s="110" t="s">
        <v>93</v>
      </c>
      <c r="S157" s="77">
        <v>2019</v>
      </c>
      <c r="T157" s="179">
        <v>1</v>
      </c>
      <c r="U157" s="180">
        <v>30939</v>
      </c>
      <c r="V157" s="180">
        <f>Table4[[#This Row],[Expected Revenue]]*Table4[[#This Row],[Probability]]</f>
        <v>30939</v>
      </c>
      <c r="W157" s="180">
        <f t="shared" si="2"/>
        <v>20800</v>
      </c>
      <c r="X157" s="179">
        <v>0.3</v>
      </c>
      <c r="Y157" s="180">
        <f>Table4[[#This Row],[Expected Revenue]]*Table4[[#This Row],[Expected CMR]]</f>
        <v>9281.6999999999989</v>
      </c>
      <c r="Z157" s="203" t="s">
        <v>105</v>
      </c>
      <c r="AA157" s="77"/>
      <c r="AB157" s="77"/>
      <c r="AC157" s="180"/>
      <c r="AD157" s="220"/>
      <c r="AE157" s="220"/>
      <c r="AF157" s="220"/>
      <c r="AG157" s="220"/>
      <c r="AH157" s="220"/>
      <c r="AI157" s="188"/>
      <c r="AJ157" s="220"/>
      <c r="AK157" s="979"/>
      <c r="AL157" s="180"/>
      <c r="AM157" s="77"/>
      <c r="AN157" s="77"/>
      <c r="AO157" s="110" t="str">
        <f t="shared" ref="AO157:AO165" si="9">IF(AE157&gt;0,AE157+3," - ")</f>
        <v xml:space="preserve"> - </v>
      </c>
      <c r="AP157" s="110" t="str">
        <f t="shared" ref="AP157:AP165" si="10">IF(AE157&gt;0,AE157+14," - ")</f>
        <v xml:space="preserve"> - </v>
      </c>
      <c r="AQ157" s="220"/>
      <c r="AR157" s="77" t="str">
        <f t="shared" ref="AR157:AR165" ca="1" si="11">IF(AD157=0,"-",IF(AQ157&gt;0,"Delivered",IF(TODAY()&gt;AP157,"Overdue",IF(TODAY()&lt;AP157,"In Progress"))))</f>
        <v>-</v>
      </c>
      <c r="AS157" s="179"/>
      <c r="AT157" s="77"/>
      <c r="AU157" s="179"/>
      <c r="AV157" s="77"/>
      <c r="AW157" s="77"/>
    </row>
    <row r="158" spans="1:49" hidden="1">
      <c r="A158" s="173">
        <v>201909</v>
      </c>
      <c r="B158" s="75" t="s">
        <v>111</v>
      </c>
      <c r="C158" s="77" t="str">
        <f>CONCATENATE(Table4[[#This Row],[Project]],"-",Table4[[#This Row],[WO]])</f>
        <v>201909-02</v>
      </c>
      <c r="D158" s="76" t="s">
        <v>122</v>
      </c>
      <c r="E158" s="77" t="s">
        <v>57</v>
      </c>
      <c r="F158" s="77" t="s">
        <v>58</v>
      </c>
      <c r="G158" s="77" t="s">
        <v>59</v>
      </c>
      <c r="H158" s="77" t="s">
        <v>60</v>
      </c>
      <c r="I158" s="102" t="s">
        <v>112</v>
      </c>
      <c r="J158" s="77" t="s">
        <v>71</v>
      </c>
      <c r="K158" s="77" t="s">
        <v>63</v>
      </c>
      <c r="L158" s="77" t="s">
        <v>193</v>
      </c>
      <c r="M158" s="77" t="s">
        <v>65</v>
      </c>
      <c r="N158" s="77" t="s">
        <v>77</v>
      </c>
      <c r="O158" s="77"/>
      <c r="P158" s="76" t="s">
        <v>220</v>
      </c>
      <c r="Q158" s="183" t="s">
        <v>221</v>
      </c>
      <c r="R158" s="110" t="s">
        <v>219</v>
      </c>
      <c r="S158" s="77">
        <v>2019</v>
      </c>
      <c r="T158" s="179">
        <v>1</v>
      </c>
      <c r="U158" s="180">
        <v>30939</v>
      </c>
      <c r="V158" s="180">
        <f>Table4[[#This Row],[Expected Revenue]]*Table4[[#This Row],[Probability]]</f>
        <v>30939</v>
      </c>
      <c r="W158" s="180">
        <f t="shared" si="2"/>
        <v>20800</v>
      </c>
      <c r="X158" s="179">
        <v>0.3</v>
      </c>
      <c r="Y158" s="180">
        <f>Table4[[#This Row],[Expected Revenue]]*Table4[[#This Row],[Expected CMR]]</f>
        <v>9281.6999999999989</v>
      </c>
      <c r="Z158" s="203" t="s">
        <v>60</v>
      </c>
      <c r="AA158" s="77"/>
      <c r="AB158" s="77"/>
      <c r="AC158" s="180"/>
      <c r="AD158" s="220"/>
      <c r="AE158" s="220"/>
      <c r="AF158" s="220"/>
      <c r="AG158" s="220"/>
      <c r="AH158" s="220"/>
      <c r="AI158" s="188"/>
      <c r="AJ158" s="220"/>
      <c r="AK158" s="979"/>
      <c r="AL158" s="180"/>
      <c r="AM158" s="77"/>
      <c r="AN158" s="77"/>
      <c r="AO158" s="110" t="str">
        <f t="shared" si="9"/>
        <v xml:space="preserve"> - </v>
      </c>
      <c r="AP158" s="110" t="str">
        <f t="shared" si="10"/>
        <v xml:space="preserve"> - </v>
      </c>
      <c r="AQ158" s="220"/>
      <c r="AR158" s="77" t="str">
        <f t="shared" ca="1" si="11"/>
        <v>-</v>
      </c>
      <c r="AS158" s="179"/>
      <c r="AT158" s="77"/>
      <c r="AU158" s="179"/>
      <c r="AV158" s="77"/>
      <c r="AW158" s="77"/>
    </row>
    <row r="159" spans="1:49" hidden="1">
      <c r="A159" s="173">
        <v>201911</v>
      </c>
      <c r="B159" s="75" t="s">
        <v>111</v>
      </c>
      <c r="C159" s="77" t="str">
        <f>CONCATENATE(Table4[[#This Row],[Project]],"-",Table4[[#This Row],[WO]])</f>
        <v>201911-02</v>
      </c>
      <c r="D159" s="76" t="s">
        <v>137</v>
      </c>
      <c r="E159" s="77" t="s">
        <v>57</v>
      </c>
      <c r="F159" s="77" t="s">
        <v>58</v>
      </c>
      <c r="G159" s="77" t="s">
        <v>59</v>
      </c>
      <c r="H159" s="77" t="s">
        <v>60</v>
      </c>
      <c r="I159" s="102" t="s">
        <v>112</v>
      </c>
      <c r="J159" s="77" t="s">
        <v>71</v>
      </c>
      <c r="K159" s="77" t="s">
        <v>63</v>
      </c>
      <c r="L159" s="77" t="s">
        <v>193</v>
      </c>
      <c r="M159" s="77" t="s">
        <v>65</v>
      </c>
      <c r="N159" s="77" t="s">
        <v>77</v>
      </c>
      <c r="O159" s="77"/>
      <c r="P159" s="76" t="s">
        <v>215</v>
      </c>
      <c r="Q159" s="183" t="s">
        <v>216</v>
      </c>
      <c r="R159" s="110" t="s">
        <v>219</v>
      </c>
      <c r="S159" s="77">
        <v>2019</v>
      </c>
      <c r="T159" s="179">
        <v>1</v>
      </c>
      <c r="U159" s="180">
        <v>30939</v>
      </c>
      <c r="V159" s="180">
        <f>Table4[[#This Row],[Expected Revenue]]*Table4[[#This Row],[Probability]]</f>
        <v>30939</v>
      </c>
      <c r="W159" s="180">
        <f t="shared" si="2"/>
        <v>20800</v>
      </c>
      <c r="X159" s="179">
        <v>0.3</v>
      </c>
      <c r="Y159" s="180">
        <f>Table4[[#This Row],[Expected Revenue]]*Table4[[#This Row],[Expected CMR]]</f>
        <v>9281.6999999999989</v>
      </c>
      <c r="Z159" s="203" t="s">
        <v>60</v>
      </c>
      <c r="AA159" s="77"/>
      <c r="AB159" s="77"/>
      <c r="AC159" s="180"/>
      <c r="AD159" s="220"/>
      <c r="AE159" s="220"/>
      <c r="AF159" s="220"/>
      <c r="AG159" s="220"/>
      <c r="AH159" s="220"/>
      <c r="AI159" s="188"/>
      <c r="AJ159" s="220"/>
      <c r="AK159" s="979"/>
      <c r="AL159" s="180"/>
      <c r="AM159" s="77"/>
      <c r="AN159" s="77"/>
      <c r="AO159" s="110" t="str">
        <f t="shared" si="9"/>
        <v xml:space="preserve"> - </v>
      </c>
      <c r="AP159" s="110" t="str">
        <f t="shared" si="10"/>
        <v xml:space="preserve"> - </v>
      </c>
      <c r="AQ159" s="220"/>
      <c r="AR159" s="77" t="str">
        <f t="shared" ca="1" si="11"/>
        <v>-</v>
      </c>
      <c r="AS159" s="179"/>
      <c r="AT159" s="77"/>
      <c r="AU159" s="179"/>
      <c r="AV159" s="77"/>
      <c r="AW159" s="77"/>
    </row>
    <row r="160" spans="1:49" hidden="1">
      <c r="A160" s="173">
        <v>201914</v>
      </c>
      <c r="B160" s="75" t="s">
        <v>111</v>
      </c>
      <c r="C160" s="77" t="str">
        <f>CONCATENATE(Table4[[#This Row],[Project]],"-",Table4[[#This Row],[WO]])</f>
        <v>201914-02</v>
      </c>
      <c r="D160" s="76" t="s">
        <v>117</v>
      </c>
      <c r="E160" s="77" t="s">
        <v>57</v>
      </c>
      <c r="F160" s="77" t="s">
        <v>58</v>
      </c>
      <c r="G160" s="77" t="s">
        <v>59</v>
      </c>
      <c r="H160" s="77" t="s">
        <v>105</v>
      </c>
      <c r="I160" s="102" t="s">
        <v>112</v>
      </c>
      <c r="J160" s="77" t="s">
        <v>71</v>
      </c>
      <c r="K160" s="77" t="s">
        <v>63</v>
      </c>
      <c r="L160" s="77" t="s">
        <v>193</v>
      </c>
      <c r="M160" s="77" t="s">
        <v>65</v>
      </c>
      <c r="N160" s="77" t="s">
        <v>77</v>
      </c>
      <c r="O160" s="77"/>
      <c r="P160" s="76" t="s">
        <v>197</v>
      </c>
      <c r="Q160" s="183" t="s">
        <v>198</v>
      </c>
      <c r="R160" s="110" t="s">
        <v>80</v>
      </c>
      <c r="S160" s="77">
        <v>2019</v>
      </c>
      <c r="T160" s="179">
        <v>1</v>
      </c>
      <c r="U160" s="180">
        <v>15000</v>
      </c>
      <c r="V160" s="180">
        <f>Table4[[#This Row],[Expected Revenue]]*Table4[[#This Row],[Probability]]</f>
        <v>15000</v>
      </c>
      <c r="W160" s="180">
        <f t="shared" si="2"/>
        <v>20800</v>
      </c>
      <c r="X160" s="179">
        <v>0.3</v>
      </c>
      <c r="Y160" s="180">
        <f>Table4[[#This Row],[Expected Revenue]]*Table4[[#This Row],[Expected CMR]]</f>
        <v>4500</v>
      </c>
      <c r="Z160" s="203" t="s">
        <v>105</v>
      </c>
      <c r="AA160" s="77"/>
      <c r="AB160" s="77"/>
      <c r="AC160" s="180"/>
      <c r="AD160" s="220"/>
      <c r="AE160" s="220"/>
      <c r="AF160" s="220"/>
      <c r="AG160" s="220"/>
      <c r="AH160" s="220"/>
      <c r="AI160" s="188"/>
      <c r="AJ160" s="220"/>
      <c r="AK160" s="979"/>
      <c r="AL160" s="180"/>
      <c r="AM160" s="77"/>
      <c r="AN160" s="77"/>
      <c r="AO160" s="110" t="str">
        <f t="shared" si="9"/>
        <v xml:space="preserve"> - </v>
      </c>
      <c r="AP160" s="110" t="str">
        <f t="shared" si="10"/>
        <v xml:space="preserve"> - </v>
      </c>
      <c r="AQ160" s="220"/>
      <c r="AR160" s="77" t="str">
        <f t="shared" ca="1" si="11"/>
        <v>-</v>
      </c>
      <c r="AS160" s="179"/>
      <c r="AT160" s="77"/>
      <c r="AU160" s="179"/>
      <c r="AV160" s="77"/>
      <c r="AW160" s="77"/>
    </row>
    <row r="161" spans="1:49" hidden="1">
      <c r="A161" s="173">
        <v>201914</v>
      </c>
      <c r="B161" s="75" t="s">
        <v>111</v>
      </c>
      <c r="C161" s="77" t="str">
        <f>CONCATENATE(Table4[[#This Row],[Project]],"-",Table4[[#This Row],[WO]])</f>
        <v>201914-02</v>
      </c>
      <c r="D161" s="76" t="s">
        <v>117</v>
      </c>
      <c r="E161" s="77" t="s">
        <v>57</v>
      </c>
      <c r="F161" s="77" t="s">
        <v>58</v>
      </c>
      <c r="G161" s="77" t="s">
        <v>59</v>
      </c>
      <c r="H161" s="77" t="s">
        <v>105</v>
      </c>
      <c r="I161" s="102" t="s">
        <v>112</v>
      </c>
      <c r="J161" s="77" t="s">
        <v>71</v>
      </c>
      <c r="K161" s="77" t="s">
        <v>63</v>
      </c>
      <c r="L161" s="77" t="s">
        <v>193</v>
      </c>
      <c r="M161" s="77" t="s">
        <v>65</v>
      </c>
      <c r="N161" s="77" t="s">
        <v>77</v>
      </c>
      <c r="O161" s="77"/>
      <c r="P161" s="76" t="s">
        <v>197</v>
      </c>
      <c r="Q161" s="183" t="s">
        <v>198</v>
      </c>
      <c r="R161" s="110" t="s">
        <v>230</v>
      </c>
      <c r="S161" s="77">
        <v>2019</v>
      </c>
      <c r="T161" s="179">
        <v>1</v>
      </c>
      <c r="U161" s="180">
        <f>30939-15000</f>
        <v>15939</v>
      </c>
      <c r="V161" s="180">
        <f>Table4[[#This Row],[Expected Revenue]]*Table4[[#This Row],[Probability]]</f>
        <v>15939</v>
      </c>
      <c r="W161" s="180">
        <f t="shared" si="2"/>
        <v>20800</v>
      </c>
      <c r="X161" s="179">
        <v>0.3</v>
      </c>
      <c r="Y161" s="180">
        <f>Table4[[#This Row],[Expected Revenue]]*Table4[[#This Row],[Expected CMR]]</f>
        <v>4781.7</v>
      </c>
      <c r="Z161" s="203" t="s">
        <v>105</v>
      </c>
      <c r="AA161" s="77"/>
      <c r="AB161" s="77"/>
      <c r="AC161" s="180"/>
      <c r="AD161" s="220"/>
      <c r="AE161" s="220"/>
      <c r="AF161" s="220"/>
      <c r="AG161" s="220"/>
      <c r="AH161" s="220"/>
      <c r="AI161" s="188"/>
      <c r="AJ161" s="220"/>
      <c r="AK161" s="979"/>
      <c r="AL161" s="180"/>
      <c r="AM161" s="77"/>
      <c r="AN161" s="77"/>
      <c r="AO161" s="110" t="str">
        <f t="shared" si="9"/>
        <v xml:space="preserve"> - </v>
      </c>
      <c r="AP161" s="110" t="str">
        <f t="shared" si="10"/>
        <v xml:space="preserve"> - </v>
      </c>
      <c r="AQ161" s="220"/>
      <c r="AR161" s="77" t="str">
        <f t="shared" ca="1" si="11"/>
        <v>-</v>
      </c>
      <c r="AS161" s="179"/>
      <c r="AT161" s="77"/>
      <c r="AU161" s="179"/>
      <c r="AV161" s="77"/>
      <c r="AW161" s="77"/>
    </row>
    <row r="162" spans="1:49" hidden="1">
      <c r="A162" s="173">
        <v>201902</v>
      </c>
      <c r="B162" s="75" t="s">
        <v>111</v>
      </c>
      <c r="C162" s="77" t="str">
        <f>CONCATENATE(Table4[[#This Row],[Project]],"-",Table4[[#This Row],[WO]])</f>
        <v>201902-02</v>
      </c>
      <c r="D162" s="76" t="s">
        <v>104</v>
      </c>
      <c r="E162" s="77" t="s">
        <v>57</v>
      </c>
      <c r="F162" s="77" t="s">
        <v>58</v>
      </c>
      <c r="G162" s="77" t="s">
        <v>59</v>
      </c>
      <c r="H162" s="77" t="s">
        <v>105</v>
      </c>
      <c r="I162" s="102" t="s">
        <v>112</v>
      </c>
      <c r="J162" s="77" t="s">
        <v>71</v>
      </c>
      <c r="K162" s="77" t="s">
        <v>63</v>
      </c>
      <c r="L162" s="77" t="s">
        <v>193</v>
      </c>
      <c r="M162" s="77" t="s">
        <v>65</v>
      </c>
      <c r="N162" s="77" t="s">
        <v>77</v>
      </c>
      <c r="O162" s="77"/>
      <c r="P162" s="76" t="s">
        <v>211</v>
      </c>
      <c r="Q162" s="183" t="s">
        <v>212</v>
      </c>
      <c r="R162" s="152" t="s">
        <v>89</v>
      </c>
      <c r="S162" s="77">
        <v>2019</v>
      </c>
      <c r="T162" s="179">
        <v>1</v>
      </c>
      <c r="U162" s="180">
        <v>30939</v>
      </c>
      <c r="V162" s="180">
        <f>Table4[[#This Row],[Expected Revenue]]*Table4[[#This Row],[Probability]]</f>
        <v>30939</v>
      </c>
      <c r="W162" s="180">
        <f t="shared" si="2"/>
        <v>20800</v>
      </c>
      <c r="X162" s="179">
        <v>0.3</v>
      </c>
      <c r="Y162" s="180">
        <f>Table4[[#This Row],[Expected Revenue]]*Table4[[#This Row],[Expected CMR]]</f>
        <v>9281.6999999999989</v>
      </c>
      <c r="Z162" s="203" t="s">
        <v>105</v>
      </c>
      <c r="AA162" s="77"/>
      <c r="AB162" s="77"/>
      <c r="AC162" s="180"/>
      <c r="AD162" s="220"/>
      <c r="AE162" s="220"/>
      <c r="AF162" s="220"/>
      <c r="AG162" s="220"/>
      <c r="AH162" s="220"/>
      <c r="AI162" s="188"/>
      <c r="AJ162" s="220"/>
      <c r="AK162" s="979"/>
      <c r="AL162" s="180"/>
      <c r="AM162" s="77"/>
      <c r="AN162" s="77"/>
      <c r="AO162" s="110" t="str">
        <f t="shared" si="9"/>
        <v xml:space="preserve"> - </v>
      </c>
      <c r="AP162" s="110" t="str">
        <f t="shared" si="10"/>
        <v xml:space="preserve"> - </v>
      </c>
      <c r="AQ162" s="220"/>
      <c r="AR162" s="77" t="str">
        <f t="shared" ca="1" si="11"/>
        <v>-</v>
      </c>
      <c r="AS162" s="179"/>
      <c r="AT162" s="77"/>
      <c r="AU162" s="179"/>
      <c r="AV162" s="77"/>
      <c r="AW162" s="77"/>
    </row>
    <row r="163" spans="1:49" hidden="1">
      <c r="A163" s="173">
        <v>201912</v>
      </c>
      <c r="B163" s="75" t="s">
        <v>111</v>
      </c>
      <c r="C163" s="77" t="str">
        <f>CONCATENATE(Table4[[#This Row],[Project]],"-",Table4[[#This Row],[WO]])</f>
        <v>201912-02</v>
      </c>
      <c r="D163" s="76" t="s">
        <v>146</v>
      </c>
      <c r="E163" s="77" t="s">
        <v>57</v>
      </c>
      <c r="F163" s="77" t="s">
        <v>58</v>
      </c>
      <c r="G163" s="77" t="s">
        <v>59</v>
      </c>
      <c r="H163" s="77" t="s">
        <v>60</v>
      </c>
      <c r="I163" s="102" t="s">
        <v>112</v>
      </c>
      <c r="J163" s="77" t="s">
        <v>71</v>
      </c>
      <c r="K163" s="77" t="s">
        <v>63</v>
      </c>
      <c r="L163" s="77" t="s">
        <v>193</v>
      </c>
      <c r="M163" s="77" t="s">
        <v>65</v>
      </c>
      <c r="N163" s="77" t="s">
        <v>77</v>
      </c>
      <c r="O163" s="77"/>
      <c r="P163" s="76" t="s">
        <v>194</v>
      </c>
      <c r="Q163" s="183" t="s">
        <v>195</v>
      </c>
      <c r="R163" s="152" t="s">
        <v>89</v>
      </c>
      <c r="S163" s="77">
        <v>2019</v>
      </c>
      <c r="T163" s="179">
        <v>1</v>
      </c>
      <c r="U163" s="180">
        <v>30939</v>
      </c>
      <c r="V163" s="180">
        <f>Table4[[#This Row],[Expected Revenue]]*Table4[[#This Row],[Probability]]</f>
        <v>30939</v>
      </c>
      <c r="W163" s="180">
        <f t="shared" si="2"/>
        <v>20800</v>
      </c>
      <c r="X163" s="179">
        <v>0.3</v>
      </c>
      <c r="Y163" s="180">
        <f>Table4[[#This Row],[Expected Revenue]]*Table4[[#This Row],[Expected CMR]]</f>
        <v>9281.6999999999989</v>
      </c>
      <c r="Z163" s="203" t="s">
        <v>60</v>
      </c>
      <c r="AA163" s="77"/>
      <c r="AB163" s="77"/>
      <c r="AC163" s="180"/>
      <c r="AD163" s="220"/>
      <c r="AE163" s="220"/>
      <c r="AF163" s="220"/>
      <c r="AG163" s="220"/>
      <c r="AH163" s="220"/>
      <c r="AI163" s="188"/>
      <c r="AJ163" s="220"/>
      <c r="AK163" s="979"/>
      <c r="AL163" s="180"/>
      <c r="AM163" s="77"/>
      <c r="AN163" s="77"/>
      <c r="AO163" s="110" t="str">
        <f t="shared" si="9"/>
        <v xml:space="preserve"> - </v>
      </c>
      <c r="AP163" s="110" t="str">
        <f t="shared" si="10"/>
        <v xml:space="preserve"> - </v>
      </c>
      <c r="AQ163" s="220"/>
      <c r="AR163" s="77" t="str">
        <f t="shared" ca="1" si="11"/>
        <v>-</v>
      </c>
      <c r="AS163" s="179"/>
      <c r="AT163" s="77"/>
      <c r="AU163" s="179"/>
      <c r="AV163" s="77"/>
      <c r="AW163" s="77"/>
    </row>
    <row r="164" spans="1:49" hidden="1">
      <c r="A164" s="173">
        <v>201914</v>
      </c>
      <c r="B164" s="75" t="s">
        <v>72</v>
      </c>
      <c r="C164" s="77" t="str">
        <f>CONCATENATE(Table4[[#This Row],[Project]],"-",Table4[[#This Row],[WO]])</f>
        <v>201914-07</v>
      </c>
      <c r="D164" s="76" t="s">
        <v>117</v>
      </c>
      <c r="E164" s="77" t="s">
        <v>57</v>
      </c>
      <c r="F164" s="77" t="s">
        <v>58</v>
      </c>
      <c r="G164" s="77" t="s">
        <v>59</v>
      </c>
      <c r="H164" s="77" t="s">
        <v>105</v>
      </c>
      <c r="I164" s="102" t="s">
        <v>82</v>
      </c>
      <c r="J164" s="77" t="s">
        <v>62</v>
      </c>
      <c r="K164" s="77" t="s">
        <v>63</v>
      </c>
      <c r="L164" s="77" t="s">
        <v>193</v>
      </c>
      <c r="M164" s="77" t="s">
        <v>65</v>
      </c>
      <c r="N164" s="77" t="s">
        <v>77</v>
      </c>
      <c r="O164" s="77"/>
      <c r="P164" s="76" t="s">
        <v>197</v>
      </c>
      <c r="Q164" s="183" t="s">
        <v>198</v>
      </c>
      <c r="R164" s="152" t="s">
        <v>230</v>
      </c>
      <c r="S164" s="77">
        <v>2019</v>
      </c>
      <c r="T164" s="179">
        <v>1</v>
      </c>
      <c r="U164" s="180">
        <v>13900</v>
      </c>
      <c r="V164" s="180">
        <f>Table4[[#This Row],[Expected Revenue]]*Table4[[#This Row],[Probability]]</f>
        <v>13900</v>
      </c>
      <c r="W164" s="180">
        <f t="shared" si="2"/>
        <v>20800</v>
      </c>
      <c r="X164" s="179">
        <v>0.3</v>
      </c>
      <c r="Y164" s="180">
        <f>Table4[[#This Row],[Expected Revenue]]*Table4[[#This Row],[Expected CMR]]</f>
        <v>4170</v>
      </c>
      <c r="Z164" s="203" t="s">
        <v>105</v>
      </c>
      <c r="AA164" s="77"/>
      <c r="AB164" s="77"/>
      <c r="AC164" s="180"/>
      <c r="AD164" s="220"/>
      <c r="AE164" s="220"/>
      <c r="AF164" s="220"/>
      <c r="AG164" s="220"/>
      <c r="AH164" s="220"/>
      <c r="AI164" s="188"/>
      <c r="AJ164" s="220"/>
      <c r="AK164" s="979"/>
      <c r="AL164" s="180"/>
      <c r="AM164" s="77"/>
      <c r="AN164" s="77"/>
      <c r="AO164" s="110" t="str">
        <f t="shared" si="9"/>
        <v xml:space="preserve"> - </v>
      </c>
      <c r="AP164" s="110" t="str">
        <f t="shared" si="10"/>
        <v xml:space="preserve"> - </v>
      </c>
      <c r="AQ164" s="220"/>
      <c r="AR164" s="77" t="str">
        <f t="shared" ca="1" si="11"/>
        <v>-</v>
      </c>
      <c r="AS164" s="179"/>
      <c r="AT164" s="77"/>
      <c r="AU164" s="179"/>
      <c r="AV164" s="77"/>
      <c r="AW164" s="77"/>
    </row>
    <row r="165" spans="1:49" hidden="1">
      <c r="A165" s="173">
        <v>201910</v>
      </c>
      <c r="B165" s="75" t="s">
        <v>72</v>
      </c>
      <c r="C165" s="77" t="str">
        <f>CONCATENATE(Table4[[#This Row],[Project]],"-",Table4[[#This Row],[WO]])</f>
        <v>201910-07</v>
      </c>
      <c r="D165" s="76" t="s">
        <v>130</v>
      </c>
      <c r="E165" s="77" t="s">
        <v>57</v>
      </c>
      <c r="F165" s="77" t="s">
        <v>58</v>
      </c>
      <c r="G165" s="77" t="s">
        <v>59</v>
      </c>
      <c r="H165" s="77" t="s">
        <v>105</v>
      </c>
      <c r="I165" s="102" t="s">
        <v>82</v>
      </c>
      <c r="J165" s="77" t="s">
        <v>62</v>
      </c>
      <c r="K165" s="77" t="s">
        <v>63</v>
      </c>
      <c r="L165" s="77" t="s">
        <v>193</v>
      </c>
      <c r="M165" s="77" t="s">
        <v>65</v>
      </c>
      <c r="N165" s="77" t="s">
        <v>77</v>
      </c>
      <c r="O165" s="77"/>
      <c r="P165" s="76" t="s">
        <v>223</v>
      </c>
      <c r="Q165" s="183" t="s">
        <v>224</v>
      </c>
      <c r="R165" s="152" t="s">
        <v>68</v>
      </c>
      <c r="S165" s="77">
        <v>2019</v>
      </c>
      <c r="T165" s="179">
        <v>1</v>
      </c>
      <c r="U165" s="180">
        <v>13900</v>
      </c>
      <c r="V165" s="180">
        <f>Table4[[#This Row],[Expected Revenue]]*Table4[[#This Row],[Probability]]</f>
        <v>13900</v>
      </c>
      <c r="W165" s="180">
        <f t="shared" si="2"/>
        <v>20800</v>
      </c>
      <c r="X165" s="179">
        <v>0.3</v>
      </c>
      <c r="Y165" s="180">
        <f>Table4[[#This Row],[Expected Revenue]]*Table4[[#This Row],[Expected CMR]]</f>
        <v>4170</v>
      </c>
      <c r="Z165" s="203" t="s">
        <v>105</v>
      </c>
      <c r="AA165" s="77"/>
      <c r="AB165" s="77"/>
      <c r="AC165" s="180"/>
      <c r="AD165" s="220"/>
      <c r="AE165" s="220"/>
      <c r="AF165" s="220"/>
      <c r="AG165" s="220"/>
      <c r="AH165" s="220"/>
      <c r="AI165" s="188"/>
      <c r="AJ165" s="220"/>
      <c r="AK165" s="979"/>
      <c r="AL165" s="180"/>
      <c r="AM165" s="77"/>
      <c r="AN165" s="77"/>
      <c r="AO165" s="110" t="str">
        <f t="shared" si="9"/>
        <v xml:space="preserve"> - </v>
      </c>
      <c r="AP165" s="110" t="str">
        <f t="shared" si="10"/>
        <v xml:space="preserve"> - </v>
      </c>
      <c r="AQ165" s="220"/>
      <c r="AR165" s="77" t="str">
        <f t="shared" ca="1" si="11"/>
        <v>-</v>
      </c>
      <c r="AS165" s="179"/>
      <c r="AT165" s="77"/>
      <c r="AU165" s="179"/>
      <c r="AV165" s="77"/>
      <c r="AW165" s="77"/>
    </row>
    <row r="166" spans="1:49" hidden="1">
      <c r="A166" s="173">
        <v>201903</v>
      </c>
      <c r="B166" s="75" t="s">
        <v>72</v>
      </c>
      <c r="C166" s="77" t="str">
        <f>CONCATENATE(Table4[[#This Row],[Project]],"-",Table4[[#This Row],[WO]])</f>
        <v>201903-07</v>
      </c>
      <c r="D166" s="76" t="s">
        <v>73</v>
      </c>
      <c r="E166" s="77" t="s">
        <v>57</v>
      </c>
      <c r="F166" s="77" t="s">
        <v>58</v>
      </c>
      <c r="G166" s="77" t="s">
        <v>59</v>
      </c>
      <c r="H166" s="77" t="s">
        <v>105</v>
      </c>
      <c r="I166" s="102" t="s">
        <v>82</v>
      </c>
      <c r="J166" s="77" t="s">
        <v>62</v>
      </c>
      <c r="K166" s="77" t="s">
        <v>63</v>
      </c>
      <c r="L166" s="77" t="s">
        <v>217</v>
      </c>
      <c r="M166" s="77" t="s">
        <v>65</v>
      </c>
      <c r="N166" s="77" t="s">
        <v>77</v>
      </c>
      <c r="O166" s="77"/>
      <c r="P166" s="76" t="s">
        <v>78</v>
      </c>
      <c r="Q166" s="183" t="s">
        <v>79</v>
      </c>
      <c r="R166" s="152" t="s">
        <v>80</v>
      </c>
      <c r="S166" s="77">
        <v>2019</v>
      </c>
      <c r="T166" s="179">
        <v>1</v>
      </c>
      <c r="U166" s="180">
        <v>13900</v>
      </c>
      <c r="V166" s="180">
        <f>Table4[[#This Row],[Expected Revenue]]*Table4[[#This Row],[Probability]]</f>
        <v>13900</v>
      </c>
      <c r="W166" s="180">
        <f t="shared" si="2"/>
        <v>20800</v>
      </c>
      <c r="X166" s="179">
        <v>0.3</v>
      </c>
      <c r="Y166" s="180">
        <f>Table4[[#This Row],[Rev. Based on PROB]]*Table4[[#This Row],[Expected CMR]]</f>
        <v>4170</v>
      </c>
      <c r="Z166" s="203" t="s">
        <v>105</v>
      </c>
      <c r="AA166" s="77"/>
      <c r="AB166" s="77"/>
      <c r="AC166" s="180"/>
      <c r="AD166" s="220"/>
      <c r="AE166" s="220"/>
      <c r="AF166" s="220"/>
      <c r="AG166" s="220"/>
      <c r="AH166" s="220"/>
      <c r="AI166" s="188"/>
      <c r="AJ166" s="220"/>
      <c r="AK166" s="979"/>
      <c r="AL166" s="180"/>
      <c r="AM166" s="77"/>
      <c r="AN166" s="77"/>
      <c r="AO166" s="110" t="str">
        <f>IF(Table4[[#This Row],[Finish (demob)]]&lt;&gt;"",Table4[[#This Row],[Finish (demob)]]+10,"")</f>
        <v/>
      </c>
      <c r="AP166" s="110" t="str">
        <f>IF(Table4[[#This Row],[Finish (demob)]]&lt;&gt;"",Table4[[#This Row],[Finish (demob)]]+10,"")</f>
        <v/>
      </c>
      <c r="AQ166" s="220"/>
      <c r="AR166" s="77" t="str">
        <f>IF(Table4[[#This Row],[Date Report is delivered:]]&lt;&gt;"", "Delivered", "")</f>
        <v/>
      </c>
      <c r="AS166" s="179"/>
      <c r="AT166" s="77"/>
      <c r="AU166" s="179"/>
      <c r="AV166" s="77"/>
      <c r="AW166" s="77"/>
    </row>
    <row r="167" spans="1:49" hidden="1">
      <c r="A167" s="173">
        <v>201909</v>
      </c>
      <c r="B167" s="75" t="s">
        <v>72</v>
      </c>
      <c r="C167" s="77" t="str">
        <f>CONCATENATE(Table4[[#This Row],[Project]],"-",Table4[[#This Row],[WO]])</f>
        <v>201909-07</v>
      </c>
      <c r="D167" s="76" t="s">
        <v>122</v>
      </c>
      <c r="E167" s="77" t="s">
        <v>57</v>
      </c>
      <c r="F167" s="77" t="s">
        <v>58</v>
      </c>
      <c r="G167" s="77" t="s">
        <v>59</v>
      </c>
      <c r="H167" s="77" t="s">
        <v>60</v>
      </c>
      <c r="I167" s="102" t="s">
        <v>82</v>
      </c>
      <c r="J167" s="77" t="s">
        <v>62</v>
      </c>
      <c r="K167" s="77" t="s">
        <v>63</v>
      </c>
      <c r="L167" s="77" t="s">
        <v>193</v>
      </c>
      <c r="M167" s="77" t="s">
        <v>65</v>
      </c>
      <c r="N167" s="77" t="s">
        <v>77</v>
      </c>
      <c r="O167" s="77"/>
      <c r="P167" s="76" t="s">
        <v>220</v>
      </c>
      <c r="Q167" s="183" t="s">
        <v>221</v>
      </c>
      <c r="R167" s="110" t="s">
        <v>93</v>
      </c>
      <c r="S167" s="77">
        <v>2019</v>
      </c>
      <c r="T167" s="179">
        <v>1</v>
      </c>
      <c r="U167" s="180">
        <v>13900</v>
      </c>
      <c r="V167" s="180">
        <f>Table4[[#This Row],[Expected Revenue]]*Table4[[#This Row],[Probability]]</f>
        <v>13900</v>
      </c>
      <c r="W167" s="180">
        <f t="shared" si="2"/>
        <v>20800</v>
      </c>
      <c r="X167" s="179">
        <v>0.3</v>
      </c>
      <c r="Y167" s="180">
        <f>Table4[[#This Row],[Expected Revenue]]*Table4[[#This Row],[Expected CMR]]</f>
        <v>4170</v>
      </c>
      <c r="Z167" s="203" t="s">
        <v>60</v>
      </c>
      <c r="AA167" s="77"/>
      <c r="AB167" s="77"/>
      <c r="AC167" s="180"/>
      <c r="AD167" s="220"/>
      <c r="AE167" s="220"/>
      <c r="AF167" s="220"/>
      <c r="AG167" s="220"/>
      <c r="AH167" s="220"/>
      <c r="AI167" s="188"/>
      <c r="AJ167" s="220"/>
      <c r="AK167" s="979"/>
      <c r="AL167" s="180"/>
      <c r="AM167" s="77"/>
      <c r="AN167" s="77"/>
      <c r="AO167" s="110" t="str">
        <f>IF(AE167&gt;0,AE167+3," - ")</f>
        <v xml:space="preserve"> - </v>
      </c>
      <c r="AP167" s="110" t="str">
        <f>IF(AE167&gt;0,AE167+14," - ")</f>
        <v xml:space="preserve"> - </v>
      </c>
      <c r="AQ167" s="220"/>
      <c r="AR167" s="77" t="str">
        <f ca="1">IF(AD167=0,"-",IF(AQ167&gt;0,"Delivered",IF(TODAY()&gt;AP167,"Overdue",IF(TODAY()&lt;AP167,"In Progress"))))</f>
        <v>-</v>
      </c>
      <c r="AS167" s="179"/>
      <c r="AT167" s="77"/>
      <c r="AU167" s="179"/>
      <c r="AV167" s="77"/>
      <c r="AW167" s="77"/>
    </row>
    <row r="168" spans="1:49" hidden="1">
      <c r="A168" s="173">
        <v>201905</v>
      </c>
      <c r="B168" s="75" t="s">
        <v>72</v>
      </c>
      <c r="C168" s="77" t="str">
        <f>CONCATENATE(Table4[[#This Row],[Project]],"-",Table4[[#This Row],[WO]])</f>
        <v>201905-07</v>
      </c>
      <c r="D168" s="76" t="s">
        <v>114</v>
      </c>
      <c r="E168" s="77" t="s">
        <v>57</v>
      </c>
      <c r="F168" s="77" t="s">
        <v>58</v>
      </c>
      <c r="G168" s="77" t="s">
        <v>59</v>
      </c>
      <c r="H168" s="77" t="s">
        <v>105</v>
      </c>
      <c r="I168" s="102" t="s">
        <v>82</v>
      </c>
      <c r="J168" s="77" t="s">
        <v>62</v>
      </c>
      <c r="K168" s="77" t="s">
        <v>63</v>
      </c>
      <c r="L168" s="77" t="s">
        <v>193</v>
      </c>
      <c r="M168" s="77" t="s">
        <v>65</v>
      </c>
      <c r="N168" s="77" t="s">
        <v>77</v>
      </c>
      <c r="O168" s="77"/>
      <c r="P168" s="76" t="s">
        <v>202</v>
      </c>
      <c r="Q168" s="183" t="s">
        <v>203</v>
      </c>
      <c r="R168" s="110" t="s">
        <v>89</v>
      </c>
      <c r="S168" s="77">
        <v>2019</v>
      </c>
      <c r="T168" s="179">
        <v>1</v>
      </c>
      <c r="U168" s="180">
        <v>13900</v>
      </c>
      <c r="V168" s="180">
        <f>Table4[[#This Row],[Expected Revenue]]*Table4[[#This Row],[Probability]]</f>
        <v>13900</v>
      </c>
      <c r="W168" s="180">
        <f t="shared" si="2"/>
        <v>20800</v>
      </c>
      <c r="X168" s="179">
        <v>0.3</v>
      </c>
      <c r="Y168" s="180">
        <f>Table4[[#This Row],[Expected Revenue]]*Table4[[#This Row],[Expected CMR]]</f>
        <v>4170</v>
      </c>
      <c r="Z168" s="203" t="s">
        <v>105</v>
      </c>
      <c r="AA168" s="77"/>
      <c r="AB168" s="77"/>
      <c r="AC168" s="180"/>
      <c r="AD168" s="220"/>
      <c r="AE168" s="220"/>
      <c r="AF168" s="220"/>
      <c r="AG168" s="220"/>
      <c r="AH168" s="220"/>
      <c r="AI168" s="188"/>
      <c r="AJ168" s="220"/>
      <c r="AK168" s="979"/>
      <c r="AL168" s="180"/>
      <c r="AM168" s="77"/>
      <c r="AN168" s="77"/>
      <c r="AO168" s="110" t="str">
        <f>IF(AE168&gt;0,AE168+3," - ")</f>
        <v xml:space="preserve"> - </v>
      </c>
      <c r="AP168" s="110" t="str">
        <f>IF(AE168&gt;0,AE168+14," - ")</f>
        <v xml:space="preserve"> - </v>
      </c>
      <c r="AQ168" s="220"/>
      <c r="AR168" s="77" t="str">
        <f ca="1">IF(AD168=0,"-",IF(AQ168&gt;0,"Delivered",IF(TODAY()&gt;AP168,"Overdue",IF(TODAY()&lt;AP168,"In Progress"))))</f>
        <v>-</v>
      </c>
      <c r="AS168" s="179"/>
      <c r="AT168" s="77"/>
      <c r="AU168" s="179"/>
      <c r="AV168" s="77"/>
      <c r="AW168" s="77"/>
    </row>
    <row r="169" spans="1:49" hidden="1">
      <c r="A169" s="173">
        <v>201911</v>
      </c>
      <c r="B169" s="75" t="s">
        <v>72</v>
      </c>
      <c r="C169" s="77" t="str">
        <f>CONCATENATE(Table4[[#This Row],[Project]],"-",Table4[[#This Row],[WO]])</f>
        <v>201911-07</v>
      </c>
      <c r="D169" s="76" t="s">
        <v>137</v>
      </c>
      <c r="E169" s="77" t="s">
        <v>57</v>
      </c>
      <c r="F169" s="77" t="s">
        <v>58</v>
      </c>
      <c r="G169" s="77" t="s">
        <v>59</v>
      </c>
      <c r="H169" s="77" t="s">
        <v>60</v>
      </c>
      <c r="I169" s="102" t="s">
        <v>82</v>
      </c>
      <c r="J169" s="77" t="s">
        <v>62</v>
      </c>
      <c r="K169" s="77" t="s">
        <v>63</v>
      </c>
      <c r="L169" s="77" t="s">
        <v>193</v>
      </c>
      <c r="M169" s="77" t="s">
        <v>65</v>
      </c>
      <c r="N169" s="77" t="s">
        <v>77</v>
      </c>
      <c r="O169" s="77"/>
      <c r="P169" s="76" t="s">
        <v>215</v>
      </c>
      <c r="Q169" s="183" t="s">
        <v>216</v>
      </c>
      <c r="R169" s="110" t="s">
        <v>231</v>
      </c>
      <c r="S169" s="77">
        <v>2019</v>
      </c>
      <c r="T169" s="179">
        <v>1</v>
      </c>
      <c r="U169" s="180">
        <v>13900</v>
      </c>
      <c r="V169" s="180">
        <f>Table4[[#This Row],[Expected Revenue]]*Table4[[#This Row],[Probability]]</f>
        <v>13900</v>
      </c>
      <c r="W169" s="180">
        <f t="shared" si="2"/>
        <v>20800</v>
      </c>
      <c r="X169" s="179">
        <v>0.3</v>
      </c>
      <c r="Y169" s="180">
        <f>Table4[[#This Row],[Expected Revenue]]*Table4[[#This Row],[Expected CMR]]</f>
        <v>4170</v>
      </c>
      <c r="Z169" s="203" t="s">
        <v>60</v>
      </c>
      <c r="AA169" s="77"/>
      <c r="AB169" s="77"/>
      <c r="AC169" s="180"/>
      <c r="AD169" s="220"/>
      <c r="AE169" s="220"/>
      <c r="AF169" s="220"/>
      <c r="AG169" s="220"/>
      <c r="AH169" s="220"/>
      <c r="AI169" s="188"/>
      <c r="AJ169" s="220"/>
      <c r="AK169" s="979"/>
      <c r="AL169" s="180"/>
      <c r="AM169" s="77"/>
      <c r="AN169" s="77"/>
      <c r="AO169" s="110" t="str">
        <f>IF(AE169&gt;0,AE169+3," - ")</f>
        <v xml:space="preserve"> - </v>
      </c>
      <c r="AP169" s="110" t="str">
        <f>IF(AE169&gt;0,AE169+14," - ")</f>
        <v xml:space="preserve"> - </v>
      </c>
      <c r="AQ169" s="220"/>
      <c r="AR169" s="77" t="str">
        <f ca="1">IF(AD169=0,"-",IF(AQ169&gt;0,"Delivered",IF(TODAY()&gt;AP169,"Overdue",IF(TODAY()&lt;AP169,"In Progress"))))</f>
        <v>-</v>
      </c>
      <c r="AS169" s="179"/>
      <c r="AT169" s="77"/>
      <c r="AU169" s="179"/>
      <c r="AV169" s="77"/>
      <c r="AW169" s="77"/>
    </row>
    <row r="170" spans="1:49" hidden="1">
      <c r="A170" s="173">
        <v>201912</v>
      </c>
      <c r="B170" s="75" t="s">
        <v>72</v>
      </c>
      <c r="C170" s="77" t="str">
        <f>CONCATENATE(Table4[[#This Row],[Project]],"-",Table4[[#This Row],[WO]])</f>
        <v>201912-07</v>
      </c>
      <c r="D170" s="76" t="s">
        <v>146</v>
      </c>
      <c r="E170" s="77" t="s">
        <v>57</v>
      </c>
      <c r="F170" s="77" t="s">
        <v>58</v>
      </c>
      <c r="G170" s="77" t="s">
        <v>59</v>
      </c>
      <c r="H170" s="77" t="s">
        <v>60</v>
      </c>
      <c r="I170" s="102" t="s">
        <v>82</v>
      </c>
      <c r="J170" s="77" t="s">
        <v>62</v>
      </c>
      <c r="K170" s="77" t="s">
        <v>63</v>
      </c>
      <c r="L170" s="77" t="s">
        <v>193</v>
      </c>
      <c r="M170" s="77" t="s">
        <v>65</v>
      </c>
      <c r="N170" s="77" t="s">
        <v>77</v>
      </c>
      <c r="O170" s="77"/>
      <c r="P170" s="76" t="s">
        <v>194</v>
      </c>
      <c r="Q170" s="183" t="s">
        <v>195</v>
      </c>
      <c r="R170" s="110" t="s">
        <v>229</v>
      </c>
      <c r="S170" s="77">
        <v>2019</v>
      </c>
      <c r="T170" s="179">
        <v>1</v>
      </c>
      <c r="U170" s="180">
        <v>13900</v>
      </c>
      <c r="V170" s="180">
        <f>Table4[[#This Row],[Expected Revenue]]*Table4[[#This Row],[Probability]]</f>
        <v>13900</v>
      </c>
      <c r="W170" s="180">
        <f t="shared" si="2"/>
        <v>20800</v>
      </c>
      <c r="X170" s="179">
        <v>0.3</v>
      </c>
      <c r="Y170" s="180">
        <f>Table4[[#This Row],[Expected Revenue]]*Table4[[#This Row],[Expected CMR]]</f>
        <v>4170</v>
      </c>
      <c r="Z170" s="203" t="s">
        <v>60</v>
      </c>
      <c r="AA170" s="77"/>
      <c r="AB170" s="77"/>
      <c r="AC170" s="180"/>
      <c r="AD170" s="220"/>
      <c r="AE170" s="220"/>
      <c r="AF170" s="220"/>
      <c r="AG170" s="220"/>
      <c r="AH170" s="220"/>
      <c r="AI170" s="188"/>
      <c r="AJ170" s="220"/>
      <c r="AK170" s="979"/>
      <c r="AL170" s="180"/>
      <c r="AM170" s="77"/>
      <c r="AN170" s="77"/>
      <c r="AO170" s="110" t="str">
        <f>IF(AE170&gt;0,AE170+3," - ")</f>
        <v xml:space="preserve"> - </v>
      </c>
      <c r="AP170" s="110" t="str">
        <f>IF(AE170&gt;0,AE170+14," - ")</f>
        <v xml:space="preserve"> - </v>
      </c>
      <c r="AQ170" s="220"/>
      <c r="AR170" s="77" t="str">
        <f ca="1">IF(AD170=0,"-",IF(AQ170&gt;0,"Delivered",IF(TODAY()&gt;AP170,"Overdue",IF(TODAY()&lt;AP170,"In Progress"))))</f>
        <v>-</v>
      </c>
      <c r="AS170" s="179"/>
      <c r="AT170" s="77"/>
      <c r="AU170" s="179"/>
      <c r="AV170" s="77"/>
      <c r="AW170" s="77"/>
    </row>
    <row r="171" spans="1:49" hidden="1">
      <c r="A171" s="173">
        <v>201902</v>
      </c>
      <c r="B171" s="75" t="s">
        <v>72</v>
      </c>
      <c r="C171" s="77" t="str">
        <f>CONCATENATE(Table4[[#This Row],[Project]],"-",Table4[[#This Row],[WO]])</f>
        <v>201902-07</v>
      </c>
      <c r="D171" s="76" t="s">
        <v>104</v>
      </c>
      <c r="E171" s="77" t="s">
        <v>57</v>
      </c>
      <c r="F171" s="77" t="s">
        <v>58</v>
      </c>
      <c r="G171" s="77" t="s">
        <v>59</v>
      </c>
      <c r="H171" s="77" t="s">
        <v>105</v>
      </c>
      <c r="I171" s="102" t="s">
        <v>232</v>
      </c>
      <c r="J171" s="77" t="s">
        <v>62</v>
      </c>
      <c r="K171" s="77" t="s">
        <v>63</v>
      </c>
      <c r="L171" s="77" t="s">
        <v>193</v>
      </c>
      <c r="M171" s="77" t="s">
        <v>65</v>
      </c>
      <c r="N171" s="77" t="s">
        <v>77</v>
      </c>
      <c r="O171" s="77"/>
      <c r="P171" s="76" t="s">
        <v>211</v>
      </c>
      <c r="Q171" s="183" t="s">
        <v>212</v>
      </c>
      <c r="R171" s="110" t="s">
        <v>229</v>
      </c>
      <c r="S171" s="77">
        <v>2019</v>
      </c>
      <c r="T171" s="179">
        <v>1</v>
      </c>
      <c r="U171" s="180">
        <v>13900</v>
      </c>
      <c r="V171" s="180">
        <f>Table4[[#This Row],[Expected Revenue]]*Table4[[#This Row],[Probability]]</f>
        <v>13900</v>
      </c>
      <c r="W171" s="180">
        <f t="shared" si="2"/>
        <v>20800</v>
      </c>
      <c r="X171" s="179">
        <v>0.3</v>
      </c>
      <c r="Y171" s="180">
        <f>Table4[[#This Row],[Expected Revenue]]*Table4[[#This Row],[Expected CMR]]</f>
        <v>4170</v>
      </c>
      <c r="Z171" s="203" t="s">
        <v>105</v>
      </c>
      <c r="AA171" s="77"/>
      <c r="AB171" s="77"/>
      <c r="AC171" s="180"/>
      <c r="AD171" s="220"/>
      <c r="AE171" s="220"/>
      <c r="AF171" s="220"/>
      <c r="AG171" s="220"/>
      <c r="AH171" s="220"/>
      <c r="AI171" s="188"/>
      <c r="AJ171" s="220"/>
      <c r="AK171" s="979"/>
      <c r="AL171" s="180"/>
      <c r="AM171" s="77"/>
      <c r="AN171" s="77"/>
      <c r="AO171" s="110" t="str">
        <f>IF(AE171&gt;0,AE171+3," - ")</f>
        <v xml:space="preserve"> - </v>
      </c>
      <c r="AP171" s="110" t="str">
        <f>IF(AE171&gt;0,AE171+14," - ")</f>
        <v xml:space="preserve"> - </v>
      </c>
      <c r="AQ171" s="220"/>
      <c r="AR171" s="77" t="str">
        <f ca="1">IF(AD171=0,"-",IF(AQ171&gt;0,"Delivered",IF(TODAY()&gt;AP171,"Overdue",IF(TODAY()&lt;AP171,"In Progress"))))</f>
        <v>-</v>
      </c>
      <c r="AS171" s="179"/>
      <c r="AT171" s="77"/>
      <c r="AU171" s="179"/>
      <c r="AV171" s="77"/>
      <c r="AW171" s="77"/>
    </row>
    <row r="172" spans="1:49" hidden="1">
      <c r="A172" s="173">
        <v>201903</v>
      </c>
      <c r="B172" s="75" t="s">
        <v>81</v>
      </c>
      <c r="C172" s="77" t="str">
        <f>CONCATENATE(Table4[[#This Row],[Project]],"-",Table4[[#This Row],[WO]])</f>
        <v>201903-06</v>
      </c>
      <c r="D172" s="76" t="s">
        <v>73</v>
      </c>
      <c r="E172" s="77" t="s">
        <v>57</v>
      </c>
      <c r="F172" s="77" t="s">
        <v>58</v>
      </c>
      <c r="G172" s="77" t="s">
        <v>59</v>
      </c>
      <c r="H172" s="77" t="s">
        <v>105</v>
      </c>
      <c r="I172" s="102" t="s">
        <v>75</v>
      </c>
      <c r="J172" s="77" t="s">
        <v>83</v>
      </c>
      <c r="K172" s="77" t="s">
        <v>63</v>
      </c>
      <c r="L172" s="77" t="s">
        <v>217</v>
      </c>
      <c r="M172" s="77" t="s">
        <v>65</v>
      </c>
      <c r="N172" s="77" t="s">
        <v>77</v>
      </c>
      <c r="O172" s="77"/>
      <c r="P172" s="76" t="s">
        <v>78</v>
      </c>
      <c r="Q172" s="183" t="s">
        <v>79</v>
      </c>
      <c r="R172" s="110" t="s">
        <v>84</v>
      </c>
      <c r="S172" s="77">
        <v>2019</v>
      </c>
      <c r="T172" s="179">
        <v>1</v>
      </c>
      <c r="U172" s="180">
        <v>10620</v>
      </c>
      <c r="V172" s="180">
        <f>Table4[[#This Row],[Expected Revenue]]*Table4[[#This Row],[Probability]]</f>
        <v>10620</v>
      </c>
      <c r="W172" s="180">
        <f t="shared" si="2"/>
        <v>20800</v>
      </c>
      <c r="X172" s="179">
        <v>0.3</v>
      </c>
      <c r="Y172" s="180">
        <f>Table4[[#This Row],[Rev. Based on PROB]]*Table4[[#This Row],[Expected CMR]]</f>
        <v>3186</v>
      </c>
      <c r="Z172" s="203" t="s">
        <v>105</v>
      </c>
      <c r="AA172" s="77"/>
      <c r="AB172" s="77"/>
      <c r="AC172" s="180"/>
      <c r="AD172" s="220"/>
      <c r="AE172" s="220"/>
      <c r="AF172" s="220"/>
      <c r="AG172" s="220"/>
      <c r="AH172" s="220"/>
      <c r="AI172" s="188"/>
      <c r="AJ172" s="220"/>
      <c r="AK172" s="979"/>
      <c r="AL172" s="180"/>
      <c r="AM172" s="77"/>
      <c r="AN172" s="77"/>
      <c r="AO172" s="110" t="str">
        <f>IF(Table4[[#This Row],[Finish (demob)]]&lt;&gt;"",Table4[[#This Row],[Finish (demob)]]+10,"")</f>
        <v/>
      </c>
      <c r="AP172" s="110" t="str">
        <f>IF(Table4[[#This Row],[Finish (demob)]]&lt;&gt;"",Table4[[#This Row],[Finish (demob)]]+10,"")</f>
        <v/>
      </c>
      <c r="AQ172" s="220"/>
      <c r="AR172" s="77" t="str">
        <f>IF(Table4[[#This Row],[Date Report is delivered:]]&lt;&gt;"", "Delivered", "")</f>
        <v/>
      </c>
      <c r="AS172" s="179"/>
      <c r="AT172" s="77"/>
      <c r="AU172" s="179"/>
      <c r="AV172" s="77"/>
      <c r="AW172" s="77"/>
    </row>
    <row r="173" spans="1:49" hidden="1">
      <c r="A173" s="173">
        <v>201809</v>
      </c>
      <c r="B173" s="75" t="s">
        <v>81</v>
      </c>
      <c r="C173" s="77" t="str">
        <f>CONCATENATE(Table4[[#This Row],[Project]],"-",Table4[[#This Row],[WO]])</f>
        <v>201809-06</v>
      </c>
      <c r="D173" s="76" t="s">
        <v>122</v>
      </c>
      <c r="E173" s="77" t="s">
        <v>57</v>
      </c>
      <c r="F173" s="77" t="s">
        <v>58</v>
      </c>
      <c r="G173" s="77" t="s">
        <v>59</v>
      </c>
      <c r="H173" s="77" t="s">
        <v>233</v>
      </c>
      <c r="I173" s="102" t="s">
        <v>75</v>
      </c>
      <c r="J173" s="77" t="s">
        <v>83</v>
      </c>
      <c r="K173" s="77" t="s">
        <v>63</v>
      </c>
      <c r="L173" s="77" t="s">
        <v>234</v>
      </c>
      <c r="M173" s="77" t="s">
        <v>65</v>
      </c>
      <c r="N173" s="77" t="s">
        <v>77</v>
      </c>
      <c r="O173" s="77"/>
      <c r="P173" s="76" t="s">
        <v>220</v>
      </c>
      <c r="Q173" s="183" t="s">
        <v>221</v>
      </c>
      <c r="R173" s="110" t="s">
        <v>68</v>
      </c>
      <c r="S173" s="77">
        <v>2019</v>
      </c>
      <c r="T173" s="179">
        <v>1</v>
      </c>
      <c r="U173" s="180">
        <v>10620</v>
      </c>
      <c r="V173" s="180">
        <f>Table4[[#This Row],[Expected Revenue]]*Table4[[#This Row],[Probability]]</f>
        <v>10620</v>
      </c>
      <c r="W173" s="180">
        <f t="shared" si="2"/>
        <v>20800</v>
      </c>
      <c r="X173" s="179">
        <v>0.3</v>
      </c>
      <c r="Y173" s="180">
        <f>Table4[[#This Row],[Expected Revenue]]*Table4[[#This Row],[Expected CMR]]</f>
        <v>3186</v>
      </c>
      <c r="Z173" s="203" t="s">
        <v>233</v>
      </c>
      <c r="AA173" s="77"/>
      <c r="AB173" s="77"/>
      <c r="AC173" s="180"/>
      <c r="AD173" s="220"/>
      <c r="AE173" s="220"/>
      <c r="AF173" s="220"/>
      <c r="AG173" s="220"/>
      <c r="AH173" s="220"/>
      <c r="AI173" s="188"/>
      <c r="AJ173" s="220"/>
      <c r="AK173" s="979"/>
      <c r="AL173" s="180"/>
      <c r="AM173" s="77"/>
      <c r="AN173" s="77"/>
      <c r="AO173" s="110"/>
      <c r="AP173" s="110"/>
      <c r="AQ173" s="220"/>
      <c r="AR173" s="77"/>
      <c r="AS173" s="179"/>
      <c r="AT173" s="77"/>
      <c r="AU173" s="179"/>
      <c r="AV173" s="77"/>
      <c r="AW173" s="77"/>
    </row>
    <row r="174" spans="1:49" hidden="1">
      <c r="A174" s="173">
        <v>201911</v>
      </c>
      <c r="B174" s="75" t="s">
        <v>81</v>
      </c>
      <c r="C174" s="77" t="str">
        <f>CONCATENATE(Table4[[#This Row],[Project]],"-",Table4[[#This Row],[WO]])</f>
        <v>201911-06</v>
      </c>
      <c r="D174" s="76" t="s">
        <v>137</v>
      </c>
      <c r="E174" s="77" t="s">
        <v>57</v>
      </c>
      <c r="F174" s="77" t="s">
        <v>58</v>
      </c>
      <c r="G174" s="77" t="s">
        <v>59</v>
      </c>
      <c r="H174" s="77" t="s">
        <v>60</v>
      </c>
      <c r="I174" s="102" t="s">
        <v>75</v>
      </c>
      <c r="J174" s="77" t="s">
        <v>83</v>
      </c>
      <c r="K174" s="77" t="s">
        <v>63</v>
      </c>
      <c r="L174" s="77" t="s">
        <v>193</v>
      </c>
      <c r="M174" s="77" t="s">
        <v>65</v>
      </c>
      <c r="N174" s="77" t="s">
        <v>77</v>
      </c>
      <c r="O174" s="77"/>
      <c r="P174" s="76" t="s">
        <v>215</v>
      </c>
      <c r="Q174" s="183" t="s">
        <v>216</v>
      </c>
      <c r="R174" s="110" t="s">
        <v>68</v>
      </c>
      <c r="S174" s="77">
        <v>2019</v>
      </c>
      <c r="T174" s="179">
        <v>1</v>
      </c>
      <c r="U174" s="180">
        <v>10620</v>
      </c>
      <c r="V174" s="180">
        <f>Table4[[#This Row],[Expected Revenue]]*Table4[[#This Row],[Probability]]</f>
        <v>10620</v>
      </c>
      <c r="W174" s="180">
        <f t="shared" si="2"/>
        <v>20800</v>
      </c>
      <c r="X174" s="179">
        <v>0.3</v>
      </c>
      <c r="Y174" s="180">
        <f>Table4[[#This Row],[Expected Revenue]]*Table4[[#This Row],[Expected CMR]]</f>
        <v>3186</v>
      </c>
      <c r="Z174" s="203" t="s">
        <v>60</v>
      </c>
      <c r="AA174" s="77"/>
      <c r="AB174" s="77"/>
      <c r="AC174" s="180"/>
      <c r="AD174" s="220"/>
      <c r="AE174" s="220"/>
      <c r="AF174" s="220"/>
      <c r="AG174" s="220"/>
      <c r="AH174" s="220"/>
      <c r="AI174" s="188"/>
      <c r="AJ174" s="220"/>
      <c r="AK174" s="979"/>
      <c r="AL174" s="180"/>
      <c r="AM174" s="77"/>
      <c r="AN174" s="77"/>
      <c r="AO174" s="110"/>
      <c r="AP174" s="110"/>
      <c r="AQ174" s="220"/>
      <c r="AR174" s="77"/>
      <c r="AS174" s="179"/>
      <c r="AT174" s="77"/>
      <c r="AU174" s="179"/>
      <c r="AV174" s="77"/>
      <c r="AW174" s="77"/>
    </row>
    <row r="175" spans="1:49" hidden="1">
      <c r="A175" s="173">
        <v>201905</v>
      </c>
      <c r="B175" s="75" t="s">
        <v>81</v>
      </c>
      <c r="C175" s="77" t="str">
        <f>CONCATENATE(Table4[[#This Row],[Project]],"-",Table4[[#This Row],[WO]])</f>
        <v>201905-06</v>
      </c>
      <c r="D175" s="76" t="s">
        <v>114</v>
      </c>
      <c r="E175" s="77" t="s">
        <v>57</v>
      </c>
      <c r="F175" s="77" t="s">
        <v>58</v>
      </c>
      <c r="G175" s="77" t="s">
        <v>59</v>
      </c>
      <c r="H175" s="77" t="s">
        <v>105</v>
      </c>
      <c r="I175" s="102" t="s">
        <v>75</v>
      </c>
      <c r="J175" s="77" t="s">
        <v>83</v>
      </c>
      <c r="K175" s="77" t="s">
        <v>63</v>
      </c>
      <c r="L175" s="77" t="s">
        <v>193</v>
      </c>
      <c r="M175" s="77" t="s">
        <v>65</v>
      </c>
      <c r="N175" s="77" t="s">
        <v>77</v>
      </c>
      <c r="O175" s="77"/>
      <c r="P175" s="76" t="s">
        <v>202</v>
      </c>
      <c r="Q175" s="183" t="s">
        <v>203</v>
      </c>
      <c r="R175" s="110" t="s">
        <v>68</v>
      </c>
      <c r="S175" s="77">
        <v>2019</v>
      </c>
      <c r="T175" s="179">
        <v>1</v>
      </c>
      <c r="U175" s="180">
        <v>10620</v>
      </c>
      <c r="V175" s="180">
        <f>Table4[[#This Row],[Expected Revenue]]*Table4[[#This Row],[Probability]]</f>
        <v>10620</v>
      </c>
      <c r="W175" s="180">
        <f t="shared" si="2"/>
        <v>20800</v>
      </c>
      <c r="X175" s="179">
        <v>0.3</v>
      </c>
      <c r="Y175" s="180">
        <f>Table4[[#This Row],[Expected Revenue]]*Table4[[#This Row],[Expected CMR]]</f>
        <v>3186</v>
      </c>
      <c r="Z175" s="203" t="s">
        <v>105</v>
      </c>
      <c r="AA175" s="77"/>
      <c r="AB175" s="77"/>
      <c r="AC175" s="180"/>
      <c r="AD175" s="220"/>
      <c r="AE175" s="220"/>
      <c r="AF175" s="220"/>
      <c r="AG175" s="220"/>
      <c r="AH175" s="220"/>
      <c r="AI175" s="188"/>
      <c r="AJ175" s="220"/>
      <c r="AK175" s="979"/>
      <c r="AL175" s="180"/>
      <c r="AM175" s="77"/>
      <c r="AN175" s="77"/>
      <c r="AO175" s="110" t="str">
        <f t="shared" ref="AO175:AO186" si="12">IF(AE175&gt;0,AE175+3," - ")</f>
        <v xml:space="preserve"> - </v>
      </c>
      <c r="AP175" s="110" t="str">
        <f t="shared" ref="AP175:AP186" si="13">IF(AE175&gt;0,AE175+14," - ")</f>
        <v xml:space="preserve"> - </v>
      </c>
      <c r="AQ175" s="220"/>
      <c r="AR175" s="77" t="str">
        <f t="shared" ref="AR175:AR186" ca="1" si="14">IF(AD175=0,"-",IF(AQ175&gt;0,"Delivered",IF(TODAY()&gt;AP175,"Overdue",IF(TODAY()&lt;AP175,"In Progress"))))</f>
        <v>-</v>
      </c>
      <c r="AS175" s="179"/>
      <c r="AT175" s="77"/>
      <c r="AU175" s="179"/>
      <c r="AV175" s="77"/>
      <c r="AW175" s="77"/>
    </row>
    <row r="176" spans="1:49" hidden="1">
      <c r="A176" s="173">
        <v>201909</v>
      </c>
      <c r="B176" s="75" t="s">
        <v>81</v>
      </c>
      <c r="C176" s="77" t="str">
        <f>CONCATENATE(Table4[[#This Row],[Project]],"-",Table4[[#This Row],[WO]])</f>
        <v>201909-06</v>
      </c>
      <c r="D176" s="76" t="s">
        <v>122</v>
      </c>
      <c r="E176" s="77" t="s">
        <v>57</v>
      </c>
      <c r="F176" s="77" t="s">
        <v>58</v>
      </c>
      <c r="G176" s="77" t="s">
        <v>59</v>
      </c>
      <c r="H176" s="77" t="s">
        <v>60</v>
      </c>
      <c r="I176" s="102" t="s">
        <v>75</v>
      </c>
      <c r="J176" s="77" t="s">
        <v>83</v>
      </c>
      <c r="K176" s="77" t="s">
        <v>63</v>
      </c>
      <c r="L176" s="77" t="s">
        <v>193</v>
      </c>
      <c r="M176" s="77" t="s">
        <v>65</v>
      </c>
      <c r="N176" s="77" t="s">
        <v>77</v>
      </c>
      <c r="O176" s="77"/>
      <c r="P176" s="76" t="s">
        <v>220</v>
      </c>
      <c r="Q176" s="183" t="s">
        <v>221</v>
      </c>
      <c r="R176" s="110" t="s">
        <v>93</v>
      </c>
      <c r="S176" s="77">
        <v>2019</v>
      </c>
      <c r="T176" s="179">
        <v>1</v>
      </c>
      <c r="U176" s="180">
        <v>10620</v>
      </c>
      <c r="V176" s="180">
        <f>Table4[[#This Row],[Expected Revenue]]*Table4[[#This Row],[Probability]]</f>
        <v>10620</v>
      </c>
      <c r="W176" s="180">
        <f t="shared" si="2"/>
        <v>20800</v>
      </c>
      <c r="X176" s="179">
        <v>0.3</v>
      </c>
      <c r="Y176" s="180">
        <f>Table4[[#This Row],[Expected Revenue]]*Table4[[#This Row],[Expected CMR]]</f>
        <v>3186</v>
      </c>
      <c r="Z176" s="203" t="s">
        <v>60</v>
      </c>
      <c r="AA176" s="77"/>
      <c r="AB176" s="77"/>
      <c r="AC176" s="180"/>
      <c r="AD176" s="220"/>
      <c r="AE176" s="220"/>
      <c r="AF176" s="220"/>
      <c r="AG176" s="220"/>
      <c r="AH176" s="220"/>
      <c r="AI176" s="188"/>
      <c r="AJ176" s="220"/>
      <c r="AK176" s="979"/>
      <c r="AL176" s="180"/>
      <c r="AM176" s="77"/>
      <c r="AN176" s="77"/>
      <c r="AO176" s="110" t="str">
        <f t="shared" si="12"/>
        <v xml:space="preserve"> - </v>
      </c>
      <c r="AP176" s="110" t="str">
        <f t="shared" si="13"/>
        <v xml:space="preserve"> - </v>
      </c>
      <c r="AQ176" s="220"/>
      <c r="AR176" s="77" t="str">
        <f t="shared" ca="1" si="14"/>
        <v>-</v>
      </c>
      <c r="AS176" s="179"/>
      <c r="AT176" s="77"/>
      <c r="AU176" s="179"/>
      <c r="AV176" s="77"/>
      <c r="AW176" s="77"/>
    </row>
    <row r="177" spans="1:49" hidden="1">
      <c r="A177" s="173">
        <v>201914</v>
      </c>
      <c r="B177" s="75" t="s">
        <v>81</v>
      </c>
      <c r="C177" s="77" t="str">
        <f>CONCATENATE(Table4[[#This Row],[Project]],"-",Table4[[#This Row],[WO]])</f>
        <v>201914-06</v>
      </c>
      <c r="D177" s="76" t="s">
        <v>117</v>
      </c>
      <c r="E177" s="77" t="s">
        <v>57</v>
      </c>
      <c r="F177" s="77" t="s">
        <v>58</v>
      </c>
      <c r="G177" s="77" t="s">
        <v>59</v>
      </c>
      <c r="H177" s="77" t="s">
        <v>105</v>
      </c>
      <c r="I177" s="102" t="s">
        <v>75</v>
      </c>
      <c r="J177" s="77" t="s">
        <v>83</v>
      </c>
      <c r="K177" s="77" t="s">
        <v>63</v>
      </c>
      <c r="L177" s="77" t="s">
        <v>193</v>
      </c>
      <c r="M177" s="77" t="s">
        <v>65</v>
      </c>
      <c r="N177" s="77" t="s">
        <v>77</v>
      </c>
      <c r="O177" s="77"/>
      <c r="P177" s="76" t="s">
        <v>197</v>
      </c>
      <c r="Q177" s="183" t="s">
        <v>198</v>
      </c>
      <c r="R177" s="110" t="s">
        <v>231</v>
      </c>
      <c r="S177" s="77">
        <v>2019</v>
      </c>
      <c r="T177" s="179">
        <v>1</v>
      </c>
      <c r="U177" s="180">
        <v>10620</v>
      </c>
      <c r="V177" s="180">
        <f>Table4[[#This Row],[Expected Revenue]]*Table4[[#This Row],[Probability]]</f>
        <v>10620</v>
      </c>
      <c r="W177" s="180">
        <f t="shared" si="2"/>
        <v>20800</v>
      </c>
      <c r="X177" s="179">
        <v>0.3</v>
      </c>
      <c r="Y177" s="180">
        <f>Table4[[#This Row],[Expected Revenue]]*Table4[[#This Row],[Expected CMR]]</f>
        <v>3186</v>
      </c>
      <c r="Z177" s="203" t="s">
        <v>105</v>
      </c>
      <c r="AA177" s="77"/>
      <c r="AB177" s="77"/>
      <c r="AC177" s="180"/>
      <c r="AD177" s="220"/>
      <c r="AE177" s="220"/>
      <c r="AF177" s="220"/>
      <c r="AG177" s="220"/>
      <c r="AH177" s="220"/>
      <c r="AI177" s="188"/>
      <c r="AJ177" s="220"/>
      <c r="AK177" s="979"/>
      <c r="AL177" s="180"/>
      <c r="AM177" s="77"/>
      <c r="AN177" s="77"/>
      <c r="AO177" s="110" t="str">
        <f t="shared" si="12"/>
        <v xml:space="preserve"> - </v>
      </c>
      <c r="AP177" s="110" t="str">
        <f t="shared" si="13"/>
        <v xml:space="preserve"> - </v>
      </c>
      <c r="AQ177" s="220"/>
      <c r="AR177" s="77" t="str">
        <f t="shared" ca="1" si="14"/>
        <v>-</v>
      </c>
      <c r="AS177" s="179"/>
      <c r="AT177" s="77"/>
      <c r="AU177" s="179"/>
      <c r="AV177" s="77"/>
      <c r="AW177" s="77"/>
    </row>
    <row r="178" spans="1:49" hidden="1">
      <c r="A178" s="173">
        <v>201910</v>
      </c>
      <c r="B178" s="75" t="s">
        <v>81</v>
      </c>
      <c r="C178" s="77" t="str">
        <f>CONCATENATE(Table4[[#This Row],[Project]],"-",Table4[[#This Row],[WO]])</f>
        <v>201910-06</v>
      </c>
      <c r="D178" s="76" t="s">
        <v>130</v>
      </c>
      <c r="E178" s="77" t="s">
        <v>57</v>
      </c>
      <c r="F178" s="77" t="s">
        <v>58</v>
      </c>
      <c r="G178" s="77" t="s">
        <v>59</v>
      </c>
      <c r="H178" s="77" t="s">
        <v>105</v>
      </c>
      <c r="I178" s="102" t="s">
        <v>75</v>
      </c>
      <c r="J178" s="77" t="s">
        <v>83</v>
      </c>
      <c r="K178" s="77" t="s">
        <v>63</v>
      </c>
      <c r="L178" s="77" t="s">
        <v>193</v>
      </c>
      <c r="M178" s="77" t="s">
        <v>65</v>
      </c>
      <c r="N178" s="77" t="s">
        <v>77</v>
      </c>
      <c r="O178" s="77"/>
      <c r="P178" s="76" t="s">
        <v>223</v>
      </c>
      <c r="Q178" s="183" t="s">
        <v>224</v>
      </c>
      <c r="R178" s="110" t="s">
        <v>102</v>
      </c>
      <c r="S178" s="77">
        <v>2019</v>
      </c>
      <c r="T178" s="179">
        <v>1</v>
      </c>
      <c r="U178" s="180">
        <v>10620</v>
      </c>
      <c r="V178" s="180">
        <f>Table4[[#This Row],[Expected Revenue]]*Table4[[#This Row],[Probability]]</f>
        <v>10620</v>
      </c>
      <c r="W178" s="180">
        <f t="shared" si="2"/>
        <v>20800</v>
      </c>
      <c r="X178" s="179">
        <v>0.3</v>
      </c>
      <c r="Y178" s="180">
        <f>Table4[[#This Row],[Expected Revenue]]*Table4[[#This Row],[Expected CMR]]</f>
        <v>3186</v>
      </c>
      <c r="Z178" s="203" t="s">
        <v>105</v>
      </c>
      <c r="AA178" s="77"/>
      <c r="AB178" s="77"/>
      <c r="AC178" s="180"/>
      <c r="AD178" s="220"/>
      <c r="AE178" s="220"/>
      <c r="AF178" s="220"/>
      <c r="AG178" s="220"/>
      <c r="AH178" s="220"/>
      <c r="AI178" s="188"/>
      <c r="AJ178" s="220"/>
      <c r="AK178" s="979"/>
      <c r="AL178" s="180"/>
      <c r="AM178" s="77"/>
      <c r="AN178" s="77"/>
      <c r="AO178" s="110" t="str">
        <f t="shared" si="12"/>
        <v xml:space="preserve"> - </v>
      </c>
      <c r="AP178" s="110" t="str">
        <f t="shared" si="13"/>
        <v xml:space="preserve"> - </v>
      </c>
      <c r="AQ178" s="220"/>
      <c r="AR178" s="77" t="str">
        <f t="shared" ca="1" si="14"/>
        <v>-</v>
      </c>
      <c r="AS178" s="179"/>
      <c r="AT178" s="77"/>
      <c r="AU178" s="179"/>
      <c r="AV178" s="77"/>
      <c r="AW178" s="77"/>
    </row>
    <row r="179" spans="1:49" hidden="1">
      <c r="A179" s="173">
        <v>201902</v>
      </c>
      <c r="B179" s="75" t="s">
        <v>81</v>
      </c>
      <c r="C179" s="77" t="str">
        <f>CONCATENATE(Table4[[#This Row],[Project]],"-",Table4[[#This Row],[WO]])</f>
        <v>201902-06</v>
      </c>
      <c r="D179" s="76" t="s">
        <v>104</v>
      </c>
      <c r="E179" s="77" t="s">
        <v>57</v>
      </c>
      <c r="F179" s="77" t="s">
        <v>58</v>
      </c>
      <c r="G179" s="77" t="s">
        <v>59</v>
      </c>
      <c r="H179" s="77" t="s">
        <v>105</v>
      </c>
      <c r="I179" s="102" t="s">
        <v>75</v>
      </c>
      <c r="J179" s="77" t="s">
        <v>83</v>
      </c>
      <c r="K179" s="77" t="s">
        <v>63</v>
      </c>
      <c r="L179" s="77" t="s">
        <v>193</v>
      </c>
      <c r="M179" s="77" t="s">
        <v>65</v>
      </c>
      <c r="N179" s="77" t="s">
        <v>77</v>
      </c>
      <c r="O179" s="77"/>
      <c r="P179" s="76" t="s">
        <v>211</v>
      </c>
      <c r="Q179" s="183" t="s">
        <v>212</v>
      </c>
      <c r="R179" s="110" t="s">
        <v>229</v>
      </c>
      <c r="S179" s="77">
        <v>2019</v>
      </c>
      <c r="T179" s="179">
        <v>1</v>
      </c>
      <c r="U179" s="180">
        <v>10620</v>
      </c>
      <c r="V179" s="180">
        <f>Table4[[#This Row],[Expected Revenue]]*Table4[[#This Row],[Probability]]</f>
        <v>10620</v>
      </c>
      <c r="W179" s="180">
        <f t="shared" si="2"/>
        <v>20800</v>
      </c>
      <c r="X179" s="179">
        <v>0.3</v>
      </c>
      <c r="Y179" s="180">
        <f>Table4[[#This Row],[Expected Revenue]]*Table4[[#This Row],[Expected CMR]]</f>
        <v>3186</v>
      </c>
      <c r="Z179" s="203" t="s">
        <v>105</v>
      </c>
      <c r="AA179" s="77"/>
      <c r="AB179" s="77"/>
      <c r="AC179" s="180"/>
      <c r="AD179" s="220"/>
      <c r="AE179" s="220"/>
      <c r="AF179" s="220"/>
      <c r="AG179" s="220"/>
      <c r="AH179" s="220"/>
      <c r="AI179" s="188"/>
      <c r="AJ179" s="220"/>
      <c r="AK179" s="979"/>
      <c r="AL179" s="180"/>
      <c r="AM179" s="77"/>
      <c r="AN179" s="77"/>
      <c r="AO179" s="110" t="str">
        <f t="shared" si="12"/>
        <v xml:space="preserve"> - </v>
      </c>
      <c r="AP179" s="110" t="str">
        <f t="shared" si="13"/>
        <v xml:space="preserve"> - </v>
      </c>
      <c r="AQ179" s="220"/>
      <c r="AR179" s="77" t="str">
        <f t="shared" ca="1" si="14"/>
        <v>-</v>
      </c>
      <c r="AS179" s="179"/>
      <c r="AT179" s="77"/>
      <c r="AU179" s="179"/>
      <c r="AV179" s="77"/>
      <c r="AW179" s="77"/>
    </row>
    <row r="180" spans="1:49" hidden="1">
      <c r="A180" s="173">
        <v>201912</v>
      </c>
      <c r="B180" s="75" t="s">
        <v>81</v>
      </c>
      <c r="C180" s="77" t="str">
        <f>CONCATENATE(Table4[[#This Row],[Project]],"-",Table4[[#This Row],[WO]])</f>
        <v>201912-06</v>
      </c>
      <c r="D180" s="76" t="s">
        <v>146</v>
      </c>
      <c r="E180" s="77" t="s">
        <v>57</v>
      </c>
      <c r="F180" s="77" t="s">
        <v>58</v>
      </c>
      <c r="G180" s="77" t="s">
        <v>59</v>
      </c>
      <c r="H180" s="77" t="s">
        <v>60</v>
      </c>
      <c r="I180" s="102" t="s">
        <v>75</v>
      </c>
      <c r="J180" s="77" t="s">
        <v>83</v>
      </c>
      <c r="K180" s="77" t="s">
        <v>63</v>
      </c>
      <c r="L180" s="77" t="s">
        <v>193</v>
      </c>
      <c r="M180" s="77" t="s">
        <v>65</v>
      </c>
      <c r="N180" s="77" t="s">
        <v>77</v>
      </c>
      <c r="O180" s="77"/>
      <c r="P180" s="76" t="s">
        <v>194</v>
      </c>
      <c r="Q180" s="183" t="s">
        <v>195</v>
      </c>
      <c r="R180" s="110" t="s">
        <v>229</v>
      </c>
      <c r="S180" s="77">
        <v>2019</v>
      </c>
      <c r="T180" s="179">
        <v>1</v>
      </c>
      <c r="U180" s="180">
        <v>10620</v>
      </c>
      <c r="V180" s="180">
        <f>Table4[[#This Row],[Expected Revenue]]*Table4[[#This Row],[Probability]]</f>
        <v>10620</v>
      </c>
      <c r="W180" s="180">
        <f t="shared" si="2"/>
        <v>20800</v>
      </c>
      <c r="X180" s="179">
        <v>0.3</v>
      </c>
      <c r="Y180" s="180">
        <f>Table4[[#This Row],[Expected Revenue]]*Table4[[#This Row],[Expected CMR]]</f>
        <v>3186</v>
      </c>
      <c r="Z180" s="203" t="s">
        <v>60</v>
      </c>
      <c r="AA180" s="77"/>
      <c r="AB180" s="77"/>
      <c r="AC180" s="180"/>
      <c r="AD180" s="220"/>
      <c r="AE180" s="220"/>
      <c r="AF180" s="220"/>
      <c r="AG180" s="220"/>
      <c r="AH180" s="220"/>
      <c r="AI180" s="188"/>
      <c r="AJ180" s="220"/>
      <c r="AK180" s="979"/>
      <c r="AL180" s="180"/>
      <c r="AM180" s="77"/>
      <c r="AN180" s="77"/>
      <c r="AO180" s="110" t="str">
        <f t="shared" si="12"/>
        <v xml:space="preserve"> - </v>
      </c>
      <c r="AP180" s="110" t="str">
        <f t="shared" si="13"/>
        <v xml:space="preserve"> - </v>
      </c>
      <c r="AQ180" s="220"/>
      <c r="AR180" s="77" t="str">
        <f t="shared" ca="1" si="14"/>
        <v>-</v>
      </c>
      <c r="AS180" s="179"/>
      <c r="AT180" s="77"/>
      <c r="AU180" s="179"/>
      <c r="AV180" s="77"/>
      <c r="AW180" s="77"/>
    </row>
    <row r="181" spans="1:49" hidden="1">
      <c r="A181" s="173">
        <v>201902</v>
      </c>
      <c r="B181" s="75" t="s">
        <v>55</v>
      </c>
      <c r="C181" s="77" t="str">
        <f>CONCATENATE(Table4[[#This Row],[Project]],"-",Table4[[#This Row],[WO]])</f>
        <v>201902-03</v>
      </c>
      <c r="D181" s="76" t="s">
        <v>104</v>
      </c>
      <c r="E181" s="77" t="s">
        <v>57</v>
      </c>
      <c r="F181" s="77" t="s">
        <v>58</v>
      </c>
      <c r="G181" s="77" t="s">
        <v>59</v>
      </c>
      <c r="H181" s="77" t="s">
        <v>105</v>
      </c>
      <c r="I181" s="102" t="s">
        <v>113</v>
      </c>
      <c r="J181" s="77" t="s">
        <v>62</v>
      </c>
      <c r="K181" s="77" t="s">
        <v>63</v>
      </c>
      <c r="L181" s="77" t="s">
        <v>193</v>
      </c>
      <c r="M181" s="77" t="s">
        <v>65</v>
      </c>
      <c r="N181" s="77" t="s">
        <v>77</v>
      </c>
      <c r="O181" s="77"/>
      <c r="P181" s="76" t="s">
        <v>211</v>
      </c>
      <c r="Q181" s="183" t="s">
        <v>212</v>
      </c>
      <c r="R181" s="110" t="s">
        <v>84</v>
      </c>
      <c r="S181" s="77">
        <v>2019</v>
      </c>
      <c r="T181" s="179">
        <v>1</v>
      </c>
      <c r="U181" s="180">
        <v>31969</v>
      </c>
      <c r="V181" s="180">
        <f>Table4[[#This Row],[Expected Revenue]]*Table4[[#This Row],[Probability]]</f>
        <v>31969</v>
      </c>
      <c r="W181" s="180">
        <f t="shared" si="2"/>
        <v>20800</v>
      </c>
      <c r="X181" s="179">
        <v>0.3</v>
      </c>
      <c r="Y181" s="180">
        <f>Table4[[#This Row],[Expected Revenue]]*Table4[[#This Row],[Expected CMR]]</f>
        <v>9590.6999999999989</v>
      </c>
      <c r="Z181" s="203" t="s">
        <v>105</v>
      </c>
      <c r="AA181" s="77"/>
      <c r="AB181" s="77"/>
      <c r="AC181" s="180"/>
      <c r="AD181" s="220"/>
      <c r="AE181" s="220"/>
      <c r="AF181" s="220"/>
      <c r="AG181" s="220"/>
      <c r="AH181" s="220"/>
      <c r="AI181" s="188"/>
      <c r="AJ181" s="220"/>
      <c r="AK181" s="979"/>
      <c r="AL181" s="180"/>
      <c r="AM181" s="77"/>
      <c r="AN181" s="77"/>
      <c r="AO181" s="110" t="str">
        <f t="shared" si="12"/>
        <v xml:space="preserve"> - </v>
      </c>
      <c r="AP181" s="110" t="str">
        <f t="shared" si="13"/>
        <v xml:space="preserve"> - </v>
      </c>
      <c r="AQ181" s="220"/>
      <c r="AR181" s="77" t="str">
        <f t="shared" ca="1" si="14"/>
        <v>-</v>
      </c>
      <c r="AS181" s="179"/>
      <c r="AT181" s="77"/>
      <c r="AU181" s="179"/>
      <c r="AV181" s="77"/>
      <c r="AW181" s="77"/>
    </row>
    <row r="182" spans="1:49" hidden="1">
      <c r="A182" s="173">
        <v>201905</v>
      </c>
      <c r="B182" s="75" t="s">
        <v>55</v>
      </c>
      <c r="C182" s="77" t="str">
        <f>CONCATENATE(Table4[[#This Row],[Project]],"-",Table4[[#This Row],[WO]])</f>
        <v>201905-03</v>
      </c>
      <c r="D182" s="76" t="s">
        <v>114</v>
      </c>
      <c r="E182" s="77" t="s">
        <v>57</v>
      </c>
      <c r="F182" s="77" t="s">
        <v>58</v>
      </c>
      <c r="G182" s="77" t="s">
        <v>59</v>
      </c>
      <c r="H182" s="77" t="s">
        <v>105</v>
      </c>
      <c r="I182" s="102" t="s">
        <v>113</v>
      </c>
      <c r="J182" s="77" t="s">
        <v>62</v>
      </c>
      <c r="K182" s="77" t="s">
        <v>63</v>
      </c>
      <c r="L182" s="77" t="s">
        <v>193</v>
      </c>
      <c r="M182" s="77" t="s">
        <v>65</v>
      </c>
      <c r="N182" s="77" t="s">
        <v>77</v>
      </c>
      <c r="O182" s="77"/>
      <c r="P182" s="76" t="s">
        <v>202</v>
      </c>
      <c r="Q182" s="183" t="s">
        <v>203</v>
      </c>
      <c r="R182" s="110" t="s">
        <v>93</v>
      </c>
      <c r="S182" s="77">
        <v>2019</v>
      </c>
      <c r="T182" s="179">
        <v>1</v>
      </c>
      <c r="U182" s="180">
        <v>15000</v>
      </c>
      <c r="V182" s="180">
        <f>Table4[[#This Row],[Expected Revenue]]*Table4[[#This Row],[Probability]]</f>
        <v>15000</v>
      </c>
      <c r="W182" s="180">
        <f t="shared" si="2"/>
        <v>20800</v>
      </c>
      <c r="X182" s="179">
        <v>0.3</v>
      </c>
      <c r="Y182" s="180">
        <f>Table4[[#This Row],[Expected Revenue]]*Table4[[#This Row],[Expected CMR]]</f>
        <v>4500</v>
      </c>
      <c r="Z182" s="203" t="s">
        <v>105</v>
      </c>
      <c r="AA182" s="77"/>
      <c r="AB182" s="77"/>
      <c r="AC182" s="180"/>
      <c r="AD182" s="220"/>
      <c r="AE182" s="220"/>
      <c r="AF182" s="220"/>
      <c r="AG182" s="220"/>
      <c r="AH182" s="220"/>
      <c r="AI182" s="188"/>
      <c r="AJ182" s="220"/>
      <c r="AK182" s="979"/>
      <c r="AL182" s="180"/>
      <c r="AM182" s="77"/>
      <c r="AN182" s="77"/>
      <c r="AO182" s="110" t="str">
        <f t="shared" si="12"/>
        <v xml:space="preserve"> - </v>
      </c>
      <c r="AP182" s="110" t="str">
        <f t="shared" si="13"/>
        <v xml:space="preserve"> - </v>
      </c>
      <c r="AQ182" s="220"/>
      <c r="AR182" s="77" t="str">
        <f t="shared" ca="1" si="14"/>
        <v>-</v>
      </c>
      <c r="AS182" s="179"/>
      <c r="AT182" s="77"/>
      <c r="AU182" s="179"/>
      <c r="AV182" s="77"/>
      <c r="AW182" s="77"/>
    </row>
    <row r="183" spans="1:49" hidden="1">
      <c r="A183" s="173">
        <v>201905</v>
      </c>
      <c r="B183" s="75" t="s">
        <v>55</v>
      </c>
      <c r="C183" s="77" t="str">
        <f>CONCATENATE(Table4[[#This Row],[Project]],"-",Table4[[#This Row],[WO]])</f>
        <v>201905-03</v>
      </c>
      <c r="D183" s="76" t="s">
        <v>114</v>
      </c>
      <c r="E183" s="77" t="s">
        <v>57</v>
      </c>
      <c r="F183" s="77" t="s">
        <v>58</v>
      </c>
      <c r="G183" s="77" t="s">
        <v>59</v>
      </c>
      <c r="H183" s="77" t="s">
        <v>105</v>
      </c>
      <c r="I183" s="102" t="s">
        <v>113</v>
      </c>
      <c r="J183" s="77" t="s">
        <v>62</v>
      </c>
      <c r="K183" s="77" t="s">
        <v>63</v>
      </c>
      <c r="L183" s="77" t="s">
        <v>193</v>
      </c>
      <c r="M183" s="77" t="s">
        <v>65</v>
      </c>
      <c r="N183" s="77" t="s">
        <v>77</v>
      </c>
      <c r="O183" s="77"/>
      <c r="P183" s="76" t="s">
        <v>202</v>
      </c>
      <c r="Q183" s="183" t="s">
        <v>203</v>
      </c>
      <c r="R183" s="110" t="s">
        <v>80</v>
      </c>
      <c r="S183" s="77">
        <v>2019</v>
      </c>
      <c r="T183" s="179">
        <v>1</v>
      </c>
      <c r="U183" s="180">
        <f>31969-15000</f>
        <v>16969</v>
      </c>
      <c r="V183" s="180">
        <f>Table4[[#This Row],[Expected Revenue]]*Table4[[#This Row],[Probability]]</f>
        <v>16969</v>
      </c>
      <c r="W183" s="180">
        <f t="shared" si="2"/>
        <v>20800</v>
      </c>
      <c r="X183" s="179">
        <v>0.3</v>
      </c>
      <c r="Y183" s="180">
        <f>Table4[[#This Row],[Expected Revenue]]*Table4[[#This Row],[Expected CMR]]</f>
        <v>5090.7</v>
      </c>
      <c r="Z183" s="203" t="s">
        <v>105</v>
      </c>
      <c r="AA183" s="77"/>
      <c r="AB183" s="77"/>
      <c r="AC183" s="180"/>
      <c r="AD183" s="220"/>
      <c r="AE183" s="220"/>
      <c r="AF183" s="220"/>
      <c r="AG183" s="220"/>
      <c r="AH183" s="220"/>
      <c r="AI183" s="188"/>
      <c r="AJ183" s="220"/>
      <c r="AK183" s="979"/>
      <c r="AL183" s="180"/>
      <c r="AM183" s="77"/>
      <c r="AN183" s="77"/>
      <c r="AO183" s="110" t="str">
        <f t="shared" si="12"/>
        <v xml:space="preserve"> - </v>
      </c>
      <c r="AP183" s="110" t="str">
        <f t="shared" si="13"/>
        <v xml:space="preserve"> - </v>
      </c>
      <c r="AQ183" s="220"/>
      <c r="AR183" s="77" t="str">
        <f t="shared" ca="1" si="14"/>
        <v>-</v>
      </c>
      <c r="AS183" s="179"/>
      <c r="AT183" s="77"/>
      <c r="AU183" s="179"/>
      <c r="AV183" s="77"/>
      <c r="AW183" s="77"/>
    </row>
    <row r="184" spans="1:49" hidden="1">
      <c r="A184" s="173">
        <v>201911</v>
      </c>
      <c r="B184" s="75" t="s">
        <v>55</v>
      </c>
      <c r="C184" s="77" t="str">
        <f>CONCATENATE(Table4[[#This Row],[Project]],"-",Table4[[#This Row],[WO]])</f>
        <v>201911-03</v>
      </c>
      <c r="D184" s="76" t="s">
        <v>137</v>
      </c>
      <c r="E184" s="77" t="s">
        <v>57</v>
      </c>
      <c r="F184" s="77" t="s">
        <v>58</v>
      </c>
      <c r="G184" s="77" t="s">
        <v>59</v>
      </c>
      <c r="H184" s="77" t="s">
        <v>60</v>
      </c>
      <c r="I184" s="102" t="s">
        <v>113</v>
      </c>
      <c r="J184" s="77" t="s">
        <v>62</v>
      </c>
      <c r="K184" s="77" t="s">
        <v>63</v>
      </c>
      <c r="L184" s="77" t="s">
        <v>193</v>
      </c>
      <c r="M184" s="77" t="s">
        <v>65</v>
      </c>
      <c r="N184" s="77" t="s">
        <v>77</v>
      </c>
      <c r="O184" s="77"/>
      <c r="P184" s="76" t="s">
        <v>215</v>
      </c>
      <c r="Q184" s="183" t="s">
        <v>216</v>
      </c>
      <c r="R184" s="110" t="s">
        <v>80</v>
      </c>
      <c r="S184" s="77">
        <v>2019</v>
      </c>
      <c r="T184" s="179">
        <v>1</v>
      </c>
      <c r="U184" s="180">
        <v>31969</v>
      </c>
      <c r="V184" s="180">
        <f>Table4[[#This Row],[Expected Revenue]]*Table4[[#This Row],[Probability]]</f>
        <v>31969</v>
      </c>
      <c r="W184" s="180">
        <f t="shared" si="2"/>
        <v>20800</v>
      </c>
      <c r="X184" s="179">
        <v>0.19</v>
      </c>
      <c r="Y184" s="180">
        <f>Table4[[#This Row],[Expected Revenue]]*Table4[[#This Row],[Expected CMR]]</f>
        <v>6074.11</v>
      </c>
      <c r="Z184" s="203" t="s">
        <v>60</v>
      </c>
      <c r="AA184" s="77"/>
      <c r="AB184" s="77"/>
      <c r="AC184" s="180"/>
      <c r="AD184" s="220"/>
      <c r="AE184" s="220"/>
      <c r="AF184" s="220"/>
      <c r="AG184" s="220"/>
      <c r="AH184" s="220"/>
      <c r="AI184" s="188"/>
      <c r="AJ184" s="220"/>
      <c r="AK184" s="979"/>
      <c r="AL184" s="180"/>
      <c r="AM184" s="77"/>
      <c r="AN184" s="77"/>
      <c r="AO184" s="110" t="str">
        <f t="shared" si="12"/>
        <v xml:space="preserve"> - </v>
      </c>
      <c r="AP184" s="110" t="str">
        <f t="shared" si="13"/>
        <v xml:space="preserve"> - </v>
      </c>
      <c r="AQ184" s="220"/>
      <c r="AR184" s="77" t="str">
        <f t="shared" ca="1" si="14"/>
        <v>-</v>
      </c>
      <c r="AS184" s="179"/>
      <c r="AT184" s="77"/>
      <c r="AU184" s="179"/>
      <c r="AV184" s="77"/>
      <c r="AW184" s="77"/>
    </row>
    <row r="185" spans="1:49" hidden="1">
      <c r="A185" s="173">
        <v>201912</v>
      </c>
      <c r="B185" s="75" t="s">
        <v>55</v>
      </c>
      <c r="C185" s="77" t="str">
        <f>CONCATENATE(Table4[[#This Row],[Project]],"-",Table4[[#This Row],[WO]])</f>
        <v>201912-03</v>
      </c>
      <c r="D185" s="76" t="s">
        <v>146</v>
      </c>
      <c r="E185" s="77" t="s">
        <v>57</v>
      </c>
      <c r="F185" s="77" t="s">
        <v>58</v>
      </c>
      <c r="G185" s="77" t="s">
        <v>59</v>
      </c>
      <c r="H185" s="77" t="s">
        <v>60</v>
      </c>
      <c r="I185" s="102" t="s">
        <v>113</v>
      </c>
      <c r="J185" s="77" t="s">
        <v>62</v>
      </c>
      <c r="K185" s="77" t="s">
        <v>63</v>
      </c>
      <c r="L185" s="77" t="s">
        <v>193</v>
      </c>
      <c r="M185" s="77" t="s">
        <v>65</v>
      </c>
      <c r="N185" s="77" t="s">
        <v>77</v>
      </c>
      <c r="O185" s="77"/>
      <c r="P185" s="76" t="s">
        <v>194</v>
      </c>
      <c r="Q185" s="183" t="s">
        <v>195</v>
      </c>
      <c r="R185" s="110" t="s">
        <v>80</v>
      </c>
      <c r="S185" s="77">
        <v>2019</v>
      </c>
      <c r="T185" s="179">
        <v>1</v>
      </c>
      <c r="U185" s="180">
        <v>31969</v>
      </c>
      <c r="V185" s="180">
        <f>Table4[[#This Row],[Expected Revenue]]*Table4[[#This Row],[Probability]]</f>
        <v>31969</v>
      </c>
      <c r="W185" s="180">
        <f t="shared" si="2"/>
        <v>20800</v>
      </c>
      <c r="X185" s="179">
        <v>0.19</v>
      </c>
      <c r="Y185" s="180">
        <f>Table4[[#This Row],[Expected Revenue]]*Table4[[#This Row],[Expected CMR]]</f>
        <v>6074.11</v>
      </c>
      <c r="Z185" s="203" t="s">
        <v>60</v>
      </c>
      <c r="AA185" s="77"/>
      <c r="AB185" s="77"/>
      <c r="AC185" s="180"/>
      <c r="AD185" s="220"/>
      <c r="AE185" s="220"/>
      <c r="AF185" s="220"/>
      <c r="AG185" s="220"/>
      <c r="AH185" s="220"/>
      <c r="AI185" s="188"/>
      <c r="AJ185" s="220"/>
      <c r="AK185" s="979"/>
      <c r="AL185" s="180"/>
      <c r="AM185" s="77"/>
      <c r="AN185" s="77"/>
      <c r="AO185" s="110" t="str">
        <f t="shared" si="12"/>
        <v xml:space="preserve"> - </v>
      </c>
      <c r="AP185" s="110" t="str">
        <f t="shared" si="13"/>
        <v xml:space="preserve"> - </v>
      </c>
      <c r="AQ185" s="220"/>
      <c r="AR185" s="77" t="str">
        <f t="shared" ca="1" si="14"/>
        <v>-</v>
      </c>
      <c r="AS185" s="179"/>
      <c r="AT185" s="77"/>
      <c r="AU185" s="179"/>
      <c r="AV185" s="77"/>
      <c r="AW185" s="77"/>
    </row>
    <row r="186" spans="1:49" hidden="1">
      <c r="A186" s="173">
        <v>201910</v>
      </c>
      <c r="B186" s="75" t="s">
        <v>55</v>
      </c>
      <c r="C186" s="77" t="str">
        <f>CONCATENATE(Table4[[#This Row],[Project]],"-",Table4[[#This Row],[WO]])</f>
        <v>201910-03</v>
      </c>
      <c r="D186" s="76" t="s">
        <v>130</v>
      </c>
      <c r="E186" s="77" t="s">
        <v>57</v>
      </c>
      <c r="F186" s="77" t="s">
        <v>58</v>
      </c>
      <c r="G186" s="77" t="s">
        <v>59</v>
      </c>
      <c r="H186" s="77" t="s">
        <v>105</v>
      </c>
      <c r="I186" s="102" t="s">
        <v>113</v>
      </c>
      <c r="J186" s="77" t="s">
        <v>62</v>
      </c>
      <c r="K186" s="77" t="s">
        <v>63</v>
      </c>
      <c r="L186" s="77" t="s">
        <v>193</v>
      </c>
      <c r="M186" s="77" t="s">
        <v>65</v>
      </c>
      <c r="N186" s="77" t="s">
        <v>77</v>
      </c>
      <c r="O186" s="77"/>
      <c r="P186" s="76" t="s">
        <v>223</v>
      </c>
      <c r="Q186" s="183" t="s">
        <v>224</v>
      </c>
      <c r="R186" s="110" t="s">
        <v>80</v>
      </c>
      <c r="S186" s="77">
        <v>2019</v>
      </c>
      <c r="T186" s="179">
        <v>1</v>
      </c>
      <c r="U186" s="180">
        <v>31969</v>
      </c>
      <c r="V186" s="180">
        <f>Table4[[#This Row],[Expected Revenue]]*Table4[[#This Row],[Probability]]</f>
        <v>31969</v>
      </c>
      <c r="W186" s="180">
        <f t="shared" si="2"/>
        <v>20800</v>
      </c>
      <c r="X186" s="179">
        <v>0.3</v>
      </c>
      <c r="Y186" s="180">
        <f>Table4[[#This Row],[Expected Revenue]]*Table4[[#This Row],[Expected CMR]]</f>
        <v>9590.6999999999989</v>
      </c>
      <c r="Z186" s="203" t="s">
        <v>105</v>
      </c>
      <c r="AA186" s="77"/>
      <c r="AB186" s="77"/>
      <c r="AC186" s="180"/>
      <c r="AD186" s="220"/>
      <c r="AE186" s="220"/>
      <c r="AF186" s="220"/>
      <c r="AG186" s="220"/>
      <c r="AH186" s="220"/>
      <c r="AI186" s="188"/>
      <c r="AJ186" s="220"/>
      <c r="AK186" s="979"/>
      <c r="AL186" s="180"/>
      <c r="AM186" s="77"/>
      <c r="AN186" s="77"/>
      <c r="AO186" s="110" t="str">
        <f t="shared" si="12"/>
        <v xml:space="preserve"> - </v>
      </c>
      <c r="AP186" s="110" t="str">
        <f t="shared" si="13"/>
        <v xml:space="preserve"> - </v>
      </c>
      <c r="AQ186" s="220"/>
      <c r="AR186" s="77" t="str">
        <f t="shared" ca="1" si="14"/>
        <v>-</v>
      </c>
      <c r="AS186" s="179"/>
      <c r="AT186" s="77"/>
      <c r="AU186" s="179"/>
      <c r="AV186" s="77"/>
      <c r="AW186" s="77"/>
    </row>
    <row r="187" spans="1:49" hidden="1">
      <c r="A187" s="173">
        <v>201903</v>
      </c>
      <c r="B187" s="75" t="s">
        <v>55</v>
      </c>
      <c r="C187" s="77" t="str">
        <f>CONCATENATE(Table4[[#This Row],[Project]],"-",Table4[[#This Row],[WO]])</f>
        <v>201903-03</v>
      </c>
      <c r="D187" s="76" t="s">
        <v>73</v>
      </c>
      <c r="E187" s="77" t="s">
        <v>57</v>
      </c>
      <c r="F187" s="77" t="s">
        <v>58</v>
      </c>
      <c r="G187" s="77" t="s">
        <v>59</v>
      </c>
      <c r="H187" s="77" t="s">
        <v>105</v>
      </c>
      <c r="I187" s="102" t="s">
        <v>113</v>
      </c>
      <c r="J187" s="77" t="s">
        <v>62</v>
      </c>
      <c r="K187" s="77" t="s">
        <v>63</v>
      </c>
      <c r="L187" s="77" t="s">
        <v>217</v>
      </c>
      <c r="M187" s="77" t="s">
        <v>65</v>
      </c>
      <c r="N187" s="77" t="s">
        <v>77</v>
      </c>
      <c r="O187" s="77"/>
      <c r="P187" s="76" t="s">
        <v>78</v>
      </c>
      <c r="Q187" s="183" t="s">
        <v>79</v>
      </c>
      <c r="R187" s="110" t="s">
        <v>230</v>
      </c>
      <c r="S187" s="77">
        <v>2019</v>
      </c>
      <c r="T187" s="179">
        <v>1</v>
      </c>
      <c r="U187" s="180">
        <f>31969-15000</f>
        <v>16969</v>
      </c>
      <c r="V187" s="180">
        <f>Table4[[#This Row],[Expected Revenue]]*Table4[[#This Row],[Probability]]</f>
        <v>16969</v>
      </c>
      <c r="W187" s="180">
        <f t="shared" si="2"/>
        <v>20800</v>
      </c>
      <c r="X187" s="179">
        <v>0.3</v>
      </c>
      <c r="Y187" s="180">
        <f>Table4[[#This Row],[Rev. Based on PROB]]*Table4[[#This Row],[Expected CMR]]</f>
        <v>5090.7</v>
      </c>
      <c r="Z187" s="203" t="s">
        <v>105</v>
      </c>
      <c r="AA187" s="77"/>
      <c r="AB187" s="77"/>
      <c r="AC187" s="180"/>
      <c r="AD187" s="220"/>
      <c r="AE187" s="220"/>
      <c r="AF187" s="220"/>
      <c r="AG187" s="220"/>
      <c r="AH187" s="220"/>
      <c r="AI187" s="188"/>
      <c r="AJ187" s="220"/>
      <c r="AK187" s="979"/>
      <c r="AL187" s="180"/>
      <c r="AM187" s="77"/>
      <c r="AN187" s="77"/>
      <c r="AO187" s="110" t="str">
        <f>IF(Table4[[#This Row],[Finish (demob)]]&lt;&gt;"",Table4[[#This Row],[Finish (demob)]]+10,"")</f>
        <v/>
      </c>
      <c r="AP187" s="110" t="str">
        <f>IF(Table4[[#This Row],[Finish (demob)]]&lt;&gt;"",Table4[[#This Row],[Finish (demob)]]+10,"")</f>
        <v/>
      </c>
      <c r="AQ187" s="220"/>
      <c r="AR187" s="77" t="str">
        <f>IF(Table4[[#This Row],[Date Report is delivered:]]&lt;&gt;"", "Delivered", "")</f>
        <v/>
      </c>
      <c r="AS187" s="179"/>
      <c r="AT187" s="77"/>
      <c r="AU187" s="179"/>
      <c r="AV187" s="77"/>
      <c r="AW187" s="77"/>
    </row>
    <row r="188" spans="1:49" hidden="1">
      <c r="A188" s="173">
        <v>201914</v>
      </c>
      <c r="B188" s="75" t="s">
        <v>55</v>
      </c>
      <c r="C188" s="77" t="str">
        <f>CONCATENATE(Table4[[#This Row],[Project]],"-",Table4[[#This Row],[WO]])</f>
        <v>201914-03</v>
      </c>
      <c r="D188" s="76" t="s">
        <v>117</v>
      </c>
      <c r="E188" s="77" t="s">
        <v>57</v>
      </c>
      <c r="F188" s="77" t="s">
        <v>58</v>
      </c>
      <c r="G188" s="77" t="s">
        <v>59</v>
      </c>
      <c r="H188" s="77" t="s">
        <v>105</v>
      </c>
      <c r="I188" s="102" t="s">
        <v>113</v>
      </c>
      <c r="J188" s="77" t="s">
        <v>62</v>
      </c>
      <c r="K188" s="77" t="s">
        <v>63</v>
      </c>
      <c r="L188" s="77" t="s">
        <v>193</v>
      </c>
      <c r="M188" s="77" t="s">
        <v>65</v>
      </c>
      <c r="N188" s="77" t="s">
        <v>77</v>
      </c>
      <c r="O188" s="77"/>
      <c r="P188" s="76" t="s">
        <v>197</v>
      </c>
      <c r="Q188" s="183" t="s">
        <v>198</v>
      </c>
      <c r="R188" s="110" t="s">
        <v>80</v>
      </c>
      <c r="S188" s="77">
        <v>2019</v>
      </c>
      <c r="T188" s="179">
        <v>1</v>
      </c>
      <c r="U188" s="180">
        <f>31969</f>
        <v>31969</v>
      </c>
      <c r="V188" s="180">
        <f>Table4[[#This Row],[Expected Revenue]]*Table4[[#This Row],[Probability]]</f>
        <v>31969</v>
      </c>
      <c r="W188" s="180">
        <f t="shared" si="2"/>
        <v>20800</v>
      </c>
      <c r="X188" s="179">
        <v>0.3</v>
      </c>
      <c r="Y188" s="180">
        <f>Table4[[#This Row],[Expected Revenue]]*Table4[[#This Row],[Expected CMR]]</f>
        <v>9590.6999999999989</v>
      </c>
      <c r="Z188" s="203" t="s">
        <v>105</v>
      </c>
      <c r="AA188" s="77"/>
      <c r="AB188" s="77"/>
      <c r="AC188" s="180"/>
      <c r="AD188" s="220"/>
      <c r="AE188" s="220"/>
      <c r="AF188" s="220"/>
      <c r="AG188" s="220"/>
      <c r="AH188" s="220"/>
      <c r="AI188" s="188"/>
      <c r="AJ188" s="220"/>
      <c r="AK188" s="979"/>
      <c r="AL188" s="180"/>
      <c r="AM188" s="77"/>
      <c r="AN188" s="77"/>
      <c r="AO188" s="110" t="str">
        <f>IF(AE188&gt;0,AE188+3," - ")</f>
        <v xml:space="preserve"> - </v>
      </c>
      <c r="AP188" s="110" t="str">
        <f>IF(AE188&gt;0,AE188+14," - ")</f>
        <v xml:space="preserve"> - </v>
      </c>
      <c r="AQ188" s="220"/>
      <c r="AR188" s="77" t="str">
        <f ca="1">IF(AD188=0,"-",IF(AQ188&gt;0,"Delivered",IF(TODAY()&gt;AP188,"Overdue",IF(TODAY()&lt;AP188,"In Progress"))))</f>
        <v>-</v>
      </c>
      <c r="AS188" s="179"/>
      <c r="AT188" s="77"/>
      <c r="AU188" s="179"/>
      <c r="AV188" s="77"/>
      <c r="AW188" s="77"/>
    </row>
    <row r="189" spans="1:49" hidden="1">
      <c r="A189" s="173">
        <v>201815</v>
      </c>
      <c r="B189" s="174">
        <v>11</v>
      </c>
      <c r="C189" s="174" t="str">
        <f>CONCATENATE(Table4[[#This Row],[Project]],"-",Table4[[#This Row],[WO]])</f>
        <v>201815-11</v>
      </c>
      <c r="D189" s="82" t="s">
        <v>235</v>
      </c>
      <c r="E189" s="83" t="s">
        <v>57</v>
      </c>
      <c r="F189" s="83"/>
      <c r="G189" s="83"/>
      <c r="H189" s="83" t="s">
        <v>60</v>
      </c>
      <c r="I189" s="103" t="s">
        <v>236</v>
      </c>
      <c r="J189" s="83" t="s">
        <v>209</v>
      </c>
      <c r="K189" s="83"/>
      <c r="L189" s="83"/>
      <c r="M189" s="83"/>
      <c r="N189" s="83"/>
      <c r="O189" s="82"/>
      <c r="P189" s="82"/>
      <c r="Q189" s="83"/>
      <c r="R189" s="156" t="s">
        <v>93</v>
      </c>
      <c r="S189" s="83">
        <v>2019</v>
      </c>
      <c r="T189" s="195">
        <v>1</v>
      </c>
      <c r="U189" s="190">
        <v>50000</v>
      </c>
      <c r="V189" s="87">
        <f>Table4[[#This Row],[Expected Revenue]]*Table4[[#This Row],[Probability]]</f>
        <v>50000</v>
      </c>
      <c r="W189" s="87">
        <f t="shared" si="2"/>
        <v>20800</v>
      </c>
      <c r="X189" s="179">
        <v>0.3</v>
      </c>
      <c r="Y189" s="87">
        <f>Table4[[#This Row],[Expected Revenue]]*Table4[[#This Row],[Expected CMR]]</f>
        <v>15000</v>
      </c>
      <c r="Z189" s="217" t="s">
        <v>60</v>
      </c>
      <c r="AA189" s="83"/>
      <c r="AB189" s="83"/>
      <c r="AC189" s="190"/>
      <c r="AD189" s="196"/>
      <c r="AE189" s="196"/>
      <c r="AF189" s="196"/>
      <c r="AG189" s="196"/>
      <c r="AH189" s="196"/>
      <c r="AI189" s="197"/>
      <c r="AJ189" s="196"/>
      <c r="AK189" s="981"/>
      <c r="AL189" s="190"/>
      <c r="AM189" s="83"/>
      <c r="AN189" s="83"/>
      <c r="AO189" s="156" t="str">
        <f>IF(AE189&gt;0,AE189+3," - ")</f>
        <v xml:space="preserve"> - </v>
      </c>
      <c r="AP189" s="156" t="str">
        <f>IF(AE189&gt;0,AE189+14," - ")</f>
        <v xml:space="preserve"> - </v>
      </c>
      <c r="AQ189" s="196"/>
      <c r="AR189" s="77" t="str">
        <f ca="1">IF(AD189=0,"-",IF(AQ189&gt;0,"Delivered",IF(TODAY()&gt;AP189,"Overdue",IF(TODAY()&lt;AP189,"In Progress"))))</f>
        <v>-</v>
      </c>
      <c r="AS189" s="83"/>
      <c r="AT189" s="83"/>
      <c r="AU189" s="77"/>
      <c r="AV189" s="77"/>
      <c r="AW189" s="77"/>
    </row>
    <row r="190" spans="1:49" hidden="1">
      <c r="A190" s="173">
        <v>201903</v>
      </c>
      <c r="B190" s="75" t="s">
        <v>55</v>
      </c>
      <c r="C190" s="77" t="str">
        <f>CONCATENATE(Table4[[#This Row],[Project]],"-",Table4[[#This Row],[WO]])</f>
        <v>201903-03</v>
      </c>
      <c r="D190" s="76" t="s">
        <v>73</v>
      </c>
      <c r="E190" s="77" t="s">
        <v>57</v>
      </c>
      <c r="F190" s="77" t="s">
        <v>58</v>
      </c>
      <c r="G190" s="77" t="s">
        <v>59</v>
      </c>
      <c r="H190" s="77" t="s">
        <v>105</v>
      </c>
      <c r="I190" s="102" t="s">
        <v>113</v>
      </c>
      <c r="J190" s="77" t="s">
        <v>62</v>
      </c>
      <c r="K190" s="77" t="s">
        <v>63</v>
      </c>
      <c r="L190" s="77" t="s">
        <v>217</v>
      </c>
      <c r="M190" s="77" t="s">
        <v>65</v>
      </c>
      <c r="N190" s="77" t="s">
        <v>77</v>
      </c>
      <c r="O190" s="77"/>
      <c r="P190" s="76" t="s">
        <v>78</v>
      </c>
      <c r="Q190" s="183" t="s">
        <v>79</v>
      </c>
      <c r="R190" s="110" t="s">
        <v>93</v>
      </c>
      <c r="S190" s="77">
        <v>2019</v>
      </c>
      <c r="T190" s="179">
        <v>1</v>
      </c>
      <c r="U190" s="180">
        <v>15000</v>
      </c>
      <c r="V190" s="180">
        <f>Table4[[#This Row],[Expected Revenue]]*Table4[[#This Row],[Probability]]</f>
        <v>15000</v>
      </c>
      <c r="W190" s="180">
        <f t="shared" si="2"/>
        <v>20800</v>
      </c>
      <c r="X190" s="179">
        <v>0.3</v>
      </c>
      <c r="Y190" s="180">
        <f>Table4[[#This Row],[Rev. Based on PROB]]*Table4[[#This Row],[Expected CMR]]</f>
        <v>4500</v>
      </c>
      <c r="Z190" s="203" t="s">
        <v>105</v>
      </c>
      <c r="AA190" s="77"/>
      <c r="AB190" s="77"/>
      <c r="AC190" s="180"/>
      <c r="AD190" s="220"/>
      <c r="AE190" s="220"/>
      <c r="AF190" s="220"/>
      <c r="AG190" s="220"/>
      <c r="AH190" s="220"/>
      <c r="AI190" s="188"/>
      <c r="AJ190" s="220"/>
      <c r="AK190" s="979"/>
      <c r="AL190" s="180"/>
      <c r="AM190" s="77"/>
      <c r="AN190" s="77"/>
      <c r="AO190" s="110" t="str">
        <f>IF(Table4[[#This Row],[Finish (demob)]]&lt;&gt;"",Table4[[#This Row],[Finish (demob)]]+10,"")</f>
        <v/>
      </c>
      <c r="AP190" s="110" t="str">
        <f>IF(Table4[[#This Row],[Finish (demob)]]&lt;&gt;"",Table4[[#This Row],[Finish (demob)]]+10,"")</f>
        <v/>
      </c>
      <c r="AQ190" s="220"/>
      <c r="AR190" s="77" t="str">
        <f>IF(Table4[[#This Row],[Date Report is delivered:]]&lt;&gt;"", "Delivered", "")</f>
        <v/>
      </c>
      <c r="AS190" s="179"/>
      <c r="AT190" s="77"/>
      <c r="AU190" s="179"/>
      <c r="AV190" s="77"/>
      <c r="AW190" s="77"/>
    </row>
    <row r="191" spans="1:49" hidden="1">
      <c r="A191" s="173">
        <v>201909</v>
      </c>
      <c r="B191" s="75" t="s">
        <v>55</v>
      </c>
      <c r="C191" s="77" t="str">
        <f>CONCATENATE(Table4[[#This Row],[Project]],"-",Table4[[#This Row],[WO]])</f>
        <v>201909-03</v>
      </c>
      <c r="D191" s="76" t="s">
        <v>122</v>
      </c>
      <c r="E191" s="77" t="s">
        <v>57</v>
      </c>
      <c r="F191" s="77" t="s">
        <v>58</v>
      </c>
      <c r="G191" s="77" t="s">
        <v>59</v>
      </c>
      <c r="H191" s="77" t="s">
        <v>60</v>
      </c>
      <c r="I191" s="102" t="s">
        <v>113</v>
      </c>
      <c r="J191" s="77" t="s">
        <v>62</v>
      </c>
      <c r="K191" s="77" t="s">
        <v>63</v>
      </c>
      <c r="L191" s="77" t="s">
        <v>193</v>
      </c>
      <c r="M191" s="77" t="s">
        <v>65</v>
      </c>
      <c r="N191" s="77" t="s">
        <v>77</v>
      </c>
      <c r="O191" s="77"/>
      <c r="P191" s="76" t="s">
        <v>220</v>
      </c>
      <c r="Q191" s="183" t="s">
        <v>221</v>
      </c>
      <c r="R191" s="110" t="s">
        <v>230</v>
      </c>
      <c r="S191" s="77">
        <v>2019</v>
      </c>
      <c r="T191" s="179">
        <v>1</v>
      </c>
      <c r="U191" s="180">
        <v>31969</v>
      </c>
      <c r="V191" s="180">
        <f>Table4[[#This Row],[Expected Revenue]]*Table4[[#This Row],[Probability]]</f>
        <v>31969</v>
      </c>
      <c r="W191" s="180">
        <f t="shared" si="2"/>
        <v>20800</v>
      </c>
      <c r="X191" s="179">
        <v>0.3</v>
      </c>
      <c r="Y191" s="180">
        <f>Table4[[#This Row],[Expected Revenue]]*Table4[[#This Row],[Expected CMR]]</f>
        <v>9590.6999999999989</v>
      </c>
      <c r="Z191" s="203" t="s">
        <v>60</v>
      </c>
      <c r="AA191" s="77"/>
      <c r="AB191" s="77"/>
      <c r="AC191" s="180"/>
      <c r="AD191" s="220"/>
      <c r="AE191" s="220"/>
      <c r="AF191" s="220"/>
      <c r="AG191" s="220"/>
      <c r="AH191" s="220"/>
      <c r="AI191" s="188"/>
      <c r="AJ191" s="220"/>
      <c r="AK191" s="979"/>
      <c r="AL191" s="180"/>
      <c r="AM191" s="77"/>
      <c r="AN191" s="77"/>
      <c r="AO191" s="110" t="str">
        <f>IF(AE191&gt;0,AE191+3," - ")</f>
        <v xml:space="preserve"> - </v>
      </c>
      <c r="AP191" s="110" t="str">
        <f>IF(AE191&gt;0,AE191+14," - ")</f>
        <v xml:space="preserve"> - </v>
      </c>
      <c r="AQ191" s="220"/>
      <c r="AR191" s="77" t="str">
        <f ca="1">IF(AD191=0,"-",IF(AQ191&gt;0,"Delivered",IF(TODAY()&gt;AP191,"Overdue",IF(TODAY()&lt;AP191,"In Progress"))))</f>
        <v>-</v>
      </c>
      <c r="AS191" s="179"/>
      <c r="AT191" s="77"/>
      <c r="AU191" s="179"/>
      <c r="AV191" s="77"/>
      <c r="AW191" s="77"/>
    </row>
    <row r="192" spans="1:49" hidden="1">
      <c r="A192" s="173">
        <v>201910</v>
      </c>
      <c r="B192" s="75" t="s">
        <v>86</v>
      </c>
      <c r="C192" s="77" t="str">
        <f>CONCATENATE(Table4[[#This Row],[Project]],"-",Table4[[#This Row],[WO]])</f>
        <v>201910-05</v>
      </c>
      <c r="D192" s="76" t="s">
        <v>130</v>
      </c>
      <c r="E192" s="77" t="s">
        <v>57</v>
      </c>
      <c r="F192" s="77" t="s">
        <v>58</v>
      </c>
      <c r="G192" s="77" t="s">
        <v>59</v>
      </c>
      <c r="H192" s="77" t="s">
        <v>105</v>
      </c>
      <c r="I192" s="102" t="s">
        <v>87</v>
      </c>
      <c r="J192" s="77" t="s">
        <v>88</v>
      </c>
      <c r="K192" s="77" t="s">
        <v>63</v>
      </c>
      <c r="L192" s="77" t="s">
        <v>193</v>
      </c>
      <c r="M192" s="77" t="s">
        <v>65</v>
      </c>
      <c r="N192" s="77" t="s">
        <v>77</v>
      </c>
      <c r="O192" s="77"/>
      <c r="P192" s="76" t="s">
        <v>223</v>
      </c>
      <c r="Q192" s="183" t="s">
        <v>224</v>
      </c>
      <c r="R192" s="110" t="s">
        <v>68</v>
      </c>
      <c r="S192" s="77">
        <v>2019</v>
      </c>
      <c r="T192" s="179">
        <v>1</v>
      </c>
      <c r="U192" s="180">
        <v>27816</v>
      </c>
      <c r="V192" s="180">
        <f>Table4[[#This Row],[Expected Revenue]]*Table4[[#This Row],[Probability]]</f>
        <v>27816</v>
      </c>
      <c r="W192" s="180">
        <f t="shared" si="2"/>
        <v>20800</v>
      </c>
      <c r="X192" s="179">
        <v>0.3</v>
      </c>
      <c r="Y192" s="180">
        <f>Table4[[#This Row],[Expected Revenue]]*Table4[[#This Row],[Expected CMR]]</f>
        <v>8344.7999999999993</v>
      </c>
      <c r="Z192" s="203" t="s">
        <v>105</v>
      </c>
      <c r="AA192" s="77"/>
      <c r="AB192" s="77"/>
      <c r="AC192" s="180"/>
      <c r="AD192" s="220"/>
      <c r="AE192" s="220"/>
      <c r="AF192" s="220"/>
      <c r="AG192" s="220"/>
      <c r="AH192" s="220"/>
      <c r="AI192" s="188"/>
      <c r="AJ192" s="220"/>
      <c r="AK192" s="979"/>
      <c r="AL192" s="180"/>
      <c r="AM192" s="77"/>
      <c r="AN192" s="77"/>
      <c r="AO192" s="110" t="str">
        <f>IF(AE192&gt;0,AE192+3," - ")</f>
        <v xml:space="preserve"> - </v>
      </c>
      <c r="AP192" s="110" t="str">
        <f>IF(AE192&gt;0,AE192+14," - ")</f>
        <v xml:space="preserve"> - </v>
      </c>
      <c r="AQ192" s="220"/>
      <c r="AR192" s="77" t="str">
        <f ca="1">IF(AD192=0,"-",IF(AQ192&gt;0,"Delivered",IF(TODAY()&gt;AP192,"Overdue",IF(TODAY()&lt;AP192,"In Progress"))))</f>
        <v>-</v>
      </c>
      <c r="AS192" s="179"/>
      <c r="AT192" s="77"/>
      <c r="AU192" s="179"/>
      <c r="AV192" s="77"/>
      <c r="AW192" s="77"/>
    </row>
    <row r="193" spans="1:49" hidden="1">
      <c r="A193" s="173">
        <v>201903</v>
      </c>
      <c r="B193" s="75" t="s">
        <v>86</v>
      </c>
      <c r="C193" s="77" t="str">
        <f>CONCATENATE(Table4[[#This Row],[Project]],"-",Table4[[#This Row],[WO]])</f>
        <v>201903-05</v>
      </c>
      <c r="D193" s="76" t="s">
        <v>73</v>
      </c>
      <c r="E193" s="77" t="s">
        <v>57</v>
      </c>
      <c r="F193" s="77" t="s">
        <v>58</v>
      </c>
      <c r="G193" s="77" t="s">
        <v>59</v>
      </c>
      <c r="H193" s="77" t="s">
        <v>105</v>
      </c>
      <c r="I193" s="102" t="s">
        <v>87</v>
      </c>
      <c r="J193" s="77" t="s">
        <v>88</v>
      </c>
      <c r="K193" s="77" t="s">
        <v>63</v>
      </c>
      <c r="L193" s="77" t="s">
        <v>217</v>
      </c>
      <c r="M193" s="77" t="s">
        <v>65</v>
      </c>
      <c r="N193" s="77" t="s">
        <v>77</v>
      </c>
      <c r="O193" s="77"/>
      <c r="P193" s="76" t="s">
        <v>78</v>
      </c>
      <c r="Q193" s="183" t="s">
        <v>79</v>
      </c>
      <c r="R193" s="110" t="s">
        <v>89</v>
      </c>
      <c r="S193" s="77">
        <v>2019</v>
      </c>
      <c r="T193" s="179">
        <v>1</v>
      </c>
      <c r="U193" s="180">
        <v>27816</v>
      </c>
      <c r="V193" s="180">
        <f>Table4[[#This Row],[Expected Revenue]]*Table4[[#This Row],[Probability]]</f>
        <v>27816</v>
      </c>
      <c r="W193" s="180">
        <f t="shared" si="2"/>
        <v>20800</v>
      </c>
      <c r="X193" s="179">
        <v>0.3</v>
      </c>
      <c r="Y193" s="180">
        <f>Table4[[#This Row],[Rev. Based on PROB]]*Table4[[#This Row],[Expected CMR]]</f>
        <v>8344.7999999999993</v>
      </c>
      <c r="Z193" s="203" t="s">
        <v>105</v>
      </c>
      <c r="AA193" s="77" t="s">
        <v>100</v>
      </c>
      <c r="AB193" s="181" t="s">
        <v>218</v>
      </c>
      <c r="AC193" s="180">
        <v>18810.5</v>
      </c>
      <c r="AD193" s="220"/>
      <c r="AE193" s="220"/>
      <c r="AF193" s="220"/>
      <c r="AG193" s="220"/>
      <c r="AH193" s="220"/>
      <c r="AI193" s="188"/>
      <c r="AJ193" s="220"/>
      <c r="AK193" s="979" t="s">
        <v>100</v>
      </c>
      <c r="AL193" s="180">
        <v>18810.5</v>
      </c>
      <c r="AM193" s="77" t="s">
        <v>230</v>
      </c>
      <c r="AN193" s="77">
        <v>2019</v>
      </c>
      <c r="AO193" s="110" t="str">
        <f>IF(Table4[[#This Row],[Finish (demob)]]&lt;&gt;"",Table4[[#This Row],[Finish (demob)]]+10,"")</f>
        <v/>
      </c>
      <c r="AP193" s="110" t="str">
        <f>IF(Table4[[#This Row],[Finish (demob)]]&lt;&gt;"",Table4[[#This Row],[Finish (demob)]]+10,"")</f>
        <v/>
      </c>
      <c r="AQ193" s="220"/>
      <c r="AR193" s="77" t="str">
        <f>IF(Table4[[#This Row],[Date Report is delivered:]]&lt;&gt;"", "Delivered", "")</f>
        <v/>
      </c>
      <c r="AS193" s="179">
        <v>0.88</v>
      </c>
      <c r="AT193" s="77"/>
      <c r="AU193" s="179"/>
      <c r="AV193" s="77"/>
      <c r="AW193" s="77"/>
    </row>
    <row r="194" spans="1:49" hidden="1">
      <c r="A194" s="173">
        <v>201912</v>
      </c>
      <c r="B194" s="75" t="s">
        <v>86</v>
      </c>
      <c r="C194" s="77" t="str">
        <f>CONCATENATE(Table4[[#This Row],[Project]],"-",Table4[[#This Row],[WO]])</f>
        <v>201912-05</v>
      </c>
      <c r="D194" s="76" t="s">
        <v>146</v>
      </c>
      <c r="E194" s="77" t="s">
        <v>57</v>
      </c>
      <c r="F194" s="77" t="s">
        <v>58</v>
      </c>
      <c r="G194" s="77" t="s">
        <v>59</v>
      </c>
      <c r="H194" s="77" t="s">
        <v>60</v>
      </c>
      <c r="I194" s="102" t="s">
        <v>87</v>
      </c>
      <c r="J194" s="77" t="s">
        <v>88</v>
      </c>
      <c r="K194" s="77" t="s">
        <v>63</v>
      </c>
      <c r="L194" s="77" t="s">
        <v>193</v>
      </c>
      <c r="M194" s="77" t="s">
        <v>65</v>
      </c>
      <c r="N194" s="77" t="s">
        <v>77</v>
      </c>
      <c r="O194" s="77"/>
      <c r="P194" s="76" t="s">
        <v>194</v>
      </c>
      <c r="Q194" s="183" t="s">
        <v>195</v>
      </c>
      <c r="R194" s="110" t="s">
        <v>80</v>
      </c>
      <c r="S194" s="77">
        <v>2019</v>
      </c>
      <c r="T194" s="179">
        <v>1</v>
      </c>
      <c r="U194" s="180">
        <v>27816</v>
      </c>
      <c r="V194" s="180">
        <f>Table4[[#This Row],[Expected Revenue]]*Table4[[#This Row],[Probability]]</f>
        <v>27816</v>
      </c>
      <c r="W194" s="180">
        <f t="shared" si="2"/>
        <v>20800</v>
      </c>
      <c r="X194" s="179">
        <v>0.59</v>
      </c>
      <c r="Y194" s="180">
        <f>Table4[[#This Row],[Expected Revenue]]*Table4[[#This Row],[Expected CMR]]</f>
        <v>16411.439999999999</v>
      </c>
      <c r="Z194" s="203" t="s">
        <v>60</v>
      </c>
      <c r="AA194" s="77"/>
      <c r="AB194" s="77"/>
      <c r="AC194" s="180"/>
      <c r="AD194" s="220"/>
      <c r="AE194" s="220"/>
      <c r="AF194" s="220"/>
      <c r="AG194" s="220"/>
      <c r="AH194" s="220"/>
      <c r="AI194" s="188"/>
      <c r="AJ194" s="220"/>
      <c r="AK194" s="979"/>
      <c r="AL194" s="180"/>
      <c r="AM194" s="77"/>
      <c r="AN194" s="77"/>
      <c r="AO194" s="110" t="str">
        <f t="shared" ref="AO194:AO201" si="15">IF(AE194&gt;0,AE194+3," - ")</f>
        <v xml:space="preserve"> - </v>
      </c>
      <c r="AP194" s="110" t="str">
        <f t="shared" ref="AP194:AP201" si="16">IF(AE194&gt;0,AE194+14," - ")</f>
        <v xml:space="preserve"> - </v>
      </c>
      <c r="AQ194" s="220"/>
      <c r="AR194" s="77" t="str">
        <f t="shared" ref="AR194:AR201" ca="1" si="17">IF(AD194=0,"-",IF(AQ194&gt;0,"Delivered",IF(TODAY()&gt;AP194,"Overdue",IF(TODAY()&lt;AP194,"In Progress"))))</f>
        <v>-</v>
      </c>
      <c r="AS194" s="179"/>
      <c r="AT194" s="77"/>
      <c r="AU194" s="179"/>
      <c r="AV194" s="77"/>
      <c r="AW194" s="77"/>
    </row>
    <row r="195" spans="1:49" hidden="1">
      <c r="A195" s="173">
        <v>201911</v>
      </c>
      <c r="B195" s="75" t="s">
        <v>86</v>
      </c>
      <c r="C195" s="77" t="str">
        <f>CONCATENATE(Table4[[#This Row],[Project]],"-",Table4[[#This Row],[WO]])</f>
        <v>201911-05</v>
      </c>
      <c r="D195" s="76" t="s">
        <v>137</v>
      </c>
      <c r="E195" s="77" t="s">
        <v>57</v>
      </c>
      <c r="F195" s="77" t="s">
        <v>58</v>
      </c>
      <c r="G195" s="77" t="s">
        <v>59</v>
      </c>
      <c r="H195" s="77" t="s">
        <v>60</v>
      </c>
      <c r="I195" s="102" t="s">
        <v>87</v>
      </c>
      <c r="J195" s="77" t="s">
        <v>88</v>
      </c>
      <c r="K195" s="77" t="s">
        <v>63</v>
      </c>
      <c r="L195" s="77" t="s">
        <v>193</v>
      </c>
      <c r="M195" s="77" t="s">
        <v>65</v>
      </c>
      <c r="N195" s="77" t="s">
        <v>77</v>
      </c>
      <c r="O195" s="77"/>
      <c r="P195" s="76" t="s">
        <v>215</v>
      </c>
      <c r="Q195" s="183" t="s">
        <v>216</v>
      </c>
      <c r="R195" s="110" t="s">
        <v>93</v>
      </c>
      <c r="S195" s="77">
        <v>2019</v>
      </c>
      <c r="T195" s="179">
        <v>1</v>
      </c>
      <c r="U195" s="180">
        <v>27816</v>
      </c>
      <c r="V195" s="180">
        <f>Table4[[#This Row],[Expected Revenue]]*Table4[[#This Row],[Probability]]</f>
        <v>27816</v>
      </c>
      <c r="W195" s="180">
        <f t="shared" ref="W195:W265" si="18">(800*3+((550+310+290)*12)+1600+250*12)</f>
        <v>20800</v>
      </c>
      <c r="X195" s="179">
        <v>0.3</v>
      </c>
      <c r="Y195" s="180">
        <f>Table4[[#This Row],[Expected Revenue]]*Table4[[#This Row],[Expected CMR]]</f>
        <v>8344.7999999999993</v>
      </c>
      <c r="Z195" s="203" t="s">
        <v>60</v>
      </c>
      <c r="AA195" s="77"/>
      <c r="AB195" s="77"/>
      <c r="AC195" s="180"/>
      <c r="AD195" s="220"/>
      <c r="AE195" s="220"/>
      <c r="AF195" s="220"/>
      <c r="AG195" s="220"/>
      <c r="AH195" s="220"/>
      <c r="AI195" s="188"/>
      <c r="AJ195" s="220"/>
      <c r="AK195" s="979"/>
      <c r="AL195" s="180"/>
      <c r="AM195" s="77"/>
      <c r="AN195" s="77"/>
      <c r="AO195" s="110" t="str">
        <f t="shared" si="15"/>
        <v xml:space="preserve"> - </v>
      </c>
      <c r="AP195" s="110" t="str">
        <f t="shared" si="16"/>
        <v xml:space="preserve"> - </v>
      </c>
      <c r="AQ195" s="220"/>
      <c r="AR195" s="77" t="str">
        <f t="shared" ca="1" si="17"/>
        <v>-</v>
      </c>
      <c r="AS195" s="179"/>
      <c r="AT195" s="77"/>
      <c r="AU195" s="179"/>
      <c r="AV195" s="77"/>
      <c r="AW195" s="77"/>
    </row>
    <row r="196" spans="1:49" hidden="1">
      <c r="A196" s="173">
        <v>201909</v>
      </c>
      <c r="B196" s="75" t="s">
        <v>86</v>
      </c>
      <c r="C196" s="77" t="str">
        <f>CONCATENATE(Table4[[#This Row],[Project]],"-",Table4[[#This Row],[WO]])</f>
        <v>201909-05</v>
      </c>
      <c r="D196" s="76" t="s">
        <v>122</v>
      </c>
      <c r="E196" s="77" t="s">
        <v>57</v>
      </c>
      <c r="F196" s="77" t="s">
        <v>58</v>
      </c>
      <c r="G196" s="77" t="s">
        <v>59</v>
      </c>
      <c r="H196" s="77" t="s">
        <v>60</v>
      </c>
      <c r="I196" s="102" t="s">
        <v>87</v>
      </c>
      <c r="J196" s="77" t="s">
        <v>88</v>
      </c>
      <c r="K196" s="77" t="s">
        <v>63</v>
      </c>
      <c r="L196" s="77" t="s">
        <v>193</v>
      </c>
      <c r="M196" s="77" t="s">
        <v>65</v>
      </c>
      <c r="N196" s="77" t="s">
        <v>77</v>
      </c>
      <c r="O196" s="77"/>
      <c r="P196" s="76" t="s">
        <v>220</v>
      </c>
      <c r="Q196" s="183" t="s">
        <v>221</v>
      </c>
      <c r="R196" s="110" t="s">
        <v>219</v>
      </c>
      <c r="S196" s="77">
        <v>2019</v>
      </c>
      <c r="T196" s="179">
        <v>1</v>
      </c>
      <c r="U196" s="180">
        <v>27816</v>
      </c>
      <c r="V196" s="180">
        <f>Table4[[#This Row],[Expected Revenue]]*Table4[[#This Row],[Probability]]</f>
        <v>27816</v>
      </c>
      <c r="W196" s="180">
        <f t="shared" si="18"/>
        <v>20800</v>
      </c>
      <c r="X196" s="179">
        <v>0.3</v>
      </c>
      <c r="Y196" s="180">
        <f>Table4[[#This Row],[Expected Revenue]]*Table4[[#This Row],[Expected CMR]]</f>
        <v>8344.7999999999993</v>
      </c>
      <c r="Z196" s="203" t="s">
        <v>60</v>
      </c>
      <c r="AA196" s="77"/>
      <c r="AB196" s="77"/>
      <c r="AC196" s="180"/>
      <c r="AD196" s="220"/>
      <c r="AE196" s="220"/>
      <c r="AF196" s="220"/>
      <c r="AG196" s="220"/>
      <c r="AH196" s="220"/>
      <c r="AI196" s="188"/>
      <c r="AJ196" s="220"/>
      <c r="AK196" s="979"/>
      <c r="AL196" s="180"/>
      <c r="AM196" s="77"/>
      <c r="AN196" s="77"/>
      <c r="AO196" s="110" t="str">
        <f t="shared" si="15"/>
        <v xml:space="preserve"> - </v>
      </c>
      <c r="AP196" s="110" t="str">
        <f t="shared" si="16"/>
        <v xml:space="preserve"> - </v>
      </c>
      <c r="AQ196" s="220"/>
      <c r="AR196" s="77" t="str">
        <f t="shared" ca="1" si="17"/>
        <v>-</v>
      </c>
      <c r="AS196" s="179"/>
      <c r="AT196" s="77"/>
      <c r="AU196" s="179"/>
      <c r="AV196" s="77"/>
      <c r="AW196" s="77"/>
    </row>
    <row r="197" spans="1:49" hidden="1">
      <c r="A197" s="173">
        <v>201914</v>
      </c>
      <c r="B197" s="75" t="s">
        <v>86</v>
      </c>
      <c r="C197" s="77" t="str">
        <f>CONCATENATE(Table4[[#This Row],[Project]],"-",Table4[[#This Row],[WO]])</f>
        <v>201914-05</v>
      </c>
      <c r="D197" s="76" t="s">
        <v>117</v>
      </c>
      <c r="E197" s="77" t="s">
        <v>57</v>
      </c>
      <c r="F197" s="77" t="s">
        <v>58</v>
      </c>
      <c r="G197" s="77" t="s">
        <v>59</v>
      </c>
      <c r="H197" s="77" t="s">
        <v>105</v>
      </c>
      <c r="I197" s="102" t="s">
        <v>87</v>
      </c>
      <c r="J197" s="77" t="s">
        <v>88</v>
      </c>
      <c r="K197" s="77" t="s">
        <v>63</v>
      </c>
      <c r="L197" s="77" t="s">
        <v>193</v>
      </c>
      <c r="M197" s="77" t="s">
        <v>65</v>
      </c>
      <c r="N197" s="77" t="s">
        <v>77</v>
      </c>
      <c r="O197" s="77"/>
      <c r="P197" s="76" t="s">
        <v>197</v>
      </c>
      <c r="Q197" s="183" t="s">
        <v>198</v>
      </c>
      <c r="R197" s="110" t="s">
        <v>222</v>
      </c>
      <c r="S197" s="77">
        <v>2019</v>
      </c>
      <c r="T197" s="179">
        <v>1</v>
      </c>
      <c r="U197" s="180">
        <v>27816</v>
      </c>
      <c r="V197" s="180">
        <f>Table4[[#This Row],[Expected Revenue]]*Table4[[#This Row],[Probability]]</f>
        <v>27816</v>
      </c>
      <c r="W197" s="180">
        <f t="shared" si="18"/>
        <v>20800</v>
      </c>
      <c r="X197" s="179">
        <v>0.59</v>
      </c>
      <c r="Y197" s="180">
        <f>Table4[[#This Row],[Expected Revenue]]*Table4[[#This Row],[Expected CMR]]</f>
        <v>16411.439999999999</v>
      </c>
      <c r="Z197" s="203" t="s">
        <v>105</v>
      </c>
      <c r="AA197" s="77"/>
      <c r="AB197" s="77"/>
      <c r="AC197" s="180"/>
      <c r="AD197" s="220"/>
      <c r="AE197" s="220"/>
      <c r="AF197" s="220"/>
      <c r="AG197" s="220"/>
      <c r="AH197" s="220"/>
      <c r="AI197" s="188"/>
      <c r="AJ197" s="220"/>
      <c r="AK197" s="979"/>
      <c r="AL197" s="180"/>
      <c r="AM197" s="77"/>
      <c r="AN197" s="77"/>
      <c r="AO197" s="110" t="str">
        <f t="shared" si="15"/>
        <v xml:space="preserve"> - </v>
      </c>
      <c r="AP197" s="110" t="str">
        <f t="shared" si="16"/>
        <v xml:space="preserve"> - </v>
      </c>
      <c r="AQ197" s="220"/>
      <c r="AR197" s="77" t="str">
        <f t="shared" ca="1" si="17"/>
        <v>-</v>
      </c>
      <c r="AS197" s="179"/>
      <c r="AT197" s="77"/>
      <c r="AU197" s="179"/>
      <c r="AV197" s="77"/>
      <c r="AW197" s="77"/>
    </row>
    <row r="198" spans="1:49" hidden="1">
      <c r="A198" s="173">
        <v>201905</v>
      </c>
      <c r="B198" s="75" t="s">
        <v>86</v>
      </c>
      <c r="C198" s="77" t="str">
        <f>CONCATENATE(Table4[[#This Row],[Project]],"-",Table4[[#This Row],[WO]])</f>
        <v>201905-05</v>
      </c>
      <c r="D198" s="76" t="s">
        <v>114</v>
      </c>
      <c r="E198" s="77" t="s">
        <v>57</v>
      </c>
      <c r="F198" s="77" t="s">
        <v>58</v>
      </c>
      <c r="G198" s="77" t="s">
        <v>59</v>
      </c>
      <c r="H198" s="77" t="s">
        <v>105</v>
      </c>
      <c r="I198" s="102" t="s">
        <v>87</v>
      </c>
      <c r="J198" s="77" t="s">
        <v>88</v>
      </c>
      <c r="K198" s="77" t="s">
        <v>63</v>
      </c>
      <c r="L198" s="77" t="s">
        <v>193</v>
      </c>
      <c r="M198" s="77" t="s">
        <v>65</v>
      </c>
      <c r="N198" s="77" t="s">
        <v>77</v>
      </c>
      <c r="O198" s="77"/>
      <c r="P198" s="76" t="s">
        <v>202</v>
      </c>
      <c r="Q198" s="183" t="s">
        <v>203</v>
      </c>
      <c r="R198" s="110" t="s">
        <v>222</v>
      </c>
      <c r="S198" s="77">
        <v>2019</v>
      </c>
      <c r="T198" s="179">
        <v>1</v>
      </c>
      <c r="U198" s="180">
        <v>27816</v>
      </c>
      <c r="V198" s="180">
        <f>Table4[[#This Row],[Expected Revenue]]*Table4[[#This Row],[Probability]]</f>
        <v>27816</v>
      </c>
      <c r="W198" s="180">
        <f t="shared" si="18"/>
        <v>20800</v>
      </c>
      <c r="X198" s="179">
        <v>0.3</v>
      </c>
      <c r="Y198" s="180">
        <f>Table4[[#This Row],[Expected Revenue]]*Table4[[#This Row],[Expected CMR]]</f>
        <v>8344.7999999999993</v>
      </c>
      <c r="Z198" s="203" t="s">
        <v>105</v>
      </c>
      <c r="AA198" s="77"/>
      <c r="AB198" s="77"/>
      <c r="AC198" s="180"/>
      <c r="AD198" s="220"/>
      <c r="AE198" s="220"/>
      <c r="AF198" s="220"/>
      <c r="AG198" s="220"/>
      <c r="AH198" s="220"/>
      <c r="AI198" s="188"/>
      <c r="AJ198" s="220"/>
      <c r="AK198" s="979"/>
      <c r="AL198" s="180"/>
      <c r="AM198" s="77"/>
      <c r="AN198" s="77"/>
      <c r="AO198" s="110" t="str">
        <f t="shared" si="15"/>
        <v xml:space="preserve"> - </v>
      </c>
      <c r="AP198" s="110" t="str">
        <f t="shared" si="16"/>
        <v xml:space="preserve"> - </v>
      </c>
      <c r="AQ198" s="220"/>
      <c r="AR198" s="77" t="str">
        <f t="shared" ca="1" si="17"/>
        <v>-</v>
      </c>
      <c r="AS198" s="179"/>
      <c r="AT198" s="77"/>
      <c r="AU198" s="179"/>
      <c r="AV198" s="77"/>
      <c r="AW198" s="77"/>
    </row>
    <row r="199" spans="1:49" hidden="1">
      <c r="A199" s="173">
        <v>201902</v>
      </c>
      <c r="B199" s="75" t="s">
        <v>86</v>
      </c>
      <c r="C199" s="77" t="str">
        <f>CONCATENATE(Table4[[#This Row],[Project]],"-",Table4[[#This Row],[WO]])</f>
        <v>201902-05</v>
      </c>
      <c r="D199" s="76" t="s">
        <v>104</v>
      </c>
      <c r="E199" s="77" t="s">
        <v>57</v>
      </c>
      <c r="F199" s="77" t="s">
        <v>58</v>
      </c>
      <c r="G199" s="77" t="s">
        <v>59</v>
      </c>
      <c r="H199" s="77" t="s">
        <v>105</v>
      </c>
      <c r="I199" s="102" t="s">
        <v>87</v>
      </c>
      <c r="J199" s="77" t="s">
        <v>88</v>
      </c>
      <c r="K199" s="77" t="s">
        <v>63</v>
      </c>
      <c r="L199" s="77" t="s">
        <v>193</v>
      </c>
      <c r="M199" s="77" t="s">
        <v>65</v>
      </c>
      <c r="N199" s="77" t="s">
        <v>77</v>
      </c>
      <c r="O199" s="77"/>
      <c r="P199" s="76" t="s">
        <v>211</v>
      </c>
      <c r="Q199" s="183" t="s">
        <v>212</v>
      </c>
      <c r="R199" s="110" t="s">
        <v>231</v>
      </c>
      <c r="S199" s="77">
        <v>2019</v>
      </c>
      <c r="T199" s="179">
        <v>1</v>
      </c>
      <c r="U199" s="180">
        <v>27816</v>
      </c>
      <c r="V199" s="180">
        <f>Table4[[#This Row],[Expected Revenue]]*Table4[[#This Row],[Probability]]</f>
        <v>27816</v>
      </c>
      <c r="W199" s="180">
        <f t="shared" si="18"/>
        <v>20800</v>
      </c>
      <c r="X199" s="179">
        <v>0.3</v>
      </c>
      <c r="Y199" s="180">
        <f>Table4[[#This Row],[Expected Revenue]]*Table4[[#This Row],[Expected CMR]]</f>
        <v>8344.7999999999993</v>
      </c>
      <c r="Z199" s="203" t="s">
        <v>105</v>
      </c>
      <c r="AA199" s="77"/>
      <c r="AB199" s="77"/>
      <c r="AC199" s="180"/>
      <c r="AD199" s="220"/>
      <c r="AE199" s="220"/>
      <c r="AF199" s="220"/>
      <c r="AG199" s="220"/>
      <c r="AH199" s="220"/>
      <c r="AI199" s="188"/>
      <c r="AJ199" s="220"/>
      <c r="AK199" s="979"/>
      <c r="AL199" s="180"/>
      <c r="AM199" s="77"/>
      <c r="AN199" s="77"/>
      <c r="AO199" s="110" t="str">
        <f t="shared" si="15"/>
        <v xml:space="preserve"> - </v>
      </c>
      <c r="AP199" s="110" t="str">
        <f t="shared" si="16"/>
        <v xml:space="preserve"> - </v>
      </c>
      <c r="AQ199" s="220"/>
      <c r="AR199" s="77" t="str">
        <f t="shared" ca="1" si="17"/>
        <v>-</v>
      </c>
      <c r="AS199" s="179"/>
      <c r="AT199" s="77"/>
      <c r="AU199" s="179"/>
      <c r="AV199" s="77"/>
      <c r="AW199" s="77"/>
    </row>
    <row r="200" spans="1:49" hidden="1">
      <c r="A200" s="173">
        <v>201902</v>
      </c>
      <c r="B200" s="75" t="s">
        <v>90</v>
      </c>
      <c r="C200" s="77" t="str">
        <f>CONCATENATE(Table4[[#This Row],[Project]],"-",Table4[[#This Row],[WO]])</f>
        <v>201902-04</v>
      </c>
      <c r="D200" s="76" t="s">
        <v>104</v>
      </c>
      <c r="E200" s="77" t="s">
        <v>57</v>
      </c>
      <c r="F200" s="77" t="s">
        <v>58</v>
      </c>
      <c r="G200" s="77" t="s">
        <v>59</v>
      </c>
      <c r="H200" s="77" t="s">
        <v>105</v>
      </c>
      <c r="I200" s="102" t="s">
        <v>91</v>
      </c>
      <c r="J200" s="77" t="s">
        <v>92</v>
      </c>
      <c r="K200" s="77" t="s">
        <v>63</v>
      </c>
      <c r="L200" s="77" t="s">
        <v>193</v>
      </c>
      <c r="M200" s="77" t="s">
        <v>65</v>
      </c>
      <c r="N200" s="77" t="s">
        <v>77</v>
      </c>
      <c r="O200" s="77"/>
      <c r="P200" s="76" t="s">
        <v>211</v>
      </c>
      <c r="Q200" s="183" t="s">
        <v>212</v>
      </c>
      <c r="R200" s="110" t="s">
        <v>80</v>
      </c>
      <c r="S200" s="77">
        <v>2019</v>
      </c>
      <c r="T200" s="179">
        <v>1</v>
      </c>
      <c r="U200" s="180">
        <f t="shared" ref="U200:U232" si="19">75242/4</f>
        <v>18810.5</v>
      </c>
      <c r="V200" s="180">
        <f>Table4[[#This Row],[Expected Revenue]]*Table4[[#This Row],[Probability]]</f>
        <v>18810.5</v>
      </c>
      <c r="W200" s="180">
        <f t="shared" si="18"/>
        <v>20800</v>
      </c>
      <c r="X200" s="179">
        <v>0.3</v>
      </c>
      <c r="Y200" s="180">
        <f>Table4[[#This Row],[Expected Revenue]]*Table4[[#This Row],[Expected CMR]]</f>
        <v>5643.15</v>
      </c>
      <c r="Z200" s="203" t="s">
        <v>105</v>
      </c>
      <c r="AA200" s="77" t="s">
        <v>100</v>
      </c>
      <c r="AB200" s="181" t="s">
        <v>237</v>
      </c>
      <c r="AC200" s="180">
        <v>1440.24</v>
      </c>
      <c r="AD200" s="220">
        <v>43488</v>
      </c>
      <c r="AE200" s="220">
        <v>43496</v>
      </c>
      <c r="AF200" s="220"/>
      <c r="AG200" s="220"/>
      <c r="AH200" s="220"/>
      <c r="AI200" s="188"/>
      <c r="AJ200" s="220"/>
      <c r="AK200" s="979" t="s">
        <v>136</v>
      </c>
      <c r="AL200" s="180">
        <v>9024</v>
      </c>
      <c r="AM200" s="77" t="s">
        <v>80</v>
      </c>
      <c r="AN200" s="77">
        <v>2019</v>
      </c>
      <c r="AO200" s="110">
        <f t="shared" si="15"/>
        <v>43499</v>
      </c>
      <c r="AP200" s="110">
        <f t="shared" si="16"/>
        <v>43510</v>
      </c>
      <c r="AQ200" s="220">
        <v>43500</v>
      </c>
      <c r="AR200" s="77" t="str">
        <f t="shared" ca="1" si="17"/>
        <v>Delivered</v>
      </c>
      <c r="AS200" s="179">
        <v>0.5</v>
      </c>
      <c r="AT200" s="77"/>
      <c r="AU200" s="179"/>
      <c r="AV200" s="77"/>
      <c r="AW200" s="77"/>
    </row>
    <row r="201" spans="1:49" hidden="1">
      <c r="A201" s="173">
        <v>201914</v>
      </c>
      <c r="B201" s="75" t="s">
        <v>90</v>
      </c>
      <c r="C201" s="77" t="str">
        <f>CONCATENATE(Table4[[#This Row],[Project]],"-",Table4[[#This Row],[WO]])</f>
        <v>201914-04</v>
      </c>
      <c r="D201" s="76" t="s">
        <v>117</v>
      </c>
      <c r="E201" s="77" t="s">
        <v>57</v>
      </c>
      <c r="F201" s="77" t="s">
        <v>58</v>
      </c>
      <c r="G201" s="77" t="s">
        <v>59</v>
      </c>
      <c r="H201" s="77" t="s">
        <v>105</v>
      </c>
      <c r="I201" s="102" t="s">
        <v>91</v>
      </c>
      <c r="J201" s="77" t="s">
        <v>92</v>
      </c>
      <c r="K201" s="77" t="s">
        <v>63</v>
      </c>
      <c r="L201" s="77" t="s">
        <v>193</v>
      </c>
      <c r="M201" s="77" t="s">
        <v>65</v>
      </c>
      <c r="N201" s="77" t="s">
        <v>77</v>
      </c>
      <c r="O201" s="77"/>
      <c r="P201" s="76" t="s">
        <v>197</v>
      </c>
      <c r="Q201" s="183" t="s">
        <v>198</v>
      </c>
      <c r="R201" s="110" t="s">
        <v>80</v>
      </c>
      <c r="S201" s="77">
        <v>2019</v>
      </c>
      <c r="T201" s="179">
        <v>1</v>
      </c>
      <c r="U201" s="180">
        <f t="shared" si="19"/>
        <v>18810.5</v>
      </c>
      <c r="V201" s="180">
        <f>Table4[[#This Row],[Expected Revenue]]*Table4[[#This Row],[Probability]]</f>
        <v>18810.5</v>
      </c>
      <c r="W201" s="180">
        <f t="shared" si="18"/>
        <v>20800</v>
      </c>
      <c r="X201" s="179">
        <v>0.3</v>
      </c>
      <c r="Y201" s="180">
        <f>Table4[[#This Row],[Expected Revenue]]*Table4[[#This Row],[Expected CMR]]</f>
        <v>5643.15</v>
      </c>
      <c r="Z201" s="203" t="s">
        <v>105</v>
      </c>
      <c r="AA201" s="77"/>
      <c r="AB201" s="77"/>
      <c r="AC201" s="180"/>
      <c r="AD201" s="220"/>
      <c r="AE201" s="220"/>
      <c r="AF201" s="220"/>
      <c r="AG201" s="220"/>
      <c r="AH201" s="220"/>
      <c r="AI201" s="188"/>
      <c r="AJ201" s="220"/>
      <c r="AK201" s="979"/>
      <c r="AL201" s="180"/>
      <c r="AM201" s="77"/>
      <c r="AN201" s="77"/>
      <c r="AO201" s="110" t="str">
        <f t="shared" si="15"/>
        <v xml:space="preserve"> - </v>
      </c>
      <c r="AP201" s="110" t="str">
        <f t="shared" si="16"/>
        <v xml:space="preserve"> - </v>
      </c>
      <c r="AQ201" s="220"/>
      <c r="AR201" s="77" t="str">
        <f t="shared" ca="1" si="17"/>
        <v>-</v>
      </c>
      <c r="AS201" s="179"/>
      <c r="AT201" s="77"/>
      <c r="AU201" s="179"/>
      <c r="AV201" s="77"/>
      <c r="AW201" s="77"/>
    </row>
    <row r="202" spans="1:49" hidden="1">
      <c r="A202" s="173">
        <v>201903</v>
      </c>
      <c r="B202" s="75" t="s">
        <v>90</v>
      </c>
      <c r="C202" s="77" t="str">
        <f>CONCATENATE(Table4[[#This Row],[Project]],"-",Table4[[#This Row],[WO]])</f>
        <v>201903-04</v>
      </c>
      <c r="D202" s="76" t="s">
        <v>73</v>
      </c>
      <c r="E202" s="77" t="s">
        <v>57</v>
      </c>
      <c r="F202" s="77" t="s">
        <v>58</v>
      </c>
      <c r="G202" s="77" t="s">
        <v>59</v>
      </c>
      <c r="H202" s="77" t="s">
        <v>105</v>
      </c>
      <c r="I202" s="102" t="s">
        <v>91</v>
      </c>
      <c r="J202" s="77" t="s">
        <v>92</v>
      </c>
      <c r="K202" s="77" t="s">
        <v>63</v>
      </c>
      <c r="L202" s="77" t="s">
        <v>217</v>
      </c>
      <c r="M202" s="77" t="s">
        <v>65</v>
      </c>
      <c r="N202" s="77" t="s">
        <v>77</v>
      </c>
      <c r="O202" s="77"/>
      <c r="P202" s="76" t="s">
        <v>78</v>
      </c>
      <c r="Q202" s="183" t="s">
        <v>79</v>
      </c>
      <c r="R202" s="110" t="s">
        <v>230</v>
      </c>
      <c r="S202" s="77">
        <v>2019</v>
      </c>
      <c r="T202" s="179">
        <v>1</v>
      </c>
      <c r="U202" s="180">
        <f t="shared" si="19"/>
        <v>18810.5</v>
      </c>
      <c r="V202" s="180">
        <f>Table4[[#This Row],[Expected Revenue]]*Table4[[#This Row],[Probability]]</f>
        <v>18810.5</v>
      </c>
      <c r="W202" s="180">
        <f t="shared" si="18"/>
        <v>20800</v>
      </c>
      <c r="X202" s="179">
        <v>0.3</v>
      </c>
      <c r="Y202" s="180">
        <f>Table4[[#This Row],[Rev. Based on PROB]]*Table4[[#This Row],[Expected CMR]]</f>
        <v>5643.15</v>
      </c>
      <c r="Z202" s="203" t="s">
        <v>105</v>
      </c>
      <c r="AA202" s="77"/>
      <c r="AB202" s="77"/>
      <c r="AC202" s="180"/>
      <c r="AD202" s="220"/>
      <c r="AE202" s="220"/>
      <c r="AF202" s="220"/>
      <c r="AG202" s="220"/>
      <c r="AH202" s="220"/>
      <c r="AI202" s="188"/>
      <c r="AJ202" s="220"/>
      <c r="AK202" s="979"/>
      <c r="AL202" s="180"/>
      <c r="AM202" s="77"/>
      <c r="AN202" s="77"/>
      <c r="AO202" s="110" t="str">
        <f>IF(Table4[[#This Row],[Finish (demob)]]&lt;&gt;"",Table4[[#This Row],[Finish (demob)]]+10,"")</f>
        <v/>
      </c>
      <c r="AP202" s="110" t="str">
        <f>IF(Table4[[#This Row],[Finish (demob)]]&lt;&gt;"",Table4[[#This Row],[Finish (demob)]]+10,"")</f>
        <v/>
      </c>
      <c r="AQ202" s="220"/>
      <c r="AR202" s="77" t="str">
        <f>IF(Table4[[#This Row],[Date Report is delivered:]]&lt;&gt;"", "Delivered", "")</f>
        <v/>
      </c>
      <c r="AS202" s="179"/>
      <c r="AT202" s="77"/>
      <c r="AU202" s="179"/>
      <c r="AV202" s="77"/>
      <c r="AW202" s="77"/>
    </row>
    <row r="203" spans="1:49" hidden="1">
      <c r="A203" s="173">
        <v>201909</v>
      </c>
      <c r="B203" s="75" t="s">
        <v>90</v>
      </c>
      <c r="C203" s="77" t="str">
        <f>CONCATENATE(Table4[[#This Row],[Project]],"-",Table4[[#This Row],[WO]])</f>
        <v>201909-04</v>
      </c>
      <c r="D203" s="76" t="s">
        <v>122</v>
      </c>
      <c r="E203" s="77" t="s">
        <v>57</v>
      </c>
      <c r="F203" s="77" t="s">
        <v>58</v>
      </c>
      <c r="G203" s="77" t="s">
        <v>59</v>
      </c>
      <c r="H203" s="77" t="s">
        <v>60</v>
      </c>
      <c r="I203" s="102" t="s">
        <v>91</v>
      </c>
      <c r="J203" s="77" t="s">
        <v>92</v>
      </c>
      <c r="K203" s="77" t="s">
        <v>63</v>
      </c>
      <c r="L203" s="77" t="s">
        <v>193</v>
      </c>
      <c r="M203" s="77" t="s">
        <v>65</v>
      </c>
      <c r="N203" s="77" t="s">
        <v>77</v>
      </c>
      <c r="O203" s="77"/>
      <c r="P203" s="76" t="s">
        <v>220</v>
      </c>
      <c r="Q203" s="183" t="s">
        <v>221</v>
      </c>
      <c r="R203" s="110" t="s">
        <v>230</v>
      </c>
      <c r="S203" s="77">
        <v>2019</v>
      </c>
      <c r="T203" s="179">
        <v>1</v>
      </c>
      <c r="U203" s="180">
        <f t="shared" si="19"/>
        <v>18810.5</v>
      </c>
      <c r="V203" s="180">
        <f>Table4[[#This Row],[Expected Revenue]]*Table4[[#This Row],[Probability]]</f>
        <v>18810.5</v>
      </c>
      <c r="W203" s="180">
        <f t="shared" si="18"/>
        <v>20800</v>
      </c>
      <c r="X203" s="179">
        <v>0.3</v>
      </c>
      <c r="Y203" s="180">
        <f>Table4[[#This Row],[Expected Revenue]]*Table4[[#This Row],[Expected CMR]]</f>
        <v>5643.15</v>
      </c>
      <c r="Z203" s="203" t="s">
        <v>60</v>
      </c>
      <c r="AA203" s="77"/>
      <c r="AB203" s="77"/>
      <c r="AC203" s="180"/>
      <c r="AD203" s="220"/>
      <c r="AE203" s="220"/>
      <c r="AF203" s="220"/>
      <c r="AG203" s="220"/>
      <c r="AH203" s="220"/>
      <c r="AI203" s="188"/>
      <c r="AJ203" s="220"/>
      <c r="AK203" s="979"/>
      <c r="AL203" s="180">
        <v>15000</v>
      </c>
      <c r="AM203" s="77" t="s">
        <v>80</v>
      </c>
      <c r="AN203" s="77">
        <v>2019</v>
      </c>
      <c r="AO203" s="110" t="str">
        <f t="shared" ref="AO203:AO213" si="20">IF(AE203&gt;0,AE203+3," - ")</f>
        <v xml:space="preserve"> - </v>
      </c>
      <c r="AP203" s="110" t="str">
        <f t="shared" ref="AP203:AP213" si="21">IF(AE203&gt;0,AE203+14," - ")</f>
        <v xml:space="preserve"> - </v>
      </c>
      <c r="AQ203" s="220"/>
      <c r="AR203" s="77" t="str">
        <f t="shared" ref="AR203:AR213" ca="1" si="22">IF(AD203=0,"-",IF(AQ203&gt;0,"Delivered",IF(TODAY()&gt;AP203,"Overdue",IF(TODAY()&lt;AP203,"In Progress"))))</f>
        <v>-</v>
      </c>
      <c r="AS203" s="179"/>
      <c r="AT203" s="77"/>
      <c r="AU203" s="179"/>
      <c r="AV203" s="77"/>
      <c r="AW203" s="77"/>
    </row>
    <row r="204" spans="1:49" hidden="1">
      <c r="A204" s="173">
        <v>201910</v>
      </c>
      <c r="B204" s="75" t="s">
        <v>90</v>
      </c>
      <c r="C204" s="77" t="str">
        <f>CONCATENATE(Table4[[#This Row],[Project]],"-",Table4[[#This Row],[WO]])</f>
        <v>201910-04</v>
      </c>
      <c r="D204" s="76" t="s">
        <v>130</v>
      </c>
      <c r="E204" s="77" t="s">
        <v>57</v>
      </c>
      <c r="F204" s="77" t="s">
        <v>58</v>
      </c>
      <c r="G204" s="77" t="s">
        <v>59</v>
      </c>
      <c r="H204" s="77" t="s">
        <v>105</v>
      </c>
      <c r="I204" s="102" t="s">
        <v>91</v>
      </c>
      <c r="J204" s="77" t="s">
        <v>92</v>
      </c>
      <c r="K204" s="77" t="s">
        <v>63</v>
      </c>
      <c r="L204" s="77" t="s">
        <v>193</v>
      </c>
      <c r="M204" s="77" t="s">
        <v>65</v>
      </c>
      <c r="N204" s="77" t="s">
        <v>77</v>
      </c>
      <c r="O204" s="77"/>
      <c r="P204" s="76" t="s">
        <v>223</v>
      </c>
      <c r="Q204" s="183" t="s">
        <v>224</v>
      </c>
      <c r="R204" s="110" t="s">
        <v>230</v>
      </c>
      <c r="S204" s="77">
        <v>2019</v>
      </c>
      <c r="T204" s="179">
        <v>1</v>
      </c>
      <c r="U204" s="180">
        <f t="shared" si="19"/>
        <v>18810.5</v>
      </c>
      <c r="V204" s="180">
        <f>Table4[[#This Row],[Expected Revenue]]*Table4[[#This Row],[Probability]]</f>
        <v>18810.5</v>
      </c>
      <c r="W204" s="180">
        <f t="shared" si="18"/>
        <v>20800</v>
      </c>
      <c r="X204" s="179">
        <v>0.3</v>
      </c>
      <c r="Y204" s="180">
        <f>Table4[[#This Row],[Expected Revenue]]*Table4[[#This Row],[Expected CMR]]</f>
        <v>5643.15</v>
      </c>
      <c r="Z204" s="203" t="s">
        <v>105</v>
      </c>
      <c r="AA204" s="77"/>
      <c r="AB204" s="77"/>
      <c r="AC204" s="180"/>
      <c r="AD204" s="220"/>
      <c r="AE204" s="220"/>
      <c r="AF204" s="220"/>
      <c r="AG204" s="220"/>
      <c r="AH204" s="220"/>
      <c r="AI204" s="188"/>
      <c r="AJ204" s="220"/>
      <c r="AK204" s="979"/>
      <c r="AL204" s="180"/>
      <c r="AM204" s="77"/>
      <c r="AN204" s="77"/>
      <c r="AO204" s="110" t="str">
        <f t="shared" si="20"/>
        <v xml:space="preserve"> - </v>
      </c>
      <c r="AP204" s="110" t="str">
        <f t="shared" si="21"/>
        <v xml:space="preserve"> - </v>
      </c>
      <c r="AQ204" s="220"/>
      <c r="AR204" s="77" t="str">
        <f t="shared" ca="1" si="22"/>
        <v>-</v>
      </c>
      <c r="AS204" s="179"/>
      <c r="AT204" s="77"/>
      <c r="AU204" s="179"/>
      <c r="AV204" s="77"/>
      <c r="AW204" s="77"/>
    </row>
    <row r="205" spans="1:49" hidden="1">
      <c r="A205" s="173">
        <v>201911</v>
      </c>
      <c r="B205" s="75" t="s">
        <v>90</v>
      </c>
      <c r="C205" s="77" t="str">
        <f>CONCATENATE(Table4[[#This Row],[Project]],"-",Table4[[#This Row],[WO]])</f>
        <v>201911-04</v>
      </c>
      <c r="D205" s="76" t="s">
        <v>137</v>
      </c>
      <c r="E205" s="77" t="s">
        <v>57</v>
      </c>
      <c r="F205" s="77" t="s">
        <v>58</v>
      </c>
      <c r="G205" s="77" t="s">
        <v>59</v>
      </c>
      <c r="H205" s="77" t="s">
        <v>60</v>
      </c>
      <c r="I205" s="102" t="s">
        <v>91</v>
      </c>
      <c r="J205" s="77" t="s">
        <v>92</v>
      </c>
      <c r="K205" s="77" t="s">
        <v>63</v>
      </c>
      <c r="L205" s="77" t="s">
        <v>193</v>
      </c>
      <c r="M205" s="77" t="s">
        <v>65</v>
      </c>
      <c r="N205" s="77" t="s">
        <v>77</v>
      </c>
      <c r="O205" s="77"/>
      <c r="P205" s="76" t="s">
        <v>215</v>
      </c>
      <c r="Q205" s="183" t="s">
        <v>216</v>
      </c>
      <c r="R205" s="110" t="s">
        <v>230</v>
      </c>
      <c r="S205" s="77">
        <v>2019</v>
      </c>
      <c r="T205" s="179">
        <v>1</v>
      </c>
      <c r="U205" s="180">
        <f t="shared" si="19"/>
        <v>18810.5</v>
      </c>
      <c r="V205" s="180">
        <f>Table4[[#This Row],[Expected Revenue]]*Table4[[#This Row],[Probability]]</f>
        <v>18810.5</v>
      </c>
      <c r="W205" s="180">
        <f t="shared" si="18"/>
        <v>20800</v>
      </c>
      <c r="X205" s="179">
        <v>0.3</v>
      </c>
      <c r="Y205" s="180">
        <f>Table4[[#This Row],[Expected Revenue]]*Table4[[#This Row],[Expected CMR]]</f>
        <v>5643.15</v>
      </c>
      <c r="Z205" s="203" t="s">
        <v>60</v>
      </c>
      <c r="AA205" s="77"/>
      <c r="AB205" s="77"/>
      <c r="AC205" s="180"/>
      <c r="AD205" s="220"/>
      <c r="AE205" s="220"/>
      <c r="AF205" s="220"/>
      <c r="AG205" s="220"/>
      <c r="AH205" s="220"/>
      <c r="AI205" s="188"/>
      <c r="AJ205" s="220"/>
      <c r="AK205" s="979"/>
      <c r="AL205" s="180"/>
      <c r="AM205" s="77"/>
      <c r="AN205" s="77"/>
      <c r="AO205" s="110" t="str">
        <f t="shared" si="20"/>
        <v xml:space="preserve"> - </v>
      </c>
      <c r="AP205" s="110" t="str">
        <f t="shared" si="21"/>
        <v xml:space="preserve"> - </v>
      </c>
      <c r="AQ205" s="220"/>
      <c r="AR205" s="77" t="str">
        <f t="shared" ca="1" si="22"/>
        <v>-</v>
      </c>
      <c r="AS205" s="179"/>
      <c r="AT205" s="77"/>
      <c r="AU205" s="179"/>
      <c r="AV205" s="77"/>
      <c r="AW205" s="77"/>
    </row>
    <row r="206" spans="1:49" hidden="1">
      <c r="A206" s="173">
        <v>201912</v>
      </c>
      <c r="B206" s="75" t="s">
        <v>90</v>
      </c>
      <c r="C206" s="77" t="str">
        <f>CONCATENATE(Table4[[#This Row],[Project]],"-",Table4[[#This Row],[WO]])</f>
        <v>201912-04</v>
      </c>
      <c r="D206" s="76" t="s">
        <v>146</v>
      </c>
      <c r="E206" s="77" t="s">
        <v>57</v>
      </c>
      <c r="F206" s="77" t="s">
        <v>58</v>
      </c>
      <c r="G206" s="77" t="s">
        <v>59</v>
      </c>
      <c r="H206" s="77" t="s">
        <v>60</v>
      </c>
      <c r="I206" s="102" t="s">
        <v>91</v>
      </c>
      <c r="J206" s="77" t="s">
        <v>92</v>
      </c>
      <c r="K206" s="77" t="s">
        <v>63</v>
      </c>
      <c r="L206" s="77" t="s">
        <v>193</v>
      </c>
      <c r="M206" s="77" t="s">
        <v>65</v>
      </c>
      <c r="N206" s="77" t="s">
        <v>77</v>
      </c>
      <c r="O206" s="77"/>
      <c r="P206" s="76" t="s">
        <v>194</v>
      </c>
      <c r="Q206" s="183" t="s">
        <v>195</v>
      </c>
      <c r="R206" s="110" t="s">
        <v>230</v>
      </c>
      <c r="S206" s="77">
        <v>2019</v>
      </c>
      <c r="T206" s="179">
        <v>1</v>
      </c>
      <c r="U206" s="180">
        <f t="shared" si="19"/>
        <v>18810.5</v>
      </c>
      <c r="V206" s="180">
        <f>Table4[[#This Row],[Expected Revenue]]*Table4[[#This Row],[Probability]]</f>
        <v>18810.5</v>
      </c>
      <c r="W206" s="180">
        <f t="shared" si="18"/>
        <v>20800</v>
      </c>
      <c r="X206" s="179">
        <v>0.3</v>
      </c>
      <c r="Y206" s="180">
        <f>Table4[[#This Row],[Expected Revenue]]*Table4[[#This Row],[Expected CMR]]</f>
        <v>5643.15</v>
      </c>
      <c r="Z206" s="203" t="s">
        <v>60</v>
      </c>
      <c r="AA206" s="77"/>
      <c r="AB206" s="77"/>
      <c r="AC206" s="180"/>
      <c r="AD206" s="220"/>
      <c r="AE206" s="220"/>
      <c r="AF206" s="220"/>
      <c r="AG206" s="220"/>
      <c r="AH206" s="220"/>
      <c r="AI206" s="188"/>
      <c r="AJ206" s="220"/>
      <c r="AK206" s="979"/>
      <c r="AL206" s="180"/>
      <c r="AM206" s="77"/>
      <c r="AN206" s="77"/>
      <c r="AO206" s="110" t="str">
        <f t="shared" si="20"/>
        <v xml:space="preserve"> - </v>
      </c>
      <c r="AP206" s="110" t="str">
        <f t="shared" si="21"/>
        <v xml:space="preserve"> - </v>
      </c>
      <c r="AQ206" s="220"/>
      <c r="AR206" s="77" t="str">
        <f t="shared" ca="1" si="22"/>
        <v>-</v>
      </c>
      <c r="AS206" s="179"/>
      <c r="AT206" s="77"/>
      <c r="AU206" s="179"/>
      <c r="AV206" s="77"/>
      <c r="AW206" s="77"/>
    </row>
    <row r="207" spans="1:49" hidden="1">
      <c r="A207" s="173">
        <v>201905</v>
      </c>
      <c r="B207" s="75" t="s">
        <v>90</v>
      </c>
      <c r="C207" s="77" t="str">
        <f>CONCATENATE(Table4[[#This Row],[Project]],"-",Table4[[#This Row],[WO]])</f>
        <v>201905-04</v>
      </c>
      <c r="D207" s="76" t="s">
        <v>114</v>
      </c>
      <c r="E207" s="77" t="s">
        <v>57</v>
      </c>
      <c r="F207" s="77" t="s">
        <v>58</v>
      </c>
      <c r="G207" s="77" t="s">
        <v>59</v>
      </c>
      <c r="H207" s="77" t="s">
        <v>105</v>
      </c>
      <c r="I207" s="102" t="s">
        <v>91</v>
      </c>
      <c r="J207" s="77" t="s">
        <v>92</v>
      </c>
      <c r="K207" s="77" t="s">
        <v>63</v>
      </c>
      <c r="L207" s="77" t="s">
        <v>193</v>
      </c>
      <c r="M207" s="77" t="s">
        <v>65</v>
      </c>
      <c r="N207" s="77" t="s">
        <v>77</v>
      </c>
      <c r="O207" s="77"/>
      <c r="P207" s="76" t="s">
        <v>202</v>
      </c>
      <c r="Q207" s="183" t="s">
        <v>203</v>
      </c>
      <c r="R207" s="110" t="s">
        <v>230</v>
      </c>
      <c r="S207" s="77">
        <v>2019</v>
      </c>
      <c r="T207" s="179">
        <v>1</v>
      </c>
      <c r="U207" s="180">
        <f t="shared" si="19"/>
        <v>18810.5</v>
      </c>
      <c r="V207" s="180">
        <f>Table4[[#This Row],[Expected Revenue]]*Table4[[#This Row],[Probability]]</f>
        <v>18810.5</v>
      </c>
      <c r="W207" s="180">
        <f t="shared" si="18"/>
        <v>20800</v>
      </c>
      <c r="X207" s="179">
        <v>0.3</v>
      </c>
      <c r="Y207" s="180">
        <f>Table4[[#This Row],[Expected Revenue]]*Table4[[#This Row],[Expected CMR]]</f>
        <v>5643.15</v>
      </c>
      <c r="Z207" s="203" t="s">
        <v>105</v>
      </c>
      <c r="AA207" s="77"/>
      <c r="AB207" s="77"/>
      <c r="AC207" s="180"/>
      <c r="AD207" s="220"/>
      <c r="AE207" s="220"/>
      <c r="AF207" s="220"/>
      <c r="AG207" s="220"/>
      <c r="AH207" s="220"/>
      <c r="AI207" s="188"/>
      <c r="AJ207" s="220"/>
      <c r="AK207" s="979"/>
      <c r="AL207" s="180"/>
      <c r="AM207" s="77"/>
      <c r="AN207" s="77"/>
      <c r="AO207" s="110" t="str">
        <f t="shared" si="20"/>
        <v xml:space="preserve"> - </v>
      </c>
      <c r="AP207" s="110" t="str">
        <f t="shared" si="21"/>
        <v xml:space="preserve"> - </v>
      </c>
      <c r="AQ207" s="220"/>
      <c r="AR207" s="77" t="str">
        <f t="shared" ca="1" si="22"/>
        <v>-</v>
      </c>
      <c r="AS207" s="179"/>
      <c r="AT207" s="77"/>
      <c r="AU207" s="179"/>
      <c r="AV207" s="77"/>
      <c r="AW207" s="77"/>
    </row>
    <row r="208" spans="1:49" hidden="1">
      <c r="A208" s="173">
        <v>201914</v>
      </c>
      <c r="B208" s="75" t="s">
        <v>90</v>
      </c>
      <c r="C208" s="77" t="str">
        <f>CONCATENATE(Table4[[#This Row],[Project]],"-",Table4[[#This Row],[WO]])</f>
        <v>201914-04</v>
      </c>
      <c r="D208" s="76" t="s">
        <v>117</v>
      </c>
      <c r="E208" s="77" t="s">
        <v>57</v>
      </c>
      <c r="F208" s="77" t="s">
        <v>58</v>
      </c>
      <c r="G208" s="77" t="s">
        <v>59</v>
      </c>
      <c r="H208" s="77" t="s">
        <v>105</v>
      </c>
      <c r="I208" s="102" t="s">
        <v>96</v>
      </c>
      <c r="J208" s="77" t="s">
        <v>92</v>
      </c>
      <c r="K208" s="77" t="s">
        <v>63</v>
      </c>
      <c r="L208" s="77" t="s">
        <v>193</v>
      </c>
      <c r="M208" s="77" t="s">
        <v>65</v>
      </c>
      <c r="N208" s="77" t="s">
        <v>77</v>
      </c>
      <c r="O208" s="77"/>
      <c r="P208" s="76" t="s">
        <v>197</v>
      </c>
      <c r="Q208" s="183" t="s">
        <v>198</v>
      </c>
      <c r="R208" s="110" t="s">
        <v>222</v>
      </c>
      <c r="S208" s="77">
        <v>2019</v>
      </c>
      <c r="T208" s="179">
        <v>1</v>
      </c>
      <c r="U208" s="180">
        <f t="shared" si="19"/>
        <v>18810.5</v>
      </c>
      <c r="V208" s="180">
        <f>Table4[[#This Row],[Expected Revenue]]*Table4[[#This Row],[Probability]]</f>
        <v>18810.5</v>
      </c>
      <c r="W208" s="180">
        <f t="shared" si="18"/>
        <v>20800</v>
      </c>
      <c r="X208" s="179">
        <v>0.3</v>
      </c>
      <c r="Y208" s="180">
        <f>Table4[[#This Row],[Expected Revenue]]*Table4[[#This Row],[Expected CMR]]</f>
        <v>5643.15</v>
      </c>
      <c r="Z208" s="203" t="s">
        <v>105</v>
      </c>
      <c r="AA208" s="77"/>
      <c r="AB208" s="77"/>
      <c r="AC208" s="180"/>
      <c r="AD208" s="220"/>
      <c r="AE208" s="220"/>
      <c r="AF208" s="220"/>
      <c r="AG208" s="220"/>
      <c r="AH208" s="220"/>
      <c r="AI208" s="188"/>
      <c r="AJ208" s="220"/>
      <c r="AK208" s="182"/>
      <c r="AL208" s="180"/>
      <c r="AM208" s="77"/>
      <c r="AN208" s="77"/>
      <c r="AO208" s="110" t="str">
        <f t="shared" si="20"/>
        <v xml:space="preserve"> - </v>
      </c>
      <c r="AP208" s="110" t="str">
        <f t="shared" si="21"/>
        <v xml:space="preserve"> - </v>
      </c>
      <c r="AQ208" s="220"/>
      <c r="AR208" s="77" t="str">
        <f t="shared" ca="1" si="22"/>
        <v>-</v>
      </c>
      <c r="AS208" s="179"/>
      <c r="AT208" s="77"/>
      <c r="AU208" s="179"/>
      <c r="AV208" s="77"/>
      <c r="AW208" s="77"/>
    </row>
    <row r="209" spans="1:49" hidden="1">
      <c r="A209" s="173">
        <v>201909</v>
      </c>
      <c r="B209" s="75" t="s">
        <v>90</v>
      </c>
      <c r="C209" s="77" t="str">
        <f>CONCATENATE(Table4[[#This Row],[Project]],"-",Table4[[#This Row],[WO]])</f>
        <v>201909-04</v>
      </c>
      <c r="D209" s="76" t="s">
        <v>122</v>
      </c>
      <c r="E209" s="77" t="s">
        <v>57</v>
      </c>
      <c r="F209" s="77" t="s">
        <v>58</v>
      </c>
      <c r="G209" s="77" t="s">
        <v>59</v>
      </c>
      <c r="H209" s="77" t="s">
        <v>60</v>
      </c>
      <c r="I209" s="102" t="s">
        <v>96</v>
      </c>
      <c r="J209" s="77" t="s">
        <v>92</v>
      </c>
      <c r="K209" s="77" t="s">
        <v>63</v>
      </c>
      <c r="L209" s="77" t="s">
        <v>193</v>
      </c>
      <c r="M209" s="77" t="s">
        <v>65</v>
      </c>
      <c r="N209" s="77" t="s">
        <v>77</v>
      </c>
      <c r="O209" s="77"/>
      <c r="P209" s="76" t="s">
        <v>220</v>
      </c>
      <c r="Q209" s="183" t="s">
        <v>221</v>
      </c>
      <c r="R209" s="110" t="s">
        <v>222</v>
      </c>
      <c r="S209" s="77">
        <v>2019</v>
      </c>
      <c r="T209" s="179">
        <v>1</v>
      </c>
      <c r="U209" s="180">
        <f t="shared" si="19"/>
        <v>18810.5</v>
      </c>
      <c r="V209" s="180">
        <f>Table4[[#This Row],[Expected Revenue]]*Table4[[#This Row],[Probability]]</f>
        <v>18810.5</v>
      </c>
      <c r="W209" s="180">
        <f t="shared" si="18"/>
        <v>20800</v>
      </c>
      <c r="X209" s="179">
        <v>0.3</v>
      </c>
      <c r="Y209" s="180">
        <f>Table4[[#This Row],[Expected Revenue]]*Table4[[#This Row],[Expected CMR]]</f>
        <v>5643.15</v>
      </c>
      <c r="Z209" s="203" t="s">
        <v>60</v>
      </c>
      <c r="AA209" s="77"/>
      <c r="AB209" s="77"/>
      <c r="AC209" s="180"/>
      <c r="AD209" s="220"/>
      <c r="AE209" s="220"/>
      <c r="AF209" s="220"/>
      <c r="AG209" s="220"/>
      <c r="AH209" s="220"/>
      <c r="AI209" s="188"/>
      <c r="AJ209" s="220"/>
      <c r="AK209" s="979"/>
      <c r="AL209" s="180"/>
      <c r="AM209" s="77"/>
      <c r="AN209" s="77"/>
      <c r="AO209" s="110" t="str">
        <f t="shared" si="20"/>
        <v xml:space="preserve"> - </v>
      </c>
      <c r="AP209" s="110" t="str">
        <f t="shared" si="21"/>
        <v xml:space="preserve"> - </v>
      </c>
      <c r="AQ209" s="220"/>
      <c r="AR209" s="77" t="str">
        <f t="shared" ca="1" si="22"/>
        <v>-</v>
      </c>
      <c r="AS209" s="179"/>
      <c r="AT209" s="77"/>
      <c r="AU209" s="179"/>
      <c r="AV209" s="77"/>
      <c r="AW209" s="77"/>
    </row>
    <row r="210" spans="1:49" hidden="1">
      <c r="A210" s="173">
        <v>201910</v>
      </c>
      <c r="B210" s="75" t="s">
        <v>90</v>
      </c>
      <c r="C210" s="77" t="str">
        <f>CONCATENATE(Table4[[#This Row],[Project]],"-",Table4[[#This Row],[WO]])</f>
        <v>201910-04</v>
      </c>
      <c r="D210" s="76" t="s">
        <v>130</v>
      </c>
      <c r="E210" s="77" t="s">
        <v>57</v>
      </c>
      <c r="F210" s="77" t="s">
        <v>58</v>
      </c>
      <c r="G210" s="77" t="s">
        <v>59</v>
      </c>
      <c r="H210" s="77" t="s">
        <v>105</v>
      </c>
      <c r="I210" s="102" t="s">
        <v>96</v>
      </c>
      <c r="J210" s="77" t="s">
        <v>92</v>
      </c>
      <c r="K210" s="77" t="s">
        <v>63</v>
      </c>
      <c r="L210" s="77" t="s">
        <v>193</v>
      </c>
      <c r="M210" s="77" t="s">
        <v>65</v>
      </c>
      <c r="N210" s="77" t="s">
        <v>77</v>
      </c>
      <c r="O210" s="77"/>
      <c r="P210" s="76" t="s">
        <v>223</v>
      </c>
      <c r="Q210" s="183" t="s">
        <v>224</v>
      </c>
      <c r="R210" s="110" t="s">
        <v>222</v>
      </c>
      <c r="S210" s="77">
        <v>2019</v>
      </c>
      <c r="T210" s="179">
        <v>1</v>
      </c>
      <c r="U210" s="180">
        <f t="shared" si="19"/>
        <v>18810.5</v>
      </c>
      <c r="V210" s="180">
        <f>Table4[[#This Row],[Expected Revenue]]*Table4[[#This Row],[Probability]]</f>
        <v>18810.5</v>
      </c>
      <c r="W210" s="180">
        <f t="shared" si="18"/>
        <v>20800</v>
      </c>
      <c r="X210" s="179">
        <v>0.3</v>
      </c>
      <c r="Y210" s="180">
        <f>Table4[[#This Row],[Expected Revenue]]*Table4[[#This Row],[Expected CMR]]</f>
        <v>5643.15</v>
      </c>
      <c r="Z210" s="203" t="s">
        <v>105</v>
      </c>
      <c r="AA210" s="77"/>
      <c r="AB210" s="77"/>
      <c r="AC210" s="180"/>
      <c r="AD210" s="220"/>
      <c r="AE210" s="220"/>
      <c r="AF210" s="220"/>
      <c r="AG210" s="220"/>
      <c r="AH210" s="220"/>
      <c r="AI210" s="188"/>
      <c r="AJ210" s="220"/>
      <c r="AK210" s="979"/>
      <c r="AL210" s="180"/>
      <c r="AM210" s="77"/>
      <c r="AN210" s="77"/>
      <c r="AO210" s="110" t="str">
        <f t="shared" si="20"/>
        <v xml:space="preserve"> - </v>
      </c>
      <c r="AP210" s="110" t="str">
        <f t="shared" si="21"/>
        <v xml:space="preserve"> - </v>
      </c>
      <c r="AQ210" s="220"/>
      <c r="AR210" s="77" t="str">
        <f t="shared" ca="1" si="22"/>
        <v>-</v>
      </c>
      <c r="AS210" s="179"/>
      <c r="AT210" s="77"/>
      <c r="AU210" s="179"/>
      <c r="AV210" s="77"/>
      <c r="AW210" s="77"/>
    </row>
    <row r="211" spans="1:49" hidden="1">
      <c r="A211" s="173">
        <v>201911</v>
      </c>
      <c r="B211" s="75" t="s">
        <v>90</v>
      </c>
      <c r="C211" s="77" t="str">
        <f>CONCATENATE(Table4[[#This Row],[Project]],"-",Table4[[#This Row],[WO]])</f>
        <v>201911-04</v>
      </c>
      <c r="D211" s="76" t="s">
        <v>137</v>
      </c>
      <c r="E211" s="77" t="s">
        <v>57</v>
      </c>
      <c r="F211" s="77" t="s">
        <v>58</v>
      </c>
      <c r="G211" s="77" t="s">
        <v>59</v>
      </c>
      <c r="H211" s="77" t="s">
        <v>60</v>
      </c>
      <c r="I211" s="102" t="s">
        <v>96</v>
      </c>
      <c r="J211" s="77" t="s">
        <v>92</v>
      </c>
      <c r="K211" s="77" t="s">
        <v>63</v>
      </c>
      <c r="L211" s="77" t="s">
        <v>193</v>
      </c>
      <c r="M211" s="77" t="s">
        <v>65</v>
      </c>
      <c r="N211" s="77" t="s">
        <v>77</v>
      </c>
      <c r="O211" s="77"/>
      <c r="P211" s="76" t="s">
        <v>215</v>
      </c>
      <c r="Q211" s="183" t="s">
        <v>216</v>
      </c>
      <c r="R211" s="110" t="s">
        <v>222</v>
      </c>
      <c r="S211" s="77">
        <v>2019</v>
      </c>
      <c r="T211" s="179">
        <v>1</v>
      </c>
      <c r="U211" s="180">
        <f t="shared" si="19"/>
        <v>18810.5</v>
      </c>
      <c r="V211" s="180">
        <f>Table4[[#This Row],[Expected Revenue]]*Table4[[#This Row],[Probability]]</f>
        <v>18810.5</v>
      </c>
      <c r="W211" s="180">
        <f t="shared" si="18"/>
        <v>20800</v>
      </c>
      <c r="X211" s="179">
        <v>0.3</v>
      </c>
      <c r="Y211" s="180">
        <f>Table4[[#This Row],[Expected Revenue]]*Table4[[#This Row],[Expected CMR]]</f>
        <v>5643.15</v>
      </c>
      <c r="Z211" s="203" t="s">
        <v>60</v>
      </c>
      <c r="AA211" s="77"/>
      <c r="AB211" s="77"/>
      <c r="AC211" s="180"/>
      <c r="AD211" s="220"/>
      <c r="AE211" s="220"/>
      <c r="AF211" s="220"/>
      <c r="AG211" s="220"/>
      <c r="AH211" s="220"/>
      <c r="AI211" s="188"/>
      <c r="AJ211" s="220"/>
      <c r="AK211" s="979"/>
      <c r="AL211" s="180"/>
      <c r="AM211" s="77"/>
      <c r="AN211" s="77"/>
      <c r="AO211" s="110" t="str">
        <f t="shared" si="20"/>
        <v xml:space="preserve"> - </v>
      </c>
      <c r="AP211" s="110" t="str">
        <f t="shared" si="21"/>
        <v xml:space="preserve"> - </v>
      </c>
      <c r="AQ211" s="220"/>
      <c r="AR211" s="77" t="str">
        <f t="shared" ca="1" si="22"/>
        <v>-</v>
      </c>
      <c r="AS211" s="179"/>
      <c r="AT211" s="77"/>
      <c r="AU211" s="179"/>
      <c r="AV211" s="77"/>
      <c r="AW211" s="77"/>
    </row>
    <row r="212" spans="1:49" hidden="1">
      <c r="A212" s="173">
        <v>201912</v>
      </c>
      <c r="B212" s="75" t="s">
        <v>90</v>
      </c>
      <c r="C212" s="77" t="str">
        <f>CONCATENATE(Table4[[#This Row],[Project]],"-",Table4[[#This Row],[WO]])</f>
        <v>201912-04</v>
      </c>
      <c r="D212" s="76" t="s">
        <v>146</v>
      </c>
      <c r="E212" s="77" t="s">
        <v>57</v>
      </c>
      <c r="F212" s="77" t="s">
        <v>58</v>
      </c>
      <c r="G212" s="77" t="s">
        <v>59</v>
      </c>
      <c r="H212" s="77" t="s">
        <v>60</v>
      </c>
      <c r="I212" s="102" t="s">
        <v>96</v>
      </c>
      <c r="J212" s="77" t="s">
        <v>92</v>
      </c>
      <c r="K212" s="77" t="s">
        <v>63</v>
      </c>
      <c r="L212" s="77" t="s">
        <v>193</v>
      </c>
      <c r="M212" s="77" t="s">
        <v>65</v>
      </c>
      <c r="N212" s="77" t="s">
        <v>77</v>
      </c>
      <c r="O212" s="77"/>
      <c r="P212" s="76" t="s">
        <v>194</v>
      </c>
      <c r="Q212" s="183" t="s">
        <v>195</v>
      </c>
      <c r="R212" s="110" t="s">
        <v>222</v>
      </c>
      <c r="S212" s="77">
        <v>2019</v>
      </c>
      <c r="T212" s="179">
        <v>1</v>
      </c>
      <c r="U212" s="180">
        <f t="shared" si="19"/>
        <v>18810.5</v>
      </c>
      <c r="V212" s="180">
        <f>Table4[[#This Row],[Expected Revenue]]*Table4[[#This Row],[Probability]]</f>
        <v>18810.5</v>
      </c>
      <c r="W212" s="180">
        <f t="shared" si="18"/>
        <v>20800</v>
      </c>
      <c r="X212" s="179">
        <v>0.3</v>
      </c>
      <c r="Y212" s="180">
        <f>Table4[[#This Row],[Expected Revenue]]*Table4[[#This Row],[Expected CMR]]</f>
        <v>5643.15</v>
      </c>
      <c r="Z212" s="203" t="s">
        <v>60</v>
      </c>
      <c r="AA212" s="77"/>
      <c r="AB212" s="77"/>
      <c r="AC212" s="180"/>
      <c r="AD212" s="220"/>
      <c r="AE212" s="220"/>
      <c r="AF212" s="220"/>
      <c r="AG212" s="220"/>
      <c r="AH212" s="220"/>
      <c r="AI212" s="188"/>
      <c r="AJ212" s="220"/>
      <c r="AK212" s="979"/>
      <c r="AL212" s="180"/>
      <c r="AM212" s="77"/>
      <c r="AN212" s="77"/>
      <c r="AO212" s="110" t="str">
        <f t="shared" si="20"/>
        <v xml:space="preserve"> - </v>
      </c>
      <c r="AP212" s="110" t="str">
        <f t="shared" si="21"/>
        <v xml:space="preserve"> - </v>
      </c>
      <c r="AQ212" s="220"/>
      <c r="AR212" s="77" t="str">
        <f t="shared" ca="1" si="22"/>
        <v>-</v>
      </c>
      <c r="AS212" s="179"/>
      <c r="AT212" s="77"/>
      <c r="AU212" s="179"/>
      <c r="AV212" s="77"/>
      <c r="AW212" s="77"/>
    </row>
    <row r="213" spans="1:49" hidden="1">
      <c r="A213" s="173">
        <v>201905</v>
      </c>
      <c r="B213" s="75" t="s">
        <v>90</v>
      </c>
      <c r="C213" s="77" t="str">
        <f>CONCATENATE(Table4[[#This Row],[Project]],"-",Table4[[#This Row],[WO]])</f>
        <v>201905-04</v>
      </c>
      <c r="D213" s="76" t="s">
        <v>114</v>
      </c>
      <c r="E213" s="77" t="s">
        <v>57</v>
      </c>
      <c r="F213" s="77" t="s">
        <v>58</v>
      </c>
      <c r="G213" s="77" t="s">
        <v>59</v>
      </c>
      <c r="H213" s="77" t="s">
        <v>105</v>
      </c>
      <c r="I213" s="102" t="s">
        <v>96</v>
      </c>
      <c r="J213" s="77" t="s">
        <v>92</v>
      </c>
      <c r="K213" s="77" t="s">
        <v>63</v>
      </c>
      <c r="L213" s="77" t="s">
        <v>193</v>
      </c>
      <c r="M213" s="77" t="s">
        <v>65</v>
      </c>
      <c r="N213" s="77" t="s">
        <v>77</v>
      </c>
      <c r="O213" s="77"/>
      <c r="P213" s="76" t="s">
        <v>202</v>
      </c>
      <c r="Q213" s="183" t="s">
        <v>203</v>
      </c>
      <c r="R213" s="110" t="s">
        <v>222</v>
      </c>
      <c r="S213" s="77">
        <v>2019</v>
      </c>
      <c r="T213" s="179">
        <v>1</v>
      </c>
      <c r="U213" s="180">
        <f t="shared" si="19"/>
        <v>18810.5</v>
      </c>
      <c r="V213" s="180">
        <f>Table4[[#This Row],[Expected Revenue]]*Table4[[#This Row],[Probability]]</f>
        <v>18810.5</v>
      </c>
      <c r="W213" s="180">
        <f t="shared" si="18"/>
        <v>20800</v>
      </c>
      <c r="X213" s="179">
        <v>0.3</v>
      </c>
      <c r="Y213" s="180">
        <f>Table4[[#This Row],[Expected Revenue]]*Table4[[#This Row],[Expected CMR]]</f>
        <v>5643.15</v>
      </c>
      <c r="Z213" s="203" t="s">
        <v>105</v>
      </c>
      <c r="AA213" s="77"/>
      <c r="AB213" s="77"/>
      <c r="AC213" s="180"/>
      <c r="AD213" s="220"/>
      <c r="AE213" s="220"/>
      <c r="AF213" s="220"/>
      <c r="AG213" s="220"/>
      <c r="AH213" s="220"/>
      <c r="AI213" s="188"/>
      <c r="AJ213" s="220"/>
      <c r="AK213" s="979"/>
      <c r="AL213" s="180"/>
      <c r="AM213" s="77"/>
      <c r="AN213" s="77"/>
      <c r="AO213" s="110" t="str">
        <f t="shared" si="20"/>
        <v xml:space="preserve"> - </v>
      </c>
      <c r="AP213" s="110" t="str">
        <f t="shared" si="21"/>
        <v xml:space="preserve"> - </v>
      </c>
      <c r="AQ213" s="220"/>
      <c r="AR213" s="77" t="str">
        <f t="shared" ca="1" si="22"/>
        <v>-</v>
      </c>
      <c r="AS213" s="179"/>
      <c r="AT213" s="77"/>
      <c r="AU213" s="179"/>
      <c r="AV213" s="77"/>
      <c r="AW213" s="77"/>
    </row>
    <row r="214" spans="1:49" hidden="1">
      <c r="A214" s="173">
        <v>201903</v>
      </c>
      <c r="B214" s="75" t="s">
        <v>90</v>
      </c>
      <c r="C214" s="77" t="str">
        <f>CONCATENATE(Table4[[#This Row],[Project]],"-",Table4[[#This Row],[WO]])</f>
        <v>201903-04</v>
      </c>
      <c r="D214" s="76" t="s">
        <v>73</v>
      </c>
      <c r="E214" s="77" t="s">
        <v>57</v>
      </c>
      <c r="F214" s="77" t="s">
        <v>58</v>
      </c>
      <c r="G214" s="77" t="s">
        <v>59</v>
      </c>
      <c r="H214" s="77" t="s">
        <v>105</v>
      </c>
      <c r="I214" s="102" t="s">
        <v>96</v>
      </c>
      <c r="J214" s="77" t="s">
        <v>92</v>
      </c>
      <c r="K214" s="77" t="s">
        <v>63</v>
      </c>
      <c r="L214" s="77" t="s">
        <v>217</v>
      </c>
      <c r="M214" s="77" t="s">
        <v>65</v>
      </c>
      <c r="N214" s="77" t="s">
        <v>77</v>
      </c>
      <c r="O214" s="77"/>
      <c r="P214" s="76" t="s">
        <v>78</v>
      </c>
      <c r="Q214" s="183" t="s">
        <v>79</v>
      </c>
      <c r="R214" s="110" t="s">
        <v>89</v>
      </c>
      <c r="S214" s="77">
        <v>2019</v>
      </c>
      <c r="T214" s="179">
        <v>1</v>
      </c>
      <c r="U214" s="180">
        <f t="shared" si="19"/>
        <v>18810.5</v>
      </c>
      <c r="V214" s="180">
        <f>Table4[[#This Row],[Expected Revenue]]*Table4[[#This Row],[Probability]]</f>
        <v>18810.5</v>
      </c>
      <c r="W214" s="180">
        <f t="shared" si="18"/>
        <v>20800</v>
      </c>
      <c r="X214" s="179">
        <v>0.3</v>
      </c>
      <c r="Y214" s="180">
        <f>Table4[[#This Row],[Rev. Based on PROB]]*Table4[[#This Row],[Expected CMR]]</f>
        <v>5643.15</v>
      </c>
      <c r="Z214" s="203" t="s">
        <v>105</v>
      </c>
      <c r="AA214" s="77"/>
      <c r="AB214" s="77"/>
      <c r="AC214" s="180"/>
      <c r="AD214" s="220"/>
      <c r="AE214" s="220"/>
      <c r="AF214" s="220"/>
      <c r="AG214" s="220"/>
      <c r="AH214" s="220"/>
      <c r="AI214" s="188"/>
      <c r="AJ214" s="220"/>
      <c r="AK214" s="979"/>
      <c r="AL214" s="180"/>
      <c r="AM214" s="77"/>
      <c r="AN214" s="77"/>
      <c r="AO214" s="110" t="str">
        <f>IF(Table4[[#This Row],[Finish (demob)]]&lt;&gt;"",Table4[[#This Row],[Finish (demob)]]+10,"")</f>
        <v/>
      </c>
      <c r="AP214" s="110" t="str">
        <f>IF(Table4[[#This Row],[Finish (demob)]]&lt;&gt;"",Table4[[#This Row],[Finish (demob)]]+10,"")</f>
        <v/>
      </c>
      <c r="AQ214" s="220"/>
      <c r="AR214" s="77" t="str">
        <f>IF(Table4[[#This Row],[Date Report is delivered:]]&lt;&gt;"", "Delivered", "")</f>
        <v/>
      </c>
      <c r="AS214" s="179"/>
      <c r="AT214" s="77"/>
      <c r="AU214" s="179"/>
      <c r="AV214" s="77"/>
      <c r="AW214" s="77"/>
    </row>
    <row r="215" spans="1:49" hidden="1">
      <c r="A215" s="173">
        <v>201902</v>
      </c>
      <c r="B215" s="75" t="s">
        <v>90</v>
      </c>
      <c r="C215" s="77" t="str">
        <f>CONCATENATE(Table4[[#This Row],[Project]],"-",Table4[[#This Row],[WO]])</f>
        <v>201902-04</v>
      </c>
      <c r="D215" s="76" t="s">
        <v>104</v>
      </c>
      <c r="E215" s="77" t="s">
        <v>57</v>
      </c>
      <c r="F215" s="77" t="s">
        <v>58</v>
      </c>
      <c r="G215" s="77" t="s">
        <v>59</v>
      </c>
      <c r="H215" s="77" t="s">
        <v>105</v>
      </c>
      <c r="I215" s="102" t="s">
        <v>96</v>
      </c>
      <c r="J215" s="77" t="s">
        <v>92</v>
      </c>
      <c r="K215" s="77" t="s">
        <v>63</v>
      </c>
      <c r="L215" s="77" t="s">
        <v>193</v>
      </c>
      <c r="M215" s="77" t="s">
        <v>65</v>
      </c>
      <c r="N215" s="77" t="s">
        <v>77</v>
      </c>
      <c r="O215" s="77"/>
      <c r="P215" s="76" t="s">
        <v>211</v>
      </c>
      <c r="Q215" s="183" t="s">
        <v>212</v>
      </c>
      <c r="R215" s="110" t="s">
        <v>89</v>
      </c>
      <c r="S215" s="77">
        <v>2019</v>
      </c>
      <c r="T215" s="179">
        <v>1</v>
      </c>
      <c r="U215" s="180">
        <f t="shared" si="19"/>
        <v>18810.5</v>
      </c>
      <c r="V215" s="180">
        <f>Table4[[#This Row],[Expected Revenue]]*Table4[[#This Row],[Probability]]</f>
        <v>18810.5</v>
      </c>
      <c r="W215" s="180">
        <f t="shared" si="18"/>
        <v>20800</v>
      </c>
      <c r="X215" s="179">
        <v>0.3</v>
      </c>
      <c r="Y215" s="180">
        <f>Table4[[#This Row],[Expected Revenue]]*Table4[[#This Row],[Expected CMR]]</f>
        <v>5643.15</v>
      </c>
      <c r="Z215" s="203" t="s">
        <v>105</v>
      </c>
      <c r="AA215" s="77"/>
      <c r="AB215" s="77"/>
      <c r="AC215" s="180"/>
      <c r="AD215" s="220"/>
      <c r="AE215" s="220"/>
      <c r="AF215" s="220"/>
      <c r="AG215" s="220"/>
      <c r="AH215" s="220"/>
      <c r="AI215" s="188"/>
      <c r="AJ215" s="220"/>
      <c r="AK215" s="979"/>
      <c r="AL215" s="180"/>
      <c r="AM215" s="77"/>
      <c r="AN215" s="77"/>
      <c r="AO215" s="110" t="str">
        <f>IF(AE215&gt;0,AE215+3," - ")</f>
        <v xml:space="preserve"> - </v>
      </c>
      <c r="AP215" s="110" t="str">
        <f>IF(AE215&gt;0,AE215+14," - ")</f>
        <v xml:space="preserve"> - </v>
      </c>
      <c r="AQ215" s="220"/>
      <c r="AR215" s="77" t="str">
        <f ca="1">IF(AD215=0,"-",IF(AQ215&gt;0,"Delivered",IF(TODAY()&gt;AP215,"Overdue",IF(TODAY()&lt;AP215,"In Progress"))))</f>
        <v>-</v>
      </c>
      <c r="AS215" s="179"/>
      <c r="AT215" s="77"/>
      <c r="AU215" s="179"/>
      <c r="AV215" s="77"/>
      <c r="AW215" s="77"/>
    </row>
    <row r="216" spans="1:49" hidden="1">
      <c r="A216" s="173">
        <v>201903</v>
      </c>
      <c r="B216" s="75" t="s">
        <v>90</v>
      </c>
      <c r="C216" s="77" t="str">
        <f>CONCATENATE(Table4[[#This Row],[Project]],"-",Table4[[#This Row],[WO]])</f>
        <v>201903-04</v>
      </c>
      <c r="D216" s="76" t="s">
        <v>73</v>
      </c>
      <c r="E216" s="77" t="s">
        <v>57</v>
      </c>
      <c r="F216" s="77" t="s">
        <v>58</v>
      </c>
      <c r="G216" s="77" t="s">
        <v>59</v>
      </c>
      <c r="H216" s="77" t="s">
        <v>105</v>
      </c>
      <c r="I216" s="102" t="s">
        <v>97</v>
      </c>
      <c r="J216" s="77" t="s">
        <v>92</v>
      </c>
      <c r="K216" s="77" t="s">
        <v>63</v>
      </c>
      <c r="L216" s="77" t="s">
        <v>217</v>
      </c>
      <c r="M216" s="77" t="s">
        <v>65</v>
      </c>
      <c r="N216" s="77" t="s">
        <v>77</v>
      </c>
      <c r="O216" s="77"/>
      <c r="P216" s="76" t="s">
        <v>78</v>
      </c>
      <c r="Q216" s="183" t="s">
        <v>79</v>
      </c>
      <c r="R216" s="110" t="s">
        <v>84</v>
      </c>
      <c r="S216" s="77">
        <v>2019</v>
      </c>
      <c r="T216" s="179">
        <v>1</v>
      </c>
      <c r="U216" s="180">
        <f t="shared" si="19"/>
        <v>18810.5</v>
      </c>
      <c r="V216" s="180">
        <f>Table4[[#This Row],[Expected Revenue]]*Table4[[#This Row],[Probability]]</f>
        <v>18810.5</v>
      </c>
      <c r="W216" s="180">
        <f t="shared" si="18"/>
        <v>20800</v>
      </c>
      <c r="X216" s="179">
        <v>0.3</v>
      </c>
      <c r="Y216" s="180">
        <f>Table4[[#This Row],[Rev. Based on PROB]]*Table4[[#This Row],[Expected CMR]]</f>
        <v>5643.15</v>
      </c>
      <c r="Z216" s="203" t="s">
        <v>105</v>
      </c>
      <c r="AA216" s="77"/>
      <c r="AB216" s="77"/>
      <c r="AC216" s="180"/>
      <c r="AD216" s="220"/>
      <c r="AE216" s="220"/>
      <c r="AF216" s="220"/>
      <c r="AG216" s="220"/>
      <c r="AH216" s="220"/>
      <c r="AI216" s="188"/>
      <c r="AJ216" s="220"/>
      <c r="AK216" s="182"/>
      <c r="AL216" s="180"/>
      <c r="AM216" s="77"/>
      <c r="AN216" s="77"/>
      <c r="AO216" s="110" t="str">
        <f>IF(Table4[[#This Row],[Finish (demob)]]&lt;&gt;"",Table4[[#This Row],[Finish (demob)]]+10,"")</f>
        <v/>
      </c>
      <c r="AP216" s="110" t="str">
        <f>IF(Table4[[#This Row],[Finish (demob)]]&lt;&gt;"",Table4[[#This Row],[Finish (demob)]]+10,"")</f>
        <v/>
      </c>
      <c r="AQ216" s="220"/>
      <c r="AR216" s="77" t="str">
        <f>IF(Table4[[#This Row],[Date Report is delivered:]]&lt;&gt;"", "Delivered", "")</f>
        <v/>
      </c>
      <c r="AS216" s="179"/>
      <c r="AT216" s="77"/>
      <c r="AU216" s="179"/>
      <c r="AV216" s="77"/>
      <c r="AW216" s="77"/>
    </row>
    <row r="217" spans="1:49" hidden="1">
      <c r="A217" s="173">
        <v>201911</v>
      </c>
      <c r="B217" s="75" t="s">
        <v>90</v>
      </c>
      <c r="C217" s="77" t="str">
        <f>CONCATENATE(Table4[[#This Row],[Project]],"-",Table4[[#This Row],[WO]])</f>
        <v>201911-04</v>
      </c>
      <c r="D217" s="76" t="s">
        <v>137</v>
      </c>
      <c r="E217" s="77" t="s">
        <v>57</v>
      </c>
      <c r="F217" s="77" t="s">
        <v>58</v>
      </c>
      <c r="G217" s="77" t="s">
        <v>59</v>
      </c>
      <c r="H217" s="77" t="s">
        <v>60</v>
      </c>
      <c r="I217" s="102" t="s">
        <v>97</v>
      </c>
      <c r="J217" s="77" t="s">
        <v>92</v>
      </c>
      <c r="K217" s="77" t="s">
        <v>63</v>
      </c>
      <c r="L217" s="77" t="s">
        <v>193</v>
      </c>
      <c r="M217" s="77" t="s">
        <v>65</v>
      </c>
      <c r="N217" s="77" t="s">
        <v>77</v>
      </c>
      <c r="O217" s="77"/>
      <c r="P217" s="76" t="s">
        <v>215</v>
      </c>
      <c r="Q217" s="183" t="s">
        <v>216</v>
      </c>
      <c r="R217" s="110" t="s">
        <v>84</v>
      </c>
      <c r="S217" s="77">
        <v>2019</v>
      </c>
      <c r="T217" s="179">
        <v>1</v>
      </c>
      <c r="U217" s="180">
        <f t="shared" si="19"/>
        <v>18810.5</v>
      </c>
      <c r="V217" s="180">
        <f>Table4[[#This Row],[Expected Revenue]]*Table4[[#This Row],[Probability]]</f>
        <v>18810.5</v>
      </c>
      <c r="W217" s="180">
        <f t="shared" si="18"/>
        <v>20800</v>
      </c>
      <c r="X217" s="179">
        <v>0.3</v>
      </c>
      <c r="Y217" s="180">
        <f>Table4[[#This Row],[Expected Revenue]]*Table4[[#This Row],[Expected CMR]]</f>
        <v>5643.15</v>
      </c>
      <c r="Z217" s="203" t="s">
        <v>60</v>
      </c>
      <c r="AA217" s="77"/>
      <c r="AB217" s="77"/>
      <c r="AC217" s="180"/>
      <c r="AD217" s="220"/>
      <c r="AE217" s="220"/>
      <c r="AF217" s="220"/>
      <c r="AG217" s="220"/>
      <c r="AH217" s="220"/>
      <c r="AI217" s="188"/>
      <c r="AJ217" s="220"/>
      <c r="AK217" s="979"/>
      <c r="AL217" s="180"/>
      <c r="AM217" s="77"/>
      <c r="AN217" s="77"/>
      <c r="AO217" s="110" t="str">
        <f t="shared" ref="AO217:AO231" si="23">IF(AE217&gt;0,AE217+3," - ")</f>
        <v xml:space="preserve"> - </v>
      </c>
      <c r="AP217" s="110" t="str">
        <f t="shared" ref="AP217:AP231" si="24">IF(AE217&gt;0,AE217+14," - ")</f>
        <v xml:space="preserve"> - </v>
      </c>
      <c r="AQ217" s="220"/>
      <c r="AR217" s="77" t="str">
        <f t="shared" ref="AR217:AR231" ca="1" si="25">IF(AD217=0,"-",IF(AQ217&gt;0,"Delivered",IF(TODAY()&gt;AP217,"Overdue",IF(TODAY()&lt;AP217,"In Progress"))))</f>
        <v>-</v>
      </c>
      <c r="AS217" s="179"/>
      <c r="AT217" s="77"/>
      <c r="AU217" s="179"/>
      <c r="AV217" s="77"/>
      <c r="AW217" s="77"/>
    </row>
    <row r="218" spans="1:49" hidden="1">
      <c r="A218" s="173">
        <v>201912</v>
      </c>
      <c r="B218" s="75" t="s">
        <v>90</v>
      </c>
      <c r="C218" s="77" t="str">
        <f>CONCATENATE(Table4[[#This Row],[Project]],"-",Table4[[#This Row],[WO]])</f>
        <v>201912-04</v>
      </c>
      <c r="D218" s="76" t="s">
        <v>146</v>
      </c>
      <c r="E218" s="77" t="s">
        <v>57</v>
      </c>
      <c r="F218" s="77" t="s">
        <v>58</v>
      </c>
      <c r="G218" s="77" t="s">
        <v>59</v>
      </c>
      <c r="H218" s="77" t="s">
        <v>60</v>
      </c>
      <c r="I218" s="102" t="s">
        <v>97</v>
      </c>
      <c r="J218" s="77" t="s">
        <v>92</v>
      </c>
      <c r="K218" s="77" t="s">
        <v>63</v>
      </c>
      <c r="L218" s="77" t="s">
        <v>193</v>
      </c>
      <c r="M218" s="77" t="s">
        <v>65</v>
      </c>
      <c r="N218" s="77" t="s">
        <v>77</v>
      </c>
      <c r="O218" s="77"/>
      <c r="P218" s="76" t="s">
        <v>194</v>
      </c>
      <c r="Q218" s="183" t="s">
        <v>195</v>
      </c>
      <c r="R218" s="110" t="s">
        <v>84</v>
      </c>
      <c r="S218" s="77">
        <v>2019</v>
      </c>
      <c r="T218" s="179">
        <v>1</v>
      </c>
      <c r="U218" s="180">
        <f t="shared" si="19"/>
        <v>18810.5</v>
      </c>
      <c r="V218" s="180">
        <f>Table4[[#This Row],[Expected Revenue]]*Table4[[#This Row],[Probability]]</f>
        <v>18810.5</v>
      </c>
      <c r="W218" s="180">
        <f t="shared" si="18"/>
        <v>20800</v>
      </c>
      <c r="X218" s="179">
        <v>0.3</v>
      </c>
      <c r="Y218" s="180">
        <f>Table4[[#This Row],[Expected Revenue]]*Table4[[#This Row],[Expected CMR]]</f>
        <v>5643.15</v>
      </c>
      <c r="Z218" s="203" t="s">
        <v>60</v>
      </c>
      <c r="AA218" s="77"/>
      <c r="AB218" s="77"/>
      <c r="AC218" s="180"/>
      <c r="AD218" s="220"/>
      <c r="AE218" s="220"/>
      <c r="AF218" s="220"/>
      <c r="AG218" s="220"/>
      <c r="AH218" s="220"/>
      <c r="AI218" s="188"/>
      <c r="AJ218" s="220"/>
      <c r="AK218" s="182"/>
      <c r="AL218" s="180"/>
      <c r="AM218" s="77"/>
      <c r="AN218" s="77"/>
      <c r="AO218" s="110" t="str">
        <f t="shared" si="23"/>
        <v xml:space="preserve"> - </v>
      </c>
      <c r="AP218" s="110" t="str">
        <f t="shared" si="24"/>
        <v xml:space="preserve"> - </v>
      </c>
      <c r="AQ218" s="220"/>
      <c r="AR218" s="77" t="str">
        <f t="shared" ca="1" si="25"/>
        <v>-</v>
      </c>
      <c r="AS218" s="179"/>
      <c r="AT218" s="77"/>
      <c r="AU218" s="179"/>
      <c r="AV218" s="77"/>
      <c r="AW218" s="77"/>
    </row>
    <row r="219" spans="1:49" hidden="1">
      <c r="A219" s="173">
        <v>201902</v>
      </c>
      <c r="B219" s="75" t="s">
        <v>90</v>
      </c>
      <c r="C219" s="77" t="str">
        <f>CONCATENATE(Table4[[#This Row],[Project]],"-",Table4[[#This Row],[WO]])</f>
        <v>201902-04</v>
      </c>
      <c r="D219" s="76" t="s">
        <v>104</v>
      </c>
      <c r="E219" s="77" t="s">
        <v>57</v>
      </c>
      <c r="F219" s="77" t="s">
        <v>58</v>
      </c>
      <c r="G219" s="77" t="s">
        <v>59</v>
      </c>
      <c r="H219" s="77" t="s">
        <v>105</v>
      </c>
      <c r="I219" s="102" t="s">
        <v>97</v>
      </c>
      <c r="J219" s="77" t="s">
        <v>92</v>
      </c>
      <c r="K219" s="77" t="s">
        <v>63</v>
      </c>
      <c r="L219" s="77" t="s">
        <v>193</v>
      </c>
      <c r="M219" s="77" t="s">
        <v>65</v>
      </c>
      <c r="N219" s="77" t="s">
        <v>77</v>
      </c>
      <c r="O219" s="77"/>
      <c r="P219" s="76" t="s">
        <v>211</v>
      </c>
      <c r="Q219" s="183" t="s">
        <v>212</v>
      </c>
      <c r="R219" s="110" t="s">
        <v>229</v>
      </c>
      <c r="S219" s="77">
        <v>2019</v>
      </c>
      <c r="T219" s="179">
        <v>1</v>
      </c>
      <c r="U219" s="180">
        <f t="shared" si="19"/>
        <v>18810.5</v>
      </c>
      <c r="V219" s="180">
        <f>Table4[[#This Row],[Expected Revenue]]*Table4[[#This Row],[Probability]]</f>
        <v>18810.5</v>
      </c>
      <c r="W219" s="180">
        <f t="shared" si="18"/>
        <v>20800</v>
      </c>
      <c r="X219" s="179">
        <v>0.3</v>
      </c>
      <c r="Y219" s="180">
        <f>Table4[[#This Row],[Expected Revenue]]*Table4[[#This Row],[Expected CMR]]</f>
        <v>5643.15</v>
      </c>
      <c r="Z219" s="203" t="s">
        <v>105</v>
      </c>
      <c r="AA219" s="77"/>
      <c r="AB219" s="77"/>
      <c r="AC219" s="180"/>
      <c r="AD219" s="220"/>
      <c r="AE219" s="220"/>
      <c r="AF219" s="220"/>
      <c r="AG219" s="220"/>
      <c r="AH219" s="220"/>
      <c r="AI219" s="188"/>
      <c r="AJ219" s="220"/>
      <c r="AK219" s="182"/>
      <c r="AL219" s="180"/>
      <c r="AM219" s="77"/>
      <c r="AN219" s="77"/>
      <c r="AO219" s="110" t="str">
        <f t="shared" si="23"/>
        <v xml:space="preserve"> - </v>
      </c>
      <c r="AP219" s="110" t="str">
        <f t="shared" si="24"/>
        <v xml:space="preserve"> - </v>
      </c>
      <c r="AQ219" s="220"/>
      <c r="AR219" s="77" t="str">
        <f t="shared" ca="1" si="25"/>
        <v>-</v>
      </c>
      <c r="AS219" s="179"/>
      <c r="AT219" s="77"/>
      <c r="AU219" s="179"/>
      <c r="AV219" s="77"/>
      <c r="AW219" s="77"/>
    </row>
    <row r="220" spans="1:49" hidden="1">
      <c r="A220" s="173">
        <v>201914</v>
      </c>
      <c r="B220" s="75" t="s">
        <v>90</v>
      </c>
      <c r="C220" s="77" t="str">
        <f>CONCATENATE(Table4[[#This Row],[Project]],"-",Table4[[#This Row],[WO]])</f>
        <v>201914-04</v>
      </c>
      <c r="D220" s="76" t="s">
        <v>117</v>
      </c>
      <c r="E220" s="77" t="s">
        <v>57</v>
      </c>
      <c r="F220" s="77" t="s">
        <v>58</v>
      </c>
      <c r="G220" s="77" t="s">
        <v>59</v>
      </c>
      <c r="H220" s="77" t="s">
        <v>105</v>
      </c>
      <c r="I220" s="102" t="s">
        <v>97</v>
      </c>
      <c r="J220" s="77" t="s">
        <v>92</v>
      </c>
      <c r="K220" s="77" t="s">
        <v>63</v>
      </c>
      <c r="L220" s="77" t="s">
        <v>193</v>
      </c>
      <c r="M220" s="77" t="s">
        <v>65</v>
      </c>
      <c r="N220" s="77" t="s">
        <v>77</v>
      </c>
      <c r="O220" s="77"/>
      <c r="P220" s="76" t="s">
        <v>197</v>
      </c>
      <c r="Q220" s="183" t="s">
        <v>198</v>
      </c>
      <c r="R220" s="110" t="s">
        <v>229</v>
      </c>
      <c r="S220" s="77">
        <v>2019</v>
      </c>
      <c r="T220" s="179">
        <v>1</v>
      </c>
      <c r="U220" s="180">
        <f t="shared" si="19"/>
        <v>18810.5</v>
      </c>
      <c r="V220" s="180">
        <f>Table4[[#This Row],[Expected Revenue]]*Table4[[#This Row],[Probability]]</f>
        <v>18810.5</v>
      </c>
      <c r="W220" s="180">
        <f t="shared" si="18"/>
        <v>20800</v>
      </c>
      <c r="X220" s="179">
        <v>0.3</v>
      </c>
      <c r="Y220" s="180">
        <f>Table4[[#This Row],[Expected Revenue]]*Table4[[#This Row],[Expected CMR]]</f>
        <v>5643.15</v>
      </c>
      <c r="Z220" s="203" t="s">
        <v>105</v>
      </c>
      <c r="AA220" s="77"/>
      <c r="AB220" s="77"/>
      <c r="AC220" s="180"/>
      <c r="AD220" s="220"/>
      <c r="AE220" s="220"/>
      <c r="AF220" s="220"/>
      <c r="AG220" s="220"/>
      <c r="AH220" s="220"/>
      <c r="AI220" s="188"/>
      <c r="AJ220" s="220"/>
      <c r="AK220" s="979"/>
      <c r="AL220" s="180"/>
      <c r="AM220" s="77"/>
      <c r="AN220" s="77"/>
      <c r="AO220" s="110" t="str">
        <f t="shared" si="23"/>
        <v xml:space="preserve"> - </v>
      </c>
      <c r="AP220" s="110" t="str">
        <f t="shared" si="24"/>
        <v xml:space="preserve"> - </v>
      </c>
      <c r="AQ220" s="220"/>
      <c r="AR220" s="77" t="str">
        <f t="shared" ca="1" si="25"/>
        <v>-</v>
      </c>
      <c r="AS220" s="179"/>
      <c r="AT220" s="77"/>
      <c r="AU220" s="179"/>
      <c r="AV220" s="77"/>
      <c r="AW220" s="77"/>
    </row>
    <row r="221" spans="1:49" hidden="1">
      <c r="A221" s="173">
        <v>201909</v>
      </c>
      <c r="B221" s="75" t="s">
        <v>90</v>
      </c>
      <c r="C221" s="77" t="str">
        <f>CONCATENATE(Table4[[#This Row],[Project]],"-",Table4[[#This Row],[WO]])</f>
        <v>201909-04</v>
      </c>
      <c r="D221" s="76" t="s">
        <v>122</v>
      </c>
      <c r="E221" s="77" t="s">
        <v>57</v>
      </c>
      <c r="F221" s="77" t="s">
        <v>58</v>
      </c>
      <c r="G221" s="77" t="s">
        <v>59</v>
      </c>
      <c r="H221" s="77" t="s">
        <v>60</v>
      </c>
      <c r="I221" s="102" t="s">
        <v>97</v>
      </c>
      <c r="J221" s="77" t="s">
        <v>92</v>
      </c>
      <c r="K221" s="77" t="s">
        <v>63</v>
      </c>
      <c r="L221" s="77" t="s">
        <v>193</v>
      </c>
      <c r="M221" s="77" t="s">
        <v>65</v>
      </c>
      <c r="N221" s="77" t="s">
        <v>77</v>
      </c>
      <c r="O221" s="77"/>
      <c r="P221" s="76" t="s">
        <v>220</v>
      </c>
      <c r="Q221" s="183" t="s">
        <v>221</v>
      </c>
      <c r="R221" s="110" t="s">
        <v>229</v>
      </c>
      <c r="S221" s="77">
        <v>2019</v>
      </c>
      <c r="T221" s="179">
        <v>1</v>
      </c>
      <c r="U221" s="180">
        <f t="shared" si="19"/>
        <v>18810.5</v>
      </c>
      <c r="V221" s="180">
        <f>Table4[[#This Row],[Expected Revenue]]*Table4[[#This Row],[Probability]]</f>
        <v>18810.5</v>
      </c>
      <c r="W221" s="180">
        <f t="shared" si="18"/>
        <v>20800</v>
      </c>
      <c r="X221" s="179">
        <v>0.3</v>
      </c>
      <c r="Y221" s="180">
        <f>Table4[[#This Row],[Expected Revenue]]*Table4[[#This Row],[Expected CMR]]</f>
        <v>5643.15</v>
      </c>
      <c r="Z221" s="203" t="s">
        <v>60</v>
      </c>
      <c r="AA221" s="77"/>
      <c r="AB221" s="77"/>
      <c r="AC221" s="180"/>
      <c r="AD221" s="220"/>
      <c r="AE221" s="220"/>
      <c r="AF221" s="220"/>
      <c r="AG221" s="220"/>
      <c r="AH221" s="220"/>
      <c r="AI221" s="188"/>
      <c r="AJ221" s="220"/>
      <c r="AK221" s="979"/>
      <c r="AL221" s="180"/>
      <c r="AM221" s="77"/>
      <c r="AN221" s="77"/>
      <c r="AO221" s="110" t="str">
        <f t="shared" si="23"/>
        <v xml:space="preserve"> - </v>
      </c>
      <c r="AP221" s="110" t="str">
        <f t="shared" si="24"/>
        <v xml:space="preserve"> - </v>
      </c>
      <c r="AQ221" s="220"/>
      <c r="AR221" s="77" t="str">
        <f t="shared" ca="1" si="25"/>
        <v>-</v>
      </c>
      <c r="AS221" s="179"/>
      <c r="AT221" s="77"/>
      <c r="AU221" s="179"/>
      <c r="AV221" s="77"/>
      <c r="AW221" s="77"/>
    </row>
    <row r="222" spans="1:49" hidden="1">
      <c r="A222" s="173">
        <v>201910</v>
      </c>
      <c r="B222" s="75" t="s">
        <v>90</v>
      </c>
      <c r="C222" s="77" t="str">
        <f>CONCATENATE(Table4[[#This Row],[Project]],"-",Table4[[#This Row],[WO]])</f>
        <v>201910-04</v>
      </c>
      <c r="D222" s="76" t="s">
        <v>130</v>
      </c>
      <c r="E222" s="77" t="s">
        <v>57</v>
      </c>
      <c r="F222" s="77" t="s">
        <v>58</v>
      </c>
      <c r="G222" s="77" t="s">
        <v>59</v>
      </c>
      <c r="H222" s="77" t="s">
        <v>105</v>
      </c>
      <c r="I222" s="102" t="s">
        <v>97</v>
      </c>
      <c r="J222" s="77" t="s">
        <v>92</v>
      </c>
      <c r="K222" s="77" t="s">
        <v>63</v>
      </c>
      <c r="L222" s="77" t="s">
        <v>193</v>
      </c>
      <c r="M222" s="77" t="s">
        <v>65</v>
      </c>
      <c r="N222" s="77" t="s">
        <v>77</v>
      </c>
      <c r="O222" s="77"/>
      <c r="P222" s="76" t="s">
        <v>223</v>
      </c>
      <c r="Q222" s="183" t="s">
        <v>224</v>
      </c>
      <c r="R222" s="110" t="s">
        <v>229</v>
      </c>
      <c r="S222" s="77">
        <v>2019</v>
      </c>
      <c r="T222" s="179">
        <v>1</v>
      </c>
      <c r="U222" s="180">
        <f t="shared" si="19"/>
        <v>18810.5</v>
      </c>
      <c r="V222" s="180">
        <f>Table4[[#This Row],[Expected Revenue]]*Table4[[#This Row],[Probability]]</f>
        <v>18810.5</v>
      </c>
      <c r="W222" s="180">
        <f t="shared" si="18"/>
        <v>20800</v>
      </c>
      <c r="X222" s="179">
        <v>0.3</v>
      </c>
      <c r="Y222" s="180">
        <f>Table4[[#This Row],[Expected Revenue]]*Table4[[#This Row],[Expected CMR]]</f>
        <v>5643.15</v>
      </c>
      <c r="Z222" s="203" t="s">
        <v>105</v>
      </c>
      <c r="AA222" s="77"/>
      <c r="AB222" s="77"/>
      <c r="AC222" s="180"/>
      <c r="AD222" s="220"/>
      <c r="AE222" s="220"/>
      <c r="AF222" s="220"/>
      <c r="AG222" s="220"/>
      <c r="AH222" s="220"/>
      <c r="AI222" s="188"/>
      <c r="AJ222" s="220"/>
      <c r="AK222" s="979"/>
      <c r="AL222" s="180"/>
      <c r="AM222" s="77"/>
      <c r="AN222" s="77"/>
      <c r="AO222" s="110" t="str">
        <f t="shared" si="23"/>
        <v xml:space="preserve"> - </v>
      </c>
      <c r="AP222" s="110" t="str">
        <f t="shared" si="24"/>
        <v xml:space="preserve"> - </v>
      </c>
      <c r="AQ222" s="220"/>
      <c r="AR222" s="77" t="str">
        <f t="shared" ca="1" si="25"/>
        <v>-</v>
      </c>
      <c r="AS222" s="179"/>
      <c r="AT222" s="77"/>
      <c r="AU222" s="179"/>
      <c r="AV222" s="77"/>
      <c r="AW222" s="77"/>
    </row>
    <row r="223" spans="1:49" hidden="1">
      <c r="A223" s="173">
        <v>201905</v>
      </c>
      <c r="B223" s="75" t="s">
        <v>90</v>
      </c>
      <c r="C223" s="77" t="str">
        <f>CONCATENATE(Table4[[#This Row],[Project]],"-",Table4[[#This Row],[WO]])</f>
        <v>201905-04</v>
      </c>
      <c r="D223" s="76" t="s">
        <v>114</v>
      </c>
      <c r="E223" s="77" t="s">
        <v>57</v>
      </c>
      <c r="F223" s="77" t="s">
        <v>58</v>
      </c>
      <c r="G223" s="77" t="s">
        <v>59</v>
      </c>
      <c r="H223" s="77" t="s">
        <v>105</v>
      </c>
      <c r="I223" s="102" t="s">
        <v>97</v>
      </c>
      <c r="J223" s="77" t="s">
        <v>92</v>
      </c>
      <c r="K223" s="77" t="s">
        <v>63</v>
      </c>
      <c r="L223" s="77" t="s">
        <v>193</v>
      </c>
      <c r="M223" s="77" t="s">
        <v>65</v>
      </c>
      <c r="N223" s="77" t="s">
        <v>77</v>
      </c>
      <c r="O223" s="77"/>
      <c r="P223" s="76" t="s">
        <v>202</v>
      </c>
      <c r="Q223" s="183" t="s">
        <v>203</v>
      </c>
      <c r="R223" s="110" t="s">
        <v>229</v>
      </c>
      <c r="S223" s="77">
        <v>2019</v>
      </c>
      <c r="T223" s="179">
        <v>1</v>
      </c>
      <c r="U223" s="180">
        <f t="shared" si="19"/>
        <v>18810.5</v>
      </c>
      <c r="V223" s="180">
        <f>Table4[[#This Row],[Expected Revenue]]*Table4[[#This Row],[Probability]]</f>
        <v>18810.5</v>
      </c>
      <c r="W223" s="180">
        <f t="shared" si="18"/>
        <v>20800</v>
      </c>
      <c r="X223" s="179">
        <v>0.3</v>
      </c>
      <c r="Y223" s="180">
        <f>Table4[[#This Row],[Expected Revenue]]*Table4[[#This Row],[Expected CMR]]</f>
        <v>5643.15</v>
      </c>
      <c r="Z223" s="203" t="s">
        <v>105</v>
      </c>
      <c r="AA223" s="77"/>
      <c r="AB223" s="77"/>
      <c r="AC223" s="180"/>
      <c r="AD223" s="220"/>
      <c r="AE223" s="220"/>
      <c r="AF223" s="220"/>
      <c r="AG223" s="220"/>
      <c r="AH223" s="220"/>
      <c r="AI223" s="188"/>
      <c r="AJ223" s="220"/>
      <c r="AK223" s="182"/>
      <c r="AL223" s="180"/>
      <c r="AM223" s="77"/>
      <c r="AN223" s="77"/>
      <c r="AO223" s="110" t="str">
        <f t="shared" si="23"/>
        <v xml:space="preserve"> - </v>
      </c>
      <c r="AP223" s="110" t="str">
        <f t="shared" si="24"/>
        <v xml:space="preserve"> - </v>
      </c>
      <c r="AQ223" s="220"/>
      <c r="AR223" s="77" t="str">
        <f t="shared" ca="1" si="25"/>
        <v>-</v>
      </c>
      <c r="AS223" s="179"/>
      <c r="AT223" s="77"/>
      <c r="AU223" s="179"/>
      <c r="AV223" s="77"/>
      <c r="AW223" s="77"/>
    </row>
    <row r="224" spans="1:49" hidden="1">
      <c r="A224" s="173">
        <v>201902</v>
      </c>
      <c r="B224" s="75" t="s">
        <v>90</v>
      </c>
      <c r="C224" s="77" t="str">
        <f>CONCATENATE(Table4[[#This Row],[Project]],"-",Table4[[#This Row],[WO]])</f>
        <v>201902-04</v>
      </c>
      <c r="D224" s="76" t="s">
        <v>104</v>
      </c>
      <c r="E224" s="77" t="s">
        <v>57</v>
      </c>
      <c r="F224" s="77" t="s">
        <v>58</v>
      </c>
      <c r="G224" s="77" t="s">
        <v>59</v>
      </c>
      <c r="H224" s="77" t="s">
        <v>105</v>
      </c>
      <c r="I224" s="102" t="s">
        <v>101</v>
      </c>
      <c r="J224" s="77" t="s">
        <v>92</v>
      </c>
      <c r="K224" s="77" t="s">
        <v>63</v>
      </c>
      <c r="L224" s="77" t="s">
        <v>193</v>
      </c>
      <c r="M224" s="77" t="s">
        <v>65</v>
      </c>
      <c r="N224" s="77" t="s">
        <v>77</v>
      </c>
      <c r="O224" s="77"/>
      <c r="P224" s="76" t="s">
        <v>211</v>
      </c>
      <c r="Q224" s="183" t="s">
        <v>212</v>
      </c>
      <c r="R224" s="110" t="s">
        <v>68</v>
      </c>
      <c r="S224" s="77">
        <v>2019</v>
      </c>
      <c r="T224" s="179">
        <v>1</v>
      </c>
      <c r="U224" s="180">
        <f t="shared" si="19"/>
        <v>18810.5</v>
      </c>
      <c r="V224" s="180">
        <f>Table4[[#This Row],[Expected Revenue]]*Table4[[#This Row],[Probability]]</f>
        <v>18810.5</v>
      </c>
      <c r="W224" s="180">
        <f t="shared" si="18"/>
        <v>20800</v>
      </c>
      <c r="X224" s="179">
        <v>0.3</v>
      </c>
      <c r="Y224" s="180">
        <f>Table4[[#This Row],[Expected Revenue]]*Table4[[#This Row],[Expected CMR]]</f>
        <v>5643.15</v>
      </c>
      <c r="Z224" s="203" t="s">
        <v>105</v>
      </c>
      <c r="AA224" s="77"/>
      <c r="AB224" s="77"/>
      <c r="AC224" s="180"/>
      <c r="AD224" s="220"/>
      <c r="AE224" s="220"/>
      <c r="AF224" s="220"/>
      <c r="AG224" s="220"/>
      <c r="AH224" s="220"/>
      <c r="AI224" s="188"/>
      <c r="AJ224" s="220"/>
      <c r="AK224" s="979"/>
      <c r="AL224" s="180"/>
      <c r="AM224" s="77"/>
      <c r="AN224" s="77"/>
      <c r="AO224" s="110" t="str">
        <f t="shared" si="23"/>
        <v xml:space="preserve"> - </v>
      </c>
      <c r="AP224" s="110" t="str">
        <f t="shared" si="24"/>
        <v xml:space="preserve"> - </v>
      </c>
      <c r="AQ224" s="220"/>
      <c r="AR224" s="77" t="str">
        <f t="shared" ca="1" si="25"/>
        <v>-</v>
      </c>
      <c r="AS224" s="179"/>
      <c r="AT224" s="77"/>
      <c r="AU224" s="179"/>
      <c r="AV224" s="77"/>
      <c r="AW224" s="77"/>
    </row>
    <row r="225" spans="1:49" hidden="1">
      <c r="A225" s="173">
        <v>201914</v>
      </c>
      <c r="B225" s="75" t="s">
        <v>90</v>
      </c>
      <c r="C225" s="77" t="str">
        <f>CONCATENATE(Table4[[#This Row],[Project]],"-",Table4[[#This Row],[WO]])</f>
        <v>201914-04</v>
      </c>
      <c r="D225" s="76" t="s">
        <v>117</v>
      </c>
      <c r="E225" s="77" t="s">
        <v>57</v>
      </c>
      <c r="F225" s="77" t="s">
        <v>58</v>
      </c>
      <c r="G225" s="77" t="s">
        <v>59</v>
      </c>
      <c r="H225" s="77" t="s">
        <v>105</v>
      </c>
      <c r="I225" s="102" t="s">
        <v>101</v>
      </c>
      <c r="J225" s="77" t="s">
        <v>92</v>
      </c>
      <c r="K225" s="77" t="s">
        <v>63</v>
      </c>
      <c r="L225" s="77" t="s">
        <v>193</v>
      </c>
      <c r="M225" s="77" t="s">
        <v>65</v>
      </c>
      <c r="N225" s="77" t="s">
        <v>77</v>
      </c>
      <c r="O225" s="77"/>
      <c r="P225" s="76" t="s">
        <v>197</v>
      </c>
      <c r="Q225" s="183" t="s">
        <v>198</v>
      </c>
      <c r="R225" s="110" t="s">
        <v>68</v>
      </c>
      <c r="S225" s="77">
        <v>2019</v>
      </c>
      <c r="T225" s="179">
        <v>1</v>
      </c>
      <c r="U225" s="180">
        <f t="shared" si="19"/>
        <v>18810.5</v>
      </c>
      <c r="V225" s="180">
        <f>Table4[[#This Row],[Expected Revenue]]*Table4[[#This Row],[Probability]]</f>
        <v>18810.5</v>
      </c>
      <c r="W225" s="180">
        <f t="shared" si="18"/>
        <v>20800</v>
      </c>
      <c r="X225" s="179">
        <v>0.3</v>
      </c>
      <c r="Y225" s="180">
        <f>Table4[[#This Row],[Expected Revenue]]*Table4[[#This Row],[Expected CMR]]</f>
        <v>5643.15</v>
      </c>
      <c r="Z225" s="203" t="s">
        <v>105</v>
      </c>
      <c r="AA225" s="77"/>
      <c r="AB225" s="77"/>
      <c r="AC225" s="180"/>
      <c r="AD225" s="220"/>
      <c r="AE225" s="220"/>
      <c r="AF225" s="220"/>
      <c r="AG225" s="220"/>
      <c r="AH225" s="220"/>
      <c r="AI225" s="188"/>
      <c r="AJ225" s="220"/>
      <c r="AK225" s="979"/>
      <c r="AL225" s="180"/>
      <c r="AM225" s="77"/>
      <c r="AN225" s="77"/>
      <c r="AO225" s="110" t="str">
        <f t="shared" si="23"/>
        <v xml:space="preserve"> - </v>
      </c>
      <c r="AP225" s="110" t="str">
        <f t="shared" si="24"/>
        <v xml:space="preserve"> - </v>
      </c>
      <c r="AQ225" s="220"/>
      <c r="AR225" s="77" t="str">
        <f t="shared" ca="1" si="25"/>
        <v>-</v>
      </c>
      <c r="AS225" s="179"/>
      <c r="AT225" s="77"/>
      <c r="AU225" s="179"/>
      <c r="AV225" s="77"/>
      <c r="AW225" s="77"/>
    </row>
    <row r="226" spans="1:49" hidden="1">
      <c r="A226" s="173">
        <v>201909</v>
      </c>
      <c r="B226" s="75" t="s">
        <v>90</v>
      </c>
      <c r="C226" s="77" t="str">
        <f>CONCATENATE(Table4[[#This Row],[Project]],"-",Table4[[#This Row],[WO]])</f>
        <v>201909-04</v>
      </c>
      <c r="D226" s="76" t="s">
        <v>122</v>
      </c>
      <c r="E226" s="77" t="s">
        <v>57</v>
      </c>
      <c r="F226" s="77" t="s">
        <v>58</v>
      </c>
      <c r="G226" s="77" t="s">
        <v>59</v>
      </c>
      <c r="H226" s="77" t="s">
        <v>60</v>
      </c>
      <c r="I226" s="102" t="s">
        <v>101</v>
      </c>
      <c r="J226" s="77" t="s">
        <v>92</v>
      </c>
      <c r="K226" s="77" t="s">
        <v>63</v>
      </c>
      <c r="L226" s="77" t="s">
        <v>193</v>
      </c>
      <c r="M226" s="77" t="s">
        <v>65</v>
      </c>
      <c r="N226" s="77" t="s">
        <v>77</v>
      </c>
      <c r="O226" s="77"/>
      <c r="P226" s="76" t="s">
        <v>220</v>
      </c>
      <c r="Q226" s="183" t="s">
        <v>221</v>
      </c>
      <c r="R226" s="110" t="s">
        <v>68</v>
      </c>
      <c r="S226" s="77">
        <v>2019</v>
      </c>
      <c r="T226" s="179">
        <v>1</v>
      </c>
      <c r="U226" s="180">
        <f t="shared" si="19"/>
        <v>18810.5</v>
      </c>
      <c r="V226" s="180">
        <f>Table4[[#This Row],[Expected Revenue]]*Table4[[#This Row],[Probability]]</f>
        <v>18810.5</v>
      </c>
      <c r="W226" s="180">
        <f t="shared" si="18"/>
        <v>20800</v>
      </c>
      <c r="X226" s="179">
        <v>0.3</v>
      </c>
      <c r="Y226" s="180">
        <f>Table4[[#This Row],[Expected Revenue]]*Table4[[#This Row],[Expected CMR]]</f>
        <v>5643.15</v>
      </c>
      <c r="Z226" s="203" t="s">
        <v>60</v>
      </c>
      <c r="AA226" s="77"/>
      <c r="AB226" s="77"/>
      <c r="AC226" s="180"/>
      <c r="AD226" s="220"/>
      <c r="AE226" s="220"/>
      <c r="AF226" s="220"/>
      <c r="AG226" s="220"/>
      <c r="AH226" s="220"/>
      <c r="AI226" s="188"/>
      <c r="AJ226" s="220"/>
      <c r="AK226" s="979"/>
      <c r="AL226" s="180"/>
      <c r="AM226" s="77"/>
      <c r="AN226" s="77"/>
      <c r="AO226" s="110" t="str">
        <f t="shared" si="23"/>
        <v xml:space="preserve"> - </v>
      </c>
      <c r="AP226" s="110" t="str">
        <f t="shared" si="24"/>
        <v xml:space="preserve"> - </v>
      </c>
      <c r="AQ226" s="220"/>
      <c r="AR226" s="77" t="str">
        <f t="shared" ca="1" si="25"/>
        <v>-</v>
      </c>
      <c r="AS226" s="179"/>
      <c r="AT226" s="77"/>
      <c r="AU226" s="179"/>
      <c r="AV226" s="77"/>
      <c r="AW226" s="77"/>
    </row>
    <row r="227" spans="1:49" hidden="1">
      <c r="A227" s="173">
        <v>201910</v>
      </c>
      <c r="B227" s="75" t="s">
        <v>90</v>
      </c>
      <c r="C227" s="77" t="str">
        <f>CONCATENATE(Table4[[#This Row],[Project]],"-",Table4[[#This Row],[WO]])</f>
        <v>201910-04</v>
      </c>
      <c r="D227" s="76" t="s">
        <v>130</v>
      </c>
      <c r="E227" s="77" t="s">
        <v>57</v>
      </c>
      <c r="F227" s="77" t="s">
        <v>58</v>
      </c>
      <c r="G227" s="77" t="s">
        <v>59</v>
      </c>
      <c r="H227" s="77" t="s">
        <v>105</v>
      </c>
      <c r="I227" s="102" t="s">
        <v>101</v>
      </c>
      <c r="J227" s="77" t="s">
        <v>92</v>
      </c>
      <c r="K227" s="77" t="s">
        <v>63</v>
      </c>
      <c r="L227" s="77" t="s">
        <v>193</v>
      </c>
      <c r="M227" s="77" t="s">
        <v>65</v>
      </c>
      <c r="N227" s="77" t="s">
        <v>77</v>
      </c>
      <c r="O227" s="77"/>
      <c r="P227" s="76" t="s">
        <v>223</v>
      </c>
      <c r="Q227" s="183" t="s">
        <v>224</v>
      </c>
      <c r="R227" s="110" t="s">
        <v>68</v>
      </c>
      <c r="S227" s="77">
        <v>2019</v>
      </c>
      <c r="T227" s="179">
        <v>1</v>
      </c>
      <c r="U227" s="180">
        <f t="shared" si="19"/>
        <v>18810.5</v>
      </c>
      <c r="V227" s="180">
        <f>Table4[[#This Row],[Expected Revenue]]*Table4[[#This Row],[Probability]]</f>
        <v>18810.5</v>
      </c>
      <c r="W227" s="180">
        <f t="shared" si="18"/>
        <v>20800</v>
      </c>
      <c r="X227" s="179">
        <v>0.3</v>
      </c>
      <c r="Y227" s="180">
        <f>Table4[[#This Row],[Expected Revenue]]*Table4[[#This Row],[Expected CMR]]</f>
        <v>5643.15</v>
      </c>
      <c r="Z227" s="203" t="s">
        <v>105</v>
      </c>
      <c r="AA227" s="77"/>
      <c r="AB227" s="77"/>
      <c r="AC227" s="180"/>
      <c r="AD227" s="220"/>
      <c r="AE227" s="220"/>
      <c r="AF227" s="220"/>
      <c r="AG227" s="220"/>
      <c r="AH227" s="220"/>
      <c r="AI227" s="188"/>
      <c r="AJ227" s="220"/>
      <c r="AK227" s="979"/>
      <c r="AL227" s="180"/>
      <c r="AM227" s="77"/>
      <c r="AN227" s="77"/>
      <c r="AO227" s="110" t="str">
        <f t="shared" si="23"/>
        <v xml:space="preserve"> - </v>
      </c>
      <c r="AP227" s="110" t="str">
        <f t="shared" si="24"/>
        <v xml:space="preserve"> - </v>
      </c>
      <c r="AQ227" s="220"/>
      <c r="AR227" s="77" t="str">
        <f t="shared" ca="1" si="25"/>
        <v>-</v>
      </c>
      <c r="AS227" s="179"/>
      <c r="AT227" s="77"/>
      <c r="AU227" s="179"/>
      <c r="AV227" s="77"/>
      <c r="AW227" s="77"/>
    </row>
    <row r="228" spans="1:49" hidden="1">
      <c r="A228" s="173">
        <v>201911</v>
      </c>
      <c r="B228" s="75" t="s">
        <v>90</v>
      </c>
      <c r="C228" s="77" t="str">
        <f>CONCATENATE(Table4[[#This Row],[Project]],"-",Table4[[#This Row],[WO]])</f>
        <v>201911-04</v>
      </c>
      <c r="D228" s="76" t="s">
        <v>137</v>
      </c>
      <c r="E228" s="77" t="s">
        <v>57</v>
      </c>
      <c r="F228" s="77" t="s">
        <v>58</v>
      </c>
      <c r="G228" s="77" t="s">
        <v>59</v>
      </c>
      <c r="H228" s="77" t="s">
        <v>60</v>
      </c>
      <c r="I228" s="102" t="s">
        <v>101</v>
      </c>
      <c r="J228" s="77" t="s">
        <v>92</v>
      </c>
      <c r="K228" s="77" t="s">
        <v>63</v>
      </c>
      <c r="L228" s="77" t="s">
        <v>193</v>
      </c>
      <c r="M228" s="77" t="s">
        <v>65</v>
      </c>
      <c r="N228" s="77" t="s">
        <v>77</v>
      </c>
      <c r="O228" s="77"/>
      <c r="P228" s="76" t="s">
        <v>215</v>
      </c>
      <c r="Q228" s="183" t="s">
        <v>216</v>
      </c>
      <c r="R228" s="110" t="s">
        <v>68</v>
      </c>
      <c r="S228" s="77">
        <v>2019</v>
      </c>
      <c r="T228" s="179">
        <v>1</v>
      </c>
      <c r="U228" s="180">
        <f t="shared" si="19"/>
        <v>18810.5</v>
      </c>
      <c r="V228" s="180">
        <f>Table4[[#This Row],[Expected Revenue]]*Table4[[#This Row],[Probability]]</f>
        <v>18810.5</v>
      </c>
      <c r="W228" s="180">
        <f t="shared" si="18"/>
        <v>20800</v>
      </c>
      <c r="X228" s="179">
        <v>0.3</v>
      </c>
      <c r="Y228" s="180">
        <f>Table4[[#This Row],[Expected Revenue]]*Table4[[#This Row],[Expected CMR]]</f>
        <v>5643.15</v>
      </c>
      <c r="Z228" s="203" t="s">
        <v>60</v>
      </c>
      <c r="AA228" s="77"/>
      <c r="AB228" s="77"/>
      <c r="AC228" s="180"/>
      <c r="AD228" s="220"/>
      <c r="AE228" s="220"/>
      <c r="AF228" s="220"/>
      <c r="AG228" s="220"/>
      <c r="AH228" s="220"/>
      <c r="AI228" s="188"/>
      <c r="AJ228" s="220"/>
      <c r="AK228" s="979"/>
      <c r="AL228" s="180"/>
      <c r="AM228" s="77"/>
      <c r="AN228" s="77"/>
      <c r="AO228" s="110" t="str">
        <f t="shared" si="23"/>
        <v xml:space="preserve"> - </v>
      </c>
      <c r="AP228" s="110" t="str">
        <f t="shared" si="24"/>
        <v xml:space="preserve"> - </v>
      </c>
      <c r="AQ228" s="220"/>
      <c r="AR228" s="77" t="str">
        <f t="shared" ca="1" si="25"/>
        <v>-</v>
      </c>
      <c r="AS228" s="179"/>
      <c r="AT228" s="77"/>
      <c r="AU228" s="179"/>
      <c r="AV228" s="77"/>
      <c r="AW228" s="77"/>
    </row>
    <row r="229" spans="1:49" hidden="1">
      <c r="A229" s="173">
        <v>201905</v>
      </c>
      <c r="B229" s="75" t="s">
        <v>90</v>
      </c>
      <c r="C229" s="77" t="str">
        <f>CONCATENATE(Table4[[#This Row],[Project]],"-",Table4[[#This Row],[WO]])</f>
        <v>201905-04</v>
      </c>
      <c r="D229" s="76" t="s">
        <v>114</v>
      </c>
      <c r="E229" s="77" t="s">
        <v>57</v>
      </c>
      <c r="F229" s="77" t="s">
        <v>58</v>
      </c>
      <c r="G229" s="77" t="s">
        <v>59</v>
      </c>
      <c r="H229" s="77" t="s">
        <v>105</v>
      </c>
      <c r="I229" s="102" t="s">
        <v>101</v>
      </c>
      <c r="J229" s="77" t="s">
        <v>92</v>
      </c>
      <c r="K229" s="77" t="s">
        <v>63</v>
      </c>
      <c r="L229" s="77" t="s">
        <v>193</v>
      </c>
      <c r="M229" s="77" t="s">
        <v>65</v>
      </c>
      <c r="N229" s="77" t="s">
        <v>77</v>
      </c>
      <c r="O229" s="77"/>
      <c r="P229" s="76" t="s">
        <v>202</v>
      </c>
      <c r="Q229" s="183" t="s">
        <v>203</v>
      </c>
      <c r="R229" s="110" t="s">
        <v>68</v>
      </c>
      <c r="S229" s="77">
        <v>2019</v>
      </c>
      <c r="T229" s="179">
        <v>1</v>
      </c>
      <c r="U229" s="180">
        <f t="shared" si="19"/>
        <v>18810.5</v>
      </c>
      <c r="V229" s="180">
        <f>Table4[[#This Row],[Expected Revenue]]*Table4[[#This Row],[Probability]]</f>
        <v>18810.5</v>
      </c>
      <c r="W229" s="180">
        <f t="shared" si="18"/>
        <v>20800</v>
      </c>
      <c r="X229" s="179">
        <v>0.3</v>
      </c>
      <c r="Y229" s="180">
        <f>Table4[[#This Row],[Expected Revenue]]*Table4[[#This Row],[Expected CMR]]</f>
        <v>5643.15</v>
      </c>
      <c r="Z229" s="203" t="s">
        <v>105</v>
      </c>
      <c r="AA229" s="77"/>
      <c r="AB229" s="77"/>
      <c r="AC229" s="180"/>
      <c r="AD229" s="220"/>
      <c r="AE229" s="220"/>
      <c r="AF229" s="220"/>
      <c r="AG229" s="220"/>
      <c r="AH229" s="220"/>
      <c r="AI229" s="188"/>
      <c r="AJ229" s="220"/>
      <c r="AK229" s="979"/>
      <c r="AL229" s="180"/>
      <c r="AM229" s="77"/>
      <c r="AN229" s="77"/>
      <c r="AO229" s="110" t="str">
        <f t="shared" si="23"/>
        <v xml:space="preserve"> - </v>
      </c>
      <c r="AP229" s="110" t="str">
        <f t="shared" si="24"/>
        <v xml:space="preserve"> - </v>
      </c>
      <c r="AQ229" s="220"/>
      <c r="AR229" s="77" t="str">
        <f t="shared" ca="1" si="25"/>
        <v>-</v>
      </c>
      <c r="AS229" s="179"/>
      <c r="AT229" s="77"/>
      <c r="AU229" s="179"/>
      <c r="AV229" s="77"/>
      <c r="AW229" s="77"/>
    </row>
    <row r="230" spans="1:49" hidden="1">
      <c r="A230" s="173">
        <v>201912</v>
      </c>
      <c r="B230" s="75" t="s">
        <v>90</v>
      </c>
      <c r="C230" s="77" t="str">
        <f>CONCATENATE(Table4[[#This Row],[Project]],"-",Table4[[#This Row],[WO]])</f>
        <v>201912-04</v>
      </c>
      <c r="D230" s="76" t="s">
        <v>146</v>
      </c>
      <c r="E230" s="77" t="s">
        <v>57</v>
      </c>
      <c r="F230" s="77" t="s">
        <v>58</v>
      </c>
      <c r="G230" s="77" t="s">
        <v>59</v>
      </c>
      <c r="H230" s="77" t="s">
        <v>60</v>
      </c>
      <c r="I230" s="102" t="s">
        <v>101</v>
      </c>
      <c r="J230" s="77" t="s">
        <v>92</v>
      </c>
      <c r="K230" s="77" t="s">
        <v>63</v>
      </c>
      <c r="L230" s="77" t="s">
        <v>193</v>
      </c>
      <c r="M230" s="77" t="s">
        <v>65</v>
      </c>
      <c r="N230" s="77" t="s">
        <v>77</v>
      </c>
      <c r="O230" s="77"/>
      <c r="P230" s="76" t="s">
        <v>194</v>
      </c>
      <c r="Q230" s="183" t="s">
        <v>195</v>
      </c>
      <c r="R230" s="110" t="s">
        <v>219</v>
      </c>
      <c r="S230" s="77">
        <v>2019</v>
      </c>
      <c r="T230" s="179">
        <v>1</v>
      </c>
      <c r="U230" s="180">
        <f t="shared" si="19"/>
        <v>18810.5</v>
      </c>
      <c r="V230" s="180">
        <f>Table4[[#This Row],[Expected Revenue]]*Table4[[#This Row],[Probability]]</f>
        <v>18810.5</v>
      </c>
      <c r="W230" s="180">
        <f t="shared" si="18"/>
        <v>20800</v>
      </c>
      <c r="X230" s="179">
        <v>0.3</v>
      </c>
      <c r="Y230" s="180">
        <f>Table4[[#This Row],[Expected Revenue]]*Table4[[#This Row],[Expected CMR]]</f>
        <v>5643.15</v>
      </c>
      <c r="Z230" s="203" t="s">
        <v>60</v>
      </c>
      <c r="AA230" s="77"/>
      <c r="AB230" s="77"/>
      <c r="AC230" s="180"/>
      <c r="AD230" s="220"/>
      <c r="AE230" s="220"/>
      <c r="AF230" s="220"/>
      <c r="AG230" s="220"/>
      <c r="AH230" s="220"/>
      <c r="AI230" s="188"/>
      <c r="AJ230" s="220"/>
      <c r="AK230" s="979"/>
      <c r="AL230" s="180"/>
      <c r="AM230" s="77"/>
      <c r="AN230" s="77"/>
      <c r="AO230" s="110" t="str">
        <f t="shared" si="23"/>
        <v xml:space="preserve"> - </v>
      </c>
      <c r="AP230" s="110" t="str">
        <f t="shared" si="24"/>
        <v xml:space="preserve"> - </v>
      </c>
      <c r="AQ230" s="220"/>
      <c r="AR230" s="77" t="str">
        <f t="shared" ca="1" si="25"/>
        <v>-</v>
      </c>
      <c r="AS230" s="179"/>
      <c r="AT230" s="77"/>
      <c r="AU230" s="179"/>
      <c r="AV230" s="77"/>
      <c r="AW230" s="77"/>
    </row>
    <row r="231" spans="1:49" hidden="1">
      <c r="A231" s="173">
        <v>201912</v>
      </c>
      <c r="B231" s="75" t="s">
        <v>133</v>
      </c>
      <c r="C231" s="77" t="str">
        <f>CONCATENATE(Table4[[#This Row],[Project]],"-",Table4[[#This Row],[WO]])</f>
        <v>201912-13</v>
      </c>
      <c r="D231" s="76" t="s">
        <v>146</v>
      </c>
      <c r="E231" s="77" t="s">
        <v>57</v>
      </c>
      <c r="F231" s="77" t="s">
        <v>58</v>
      </c>
      <c r="G231" s="77" t="s">
        <v>59</v>
      </c>
      <c r="H231" s="77" t="s">
        <v>60</v>
      </c>
      <c r="I231" s="102" t="s">
        <v>101</v>
      </c>
      <c r="J231" s="77" t="s">
        <v>92</v>
      </c>
      <c r="K231" s="77" t="s">
        <v>63</v>
      </c>
      <c r="L231" s="77" t="s">
        <v>193</v>
      </c>
      <c r="M231" s="77" t="s">
        <v>65</v>
      </c>
      <c r="N231" s="77" t="s">
        <v>77</v>
      </c>
      <c r="O231" s="77"/>
      <c r="P231" s="76" t="s">
        <v>194</v>
      </c>
      <c r="Q231" s="183" t="s">
        <v>195</v>
      </c>
      <c r="R231" s="110" t="s">
        <v>219</v>
      </c>
      <c r="S231" s="77">
        <v>2019</v>
      </c>
      <c r="T231" s="179">
        <v>1</v>
      </c>
      <c r="U231" s="180">
        <f t="shared" si="19"/>
        <v>18810.5</v>
      </c>
      <c r="V231" s="180">
        <f>Table4[[#This Row],[Expected Revenue]]*Table4[[#This Row],[Probability]]</f>
        <v>18810.5</v>
      </c>
      <c r="W231" s="180">
        <f t="shared" si="18"/>
        <v>20800</v>
      </c>
      <c r="X231" s="179">
        <v>0.3</v>
      </c>
      <c r="Y231" s="180">
        <f>Table4[[#This Row],[Expected Revenue]]*Table4[[#This Row],[Expected CMR]]</f>
        <v>5643.15</v>
      </c>
      <c r="Z231" s="203" t="s">
        <v>60</v>
      </c>
      <c r="AA231" s="77"/>
      <c r="AB231" s="77"/>
      <c r="AC231" s="180"/>
      <c r="AD231" s="220"/>
      <c r="AE231" s="220"/>
      <c r="AF231" s="220"/>
      <c r="AG231" s="220"/>
      <c r="AH231" s="220"/>
      <c r="AI231" s="188"/>
      <c r="AJ231" s="220"/>
      <c r="AK231" s="979"/>
      <c r="AL231" s="180"/>
      <c r="AM231" s="77"/>
      <c r="AN231" s="77"/>
      <c r="AO231" s="110" t="str">
        <f t="shared" si="23"/>
        <v xml:space="preserve"> - </v>
      </c>
      <c r="AP231" s="110" t="str">
        <f t="shared" si="24"/>
        <v xml:space="preserve"> - </v>
      </c>
      <c r="AQ231" s="220"/>
      <c r="AR231" s="77" t="str">
        <f t="shared" ca="1" si="25"/>
        <v>-</v>
      </c>
      <c r="AS231" s="179"/>
      <c r="AT231" s="77"/>
      <c r="AU231" s="179"/>
      <c r="AV231" s="77"/>
      <c r="AW231" s="77"/>
    </row>
    <row r="232" spans="1:49" hidden="1">
      <c r="A232" s="173">
        <v>201903</v>
      </c>
      <c r="B232" s="75" t="s">
        <v>90</v>
      </c>
      <c r="C232" s="77" t="str">
        <f>CONCATENATE(Table4[[#This Row],[Project]],"-",Table4[[#This Row],[WO]])</f>
        <v>201903-04</v>
      </c>
      <c r="D232" s="76" t="s">
        <v>73</v>
      </c>
      <c r="E232" s="77" t="s">
        <v>57</v>
      </c>
      <c r="F232" s="77" t="s">
        <v>58</v>
      </c>
      <c r="G232" s="77" t="s">
        <v>59</v>
      </c>
      <c r="H232" s="77" t="s">
        <v>105</v>
      </c>
      <c r="I232" s="102" t="s">
        <v>101</v>
      </c>
      <c r="J232" s="77" t="s">
        <v>92</v>
      </c>
      <c r="K232" s="77" t="s">
        <v>63</v>
      </c>
      <c r="L232" s="77" t="s">
        <v>217</v>
      </c>
      <c r="M232" s="77" t="s">
        <v>65</v>
      </c>
      <c r="N232" s="77" t="s">
        <v>77</v>
      </c>
      <c r="O232" s="77"/>
      <c r="P232" s="76" t="s">
        <v>78</v>
      </c>
      <c r="Q232" s="183" t="s">
        <v>79</v>
      </c>
      <c r="R232" s="110" t="s">
        <v>102</v>
      </c>
      <c r="S232" s="77">
        <v>2019</v>
      </c>
      <c r="T232" s="179">
        <v>1</v>
      </c>
      <c r="U232" s="180">
        <f t="shared" si="19"/>
        <v>18810.5</v>
      </c>
      <c r="V232" s="180">
        <f>Table4[[#This Row],[Expected Revenue]]*Table4[[#This Row],[Probability]]</f>
        <v>18810.5</v>
      </c>
      <c r="W232" s="180">
        <f t="shared" si="18"/>
        <v>20800</v>
      </c>
      <c r="X232" s="179">
        <v>0.3</v>
      </c>
      <c r="Y232" s="180">
        <f>Table4[[#This Row],[Rev. Based on PROB]]*Table4[[#This Row],[Expected CMR]]</f>
        <v>5643.15</v>
      </c>
      <c r="Z232" s="203" t="s">
        <v>105</v>
      </c>
      <c r="AA232" s="77"/>
      <c r="AB232" s="77"/>
      <c r="AC232" s="180"/>
      <c r="AD232" s="220"/>
      <c r="AE232" s="220"/>
      <c r="AF232" s="220"/>
      <c r="AG232" s="220"/>
      <c r="AH232" s="220"/>
      <c r="AI232" s="188"/>
      <c r="AJ232" s="220"/>
      <c r="AK232" s="979"/>
      <c r="AL232" s="180"/>
      <c r="AM232" s="77"/>
      <c r="AN232" s="77"/>
      <c r="AO232" s="110" t="str">
        <f>IF(Table4[[#This Row],[Finish (demob)]]&lt;&gt;"",Table4[[#This Row],[Finish (demob)]]+10,"")</f>
        <v/>
      </c>
      <c r="AP232" s="110" t="str">
        <f>IF(Table4[[#This Row],[Finish (demob)]]&lt;&gt;"",Table4[[#This Row],[Finish (demob)]]+10,"")</f>
        <v/>
      </c>
      <c r="AQ232" s="220"/>
      <c r="AR232" s="77" t="str">
        <f>IF(Table4[[#This Row],[Date Report is delivered:]]&lt;&gt;"", "Delivered", "")</f>
        <v/>
      </c>
      <c r="AS232" s="179"/>
      <c r="AT232" s="77"/>
      <c r="AU232" s="179"/>
      <c r="AV232" s="77"/>
      <c r="AW232" s="77"/>
    </row>
    <row r="233" spans="1:49" hidden="1">
      <c r="A233" s="173"/>
      <c r="B233" s="173"/>
      <c r="C233" s="173" t="str">
        <f>CONCATENATE(Table4[[#This Row],[Project]],"-",Table4[[#This Row],[WO]])</f>
        <v>-</v>
      </c>
      <c r="D233" s="76" t="s">
        <v>225</v>
      </c>
      <c r="E233" s="77" t="s">
        <v>57</v>
      </c>
      <c r="F233" s="77" t="s">
        <v>58</v>
      </c>
      <c r="G233" s="77" t="s">
        <v>226</v>
      </c>
      <c r="H233" s="77" t="s">
        <v>60</v>
      </c>
      <c r="I233" s="102" t="s">
        <v>238</v>
      </c>
      <c r="J233" s="77" t="s">
        <v>88</v>
      </c>
      <c r="K233" s="77" t="s">
        <v>63</v>
      </c>
      <c r="L233" s="77" t="s">
        <v>193</v>
      </c>
      <c r="M233" s="77" t="s">
        <v>65</v>
      </c>
      <c r="N233" s="77" t="s">
        <v>77</v>
      </c>
      <c r="O233" s="76"/>
      <c r="P233" s="76"/>
      <c r="Q233" s="178"/>
      <c r="R233" s="110" t="s">
        <v>230</v>
      </c>
      <c r="S233" s="77">
        <v>2019</v>
      </c>
      <c r="T233" s="179">
        <v>0.9</v>
      </c>
      <c r="U233" s="180">
        <v>40000</v>
      </c>
      <c r="V233" s="180">
        <f>Table4[[#This Row],[Expected Revenue]]*Table4[[#This Row],[Probability]]</f>
        <v>36000</v>
      </c>
      <c r="W233" s="180">
        <f t="shared" si="18"/>
        <v>20800</v>
      </c>
      <c r="X233" s="179">
        <v>0.4</v>
      </c>
      <c r="Y233" s="180">
        <f>Table4[[#This Row],[Expected Revenue]]*Table4[[#This Row],[Expected CMR]]</f>
        <v>16000</v>
      </c>
      <c r="Z233" s="203" t="s">
        <v>60</v>
      </c>
      <c r="AA233" s="77"/>
      <c r="AB233" s="77"/>
      <c r="AC233" s="180"/>
      <c r="AD233" s="220"/>
      <c r="AE233" s="220"/>
      <c r="AF233" s="220"/>
      <c r="AG233" s="220"/>
      <c r="AH233" s="220"/>
      <c r="AI233" s="188"/>
      <c r="AJ233" s="220"/>
      <c r="AK233" s="979"/>
      <c r="AL233" s="180"/>
      <c r="AM233" s="77"/>
      <c r="AN233" s="77"/>
      <c r="AO233" s="110" t="str">
        <f>IF(AE233&gt;0,AE233+3," - ")</f>
        <v xml:space="preserve"> - </v>
      </c>
      <c r="AP233" s="110" t="str">
        <f>IF(AE233&gt;0,AE233+14," - ")</f>
        <v xml:space="preserve"> - </v>
      </c>
      <c r="AQ233" s="220"/>
      <c r="AR233" s="77" t="str">
        <f ca="1">IF(AD233=0,"-",IF(AQ233&gt;0,"Delivered",IF(TODAY()&gt;AP233,"Overdue",IF(TODAY()&lt;AP233,"In Progress"))))</f>
        <v>-</v>
      </c>
      <c r="AS233" s="179"/>
      <c r="AT233" s="77"/>
      <c r="AU233" s="179"/>
      <c r="AV233" s="77"/>
      <c r="AW233" s="77"/>
    </row>
    <row r="234" spans="1:49" hidden="1">
      <c r="A234" s="173"/>
      <c r="B234" s="75" t="s">
        <v>103</v>
      </c>
      <c r="C234" s="77" t="str">
        <f>CONCATENATE(Table4[[#This Row],[Project]],"-",Table4[[#This Row],[WO]])</f>
        <v>-01</v>
      </c>
      <c r="D234" s="76" t="s">
        <v>156</v>
      </c>
      <c r="E234" s="77" t="s">
        <v>157</v>
      </c>
      <c r="F234" s="77" t="s">
        <v>58</v>
      </c>
      <c r="G234" s="77" t="s">
        <v>59</v>
      </c>
      <c r="H234" s="77" t="s">
        <v>159</v>
      </c>
      <c r="I234" s="102" t="s">
        <v>239</v>
      </c>
      <c r="J234" s="77" t="s">
        <v>62</v>
      </c>
      <c r="K234" s="77" t="s">
        <v>63</v>
      </c>
      <c r="L234" s="77" t="s">
        <v>240</v>
      </c>
      <c r="M234" s="77" t="s">
        <v>65</v>
      </c>
      <c r="N234" s="77" t="s">
        <v>77</v>
      </c>
      <c r="O234" s="77"/>
      <c r="P234" s="76" t="s">
        <v>162</v>
      </c>
      <c r="Q234" s="183" t="s">
        <v>163</v>
      </c>
      <c r="R234" s="110" t="s">
        <v>93</v>
      </c>
      <c r="S234" s="77">
        <v>2019</v>
      </c>
      <c r="T234" s="179">
        <v>1</v>
      </c>
      <c r="U234" s="180">
        <v>30000</v>
      </c>
      <c r="V234" s="180">
        <f>Table4[[#This Row],[Expected Revenue]]*Table4[[#This Row],[Probability]]</f>
        <v>30000</v>
      </c>
      <c r="W234" s="180">
        <f t="shared" si="18"/>
        <v>20800</v>
      </c>
      <c r="X234" s="179">
        <v>0.35</v>
      </c>
      <c r="Y234" s="180">
        <f>Table4[[#This Row],[Expected Revenue]]*Table4[[#This Row],[Expected CMR]]</f>
        <v>10500</v>
      </c>
      <c r="Z234" s="203" t="s">
        <v>159</v>
      </c>
      <c r="AA234" s="77"/>
      <c r="AB234" s="77"/>
      <c r="AC234" s="180"/>
      <c r="AD234" s="220"/>
      <c r="AE234" s="220"/>
      <c r="AF234" s="220"/>
      <c r="AG234" s="220"/>
      <c r="AH234" s="220"/>
      <c r="AI234" s="188"/>
      <c r="AJ234" s="220"/>
      <c r="AK234" s="979"/>
      <c r="AL234" s="180"/>
      <c r="AM234" s="77"/>
      <c r="AN234" s="77"/>
      <c r="AO234" s="110"/>
      <c r="AP234" s="110"/>
      <c r="AQ234" s="220"/>
      <c r="AR234" s="77"/>
      <c r="AS234" s="179"/>
      <c r="AT234" s="77"/>
      <c r="AU234" s="179"/>
      <c r="AV234" s="77"/>
      <c r="AW234" s="77"/>
    </row>
    <row r="235" spans="1:49" hidden="1">
      <c r="A235" s="173"/>
      <c r="B235" s="75" t="s">
        <v>103</v>
      </c>
      <c r="C235" s="77" t="str">
        <f>CONCATENATE(Table4[[#This Row],[Project]],"-",Table4[[#This Row],[WO]])</f>
        <v>-01</v>
      </c>
      <c r="D235" s="76" t="s">
        <v>156</v>
      </c>
      <c r="E235" s="77" t="s">
        <v>157</v>
      </c>
      <c r="F235" s="77" t="s">
        <v>58</v>
      </c>
      <c r="G235" s="77" t="s">
        <v>59</v>
      </c>
      <c r="H235" s="77" t="s">
        <v>159</v>
      </c>
      <c r="I235" s="102" t="s">
        <v>239</v>
      </c>
      <c r="J235" s="77" t="s">
        <v>62</v>
      </c>
      <c r="K235" s="77" t="s">
        <v>63</v>
      </c>
      <c r="L235" s="77" t="s">
        <v>240</v>
      </c>
      <c r="M235" s="77" t="s">
        <v>65</v>
      </c>
      <c r="N235" s="77" t="s">
        <v>77</v>
      </c>
      <c r="O235" s="77"/>
      <c r="P235" s="76" t="s">
        <v>162</v>
      </c>
      <c r="Q235" s="183" t="s">
        <v>163</v>
      </c>
      <c r="R235" s="110" t="s">
        <v>93</v>
      </c>
      <c r="S235" s="77">
        <v>2019</v>
      </c>
      <c r="T235" s="179">
        <v>1</v>
      </c>
      <c r="U235" s="180">
        <v>30000</v>
      </c>
      <c r="V235" s="180">
        <f>Table4[[#This Row],[Expected Revenue]]*Table4[[#This Row],[Probability]]</f>
        <v>30000</v>
      </c>
      <c r="W235" s="180">
        <f t="shared" si="18"/>
        <v>20800</v>
      </c>
      <c r="X235" s="179">
        <v>0.35</v>
      </c>
      <c r="Y235" s="180">
        <f>Table4[[#This Row],[Expected Revenue]]*Table4[[#This Row],[Expected CMR]]</f>
        <v>10500</v>
      </c>
      <c r="Z235" s="203" t="s">
        <v>159</v>
      </c>
      <c r="AA235" s="77"/>
      <c r="AB235" s="77"/>
      <c r="AC235" s="180"/>
      <c r="AD235" s="220"/>
      <c r="AE235" s="220"/>
      <c r="AF235" s="220"/>
      <c r="AG235" s="220"/>
      <c r="AH235" s="220"/>
      <c r="AI235" s="188"/>
      <c r="AJ235" s="220"/>
      <c r="AK235" s="979"/>
      <c r="AL235" s="180">
        <v>160000</v>
      </c>
      <c r="AM235" s="77" t="s">
        <v>241</v>
      </c>
      <c r="AN235" s="77">
        <v>2019</v>
      </c>
      <c r="AO235" s="110"/>
      <c r="AP235" s="110"/>
      <c r="AQ235" s="220"/>
      <c r="AR235" s="77"/>
      <c r="AS235" s="179"/>
      <c r="AT235" s="77"/>
      <c r="AU235" s="179"/>
      <c r="AV235" s="77"/>
      <c r="AW235" s="77"/>
    </row>
    <row r="236" spans="1:49" hidden="1">
      <c r="A236" s="173">
        <v>201905</v>
      </c>
      <c r="B236" s="75" t="s">
        <v>98</v>
      </c>
      <c r="C236" s="77" t="str">
        <f>CONCATENATE(Table4[[#This Row],[Project]],"-",Table4[[#This Row],[WO]])</f>
        <v>201905-11</v>
      </c>
      <c r="D236" s="76" t="s">
        <v>114</v>
      </c>
      <c r="E236" s="77" t="s">
        <v>57</v>
      </c>
      <c r="F236" s="77" t="s">
        <v>58</v>
      </c>
      <c r="G236" s="77" t="s">
        <v>59</v>
      </c>
      <c r="H236" s="77" t="s">
        <v>105</v>
      </c>
      <c r="I236" s="102" t="s">
        <v>242</v>
      </c>
      <c r="J236" s="77" t="s">
        <v>92</v>
      </c>
      <c r="K236" s="77" t="s">
        <v>63</v>
      </c>
      <c r="L236" s="77" t="s">
        <v>193</v>
      </c>
      <c r="M236" s="77" t="s">
        <v>65</v>
      </c>
      <c r="N236" s="77" t="s">
        <v>77</v>
      </c>
      <c r="O236" s="77"/>
      <c r="P236" s="76" t="s">
        <v>202</v>
      </c>
      <c r="Q236" s="183" t="s">
        <v>203</v>
      </c>
      <c r="R236" s="110" t="s">
        <v>80</v>
      </c>
      <c r="S236" s="77">
        <v>2019</v>
      </c>
      <c r="T236" s="179">
        <v>1</v>
      </c>
      <c r="U236" s="180">
        <v>15000</v>
      </c>
      <c r="V236" s="180">
        <f>Table4[[#This Row],[Expected Revenue]]*Table4[[#This Row],[Probability]]</f>
        <v>15000</v>
      </c>
      <c r="W236" s="180">
        <f t="shared" si="18"/>
        <v>20800</v>
      </c>
      <c r="X236" s="179">
        <v>0.3</v>
      </c>
      <c r="Y236" s="180">
        <f>Table4[[#This Row],[Expected Revenue]]*Table4[[#This Row],[Expected CMR]]</f>
        <v>4500</v>
      </c>
      <c r="Z236" s="203" t="s">
        <v>105</v>
      </c>
      <c r="AA236" s="77"/>
      <c r="AB236" s="77"/>
      <c r="AC236" s="180"/>
      <c r="AD236" s="220"/>
      <c r="AE236" s="220"/>
      <c r="AF236" s="220"/>
      <c r="AG236" s="220"/>
      <c r="AH236" s="220"/>
      <c r="AI236" s="188"/>
      <c r="AJ236" s="220"/>
      <c r="AK236" s="182"/>
      <c r="AL236" s="180"/>
      <c r="AM236" s="77"/>
      <c r="AN236" s="77"/>
      <c r="AO236" s="110" t="str">
        <f>IF(AE236&gt;0,AE236+3," - ")</f>
        <v xml:space="preserve"> - </v>
      </c>
      <c r="AP236" s="110" t="str">
        <f>IF(AE236&gt;0,AE236+14," - ")</f>
        <v xml:space="preserve"> - </v>
      </c>
      <c r="AQ236" s="220"/>
      <c r="AR236" s="77" t="str">
        <f ca="1">IF(AD236=0,"-",IF(AQ236&gt;0,"Delivered",IF(TODAY()&gt;AP236,"Overdue",IF(TODAY()&lt;AP236,"In Progress"))))</f>
        <v>-</v>
      </c>
      <c r="AS236" s="179"/>
      <c r="AT236" s="77"/>
      <c r="AU236" s="179"/>
      <c r="AV236" s="77"/>
      <c r="AW236" s="77"/>
    </row>
    <row r="237" spans="1:49" hidden="1">
      <c r="A237" s="173">
        <v>201902</v>
      </c>
      <c r="B237" s="75" t="s">
        <v>98</v>
      </c>
      <c r="C237" s="77" t="str">
        <f>CONCATENATE(Table4[[#This Row],[Project]],"-",Table4[[#This Row],[WO]])</f>
        <v>201902-11</v>
      </c>
      <c r="D237" s="76" t="s">
        <v>104</v>
      </c>
      <c r="E237" s="77" t="s">
        <v>57</v>
      </c>
      <c r="F237" s="77" t="s">
        <v>58</v>
      </c>
      <c r="G237" s="77" t="s">
        <v>59</v>
      </c>
      <c r="H237" s="77" t="s">
        <v>105</v>
      </c>
      <c r="I237" s="102" t="s">
        <v>243</v>
      </c>
      <c r="J237" s="77" t="s">
        <v>62</v>
      </c>
      <c r="K237" s="77" t="s">
        <v>63</v>
      </c>
      <c r="L237" s="77" t="s">
        <v>193</v>
      </c>
      <c r="M237" s="77" t="s">
        <v>65</v>
      </c>
      <c r="N237" s="77" t="s">
        <v>77</v>
      </c>
      <c r="O237" s="77"/>
      <c r="P237" s="76" t="s">
        <v>211</v>
      </c>
      <c r="Q237" s="183" t="s">
        <v>212</v>
      </c>
      <c r="R237" s="110" t="s">
        <v>93</v>
      </c>
      <c r="S237" s="77">
        <v>2019</v>
      </c>
      <c r="T237" s="179">
        <v>1</v>
      </c>
      <c r="U237" s="180">
        <v>6714</v>
      </c>
      <c r="V237" s="180">
        <f>Table4[[#This Row],[Expected Revenue]]*Table4[[#This Row],[Probability]]</f>
        <v>6714</v>
      </c>
      <c r="W237" s="180">
        <f t="shared" si="18"/>
        <v>20800</v>
      </c>
      <c r="X237" s="179">
        <v>0.3</v>
      </c>
      <c r="Y237" s="180">
        <f>Table4[[#This Row],[Expected Revenue]]*Table4[[#This Row],[Expected CMR]]</f>
        <v>2014.1999999999998</v>
      </c>
      <c r="Z237" s="203" t="s">
        <v>105</v>
      </c>
      <c r="AA237" s="77" t="s">
        <v>100</v>
      </c>
      <c r="AB237" s="181" t="s">
        <v>244</v>
      </c>
      <c r="AC237" s="180">
        <v>6714</v>
      </c>
      <c r="AD237" s="220">
        <v>43476</v>
      </c>
      <c r="AE237" s="220">
        <v>43481</v>
      </c>
      <c r="AF237" s="220"/>
      <c r="AG237" s="220"/>
      <c r="AH237" s="220"/>
      <c r="AI237" s="188"/>
      <c r="AJ237" s="220"/>
      <c r="AK237" s="182" t="s">
        <v>100</v>
      </c>
      <c r="AL237" s="180">
        <v>6714</v>
      </c>
      <c r="AM237" s="77" t="s">
        <v>93</v>
      </c>
      <c r="AN237" s="77">
        <v>2019</v>
      </c>
      <c r="AO237" s="110">
        <f>IF(AE237&gt;0,AE237+3," - ")</f>
        <v>43484</v>
      </c>
      <c r="AP237" s="110">
        <f>IF(AE237&gt;0,AE237+14," - ")</f>
        <v>43495</v>
      </c>
      <c r="AQ237" s="220">
        <v>43484</v>
      </c>
      <c r="AR237" s="77" t="str">
        <f ca="1">IF(AD237=0,"-",IF(AQ237&gt;0,"Delivered",IF(TODAY()&gt;AP237,"Overdue",IF(TODAY()&lt;AP237,"In Progress"))))</f>
        <v>Delivered</v>
      </c>
      <c r="AS237" s="179">
        <v>0.45</v>
      </c>
      <c r="AT237" s="77" t="s">
        <v>136</v>
      </c>
      <c r="AU237" s="179"/>
      <c r="AV237" s="77"/>
      <c r="AW237" s="77"/>
    </row>
    <row r="238" spans="1:49" hidden="1">
      <c r="A238" s="173">
        <v>201902</v>
      </c>
      <c r="B238" s="75" t="s">
        <v>98</v>
      </c>
      <c r="C238" s="77" t="str">
        <f>CONCATENATE(Table4[[#This Row],[Project]],"-",Table4[[#This Row],[WO]])</f>
        <v>201902-11</v>
      </c>
      <c r="D238" s="76" t="s">
        <v>104</v>
      </c>
      <c r="E238" s="77" t="s">
        <v>57</v>
      </c>
      <c r="F238" s="77" t="s">
        <v>58</v>
      </c>
      <c r="G238" s="77" t="s">
        <v>59</v>
      </c>
      <c r="H238" s="77" t="s">
        <v>105</v>
      </c>
      <c r="I238" s="102" t="s">
        <v>243</v>
      </c>
      <c r="J238" s="77" t="s">
        <v>62</v>
      </c>
      <c r="K238" s="77" t="s">
        <v>63</v>
      </c>
      <c r="L238" s="77" t="s">
        <v>193</v>
      </c>
      <c r="M238" s="77" t="s">
        <v>65</v>
      </c>
      <c r="N238" s="77" t="s">
        <v>77</v>
      </c>
      <c r="O238" s="77"/>
      <c r="P238" s="76" t="s">
        <v>211</v>
      </c>
      <c r="Q238" s="183" t="s">
        <v>212</v>
      </c>
      <c r="R238" s="110" t="s">
        <v>93</v>
      </c>
      <c r="S238" s="77">
        <v>2019</v>
      </c>
      <c r="T238" s="179">
        <v>1</v>
      </c>
      <c r="U238" s="180">
        <v>9024</v>
      </c>
      <c r="V238" s="180">
        <f>Table4[[#This Row],[Expected Revenue]]*Table4[[#This Row],[Probability]]</f>
        <v>9024</v>
      </c>
      <c r="W238" s="180">
        <f t="shared" si="18"/>
        <v>20800</v>
      </c>
      <c r="X238" s="179">
        <v>0.3</v>
      </c>
      <c r="Y238" s="180">
        <f>Table4[[#This Row],[Expected Revenue]]*Table4[[#This Row],[Expected CMR]]</f>
        <v>2707.2</v>
      </c>
      <c r="Z238" s="203" t="s">
        <v>105</v>
      </c>
      <c r="AA238" s="77" t="s">
        <v>100</v>
      </c>
      <c r="AB238" s="181" t="s">
        <v>245</v>
      </c>
      <c r="AC238" s="180">
        <v>1440.24</v>
      </c>
      <c r="AD238" s="220">
        <v>43488</v>
      </c>
      <c r="AE238" s="220">
        <v>43496</v>
      </c>
      <c r="AF238" s="220"/>
      <c r="AG238" s="220"/>
      <c r="AH238" s="220"/>
      <c r="AI238" s="188"/>
      <c r="AJ238" s="220"/>
      <c r="AK238" s="182" t="s">
        <v>100</v>
      </c>
      <c r="AL238" s="180">
        <v>9024</v>
      </c>
      <c r="AM238" s="77" t="s">
        <v>93</v>
      </c>
      <c r="AN238" s="77">
        <v>2019</v>
      </c>
      <c r="AO238" s="110">
        <f>IF(AE238&gt;0,AE238+3," - ")</f>
        <v>43499</v>
      </c>
      <c r="AP238" s="110">
        <f>IF(AE238&gt;0,AE238+14," - ")</f>
        <v>43510</v>
      </c>
      <c r="AQ238" s="220">
        <v>43500</v>
      </c>
      <c r="AR238" s="77" t="str">
        <f ca="1">IF(AD238=0,"-",IF(AQ238&gt;0,"Delivered",IF(TODAY()&gt;AP238,"Overdue",IF(TODAY()&lt;AP238,"In Progress"))))</f>
        <v>Delivered</v>
      </c>
      <c r="AS238" s="179">
        <v>0.45</v>
      </c>
      <c r="AT238" s="77" t="s">
        <v>136</v>
      </c>
      <c r="AU238" s="179"/>
      <c r="AV238" s="77"/>
      <c r="AW238" s="77"/>
    </row>
    <row r="239" spans="1:49" hidden="1">
      <c r="A239" s="173">
        <v>201803</v>
      </c>
      <c r="B239" s="75" t="s">
        <v>246</v>
      </c>
      <c r="C239" s="77" t="str">
        <f>CONCATENATE(Table4[[#This Row],[Project]],"-",Table4[[#This Row],[WO]])</f>
        <v>201803-15</v>
      </c>
      <c r="D239" s="76" t="s">
        <v>73</v>
      </c>
      <c r="E239" s="77" t="s">
        <v>57</v>
      </c>
      <c r="F239" s="77" t="s">
        <v>58</v>
      </c>
      <c r="G239" s="77" t="s">
        <v>59</v>
      </c>
      <c r="H239" s="77" t="s">
        <v>105</v>
      </c>
      <c r="I239" s="102" t="s">
        <v>247</v>
      </c>
      <c r="J239" s="77" t="s">
        <v>92</v>
      </c>
      <c r="K239" s="77" t="s">
        <v>63</v>
      </c>
      <c r="L239" s="77" t="s">
        <v>217</v>
      </c>
      <c r="M239" s="77" t="s">
        <v>65</v>
      </c>
      <c r="N239" s="77" t="s">
        <v>77</v>
      </c>
      <c r="O239" s="77"/>
      <c r="P239" s="76" t="s">
        <v>78</v>
      </c>
      <c r="Q239" s="183" t="s">
        <v>79</v>
      </c>
      <c r="R239" s="110" t="s">
        <v>80</v>
      </c>
      <c r="S239" s="77">
        <v>2019</v>
      </c>
      <c r="T239" s="179">
        <v>1</v>
      </c>
      <c r="U239" s="180">
        <v>85890.33</v>
      </c>
      <c r="V239" s="180">
        <f>Table4[[#This Row],[Expected Revenue]]*Table4[[#This Row],[Probability]]</f>
        <v>85890.33</v>
      </c>
      <c r="W239" s="180">
        <f t="shared" si="18"/>
        <v>20800</v>
      </c>
      <c r="X239" s="179">
        <v>0.3</v>
      </c>
      <c r="Y239" s="180">
        <f>Table4[[#This Row],[Rev. Based on PROB]]*Table4[[#This Row],[Expected CMR]]</f>
        <v>25767.098999999998</v>
      </c>
      <c r="Z239" s="203" t="s">
        <v>105</v>
      </c>
      <c r="AA239" s="77" t="s">
        <v>100</v>
      </c>
      <c r="AB239" s="181" t="s">
        <v>248</v>
      </c>
      <c r="AC239" s="180">
        <v>23346.61</v>
      </c>
      <c r="AD239" s="220">
        <v>43475</v>
      </c>
      <c r="AE239" s="220">
        <v>43504</v>
      </c>
      <c r="AF239" s="220"/>
      <c r="AG239" s="220"/>
      <c r="AH239" s="220"/>
      <c r="AI239" s="188"/>
      <c r="AJ239" s="220"/>
      <c r="AK239" s="182" t="s">
        <v>100</v>
      </c>
      <c r="AL239" s="180">
        <v>85890.33</v>
      </c>
      <c r="AM239" s="77" t="s">
        <v>139</v>
      </c>
      <c r="AN239" s="77">
        <v>2019</v>
      </c>
      <c r="AO239" s="110">
        <f>IF(Table4[[#This Row],[Finish (demob)]]&lt;&gt;"",Table4[[#This Row],[Finish (demob)]]+10,"")</f>
        <v>43514</v>
      </c>
      <c r="AP239" s="110">
        <f>IF(Table4[[#This Row],[Finish (demob)]]&lt;&gt;"",Table4[[#This Row],[Finish (demob)]]+10,"")</f>
        <v>43514</v>
      </c>
      <c r="AQ239" s="220">
        <v>43493</v>
      </c>
      <c r="AR239" s="77" t="str">
        <f>IF(Table4[[#This Row],[Date Report is delivered:]]&lt;&gt;"", "Delivered", "")</f>
        <v>Delivered</v>
      </c>
      <c r="AS239" s="179">
        <v>0.38</v>
      </c>
      <c r="AT239" s="77" t="s">
        <v>136</v>
      </c>
      <c r="AU239" s="179"/>
      <c r="AV239" s="77"/>
      <c r="AW239" s="77"/>
    </row>
    <row r="240" spans="1:49" hidden="1">
      <c r="A240" s="173">
        <v>201903</v>
      </c>
      <c r="B240" s="75" t="s">
        <v>69</v>
      </c>
      <c r="C240" s="77" t="str">
        <f>CONCATENATE(Table4[[#This Row],[Project]],"-",Table4[[#This Row],[WO]])</f>
        <v>201903-12</v>
      </c>
      <c r="D240" s="76" t="s">
        <v>73</v>
      </c>
      <c r="E240" s="77" t="s">
        <v>57</v>
      </c>
      <c r="F240" s="77" t="s">
        <v>58</v>
      </c>
      <c r="G240" s="77" t="s">
        <v>59</v>
      </c>
      <c r="H240" s="77" t="s">
        <v>105</v>
      </c>
      <c r="I240" s="102" t="s">
        <v>249</v>
      </c>
      <c r="J240" s="77" t="s">
        <v>88</v>
      </c>
      <c r="K240" s="77" t="s">
        <v>63</v>
      </c>
      <c r="L240" s="77" t="s">
        <v>217</v>
      </c>
      <c r="M240" s="77" t="s">
        <v>65</v>
      </c>
      <c r="N240" s="77" t="s">
        <v>77</v>
      </c>
      <c r="O240" s="77"/>
      <c r="P240" s="76" t="s">
        <v>78</v>
      </c>
      <c r="Q240" s="183" t="s">
        <v>79</v>
      </c>
      <c r="R240" s="110" t="s">
        <v>93</v>
      </c>
      <c r="S240" s="77">
        <v>2019</v>
      </c>
      <c r="T240" s="179">
        <v>1</v>
      </c>
      <c r="U240" s="180">
        <v>28009</v>
      </c>
      <c r="V240" s="180">
        <f>Table4[[#This Row],[Expected Revenue]]*Table4[[#This Row],[Probability]]</f>
        <v>28009</v>
      </c>
      <c r="W240" s="180">
        <f t="shared" si="18"/>
        <v>20800</v>
      </c>
      <c r="X240" s="179">
        <v>0.3</v>
      </c>
      <c r="Y240" s="180">
        <f>Table4[[#This Row],[Rev. Based on PROB]]*Table4[[#This Row],[Expected CMR]]</f>
        <v>8402.6999999999989</v>
      </c>
      <c r="Z240" s="203" t="s">
        <v>105</v>
      </c>
      <c r="AA240" s="77" t="s">
        <v>100</v>
      </c>
      <c r="AB240" s="181" t="s">
        <v>250</v>
      </c>
      <c r="AC240" s="180">
        <v>28009</v>
      </c>
      <c r="AD240" s="220">
        <v>43486</v>
      </c>
      <c r="AE240" s="220">
        <v>43491</v>
      </c>
      <c r="AF240" s="220"/>
      <c r="AG240" s="220"/>
      <c r="AH240" s="220"/>
      <c r="AI240" s="188"/>
      <c r="AJ240" s="220"/>
      <c r="AK240" s="182" t="s">
        <v>100</v>
      </c>
      <c r="AL240" s="180">
        <v>28009</v>
      </c>
      <c r="AM240" s="77" t="s">
        <v>93</v>
      </c>
      <c r="AN240" s="77">
        <v>2019</v>
      </c>
      <c r="AO240" s="110">
        <f>IF(Table4[[#This Row],[Finish (demob)]]&lt;&gt;"",Table4[[#This Row],[Finish (demob)]]+10,"")</f>
        <v>43501</v>
      </c>
      <c r="AP240" s="110">
        <f>IF(Table4[[#This Row],[Finish (demob)]]&lt;&gt;"",Table4[[#This Row],[Finish (demob)]]+10,"")</f>
        <v>43501</v>
      </c>
      <c r="AQ240" s="220">
        <v>43493</v>
      </c>
      <c r="AR240" s="77" t="str">
        <f>IF(Table4[[#This Row],[Date Report is delivered:]]&lt;&gt;"", "Delivered", "")</f>
        <v>Delivered</v>
      </c>
      <c r="AS240" s="179">
        <v>0.55000000000000004</v>
      </c>
      <c r="AT240" s="77" t="s">
        <v>144</v>
      </c>
      <c r="AU240" s="179"/>
      <c r="AV240" s="77"/>
      <c r="AW240" s="77"/>
    </row>
    <row r="241" spans="1:49" s="79" customFormat="1" hidden="1">
      <c r="A241" s="173">
        <v>201901</v>
      </c>
      <c r="B241" s="75" t="s">
        <v>98</v>
      </c>
      <c r="C241" s="77" t="str">
        <f>CONCATENATE(Table4[[#This Row],[Project]],"-",Table4[[#This Row],[WO]])</f>
        <v>201901-11</v>
      </c>
      <c r="D241" s="76" t="s">
        <v>225</v>
      </c>
      <c r="E241" s="77" t="s">
        <v>57</v>
      </c>
      <c r="F241" s="77" t="s">
        <v>58</v>
      </c>
      <c r="G241" s="77" t="s">
        <v>226</v>
      </c>
      <c r="H241" s="77" t="s">
        <v>60</v>
      </c>
      <c r="I241" s="102" t="s">
        <v>236</v>
      </c>
      <c r="J241" s="77" t="s">
        <v>251</v>
      </c>
      <c r="K241" s="77" t="s">
        <v>63</v>
      </c>
      <c r="L241" s="77" t="s">
        <v>193</v>
      </c>
      <c r="M241" s="77" t="s">
        <v>65</v>
      </c>
      <c r="N241" s="77" t="s">
        <v>77</v>
      </c>
      <c r="O241" s="77"/>
      <c r="P241" s="76" t="s">
        <v>227</v>
      </c>
      <c r="Q241" s="183" t="s">
        <v>228</v>
      </c>
      <c r="R241" s="110" t="s">
        <v>89</v>
      </c>
      <c r="S241" s="77">
        <v>2019</v>
      </c>
      <c r="T241" s="179">
        <v>1</v>
      </c>
      <c r="U241" s="180">
        <v>500000</v>
      </c>
      <c r="V241" s="180">
        <f>Table4[[#This Row],[Expected Revenue]]*Table4[[#This Row],[Probability]]</f>
        <v>500000</v>
      </c>
      <c r="W241" s="180">
        <f t="shared" si="18"/>
        <v>20800</v>
      </c>
      <c r="X241" s="179">
        <v>0.3</v>
      </c>
      <c r="Y241" s="180">
        <f>Table4[[#This Row],[Expected Revenue]]*Table4[[#This Row],[Expected CMR]]</f>
        <v>150000</v>
      </c>
      <c r="Z241" s="203" t="s">
        <v>60</v>
      </c>
      <c r="AA241" s="77"/>
      <c r="AB241" s="77"/>
      <c r="AC241" s="180"/>
      <c r="AD241" s="220"/>
      <c r="AE241" s="220"/>
      <c r="AF241" s="220"/>
      <c r="AG241" s="220"/>
      <c r="AH241" s="220"/>
      <c r="AI241" s="188"/>
      <c r="AJ241" s="220"/>
      <c r="AK241" s="979"/>
      <c r="AL241" s="180"/>
      <c r="AM241" s="77"/>
      <c r="AN241" s="77"/>
      <c r="AO241" s="110" t="str">
        <f t="shared" ref="AO241:AO250" si="26">IF(AE241&gt;0,AE241+3," - ")</f>
        <v xml:space="preserve"> - </v>
      </c>
      <c r="AP241" s="110" t="str">
        <f t="shared" ref="AP241:AP250" si="27">IF(AE241&gt;0,AE241+14," - ")</f>
        <v xml:space="preserve"> - </v>
      </c>
      <c r="AQ241" s="220"/>
      <c r="AR241" s="77" t="str">
        <f t="shared" ref="AR241:AR250" ca="1" si="28">IF(AD241=0,"-",IF(AQ241&gt;0,"Delivered",IF(TODAY()&gt;AP241,"Overdue",IF(TODAY()&lt;AP241,"In Progress"))))</f>
        <v>-</v>
      </c>
      <c r="AS241" s="179"/>
      <c r="AT241" s="77"/>
      <c r="AU241" s="179"/>
      <c r="AV241" s="77"/>
      <c r="AW241" s="180"/>
    </row>
    <row r="242" spans="1:49" hidden="1">
      <c r="A242" s="173">
        <v>201910</v>
      </c>
      <c r="B242" s="176" t="s">
        <v>98</v>
      </c>
      <c r="C242" s="83" t="str">
        <f>CONCATENATE(Table4[[#This Row],[Project]],"-",Table4[[#This Row],[WO]])</f>
        <v>201910-11</v>
      </c>
      <c r="D242" s="82" t="s">
        <v>130</v>
      </c>
      <c r="E242" s="83" t="s">
        <v>57</v>
      </c>
      <c r="F242" s="83" t="s">
        <v>58</v>
      </c>
      <c r="G242" s="83" t="s">
        <v>59</v>
      </c>
      <c r="H242" s="83" t="s">
        <v>105</v>
      </c>
      <c r="I242" s="103" t="s">
        <v>252</v>
      </c>
      <c r="J242" s="83" t="s">
        <v>209</v>
      </c>
      <c r="K242" s="83" t="s">
        <v>63</v>
      </c>
      <c r="L242" s="83" t="s">
        <v>193</v>
      </c>
      <c r="M242" s="83" t="s">
        <v>65</v>
      </c>
      <c r="N242" s="83" t="s">
        <v>77</v>
      </c>
      <c r="O242" s="83"/>
      <c r="P242" s="82" t="s">
        <v>223</v>
      </c>
      <c r="Q242" s="198" t="s">
        <v>224</v>
      </c>
      <c r="R242" s="156" t="s">
        <v>93</v>
      </c>
      <c r="S242" s="83">
        <v>2019</v>
      </c>
      <c r="T242" s="195">
        <v>1</v>
      </c>
      <c r="U242" s="190">
        <v>20000</v>
      </c>
      <c r="V242" s="190">
        <f>Table4[[#This Row],[Expected Revenue]]*Table4[[#This Row],[Probability]]</f>
        <v>20000</v>
      </c>
      <c r="W242" s="190">
        <f t="shared" si="18"/>
        <v>20800</v>
      </c>
      <c r="X242" s="195">
        <v>0.3</v>
      </c>
      <c r="Y242" s="190">
        <f>Table4[[#This Row],[Expected Revenue]]*Table4[[#This Row],[Expected CMR]]</f>
        <v>6000</v>
      </c>
      <c r="Z242" s="217" t="s">
        <v>105</v>
      </c>
      <c r="AA242" s="83"/>
      <c r="AB242" s="83"/>
      <c r="AC242" s="190"/>
      <c r="AD242" s="196"/>
      <c r="AE242" s="196"/>
      <c r="AF242" s="196"/>
      <c r="AG242" s="196"/>
      <c r="AH242" s="196"/>
      <c r="AI242" s="197"/>
      <c r="AJ242" s="196"/>
      <c r="AK242" s="981"/>
      <c r="AL242" s="190"/>
      <c r="AM242" s="83"/>
      <c r="AN242" s="83"/>
      <c r="AO242" s="156" t="str">
        <f t="shared" si="26"/>
        <v xml:space="preserve"> - </v>
      </c>
      <c r="AP242" s="156" t="str">
        <f t="shared" si="27"/>
        <v xml:space="preserve"> - </v>
      </c>
      <c r="AQ242" s="196"/>
      <c r="AR242" s="77" t="str">
        <f t="shared" ca="1" si="28"/>
        <v>-</v>
      </c>
      <c r="AS242" s="195"/>
      <c r="AT242" s="83"/>
      <c r="AU242" s="179"/>
      <c r="AV242" s="77"/>
      <c r="AW242" s="77"/>
    </row>
    <row r="243" spans="1:49" hidden="1">
      <c r="A243" s="174">
        <v>618038</v>
      </c>
      <c r="B243" s="174">
        <v>1</v>
      </c>
      <c r="C243" s="174" t="str">
        <f>CONCATENATE(Table4[[#This Row],[Project]],"-",Table4[[#This Row],[WO]])</f>
        <v>618038-1</v>
      </c>
      <c r="D243" s="82" t="s">
        <v>253</v>
      </c>
      <c r="E243" s="83" t="s">
        <v>254</v>
      </c>
      <c r="F243" s="83"/>
      <c r="G243" s="83"/>
      <c r="H243" s="83" t="s">
        <v>159</v>
      </c>
      <c r="I243" s="103" t="s">
        <v>255</v>
      </c>
      <c r="J243" s="83" t="s">
        <v>209</v>
      </c>
      <c r="K243" s="83"/>
      <c r="L243" s="83"/>
      <c r="M243" s="83" t="s">
        <v>256</v>
      </c>
      <c r="N243" s="83" t="s">
        <v>176</v>
      </c>
      <c r="O243" s="83"/>
      <c r="P243" s="82"/>
      <c r="Q243" s="199"/>
      <c r="R243" s="156" t="s">
        <v>80</v>
      </c>
      <c r="S243" s="83">
        <v>2019</v>
      </c>
      <c r="T243" s="195">
        <v>1</v>
      </c>
      <c r="U243" s="190">
        <v>70000</v>
      </c>
      <c r="V243" s="190">
        <f>Table4[[#This Row],[Expected Revenue]]*Table4[[#This Row],[Probability]]</f>
        <v>70000</v>
      </c>
      <c r="W243" s="190">
        <f t="shared" si="18"/>
        <v>20800</v>
      </c>
      <c r="X243" s="195">
        <v>0.3</v>
      </c>
      <c r="Y243" s="190">
        <f>Table4[[#This Row],[Expected Revenue]]*Table4[[#This Row],[Expected CMR]]</f>
        <v>21000</v>
      </c>
      <c r="Z243" s="217" t="s">
        <v>159</v>
      </c>
      <c r="AA243" s="83"/>
      <c r="AB243" s="83"/>
      <c r="AC243" s="190"/>
      <c r="AD243" s="196"/>
      <c r="AE243" s="196"/>
      <c r="AF243" s="196"/>
      <c r="AG243" s="196"/>
      <c r="AH243" s="196"/>
      <c r="AI243" s="197"/>
      <c r="AJ243" s="196"/>
      <c r="AK243" s="981"/>
      <c r="AL243" s="190"/>
      <c r="AM243" s="83"/>
      <c r="AN243" s="83"/>
      <c r="AO243" s="156" t="str">
        <f t="shared" si="26"/>
        <v xml:space="preserve"> - </v>
      </c>
      <c r="AP243" s="156" t="str">
        <f t="shared" si="27"/>
        <v xml:space="preserve"> - </v>
      </c>
      <c r="AQ243" s="196"/>
      <c r="AR243" s="83" t="str">
        <f t="shared" ca="1" si="28"/>
        <v>-</v>
      </c>
      <c r="AS243" s="195"/>
      <c r="AT243" s="83"/>
      <c r="AU243" s="179"/>
      <c r="AV243" s="77"/>
      <c r="AW243" s="77"/>
    </row>
    <row r="244" spans="1:49" hidden="1">
      <c r="A244" s="173"/>
      <c r="B244" s="173"/>
      <c r="C244" s="173" t="str">
        <f>CONCATENATE(Table4[[#This Row],[Project]],"-",Table4[[#This Row],[WO]])</f>
        <v>-</v>
      </c>
      <c r="D244" s="76" t="s">
        <v>172</v>
      </c>
      <c r="E244" s="77" t="s">
        <v>172</v>
      </c>
      <c r="F244" s="77" t="s">
        <v>158</v>
      </c>
      <c r="G244" s="77" t="s">
        <v>257</v>
      </c>
      <c r="H244" s="83" t="s">
        <v>105</v>
      </c>
      <c r="I244" s="102" t="s">
        <v>62</v>
      </c>
      <c r="J244" s="77" t="s">
        <v>62</v>
      </c>
      <c r="K244" s="77" t="s">
        <v>63</v>
      </c>
      <c r="L244" s="77" t="s">
        <v>258</v>
      </c>
      <c r="M244" s="77" t="s">
        <v>65</v>
      </c>
      <c r="N244" s="77" t="s">
        <v>77</v>
      </c>
      <c r="O244" s="76" t="s">
        <v>259</v>
      </c>
      <c r="P244" s="76"/>
      <c r="Q244" s="178"/>
      <c r="R244" s="110" t="s">
        <v>139</v>
      </c>
      <c r="S244" s="77">
        <v>2019</v>
      </c>
      <c r="T244" s="179">
        <v>0.5</v>
      </c>
      <c r="U244" s="180">
        <v>13000</v>
      </c>
      <c r="V244" s="180">
        <f>Table4[[#This Row],[Expected Revenue]]*Table4[[#This Row],[Probability]]</f>
        <v>6500</v>
      </c>
      <c r="W244" s="190">
        <f t="shared" si="18"/>
        <v>20800</v>
      </c>
      <c r="X244" s="195">
        <v>0.3</v>
      </c>
      <c r="Y244" s="190">
        <f>Table4[[#This Row],[Expected Revenue]]*Table4[[#This Row],[Expected CMR]]</f>
        <v>3900</v>
      </c>
      <c r="Z244" s="217" t="s">
        <v>105</v>
      </c>
      <c r="AA244" s="77"/>
      <c r="AB244" s="77"/>
      <c r="AC244" s="180"/>
      <c r="AD244" s="220"/>
      <c r="AE244" s="220"/>
      <c r="AF244" s="220"/>
      <c r="AG244" s="220"/>
      <c r="AH244" s="220"/>
      <c r="AI244" s="188"/>
      <c r="AJ244" s="220"/>
      <c r="AK244" s="979"/>
      <c r="AL244" s="180"/>
      <c r="AM244" s="77"/>
      <c r="AN244" s="77"/>
      <c r="AO244" s="110" t="str">
        <f t="shared" si="26"/>
        <v xml:space="preserve"> - </v>
      </c>
      <c r="AP244" s="110" t="str">
        <f t="shared" si="27"/>
        <v xml:space="preserve"> - </v>
      </c>
      <c r="AQ244" s="220"/>
      <c r="AR244" s="77" t="str">
        <f t="shared" ca="1" si="28"/>
        <v>-</v>
      </c>
      <c r="AS244" s="179"/>
      <c r="AT244" s="77"/>
      <c r="AU244" s="179"/>
      <c r="AV244" s="77"/>
      <c r="AW244" s="77"/>
    </row>
    <row r="245" spans="1:49" hidden="1">
      <c r="A245" s="173"/>
      <c r="B245" s="173"/>
      <c r="C245" s="173" t="str">
        <f>CONCATENATE(Table4[[#This Row],[Project]],"-",Table4[[#This Row],[WO]])</f>
        <v>-</v>
      </c>
      <c r="D245" s="76" t="s">
        <v>172</v>
      </c>
      <c r="E245" s="77" t="s">
        <v>172</v>
      </c>
      <c r="F245" s="77" t="s">
        <v>158</v>
      </c>
      <c r="G245" s="77" t="s">
        <v>257</v>
      </c>
      <c r="H245" s="83" t="s">
        <v>105</v>
      </c>
      <c r="I245" s="102" t="s">
        <v>62</v>
      </c>
      <c r="J245" s="77" t="s">
        <v>62</v>
      </c>
      <c r="K245" s="77" t="s">
        <v>63</v>
      </c>
      <c r="L245" s="77" t="s">
        <v>258</v>
      </c>
      <c r="M245" s="77" t="s">
        <v>257</v>
      </c>
      <c r="N245" s="77" t="s">
        <v>77</v>
      </c>
      <c r="O245" s="76" t="s">
        <v>259</v>
      </c>
      <c r="P245" s="76"/>
      <c r="Q245" s="178"/>
      <c r="R245" s="110" t="s">
        <v>230</v>
      </c>
      <c r="S245" s="77">
        <v>2019</v>
      </c>
      <c r="T245" s="179">
        <v>0.5</v>
      </c>
      <c r="U245" s="180">
        <v>20000</v>
      </c>
      <c r="V245" s="180">
        <f>Table4[[#This Row],[Expected Revenue]]*Table4[[#This Row],[Probability]]</f>
        <v>10000</v>
      </c>
      <c r="W245" s="190">
        <f t="shared" si="18"/>
        <v>20800</v>
      </c>
      <c r="X245" s="195">
        <v>0.3</v>
      </c>
      <c r="Y245" s="190">
        <f>Table4[[#This Row],[Expected Revenue]]*Table4[[#This Row],[Expected CMR]]</f>
        <v>6000</v>
      </c>
      <c r="Z245" s="217" t="s">
        <v>105</v>
      </c>
      <c r="AA245" s="77"/>
      <c r="AB245" s="77"/>
      <c r="AC245" s="180"/>
      <c r="AD245" s="220"/>
      <c r="AE245" s="220"/>
      <c r="AF245" s="220"/>
      <c r="AG245" s="220"/>
      <c r="AH245" s="220"/>
      <c r="AI245" s="188"/>
      <c r="AJ245" s="220"/>
      <c r="AK245" s="979"/>
      <c r="AL245" s="180"/>
      <c r="AM245" s="77"/>
      <c r="AN245" s="77"/>
      <c r="AO245" s="110" t="str">
        <f t="shared" si="26"/>
        <v xml:space="preserve"> - </v>
      </c>
      <c r="AP245" s="110" t="str">
        <f t="shared" si="27"/>
        <v xml:space="preserve"> - </v>
      </c>
      <c r="AQ245" s="220"/>
      <c r="AR245" s="77" t="str">
        <f t="shared" ca="1" si="28"/>
        <v>-</v>
      </c>
      <c r="AS245" s="77"/>
      <c r="AT245" s="77"/>
      <c r="AU245" s="77"/>
      <c r="AV245" s="77"/>
      <c r="AW245" s="77"/>
    </row>
    <row r="246" spans="1:49" hidden="1">
      <c r="A246" s="173">
        <v>618038</v>
      </c>
      <c r="B246" s="174">
        <v>1</v>
      </c>
      <c r="C246" s="174" t="str">
        <f>CONCATENATE(Table4[[#This Row],[Project]],"-",Table4[[#This Row],[WO]])</f>
        <v>618038-1</v>
      </c>
      <c r="D246" s="82" t="s">
        <v>253</v>
      </c>
      <c r="E246" s="83" t="s">
        <v>254</v>
      </c>
      <c r="F246" s="83"/>
      <c r="G246" s="83"/>
      <c r="H246" s="83" t="s">
        <v>159</v>
      </c>
      <c r="I246" s="103" t="s">
        <v>255</v>
      </c>
      <c r="J246" s="83" t="s">
        <v>209</v>
      </c>
      <c r="K246" s="83"/>
      <c r="L246" s="83"/>
      <c r="M246" s="83" t="s">
        <v>256</v>
      </c>
      <c r="N246" s="83" t="s">
        <v>176</v>
      </c>
      <c r="O246" s="83"/>
      <c r="P246" s="82"/>
      <c r="Q246" s="199"/>
      <c r="R246" s="156" t="s">
        <v>93</v>
      </c>
      <c r="S246" s="83">
        <v>2019</v>
      </c>
      <c r="T246" s="195">
        <v>1</v>
      </c>
      <c r="U246" s="190">
        <v>50000</v>
      </c>
      <c r="V246" s="190">
        <f>Table4[[#This Row],[Expected Revenue]]*Table4[[#This Row],[Probability]]</f>
        <v>50000</v>
      </c>
      <c r="W246" s="190">
        <f t="shared" si="18"/>
        <v>20800</v>
      </c>
      <c r="X246" s="195">
        <v>0.3</v>
      </c>
      <c r="Y246" s="190">
        <f>Table4[[#This Row],[Expected Revenue]]*Table4[[#This Row],[Expected CMR]]</f>
        <v>15000</v>
      </c>
      <c r="Z246" s="217" t="s">
        <v>159</v>
      </c>
      <c r="AA246" s="83"/>
      <c r="AB246" s="83"/>
      <c r="AC246" s="190"/>
      <c r="AD246" s="196"/>
      <c r="AE246" s="196"/>
      <c r="AF246" s="196"/>
      <c r="AG246" s="196"/>
      <c r="AH246" s="196"/>
      <c r="AI246" s="197"/>
      <c r="AJ246" s="196"/>
      <c r="AK246" s="981"/>
      <c r="AL246" s="190"/>
      <c r="AM246" s="83"/>
      <c r="AN246" s="83"/>
      <c r="AO246" s="156" t="str">
        <f t="shared" si="26"/>
        <v xml:space="preserve"> - </v>
      </c>
      <c r="AP246" s="156" t="str">
        <f t="shared" si="27"/>
        <v xml:space="preserve"> - </v>
      </c>
      <c r="AQ246" s="196"/>
      <c r="AR246" s="77" t="str">
        <f t="shared" ca="1" si="28"/>
        <v>-</v>
      </c>
      <c r="AS246" s="195"/>
      <c r="AT246" s="83"/>
      <c r="AU246" s="179"/>
      <c r="AV246" s="77"/>
      <c r="AW246" s="77"/>
    </row>
    <row r="247" spans="1:49" hidden="1">
      <c r="A247" s="173">
        <v>618038</v>
      </c>
      <c r="B247" s="174">
        <v>1</v>
      </c>
      <c r="C247" s="174" t="str">
        <f>CONCATENATE(Table4[[#This Row],[Project]],"-",Table4[[#This Row],[WO]])</f>
        <v>618038-1</v>
      </c>
      <c r="D247" s="82" t="s">
        <v>253</v>
      </c>
      <c r="E247" s="83" t="s">
        <v>254</v>
      </c>
      <c r="F247" s="83"/>
      <c r="G247" s="83"/>
      <c r="H247" s="83" t="s">
        <v>159</v>
      </c>
      <c r="I247" s="103" t="s">
        <v>255</v>
      </c>
      <c r="J247" s="83" t="s">
        <v>209</v>
      </c>
      <c r="K247" s="83"/>
      <c r="L247" s="83"/>
      <c r="M247" s="83" t="s">
        <v>256</v>
      </c>
      <c r="N247" s="83" t="s">
        <v>176</v>
      </c>
      <c r="O247" s="83"/>
      <c r="P247" s="82"/>
      <c r="Q247" s="199"/>
      <c r="R247" s="156" t="s">
        <v>89</v>
      </c>
      <c r="S247" s="83">
        <v>2019</v>
      </c>
      <c r="T247" s="195">
        <v>1</v>
      </c>
      <c r="U247" s="190">
        <v>120000</v>
      </c>
      <c r="V247" s="190">
        <f>Table4[[#This Row],[Expected Revenue]]*Table4[[#This Row],[Probability]]</f>
        <v>120000</v>
      </c>
      <c r="W247" s="190">
        <f t="shared" si="18"/>
        <v>20800</v>
      </c>
      <c r="X247" s="195">
        <v>0.3</v>
      </c>
      <c r="Y247" s="190">
        <f>Table4[[#This Row],[Expected Revenue]]*Table4[[#This Row],[Expected CMR]]</f>
        <v>36000</v>
      </c>
      <c r="Z247" s="217" t="s">
        <v>159</v>
      </c>
      <c r="AA247" s="83"/>
      <c r="AB247" s="83"/>
      <c r="AC247" s="190"/>
      <c r="AD247" s="196"/>
      <c r="AE247" s="196"/>
      <c r="AF247" s="196"/>
      <c r="AG247" s="196"/>
      <c r="AH247" s="196"/>
      <c r="AI247" s="197"/>
      <c r="AJ247" s="196"/>
      <c r="AK247" s="981"/>
      <c r="AL247" s="190"/>
      <c r="AM247" s="83"/>
      <c r="AN247" s="83"/>
      <c r="AO247" s="156" t="str">
        <f t="shared" si="26"/>
        <v xml:space="preserve"> - </v>
      </c>
      <c r="AP247" s="156" t="str">
        <f t="shared" si="27"/>
        <v xml:space="preserve"> - </v>
      </c>
      <c r="AQ247" s="196"/>
      <c r="AR247" s="77" t="str">
        <f t="shared" ca="1" si="28"/>
        <v>-</v>
      </c>
      <c r="AS247" s="195"/>
      <c r="AT247" s="83"/>
      <c r="AU247" s="179"/>
      <c r="AV247" s="77"/>
      <c r="AW247" s="77"/>
    </row>
    <row r="248" spans="1:49" hidden="1">
      <c r="A248" s="173">
        <v>618038</v>
      </c>
      <c r="B248" s="173">
        <v>1</v>
      </c>
      <c r="C248" s="173" t="str">
        <f>CONCATENATE(Table4[[#This Row],[Project]],"-",Table4[[#This Row],[WO]])</f>
        <v>618038-1</v>
      </c>
      <c r="D248" s="76" t="s">
        <v>253</v>
      </c>
      <c r="E248" s="77" t="s">
        <v>254</v>
      </c>
      <c r="F248" s="77"/>
      <c r="G248" s="77"/>
      <c r="H248" s="77" t="s">
        <v>159</v>
      </c>
      <c r="I248" s="102" t="s">
        <v>255</v>
      </c>
      <c r="J248" s="77" t="s">
        <v>209</v>
      </c>
      <c r="K248" s="77"/>
      <c r="L248" s="77"/>
      <c r="M248" s="77" t="s">
        <v>65</v>
      </c>
      <c r="N248" s="77" t="s">
        <v>176</v>
      </c>
      <c r="O248" s="77"/>
      <c r="P248" s="76"/>
      <c r="Q248" s="178"/>
      <c r="R248" s="110" t="s">
        <v>139</v>
      </c>
      <c r="S248" s="77">
        <v>2019</v>
      </c>
      <c r="T248" s="179">
        <v>1</v>
      </c>
      <c r="U248" s="180">
        <v>120000</v>
      </c>
      <c r="V248" s="180">
        <f>Table4[[#This Row],[Expected Revenue]]*Table4[[#This Row],[Probability]]</f>
        <v>120000</v>
      </c>
      <c r="W248" s="180">
        <f t="shared" si="18"/>
        <v>20800</v>
      </c>
      <c r="X248" s="179">
        <v>0.3</v>
      </c>
      <c r="Y248" s="180">
        <f>Table4[[#This Row],[Expected Revenue]]*Table4[[#This Row],[Expected CMR]]</f>
        <v>36000</v>
      </c>
      <c r="Z248" s="203" t="s">
        <v>159</v>
      </c>
      <c r="AA248" s="83"/>
      <c r="AB248" s="77"/>
      <c r="AC248" s="180"/>
      <c r="AD248" s="220"/>
      <c r="AE248" s="220"/>
      <c r="AF248" s="220"/>
      <c r="AG248" s="220"/>
      <c r="AH248" s="220"/>
      <c r="AI248" s="188"/>
      <c r="AJ248" s="220"/>
      <c r="AK248" s="981"/>
      <c r="AL248" s="180"/>
      <c r="AM248" s="83"/>
      <c r="AN248" s="83"/>
      <c r="AO248" s="110" t="str">
        <f t="shared" si="26"/>
        <v xml:space="preserve"> - </v>
      </c>
      <c r="AP248" s="110" t="str">
        <f t="shared" si="27"/>
        <v xml:space="preserve"> - </v>
      </c>
      <c r="AQ248" s="220"/>
      <c r="AR248" s="77" t="str">
        <f t="shared" ca="1" si="28"/>
        <v>-</v>
      </c>
      <c r="AS248" s="195"/>
      <c r="AT248" s="83"/>
      <c r="AU248" s="179"/>
      <c r="AV248" s="77"/>
      <c r="AW248" s="77"/>
    </row>
    <row r="249" spans="1:49" hidden="1">
      <c r="A249" s="173">
        <v>618038</v>
      </c>
      <c r="B249" s="173">
        <v>1</v>
      </c>
      <c r="C249" s="173" t="str">
        <f>CONCATENATE(Table4[[#This Row],[Project]],"-",Table4[[#This Row],[WO]])</f>
        <v>618038-1</v>
      </c>
      <c r="D249" s="76" t="s">
        <v>253</v>
      </c>
      <c r="E249" s="77" t="s">
        <v>254</v>
      </c>
      <c r="F249" s="77"/>
      <c r="G249" s="77"/>
      <c r="H249" s="77" t="s">
        <v>159</v>
      </c>
      <c r="I249" s="102" t="s">
        <v>255</v>
      </c>
      <c r="J249" s="77" t="s">
        <v>209</v>
      </c>
      <c r="K249" s="77"/>
      <c r="L249" s="77"/>
      <c r="M249" s="77" t="s">
        <v>256</v>
      </c>
      <c r="N249" s="77" t="s">
        <v>176</v>
      </c>
      <c r="O249" s="77"/>
      <c r="P249" s="76"/>
      <c r="Q249" s="178"/>
      <c r="R249" s="110" t="s">
        <v>222</v>
      </c>
      <c r="S249" s="77">
        <v>2019</v>
      </c>
      <c r="T249" s="179">
        <v>1</v>
      </c>
      <c r="U249" s="180">
        <v>50000</v>
      </c>
      <c r="V249" s="180">
        <f>Table4[[#This Row],[Expected Revenue]]*Table4[[#This Row],[Probability]]</f>
        <v>50000</v>
      </c>
      <c r="W249" s="180">
        <f t="shared" si="18"/>
        <v>20800</v>
      </c>
      <c r="X249" s="179">
        <v>0.3</v>
      </c>
      <c r="Y249" s="180">
        <f>Table4[[#This Row],[Expected Revenue]]*Table4[[#This Row],[Expected CMR]]</f>
        <v>15000</v>
      </c>
      <c r="Z249" s="203" t="s">
        <v>159</v>
      </c>
      <c r="AA249" s="77"/>
      <c r="AB249" s="77"/>
      <c r="AC249" s="180"/>
      <c r="AD249" s="220"/>
      <c r="AE249" s="220"/>
      <c r="AF249" s="220"/>
      <c r="AG249" s="220"/>
      <c r="AH249" s="220"/>
      <c r="AI249" s="188"/>
      <c r="AJ249" s="220"/>
      <c r="AK249" s="979"/>
      <c r="AL249" s="180"/>
      <c r="AM249" s="77"/>
      <c r="AN249" s="77"/>
      <c r="AO249" s="110" t="str">
        <f t="shared" si="26"/>
        <v xml:space="preserve"> - </v>
      </c>
      <c r="AP249" s="110" t="str">
        <f t="shared" si="27"/>
        <v xml:space="preserve"> - </v>
      </c>
      <c r="AQ249" s="220"/>
      <c r="AR249" s="77" t="str">
        <f t="shared" ca="1" si="28"/>
        <v>-</v>
      </c>
      <c r="AS249" s="179"/>
      <c r="AT249" s="77"/>
      <c r="AU249" s="179"/>
      <c r="AV249" s="77"/>
      <c r="AW249" s="77"/>
    </row>
    <row r="250" spans="1:49" hidden="1">
      <c r="A250" s="173">
        <v>618038</v>
      </c>
      <c r="B250" s="173">
        <v>1</v>
      </c>
      <c r="C250" s="173" t="str">
        <f>CONCATENATE(Table4[[#This Row],[Project]],"-",Table4[[#This Row],[WO]])</f>
        <v>618038-1</v>
      </c>
      <c r="D250" s="76" t="s">
        <v>253</v>
      </c>
      <c r="E250" s="77" t="s">
        <v>254</v>
      </c>
      <c r="F250" s="77"/>
      <c r="G250" s="77"/>
      <c r="H250" s="77" t="s">
        <v>159</v>
      </c>
      <c r="I250" s="102" t="s">
        <v>255</v>
      </c>
      <c r="J250" s="77" t="s">
        <v>209</v>
      </c>
      <c r="K250" s="77"/>
      <c r="L250" s="77"/>
      <c r="M250" s="77" t="s">
        <v>256</v>
      </c>
      <c r="N250" s="77" t="s">
        <v>176</v>
      </c>
      <c r="O250" s="77"/>
      <c r="P250" s="76"/>
      <c r="Q250" s="178"/>
      <c r="R250" s="110" t="s">
        <v>230</v>
      </c>
      <c r="S250" s="77">
        <v>2019</v>
      </c>
      <c r="T250" s="179">
        <v>1</v>
      </c>
      <c r="U250" s="180">
        <v>120000</v>
      </c>
      <c r="V250" s="180">
        <f>Table4[[#This Row],[Expected Revenue]]*Table4[[#This Row],[Probability]]</f>
        <v>120000</v>
      </c>
      <c r="W250" s="180">
        <f t="shared" si="18"/>
        <v>20800</v>
      </c>
      <c r="X250" s="179">
        <v>0.3</v>
      </c>
      <c r="Y250" s="180">
        <f>Table4[[#This Row],[Expected Revenue]]*Table4[[#This Row],[Expected CMR]]</f>
        <v>36000</v>
      </c>
      <c r="Z250" s="203" t="s">
        <v>159</v>
      </c>
      <c r="AA250" s="77"/>
      <c r="AB250" s="77"/>
      <c r="AC250" s="180"/>
      <c r="AD250" s="220"/>
      <c r="AE250" s="220"/>
      <c r="AF250" s="220"/>
      <c r="AG250" s="220"/>
      <c r="AH250" s="220"/>
      <c r="AI250" s="188"/>
      <c r="AJ250" s="220"/>
      <c r="AK250" s="979"/>
      <c r="AL250" s="180"/>
      <c r="AM250" s="77"/>
      <c r="AN250" s="77"/>
      <c r="AO250" s="110" t="str">
        <f t="shared" si="26"/>
        <v xml:space="preserve"> - </v>
      </c>
      <c r="AP250" s="110" t="str">
        <f t="shared" si="27"/>
        <v xml:space="preserve"> - </v>
      </c>
      <c r="AQ250" s="220"/>
      <c r="AR250" s="77" t="str">
        <f t="shared" ca="1" si="28"/>
        <v>-</v>
      </c>
      <c r="AS250" s="179"/>
      <c r="AT250" s="77"/>
      <c r="AU250" s="179"/>
      <c r="AV250" s="77"/>
      <c r="AW250" s="77"/>
    </row>
    <row r="251" spans="1:49" hidden="1">
      <c r="A251" s="173"/>
      <c r="B251" s="173"/>
      <c r="C251" s="173" t="str">
        <f>CONCATENATE(Table4[[#This Row],[Project]],"-",Table4[[#This Row],[WO]])</f>
        <v>-</v>
      </c>
      <c r="D251" s="76" t="s">
        <v>260</v>
      </c>
      <c r="E251" s="77" t="s">
        <v>157</v>
      </c>
      <c r="F251" s="77" t="s">
        <v>58</v>
      </c>
      <c r="G251" s="77" t="s">
        <v>59</v>
      </c>
      <c r="H251" s="77" t="s">
        <v>159</v>
      </c>
      <c r="I251" s="102" t="s">
        <v>261</v>
      </c>
      <c r="J251" s="77" t="s">
        <v>62</v>
      </c>
      <c r="K251" s="77" t="s">
        <v>63</v>
      </c>
      <c r="L251" s="77" t="s">
        <v>240</v>
      </c>
      <c r="M251" s="77" t="s">
        <v>65</v>
      </c>
      <c r="N251" s="77" t="s">
        <v>77</v>
      </c>
      <c r="O251" s="77"/>
      <c r="P251" s="76" t="s">
        <v>162</v>
      </c>
      <c r="Q251" s="183" t="s">
        <v>163</v>
      </c>
      <c r="R251" s="110" t="s">
        <v>80</v>
      </c>
      <c r="S251" s="77">
        <v>2019</v>
      </c>
      <c r="T251" s="179">
        <v>1</v>
      </c>
      <c r="U251" s="180">
        <v>35000</v>
      </c>
      <c r="V251" s="180">
        <f>Table4[[#This Row],[Expected Revenue]]*Table4[[#This Row],[Probability]]</f>
        <v>35000</v>
      </c>
      <c r="W251" s="180">
        <f t="shared" si="18"/>
        <v>20800</v>
      </c>
      <c r="X251" s="179">
        <v>0.35</v>
      </c>
      <c r="Y251" s="180">
        <f>Table4[[#This Row],[Expected Revenue]]*Table4[[#This Row],[Expected CMR]]</f>
        <v>12250</v>
      </c>
      <c r="Z251" s="203" t="s">
        <v>159</v>
      </c>
      <c r="AA251" s="77"/>
      <c r="AB251" s="77"/>
      <c r="AC251" s="180"/>
      <c r="AD251" s="220"/>
      <c r="AE251" s="220"/>
      <c r="AF251" s="220"/>
      <c r="AG251" s="220"/>
      <c r="AH251" s="220"/>
      <c r="AI251" s="188"/>
      <c r="AJ251" s="220"/>
      <c r="AK251" s="979"/>
      <c r="AL251" s="180"/>
      <c r="AM251" s="77"/>
      <c r="AN251" s="77"/>
      <c r="AO251" s="110"/>
      <c r="AP251" s="110"/>
      <c r="AQ251" s="220"/>
      <c r="AR251" s="77"/>
      <c r="AS251" s="179"/>
      <c r="AT251" s="77"/>
      <c r="AU251" s="179"/>
      <c r="AV251" s="77"/>
      <c r="AW251" s="77"/>
    </row>
    <row r="252" spans="1:49" hidden="1">
      <c r="A252" s="173"/>
      <c r="B252" s="173"/>
      <c r="C252" s="173" t="str">
        <f>CONCATENATE(Table4[[#This Row],[Project]],"-",Table4[[#This Row],[WO]])</f>
        <v>-</v>
      </c>
      <c r="D252" s="76" t="s">
        <v>260</v>
      </c>
      <c r="E252" s="77" t="s">
        <v>157</v>
      </c>
      <c r="F252" s="77" t="s">
        <v>58</v>
      </c>
      <c r="G252" s="77" t="s">
        <v>59</v>
      </c>
      <c r="H252" s="77" t="s">
        <v>159</v>
      </c>
      <c r="I252" s="102" t="s">
        <v>261</v>
      </c>
      <c r="J252" s="77" t="s">
        <v>92</v>
      </c>
      <c r="K252" s="77" t="s">
        <v>63</v>
      </c>
      <c r="L252" s="77" t="s">
        <v>240</v>
      </c>
      <c r="M252" s="77" t="s">
        <v>65</v>
      </c>
      <c r="N252" s="77" t="s">
        <v>77</v>
      </c>
      <c r="O252" s="77"/>
      <c r="P252" s="76" t="s">
        <v>162</v>
      </c>
      <c r="Q252" s="183" t="s">
        <v>163</v>
      </c>
      <c r="R252" s="110" t="s">
        <v>139</v>
      </c>
      <c r="S252" s="77">
        <v>2019</v>
      </c>
      <c r="T252" s="179">
        <v>1</v>
      </c>
      <c r="U252" s="180">
        <v>50000</v>
      </c>
      <c r="V252" s="180">
        <f>Table4[[#This Row],[Expected Revenue]]*Table4[[#This Row],[Probability]]</f>
        <v>50000</v>
      </c>
      <c r="W252" s="180">
        <f t="shared" si="18"/>
        <v>20800</v>
      </c>
      <c r="X252" s="179">
        <v>0.35</v>
      </c>
      <c r="Y252" s="180">
        <f>Table4[[#This Row],[Expected Revenue]]*Table4[[#This Row],[Expected CMR]]</f>
        <v>17500</v>
      </c>
      <c r="Z252" s="203" t="s">
        <v>159</v>
      </c>
      <c r="AA252" s="77"/>
      <c r="AB252" s="77"/>
      <c r="AC252" s="180"/>
      <c r="AD252" s="220"/>
      <c r="AE252" s="220"/>
      <c r="AF252" s="220"/>
      <c r="AG252" s="220"/>
      <c r="AH252" s="220"/>
      <c r="AI252" s="188"/>
      <c r="AJ252" s="220"/>
      <c r="AK252" s="979"/>
      <c r="AL252" s="180"/>
      <c r="AM252" s="77"/>
      <c r="AN252" s="77"/>
      <c r="AO252" s="110"/>
      <c r="AP252" s="110"/>
      <c r="AQ252" s="220"/>
      <c r="AR252" s="77"/>
      <c r="AS252" s="179"/>
      <c r="AT252" s="77"/>
      <c r="AU252" s="179"/>
      <c r="AV252" s="77"/>
      <c r="AW252" s="77"/>
    </row>
    <row r="253" spans="1:49" hidden="1">
      <c r="A253" s="173"/>
      <c r="B253" s="173"/>
      <c r="C253" s="173" t="str">
        <f>CONCATENATE(Table4[[#This Row],[Project]],"-",Table4[[#This Row],[WO]])</f>
        <v>-</v>
      </c>
      <c r="D253" s="76" t="s">
        <v>260</v>
      </c>
      <c r="E253" s="77" t="s">
        <v>157</v>
      </c>
      <c r="F253" s="77" t="s">
        <v>58</v>
      </c>
      <c r="G253" s="77" t="s">
        <v>59</v>
      </c>
      <c r="H253" s="77" t="s">
        <v>159</v>
      </c>
      <c r="I253" s="102" t="s">
        <v>261</v>
      </c>
      <c r="J253" s="77" t="s">
        <v>62</v>
      </c>
      <c r="K253" s="77" t="s">
        <v>63</v>
      </c>
      <c r="L253" s="77" t="s">
        <v>240</v>
      </c>
      <c r="M253" s="77" t="s">
        <v>65</v>
      </c>
      <c r="N253" s="77" t="s">
        <v>77</v>
      </c>
      <c r="O253" s="77"/>
      <c r="P253" s="76" t="s">
        <v>162</v>
      </c>
      <c r="Q253" s="183" t="s">
        <v>163</v>
      </c>
      <c r="R253" s="110" t="s">
        <v>93</v>
      </c>
      <c r="S253" s="77">
        <v>2019</v>
      </c>
      <c r="T253" s="179">
        <v>1</v>
      </c>
      <c r="U253" s="180">
        <v>10000</v>
      </c>
      <c r="V253" s="180">
        <f>Table4[[#This Row],[Expected Revenue]]*Table4[[#This Row],[Probability]]</f>
        <v>10000</v>
      </c>
      <c r="W253" s="180">
        <f t="shared" si="18"/>
        <v>20800</v>
      </c>
      <c r="X253" s="179">
        <v>0.35</v>
      </c>
      <c r="Y253" s="180">
        <f>Table4[[#This Row],[Expected Revenue]]*Table4[[#This Row],[Expected CMR]]</f>
        <v>3500</v>
      </c>
      <c r="Z253" s="203" t="s">
        <v>159</v>
      </c>
      <c r="AA253" s="77"/>
      <c r="AB253" s="77"/>
      <c r="AC253" s="180"/>
      <c r="AD253" s="220"/>
      <c r="AE253" s="220"/>
      <c r="AF253" s="220"/>
      <c r="AG253" s="220"/>
      <c r="AH253" s="220"/>
      <c r="AI253" s="188"/>
      <c r="AJ253" s="220"/>
      <c r="AK253" s="979"/>
      <c r="AL253" s="180"/>
      <c r="AM253" s="77"/>
      <c r="AN253" s="77"/>
      <c r="AO253" s="110"/>
      <c r="AP253" s="110"/>
      <c r="AQ253" s="220"/>
      <c r="AR253" s="77"/>
      <c r="AS253" s="179"/>
      <c r="AT253" s="77"/>
      <c r="AU253" s="179"/>
      <c r="AV253" s="77"/>
      <c r="AW253" s="77"/>
    </row>
    <row r="254" spans="1:49" hidden="1">
      <c r="A254" s="173"/>
      <c r="B254" s="173"/>
      <c r="C254" s="173" t="str">
        <f>CONCATENATE(Table4[[#This Row],[Project]],"-",Table4[[#This Row],[WO]])</f>
        <v>-</v>
      </c>
      <c r="D254" s="76"/>
      <c r="E254" s="77"/>
      <c r="F254" s="77"/>
      <c r="G254" s="77"/>
      <c r="H254" s="77"/>
      <c r="I254" s="102"/>
      <c r="J254" s="77"/>
      <c r="K254" s="77"/>
      <c r="L254" s="77"/>
      <c r="M254" s="77"/>
      <c r="N254" s="77"/>
      <c r="O254" s="76"/>
      <c r="P254" s="76"/>
      <c r="Q254" s="77"/>
      <c r="R254" s="110"/>
      <c r="S254" s="77"/>
      <c r="T254" s="77"/>
      <c r="U254" s="77"/>
      <c r="V254" s="180">
        <f>Table4[[#This Row],[Expected Revenue]]*Table4[[#This Row],[Probability]]</f>
        <v>0</v>
      </c>
      <c r="W254" s="180">
        <f t="shared" si="18"/>
        <v>20800</v>
      </c>
      <c r="X254" s="77"/>
      <c r="Y254" s="180">
        <f>Table4[[#This Row],[Rev. Based on PROB]]*Table4[[#This Row],[Expected CMR]]</f>
        <v>0</v>
      </c>
      <c r="Z254" s="203"/>
      <c r="AA254" s="77"/>
      <c r="AB254" s="77"/>
      <c r="AC254" s="180"/>
      <c r="AD254" s="220"/>
      <c r="AE254" s="220"/>
      <c r="AF254" s="220"/>
      <c r="AG254" s="220"/>
      <c r="AH254" s="220"/>
      <c r="AI254" s="188"/>
      <c r="AJ254" s="220"/>
      <c r="AK254" s="979"/>
      <c r="AL254" s="180"/>
      <c r="AM254" s="77"/>
      <c r="AN254" s="77"/>
      <c r="AO254" s="110" t="str">
        <f>IF(Table4[[#This Row],[Finish (demob)]]&lt;&gt;"",Table4[[#This Row],[Finish (demob)]]+10,"")</f>
        <v/>
      </c>
      <c r="AP254" s="110" t="str">
        <f>IF(Table4[[#This Row],[Finish (demob)]]&lt;&gt;"",Table4[[#This Row],[Finish (demob)]]+10,"")</f>
        <v/>
      </c>
      <c r="AQ254" s="220"/>
      <c r="AR254" s="77" t="str">
        <f>IF(Table4[[#This Row],[Date Report is delivered:]]&lt;&gt;"", "Delivered", "")</f>
        <v/>
      </c>
      <c r="AS254" s="77"/>
      <c r="AT254" s="77"/>
      <c r="AU254" s="77"/>
      <c r="AV254" s="77"/>
      <c r="AW254" s="77"/>
    </row>
    <row r="255" spans="1:49">
      <c r="A255" s="173">
        <v>202012</v>
      </c>
      <c r="B255" s="75">
        <v>14</v>
      </c>
      <c r="C255" s="173" t="str">
        <f>CONCATENATE(Table4[[#This Row],[Project]],"-",Table4[[#This Row],[WO]])</f>
        <v>202012-14</v>
      </c>
      <c r="D255" s="76" t="s">
        <v>146</v>
      </c>
      <c r="E255" s="77" t="s">
        <v>57</v>
      </c>
      <c r="F255" s="77" t="s">
        <v>58</v>
      </c>
      <c r="G255" s="77" t="s">
        <v>262</v>
      </c>
      <c r="H255" s="77" t="s">
        <v>263</v>
      </c>
      <c r="I255" s="102" t="s">
        <v>247</v>
      </c>
      <c r="J255" s="77" t="s">
        <v>92</v>
      </c>
      <c r="K255" s="77" t="s">
        <v>63</v>
      </c>
      <c r="L255" s="77" t="s">
        <v>264</v>
      </c>
      <c r="M255" s="77" t="s">
        <v>65</v>
      </c>
      <c r="N255" s="77"/>
      <c r="O255" s="76"/>
      <c r="P255" s="76"/>
      <c r="Q255" s="77"/>
      <c r="R255" s="110"/>
      <c r="S255" s="77"/>
      <c r="T255" s="77"/>
      <c r="U255" s="77"/>
      <c r="V255" s="180">
        <f>Table4[[#This Row],[Expected Revenue]]*Table4[[#This Row],[Probability]]</f>
        <v>0</v>
      </c>
      <c r="W255" s="180">
        <f t="shared" si="18"/>
        <v>20800</v>
      </c>
      <c r="X255" s="77"/>
      <c r="Y255" s="180">
        <f>Table4[[#This Row],[Rev. Based on PROB]]*Table4[[#This Row],[Expected CMR]]</f>
        <v>0</v>
      </c>
      <c r="Z255" s="203"/>
      <c r="AA255" s="77" t="s">
        <v>100</v>
      </c>
      <c r="AB255" s="181" t="s">
        <v>265</v>
      </c>
      <c r="AC255" s="180">
        <v>31040</v>
      </c>
      <c r="AD255" s="220">
        <v>44015</v>
      </c>
      <c r="AE255" s="220"/>
      <c r="AF255" s="220"/>
      <c r="AG255" s="220"/>
      <c r="AH255" s="220"/>
      <c r="AI255" s="188"/>
      <c r="AJ255" s="220"/>
      <c r="AK255" s="979"/>
      <c r="AL255" s="180"/>
      <c r="AM255" s="77"/>
      <c r="AN255" s="77"/>
      <c r="AO255" s="110" t="str">
        <f>IF(Table4[[#This Row],[Finish (demob)]]&lt;&gt;"",Table4[[#This Row],[Finish (demob)]]+10,"")</f>
        <v/>
      </c>
      <c r="AP255" s="110" t="str">
        <f>IF(Table4[[#This Row],[Finish (demob)]]&lt;&gt;"",Table4[[#This Row],[Finish (demob)]]+10,"")</f>
        <v/>
      </c>
      <c r="AQ255" s="220"/>
      <c r="AR255" s="77" t="str">
        <f>IF(Table4[[#This Row],[Date Report is delivered:]]&lt;&gt;"", "Delivered", "")</f>
        <v/>
      </c>
      <c r="AS255" s="77"/>
      <c r="AT255" s="77"/>
      <c r="AU255" s="77"/>
      <c r="AV255" s="77"/>
      <c r="AW255" s="77"/>
    </row>
    <row r="256" spans="1:49">
      <c r="A256" s="173">
        <v>202011</v>
      </c>
      <c r="B256" s="75" t="s">
        <v>90</v>
      </c>
      <c r="C256" s="173" t="str">
        <f>CONCATENATE(Table4[[#This Row],[Project]],"-",Table4[[#This Row],[WO]])</f>
        <v>202011-04</v>
      </c>
      <c r="D256" s="76" t="s">
        <v>137</v>
      </c>
      <c r="E256" s="77" t="s">
        <v>57</v>
      </c>
      <c r="F256" s="77" t="s">
        <v>58</v>
      </c>
      <c r="G256" s="77" t="s">
        <v>262</v>
      </c>
      <c r="H256" s="77" t="s">
        <v>263</v>
      </c>
      <c r="I256" s="102" t="s">
        <v>266</v>
      </c>
      <c r="J256" s="77" t="s">
        <v>92</v>
      </c>
      <c r="K256" s="77" t="s">
        <v>63</v>
      </c>
      <c r="L256" s="83"/>
      <c r="M256" s="83"/>
      <c r="N256" s="83"/>
      <c r="O256" s="82"/>
      <c r="P256" s="82"/>
      <c r="Q256" s="83"/>
      <c r="R256" s="156"/>
      <c r="S256" s="83"/>
      <c r="T256" s="83"/>
      <c r="U256" s="83"/>
      <c r="V256" s="180">
        <f>Table4[[#This Row],[Expected Revenue]]*Table4[[#This Row],[Probability]]</f>
        <v>0</v>
      </c>
      <c r="W256" s="190">
        <f t="shared" si="18"/>
        <v>20800</v>
      </c>
      <c r="X256" s="83"/>
      <c r="Y256" s="180">
        <f>Table4[[#This Row],[Rev. Based on PROB]]*Table4[[#This Row],[Expected CMR]]</f>
        <v>0</v>
      </c>
      <c r="Z256" s="217"/>
      <c r="AA256" s="77" t="s">
        <v>100</v>
      </c>
      <c r="AB256" s="181" t="s">
        <v>267</v>
      </c>
      <c r="AC256" s="180">
        <v>18622</v>
      </c>
      <c r="AD256" s="220">
        <v>44020</v>
      </c>
      <c r="AE256" s="196"/>
      <c r="AF256" s="196"/>
      <c r="AG256" s="196"/>
      <c r="AH256" s="196"/>
      <c r="AI256" s="197"/>
      <c r="AJ256" s="196"/>
      <c r="AK256" s="981"/>
      <c r="AL256" s="190"/>
      <c r="AM256" s="83"/>
      <c r="AN256" s="83"/>
      <c r="AO256" s="110" t="str">
        <f>IF(Table4[[#This Row],[Finish (demob)]]&lt;&gt;"",Table4[[#This Row],[Finish (demob)]]+10,"")</f>
        <v/>
      </c>
      <c r="AP256" s="110" t="str">
        <f>IF(Table4[[#This Row],[Finish (demob)]]&lt;&gt;"",Table4[[#This Row],[Finish (demob)]]+10,"")</f>
        <v/>
      </c>
      <c r="AQ256" s="196"/>
      <c r="AR256" s="77" t="str">
        <f>IF(Table4[[#This Row],[Date Report is delivered:]]&lt;&gt;"", "Delivered", "")</f>
        <v/>
      </c>
      <c r="AS256" s="83"/>
      <c r="AT256" s="83"/>
      <c r="AU256" s="77"/>
      <c r="AV256" s="77"/>
      <c r="AW256" s="77"/>
    </row>
    <row r="257" spans="1:49">
      <c r="A257" s="173">
        <v>619049</v>
      </c>
      <c r="B257" s="75" t="s">
        <v>111</v>
      </c>
      <c r="C257" s="173" t="str">
        <f>CONCATENATE(Table4[[#This Row],[Project]],"-",Table4[[#This Row],[WO]])</f>
        <v>619049-02</v>
      </c>
      <c r="D257" s="76" t="s">
        <v>268</v>
      </c>
      <c r="E257" s="77" t="s">
        <v>269</v>
      </c>
      <c r="F257" s="77" t="s">
        <v>158</v>
      </c>
      <c r="G257" s="77" t="s">
        <v>262</v>
      </c>
      <c r="H257" s="77" t="s">
        <v>74</v>
      </c>
      <c r="I257" s="102" t="s">
        <v>270</v>
      </c>
      <c r="J257" s="77" t="s">
        <v>271</v>
      </c>
      <c r="K257" s="77" t="s">
        <v>63</v>
      </c>
      <c r="L257" s="77"/>
      <c r="M257" s="77"/>
      <c r="N257" s="77"/>
      <c r="O257" s="76"/>
      <c r="P257" s="76"/>
      <c r="Q257" s="77"/>
      <c r="R257" s="110"/>
      <c r="S257" s="77"/>
      <c r="T257" s="77"/>
      <c r="U257" s="77"/>
      <c r="V257" s="180">
        <f>Table4[[#This Row],[Expected Revenue]]*Table4[[#This Row],[Probability]]</f>
        <v>0</v>
      </c>
      <c r="W257" s="180">
        <f t="shared" si="18"/>
        <v>20800</v>
      </c>
      <c r="X257" s="77"/>
      <c r="Y257" s="180">
        <f>Table4[[#This Row],[Rev. Based on PROB]]*Table4[[#This Row],[Expected CMR]]</f>
        <v>0</v>
      </c>
      <c r="Z257" s="203"/>
      <c r="AA257" s="77" t="s">
        <v>100</v>
      </c>
      <c r="AB257" s="181"/>
      <c r="AC257" s="180"/>
      <c r="AD257" s="220">
        <v>43975</v>
      </c>
      <c r="AE257" s="220"/>
      <c r="AF257" s="220"/>
      <c r="AG257" s="220"/>
      <c r="AH257" s="220"/>
      <c r="AI257" s="188"/>
      <c r="AJ257" s="220"/>
      <c r="AK257" s="979"/>
      <c r="AL257" s="180"/>
      <c r="AM257" s="77"/>
      <c r="AN257" s="77"/>
      <c r="AO257" s="110" t="str">
        <f>IF(Table4[[#This Row],[Finish (demob)]]&lt;&gt;"",Table4[[#This Row],[Finish (demob)]]+10,"")</f>
        <v/>
      </c>
      <c r="AP257" s="110" t="str">
        <f>IF(Table4[[#This Row],[Finish (demob)]]&lt;&gt;"",Table4[[#This Row],[Finish (demob)]]+10,"")</f>
        <v/>
      </c>
      <c r="AQ257" s="220"/>
      <c r="AR257" s="77" t="str">
        <f>IF(Table4[[#This Row],[Date Report is delivered:]]&lt;&gt;"", "Delivered", "")</f>
        <v/>
      </c>
      <c r="AS257" s="77"/>
      <c r="AT257" s="77"/>
      <c r="AU257" s="77"/>
      <c r="AV257" s="77"/>
      <c r="AW257" s="77"/>
    </row>
    <row r="258" spans="1:49">
      <c r="A258" s="173">
        <v>202011</v>
      </c>
      <c r="B258" s="75">
        <v>14</v>
      </c>
      <c r="C258" s="173" t="str">
        <f>CONCATENATE(Table4[[#This Row],[Project]],"-",Table4[[#This Row],[WO]])</f>
        <v>202011-14</v>
      </c>
      <c r="D258" s="76" t="s">
        <v>137</v>
      </c>
      <c r="E258" s="77" t="s">
        <v>57</v>
      </c>
      <c r="F258" s="77" t="s">
        <v>58</v>
      </c>
      <c r="G258" s="77" t="s">
        <v>262</v>
      </c>
      <c r="H258" s="77" t="s">
        <v>105</v>
      </c>
      <c r="I258" s="102" t="s">
        <v>272</v>
      </c>
      <c r="J258" s="77" t="s">
        <v>92</v>
      </c>
      <c r="K258" s="77" t="s">
        <v>63</v>
      </c>
      <c r="L258" s="77"/>
      <c r="M258" s="77"/>
      <c r="N258" s="77"/>
      <c r="O258" s="76"/>
      <c r="P258" s="76"/>
      <c r="Q258" s="77"/>
      <c r="R258" s="110"/>
      <c r="S258" s="77"/>
      <c r="T258" s="77"/>
      <c r="U258" s="77"/>
      <c r="V258" s="180">
        <f>Table4[[#This Row],[Expected Revenue]]*Table4[[#This Row],[Probability]]</f>
        <v>0</v>
      </c>
      <c r="W258" s="180">
        <f t="shared" si="18"/>
        <v>20800</v>
      </c>
      <c r="X258" s="77"/>
      <c r="Y258" s="180">
        <f>Table4[[#This Row],[Rev. Based on PROB]]*Table4[[#This Row],[Expected CMR]]</f>
        <v>0</v>
      </c>
      <c r="Z258" s="203"/>
      <c r="AA258" s="77" t="s">
        <v>100</v>
      </c>
      <c r="AB258" s="181"/>
      <c r="AC258" s="225"/>
      <c r="AD258" s="220">
        <v>43984</v>
      </c>
      <c r="AE258" s="220">
        <v>43992</v>
      </c>
      <c r="AF258" s="220"/>
      <c r="AG258" s="220"/>
      <c r="AH258" s="220"/>
      <c r="AI258" s="188"/>
      <c r="AJ258" s="220"/>
      <c r="AK258" s="979"/>
      <c r="AL258" s="180"/>
      <c r="AM258" s="77"/>
      <c r="AN258" s="77"/>
      <c r="AO258" s="110">
        <f>IF(Table4[[#This Row],[Finish (demob)]]&lt;&gt;"",Table4[[#This Row],[Finish (demob)]]+10,"")</f>
        <v>44002</v>
      </c>
      <c r="AP258" s="110">
        <f>IF(Table4[[#This Row],[Finish (demob)]]&lt;&gt;"",Table4[[#This Row],[Finish (demob)]]+10,"")</f>
        <v>44002</v>
      </c>
      <c r="AQ258" s="220"/>
      <c r="AR258" s="77" t="str">
        <f>IF(Table4[[#This Row],[Date Report is delivered:]]&lt;&gt;"", "Delivered", "")</f>
        <v/>
      </c>
      <c r="AS258" s="77"/>
      <c r="AT258" s="77"/>
      <c r="AU258" s="77"/>
      <c r="AV258" s="77"/>
      <c r="AW258" s="77"/>
    </row>
    <row r="259" spans="1:49">
      <c r="A259" s="173">
        <v>202011</v>
      </c>
      <c r="B259" s="75">
        <v>4</v>
      </c>
      <c r="C259" s="173" t="str">
        <f>CONCATENATE(Table4[[#This Row],[Project]],"-",Table4[[#This Row],[WO]])</f>
        <v>202011-4</v>
      </c>
      <c r="D259" s="76" t="s">
        <v>137</v>
      </c>
      <c r="E259" s="77" t="s">
        <v>57</v>
      </c>
      <c r="F259" s="77" t="s">
        <v>58</v>
      </c>
      <c r="G259" s="77" t="s">
        <v>262</v>
      </c>
      <c r="H259" s="77" t="s">
        <v>105</v>
      </c>
      <c r="I259" s="102" t="s">
        <v>272</v>
      </c>
      <c r="J259" s="77" t="s">
        <v>92</v>
      </c>
      <c r="K259" s="77" t="s">
        <v>63</v>
      </c>
      <c r="L259" s="77"/>
      <c r="M259" s="77"/>
      <c r="N259" s="77"/>
      <c r="O259" s="76"/>
      <c r="P259" s="76"/>
      <c r="Q259" s="77"/>
      <c r="R259" s="110"/>
      <c r="S259" s="77"/>
      <c r="T259" s="77"/>
      <c r="U259" s="77"/>
      <c r="V259" s="180">
        <f>Table4[[#This Row],[Expected Revenue]]*Table4[[#This Row],[Probability]]</f>
        <v>0</v>
      </c>
      <c r="W259" s="180">
        <f t="shared" si="18"/>
        <v>20800</v>
      </c>
      <c r="X259" s="77"/>
      <c r="Y259" s="180">
        <f>Table4[[#This Row],[Rev. Based on PROB]]*Table4[[#This Row],[Expected CMR]]</f>
        <v>0</v>
      </c>
      <c r="Z259" s="203"/>
      <c r="AA259" s="77" t="s">
        <v>100</v>
      </c>
      <c r="AB259" s="181"/>
      <c r="AC259" s="225"/>
      <c r="AD259" s="220">
        <v>43993</v>
      </c>
      <c r="AE259" s="220">
        <v>44000</v>
      </c>
      <c r="AF259" s="220"/>
      <c r="AG259" s="220"/>
      <c r="AH259" s="220"/>
      <c r="AI259" s="188"/>
      <c r="AJ259" s="220"/>
      <c r="AK259" s="979"/>
      <c r="AL259" s="180"/>
      <c r="AM259" s="77"/>
      <c r="AN259" s="77"/>
      <c r="AO259" s="110">
        <f>IF(Table4[[#This Row],[Finish (demob)]]&lt;&gt;"",Table4[[#This Row],[Finish (demob)]]+10,"")</f>
        <v>44010</v>
      </c>
      <c r="AP259" s="110">
        <f>IF(Table4[[#This Row],[Finish (demob)]]&lt;&gt;"",Table4[[#This Row],[Finish (demob)]]+10,"")</f>
        <v>44010</v>
      </c>
      <c r="AQ259" s="220"/>
      <c r="AR259" s="77" t="str">
        <f>IF(Table4[[#This Row],[Date Report is delivered:]]&lt;&gt;"", "Delivered", "")</f>
        <v/>
      </c>
      <c r="AS259" s="77"/>
      <c r="AT259" s="77"/>
      <c r="AU259" s="77"/>
      <c r="AV259" s="77"/>
      <c r="AW259" s="77"/>
    </row>
    <row r="260" spans="1:49">
      <c r="A260" s="173">
        <v>202012</v>
      </c>
      <c r="B260" s="75" t="s">
        <v>69</v>
      </c>
      <c r="C260" s="173" t="str">
        <f>CONCATENATE(Table4[[#This Row],[Project]],"-",Table4[[#This Row],[WO]])</f>
        <v>202012-12</v>
      </c>
      <c r="D260" s="76" t="s">
        <v>146</v>
      </c>
      <c r="E260" s="77" t="s">
        <v>57</v>
      </c>
      <c r="F260" s="77" t="s">
        <v>58</v>
      </c>
      <c r="G260" s="77" t="s">
        <v>262</v>
      </c>
      <c r="H260" s="77" t="s">
        <v>263</v>
      </c>
      <c r="I260" s="102" t="s">
        <v>273</v>
      </c>
      <c r="J260" s="77" t="s">
        <v>92</v>
      </c>
      <c r="K260" s="77" t="s">
        <v>63</v>
      </c>
      <c r="L260" s="77" t="s">
        <v>264</v>
      </c>
      <c r="M260" s="77" t="s">
        <v>65</v>
      </c>
      <c r="N260" s="77"/>
      <c r="O260" s="76"/>
      <c r="P260" s="76"/>
      <c r="Q260" s="77"/>
      <c r="R260" s="110"/>
      <c r="S260" s="77"/>
      <c r="T260" s="77"/>
      <c r="U260" s="77"/>
      <c r="V260" s="180">
        <f>Table4[[#This Row],[Expected Revenue]]*Table4[[#This Row],[Probability]]</f>
        <v>0</v>
      </c>
      <c r="W260" s="180">
        <f t="shared" si="18"/>
        <v>20800</v>
      </c>
      <c r="X260" s="77"/>
      <c r="Y260" s="180">
        <f>Table4[[#This Row],[Rev. Based on PROB]]*Table4[[#This Row],[Expected CMR]]</f>
        <v>0</v>
      </c>
      <c r="Z260" s="203"/>
      <c r="AA260" s="77" t="s">
        <v>100</v>
      </c>
      <c r="AB260" s="181"/>
      <c r="AC260" s="180"/>
      <c r="AD260" s="220">
        <v>43967</v>
      </c>
      <c r="AE260" s="220">
        <v>43998</v>
      </c>
      <c r="AF260" s="220"/>
      <c r="AG260" s="220"/>
      <c r="AH260" s="220"/>
      <c r="AI260" s="188"/>
      <c r="AJ260" s="220"/>
      <c r="AK260" s="979"/>
      <c r="AL260" s="180"/>
      <c r="AM260" s="77"/>
      <c r="AN260" s="77"/>
      <c r="AO260" s="110">
        <f>IF(Table4[[#This Row],[Finish (demob)]]&lt;&gt;"",Table4[[#This Row],[Finish (demob)]]+10,"")</f>
        <v>44008</v>
      </c>
      <c r="AP260" s="110">
        <f>IF(Table4[[#This Row],[Finish (demob)]]&lt;&gt;"",Table4[[#This Row],[Finish (demob)]]+10,"")</f>
        <v>44008</v>
      </c>
      <c r="AQ260" s="220"/>
      <c r="AR260" s="77" t="str">
        <f>IF(Table4[[#This Row],[Date Report is delivered:]]&lt;&gt;"", "Delivered", "")</f>
        <v/>
      </c>
      <c r="AS260" s="77"/>
      <c r="AT260" s="77"/>
      <c r="AU260" s="77"/>
      <c r="AV260" s="77"/>
      <c r="AW260" s="77"/>
    </row>
    <row r="261" spans="1:49">
      <c r="A261" s="173">
        <v>202003</v>
      </c>
      <c r="B261" s="75">
        <v>11</v>
      </c>
      <c r="C261" s="173" t="str">
        <f>CONCATENATE(Table4[[#This Row],[Project]],"-",Table4[[#This Row],[WO]])</f>
        <v>202003-11</v>
      </c>
      <c r="D261" s="76" t="s">
        <v>73</v>
      </c>
      <c r="E261" s="77" t="s">
        <v>57</v>
      </c>
      <c r="F261" s="77" t="s">
        <v>58</v>
      </c>
      <c r="G261" s="77" t="s">
        <v>262</v>
      </c>
      <c r="H261" s="77" t="s">
        <v>74</v>
      </c>
      <c r="I261" s="102" t="s">
        <v>99</v>
      </c>
      <c r="J261" s="77" t="s">
        <v>92</v>
      </c>
      <c r="K261" s="77" t="s">
        <v>63</v>
      </c>
      <c r="L261" s="77"/>
      <c r="M261" s="77"/>
      <c r="N261" s="77"/>
      <c r="O261" s="76"/>
      <c r="P261" s="76"/>
      <c r="Q261" s="77"/>
      <c r="R261" s="110"/>
      <c r="S261" s="77"/>
      <c r="T261" s="77"/>
      <c r="U261" s="77"/>
      <c r="V261" s="180">
        <f>Table4[[#This Row],[Expected Revenue]]*Table4[[#This Row],[Probability]]</f>
        <v>0</v>
      </c>
      <c r="W261" s="180">
        <f t="shared" ref="W261:W275" si="29">(800*3+((550+310+290)*12)+1600+250*12)</f>
        <v>20800</v>
      </c>
      <c r="X261" s="77"/>
      <c r="Y261" s="180">
        <f>Table4[[#This Row],[Rev. Based on PROB]]*Table4[[#This Row],[Expected CMR]]</f>
        <v>0</v>
      </c>
      <c r="Z261" s="203"/>
      <c r="AA261" s="77" t="s">
        <v>100</v>
      </c>
      <c r="AB261" s="77"/>
      <c r="AC261" s="180"/>
      <c r="AD261" s="220">
        <v>43986</v>
      </c>
      <c r="AE261" s="220">
        <v>43992</v>
      </c>
      <c r="AF261" s="220"/>
      <c r="AG261" s="220"/>
      <c r="AH261" s="220"/>
      <c r="AI261" s="188"/>
      <c r="AJ261" s="220"/>
      <c r="AK261" s="979"/>
      <c r="AL261" s="180"/>
      <c r="AM261" s="77"/>
      <c r="AN261" s="77"/>
      <c r="AO261" s="110">
        <f>IF(Table4[[#This Row],[Finish (demob)]]&lt;&gt;"",Table4[[#This Row],[Finish (demob)]]+10,"")</f>
        <v>44002</v>
      </c>
      <c r="AP261" s="110">
        <f>IF(Table4[[#This Row],[Finish (demob)]]&lt;&gt;"",Table4[[#This Row],[Finish (demob)]]+10,"")</f>
        <v>44002</v>
      </c>
      <c r="AQ261" s="220"/>
      <c r="AR261" s="77" t="str">
        <f>IF(Table4[[#This Row],[Date Report is delivered:]]&lt;&gt;"", "Delivered", "")</f>
        <v/>
      </c>
      <c r="AS261" s="77"/>
      <c r="AT261" s="77"/>
      <c r="AU261" s="77"/>
      <c r="AV261" s="77"/>
      <c r="AW261" s="77"/>
    </row>
    <row r="262" spans="1:49">
      <c r="A262" s="173">
        <v>202015</v>
      </c>
      <c r="B262" s="75" t="s">
        <v>98</v>
      </c>
      <c r="C262" s="173" t="str">
        <f>CONCATENATE(Table4[[#This Row],[Project]],"-",Table4[[#This Row],[WO]])</f>
        <v>202015-11</v>
      </c>
      <c r="D262" s="76" t="s">
        <v>235</v>
      </c>
      <c r="E262" s="77" t="s">
        <v>57</v>
      </c>
      <c r="F262" s="77" t="s">
        <v>58</v>
      </c>
      <c r="G262" s="77" t="s">
        <v>262</v>
      </c>
      <c r="H262" s="77" t="s">
        <v>263</v>
      </c>
      <c r="I262" s="102" t="s">
        <v>274</v>
      </c>
      <c r="J262" s="77" t="s">
        <v>92</v>
      </c>
      <c r="K262" s="77" t="s">
        <v>63</v>
      </c>
      <c r="L262" s="77" t="s">
        <v>264</v>
      </c>
      <c r="M262" s="77" t="s">
        <v>65</v>
      </c>
      <c r="N262" s="77"/>
      <c r="O262" s="76"/>
      <c r="P262" s="76"/>
      <c r="Q262" s="77"/>
      <c r="R262" s="110"/>
      <c r="S262" s="77"/>
      <c r="T262" s="77"/>
      <c r="U262" s="77"/>
      <c r="V262" s="180">
        <f>Table4[[#This Row],[Expected Revenue]]*Table4[[#This Row],[Probability]]</f>
        <v>0</v>
      </c>
      <c r="W262" s="180">
        <f t="shared" si="18"/>
        <v>20800</v>
      </c>
      <c r="X262" s="77"/>
      <c r="Y262" s="180">
        <f>Table4[[#This Row],[Rev. Based on PROB]]*Table4[[#This Row],[Expected CMR]]</f>
        <v>0</v>
      </c>
      <c r="Z262" s="203"/>
      <c r="AA262" s="77" t="s">
        <v>100</v>
      </c>
      <c r="AB262" s="181"/>
      <c r="AC262" s="180"/>
      <c r="AD262" s="220">
        <v>43991</v>
      </c>
      <c r="AE262" s="220">
        <v>44004</v>
      </c>
      <c r="AF262" s="220"/>
      <c r="AG262" s="220"/>
      <c r="AH262" s="220"/>
      <c r="AI262" s="188"/>
      <c r="AJ262" s="220"/>
      <c r="AK262" s="979"/>
      <c r="AL262" s="180"/>
      <c r="AM262" s="77"/>
      <c r="AN262" s="77"/>
      <c r="AO262" s="110">
        <f>IF(Table4[[#This Row],[Finish (demob)]]&lt;&gt;"",Table4[[#This Row],[Finish (demob)]]+10,"")</f>
        <v>44014</v>
      </c>
      <c r="AP262" s="110">
        <f>IF(Table4[[#This Row],[Finish (demob)]]&lt;&gt;"",Table4[[#This Row],[Finish (demob)]]+10,"")</f>
        <v>44014</v>
      </c>
      <c r="AQ262" s="220"/>
      <c r="AR262" s="77" t="str">
        <f>IF(Table4[[#This Row],[Date Report is delivered:]]&lt;&gt;"", "Delivered", "")</f>
        <v/>
      </c>
      <c r="AS262" s="77"/>
      <c r="AT262" s="77"/>
      <c r="AU262" s="77"/>
      <c r="AV262" s="77"/>
      <c r="AW262" s="77"/>
    </row>
    <row r="263" spans="1:49">
      <c r="A263" s="173">
        <v>202005</v>
      </c>
      <c r="B263" s="75">
        <v>11</v>
      </c>
      <c r="C263" s="173" t="str">
        <f>CONCATENATE(Table4[[#This Row],[Project]],"-",Table4[[#This Row],[WO]])</f>
        <v>202005-11</v>
      </c>
      <c r="D263" s="76" t="s">
        <v>275</v>
      </c>
      <c r="E263" s="77" t="s">
        <v>57</v>
      </c>
      <c r="F263" s="77" t="s">
        <v>58</v>
      </c>
      <c r="G263" s="77" t="s">
        <v>262</v>
      </c>
      <c r="H263" s="77" t="s">
        <v>74</v>
      </c>
      <c r="I263" s="102" t="s">
        <v>276</v>
      </c>
      <c r="J263" s="77" t="s">
        <v>92</v>
      </c>
      <c r="K263" s="77" t="s">
        <v>63</v>
      </c>
      <c r="L263" s="77" t="s">
        <v>264</v>
      </c>
      <c r="M263" s="77" t="s">
        <v>65</v>
      </c>
      <c r="N263" s="77"/>
      <c r="O263" s="76"/>
      <c r="P263" s="76"/>
      <c r="Q263" s="77"/>
      <c r="R263" s="110"/>
      <c r="S263" s="77"/>
      <c r="T263" s="77"/>
      <c r="U263" s="77"/>
      <c r="V263" s="180">
        <f>Table4[[#This Row],[Expected Revenue]]*Table4[[#This Row],[Probability]]</f>
        <v>0</v>
      </c>
      <c r="W263" s="180">
        <f t="shared" si="18"/>
        <v>20800</v>
      </c>
      <c r="X263" s="77"/>
      <c r="Y263" s="180">
        <f>Table4[[#This Row],[Rev. Based on PROB]]*Table4[[#This Row],[Expected CMR]]</f>
        <v>0</v>
      </c>
      <c r="Z263" s="203"/>
      <c r="AA263" s="77" t="s">
        <v>100</v>
      </c>
      <c r="AB263" s="181"/>
      <c r="AC263" s="180"/>
      <c r="AD263" s="220">
        <v>44049</v>
      </c>
      <c r="AE263" s="220">
        <v>44013</v>
      </c>
      <c r="AF263" s="220"/>
      <c r="AG263" s="220"/>
      <c r="AH263" s="220"/>
      <c r="AI263" s="188"/>
      <c r="AJ263" s="220"/>
      <c r="AK263" s="979"/>
      <c r="AL263" s="180"/>
      <c r="AM263" s="77"/>
      <c r="AN263" s="77"/>
      <c r="AO263" s="110">
        <f>IF(Table4[[#This Row],[Finish (demob)]]&lt;&gt;"",Table4[[#This Row],[Finish (demob)]]+10,"")</f>
        <v>44023</v>
      </c>
      <c r="AP263" s="110">
        <f>IF(Table4[[#This Row],[Finish (demob)]]&lt;&gt;"",Table4[[#This Row],[Finish (demob)]]+10,"")</f>
        <v>44023</v>
      </c>
      <c r="AQ263" s="220"/>
      <c r="AR263" s="77" t="str">
        <f>IF(Table4[[#This Row],[Date Report is delivered:]]&lt;&gt;"", "Delivered", "")</f>
        <v/>
      </c>
      <c r="AS263" s="77"/>
      <c r="AT263" s="77"/>
      <c r="AU263" s="77"/>
      <c r="AV263" s="77"/>
      <c r="AW263" s="77"/>
    </row>
    <row r="264" spans="1:49">
      <c r="A264" s="173">
        <v>202002</v>
      </c>
      <c r="B264" s="75" t="s">
        <v>90</v>
      </c>
      <c r="C264" s="173" t="str">
        <f>CONCATENATE(Table4[[#This Row],[Project]],"-",Table4[[#This Row],[WO]])</f>
        <v>202002-04</v>
      </c>
      <c r="D264" s="76" t="s">
        <v>104</v>
      </c>
      <c r="E264" s="77" t="s">
        <v>57</v>
      </c>
      <c r="F264" s="77" t="s">
        <v>58</v>
      </c>
      <c r="G264" s="77" t="s">
        <v>262</v>
      </c>
      <c r="H264" s="77" t="s">
        <v>105</v>
      </c>
      <c r="I264" s="102" t="s">
        <v>277</v>
      </c>
      <c r="J264" s="77" t="s">
        <v>92</v>
      </c>
      <c r="K264" s="77" t="s">
        <v>63</v>
      </c>
      <c r="L264" s="77" t="s">
        <v>264</v>
      </c>
      <c r="M264" s="77" t="s">
        <v>65</v>
      </c>
      <c r="N264" s="77"/>
      <c r="O264" s="76"/>
      <c r="P264" s="76"/>
      <c r="Q264" s="77"/>
      <c r="R264" s="110"/>
      <c r="S264" s="77"/>
      <c r="T264" s="77"/>
      <c r="U264" s="77"/>
      <c r="V264" s="180">
        <f>Table4[[#This Row],[Expected Revenue]]*Table4[[#This Row],[Probability]]</f>
        <v>0</v>
      </c>
      <c r="W264" s="180">
        <f t="shared" si="18"/>
        <v>20800</v>
      </c>
      <c r="X264" s="77"/>
      <c r="Y264" s="180">
        <f>Table4[[#This Row],[Rev. Based on PROB]]*Table4[[#This Row],[Expected CMR]]</f>
        <v>0</v>
      </c>
      <c r="Z264" s="203"/>
      <c r="AA264" s="77" t="s">
        <v>100</v>
      </c>
      <c r="AB264" s="181"/>
      <c r="AC264" s="180"/>
      <c r="AD264" s="220">
        <v>44000</v>
      </c>
      <c r="AE264" s="220">
        <v>44013</v>
      </c>
      <c r="AF264" s="220"/>
      <c r="AG264" s="220"/>
      <c r="AH264" s="220"/>
      <c r="AI264" s="188"/>
      <c r="AJ264" s="220"/>
      <c r="AK264" s="979"/>
      <c r="AL264" s="180"/>
      <c r="AM264" s="77"/>
      <c r="AN264" s="77"/>
      <c r="AO264" s="110">
        <f>IF(Table4[[#This Row],[Finish (demob)]]&lt;&gt;"",Table4[[#This Row],[Finish (demob)]]+10,"")</f>
        <v>44023</v>
      </c>
      <c r="AP264" s="110">
        <f>IF(Table4[[#This Row],[Finish (demob)]]&lt;&gt;"",Table4[[#This Row],[Finish (demob)]]+10,"")</f>
        <v>44023</v>
      </c>
      <c r="AQ264" s="220"/>
      <c r="AR264" s="77" t="str">
        <f>IF(Table4[[#This Row],[Date Report is delivered:]]&lt;&gt;"", "Delivered", "")</f>
        <v/>
      </c>
      <c r="AS264" s="77"/>
      <c r="AT264" s="77"/>
      <c r="AU264" s="77"/>
      <c r="AV264" s="77"/>
      <c r="AW264" s="77"/>
    </row>
    <row r="265" spans="1:49">
      <c r="A265" s="173">
        <v>619050</v>
      </c>
      <c r="B265" s="75" t="s">
        <v>111</v>
      </c>
      <c r="C265" s="173" t="str">
        <f>CONCATENATE(Table4[[#This Row],[Project]],"-",Table4[[#This Row],[WO]])</f>
        <v>619050-02</v>
      </c>
      <c r="D265" s="76" t="s">
        <v>278</v>
      </c>
      <c r="E265" s="77" t="s">
        <v>279</v>
      </c>
      <c r="F265" s="77" t="s">
        <v>58</v>
      </c>
      <c r="G265" s="77" t="s">
        <v>262</v>
      </c>
      <c r="H265" s="77" t="s">
        <v>74</v>
      </c>
      <c r="I265" s="102" t="s">
        <v>280</v>
      </c>
      <c r="J265" s="77" t="s">
        <v>281</v>
      </c>
      <c r="K265" s="77" t="s">
        <v>63</v>
      </c>
      <c r="L265" s="77" t="s">
        <v>264</v>
      </c>
      <c r="M265" s="77" t="s">
        <v>65</v>
      </c>
      <c r="N265" s="77"/>
      <c r="O265" s="76"/>
      <c r="P265" s="76"/>
      <c r="Q265" s="77"/>
      <c r="R265" s="110"/>
      <c r="S265" s="77"/>
      <c r="T265" s="77"/>
      <c r="U265" s="77"/>
      <c r="V265" s="180">
        <f>Table4[[#This Row],[Expected Revenue]]*Table4[[#This Row],[Probability]]</f>
        <v>0</v>
      </c>
      <c r="W265" s="180">
        <f t="shared" si="18"/>
        <v>20800</v>
      </c>
      <c r="X265" s="77"/>
      <c r="Y265" s="180">
        <f>Table4[[#This Row],[Rev. Based on PROB]]*Table4[[#This Row],[Expected CMR]]</f>
        <v>0</v>
      </c>
      <c r="Z265" s="203"/>
      <c r="AA265" s="77" t="s">
        <v>100</v>
      </c>
      <c r="AB265" s="181"/>
      <c r="AC265" s="180"/>
      <c r="AD265" s="220">
        <v>44013</v>
      </c>
      <c r="AE265" s="220">
        <v>44023</v>
      </c>
      <c r="AF265" s="220"/>
      <c r="AG265" s="220"/>
      <c r="AH265" s="220"/>
      <c r="AI265" s="188"/>
      <c r="AJ265" s="220"/>
      <c r="AK265" s="979"/>
      <c r="AL265" s="180"/>
      <c r="AM265" s="77"/>
      <c r="AN265" s="77"/>
      <c r="AO265" s="110">
        <f>IF(Table4[[#This Row],[Finish (demob)]]&lt;&gt;"",Table4[[#This Row],[Finish (demob)]]+10,"")</f>
        <v>44033</v>
      </c>
      <c r="AP265" s="110">
        <f>IF(Table4[[#This Row],[Finish (demob)]]&lt;&gt;"",Table4[[#This Row],[Finish (demob)]]+10,"")</f>
        <v>44033</v>
      </c>
      <c r="AQ265" s="220"/>
      <c r="AR265" s="77" t="str">
        <f>IF(Table4[[#This Row],[Date Report is delivered:]]&lt;&gt;"", "Delivered", "")</f>
        <v/>
      </c>
      <c r="AS265" s="77"/>
      <c r="AT265" s="77"/>
      <c r="AU265" s="77"/>
      <c r="AV265" s="77"/>
      <c r="AW265" s="77"/>
    </row>
    <row r="266" spans="1:49">
      <c r="A266" s="173">
        <v>619056</v>
      </c>
      <c r="B266" s="75" t="s">
        <v>103</v>
      </c>
      <c r="C266" s="77" t="str">
        <f>CONCATENATE(Table4[[#This Row],[Project]],"-",Table4[[#This Row],[WO]])</f>
        <v>619056-01</v>
      </c>
      <c r="D266" s="76" t="s">
        <v>282</v>
      </c>
      <c r="E266" s="77" t="s">
        <v>283</v>
      </c>
      <c r="F266" s="77" t="s">
        <v>58</v>
      </c>
      <c r="G266" s="77" t="s">
        <v>262</v>
      </c>
      <c r="H266" s="77" t="s">
        <v>105</v>
      </c>
      <c r="I266" s="102" t="s">
        <v>284</v>
      </c>
      <c r="J266" s="77" t="s">
        <v>271</v>
      </c>
      <c r="K266" s="77" t="s">
        <v>63</v>
      </c>
      <c r="L266" s="77"/>
      <c r="M266" s="77"/>
      <c r="N266" s="77"/>
      <c r="O266" s="76"/>
      <c r="P266" s="76"/>
      <c r="Q266" s="77"/>
      <c r="R266" s="110"/>
      <c r="S266" s="77"/>
      <c r="T266" s="77"/>
      <c r="U266" s="77"/>
      <c r="V266" s="180">
        <f>Table4[[#This Row],[Expected Revenue]]*Table4[[#This Row],[Probability]]</f>
        <v>0</v>
      </c>
      <c r="W266" s="180">
        <f t="shared" ref="W266:W270" si="30">(800*3+((550+310+290)*12)+1600+250*12)</f>
        <v>20800</v>
      </c>
      <c r="X266" s="77"/>
      <c r="Y266" s="180">
        <f>Table4[[#This Row],[Expected Revenue]]*Table4[[#This Row],[Expected CMR]]</f>
        <v>0</v>
      </c>
      <c r="Z266" s="77"/>
      <c r="AA266" s="77" t="s">
        <v>100</v>
      </c>
      <c r="AB266" s="181"/>
      <c r="AC266" s="180"/>
      <c r="AD266" s="220">
        <v>44004</v>
      </c>
      <c r="AE266" s="220">
        <v>44013</v>
      </c>
      <c r="AF266" s="220"/>
      <c r="AG266" s="220"/>
      <c r="AH266" s="220"/>
      <c r="AI266" s="188"/>
      <c r="AJ266" s="220"/>
      <c r="AK266" s="110"/>
      <c r="AL266" s="225"/>
      <c r="AM266" s="110"/>
      <c r="AN266" s="110"/>
      <c r="AO266" s="110">
        <f t="shared" ref="AO266:AO270" si="31">IF(AE266&gt;0,AE266+3," - ")</f>
        <v>44016</v>
      </c>
      <c r="AP266" s="110">
        <f t="shared" ref="AP266:AP270" si="32">IF(AE266&gt;0,AE266+14," - ")</f>
        <v>44027</v>
      </c>
      <c r="AQ266" s="220"/>
      <c r="AR266" s="77" t="str">
        <f t="shared" ref="AR266:AR270" ca="1" si="33">IF(AD266=0,"-",IF(AQ266&gt;0,"Delivered",IF(TODAY()&gt;AP266,"Overdue",IF(TODAY()&lt;AP266,"In Progress"))))</f>
        <v>Overdue</v>
      </c>
      <c r="AS266" s="77"/>
      <c r="AT266" s="77"/>
      <c r="AU266" s="77"/>
      <c r="AV266" s="77"/>
      <c r="AW266" s="77"/>
    </row>
    <row r="267" spans="1:49">
      <c r="A267" s="173">
        <v>202010</v>
      </c>
      <c r="B267" s="75" t="s">
        <v>90</v>
      </c>
      <c r="C267" s="77" t="str">
        <f>CONCATENATE(Table4[[#This Row],[Project]],"-",Table4[[#This Row],[WO]])</f>
        <v>202010-04</v>
      </c>
      <c r="D267" s="76" t="s">
        <v>130</v>
      </c>
      <c r="E267" s="77" t="s">
        <v>57</v>
      </c>
      <c r="F267" s="77" t="s">
        <v>58</v>
      </c>
      <c r="G267" s="77" t="s">
        <v>262</v>
      </c>
      <c r="H267" s="77" t="s">
        <v>105</v>
      </c>
      <c r="I267" s="102" t="s">
        <v>266</v>
      </c>
      <c r="J267" s="77" t="s">
        <v>92</v>
      </c>
      <c r="K267" s="77" t="s">
        <v>63</v>
      </c>
      <c r="L267" s="77"/>
      <c r="M267" s="77"/>
      <c r="N267" s="77"/>
      <c r="O267" s="76"/>
      <c r="P267" s="76"/>
      <c r="Q267" s="77"/>
      <c r="R267" s="110"/>
      <c r="S267" s="77"/>
      <c r="T267" s="77"/>
      <c r="U267" s="77"/>
      <c r="V267" s="180">
        <f>Table4[[#This Row],[Expected Revenue]]*Table4[[#This Row],[Probability]]</f>
        <v>0</v>
      </c>
      <c r="W267" s="180">
        <f t="shared" si="30"/>
        <v>20800</v>
      </c>
      <c r="X267" s="77"/>
      <c r="Y267" s="180">
        <f>Table4[[#This Row],[Expected Revenue]]*Table4[[#This Row],[Expected CMR]]</f>
        <v>0</v>
      </c>
      <c r="Z267" s="77"/>
      <c r="AA267" s="77" t="s">
        <v>100</v>
      </c>
      <c r="AB267" s="181"/>
      <c r="AC267" s="180"/>
      <c r="AD267" s="220">
        <v>44019</v>
      </c>
      <c r="AE267" s="220">
        <v>44024</v>
      </c>
      <c r="AF267" s="220"/>
      <c r="AG267" s="220"/>
      <c r="AH267" s="220"/>
      <c r="AI267" s="188"/>
      <c r="AJ267" s="220"/>
      <c r="AK267" s="110"/>
      <c r="AL267" s="225"/>
      <c r="AM267" s="110"/>
      <c r="AN267" s="110"/>
      <c r="AO267" s="110">
        <f t="shared" si="31"/>
        <v>44027</v>
      </c>
      <c r="AP267" s="110">
        <f t="shared" si="32"/>
        <v>44038</v>
      </c>
      <c r="AQ267" s="220"/>
      <c r="AR267" s="77" t="str">
        <f t="shared" ca="1" si="33"/>
        <v>Overdue</v>
      </c>
      <c r="AS267" s="77"/>
      <c r="AT267" s="77"/>
      <c r="AU267" s="77"/>
      <c r="AV267" s="77"/>
      <c r="AW267" s="77"/>
    </row>
    <row r="268" spans="1:49">
      <c r="A268" s="173">
        <v>202015</v>
      </c>
      <c r="B268" s="75" t="s">
        <v>98</v>
      </c>
      <c r="C268" s="173" t="str">
        <f>CONCATENATE(Table4[[#This Row],[Project]],"-",Table4[[#This Row],[WO]])</f>
        <v>202015-11</v>
      </c>
      <c r="D268" s="76" t="s">
        <v>235</v>
      </c>
      <c r="E268" s="77" t="s">
        <v>57</v>
      </c>
      <c r="F268" s="77" t="s">
        <v>58</v>
      </c>
      <c r="G268" s="77" t="s">
        <v>262</v>
      </c>
      <c r="H268" s="77" t="s">
        <v>263</v>
      </c>
      <c r="I268" s="102" t="s">
        <v>274</v>
      </c>
      <c r="J268" s="77" t="s">
        <v>92</v>
      </c>
      <c r="K268" s="77" t="s">
        <v>63</v>
      </c>
      <c r="L268" s="77" t="s">
        <v>264</v>
      </c>
      <c r="M268" s="77" t="s">
        <v>65</v>
      </c>
      <c r="N268" s="77"/>
      <c r="O268" s="76"/>
      <c r="P268" s="76"/>
      <c r="Q268" s="77"/>
      <c r="R268" s="110"/>
      <c r="S268" s="77"/>
      <c r="T268" s="77"/>
      <c r="U268" s="77"/>
      <c r="V268" s="180">
        <f>Table4[[#This Row],[Expected Revenue]]*Table4[[#This Row],[Probability]]</f>
        <v>0</v>
      </c>
      <c r="W268" s="180">
        <f t="shared" si="30"/>
        <v>20800</v>
      </c>
      <c r="X268" s="77"/>
      <c r="Y268" s="180">
        <f>Table4[[#This Row],[Rev. Based on PROB]]*Table4[[#This Row],[Expected CMR]]</f>
        <v>0</v>
      </c>
      <c r="Z268" s="203"/>
      <c r="AA268" s="77" t="s">
        <v>100</v>
      </c>
      <c r="AB268" s="181"/>
      <c r="AC268" s="180"/>
      <c r="AD268" s="220">
        <v>43991</v>
      </c>
      <c r="AE268" s="220">
        <v>44004</v>
      </c>
      <c r="AF268" s="220"/>
      <c r="AG268" s="220"/>
      <c r="AH268" s="220"/>
      <c r="AI268" s="188"/>
      <c r="AJ268" s="220"/>
      <c r="AK268" s="979"/>
      <c r="AL268" s="180"/>
      <c r="AM268" s="77"/>
      <c r="AN268" s="77"/>
      <c r="AO268" s="110">
        <f>IF(Table4[[#This Row],[Finish (demob)]]&lt;&gt;"",Table4[[#This Row],[Finish (demob)]]+10,"")</f>
        <v>44014</v>
      </c>
      <c r="AP268" s="110">
        <f>IF(Table4[[#This Row],[Finish (demob)]]&lt;&gt;"",Table4[[#This Row],[Finish (demob)]]+10,"")</f>
        <v>44014</v>
      </c>
      <c r="AQ268" s="220"/>
      <c r="AR268" s="77" t="str">
        <f>IF(Table4[[#This Row],[Date Report is delivered:]]&lt;&gt;"", "Delivered", "")</f>
        <v/>
      </c>
      <c r="AS268" s="77"/>
      <c r="AT268" s="77"/>
      <c r="AU268" s="77"/>
      <c r="AV268" s="77"/>
      <c r="AW268" s="77"/>
    </row>
    <row r="269" spans="1:49" hidden="1">
      <c r="A269" s="173"/>
      <c r="B269" s="75"/>
      <c r="C269" s="77" t="str">
        <f>CONCATENATE(Table4[[#This Row],[Project]],"-",Table4[[#This Row],[WO]])</f>
        <v>-</v>
      </c>
      <c r="D269" s="76"/>
      <c r="E269" s="77"/>
      <c r="F269" s="77"/>
      <c r="G269" s="77"/>
      <c r="H269" s="77"/>
      <c r="I269" s="102"/>
      <c r="J269" s="77"/>
      <c r="K269" s="77"/>
      <c r="L269" s="77"/>
      <c r="M269" s="77"/>
      <c r="N269" s="77"/>
      <c r="O269" s="76"/>
      <c r="P269" s="76"/>
      <c r="Q269" s="77"/>
      <c r="R269" s="110"/>
      <c r="S269" s="77"/>
      <c r="T269" s="77"/>
      <c r="U269" s="77"/>
      <c r="V269" s="180">
        <f>Table4[[#This Row],[Expected Revenue]]*Table4[[#This Row],[Probability]]</f>
        <v>0</v>
      </c>
      <c r="W269" s="180">
        <f t="shared" si="30"/>
        <v>20800</v>
      </c>
      <c r="X269" s="77"/>
      <c r="Y269" s="180">
        <f>Table4[[#This Row],[Expected Revenue]]*Table4[[#This Row],[Expected CMR]]</f>
        <v>0</v>
      </c>
      <c r="Z269" s="77"/>
      <c r="AA269" s="77"/>
      <c r="AB269" s="181"/>
      <c r="AC269" s="180"/>
      <c r="AD269" s="220"/>
      <c r="AE269" s="220"/>
      <c r="AF269" s="220"/>
      <c r="AG269" s="220"/>
      <c r="AH269" s="220"/>
      <c r="AI269" s="188"/>
      <c r="AJ269" s="220"/>
      <c r="AK269" s="110"/>
      <c r="AL269" s="225"/>
      <c r="AM269" s="110"/>
      <c r="AN269" s="110"/>
      <c r="AO269" s="110" t="str">
        <f t="shared" si="31"/>
        <v xml:space="preserve"> - </v>
      </c>
      <c r="AP269" s="110" t="str">
        <f t="shared" si="32"/>
        <v xml:space="preserve"> - </v>
      </c>
      <c r="AQ269" s="220"/>
      <c r="AR269" s="77" t="str">
        <f t="shared" ca="1" si="33"/>
        <v>-</v>
      </c>
      <c r="AS269" s="77"/>
      <c r="AT269" s="77"/>
      <c r="AU269" s="77"/>
      <c r="AV269" s="77"/>
      <c r="AW269" s="77"/>
    </row>
    <row r="270" spans="1:49" hidden="1">
      <c r="A270" s="173"/>
      <c r="B270" s="75"/>
      <c r="C270" s="77" t="str">
        <f>CONCATENATE(Table4[[#This Row],[Project]],"-",Table4[[#This Row],[WO]])</f>
        <v>-</v>
      </c>
      <c r="D270" s="76"/>
      <c r="E270" s="77"/>
      <c r="F270" s="77"/>
      <c r="G270" s="77"/>
      <c r="H270" s="77"/>
      <c r="I270" s="102"/>
      <c r="J270" s="77"/>
      <c r="K270" s="77"/>
      <c r="L270" s="77"/>
      <c r="M270" s="77"/>
      <c r="N270" s="77"/>
      <c r="O270" s="76"/>
      <c r="P270" s="76"/>
      <c r="Q270" s="77"/>
      <c r="R270" s="110"/>
      <c r="S270" s="77"/>
      <c r="T270" s="77"/>
      <c r="U270" s="77"/>
      <c r="V270" s="180">
        <f>Table4[[#This Row],[Expected Revenue]]*Table4[[#This Row],[Probability]]</f>
        <v>0</v>
      </c>
      <c r="W270" s="180">
        <f t="shared" si="30"/>
        <v>20800</v>
      </c>
      <c r="X270" s="77"/>
      <c r="Y270" s="180">
        <f>Table4[[#This Row],[Expected Revenue]]*Table4[[#This Row],[Expected CMR]]</f>
        <v>0</v>
      </c>
      <c r="Z270" s="77"/>
      <c r="AA270" s="77"/>
      <c r="AB270" s="181"/>
      <c r="AC270" s="180"/>
      <c r="AD270" s="220"/>
      <c r="AE270" s="220"/>
      <c r="AF270" s="220"/>
      <c r="AG270" s="220"/>
      <c r="AH270" s="220"/>
      <c r="AI270" s="188"/>
      <c r="AJ270" s="220"/>
      <c r="AK270" s="110"/>
      <c r="AL270" s="225"/>
      <c r="AM270" s="110"/>
      <c r="AN270" s="110"/>
      <c r="AO270" s="110" t="str">
        <f t="shared" si="31"/>
        <v xml:space="preserve"> - </v>
      </c>
      <c r="AP270" s="110" t="str">
        <f t="shared" si="32"/>
        <v xml:space="preserve"> - </v>
      </c>
      <c r="AQ270" s="220"/>
      <c r="AR270" s="77" t="str">
        <f t="shared" ca="1" si="33"/>
        <v>-</v>
      </c>
      <c r="AS270" s="77"/>
      <c r="AT270" s="77"/>
      <c r="AU270" s="77"/>
      <c r="AV270" s="77"/>
      <c r="AW270" s="77"/>
    </row>
    <row r="271" spans="1:49" hidden="1">
      <c r="A271" s="173"/>
      <c r="B271" s="75"/>
      <c r="C271" s="77" t="str">
        <f>CONCATENATE(Table4[[#This Row],[Project]],"-",Table4[[#This Row],[WO]])</f>
        <v>-</v>
      </c>
      <c r="D271" s="76"/>
      <c r="E271" s="77"/>
      <c r="F271" s="77"/>
      <c r="G271" s="77"/>
      <c r="H271" s="77"/>
      <c r="I271" s="102"/>
      <c r="J271" s="77"/>
      <c r="K271" s="77"/>
      <c r="L271" s="77"/>
      <c r="M271" s="77"/>
      <c r="N271" s="77"/>
      <c r="O271" s="76"/>
      <c r="P271" s="76"/>
      <c r="Q271" s="77"/>
      <c r="R271" s="110"/>
      <c r="S271" s="77"/>
      <c r="T271" s="77"/>
      <c r="U271" s="77"/>
      <c r="V271" s="180">
        <f>Table4[[#This Row],[Expected Revenue]]*Table4[[#This Row],[Probability]]</f>
        <v>0</v>
      </c>
      <c r="W271" s="180">
        <f t="shared" ref="W271:W272" si="34">(800*3+((550+310+290)*12)+1600+250*12)</f>
        <v>20800</v>
      </c>
      <c r="X271" s="77"/>
      <c r="Y271" s="180">
        <f>Table4[[#This Row],[Expected Revenue]]*Table4[[#This Row],[Expected CMR]]</f>
        <v>0</v>
      </c>
      <c r="Z271" s="77"/>
      <c r="AA271" s="77"/>
      <c r="AB271" s="181"/>
      <c r="AC271" s="180"/>
      <c r="AD271" s="220"/>
      <c r="AE271" s="220"/>
      <c r="AF271" s="220"/>
      <c r="AG271" s="220"/>
      <c r="AH271" s="220"/>
      <c r="AI271" s="188"/>
      <c r="AJ271" s="220"/>
      <c r="AK271" s="110"/>
      <c r="AL271" s="225"/>
      <c r="AM271" s="110"/>
      <c r="AN271" s="110"/>
      <c r="AO271" s="110" t="str">
        <f t="shared" ref="AO271:AO272" si="35">IF(AE271&gt;0,AE271+3," - ")</f>
        <v xml:space="preserve"> - </v>
      </c>
      <c r="AP271" s="110" t="str">
        <f t="shared" ref="AP271:AP272" si="36">IF(AE271&gt;0,AE271+14," - ")</f>
        <v xml:space="preserve"> - </v>
      </c>
      <c r="AQ271" s="220"/>
      <c r="AR271" s="77" t="str">
        <f t="shared" ref="AR271:AR272" ca="1" si="37">IF(AD271=0,"-",IF(AQ271&gt;0,"Delivered",IF(TODAY()&gt;AP271,"Overdue",IF(TODAY()&lt;AP271,"In Progress"))))</f>
        <v>-</v>
      </c>
      <c r="AS271" s="77"/>
      <c r="AT271" s="77"/>
      <c r="AU271" s="77"/>
      <c r="AV271" s="77"/>
      <c r="AW271" s="77"/>
    </row>
    <row r="272" spans="1:49" hidden="1">
      <c r="A272" s="173"/>
      <c r="B272" s="75"/>
      <c r="C272" s="77" t="str">
        <f>CONCATENATE(Table4[[#This Row],[Project]],"-",Table4[[#This Row],[WO]])</f>
        <v>-</v>
      </c>
      <c r="D272" s="76"/>
      <c r="E272" s="77"/>
      <c r="F272" s="77"/>
      <c r="G272" s="77"/>
      <c r="H272" s="77"/>
      <c r="I272" s="102"/>
      <c r="J272" s="77"/>
      <c r="K272" s="77"/>
      <c r="L272" s="77"/>
      <c r="M272" s="77"/>
      <c r="N272" s="77"/>
      <c r="O272" s="76"/>
      <c r="P272" s="76"/>
      <c r="Q272" s="77"/>
      <c r="R272" s="110"/>
      <c r="S272" s="77"/>
      <c r="T272" s="77"/>
      <c r="U272" s="77"/>
      <c r="V272" s="180">
        <f>Table4[[#This Row],[Expected Revenue]]*Table4[[#This Row],[Probability]]</f>
        <v>0</v>
      </c>
      <c r="W272" s="180">
        <f t="shared" si="34"/>
        <v>20800</v>
      </c>
      <c r="X272" s="77"/>
      <c r="Y272" s="180">
        <f>Table4[[#This Row],[Expected Revenue]]*Table4[[#This Row],[Expected CMR]]</f>
        <v>0</v>
      </c>
      <c r="Z272" s="77"/>
      <c r="AA272" s="77"/>
      <c r="AB272" s="181"/>
      <c r="AC272" s="180"/>
      <c r="AD272" s="220"/>
      <c r="AE272" s="220"/>
      <c r="AF272" s="220"/>
      <c r="AG272" s="220"/>
      <c r="AH272" s="220"/>
      <c r="AI272" s="188"/>
      <c r="AJ272" s="220"/>
      <c r="AK272" s="110"/>
      <c r="AL272" s="225"/>
      <c r="AM272" s="110"/>
      <c r="AN272" s="110"/>
      <c r="AO272" s="110" t="str">
        <f t="shared" si="35"/>
        <v xml:space="preserve"> - </v>
      </c>
      <c r="AP272" s="110" t="str">
        <f t="shared" si="36"/>
        <v xml:space="preserve"> - </v>
      </c>
      <c r="AQ272" s="220"/>
      <c r="AR272" s="77" t="str">
        <f t="shared" ca="1" si="37"/>
        <v>-</v>
      </c>
      <c r="AS272" s="77"/>
      <c r="AT272" s="77"/>
      <c r="AU272" s="77"/>
      <c r="AV272" s="77"/>
      <c r="AW272" s="77"/>
    </row>
    <row r="273" spans="1:49" hidden="1">
      <c r="A273" s="173"/>
      <c r="B273" s="75"/>
      <c r="C273" s="77" t="str">
        <f>CONCATENATE(Table4[[#This Row],[Project]],"-",Table4[[#This Row],[WO]])</f>
        <v>-</v>
      </c>
      <c r="D273" s="76"/>
      <c r="E273" s="77"/>
      <c r="F273" s="77"/>
      <c r="G273" s="77"/>
      <c r="H273" s="77"/>
      <c r="I273" s="102"/>
      <c r="J273" s="77"/>
      <c r="K273" s="77"/>
      <c r="L273" s="77"/>
      <c r="M273" s="77"/>
      <c r="N273" s="77"/>
      <c r="O273" s="76"/>
      <c r="P273" s="76"/>
      <c r="Q273" s="77"/>
      <c r="R273" s="110"/>
      <c r="S273" s="77"/>
      <c r="T273" s="77"/>
      <c r="U273" s="77"/>
      <c r="V273" s="180">
        <f>Table4[[#This Row],[Expected Revenue]]*Table4[[#This Row],[Probability]]</f>
        <v>0</v>
      </c>
      <c r="W273" s="180">
        <f>(800*3+((550+310+290)*12)+1600+250*12)</f>
        <v>20800</v>
      </c>
      <c r="X273" s="77"/>
      <c r="Y273" s="180">
        <f>Table4[[#This Row],[Expected Revenue]]*Table4[[#This Row],[Expected CMR]]</f>
        <v>0</v>
      </c>
      <c r="Z273" s="77"/>
      <c r="AA273" s="77"/>
      <c r="AB273" s="181"/>
      <c r="AC273" s="180"/>
      <c r="AD273" s="220"/>
      <c r="AE273" s="220"/>
      <c r="AF273" s="220"/>
      <c r="AG273" s="220"/>
      <c r="AH273" s="220"/>
      <c r="AI273" s="188"/>
      <c r="AJ273" s="220"/>
      <c r="AK273" s="110"/>
      <c r="AL273" s="225"/>
      <c r="AM273" s="110"/>
      <c r="AN273" s="110"/>
      <c r="AO273" s="110" t="str">
        <f>IF(AE273&gt;0,AE273+3," - ")</f>
        <v xml:space="preserve"> - </v>
      </c>
      <c r="AP273" s="110" t="str">
        <f>IF(AE273&gt;0,AE273+14," - ")</f>
        <v xml:space="preserve"> - </v>
      </c>
      <c r="AQ273" s="220"/>
      <c r="AR273" s="77" t="str">
        <f ca="1">IF(AD273=0,"-",IF(AQ273&gt;0,"Delivered",IF(TODAY()&gt;AP273,"Overdue",IF(TODAY()&lt;AP273,"In Progress"))))</f>
        <v>-</v>
      </c>
      <c r="AS273" s="77"/>
      <c r="AT273" s="77"/>
      <c r="AU273" s="77"/>
      <c r="AV273" s="77"/>
      <c r="AW273" s="77"/>
    </row>
    <row r="274" spans="1:49" hidden="1">
      <c r="A274" s="173"/>
      <c r="B274" s="75"/>
      <c r="C274" s="77" t="str">
        <f>CONCATENATE(Table4[[#This Row],[Project]],"-",Table4[[#This Row],[WO]])</f>
        <v>-</v>
      </c>
      <c r="D274" s="76"/>
      <c r="E274" s="77"/>
      <c r="F274" s="77"/>
      <c r="G274" s="77"/>
      <c r="H274" s="77"/>
      <c r="I274" s="102"/>
      <c r="J274" s="77"/>
      <c r="K274" s="77"/>
      <c r="L274" s="77"/>
      <c r="M274" s="77"/>
      <c r="N274" s="77"/>
      <c r="O274" s="76"/>
      <c r="P274" s="76"/>
      <c r="Q274" s="77"/>
      <c r="R274" s="110"/>
      <c r="S274" s="77"/>
      <c r="T274" s="77"/>
      <c r="U274" s="77"/>
      <c r="V274" s="180">
        <f>Table4[[#This Row],[Expected Revenue]]*Table4[[#This Row],[Probability]]</f>
        <v>0</v>
      </c>
      <c r="W274" s="180">
        <f>(800*3+((550+310+290)*12)+1600+250*12)</f>
        <v>20800</v>
      </c>
      <c r="X274" s="77"/>
      <c r="Y274" s="180">
        <f>Table4[[#This Row],[Expected Revenue]]*Table4[[#This Row],[Expected CMR]]</f>
        <v>0</v>
      </c>
      <c r="Z274" s="77"/>
      <c r="AA274" s="77"/>
      <c r="AB274" s="181"/>
      <c r="AC274" s="180"/>
      <c r="AD274" s="220"/>
      <c r="AE274" s="220"/>
      <c r="AF274" s="220"/>
      <c r="AG274" s="220"/>
      <c r="AH274" s="220"/>
      <c r="AI274" s="188"/>
      <c r="AJ274" s="220"/>
      <c r="AK274" s="110"/>
      <c r="AL274" s="225"/>
      <c r="AM274" s="110"/>
      <c r="AN274" s="110"/>
      <c r="AO274" s="110" t="str">
        <f>IF(AE274&gt;0,AE274+3," - ")</f>
        <v xml:space="preserve"> - </v>
      </c>
      <c r="AP274" s="110" t="str">
        <f>IF(AE274&gt;0,AE274+14," - ")</f>
        <v xml:space="preserve"> - </v>
      </c>
      <c r="AQ274" s="220"/>
      <c r="AR274" s="77" t="str">
        <f ca="1">IF(AD274=0,"-",IF(AQ274&gt;0,"Delivered",IF(TODAY()&gt;AP274,"Overdue",IF(TODAY()&lt;AP274,"In Progress"))))</f>
        <v>-</v>
      </c>
      <c r="AS274" s="77"/>
      <c r="AT274" s="77"/>
      <c r="AU274" s="77"/>
      <c r="AV274" s="77"/>
      <c r="AW274" s="77"/>
    </row>
    <row r="275" spans="1:49" hidden="1">
      <c r="A275" s="174"/>
      <c r="B275" s="176"/>
      <c r="C275" s="174" t="str">
        <f>CONCATENATE(Table4[[#This Row],[Project]],"-",Table4[[#This Row],[WO]])</f>
        <v>-</v>
      </c>
      <c r="D275" s="82"/>
      <c r="E275" s="83"/>
      <c r="F275" s="83"/>
      <c r="G275" s="83"/>
      <c r="H275" s="83"/>
      <c r="I275" s="103"/>
      <c r="J275" s="83"/>
      <c r="K275" s="83"/>
      <c r="L275" s="83"/>
      <c r="M275" s="83"/>
      <c r="N275" s="83"/>
      <c r="O275" s="82"/>
      <c r="P275" s="82"/>
      <c r="Q275" s="83"/>
      <c r="R275" s="156"/>
      <c r="S275" s="83"/>
      <c r="T275" s="83"/>
      <c r="U275" s="83"/>
      <c r="V275" s="180">
        <f>Table4[[#This Row],[Expected Revenue]]*Table4[[#This Row],[Probability]]</f>
        <v>0</v>
      </c>
      <c r="W275" s="190">
        <f t="shared" si="29"/>
        <v>20800</v>
      </c>
      <c r="X275" s="83"/>
      <c r="Y275" s="180">
        <f>Table4[[#This Row],[Rev. Based on PROB]]*Table4[[#This Row],[Expected CMR]]</f>
        <v>0</v>
      </c>
      <c r="Z275" s="217"/>
      <c r="AA275" s="83"/>
      <c r="AB275" s="83"/>
      <c r="AC275" s="190"/>
      <c r="AD275" s="196"/>
      <c r="AE275" s="196"/>
      <c r="AF275" s="196"/>
      <c r="AG275" s="196"/>
      <c r="AH275" s="196"/>
      <c r="AI275" s="197"/>
      <c r="AJ275" s="196"/>
      <c r="AK275" s="981"/>
      <c r="AL275" s="190"/>
      <c r="AM275" s="83"/>
      <c r="AN275" s="83"/>
      <c r="AO275" s="110" t="str">
        <f>IF(Table4[[#This Row],[Finish (demob)]]&lt;&gt;"",Table4[[#This Row],[Finish (demob)]]+10,"")</f>
        <v/>
      </c>
      <c r="AP275" s="110" t="str">
        <f>IF(Table4[[#This Row],[Finish (demob)]]&lt;&gt;"",Table4[[#This Row],[Finish (demob)]]+10,"")</f>
        <v/>
      </c>
      <c r="AQ275" s="196"/>
      <c r="AR275" s="77" t="str">
        <f>IF(Table4[[#This Row],[Date Report is delivered:]]&lt;&gt;"", "Delivered", "")</f>
        <v/>
      </c>
      <c r="AS275" s="83"/>
      <c r="AT275" s="83"/>
      <c r="AU275" s="83"/>
      <c r="AV275" s="83"/>
      <c r="AW275" s="83"/>
    </row>
  </sheetData>
  <mergeCells count="6">
    <mergeCell ref="AS1:AT1"/>
    <mergeCell ref="AU1:AV1"/>
    <mergeCell ref="Z1:AN1"/>
    <mergeCell ref="A1:K1"/>
    <mergeCell ref="L1:Y1"/>
    <mergeCell ref="AO1:AR1"/>
  </mergeCells>
  <phoneticPr fontId="25" type="noConversion"/>
  <conditionalFormatting sqref="AA3:AA13">
    <cfRule type="containsText" dxfId="487" priority="328" operator="containsText" text="TBA">
      <formula>NOT(ISERROR(SEARCH("TBA",AA3)))</formula>
    </cfRule>
    <cfRule type="containsText" dxfId="486" priority="329" operator="containsText" text="No">
      <formula>NOT(ISERROR(SEARCH("No",AA3)))</formula>
    </cfRule>
    <cfRule type="containsText" dxfId="485" priority="331" operator="containsText" text="Canceled">
      <formula>NOT(ISERROR(SEARCH("Canceled",AA3)))</formula>
    </cfRule>
    <cfRule type="containsText" dxfId="484" priority="332" operator="containsText" text="Cancelled">
      <formula>NOT(ISERROR(SEARCH("Cancelled",AA3)))</formula>
    </cfRule>
    <cfRule type="containsText" dxfId="483" priority="333" operator="containsText" text="Yes">
      <formula>NOT(ISERROR(SEARCH("Yes",AA3)))</formula>
    </cfRule>
    <cfRule type="containsText" dxfId="482" priority="330" operator="containsText" text="OK">
      <formula>NOT(ISERROR(SEARCH("OK",AA3)))</formula>
    </cfRule>
  </conditionalFormatting>
  <conditionalFormatting sqref="AA15:AA23">
    <cfRule type="containsText" dxfId="481" priority="715" operator="containsText" text="TBA">
      <formula>NOT(ISERROR(SEARCH("TBA",AA15)))</formula>
    </cfRule>
    <cfRule type="containsText" dxfId="480" priority="717" operator="containsText" text="OK">
      <formula>NOT(ISERROR(SEARCH("OK",AA15)))</formula>
    </cfRule>
    <cfRule type="containsText" dxfId="479" priority="718" operator="containsText" text="Canceled">
      <formula>NOT(ISERROR(SEARCH("Canceled",AA15)))</formula>
    </cfRule>
    <cfRule type="containsText" dxfId="478" priority="719" operator="containsText" text="Cancelled">
      <formula>NOT(ISERROR(SEARCH("Cancelled",AA15)))</formula>
    </cfRule>
    <cfRule type="containsText" dxfId="477" priority="720" operator="containsText" text="Yes">
      <formula>NOT(ISERROR(SEARCH("Yes",AA15)))</formula>
    </cfRule>
    <cfRule type="containsText" dxfId="476" priority="716" operator="containsText" text="No">
      <formula>NOT(ISERROR(SEARCH("No",AA15)))</formula>
    </cfRule>
  </conditionalFormatting>
  <conditionalFormatting sqref="AA25:AA33">
    <cfRule type="containsText" dxfId="475" priority="672" operator="containsText" text="Yes">
      <formula>NOT(ISERROR(SEARCH("Yes",AA25)))</formula>
    </cfRule>
    <cfRule type="containsText" dxfId="474" priority="671" operator="containsText" text="Cancelled">
      <formula>NOT(ISERROR(SEARCH("Cancelled",AA25)))</formula>
    </cfRule>
    <cfRule type="containsText" dxfId="473" priority="670" operator="containsText" text="Canceled">
      <formula>NOT(ISERROR(SEARCH("Canceled",AA25)))</formula>
    </cfRule>
    <cfRule type="containsText" dxfId="472" priority="669" operator="containsText" text="OK">
      <formula>NOT(ISERROR(SEARCH("OK",AA25)))</formula>
    </cfRule>
    <cfRule type="containsText" dxfId="471" priority="668" operator="containsText" text="No">
      <formula>NOT(ISERROR(SEARCH("No",AA25)))</formula>
    </cfRule>
    <cfRule type="containsText" dxfId="470" priority="667" operator="containsText" text="TBA">
      <formula>NOT(ISERROR(SEARCH("TBA",AA25)))</formula>
    </cfRule>
  </conditionalFormatting>
  <conditionalFormatting sqref="AA35:AA42">
    <cfRule type="containsText" dxfId="469" priority="623" operator="containsText" text="Cancelled">
      <formula>NOT(ISERROR(SEARCH("Cancelled",AA35)))</formula>
    </cfRule>
    <cfRule type="containsText" dxfId="468" priority="621" operator="containsText" text="OK">
      <formula>NOT(ISERROR(SEARCH("OK",AA35)))</formula>
    </cfRule>
    <cfRule type="containsText" dxfId="467" priority="624" operator="containsText" text="Yes">
      <formula>NOT(ISERROR(SEARCH("Yes",AA35)))</formula>
    </cfRule>
    <cfRule type="containsText" dxfId="466" priority="619" operator="containsText" text="TBA">
      <formula>NOT(ISERROR(SEARCH("TBA",AA35)))</formula>
    </cfRule>
    <cfRule type="containsText" dxfId="465" priority="622" operator="containsText" text="Canceled">
      <formula>NOT(ISERROR(SEARCH("Canceled",AA35)))</formula>
    </cfRule>
    <cfRule type="containsText" dxfId="464" priority="620" operator="containsText" text="No">
      <formula>NOT(ISERROR(SEARCH("No",AA35)))</formula>
    </cfRule>
  </conditionalFormatting>
  <conditionalFormatting sqref="AA44">
    <cfRule type="containsText" dxfId="463" priority="645" operator="containsText" text="Yes">
      <formula>NOT(ISERROR(SEARCH("Yes",AA44)))</formula>
    </cfRule>
    <cfRule type="containsText" dxfId="462" priority="643" operator="containsText" text="Canceled">
      <formula>NOT(ISERROR(SEARCH("Canceled",AA44)))</formula>
    </cfRule>
    <cfRule type="containsText" dxfId="461" priority="644" operator="containsText" text="Cancelled">
      <formula>NOT(ISERROR(SEARCH("Cancelled",AA44)))</formula>
    </cfRule>
    <cfRule type="containsText" dxfId="460" priority="642" operator="containsText" text="OK">
      <formula>NOT(ISERROR(SEARCH("OK",AA44)))</formula>
    </cfRule>
    <cfRule type="containsText" dxfId="459" priority="641" operator="containsText" text="No">
      <formula>NOT(ISERROR(SEARCH("No",AA44)))</formula>
    </cfRule>
    <cfRule type="containsText" dxfId="458" priority="640" operator="containsText" text="TBA">
      <formula>NOT(ISERROR(SEARCH("TBA",AA44)))</formula>
    </cfRule>
  </conditionalFormatting>
  <conditionalFormatting sqref="AA46:AA55">
    <cfRule type="containsText" dxfId="457" priority="365" operator="containsText" text="No">
      <formula>NOT(ISERROR(SEARCH("No",AA46)))</formula>
    </cfRule>
    <cfRule type="containsText" dxfId="456" priority="364" operator="containsText" text="TBA">
      <formula>NOT(ISERROR(SEARCH("TBA",AA46)))</formula>
    </cfRule>
    <cfRule type="containsText" dxfId="455" priority="369" operator="containsText" text="Yes">
      <formula>NOT(ISERROR(SEARCH("Yes",AA46)))</formula>
    </cfRule>
    <cfRule type="containsText" dxfId="454" priority="368" operator="containsText" text="Cancelled">
      <formula>NOT(ISERROR(SEARCH("Cancelled",AA46)))</formula>
    </cfRule>
    <cfRule type="containsText" dxfId="453" priority="367" operator="containsText" text="Canceled">
      <formula>NOT(ISERROR(SEARCH("Canceled",AA46)))</formula>
    </cfRule>
    <cfRule type="containsText" dxfId="452" priority="366" operator="containsText" text="OK">
      <formula>NOT(ISERROR(SEARCH("OK",AA46)))</formula>
    </cfRule>
  </conditionalFormatting>
  <conditionalFormatting sqref="AA57:AA64">
    <cfRule type="containsText" dxfId="451" priority="523" operator="containsText" text="TBA">
      <formula>NOT(ISERROR(SEARCH("TBA",AA57)))</formula>
    </cfRule>
    <cfRule type="containsText" dxfId="450" priority="524" operator="containsText" text="No">
      <formula>NOT(ISERROR(SEARCH("No",AA57)))</formula>
    </cfRule>
    <cfRule type="containsText" dxfId="449" priority="525" operator="containsText" text="OK">
      <formula>NOT(ISERROR(SEARCH("OK",AA57)))</formula>
    </cfRule>
    <cfRule type="containsText" dxfId="448" priority="526" operator="containsText" text="Canceled">
      <formula>NOT(ISERROR(SEARCH("Canceled",AA57)))</formula>
    </cfRule>
    <cfRule type="containsText" dxfId="447" priority="527" operator="containsText" text="Cancelled">
      <formula>NOT(ISERROR(SEARCH("Cancelled",AA57)))</formula>
    </cfRule>
    <cfRule type="containsText" dxfId="446" priority="528" operator="containsText" text="Yes">
      <formula>NOT(ISERROR(SEARCH("Yes",AA57)))</formula>
    </cfRule>
  </conditionalFormatting>
  <conditionalFormatting sqref="AA66">
    <cfRule type="containsText" dxfId="445" priority="548" operator="containsText" text="Cancelled">
      <formula>NOT(ISERROR(SEARCH("Cancelled",AA66)))</formula>
    </cfRule>
    <cfRule type="containsText" dxfId="444" priority="547" operator="containsText" text="Canceled">
      <formula>NOT(ISERROR(SEARCH("Canceled",AA66)))</formula>
    </cfRule>
    <cfRule type="containsText" dxfId="443" priority="549" operator="containsText" text="Yes">
      <formula>NOT(ISERROR(SEARCH("Yes",AA66)))</formula>
    </cfRule>
    <cfRule type="containsText" dxfId="442" priority="544" operator="containsText" text="TBA">
      <formula>NOT(ISERROR(SEARCH("TBA",AA66)))</formula>
    </cfRule>
    <cfRule type="containsText" dxfId="441" priority="546" operator="containsText" text="OK">
      <formula>NOT(ISERROR(SEARCH("OK",AA66)))</formula>
    </cfRule>
    <cfRule type="containsText" dxfId="440" priority="545" operator="containsText" text="No">
      <formula>NOT(ISERROR(SEARCH("No",AA66)))</formula>
    </cfRule>
  </conditionalFormatting>
  <conditionalFormatting sqref="AA68:AA77">
    <cfRule type="containsText" dxfId="439" priority="310" operator="containsText" text="TBA">
      <formula>NOT(ISERROR(SEARCH("TBA",AA68)))</formula>
    </cfRule>
    <cfRule type="containsText" dxfId="438" priority="312" operator="containsText" text="OK">
      <formula>NOT(ISERROR(SEARCH("OK",AA68)))</formula>
    </cfRule>
    <cfRule type="containsText" dxfId="437" priority="315" operator="containsText" text="Yes">
      <formula>NOT(ISERROR(SEARCH("Yes",AA68)))</formula>
    </cfRule>
    <cfRule type="containsText" dxfId="436" priority="314" operator="containsText" text="Cancelled">
      <formula>NOT(ISERROR(SEARCH("Cancelled",AA68)))</formula>
    </cfRule>
    <cfRule type="containsText" dxfId="435" priority="313" operator="containsText" text="Canceled">
      <formula>NOT(ISERROR(SEARCH("Canceled",AA68)))</formula>
    </cfRule>
    <cfRule type="containsText" dxfId="434" priority="311" operator="containsText" text="No">
      <formula>NOT(ISERROR(SEARCH("No",AA68)))</formula>
    </cfRule>
  </conditionalFormatting>
  <conditionalFormatting sqref="AA79:AA88">
    <cfRule type="containsText" dxfId="433" priority="324" operator="containsText" text="Yes">
      <formula>NOT(ISERROR(SEARCH("Yes",AA79)))</formula>
    </cfRule>
    <cfRule type="containsText" dxfId="432" priority="323" operator="containsText" text="Cancelled">
      <formula>NOT(ISERROR(SEARCH("Cancelled",AA79)))</formula>
    </cfRule>
    <cfRule type="containsText" dxfId="431" priority="321" operator="containsText" text="OK">
      <formula>NOT(ISERROR(SEARCH("OK",AA79)))</formula>
    </cfRule>
    <cfRule type="containsText" dxfId="430" priority="320" operator="containsText" text="No">
      <formula>NOT(ISERROR(SEARCH("No",AA79)))</formula>
    </cfRule>
    <cfRule type="containsText" dxfId="429" priority="322" operator="containsText" text="Canceled">
      <formula>NOT(ISERROR(SEARCH("Canceled",AA79)))</formula>
    </cfRule>
    <cfRule type="containsText" dxfId="428" priority="319" operator="containsText" text="TBA">
      <formula>NOT(ISERROR(SEARCH("TBA",AA79)))</formula>
    </cfRule>
  </conditionalFormatting>
  <conditionalFormatting sqref="AA90:AA99">
    <cfRule type="containsText" dxfId="427" priority="373" operator="containsText" text="Canceled">
      <formula>NOT(ISERROR(SEARCH("Canceled",AA90)))</formula>
    </cfRule>
    <cfRule type="containsText" dxfId="426" priority="372" operator="containsText" text="OK">
      <formula>NOT(ISERROR(SEARCH("OK",AA90)))</formula>
    </cfRule>
    <cfRule type="containsText" dxfId="425" priority="370" operator="containsText" text="TBA">
      <formula>NOT(ISERROR(SEARCH("TBA",AA90)))</formula>
    </cfRule>
    <cfRule type="containsText" dxfId="424" priority="371" operator="containsText" text="No">
      <formula>NOT(ISERROR(SEARCH("No",AA90)))</formula>
    </cfRule>
    <cfRule type="containsText" dxfId="423" priority="375" operator="containsText" text="Yes">
      <formula>NOT(ISERROR(SEARCH("Yes",AA90)))</formula>
    </cfRule>
    <cfRule type="containsText" dxfId="422" priority="374" operator="containsText" text="Cancelled">
      <formula>NOT(ISERROR(SEARCH("Cancelled",AA90)))</formula>
    </cfRule>
  </conditionalFormatting>
  <conditionalFormatting sqref="AA116">
    <cfRule type="containsText" dxfId="421" priority="288" operator="containsText" text="OK">
      <formula>NOT(ISERROR(SEARCH("OK",AA116)))</formula>
    </cfRule>
    <cfRule type="containsText" dxfId="420" priority="291" operator="containsText" text="Yes">
      <formula>NOT(ISERROR(SEARCH("Yes",AA116)))</formula>
    </cfRule>
    <cfRule type="containsText" dxfId="419" priority="290" operator="containsText" text="Cancelled">
      <formula>NOT(ISERROR(SEARCH("Cancelled",AA116)))</formula>
    </cfRule>
    <cfRule type="containsText" dxfId="418" priority="289" operator="containsText" text="Canceled">
      <formula>NOT(ISERROR(SEARCH("Canceled",AA116)))</formula>
    </cfRule>
    <cfRule type="containsText" dxfId="417" priority="287" operator="containsText" text="No">
      <formula>NOT(ISERROR(SEARCH("No",AA116)))</formula>
    </cfRule>
    <cfRule type="containsText" dxfId="416" priority="286" operator="containsText" text="TBA">
      <formula>NOT(ISERROR(SEARCH("TBA",AA116)))</formula>
    </cfRule>
  </conditionalFormatting>
  <conditionalFormatting sqref="AA141:AA144">
    <cfRule type="containsText" dxfId="415" priority="1216" operator="containsText" text="TBA">
      <formula>NOT(ISERROR(SEARCH("TBA",AA141)))</formula>
    </cfRule>
    <cfRule type="containsText" dxfId="414" priority="1221" operator="containsText" text="Yes">
      <formula>NOT(ISERROR(SEARCH("Yes",AA141)))</formula>
    </cfRule>
    <cfRule type="containsText" dxfId="413" priority="1220" operator="containsText" text="Cancelled">
      <formula>NOT(ISERROR(SEARCH("Cancelled",AA141)))</formula>
    </cfRule>
    <cfRule type="containsText" dxfId="412" priority="1219" operator="containsText" text="Canceled">
      <formula>NOT(ISERROR(SEARCH("Canceled",AA141)))</formula>
    </cfRule>
    <cfRule type="containsText" dxfId="411" priority="1218" operator="containsText" text="OK">
      <formula>NOT(ISERROR(SEARCH("OK",AA141)))</formula>
    </cfRule>
    <cfRule type="containsText" dxfId="410" priority="1217" operator="containsText" text="No">
      <formula>NOT(ISERROR(SEARCH("No",AA141)))</formula>
    </cfRule>
  </conditionalFormatting>
  <conditionalFormatting sqref="AA155:AA244">
    <cfRule type="containsText" dxfId="409" priority="302" operator="containsText" text="Cancelled">
      <formula>NOT(ISERROR(SEARCH("Cancelled",AA155)))</formula>
    </cfRule>
    <cfRule type="containsText" dxfId="408" priority="303" operator="containsText" text="Yes">
      <formula>NOT(ISERROR(SEARCH("Yes",AA155)))</formula>
    </cfRule>
    <cfRule type="containsText" dxfId="407" priority="301" operator="containsText" text="Canceled">
      <formula>NOT(ISERROR(SEARCH("Canceled",AA155)))</formula>
    </cfRule>
    <cfRule type="containsText" dxfId="406" priority="300" operator="containsText" text="OK">
      <formula>NOT(ISERROR(SEARCH("OK",AA155)))</formula>
    </cfRule>
    <cfRule type="containsText" dxfId="405" priority="299" operator="containsText" text="No">
      <formula>NOT(ISERROR(SEARCH("No",AA155)))</formula>
    </cfRule>
    <cfRule type="containsText" dxfId="404" priority="298" operator="containsText" text="TBA">
      <formula>NOT(ISERROR(SEARCH("TBA",AA155)))</formula>
    </cfRule>
  </conditionalFormatting>
  <conditionalFormatting sqref="AA246:AA253">
    <cfRule type="containsText" dxfId="403" priority="896" operator="containsText" text="Cancelled">
      <formula>NOT(ISERROR(SEARCH("Cancelled",AA246)))</formula>
    </cfRule>
    <cfRule type="containsText" dxfId="402" priority="892" operator="containsText" text="TBA">
      <formula>NOT(ISERROR(SEARCH("TBA",AA246)))</formula>
    </cfRule>
    <cfRule type="containsText" dxfId="401" priority="893" operator="containsText" text="No">
      <formula>NOT(ISERROR(SEARCH("No",AA246)))</formula>
    </cfRule>
    <cfRule type="containsText" dxfId="400" priority="894" operator="containsText" text="OK">
      <formula>NOT(ISERROR(SEARCH("OK",AA246)))</formula>
    </cfRule>
    <cfRule type="containsText" dxfId="399" priority="895" operator="containsText" text="Canceled">
      <formula>NOT(ISERROR(SEARCH("Canceled",AA246)))</formula>
    </cfRule>
    <cfRule type="containsText" dxfId="398" priority="897" operator="containsText" text="Yes">
      <formula>NOT(ISERROR(SEARCH("Yes",AA246)))</formula>
    </cfRule>
  </conditionalFormatting>
  <conditionalFormatting sqref="AF43">
    <cfRule type="containsText" dxfId="397" priority="348" operator="containsText" text="Yes">
      <formula>NOT(ISERROR(SEARCH("Yes",AF43)))</formula>
    </cfRule>
    <cfRule type="containsText" dxfId="396" priority="346" operator="containsText" text="Ready">
      <formula>NOT(ISERROR(SEARCH("Ready",AF43)))</formula>
    </cfRule>
    <cfRule type="containsText" dxfId="395" priority="347" operator="containsText" text="Ongoing">
      <formula>NOT(ISERROR(SEARCH("Ongoing",AF43)))</formula>
    </cfRule>
  </conditionalFormatting>
  <conditionalFormatting sqref="AF65">
    <cfRule type="containsText" dxfId="394" priority="343" operator="containsText" text="Ready">
      <formula>NOT(ISERROR(SEARCH("Ready",AF65)))</formula>
    </cfRule>
    <cfRule type="containsText" dxfId="393" priority="345" operator="containsText" text="Yes">
      <formula>NOT(ISERROR(SEARCH("Yes",AF65)))</formula>
    </cfRule>
    <cfRule type="containsText" dxfId="392" priority="344" operator="containsText" text="Ongoing">
      <formula>NOT(ISERROR(SEARCH("Ongoing",AF65)))</formula>
    </cfRule>
  </conditionalFormatting>
  <conditionalFormatting sqref="AK3:AK13">
    <cfRule type="containsText" dxfId="391" priority="12" operator="containsText" text="Yes">
      <formula>NOT(ISERROR(SEARCH("Yes",AK3)))</formula>
    </cfRule>
    <cfRule type="containsText" dxfId="390" priority="11" operator="containsText" text="Ongoing">
      <formula>NOT(ISERROR(SEARCH("Ongoing",AK3)))</formula>
    </cfRule>
    <cfRule type="containsText" dxfId="389" priority="10" operator="containsText" text="Ready">
      <formula>NOT(ISERROR(SEARCH("Ready",AK3)))</formula>
    </cfRule>
  </conditionalFormatting>
  <conditionalFormatting sqref="AK15:AK23">
    <cfRule type="containsText" dxfId="388" priority="140" operator="containsText" text="Ongoing">
      <formula>NOT(ISERROR(SEARCH("Ongoing",AK15)))</formula>
    </cfRule>
    <cfRule type="containsText" dxfId="387" priority="139" operator="containsText" text="Ready">
      <formula>NOT(ISERROR(SEARCH("Ready",AK15)))</formula>
    </cfRule>
    <cfRule type="containsText" dxfId="386" priority="141" operator="containsText" text="Yes">
      <formula>NOT(ISERROR(SEARCH("Yes",AK15)))</formula>
    </cfRule>
  </conditionalFormatting>
  <conditionalFormatting sqref="AK25:AK33">
    <cfRule type="containsText" dxfId="385" priority="123" operator="containsText" text="Yes">
      <formula>NOT(ISERROR(SEARCH("Yes",AK25)))</formula>
    </cfRule>
    <cfRule type="containsText" dxfId="384" priority="122" operator="containsText" text="Ongoing">
      <formula>NOT(ISERROR(SEARCH("Ongoing",AK25)))</formula>
    </cfRule>
    <cfRule type="containsText" dxfId="383" priority="121" operator="containsText" text="Ready">
      <formula>NOT(ISERROR(SEARCH("Ready",AK25)))</formula>
    </cfRule>
  </conditionalFormatting>
  <conditionalFormatting sqref="AK35:AK42">
    <cfRule type="containsText" dxfId="382" priority="105" operator="containsText" text="Yes">
      <formula>NOT(ISERROR(SEARCH("Yes",AK35)))</formula>
    </cfRule>
    <cfRule type="containsText" dxfId="381" priority="104" operator="containsText" text="Ongoing">
      <formula>NOT(ISERROR(SEARCH("Ongoing",AK35)))</formula>
    </cfRule>
    <cfRule type="containsText" dxfId="380" priority="103" operator="containsText" text="Ready">
      <formula>NOT(ISERROR(SEARCH("Ready",AK35)))</formula>
    </cfRule>
  </conditionalFormatting>
  <conditionalFormatting sqref="AK44">
    <cfRule type="containsText" dxfId="379" priority="114" operator="containsText" text="Yes">
      <formula>NOT(ISERROR(SEARCH("Yes",AK44)))</formula>
    </cfRule>
    <cfRule type="containsText" dxfId="378" priority="113" operator="containsText" text="Ongoing">
      <formula>NOT(ISERROR(SEARCH("Ongoing",AK44)))</formula>
    </cfRule>
    <cfRule type="containsText" dxfId="377" priority="112" operator="containsText" text="Ready">
      <formula>NOT(ISERROR(SEARCH("Ready",AK44)))</formula>
    </cfRule>
  </conditionalFormatting>
  <conditionalFormatting sqref="AK46:AK55">
    <cfRule type="containsText" dxfId="376" priority="17" operator="containsText" text="Ongoing">
      <formula>NOT(ISERROR(SEARCH("Ongoing",AK46)))</formula>
    </cfRule>
    <cfRule type="containsText" dxfId="375" priority="16" operator="containsText" text="Ready">
      <formula>NOT(ISERROR(SEARCH("Ready",AK46)))</formula>
    </cfRule>
    <cfRule type="containsText" dxfId="374" priority="18" operator="containsText" text="Yes">
      <formula>NOT(ISERROR(SEARCH("Yes",AK46)))</formula>
    </cfRule>
  </conditionalFormatting>
  <conditionalFormatting sqref="AK58:AK62">
    <cfRule type="containsText" dxfId="373" priority="76" operator="containsText" text="Ready">
      <formula>NOT(ISERROR(SEARCH("Ready",AK58)))</formula>
    </cfRule>
    <cfRule type="containsText" dxfId="372" priority="77" operator="containsText" text="Ongoing">
      <formula>NOT(ISERROR(SEARCH("Ongoing",AK58)))</formula>
    </cfRule>
    <cfRule type="containsText" dxfId="371" priority="78" operator="containsText" text="Yes">
      <formula>NOT(ISERROR(SEARCH("Yes",AK58)))</formula>
    </cfRule>
  </conditionalFormatting>
  <conditionalFormatting sqref="AK64">
    <cfRule type="containsText" dxfId="370" priority="75" operator="containsText" text="Yes">
      <formula>NOT(ISERROR(SEARCH("Yes",AK64)))</formula>
    </cfRule>
    <cfRule type="containsText" dxfId="369" priority="74" operator="containsText" text="Ongoing">
      <formula>NOT(ISERROR(SEARCH("Ongoing",AK64)))</formula>
    </cfRule>
    <cfRule type="containsText" dxfId="368" priority="73" operator="containsText" text="Ready">
      <formula>NOT(ISERROR(SEARCH("Ready",AK64)))</formula>
    </cfRule>
  </conditionalFormatting>
  <conditionalFormatting sqref="AK66">
    <cfRule type="containsText" dxfId="367" priority="79" operator="containsText" text="Ready">
      <formula>NOT(ISERROR(SEARCH("Ready",AK66)))</formula>
    </cfRule>
    <cfRule type="containsText" dxfId="366" priority="80" operator="containsText" text="Ongoing">
      <formula>NOT(ISERROR(SEARCH("Ongoing",AK66)))</formula>
    </cfRule>
    <cfRule type="containsText" dxfId="365" priority="81" operator="containsText" text="Yes">
      <formula>NOT(ISERROR(SEARCH("Yes",AK66)))</formula>
    </cfRule>
  </conditionalFormatting>
  <conditionalFormatting sqref="AK68:AK77">
    <cfRule type="containsText" dxfId="364" priority="9" operator="containsText" text="Yes">
      <formula>NOT(ISERROR(SEARCH("Yes",AK68)))</formula>
    </cfRule>
    <cfRule type="containsText" dxfId="363" priority="7" operator="containsText" text="Ready">
      <formula>NOT(ISERROR(SEARCH("Ready",AK68)))</formula>
    </cfRule>
    <cfRule type="containsText" dxfId="362" priority="8" operator="containsText" text="Ongoing">
      <formula>NOT(ISERROR(SEARCH("Ongoing",AK68)))</formula>
    </cfRule>
  </conditionalFormatting>
  <conditionalFormatting sqref="AK79:AK81">
    <cfRule type="containsText" dxfId="361" priority="45" operator="containsText" text="Yes">
      <formula>NOT(ISERROR(SEARCH("Yes",AK79)))</formula>
    </cfRule>
    <cfRule type="containsText" dxfId="360" priority="44" operator="containsText" text="Ongoing">
      <formula>NOT(ISERROR(SEARCH("Ongoing",AK79)))</formula>
    </cfRule>
    <cfRule type="containsText" dxfId="359" priority="43" operator="containsText" text="Ready">
      <formula>NOT(ISERROR(SEARCH("Ready",AK79)))</formula>
    </cfRule>
  </conditionalFormatting>
  <conditionalFormatting sqref="AK83:AK88">
    <cfRule type="containsText" dxfId="358" priority="39" operator="containsText" text="Yes">
      <formula>NOT(ISERROR(SEARCH("Yes",AK83)))</formula>
    </cfRule>
    <cfRule type="containsText" dxfId="357" priority="38" operator="containsText" text="Ongoing">
      <formula>NOT(ISERROR(SEARCH("Ongoing",AK83)))</formula>
    </cfRule>
    <cfRule type="containsText" dxfId="356" priority="37" operator="containsText" text="Ready">
      <formula>NOT(ISERROR(SEARCH("Ready",AK83)))</formula>
    </cfRule>
  </conditionalFormatting>
  <conditionalFormatting sqref="AK90:AK98">
    <cfRule type="containsText" dxfId="355" priority="21" operator="containsText" text="Yes">
      <formula>NOT(ISERROR(SEARCH("Yes",AK90)))</formula>
    </cfRule>
    <cfRule type="containsText" dxfId="354" priority="20" operator="containsText" text="Ongoing">
      <formula>NOT(ISERROR(SEARCH("Ongoing",AK90)))</formula>
    </cfRule>
    <cfRule type="containsText" dxfId="353" priority="19" operator="containsText" text="Ready">
      <formula>NOT(ISERROR(SEARCH("Ready",AK90)))</formula>
    </cfRule>
  </conditionalFormatting>
  <conditionalFormatting sqref="AK116">
    <cfRule type="containsText" dxfId="352" priority="3" operator="containsText" text="Yes">
      <formula>NOT(ISERROR(SEARCH("Yes",AK116)))</formula>
    </cfRule>
    <cfRule type="containsText" dxfId="351" priority="2" operator="containsText" text="Ongoing">
      <formula>NOT(ISERROR(SEARCH("Ongoing",AK116)))</formula>
    </cfRule>
    <cfRule type="containsText" dxfId="350" priority="1" operator="containsText" text="Ready">
      <formula>NOT(ISERROR(SEARCH("Ready",AK116)))</formula>
    </cfRule>
  </conditionalFormatting>
  <conditionalFormatting sqref="AK141:AK144">
    <cfRule type="containsText" dxfId="349" priority="249" operator="containsText" text="Yes">
      <formula>NOT(ISERROR(SEARCH("Yes",AK141)))</formula>
    </cfRule>
    <cfRule type="containsText" dxfId="348" priority="247" operator="containsText" text="Ready">
      <formula>NOT(ISERROR(SEARCH("Ready",AK141)))</formula>
    </cfRule>
    <cfRule type="containsText" dxfId="347" priority="248" operator="containsText" text="Ongoing">
      <formula>NOT(ISERROR(SEARCH("Ongoing",AK141)))</formula>
    </cfRule>
  </conditionalFormatting>
  <conditionalFormatting sqref="AK155:AK244">
    <cfRule type="containsText" dxfId="346" priority="6" operator="containsText" text="Yes">
      <formula>NOT(ISERROR(SEARCH("Yes",AK155)))</formula>
    </cfRule>
    <cfRule type="containsText" dxfId="345" priority="5" operator="containsText" text="Ongoing">
      <formula>NOT(ISERROR(SEARCH("Ongoing",AK155)))</formula>
    </cfRule>
    <cfRule type="containsText" dxfId="344" priority="4" operator="containsText" text="Ready">
      <formula>NOT(ISERROR(SEARCH("Ready",AK155)))</formula>
    </cfRule>
  </conditionalFormatting>
  <conditionalFormatting sqref="AK246:AK253">
    <cfRule type="containsText" dxfId="343" priority="187" operator="containsText" text="Ready">
      <formula>NOT(ISERROR(SEARCH("Ready",AK246)))</formula>
    </cfRule>
    <cfRule type="containsText" dxfId="342" priority="188" operator="containsText" text="Ongoing">
      <formula>NOT(ISERROR(SEARCH("Ongoing",AK246)))</formula>
    </cfRule>
    <cfRule type="containsText" dxfId="341" priority="189" operator="containsText" text="Yes">
      <formula>NOT(ISERROR(SEARCH("Yes",AK246)))</formula>
    </cfRule>
  </conditionalFormatting>
  <conditionalFormatting sqref="AR116">
    <cfRule type="containsText" dxfId="340" priority="284" operator="containsText" text="Overdue">
      <formula>NOT(ISERROR(SEARCH("Overdue",AR116)))</formula>
    </cfRule>
    <cfRule type="containsText" dxfId="339" priority="283" operator="containsText" text="In Progress">
      <formula>NOT(ISERROR(SEARCH("In Progress",AR116)))</formula>
    </cfRule>
    <cfRule type="containsText" dxfId="338" priority="285" operator="containsText" text="Delivered">
      <formula>NOT(ISERROR(SEARCH("Delivered",AR116)))</formula>
    </cfRule>
  </conditionalFormatting>
  <conditionalFormatting sqref="AR141:AR144">
    <cfRule type="containsText" dxfId="337" priority="1215" operator="containsText" text="Delivered">
      <formula>NOT(ISERROR(SEARCH("Delivered",AR141)))</formula>
    </cfRule>
    <cfRule type="containsText" dxfId="336" priority="1213" operator="containsText" text="In Progress">
      <formula>NOT(ISERROR(SEARCH("In Progress",AR141)))</formula>
    </cfRule>
    <cfRule type="containsText" dxfId="335" priority="1214" operator="containsText" text="Overdue">
      <formula>NOT(ISERROR(SEARCH("Overdue",AR141)))</formula>
    </cfRule>
  </conditionalFormatting>
  <conditionalFormatting sqref="AR157:AR165">
    <cfRule type="containsText" dxfId="334" priority="1558" operator="containsText" text="In Progress">
      <formula>NOT(ISERROR(SEARCH("In Progress",AR157)))</formula>
    </cfRule>
    <cfRule type="containsText" dxfId="333" priority="1559" operator="containsText" text="Overdue">
      <formula>NOT(ISERROR(SEARCH("Overdue",AR157)))</formula>
    </cfRule>
    <cfRule type="containsText" dxfId="332" priority="1560" operator="containsText" text="Delivered">
      <formula>NOT(ISERROR(SEARCH("Delivered",AR157)))</formula>
    </cfRule>
  </conditionalFormatting>
  <conditionalFormatting sqref="AR167:AR171">
    <cfRule type="containsText" dxfId="331" priority="1051" operator="containsText" text="In Progress">
      <formula>NOT(ISERROR(SEARCH("In Progress",AR167)))</formula>
    </cfRule>
    <cfRule type="containsText" dxfId="330" priority="1052" operator="containsText" text="Overdue">
      <formula>NOT(ISERROR(SEARCH("Overdue",AR167)))</formula>
    </cfRule>
    <cfRule type="containsText" dxfId="329" priority="1053" operator="containsText" text="Delivered">
      <formula>NOT(ISERROR(SEARCH("Delivered",AR167)))</formula>
    </cfRule>
  </conditionalFormatting>
  <conditionalFormatting sqref="AR173:AR186">
    <cfRule type="containsText" dxfId="328" priority="841" operator="containsText" text="In Progress">
      <formula>NOT(ISERROR(SEARCH("In Progress",AR173)))</formula>
    </cfRule>
    <cfRule type="containsText" dxfId="327" priority="842" operator="containsText" text="Overdue">
      <formula>NOT(ISERROR(SEARCH("Overdue",AR173)))</formula>
    </cfRule>
    <cfRule type="containsText" dxfId="326" priority="843" operator="containsText" text="Delivered">
      <formula>NOT(ISERROR(SEARCH("Delivered",AR173)))</formula>
    </cfRule>
  </conditionalFormatting>
  <conditionalFormatting sqref="AR188:AR189">
    <cfRule type="containsText" dxfId="325" priority="1120" operator="containsText" text="In Progress">
      <formula>NOT(ISERROR(SEARCH("In Progress",AR188)))</formula>
    </cfRule>
    <cfRule type="containsText" dxfId="324" priority="1121" operator="containsText" text="Overdue">
      <formula>NOT(ISERROR(SEARCH("Overdue",AR188)))</formula>
    </cfRule>
    <cfRule type="containsText" dxfId="323" priority="1122" operator="containsText" text="Delivered">
      <formula>NOT(ISERROR(SEARCH("Delivered",AR188)))</formula>
    </cfRule>
  </conditionalFormatting>
  <conditionalFormatting sqref="AR191:AR192 AR203:AR213 AR233:AR238">
    <cfRule type="containsText" dxfId="322" priority="2129" operator="containsText" text="In Progress">
      <formula>NOT(ISERROR(SEARCH("In Progress",AR191)))</formula>
    </cfRule>
    <cfRule type="containsText" dxfId="321" priority="2130" operator="containsText" text="Overdue">
      <formula>NOT(ISERROR(SEARCH("Overdue",AR191)))</formula>
    </cfRule>
    <cfRule type="containsText" dxfId="320" priority="2131" operator="containsText" text="Delivered">
      <formula>NOT(ISERROR(SEARCH("Delivered",AR191)))</formula>
    </cfRule>
  </conditionalFormatting>
  <conditionalFormatting sqref="AR194:AR201">
    <cfRule type="containsText" dxfId="319" priority="1040" operator="containsText" text="Overdue">
      <formula>NOT(ISERROR(SEARCH("Overdue",AR194)))</formula>
    </cfRule>
    <cfRule type="containsText" dxfId="318" priority="1041" operator="containsText" text="Delivered">
      <formula>NOT(ISERROR(SEARCH("Delivered",AR194)))</formula>
    </cfRule>
    <cfRule type="containsText" dxfId="317" priority="1039" operator="containsText" text="In Progress">
      <formula>NOT(ISERROR(SEARCH("In Progress",AR194)))</formula>
    </cfRule>
  </conditionalFormatting>
  <conditionalFormatting sqref="AR215">
    <cfRule type="containsText" dxfId="316" priority="1029" operator="containsText" text="Delivered">
      <formula>NOT(ISERROR(SEARCH("Delivered",AR215)))</formula>
    </cfRule>
    <cfRule type="containsText" dxfId="315" priority="1028" operator="containsText" text="Overdue">
      <formula>NOT(ISERROR(SEARCH("Overdue",AR215)))</formula>
    </cfRule>
    <cfRule type="containsText" dxfId="314" priority="1027" operator="containsText" text="In Progress">
      <formula>NOT(ISERROR(SEARCH("In Progress",AR215)))</formula>
    </cfRule>
  </conditionalFormatting>
  <conditionalFormatting sqref="AR217:AR231">
    <cfRule type="containsText" dxfId="313" priority="297" operator="containsText" text="Delivered">
      <formula>NOT(ISERROR(SEARCH("Delivered",AR217)))</formula>
    </cfRule>
    <cfRule type="containsText" dxfId="312" priority="295" operator="containsText" text="In Progress">
      <formula>NOT(ISERROR(SEARCH("In Progress",AR217)))</formula>
    </cfRule>
    <cfRule type="containsText" dxfId="311" priority="296" operator="containsText" text="Overdue">
      <formula>NOT(ISERROR(SEARCH("Overdue",AR217)))</formula>
    </cfRule>
  </conditionalFormatting>
  <conditionalFormatting sqref="AR241:AR244">
    <cfRule type="containsText" dxfId="310" priority="1063" operator="containsText" text="In Progress">
      <formula>NOT(ISERROR(SEARCH("In Progress",AR241)))</formula>
    </cfRule>
    <cfRule type="containsText" dxfId="309" priority="1064" operator="containsText" text="Overdue">
      <formula>NOT(ISERROR(SEARCH("Overdue",AR241)))</formula>
    </cfRule>
    <cfRule type="containsText" dxfId="308" priority="1065" operator="containsText" text="Delivered">
      <formula>NOT(ISERROR(SEARCH("Delivered",AR241)))</formula>
    </cfRule>
  </conditionalFormatting>
  <conditionalFormatting sqref="AR246:AR253">
    <cfRule type="containsText" dxfId="307" priority="889" operator="containsText" text="In Progress">
      <formula>NOT(ISERROR(SEARCH("In Progress",AR246)))</formula>
    </cfRule>
    <cfRule type="containsText" dxfId="306" priority="890" operator="containsText" text="Overdue">
      <formula>NOT(ISERROR(SEARCH("Overdue",AR246)))</formula>
    </cfRule>
    <cfRule type="containsText" dxfId="305" priority="891" operator="containsText" text="Delivered">
      <formula>NOT(ISERROR(SEARCH("Delivered",AR246)))</formula>
    </cfRule>
  </conditionalFormatting>
  <dataValidations count="1">
    <dataValidation type="list" allowBlank="1" showInputMessage="1" showErrorMessage="1" sqref="AT206 AM206:AN206" xr:uid="{AD55AF04-FCA4-4C36-96DF-E46BEE8E921B}"/>
  </dataValidations>
  <hyperlinks>
    <hyperlink ref="Q173" r:id="rId1" xr:uid="{00000000-0004-0000-0000-000020000000}"/>
    <hyperlink ref="Q202" r:id="rId2" xr:uid="{F50E80D6-4BCA-4F4B-AF1F-9994EB357D7C}"/>
    <hyperlink ref="Q148" r:id="rId3" xr:uid="{1FAA5271-872B-4B58-8701-7DA6211722E9}"/>
    <hyperlink ref="Q156" r:id="rId4" xr:uid="{DBE28AFE-CA12-4C67-B26F-427C31953793}"/>
    <hyperlink ref="Q190" r:id="rId5" xr:uid="{841C15BD-3943-4D34-A236-B65464616F8C}"/>
    <hyperlink ref="Q193" r:id="rId6" xr:uid="{805FFEA7-73A5-4351-A3D3-8CFB8FB6493A}"/>
    <hyperlink ref="Q172" r:id="rId7" xr:uid="{1EF37340-7831-416C-B7FD-F77D99080D04}"/>
    <hyperlink ref="Q166" r:id="rId8" xr:uid="{26E65D87-9EE6-4F61-A434-5855F32318D0}"/>
    <hyperlink ref="Q154" r:id="rId9" xr:uid="{8C86EE16-A67D-44C4-9F4E-A501F1F7200B}"/>
    <hyperlink ref="Q149" r:id="rId10" xr:uid="{033D749C-8AA6-45D0-A301-B637DB5A7F13}"/>
    <hyperlink ref="Q162" r:id="rId11" xr:uid="{2EBBB7F3-C8F6-4CDA-97F2-F69272EAFF64}"/>
    <hyperlink ref="Q181" r:id="rId12" xr:uid="{7E630F01-0E08-4CF5-9418-7EF1F8134980}"/>
    <hyperlink ref="Q224" r:id="rId13" xr:uid="{3854E6FE-05C3-4DD7-8C38-1E1A91C1F586}"/>
    <hyperlink ref="Q199" r:id="rId14" xr:uid="{204DB8CE-7812-4D70-8E0D-FFE7674B8227}"/>
    <hyperlink ref="Q179" r:id="rId15" xr:uid="{D6F772A8-1246-407B-959D-20FEC487CB7A}"/>
    <hyperlink ref="Q171" r:id="rId16" xr:uid="{B893E528-B357-463D-ABCF-97D0D0B07460}"/>
    <hyperlink ref="Q151" r:id="rId17" xr:uid="{DFBE72F7-3494-4012-B525-ABC672A1B81F}"/>
    <hyperlink ref="Q159" r:id="rId18" xr:uid="{F1C3D61F-F855-4590-8D5B-3C00C7D30029}"/>
    <hyperlink ref="Q205" r:id="rId19" xr:uid="{569CCD33-465E-468B-817A-E48C4DB27A7E}"/>
    <hyperlink ref="Q195" r:id="rId20" xr:uid="{E7660657-2400-4624-B00A-AB8CF56C86BA}"/>
    <hyperlink ref="Q174" r:id="rId21" xr:uid="{FF098E1F-80E9-4257-B265-E0CB2DF05474}"/>
    <hyperlink ref="Q169" r:id="rId22" xr:uid="{C25A3C5D-0D3C-4564-803F-294F792FDCB1}"/>
    <hyperlink ref="Q146" r:id="rId23" xr:uid="{E2AA68DC-F60F-4E6F-81BE-1FC71B50AF1C}"/>
    <hyperlink ref="Q207" r:id="rId24" xr:uid="{F4413C46-EF19-4805-B6D2-B7ECC992EFC5}"/>
    <hyperlink ref="Q150" r:id="rId25" xr:uid="{EA414750-23DD-49C2-B606-FB907468DDA3}"/>
    <hyperlink ref="Q158" r:id="rId26" xr:uid="{1AB17D27-547B-4885-8CBC-34211432804F}"/>
    <hyperlink ref="Q191" r:id="rId27" xr:uid="{C1A4C92F-C44B-4096-8406-D1288ACB27C5}"/>
    <hyperlink ref="Q203" r:id="rId28" xr:uid="{EB2BE5F0-F74E-4FA8-8E14-EFE0EC148E07}"/>
    <hyperlink ref="Q196" r:id="rId29" xr:uid="{F39BF4AC-4EA4-4693-9198-D990648B80D5}"/>
    <hyperlink ref="Q176" r:id="rId30" xr:uid="{985218E0-39E3-4BCE-90A3-2E8B546BBB2C}"/>
    <hyperlink ref="Q167" r:id="rId31" xr:uid="{B8011106-760D-4DD3-9A30-918276E3B434}"/>
    <hyperlink ref="Q184" r:id="rId32" xr:uid="{A943D676-3281-44D2-9EAB-25B403555C52}"/>
    <hyperlink ref="Q200" r:id="rId33" xr:uid="{A419B394-C19C-41AC-9FB2-D9FFE7AD040D}"/>
    <hyperlink ref="Q215" r:id="rId34" xr:uid="{0E071E0E-7F00-4109-B820-043AE28BF5F8}"/>
    <hyperlink ref="Q219" r:id="rId35" xr:uid="{78914F21-6E59-4D4A-A190-B9BFBF06B800}"/>
    <hyperlink ref="Q165" r:id="rId36" display="Regulo.Salas@deepwater.com" xr:uid="{0FBC4D8C-0FFB-494E-8F89-B5C18ECA4890}"/>
    <hyperlink ref="Q209" r:id="rId37" xr:uid="{C292FFEE-07D8-4AEF-9F16-86838539C5DF}"/>
    <hyperlink ref="Q221" r:id="rId38" xr:uid="{EAE75743-8D04-4624-89DB-8EA71F7AA31A}"/>
    <hyperlink ref="Q226" r:id="rId39" xr:uid="{05246F36-28ED-4523-A3B9-385699DCCBAA}"/>
    <hyperlink ref="Q211" r:id="rId40" xr:uid="{0779DAF2-72CF-42BF-A7F3-950F6FD6913F}"/>
    <hyperlink ref="Q217" r:id="rId41" xr:uid="{C1D52776-44E0-440A-BC5D-DC043317C0D3}"/>
    <hyperlink ref="Q228" r:id="rId42" xr:uid="{73BBF684-0655-4145-A416-D3AC69021605}"/>
    <hyperlink ref="Q155" r:id="rId43" xr:uid="{7AE16C4B-E5E0-41FD-ACE6-3B0D5E98DE7F}"/>
    <hyperlink ref="Q183" r:id="rId44" xr:uid="{F973C6F3-2F34-4212-B489-B99D8CF3C2C0}"/>
    <hyperlink ref="Q198" r:id="rId45" xr:uid="{35A8F45C-6BB4-4209-AAB9-49E9E1020DCC}"/>
    <hyperlink ref="Q175" r:id="rId46" xr:uid="{979161EE-1197-4976-BBF9-501ECC2BCE50}"/>
    <hyperlink ref="Q168" r:id="rId47" xr:uid="{1A99F25F-2C45-4AC9-9B5E-6932526F83B2}"/>
    <hyperlink ref="Q213" r:id="rId48" xr:uid="{1ADF75FB-0C0F-460D-8D29-F67A8C9CCBFF}"/>
    <hyperlink ref="Q223" r:id="rId49" xr:uid="{D635DB9B-B05F-406B-A763-C8899DB998A0}"/>
    <hyperlink ref="Q229" r:id="rId50" xr:uid="{23B08CFD-A6AA-4884-A502-A031D91F32A9}"/>
    <hyperlink ref="Q241" r:id="rId51" xr:uid="{64988AE2-1FDE-4418-BBD9-9909E068439C}"/>
    <hyperlink ref="Q235" r:id="rId52" xr:uid="{86205C21-54A8-4FB8-A472-9298A995C6C0}"/>
    <hyperlink ref="Q234" r:id="rId53" xr:uid="{AF7E10B8-1DD6-4E61-A28A-FEC4C9B77286}"/>
    <hyperlink ref="Q145" r:id="rId54" xr:uid="{3599E343-150A-40D2-8C7D-8E0A74318C99}"/>
    <hyperlink ref="Q236" r:id="rId55" xr:uid="{C2347A83-5286-42B9-94B1-E83CB015B045}"/>
    <hyperlink ref="Q253" r:id="rId56" xr:uid="{63390BCB-26DC-41E9-9DAA-62BB581D4C9C}"/>
    <hyperlink ref="Q251" r:id="rId57" xr:uid="{B76AF83B-7B8A-4EEE-9E4D-FBF703102E67}"/>
    <hyperlink ref="Q188" r:id="rId58" xr:uid="{489774C1-B43E-49D5-A7A1-71D745063A74}"/>
    <hyperlink ref="Q187" r:id="rId59" xr:uid="{8B8645EC-8BC8-4C3E-A4B1-2F39D36D75A1}"/>
    <hyperlink ref="Q182" r:id="rId60" xr:uid="{1E2FF4E7-D705-4D45-AE06-F866B96E45B1}"/>
    <hyperlink ref="Q141" r:id="rId61" xr:uid="{0128BADE-CD32-4962-82C7-13D30018E51B}"/>
    <hyperlink ref="Q144" r:id="rId62" xr:uid="{6D99DC30-18F4-472B-9308-2354321A41B5}"/>
    <hyperlink ref="Q237" r:id="rId63" xr:uid="{FDD0735C-88C5-4171-A2A9-D346730D04FF}"/>
    <hyperlink ref="Q238" r:id="rId64" xr:uid="{EBD4ED7C-DECE-4A1D-9385-E9DB9F0731E4}"/>
    <hyperlink ref="Q142" r:id="rId65" xr:uid="{50908EF8-23E1-4780-BB98-D6D90CB5F5EF}"/>
    <hyperlink ref="Q252" r:id="rId66" xr:uid="{6F2B1E1B-6002-4533-9988-E13D79D56ED8}"/>
    <hyperlink ref="Q112" r:id="rId67" xr:uid="{DDE2559D-6220-4C15-9746-620C82475548}"/>
    <hyperlink ref="Q105" r:id="rId68" xr:uid="{B8212279-9C9A-4DC3-9FFE-D79353713A7E}"/>
    <hyperlink ref="Q5" r:id="rId69" xr:uid="{5BCB4309-02BA-4C68-B417-883E71C53572}"/>
    <hyperlink ref="Q6" r:id="rId70" xr:uid="{785A6C71-1A40-4248-9C55-555EEECF9F73}"/>
    <hyperlink ref="Q85" r:id="rId71" xr:uid="{58D5D222-3EA8-41E2-91F7-9F935EEA9ADE}"/>
    <hyperlink ref="Q8" r:id="rId72" xr:uid="{4B999A16-B8D1-4941-87BC-FBD8447957B6}"/>
    <hyperlink ref="Q9" r:id="rId73" xr:uid="{D0F562AB-EE30-4814-8BBF-FC6958E225C0}"/>
    <hyperlink ref="Q14" r:id="rId74" xr:uid="{DBD59249-3AA5-470A-A671-480B4BC5DF3E}"/>
    <hyperlink ref="Q15:Q23" r:id="rId75" display="Thomas.Iverson@deepwater.com" xr:uid="{B9169E11-B91E-434D-A041-FA63353072AA}"/>
    <hyperlink ref="Q24" r:id="rId76" xr:uid="{7C38F597-2F3B-42A1-A9F2-747598EC886D}"/>
    <hyperlink ref="Q25:Q33" r:id="rId77" display="Gregory.Emberley@deepwater.com" xr:uid="{94EE3007-CE6A-4C89-8600-B088BF0E4CA5}"/>
    <hyperlink ref="Q78" r:id="rId78" xr:uid="{42B4AF13-9CFA-4705-8E0B-128A38373D07}"/>
    <hyperlink ref="Q79:Q88" r:id="rId79" display="Vishruti.Jakhar@deepwater.com" xr:uid="{CFE58468-9E45-490E-88CA-8EBAF237A8E0}"/>
    <hyperlink ref="Q101" r:id="rId80" xr:uid="{3661B109-636B-4BFE-A98F-00592FD64432}"/>
    <hyperlink ref="Q82" r:id="rId81" display="Vishruti.Jakhar@deepwater.com" xr:uid="{45207F09-950E-4DC1-969E-6EC263FACB44}"/>
  </hyperlinks>
  <pageMargins left="0.7" right="0.7" top="0.75" bottom="0.75" header="0.3" footer="0.3"/>
  <pageSetup paperSize="5" scale="33" fitToHeight="0" orientation="landscape" r:id="rId82"/>
  <tableParts count="1">
    <tablePart r:id="rId83"/>
  </tableParts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InputMessage="1" xr:uid="{733A7711-6399-4FB4-AE04-CA47B9542F08}">
          <x14:formula1>
            <xm:f>Validation!$L$3:$L$27</xm:f>
          </x14:formula1>
          <xm:sqref>D158:D164</xm:sqref>
        </x14:dataValidation>
        <x14:dataValidation type="list" allowBlank="1" showInputMessage="1" xr:uid="{975FFCA8-71F6-4E53-8BBF-0B0DAD8BB6A3}">
          <x14:formula1>
            <xm:f>Validation!$M$3:$M$42</xm:f>
          </x14:formula1>
          <xm:sqref>A246:A253 A165:A244 A3:A13 A99:A154</xm:sqref>
        </x14:dataValidation>
        <x14:dataValidation type="list" allowBlank="1" showInputMessage="1" xr:uid="{E09B995C-D2D5-47B8-A87E-56BD7DC2EA0E}">
          <x14:formula1>
            <xm:f>Validation!$N$3:$N$16</xm:f>
          </x14:formula1>
          <xm:sqref>J141:J142 J69:J77 J47:J55 J16:J23 J26:J33 J91:J98 J36:J44 J80:J88 J5:J13 J58:J66 J157:J253 J116</xm:sqref>
        </x14:dataValidation>
        <x14:dataValidation type="list" allowBlank="1" showInputMessage="1" xr:uid="{094D66B9-7BD4-45C8-BF7A-82CCDAA64971}">
          <x14:formula1>
            <xm:f>Validation!$F$3:$F$11</xm:f>
          </x14:formula1>
          <xm:sqref>K69:K77 K47:K55 K16:K23 K26:K33 K5:K13 K100:K106 K36:K44 K80:K88 K58:K66 K91:K98 K141:K144 K158:K253 K116</xm:sqref>
        </x14:dataValidation>
        <x14:dataValidation type="list" allowBlank="1" showInputMessage="1" xr:uid="{2CD55FEA-A96C-43A3-B1BD-946FA6B24163}">
          <x14:formula1>
            <xm:f>Validation!$I$3:$I$12</xm:f>
          </x14:formula1>
          <xm:sqref>F69:F77 F47:F55 F16:F23 F26:F33 F5:F13 F141:F144 F36:F44 F80:F88 F58:F66 F91:F98 F158:F253 F116</xm:sqref>
        </x14:dataValidation>
        <x14:dataValidation type="list" allowBlank="1" showInputMessage="1" xr:uid="{AB2E51F9-E9E9-4956-8E8F-B6C7E72B7EDE}">
          <x14:formula1>
            <xm:f>Validation!$J$3:$J$11</xm:f>
          </x14:formula1>
          <xm:sqref>L141:L144 L165:L253 L116</xm:sqref>
        </x14:dataValidation>
        <x14:dataValidation type="list" allowBlank="1" showInputMessage="1" xr:uid="{C9D2C3D2-25A6-4D1D-8739-96C977C90799}">
          <x14:formula1>
            <xm:f>Validation!$G$3:$G$13</xm:f>
          </x14:formula1>
          <xm:sqref>M141:M144 M69:M77 M47:M55 M16:M23 M26:M33 M5:M13 M36:M44 M80:M88 M91:M106 M58:M66 M158:M253 M116</xm:sqref>
        </x14:dataValidation>
        <x14:dataValidation type="list" allowBlank="1" showInputMessage="1" showErrorMessage="1" xr:uid="{4F5C7D0A-96E7-4030-8610-7E8FB3ED296C}">
          <x14:formula1>
            <xm:f>Validation!$B$3:$B$14</xm:f>
          </x14:formula1>
          <xm:sqref>R141:R144 R10:R13 R5:R6 R8 R16:R17 R19 R21:R23 R26:R27 R29 R31:R33 R36:R37 R39 R52:R55 R47:R48 R50 R96:R99 R58:R59 R61 R74:R77 R69:R70 R72 AR82 R84 R86:R88 R91:R92 R94 R41:R44 R116 R64:R66 R80:R81 R156:R253 AH43:AJ43 AH65:AJ65 AM141:AM144 AM246:AM253 AM158:AM205 AM69:AM77 AM47:AM55 AM16:AM23 AM26:AM33 AM36:AM42 AM44 AM66 AM91:AM98 AM5:AM13 AM80:AM88 AM207:AM244 AM116 AM58:AM62 AM64</xm:sqref>
        </x14:dataValidation>
        <x14:dataValidation type="list" allowBlank="1" showInputMessage="1" xr:uid="{5A1C090D-01C6-49DA-86C6-24EE8A44DBEB}">
          <x14:formula1>
            <xm:f>Validation!$C$3:$C$14</xm:f>
          </x14:formula1>
          <xm:sqref>S141:S144 S69:S77 S47:S55 S16:S23 S26:S33 S91:S99 S36:S44 S80:S88 S58:S66 S5:S13 S165:S253 S116</xm:sqref>
        </x14:dataValidation>
        <x14:dataValidation type="list" allowBlank="1" showInputMessage="1" showErrorMessage="1" xr:uid="{07C01EFF-D903-4A4F-87C0-716ED6B3C079}">
          <x14:formula1>
            <xm:f>Validation!$K$3:$K$9</xm:f>
          </x14:formula1>
          <xm:sqref>Z189 Z250:Z253 Z179:Z181 Z194:Z204 H189 H250:H253 H179:H181 H194:H204 H220:H247 Z220:Z247</xm:sqref>
        </x14:dataValidation>
        <x14:dataValidation type="list" allowBlank="1" showInputMessage="1" showErrorMessage="1" xr:uid="{4C37B915-D2C7-4DE5-9ECA-A1D295DE30E4}">
          <x14:formula1>
            <xm:f>Validation!$C$3:$C$14</xm:f>
          </x14:formula1>
          <xm:sqref>AO65 AO43 AN246:AN253 AN207:AN244 AN3:AN42 AN66:AN205 AN44:AN64</xm:sqref>
        </x14:dataValidation>
        <x14:dataValidation type="list" allowBlank="1" showInputMessage="1" showErrorMessage="1" xr:uid="{6DD6C3F1-9703-4D70-8F19-739E86DED958}">
          <x14:formula1>
            <xm:f>Validation!$P$3:$P$4</xm:f>
          </x14:formula1>
          <xm:sqref>AT155:AT205 AT141:AT144 AT246:AT253 AT207:AT244 AT116</xm:sqref>
        </x14:dataValidation>
        <x14:dataValidation type="list" allowBlank="1" showInputMessage="1" xr:uid="{04754D80-5F25-4EFE-943A-8EC4C9F4E465}">
          <x14:formula1>
            <xm:f>Validation!$H$3:$H$7</xm:f>
          </x14:formula1>
          <xm:sqref>G69:G77 G47:G55 G16:G23 G26:G33 G5:G13 G141:G144 G36:G44 G80:G88 G58:G66 G91:G98 G158:G253 G116</xm:sqref>
        </x14:dataValidation>
        <x14:dataValidation type="list" allowBlank="1" showInputMessage="1" showErrorMessage="1" xr:uid="{E9EDE575-2261-4C9C-91B9-00FA9AA85F7E}">
          <x14:formula1>
            <xm:f>Validation!$D$3:$D$31</xm:f>
          </x14:formula1>
          <xm:sqref>E155:E217 E250:E253 E246:E247 E68:E77 E46:E55 E15:E23 E25:E33 E4:E13 E100:E104 E35:E44 E79:E88 E57:E66 E90:E98 E141:E144 E220:E243 E116</xm:sqref>
        </x14:dataValidation>
        <x14:dataValidation type="list" allowBlank="1" showInputMessage="1" xr:uid="{7981D16D-E6E8-4E6B-8705-9710CF11AD62}">
          <x14:formula1>
            <xm:f>Validation!$L$3:$L$39</xm:f>
          </x14:formula1>
          <xm:sqref>D165:D253 D3:D154</xm:sqref>
        </x14:dataValidation>
        <x14:dataValidation type="list" allowBlank="1" showInputMessage="1" showErrorMessage="1" xr:uid="{D2B76C08-5795-4FDA-973C-4DE5D3465A27}">
          <x14:formula1>
            <xm:f>Validation!$K$3:$K$10</xm:f>
          </x14:formula1>
          <xm:sqref>Z190:Z193 Z141:Z144 Z182:Z188 Z165:Z178 Z248:Z249 Z205:Z219 H190:H193 H141:H144 H182:H188 H165:H178 H248:H249 H205:H219</xm:sqref>
        </x14:dataValidation>
        <x14:dataValidation type="list" allowBlank="1" showInputMessage="1" showErrorMessage="1" xr:uid="{CC982B47-5E4A-4D3E-824E-31D862073481}">
          <x14:formula1>
            <xm:f>Validation!$D$3:$D$341</xm:f>
          </x14:formula1>
          <xm:sqref>E34 E3 E14 E24 E45 E56 E67 E78 E145:E154 E89 E99 E105:E115 E117:E140</xm:sqref>
        </x14:dataValidation>
        <x14:dataValidation type="list" allowBlank="1" showInputMessage="1" showErrorMessage="1" xr:uid="{0702F49B-34F0-4A1D-80C5-326F467750EF}">
          <x14:formula1>
            <xm:f>Validation!$D$3:$D$60</xm:f>
          </x14:formula1>
          <xm:sqref>E248:E249 E244:E245 E218:E219</xm:sqref>
        </x14:dataValidation>
        <x14:dataValidation type="list" allowBlank="1" showInputMessage="1" showErrorMessage="1" xr:uid="{300F9F29-DF0F-423D-890C-95A4BF0E6D9A}">
          <x14:formula1>
            <xm:f>Validation!$O$3:$O$4</xm:f>
          </x14:formula1>
          <xm:sqref>AA246:AA253 AA3:AA42 AA44:AA64 AA66:AA81 AA83:AA244</xm:sqref>
        </x14:dataValidation>
        <x14:dataValidation type="list" allowBlank="1" showInputMessage="1" showErrorMessage="1" xr:uid="{9FDAB6DA-9BEA-4C6B-90C3-DB1AA342B927}">
          <x14:formula1>
            <xm:f>Validation!$P$3:$P$5</xm:f>
          </x14:formula1>
          <xm:sqref>AF65 AF43 AP82 AK246:AK253 AK3:AK42 AK66:AK244 AK44:AK64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18FE-9F42-4D06-9C6E-547A071835C8}">
  <dimension ref="A1:O34"/>
  <sheetViews>
    <sheetView workbookViewId="0">
      <selection activeCell="K17" sqref="K17"/>
    </sheetView>
  </sheetViews>
  <sheetFormatPr defaultColWidth="8.7109375" defaultRowHeight="14.45"/>
  <cols>
    <col min="1" max="1" width="25.5703125" bestFit="1" customWidth="1"/>
    <col min="2" max="2" width="16.42578125" bestFit="1" customWidth="1"/>
    <col min="3" max="3" width="7.42578125" bestFit="1" customWidth="1"/>
    <col min="4" max="4" width="10.42578125" bestFit="1" customWidth="1"/>
    <col min="5" max="6" width="12.42578125" bestFit="1" customWidth="1"/>
    <col min="7" max="7" width="7.42578125" bestFit="1" customWidth="1"/>
    <col min="8" max="9" width="12.42578125" bestFit="1" customWidth="1"/>
    <col min="10" max="10" width="7.42578125" bestFit="1" customWidth="1"/>
    <col min="11" max="13" width="12.42578125" bestFit="1" customWidth="1"/>
    <col min="14" max="14" width="7.42578125" bestFit="1" customWidth="1"/>
    <col min="15" max="15" width="12.42578125" bestFit="1" customWidth="1"/>
    <col min="16" max="17" width="12" bestFit="1" customWidth="1"/>
    <col min="18" max="18" width="8" bestFit="1" customWidth="1"/>
    <col min="19" max="19" width="12" bestFit="1" customWidth="1"/>
    <col min="20" max="20" width="18.85546875" bestFit="1" customWidth="1"/>
    <col min="21" max="21" width="16.140625" bestFit="1" customWidth="1"/>
    <col min="22" max="23" width="7" bestFit="1" customWidth="1"/>
    <col min="24" max="24" width="19.42578125" bestFit="1" customWidth="1"/>
    <col min="25" max="25" width="16.85546875" bestFit="1" customWidth="1"/>
    <col min="26" max="33" width="7" bestFit="1" customWidth="1"/>
    <col min="34" max="34" width="20" bestFit="1" customWidth="1"/>
    <col min="35" max="35" width="10.42578125" bestFit="1" customWidth="1"/>
    <col min="36" max="37" width="6" bestFit="1" customWidth="1"/>
    <col min="38" max="38" width="7" bestFit="1" customWidth="1"/>
    <col min="39" max="39" width="13.42578125" bestFit="1" customWidth="1"/>
    <col min="40" max="40" width="10.5703125" bestFit="1" customWidth="1"/>
    <col min="41" max="43" width="6" bestFit="1" customWidth="1"/>
    <col min="44" max="44" width="13.85546875" bestFit="1" customWidth="1"/>
    <col min="45" max="45" width="9.5703125" bestFit="1" customWidth="1"/>
    <col min="46" max="46" width="8" bestFit="1" customWidth="1"/>
    <col min="47" max="47" width="6" bestFit="1" customWidth="1"/>
    <col min="48" max="49" width="8" bestFit="1" customWidth="1"/>
    <col min="50" max="50" width="12.5703125" bestFit="1" customWidth="1"/>
    <col min="51" max="51" width="12" bestFit="1" customWidth="1"/>
  </cols>
  <sheetData>
    <row r="1" spans="1:15">
      <c r="A1" s="169" t="s">
        <v>25</v>
      </c>
      <c r="B1" s="170">
        <v>2020</v>
      </c>
    </row>
    <row r="3" spans="1:15">
      <c r="A3" s="169" t="s">
        <v>285</v>
      </c>
      <c r="B3" s="169" t="s">
        <v>286</v>
      </c>
    </row>
    <row r="4" spans="1:15">
      <c r="A4" s="169" t="s">
        <v>287</v>
      </c>
      <c r="B4" t="s">
        <v>93</v>
      </c>
      <c r="C4" t="s">
        <v>80</v>
      </c>
      <c r="D4" t="s">
        <v>230</v>
      </c>
      <c r="E4" t="s">
        <v>139</v>
      </c>
      <c r="F4" t="s">
        <v>89</v>
      </c>
      <c r="G4" t="s">
        <v>222</v>
      </c>
      <c r="H4" t="s">
        <v>219</v>
      </c>
      <c r="I4" t="s">
        <v>84</v>
      </c>
      <c r="J4" t="s">
        <v>229</v>
      </c>
      <c r="K4" t="s">
        <v>102</v>
      </c>
      <c r="L4" t="s">
        <v>231</v>
      </c>
      <c r="M4" t="s">
        <v>68</v>
      </c>
      <c r="N4" t="s">
        <v>288</v>
      </c>
      <c r="O4" t="s">
        <v>289</v>
      </c>
    </row>
    <row r="5" spans="1:15">
      <c r="A5" s="170" t="s">
        <v>290</v>
      </c>
      <c r="B5">
        <v>490649.5</v>
      </c>
      <c r="C5">
        <v>442018</v>
      </c>
      <c r="D5">
        <v>517491.72</v>
      </c>
      <c r="E5">
        <v>320183.81374999997</v>
      </c>
      <c r="F5">
        <v>204522.27124999999</v>
      </c>
      <c r="G5">
        <v>156561</v>
      </c>
      <c r="H5">
        <v>144488.28137500002</v>
      </c>
      <c r="I5">
        <v>171630.68137499999</v>
      </c>
      <c r="J5">
        <v>178885</v>
      </c>
      <c r="K5">
        <v>245093.27124999999</v>
      </c>
      <c r="L5">
        <v>76913.071250000008</v>
      </c>
      <c r="M5">
        <v>288748.45750000002</v>
      </c>
      <c r="N5">
        <v>42480</v>
      </c>
      <c r="O5">
        <v>3279665.0677499999</v>
      </c>
    </row>
    <row r="6" spans="1:15">
      <c r="A6" s="171" t="s">
        <v>291</v>
      </c>
      <c r="B6">
        <v>60000</v>
      </c>
      <c r="C6">
        <v>16000</v>
      </c>
      <c r="D6">
        <v>73784.22</v>
      </c>
      <c r="E6">
        <v>94378</v>
      </c>
      <c r="F6">
        <v>29000</v>
      </c>
      <c r="J6">
        <v>9378</v>
      </c>
      <c r="K6">
        <v>117378</v>
      </c>
      <c r="M6">
        <v>58784.22</v>
      </c>
      <c r="O6">
        <v>458702.43999999994</v>
      </c>
    </row>
    <row r="7" spans="1:15">
      <c r="A7" s="171" t="s">
        <v>71</v>
      </c>
      <c r="B7">
        <v>60939</v>
      </c>
      <c r="C7">
        <v>43939</v>
      </c>
      <c r="D7">
        <v>60939</v>
      </c>
      <c r="E7">
        <v>30939</v>
      </c>
      <c r="G7">
        <v>30939</v>
      </c>
      <c r="H7">
        <v>30939</v>
      </c>
      <c r="I7">
        <v>20000</v>
      </c>
      <c r="J7">
        <v>30939</v>
      </c>
      <c r="K7">
        <v>30939</v>
      </c>
      <c r="M7">
        <v>30629.61</v>
      </c>
      <c r="O7">
        <v>371141.61</v>
      </c>
    </row>
    <row r="8" spans="1:15">
      <c r="A8" s="171" t="s">
        <v>292</v>
      </c>
      <c r="F8">
        <v>13900</v>
      </c>
      <c r="I8">
        <v>27800</v>
      </c>
      <c r="J8">
        <v>13900</v>
      </c>
      <c r="K8">
        <v>13900</v>
      </c>
      <c r="O8">
        <v>69500</v>
      </c>
    </row>
    <row r="9" spans="1:15">
      <c r="A9" s="171" t="s">
        <v>293</v>
      </c>
      <c r="D9">
        <v>60000</v>
      </c>
      <c r="O9">
        <v>60000</v>
      </c>
    </row>
    <row r="10" spans="1:15">
      <c r="A10" s="171" t="s">
        <v>83</v>
      </c>
      <c r="C10">
        <v>10620</v>
      </c>
      <c r="D10">
        <v>10620</v>
      </c>
      <c r="H10">
        <v>10513.8</v>
      </c>
      <c r="L10">
        <v>31753.8</v>
      </c>
      <c r="N10">
        <v>42480</v>
      </c>
      <c r="O10">
        <v>105987.6</v>
      </c>
    </row>
    <row r="11" spans="1:15">
      <c r="A11" s="171" t="s">
        <v>62</v>
      </c>
      <c r="B11">
        <v>250900</v>
      </c>
      <c r="C11">
        <v>218838</v>
      </c>
      <c r="D11">
        <v>45907</v>
      </c>
      <c r="I11">
        <v>33000</v>
      </c>
      <c r="J11">
        <v>58438</v>
      </c>
      <c r="L11">
        <v>12000</v>
      </c>
      <c r="M11">
        <v>31969</v>
      </c>
      <c r="O11">
        <v>651052</v>
      </c>
    </row>
    <row r="12" spans="1:15">
      <c r="A12" s="171" t="s">
        <v>281</v>
      </c>
      <c r="G12">
        <v>50000</v>
      </c>
      <c r="H12">
        <v>24000</v>
      </c>
      <c r="I12">
        <v>24000</v>
      </c>
      <c r="O12">
        <v>98000</v>
      </c>
    </row>
    <row r="13" spans="1:15">
      <c r="A13" s="171" t="s">
        <v>92</v>
      </c>
      <c r="B13">
        <v>118810.5</v>
      </c>
      <c r="C13">
        <v>152621</v>
      </c>
      <c r="D13">
        <v>166241.5</v>
      </c>
      <c r="E13">
        <v>139866.81375</v>
      </c>
      <c r="F13">
        <v>81622.271249999991</v>
      </c>
      <c r="G13">
        <v>58622</v>
      </c>
      <c r="H13">
        <v>54035.481375000003</v>
      </c>
      <c r="I13">
        <v>51830.681375</v>
      </c>
      <c r="J13">
        <v>66230</v>
      </c>
      <c r="K13">
        <v>27244.271250000002</v>
      </c>
      <c r="L13">
        <v>18622.271250000002</v>
      </c>
      <c r="M13">
        <v>111733.62750000002</v>
      </c>
      <c r="O13">
        <v>1047480.41775</v>
      </c>
    </row>
    <row r="14" spans="1:15">
      <c r="A14" s="171" t="s">
        <v>88</v>
      </c>
      <c r="H14">
        <v>25000</v>
      </c>
      <c r="I14">
        <v>15000</v>
      </c>
      <c r="K14">
        <v>55632</v>
      </c>
      <c r="L14">
        <v>14537</v>
      </c>
      <c r="M14">
        <v>55632</v>
      </c>
      <c r="O14">
        <v>165801</v>
      </c>
    </row>
    <row r="15" spans="1:15">
      <c r="A15" s="171" t="s">
        <v>251</v>
      </c>
      <c r="D15">
        <v>100000</v>
      </c>
      <c r="E15">
        <v>55000</v>
      </c>
      <c r="G15">
        <v>17000</v>
      </c>
      <c r="O15">
        <v>172000</v>
      </c>
    </row>
    <row r="16" spans="1:15">
      <c r="A16" s="171" t="s">
        <v>294</v>
      </c>
      <c r="F16">
        <v>80000</v>
      </c>
      <c r="O16">
        <v>80000</v>
      </c>
    </row>
    <row r="17" spans="1:15">
      <c r="A17" s="170" t="s">
        <v>295</v>
      </c>
      <c r="K17">
        <v>30000</v>
      </c>
      <c r="M17">
        <v>45000</v>
      </c>
      <c r="O17">
        <v>75000</v>
      </c>
    </row>
    <row r="18" spans="1:15">
      <c r="A18" s="171" t="s">
        <v>71</v>
      </c>
      <c r="K18">
        <v>30000</v>
      </c>
      <c r="M18">
        <v>45000</v>
      </c>
      <c r="O18">
        <v>75000</v>
      </c>
    </row>
    <row r="19" spans="1:15">
      <c r="A19" s="170" t="s">
        <v>296</v>
      </c>
      <c r="B19">
        <v>100000</v>
      </c>
      <c r="C19">
        <v>100000</v>
      </c>
      <c r="D19">
        <v>150000</v>
      </c>
      <c r="E19">
        <v>70000</v>
      </c>
      <c r="F19">
        <v>50000</v>
      </c>
      <c r="G19">
        <v>100000</v>
      </c>
      <c r="H19">
        <v>100000</v>
      </c>
      <c r="I19">
        <v>100000</v>
      </c>
      <c r="J19">
        <v>80000</v>
      </c>
      <c r="K19">
        <v>100000</v>
      </c>
      <c r="L19">
        <v>100000</v>
      </c>
      <c r="M19">
        <v>100000</v>
      </c>
      <c r="O19">
        <v>1150000</v>
      </c>
    </row>
    <row r="20" spans="1:15">
      <c r="A20" s="171" t="s">
        <v>251</v>
      </c>
      <c r="B20">
        <v>100000</v>
      </c>
      <c r="C20">
        <v>100000</v>
      </c>
      <c r="D20">
        <v>150000</v>
      </c>
      <c r="E20">
        <v>70000</v>
      </c>
      <c r="F20">
        <v>50000</v>
      </c>
      <c r="G20">
        <v>100000</v>
      </c>
      <c r="H20">
        <v>100000</v>
      </c>
      <c r="I20">
        <v>100000</v>
      </c>
      <c r="J20">
        <v>80000</v>
      </c>
      <c r="K20">
        <v>100000</v>
      </c>
      <c r="L20">
        <v>100000</v>
      </c>
      <c r="M20">
        <v>100000</v>
      </c>
      <c r="O20">
        <v>1150000</v>
      </c>
    </row>
    <row r="21" spans="1:15">
      <c r="A21" s="170" t="s">
        <v>297</v>
      </c>
      <c r="D21">
        <v>13761</v>
      </c>
      <c r="E21">
        <v>10000</v>
      </c>
      <c r="G21">
        <v>60000</v>
      </c>
      <c r="H21">
        <v>37000</v>
      </c>
      <c r="I21">
        <v>25000</v>
      </c>
      <c r="J21">
        <v>20000</v>
      </c>
      <c r="K21">
        <v>73500</v>
      </c>
      <c r="L21">
        <v>113500</v>
      </c>
      <c r="O21">
        <v>352761</v>
      </c>
    </row>
    <row r="22" spans="1:15">
      <c r="A22" s="171" t="s">
        <v>92</v>
      </c>
      <c r="E22">
        <v>10000</v>
      </c>
      <c r="G22">
        <v>10000</v>
      </c>
      <c r="H22">
        <v>25000</v>
      </c>
      <c r="J22">
        <v>20000</v>
      </c>
      <c r="K22">
        <v>73500</v>
      </c>
      <c r="L22">
        <v>13500</v>
      </c>
      <c r="O22">
        <v>152000</v>
      </c>
    </row>
    <row r="23" spans="1:15">
      <c r="A23" s="171" t="s">
        <v>298</v>
      </c>
      <c r="D23">
        <v>13761</v>
      </c>
      <c r="O23">
        <v>13761</v>
      </c>
    </row>
    <row r="24" spans="1:15">
      <c r="A24" s="171" t="s">
        <v>251</v>
      </c>
      <c r="L24">
        <v>100000</v>
      </c>
      <c r="O24">
        <v>100000</v>
      </c>
    </row>
    <row r="25" spans="1:15">
      <c r="A25" s="171" t="s">
        <v>294</v>
      </c>
      <c r="G25">
        <v>50000</v>
      </c>
      <c r="H25">
        <v>12000</v>
      </c>
      <c r="I25">
        <v>25000</v>
      </c>
      <c r="O25">
        <v>87000</v>
      </c>
    </row>
    <row r="26" spans="1:15">
      <c r="A26" s="170" t="s">
        <v>257</v>
      </c>
      <c r="B26">
        <v>5908.75</v>
      </c>
      <c r="D26">
        <v>27913.4</v>
      </c>
      <c r="F26">
        <v>25000</v>
      </c>
      <c r="G26">
        <v>36500</v>
      </c>
      <c r="H26">
        <v>13500</v>
      </c>
      <c r="I26">
        <v>33917.75</v>
      </c>
      <c r="J26">
        <v>4000</v>
      </c>
      <c r="K26">
        <v>3000</v>
      </c>
      <c r="L26">
        <v>144420.5</v>
      </c>
      <c r="N26">
        <v>15000</v>
      </c>
      <c r="O26">
        <v>309160.40000000002</v>
      </c>
    </row>
    <row r="27" spans="1:15">
      <c r="A27" s="171" t="s">
        <v>291</v>
      </c>
      <c r="D27">
        <v>15000</v>
      </c>
      <c r="F27">
        <v>25000</v>
      </c>
      <c r="O27">
        <v>40000</v>
      </c>
    </row>
    <row r="28" spans="1:15">
      <c r="A28" s="171" t="s">
        <v>71</v>
      </c>
      <c r="L28">
        <v>30000</v>
      </c>
      <c r="O28">
        <v>30000</v>
      </c>
    </row>
    <row r="29" spans="1:15">
      <c r="A29" s="171" t="s">
        <v>62</v>
      </c>
      <c r="B29">
        <v>5908.75</v>
      </c>
      <c r="K29">
        <v>3000</v>
      </c>
      <c r="O29">
        <v>8908.75</v>
      </c>
    </row>
    <row r="30" spans="1:15">
      <c r="A30" s="171" t="s">
        <v>281</v>
      </c>
      <c r="I30">
        <v>4500</v>
      </c>
      <c r="J30">
        <v>4000</v>
      </c>
      <c r="O30">
        <v>8500</v>
      </c>
    </row>
    <row r="31" spans="1:15">
      <c r="A31" s="171" t="s">
        <v>92</v>
      </c>
      <c r="G31">
        <v>36500</v>
      </c>
      <c r="H31">
        <v>5000</v>
      </c>
      <c r="I31">
        <v>29417.75</v>
      </c>
      <c r="L31">
        <v>14420.5</v>
      </c>
      <c r="N31">
        <v>15000</v>
      </c>
      <c r="O31">
        <v>100338.25</v>
      </c>
    </row>
    <row r="32" spans="1:15">
      <c r="A32" s="171" t="s">
        <v>251</v>
      </c>
      <c r="D32">
        <v>12913.400000000001</v>
      </c>
      <c r="L32">
        <v>100000</v>
      </c>
      <c r="O32">
        <v>112913.4</v>
      </c>
    </row>
    <row r="33" spans="1:15">
      <c r="A33" s="171" t="s">
        <v>294</v>
      </c>
      <c r="H33">
        <v>8500</v>
      </c>
      <c r="O33">
        <v>8500</v>
      </c>
    </row>
    <row r="34" spans="1:15">
      <c r="A34" s="170" t="s">
        <v>289</v>
      </c>
      <c r="B34">
        <v>596558.25</v>
      </c>
      <c r="C34">
        <v>542018</v>
      </c>
      <c r="D34">
        <v>709166.12</v>
      </c>
      <c r="E34">
        <v>400183.81374999997</v>
      </c>
      <c r="F34">
        <v>279522.27124999999</v>
      </c>
      <c r="G34">
        <v>353061</v>
      </c>
      <c r="H34">
        <v>294988.28137500002</v>
      </c>
      <c r="I34">
        <v>330548.43137499999</v>
      </c>
      <c r="J34">
        <v>282885</v>
      </c>
      <c r="K34">
        <v>451593.27124999999</v>
      </c>
      <c r="L34">
        <v>434833.57125000004</v>
      </c>
      <c r="M34">
        <v>433748.45750000002</v>
      </c>
      <c r="N34">
        <v>57480</v>
      </c>
      <c r="O34">
        <v>5166586.4677499998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4A57-B062-49F6-A13E-D226468F6132}">
  <dimension ref="A1:CD55"/>
  <sheetViews>
    <sheetView zoomScaleNormal="100" workbookViewId="0">
      <pane xSplit="2" ySplit="3" topLeftCell="BV4" activePane="bottomRight" state="frozen"/>
      <selection pane="bottomRight" activeCell="CC44" sqref="CC44"/>
      <selection pane="bottomLeft" activeCell="A4" sqref="A4"/>
      <selection pane="topRight" activeCell="C1" sqref="C1"/>
    </sheetView>
  </sheetViews>
  <sheetFormatPr defaultColWidth="8.7109375" defaultRowHeight="14.45"/>
  <cols>
    <col min="1" max="1" width="13.5703125" customWidth="1"/>
    <col min="2" max="2" width="22.42578125" bestFit="1" customWidth="1"/>
    <col min="3" max="3" width="10.140625" hidden="1" customWidth="1"/>
    <col min="4" max="4" width="11" hidden="1" customWidth="1"/>
    <col min="5" max="5" width="11.42578125" hidden="1" customWidth="1"/>
    <col min="6" max="6" width="10.85546875" hidden="1" customWidth="1"/>
    <col min="7" max="7" width="11.5703125" hidden="1" customWidth="1"/>
    <col min="8" max="8" width="11.42578125" hidden="1" customWidth="1"/>
    <col min="9" max="9" width="9.5703125" hidden="1" customWidth="1"/>
    <col min="10" max="10" width="11.42578125" hidden="1" customWidth="1"/>
    <col min="11" max="11" width="12.140625" hidden="1" customWidth="1"/>
    <col min="12" max="12" width="9.85546875" hidden="1" customWidth="1"/>
    <col min="13" max="13" width="11.85546875" hidden="1" customWidth="1"/>
    <col min="14" max="14" width="11.42578125" hidden="1" customWidth="1"/>
    <col min="15" max="15" width="9.5703125" hidden="1" customWidth="1"/>
    <col min="16" max="16" width="12.5703125" hidden="1" customWidth="1"/>
    <col min="17" max="17" width="11" hidden="1" customWidth="1"/>
    <col min="18" max="18" width="10.42578125" hidden="1" customWidth="1"/>
    <col min="19" max="20" width="12" hidden="1" customWidth="1"/>
    <col min="21" max="21" width="10.42578125" hidden="1" customWidth="1"/>
    <col min="22" max="22" width="12.140625" hidden="1" customWidth="1"/>
    <col min="23" max="23" width="12.42578125" hidden="1" customWidth="1"/>
    <col min="24" max="24" width="10.42578125" hidden="1" customWidth="1"/>
    <col min="25" max="25" width="10.85546875" hidden="1" customWidth="1"/>
    <col min="26" max="26" width="11.5703125" hidden="1" customWidth="1"/>
    <col min="27" max="27" width="9.85546875" hidden="1" customWidth="1"/>
    <col min="28" max="28" width="14.5703125" hidden="1" customWidth="1"/>
    <col min="29" max="29" width="11.42578125" hidden="1" customWidth="1"/>
    <col min="30" max="30" width="9.42578125" hidden="1" customWidth="1"/>
    <col min="31" max="32" width="11.5703125" hidden="1" customWidth="1"/>
    <col min="33" max="33" width="10.5703125" hidden="1" customWidth="1"/>
    <col min="34" max="34" width="10.85546875" hidden="1" customWidth="1"/>
    <col min="35" max="35" width="11.140625" hidden="1" customWidth="1"/>
    <col min="36" max="36" width="10.42578125" hidden="1" customWidth="1"/>
    <col min="37" max="38" width="11.42578125" hidden="1" customWidth="1"/>
    <col min="39" max="39" width="11" hidden="1" customWidth="1"/>
    <col min="40" max="40" width="11.42578125" hidden="1" customWidth="1"/>
    <col min="41" max="41" width="15.5703125" hidden="1" customWidth="1"/>
    <col min="42" max="42" width="16" customWidth="1"/>
    <col min="43" max="43" width="11.85546875" bestFit="1" customWidth="1"/>
    <col min="44" max="44" width="11.42578125" customWidth="1"/>
    <col min="45" max="45" width="10.85546875" customWidth="1"/>
    <col min="46" max="46" width="11.5703125" customWidth="1"/>
    <col min="47" max="47" width="11.42578125" customWidth="1"/>
    <col min="48" max="48" width="14.42578125" bestFit="1" customWidth="1"/>
    <col min="49" max="49" width="11.42578125" customWidth="1"/>
    <col min="50" max="50" width="12.140625" customWidth="1"/>
    <col min="51" max="51" width="9.85546875" customWidth="1"/>
    <col min="52" max="52" width="11.85546875" customWidth="1"/>
    <col min="53" max="53" width="11.42578125" customWidth="1"/>
    <col min="54" max="54" width="9.5703125" customWidth="1"/>
    <col min="55" max="55" width="12.5703125" customWidth="1"/>
    <col min="56" max="56" width="11" customWidth="1"/>
    <col min="57" max="57" width="10.42578125" customWidth="1"/>
    <col min="58" max="59" width="12" customWidth="1"/>
    <col min="60" max="60" width="10.42578125" customWidth="1"/>
    <col min="61" max="61" width="12.140625" customWidth="1"/>
    <col min="62" max="62" width="12.42578125" customWidth="1"/>
    <col min="63" max="63" width="10.42578125" customWidth="1"/>
    <col min="64" max="64" width="10.85546875" customWidth="1"/>
    <col min="65" max="65" width="11.5703125" customWidth="1"/>
    <col min="66" max="66" width="13.42578125" bestFit="1" customWidth="1"/>
    <col min="67" max="67" width="14.5703125" customWidth="1"/>
    <col min="68" max="68" width="11.42578125" customWidth="1"/>
    <col min="69" max="69" width="12.85546875" bestFit="1" customWidth="1"/>
    <col min="70" max="71" width="11.5703125" customWidth="1"/>
    <col min="72" max="72" width="12.85546875" bestFit="1" customWidth="1"/>
    <col min="73" max="73" width="10.85546875" customWidth="1"/>
    <col min="74" max="74" width="11.140625" customWidth="1"/>
    <col min="75" max="75" width="13.42578125" bestFit="1" customWidth="1"/>
    <col min="76" max="77" width="11.42578125" customWidth="1"/>
    <col min="78" max="78" width="16.5703125" bestFit="1" customWidth="1"/>
    <col min="79" max="79" width="11.42578125" customWidth="1"/>
    <col min="80" max="80" width="15.5703125" customWidth="1"/>
    <col min="81" max="81" width="13.42578125" bestFit="1" customWidth="1"/>
    <col min="82" max="82" width="9.5703125" bestFit="1" customWidth="1"/>
  </cols>
  <sheetData>
    <row r="1" spans="1:82">
      <c r="B1" s="1" t="s">
        <v>299</v>
      </c>
      <c r="C1" s="7">
        <v>2018</v>
      </c>
      <c r="D1" s="35"/>
      <c r="E1" s="36"/>
      <c r="F1" s="7">
        <v>2018</v>
      </c>
      <c r="G1" s="35"/>
      <c r="H1" s="36"/>
      <c r="I1" s="7">
        <v>2018</v>
      </c>
      <c r="J1" s="35"/>
      <c r="K1" s="36"/>
      <c r="L1" s="7">
        <v>2018</v>
      </c>
      <c r="M1" s="35"/>
      <c r="N1" s="36"/>
      <c r="O1" s="7">
        <v>2018</v>
      </c>
      <c r="P1" s="35"/>
      <c r="Q1" s="36"/>
      <c r="R1" s="7">
        <v>2018</v>
      </c>
      <c r="S1" s="35"/>
      <c r="T1" s="36"/>
      <c r="U1" s="7">
        <v>2018</v>
      </c>
      <c r="V1" s="35"/>
      <c r="W1" s="36"/>
      <c r="X1" s="7">
        <v>2018</v>
      </c>
      <c r="Y1" s="35"/>
      <c r="Z1" s="36"/>
      <c r="AA1" s="7">
        <v>2018</v>
      </c>
      <c r="AB1" s="35"/>
      <c r="AC1" s="36"/>
      <c r="AD1" s="7">
        <v>2018</v>
      </c>
      <c r="AE1" s="35"/>
      <c r="AF1" s="36"/>
      <c r="AG1" s="7">
        <v>2018</v>
      </c>
      <c r="AH1" s="35"/>
      <c r="AI1" s="36"/>
      <c r="AJ1" s="7">
        <v>2018</v>
      </c>
      <c r="AK1" s="35"/>
      <c r="AL1" s="36"/>
      <c r="AM1" s="7">
        <v>2018</v>
      </c>
      <c r="AN1" s="35"/>
      <c r="AO1" s="36"/>
      <c r="AP1" s="7">
        <v>2019</v>
      </c>
      <c r="AQ1" s="35"/>
      <c r="AR1" s="36"/>
      <c r="AS1" s="7">
        <v>2019</v>
      </c>
      <c r="AT1" s="35"/>
      <c r="AU1" s="36"/>
      <c r="AV1" s="7">
        <v>2019</v>
      </c>
      <c r="AW1" s="35"/>
      <c r="AX1" s="36"/>
      <c r="AY1" s="7">
        <v>2019</v>
      </c>
      <c r="AZ1" s="35"/>
      <c r="BA1" s="36"/>
      <c r="BB1" s="7">
        <v>2019</v>
      </c>
      <c r="BC1" s="35"/>
      <c r="BD1" s="36"/>
      <c r="BE1" s="7">
        <v>2019</v>
      </c>
      <c r="BF1" s="35"/>
      <c r="BG1" s="36"/>
      <c r="BH1" s="7">
        <v>2019</v>
      </c>
      <c r="BI1" s="35"/>
      <c r="BJ1" s="36"/>
      <c r="BK1" s="7">
        <v>2019</v>
      </c>
      <c r="BL1" s="35"/>
      <c r="BM1" s="36"/>
      <c r="BN1" s="7">
        <v>2019</v>
      </c>
      <c r="BO1" s="35"/>
      <c r="BP1" s="36"/>
      <c r="BQ1" s="7">
        <v>2019</v>
      </c>
      <c r="BR1" s="35"/>
      <c r="BS1" s="36"/>
      <c r="BT1" s="7">
        <v>2019</v>
      </c>
      <c r="BU1" s="35"/>
      <c r="BV1" s="36"/>
      <c r="BW1" s="7">
        <v>2019</v>
      </c>
      <c r="BX1" s="35"/>
      <c r="BY1" s="36"/>
      <c r="BZ1" s="7">
        <v>2019</v>
      </c>
      <c r="CA1" s="35"/>
      <c r="CB1" s="36"/>
    </row>
    <row r="2" spans="1:82">
      <c r="B2" s="43" t="s">
        <v>300</v>
      </c>
      <c r="C2" s="7" t="s">
        <v>93</v>
      </c>
      <c r="D2" s="35"/>
      <c r="E2" s="36"/>
      <c r="F2" s="7" t="s">
        <v>80</v>
      </c>
      <c r="G2" s="35"/>
      <c r="H2" s="36"/>
      <c r="I2" s="7" t="s">
        <v>230</v>
      </c>
      <c r="J2" s="35"/>
      <c r="K2" s="36"/>
      <c r="L2" s="7" t="s">
        <v>139</v>
      </c>
      <c r="M2" s="35"/>
      <c r="N2" s="36"/>
      <c r="O2" s="7" t="s">
        <v>89</v>
      </c>
      <c r="P2" s="35"/>
      <c r="Q2" s="36"/>
      <c r="R2" s="7" t="s">
        <v>222</v>
      </c>
      <c r="S2" s="35"/>
      <c r="T2" s="36"/>
      <c r="U2" s="7" t="s">
        <v>219</v>
      </c>
      <c r="V2" s="35"/>
      <c r="W2" s="36"/>
      <c r="X2" s="7" t="s">
        <v>84</v>
      </c>
      <c r="Y2" s="35"/>
      <c r="Z2" s="36"/>
      <c r="AA2" s="7" t="s">
        <v>229</v>
      </c>
      <c r="AB2" s="35"/>
      <c r="AC2" s="36"/>
      <c r="AD2" s="7" t="s">
        <v>102</v>
      </c>
      <c r="AE2" s="35"/>
      <c r="AF2" s="36"/>
      <c r="AG2" s="7" t="s">
        <v>231</v>
      </c>
      <c r="AH2" s="35"/>
      <c r="AI2" s="36"/>
      <c r="AJ2" s="7" t="s">
        <v>68</v>
      </c>
      <c r="AK2" s="35"/>
      <c r="AL2" s="36"/>
      <c r="AM2" s="40" t="s">
        <v>301</v>
      </c>
      <c r="AN2" s="41"/>
      <c r="AO2" s="42"/>
      <c r="AP2" s="7" t="s">
        <v>93</v>
      </c>
      <c r="AQ2" s="35"/>
      <c r="AR2" s="36"/>
      <c r="AS2" s="7" t="s">
        <v>80</v>
      </c>
      <c r="AT2" s="35"/>
      <c r="AU2" s="36"/>
      <c r="AV2" s="7" t="s">
        <v>230</v>
      </c>
      <c r="AW2" s="35"/>
      <c r="AX2" s="36"/>
      <c r="AY2" s="7" t="s">
        <v>139</v>
      </c>
      <c r="AZ2" s="35"/>
      <c r="BA2" s="36"/>
      <c r="BB2" s="7" t="s">
        <v>89</v>
      </c>
      <c r="BC2" s="35"/>
      <c r="BD2" s="36"/>
      <c r="BE2" s="7" t="s">
        <v>222</v>
      </c>
      <c r="BF2" s="35"/>
      <c r="BG2" s="36"/>
      <c r="BH2" s="7" t="s">
        <v>219</v>
      </c>
      <c r="BI2" s="35"/>
      <c r="BJ2" s="36"/>
      <c r="BK2" s="7" t="s">
        <v>84</v>
      </c>
      <c r="BL2" s="35"/>
      <c r="BM2" s="36"/>
      <c r="BN2" s="7" t="s">
        <v>229</v>
      </c>
      <c r="BO2" s="35"/>
      <c r="BP2" s="36"/>
      <c r="BQ2" s="7" t="s">
        <v>102</v>
      </c>
      <c r="BR2" s="35"/>
      <c r="BS2" s="36"/>
      <c r="BT2" s="7" t="s">
        <v>231</v>
      </c>
      <c r="BU2" s="35"/>
      <c r="BV2" s="36"/>
      <c r="BW2" s="7" t="s">
        <v>68</v>
      </c>
      <c r="BX2" s="35"/>
      <c r="BY2" s="36"/>
      <c r="BZ2" s="40" t="s">
        <v>301</v>
      </c>
      <c r="CA2" s="41"/>
      <c r="CB2" s="42"/>
      <c r="CC2" t="s">
        <v>302</v>
      </c>
      <c r="CD2" t="s">
        <v>303</v>
      </c>
    </row>
    <row r="3" spans="1:82" ht="28.9">
      <c r="A3" s="7" t="s">
        <v>11</v>
      </c>
      <c r="B3" s="34" t="s">
        <v>304</v>
      </c>
      <c r="C3" s="32" t="s">
        <v>27</v>
      </c>
      <c r="D3" s="33" t="s">
        <v>305</v>
      </c>
      <c r="E3" s="34" t="s">
        <v>306</v>
      </c>
      <c r="F3" s="32" t="s">
        <v>27</v>
      </c>
      <c r="G3" s="33" t="s">
        <v>305</v>
      </c>
      <c r="H3" s="34" t="s">
        <v>306</v>
      </c>
      <c r="I3" s="32" t="s">
        <v>27</v>
      </c>
      <c r="J3" s="33" t="s">
        <v>305</v>
      </c>
      <c r="K3" s="34" t="s">
        <v>306</v>
      </c>
      <c r="L3" s="32" t="s">
        <v>27</v>
      </c>
      <c r="M3" s="33" t="s">
        <v>305</v>
      </c>
      <c r="N3" s="34" t="s">
        <v>306</v>
      </c>
      <c r="O3" s="32" t="s">
        <v>27</v>
      </c>
      <c r="P3" s="33" t="s">
        <v>305</v>
      </c>
      <c r="Q3" s="34" t="s">
        <v>306</v>
      </c>
      <c r="R3" s="32" t="s">
        <v>27</v>
      </c>
      <c r="S3" s="33" t="s">
        <v>305</v>
      </c>
      <c r="T3" s="34" t="s">
        <v>306</v>
      </c>
      <c r="U3" s="32" t="s">
        <v>27</v>
      </c>
      <c r="V3" s="33" t="s">
        <v>305</v>
      </c>
      <c r="W3" s="34" t="s">
        <v>306</v>
      </c>
      <c r="X3" s="32" t="s">
        <v>27</v>
      </c>
      <c r="Y3" s="33" t="s">
        <v>305</v>
      </c>
      <c r="Z3" s="34" t="s">
        <v>306</v>
      </c>
      <c r="AA3" s="32" t="s">
        <v>27</v>
      </c>
      <c r="AB3" s="33" t="s">
        <v>305</v>
      </c>
      <c r="AC3" s="34" t="s">
        <v>306</v>
      </c>
      <c r="AD3" s="32" t="s">
        <v>27</v>
      </c>
      <c r="AE3" s="33" t="s">
        <v>305</v>
      </c>
      <c r="AF3" s="34" t="s">
        <v>306</v>
      </c>
      <c r="AG3" s="32" t="s">
        <v>27</v>
      </c>
      <c r="AH3" s="33" t="s">
        <v>305</v>
      </c>
      <c r="AI3" s="34" t="s">
        <v>306</v>
      </c>
      <c r="AJ3" s="32" t="s">
        <v>27</v>
      </c>
      <c r="AK3" s="33" t="s">
        <v>305</v>
      </c>
      <c r="AL3" s="34" t="s">
        <v>306</v>
      </c>
      <c r="AM3" s="37" t="s">
        <v>27</v>
      </c>
      <c r="AN3" s="38" t="s">
        <v>305</v>
      </c>
      <c r="AO3" s="39" t="s">
        <v>306</v>
      </c>
      <c r="AP3" s="111" t="s">
        <v>307</v>
      </c>
      <c r="AQ3" s="112" t="s">
        <v>308</v>
      </c>
      <c r="AR3" s="113" t="s">
        <v>306</v>
      </c>
      <c r="AS3" s="111" t="s">
        <v>307</v>
      </c>
      <c r="AT3" s="112" t="s">
        <v>308</v>
      </c>
      <c r="AU3" s="34" t="s">
        <v>306</v>
      </c>
      <c r="AV3" s="111" t="s">
        <v>307</v>
      </c>
      <c r="AW3" s="112" t="s">
        <v>308</v>
      </c>
      <c r="AX3" s="34" t="s">
        <v>306</v>
      </c>
      <c r="AY3" s="111" t="s">
        <v>307</v>
      </c>
      <c r="AZ3" s="112" t="s">
        <v>308</v>
      </c>
      <c r="BA3" s="34" t="s">
        <v>306</v>
      </c>
      <c r="BB3" s="111" t="s">
        <v>307</v>
      </c>
      <c r="BC3" s="112" t="s">
        <v>308</v>
      </c>
      <c r="BD3" s="34" t="s">
        <v>306</v>
      </c>
      <c r="BE3" s="111" t="s">
        <v>307</v>
      </c>
      <c r="BF3" s="112" t="s">
        <v>308</v>
      </c>
      <c r="BG3" s="34" t="s">
        <v>306</v>
      </c>
      <c r="BH3" s="111" t="s">
        <v>307</v>
      </c>
      <c r="BI3" s="112" t="s">
        <v>308</v>
      </c>
      <c r="BJ3" s="34" t="s">
        <v>306</v>
      </c>
      <c r="BK3" s="111" t="s">
        <v>307</v>
      </c>
      <c r="BL3" s="112" t="s">
        <v>308</v>
      </c>
      <c r="BM3" s="34" t="s">
        <v>306</v>
      </c>
      <c r="BN3" s="111" t="s">
        <v>307</v>
      </c>
      <c r="BO3" s="112" t="s">
        <v>308</v>
      </c>
      <c r="BP3" s="34" t="s">
        <v>306</v>
      </c>
      <c r="BQ3" s="111" t="s">
        <v>307</v>
      </c>
      <c r="BR3" s="112" t="s">
        <v>308</v>
      </c>
      <c r="BS3" s="34" t="s">
        <v>306</v>
      </c>
      <c r="BT3" s="111" t="s">
        <v>307</v>
      </c>
      <c r="BU3" s="112" t="s">
        <v>308</v>
      </c>
      <c r="BV3" s="34" t="s">
        <v>306</v>
      </c>
      <c r="BW3" s="111" t="s">
        <v>307</v>
      </c>
      <c r="BX3" s="112" t="s">
        <v>308</v>
      </c>
      <c r="BY3" s="34" t="s">
        <v>306</v>
      </c>
      <c r="BZ3" s="143" t="s">
        <v>307</v>
      </c>
      <c r="CA3" s="144" t="s">
        <v>308</v>
      </c>
      <c r="CB3" s="39" t="s">
        <v>306</v>
      </c>
    </row>
    <row r="4" spans="1:82" s="100" customFormat="1">
      <c r="A4" s="150" t="s">
        <v>64</v>
      </c>
      <c r="B4" s="34"/>
      <c r="C4" s="32"/>
      <c r="D4" s="33"/>
      <c r="E4" s="34"/>
      <c r="F4" s="32"/>
      <c r="G4" s="33"/>
      <c r="H4" s="34"/>
      <c r="I4" s="32"/>
      <c r="J4" s="33"/>
      <c r="K4" s="34"/>
      <c r="L4" s="32"/>
      <c r="M4" s="33"/>
      <c r="N4" s="34"/>
      <c r="O4" s="32"/>
      <c r="P4" s="33"/>
      <c r="Q4" s="34"/>
      <c r="R4" s="32"/>
      <c r="S4" s="33"/>
      <c r="T4" s="34"/>
      <c r="U4" s="32"/>
      <c r="V4" s="33"/>
      <c r="W4" s="34"/>
      <c r="X4" s="32"/>
      <c r="Y4" s="33"/>
      <c r="Z4" s="34"/>
      <c r="AA4" s="32"/>
      <c r="AB4" s="33"/>
      <c r="AC4" s="34"/>
      <c r="AD4" s="32"/>
      <c r="AE4" s="33"/>
      <c r="AF4" s="34"/>
      <c r="AG4" s="32"/>
      <c r="AH4" s="33"/>
      <c r="AI4" s="34"/>
      <c r="AJ4" s="32"/>
      <c r="AK4" s="33"/>
      <c r="AL4" s="34"/>
      <c r="AM4" s="37"/>
      <c r="AN4" s="38"/>
      <c r="AO4" s="38"/>
      <c r="AP4" s="32"/>
      <c r="AQ4" s="33"/>
      <c r="AR4" s="146"/>
      <c r="AS4" s="147"/>
      <c r="AT4" s="33"/>
      <c r="AU4" s="146"/>
      <c r="AV4" s="148"/>
      <c r="AW4" s="33"/>
      <c r="AX4" s="146"/>
      <c r="AY4" s="148"/>
      <c r="AZ4" s="33"/>
      <c r="BA4" s="146"/>
      <c r="BB4" s="148"/>
      <c r="BC4" s="33"/>
      <c r="BD4" s="146"/>
      <c r="BE4" s="148"/>
      <c r="BF4" s="33"/>
      <c r="BG4" s="146"/>
      <c r="BH4" s="148"/>
      <c r="BI4" s="33"/>
      <c r="BJ4" s="146"/>
      <c r="BK4" s="148"/>
      <c r="BL4" s="33"/>
      <c r="BM4" s="146"/>
      <c r="BN4" s="148"/>
      <c r="BO4" s="33"/>
      <c r="BP4" s="146"/>
      <c r="BQ4" s="148"/>
      <c r="BR4" s="33"/>
      <c r="BS4" s="146"/>
      <c r="BT4" s="148"/>
      <c r="BU4" s="33"/>
      <c r="BV4" s="146"/>
      <c r="BW4" s="148"/>
      <c r="BX4" s="33"/>
      <c r="BY4" s="146"/>
      <c r="BZ4" s="37"/>
      <c r="CA4" s="38"/>
      <c r="CB4" s="149"/>
    </row>
    <row r="5" spans="1:82">
      <c r="A5" s="18" t="s">
        <v>57</v>
      </c>
      <c r="B5" s="20" t="s">
        <v>225</v>
      </c>
      <c r="C5" s="27">
        <f>SUMIFS(Table4[Expected Revenue],Table4[Installation],$B5,Table4[Projected 
Year],C$1,Table4[Projected 
Month],C$2)</f>
        <v>0</v>
      </c>
      <c r="D5" s="23">
        <f>SUMPRODUCT(Table4[Probability]*Table4[Expected Revenue]*(Table4[Installation]=$B5)*(Table4[Projected 
Year]=C$1)*(Table4[Projected 
Month]=C$2))/MAX(1,SUMPRODUCT(Table4[Expected Revenue]*(Table4[Installation]=$B5)*(Table4[Projected 
Year]=C$1)*(Table4[Projected 
Month]=C$2)))</f>
        <v>0</v>
      </c>
      <c r="E5" s="24">
        <f>SUMPRODUCT(Table4[Expected Revenue]*Table4[Expected CMR]*(Table4[Projected 
Year]=C$1)*(Table4[Projected 
Month]=C$2)*(Table4[Installation]=$B5))/MAX(1,C5)</f>
        <v>0</v>
      </c>
      <c r="F5" s="27">
        <f>SUMIFS(Table4[Expected Revenue],Table4[Installation],$B5,Table4[Projected 
Year],F$1,Table4[Projected 
Month],F$2)</f>
        <v>0</v>
      </c>
      <c r="G5" s="23">
        <f>SUMPRODUCT(Table4[Probability]*Table4[Expected Revenue]*(Table4[Installation]=$B5)*(Table4[Projected 
Year]=F$1)*(Table4[Projected 
Month]=F$2))/MAX(1,SUMPRODUCT(Table4[Expected Revenue]*(Table4[Installation]=$B5)*(Table4[Projected 
Year]=F$1)*(Table4[Projected 
Month]=F$2)))</f>
        <v>0</v>
      </c>
      <c r="H5" s="24">
        <f>SUMPRODUCT(Table4[Expected Revenue]*Table4[Expected CMR]*(Table4[Projected 
Year]=F$1)*(Table4[Projected 
Month]=F$2)*(Table4[Installation]=$B5))/MAX(1,F5)</f>
        <v>0</v>
      </c>
      <c r="I5" s="27">
        <f>SUMIFS(Table4[Expected Revenue],Table4[Installation],$B5,Table4[Projected 
Year],I$1,Table4[Projected 
Month],I$2)</f>
        <v>0</v>
      </c>
      <c r="J5" s="23">
        <f>SUMPRODUCT(Table4[Probability]*Table4[Expected Revenue]*(Table4[Installation]=$B5)*(Table4[Projected 
Year]=I$1)*(Table4[Projected 
Month]=I$2))/MAX(1,SUMPRODUCT(Table4[Expected Revenue]*(Table4[Installation]=$B5)*(Table4[Projected 
Year]=I$1)*(Table4[Projected 
Month]=I$2)))</f>
        <v>0</v>
      </c>
      <c r="K5" s="24">
        <f>SUMPRODUCT(Table4[Expected Revenue]*Table4[Expected CMR]*(Table4[Projected 
Year]=I$1)*(Table4[Projected 
Month]=I$2)*(Table4[Installation]=$B5))/MAX(1,I5)</f>
        <v>0</v>
      </c>
      <c r="L5" s="27">
        <f>SUMIFS(Table4[Expected Revenue],Table4[Installation],$B5,Table4[Projected 
Year],L$1,Table4[Projected 
Month],L$2)</f>
        <v>0</v>
      </c>
      <c r="M5" s="23">
        <f>SUMPRODUCT(Table4[Probability]*Table4[Expected Revenue]*(Table4[Installation]=$B5)*(Table4[Projected 
Year]=L$1)*(Table4[Projected 
Month]=L$2))/MAX(1,SUMPRODUCT(Table4[Expected Revenue]*(Table4[Installation]=$B5)*(Table4[Projected 
Year]=L$1)*(Table4[Projected 
Month]=L$2)))</f>
        <v>0</v>
      </c>
      <c r="N5" s="24">
        <f>SUMPRODUCT(Table4[Expected Revenue]*Table4[Expected CMR]*(Table4[Projected 
Year]=L$1)*(Table4[Projected 
Month]=L$2)*(Table4[Installation]=$B5))/MAX(1,L5)</f>
        <v>0</v>
      </c>
      <c r="O5" s="27">
        <f>SUMIFS(Table4[Expected Revenue],Table4[Installation],$B5,Table4[Projected 
Year],O$1,Table4[Projected 
Month],O$2)</f>
        <v>0</v>
      </c>
      <c r="P5" s="23">
        <f>SUMPRODUCT(Table4[Probability]*Table4[Expected Revenue]*(Table4[Installation]=$B5)*(Table4[Projected 
Year]=O$1)*(Table4[Projected 
Month]=O$2))/MAX(1,SUMPRODUCT(Table4[Expected Revenue]*(Table4[Installation]=$B5)*(Table4[Projected 
Year]=O$1)*(Table4[Projected 
Month]=O$2)))</f>
        <v>0</v>
      </c>
      <c r="Q5" s="24">
        <f>SUMPRODUCT(Table4[Expected Revenue]*Table4[Expected CMR]*(Table4[Projected 
Year]=O$1)*(Table4[Projected 
Month]=O$2)*(Table4[Installation]=$B5))/MAX(1,O5)</f>
        <v>0</v>
      </c>
      <c r="R5" s="27">
        <f>SUMIFS(Table4[Expected Revenue],Table4[Installation],$B5,Table4[Projected 
Year],R$1,Table4[Projected 
Month],R$2)</f>
        <v>0</v>
      </c>
      <c r="S5" s="23">
        <f>SUMPRODUCT(Table4[Probability]*Table4[Expected Revenue]*(Table4[Installation]=$B5)*(Table4[Projected 
Year]=R$1)*(Table4[Projected 
Month]=R$2))/MAX(1,SUMPRODUCT(Table4[Expected Revenue]*(Table4[Installation]=$B5)*(Table4[Projected 
Year]=R$1)*(Table4[Projected 
Month]=R$2)))</f>
        <v>0</v>
      </c>
      <c r="T5" s="24">
        <f>SUMPRODUCT(Table4[Expected Revenue]*Table4[Expected CMR]*(Table4[Projected 
Year]=R$1)*(Table4[Projected 
Month]=R$2)*(Table4[Installation]=$B5))/MAX(1,R5)</f>
        <v>0</v>
      </c>
      <c r="U5" s="27">
        <f>SUMIFS(Table4[Expected Revenue],Table4[Installation],$B5,Table4[Projected 
Year],U$1,Table4[Projected 
Month],U$2)</f>
        <v>0</v>
      </c>
      <c r="V5" s="23">
        <f>SUMPRODUCT(Table4[Probability]*Table4[Expected Revenue]*(Table4[Installation]=$B5)*(Table4[Projected 
Year]=U$1)*(Table4[Projected 
Month]=U$2))/MAX(1,SUMPRODUCT(Table4[Expected Revenue]*(Table4[Installation]=$B5)*(Table4[Projected 
Year]=U$1)*(Table4[Projected 
Month]=U$2)))</f>
        <v>0</v>
      </c>
      <c r="W5" s="24">
        <f>SUMPRODUCT(Table4[Expected Revenue]*Table4[Expected CMR]*(Table4[Projected 
Year]=U$1)*(Table4[Projected 
Month]=U$2)*(Table4[Installation]=$B5))/MAX(1,U5)</f>
        <v>0</v>
      </c>
      <c r="X5" s="27">
        <f>SUMIFS(Table4[Expected Revenue],Table4[Installation],$B5,Table4[Projected 
Year],X$1,Table4[Projected 
Month],X$2)</f>
        <v>0</v>
      </c>
      <c r="Y5" s="23">
        <f>SUMPRODUCT(Table4[Probability]*Table4[Expected Revenue]*(Table4[Installation]=$B5)*(Table4[Projected 
Year]=X$1)*(Table4[Projected 
Month]=X$2))/MAX(1,SUMPRODUCT(Table4[Expected Revenue]*(Table4[Installation]=$B5)*(Table4[Projected 
Year]=X$1)*(Table4[Projected 
Month]=X$2)))</f>
        <v>0</v>
      </c>
      <c r="Z5" s="24">
        <f>SUMPRODUCT(Table4[Expected Revenue]*Table4[Expected CMR]*(Table4[Projected 
Year]=X$1)*(Table4[Projected 
Month]=X$2)*(Table4[Installation]=$B5))/MAX(1,X5)</f>
        <v>0</v>
      </c>
      <c r="AA5" s="27">
        <f>SUMIFS(Table4[Expected Revenue],Table4[Installation],$B5,Table4[Projected 
Year],AA$1,Table4[Projected 
Month],AA$2)</f>
        <v>0</v>
      </c>
      <c r="AB5" s="23">
        <f>SUMPRODUCT(Table4[Probability]*Table4[Expected Revenue]*(Table4[Installation]=$B5)*(Table4[Projected 
Year]=AA$1)*(Table4[Projected 
Month]=AA$2))/MAX(1,SUMPRODUCT(Table4[Expected Revenue]*(Table4[Installation]=$B5)*(Table4[Projected 
Year]=AA$1)*(Table4[Projected 
Month]=AA$2)))</f>
        <v>0</v>
      </c>
      <c r="AC5" s="24">
        <f>SUMPRODUCT(Table4[Expected Revenue]*Table4[Expected CMR]*(Table4[Projected 
Year]=AA$1)*(Table4[Projected 
Month]=AA$2)*(Table4[Installation]=$B5))/MAX(1,AA5)</f>
        <v>0</v>
      </c>
      <c r="AD5" s="27">
        <f>SUMIFS(Table4[Expected Revenue],Table4[Installation],$B5,Table4[Projected 
Year],AD$1,Table4[Projected 
Month],AD$2)</f>
        <v>0</v>
      </c>
      <c r="AE5" s="23">
        <f>SUMPRODUCT(Table4[Probability]*Table4[Expected Revenue]*(Table4[Installation]=$B5)*(Table4[Projected 
Year]=AD$1)*(Table4[Projected 
Month]=AD$2))/MAX(1,SUMPRODUCT(Table4[Expected Revenue]*(Table4[Installation]=$B5)*(Table4[Projected 
Year]=AD$1)*(Table4[Projected 
Month]=AD$2)))</f>
        <v>0</v>
      </c>
      <c r="AF5" s="24">
        <f>SUMPRODUCT(Table4[Expected Revenue]*Table4[Expected CMR]*(Table4[Projected 
Year]=AD$1)*(Table4[Projected 
Month]=AD$2)*(Table4[Installation]=$B5))/MAX(1,AD5)</f>
        <v>0</v>
      </c>
      <c r="AG5" s="27">
        <f>SUMIFS(Table4[Expected Revenue],Table4[Installation],$B5,Table4[Projected 
Year],AG$1,Table4[Projected 
Month],AG$2)</f>
        <v>0</v>
      </c>
      <c r="AH5" s="23">
        <f>SUMPRODUCT(Table4[Probability]*Table4[Expected Revenue]*(Table4[Installation]=$B5)*(Table4[Projected 
Year]=AG$1)*(Table4[Projected 
Month]=AG$2))/MAX(1,SUMPRODUCT(Table4[Expected Revenue]*(Table4[Installation]=$B5)*(Table4[Projected 
Year]=AG$1)*(Table4[Projected 
Month]=AG$2)))</f>
        <v>0</v>
      </c>
      <c r="AI5" s="24">
        <f>SUMPRODUCT(Table4[Expected Revenue]*Table4[Expected CMR]*(Table4[Projected 
Year]=AG$1)*(Table4[Projected 
Month]=AG$2)*(Table4[Installation]=$B5))/MAX(1,AG5)</f>
        <v>0</v>
      </c>
      <c r="AJ5" s="27">
        <f>SUMIFS(Table4[Expected Revenue],Table4[Installation],$B5,Table4[Projected 
Year],AJ$1,Table4[Projected 
Month],AJ$2)</f>
        <v>0</v>
      </c>
      <c r="AK5" s="23">
        <f>SUMPRODUCT(Table4[Probability]*Table4[Expected Revenue]*(Table4[Installation]=$B5)*(Table4[Projected 
Year]=AJ$1)*(Table4[Projected 
Month]=AJ$2))/MAX(1,SUMPRODUCT(Table4[Expected Revenue]*(Table4[Installation]=$B5)*(Table4[Projected 
Year]=AJ$1)*(Table4[Projected 
Month]=AJ$2)))</f>
        <v>0</v>
      </c>
      <c r="AL5" s="24">
        <f>SUMPRODUCT(Table4[Expected Revenue]*Table4[Expected CMR]*(Table4[Projected 
Year]=AJ$1)*(Table4[Projected 
Month]=AJ$2)*(Table4[Installation]=$B5))/MAX(1,AJ5)</f>
        <v>0</v>
      </c>
      <c r="AM5" s="30">
        <f t="shared" ref="AM5:AM10" si="0">SUM($C5,$F5,$I5,$L5,$O5,$R5,$U5,$X5,$AA5,$AD5,$AG5,$AJ5)</f>
        <v>0</v>
      </c>
      <c r="AN5" s="52">
        <f t="shared" ref="AN5:AO10" si="1">SUM($C5*D5,$F5*G5,$I5*J5,$L5*M5,$O5*P5,$R5*S5,$U5*V5,$X5*Y5,$AA5*AB5,$AD5*AE5,$AG5*AH5,$AJ5*AK5)/MAX(1,$AM5)</f>
        <v>0</v>
      </c>
      <c r="AO5" s="52">
        <f t="shared" si="1"/>
        <v>0</v>
      </c>
      <c r="AP5" s="27" t="e">
        <f>SUMIFS(#REF!,Table4[Installation],$B5,#REF!,AP$1,#REF!,AP$2)</f>
        <v>#REF!</v>
      </c>
      <c r="AQ5" s="21" t="e">
        <f>SUMIFS(#REF!,Table4[Installation],$B5,Table4[Projected 
Year],AP$1,#REF!,AP$2)</f>
        <v>#REF!</v>
      </c>
      <c r="AR5" s="24" t="e">
        <f>IF(AP5=0,IF(AQ5=0,"-",0),1-(AQ5/AP5))</f>
        <v>#REF!</v>
      </c>
      <c r="AS5" s="27" t="e">
        <f>SUMIFS(#REF!,Table4[Installation],$B5,#REF!,AS$1,#REF!,AS$2)</f>
        <v>#REF!</v>
      </c>
      <c r="AT5" s="21" t="e">
        <f>SUMIFS(#REF!,Table4[Installation],$B5,Table4[Projected 
Year],AS$1,#REF!,AS$2)</f>
        <v>#REF!</v>
      </c>
      <c r="AU5" s="24" t="e">
        <f>IF(AS5=0,IF(AT5=0,"-",0),1-(AT5/AS5))</f>
        <v>#REF!</v>
      </c>
      <c r="AV5" s="27" t="e">
        <f>SUMIFS(#REF!,Table4[Installation],$B5,#REF!,AV$1,#REF!,AV$2)</f>
        <v>#REF!</v>
      </c>
      <c r="AW5" s="21" t="e">
        <f>SUMIFS(#REF!,Table4[Installation],$B5,Table4[Projected 
Year],AV$1,#REF!,AV$2)</f>
        <v>#REF!</v>
      </c>
      <c r="AX5" s="24" t="e">
        <f>IF(AV5=0,IF(AW5=0,"-",0),1-(AW5/AV5))</f>
        <v>#REF!</v>
      </c>
      <c r="AY5" s="27" t="e">
        <f>SUMIFS(#REF!,Table4[Installation],$B5,#REF!,AY$1,#REF!,AY$2)</f>
        <v>#REF!</v>
      </c>
      <c r="AZ5" s="21" t="e">
        <f>SUMIFS(#REF!,Table4[Installation],$B5,Table4[Projected 
Year],AY$1,#REF!,AY$2)</f>
        <v>#REF!</v>
      </c>
      <c r="BA5" s="24" t="e">
        <f>IF(AY5=0,IF(AZ5=0,"-",0),1-(AZ5/AY5))</f>
        <v>#REF!</v>
      </c>
      <c r="BB5" s="27" t="e">
        <f>SUMIFS(#REF!,Table4[Installation],$B5,#REF!,BB$1,#REF!,BB$2)</f>
        <v>#REF!</v>
      </c>
      <c r="BC5" s="21" t="e">
        <f>SUMIFS(#REF!,Table4[Installation],$B5,Table4[Projected 
Year],BB$1,#REF!,BB$2)</f>
        <v>#REF!</v>
      </c>
      <c r="BD5" s="24" t="e">
        <f>IF(BB5=0,IF(BC5=0,"-",0),1-(BC5/BB5))</f>
        <v>#REF!</v>
      </c>
      <c r="BE5" s="27" t="e">
        <f>SUMIFS(#REF!,Table4[Installation],$B5,#REF!,BE$1,#REF!,BE$2)</f>
        <v>#REF!</v>
      </c>
      <c r="BF5" s="21" t="e">
        <f>SUMIFS(#REF!,Table4[Installation],$B5,Table4[Projected 
Year],BE$1,#REF!,BE$2)</f>
        <v>#REF!</v>
      </c>
      <c r="BG5" s="24" t="e">
        <f t="shared" ref="BG5:BG10" si="2">IF(BE5=0,IF(BF5=0,"-",0),1-(BF5/BE5))</f>
        <v>#REF!</v>
      </c>
      <c r="BH5" s="27" t="e">
        <f>SUMIFS(#REF!,Table4[Installation],$B5,#REF!,BH$1,#REF!,BH$2)</f>
        <v>#REF!</v>
      </c>
      <c r="BI5" s="21" t="e">
        <f>SUMIFS(#REF!,Table4[Installation],$B5,Table4[Projected 
Year],BH$1,#REF!,BH$2)</f>
        <v>#REF!</v>
      </c>
      <c r="BJ5" s="24" t="e">
        <f t="shared" ref="BJ5:BJ43" si="3">IF(BH5=0,IF(BI5=0,"-",0),1-(BI5/BH5))</f>
        <v>#REF!</v>
      </c>
      <c r="BK5" s="27" t="e">
        <f>SUMIFS(#REF!,Table4[Installation],$B5,#REF!,BK$1,#REF!,BK$2)</f>
        <v>#REF!</v>
      </c>
      <c r="BL5" s="21" t="e">
        <f>SUMIFS(#REF!,Table4[Installation],$B5,Table4[Projected 
Year],BK$1,#REF!,BK$2)</f>
        <v>#REF!</v>
      </c>
      <c r="BM5" s="24" t="e">
        <f>IF(BK5=0,IF(BL5=0,"-",0),1-(BL5/BK5))</f>
        <v>#REF!</v>
      </c>
      <c r="BN5" s="27" t="e">
        <f>SUMIFS(#REF!,Table4[Installation],$B5,#REF!,BN$1,#REF!,BN$2)</f>
        <v>#REF!</v>
      </c>
      <c r="BO5" s="21" t="e">
        <f>SUMIFS(#REF!,Table4[Installation],$B5,Table4[Projected 
Year],BN$1,#REF!,BN$2)</f>
        <v>#REF!</v>
      </c>
      <c r="BP5" s="24" t="e">
        <f>IF(BN5=0,IF(BO5=0,"-",0),1-(BO5/BN5))</f>
        <v>#REF!</v>
      </c>
      <c r="BQ5" s="27" t="e">
        <f>SUMIFS(#REF!,Table4[Installation],$B5,#REF!,BQ$1,#REF!,BQ$2)</f>
        <v>#REF!</v>
      </c>
      <c r="BR5" s="21" t="e">
        <f>SUMIFS(#REF!,Table4[Installation],$B5,Table4[Projected 
Year],BQ$1,#REF!,BQ$2)</f>
        <v>#REF!</v>
      </c>
      <c r="BS5" s="24" t="e">
        <f>IF(BQ5=0,IF(BR5=0,"-",0),1-(BR5/BQ5))</f>
        <v>#REF!</v>
      </c>
      <c r="BT5" s="27" t="e">
        <f>SUMIFS(#REF!,Table4[Installation],$B5,#REF!,BT$1,#REF!,BT$2)</f>
        <v>#REF!</v>
      </c>
      <c r="BU5" s="21" t="e">
        <f>SUMIFS(#REF!,Table4[Installation],$B5,Table4[Projected 
Year],BT$1,#REF!,BT$2)</f>
        <v>#REF!</v>
      </c>
      <c r="BV5" s="24" t="e">
        <f>IF(BT5=0,IF(BU5=0,"-",0),1-(BU5/BT5))</f>
        <v>#REF!</v>
      </c>
      <c r="BW5" s="27" t="e">
        <f>SUMIFS(#REF!,Table4[Installation],$B5,#REF!,BW$1,#REF!,BW$2)</f>
        <v>#REF!</v>
      </c>
      <c r="BX5" s="21" t="e">
        <f>SUMIFS(#REF!,Table4[Installation],$B5,Table4[Projected 
Year],BW$1,#REF!,BW$2)</f>
        <v>#REF!</v>
      </c>
      <c r="BY5" s="24" t="e">
        <f>IF(BW5=0,IF(BX5=0,"-",0),1-(BX5/BW5))</f>
        <v>#REF!</v>
      </c>
      <c r="BZ5" s="30" t="e">
        <f t="shared" ref="BZ5:BZ25" si="4">SUM($AP5,$AS5,$AV5,$AY5,$BB5,$BE5,$BH5,$BK5,$BN5,$BQ5,$BT5,$BW5)</f>
        <v>#REF!</v>
      </c>
      <c r="CA5" s="30" t="e">
        <f t="shared" ref="CA5:CA25" si="5">SUM(AQ5,AT5,AW5,AZ5,BC5,BF5,BI5,BI5,BL5,BI5,BO5,BR5,BU5,BX5)</f>
        <v>#REF!</v>
      </c>
      <c r="CB5" s="24" t="e">
        <f t="shared" ref="CB5:CB25" si="6">IF(BZ5=0,IF(CA5=0,"-",0),1-(CA5/BZ5))</f>
        <v>#REF!</v>
      </c>
      <c r="CC5" s="30">
        <v>500000</v>
      </c>
      <c r="CD5" s="19" t="e">
        <f>BZ5-CC5</f>
        <v>#REF!</v>
      </c>
    </row>
    <row r="6" spans="1:82">
      <c r="A6" s="18" t="s">
        <v>57</v>
      </c>
      <c r="B6" s="20" t="s">
        <v>122</v>
      </c>
      <c r="C6" s="27">
        <f>SUMIFS(Table4[Expected Revenue],Table4[Installation],$B6,Table4[Projected 
Year],C$1,Table4[Projected 
Month],C$2)</f>
        <v>0</v>
      </c>
      <c r="D6" s="23">
        <f>SUMPRODUCT(Table4[Probability]*Table4[Expected Revenue]*(Table4[Installation]=$B6)*(Table4[Projected 
Year]=C$1)*(Table4[Projected 
Month]=C$2))/MAX(1,SUMPRODUCT(Table4[Expected Revenue]*(Table4[Installation]=$B6)*(Table4[Projected 
Year]=C$1)*(Table4[Projected 
Month]=C$2)))</f>
        <v>0</v>
      </c>
      <c r="E6" s="24">
        <f>SUMPRODUCT(Table4[Expected Revenue]*Table4[Expected CMR]*(Table4[Projected 
Year]=C$1)*(Table4[Projected 
Month]=C$2)*(Table4[Installation]=$B6))/MAX(1,C6)</f>
        <v>0</v>
      </c>
      <c r="F6" s="27">
        <f>SUMIFS(Table4[Expected Revenue],Table4[Installation],$B6,Table4[Projected 
Year],F$1,Table4[Projected 
Month],F$2)</f>
        <v>0</v>
      </c>
      <c r="G6" s="23">
        <f>SUMPRODUCT(Table4[Probability]*Table4[Expected Revenue]*(Table4[Installation]=$B6)*(Table4[Projected 
Year]=F$1)*(Table4[Projected 
Month]=F$2))/MAX(1,SUMPRODUCT(Table4[Expected Revenue]*(Table4[Installation]=$B6)*(Table4[Projected 
Year]=F$1)*(Table4[Projected 
Month]=F$2)))</f>
        <v>0</v>
      </c>
      <c r="H6" s="24">
        <f>SUMPRODUCT(Table4[Expected Revenue]*Table4[Expected CMR]*(Table4[Projected 
Year]=F$1)*(Table4[Projected 
Month]=F$2)*(Table4[Installation]=$B6))/MAX(1,F6)</f>
        <v>0</v>
      </c>
      <c r="I6" s="27">
        <f>SUMIFS(Table4[Expected Revenue],Table4[Installation],$B6,Table4[Projected 
Year],I$1,Table4[Projected 
Month],I$2)</f>
        <v>0</v>
      </c>
      <c r="J6" s="23">
        <f>SUMPRODUCT(Table4[Probability]*Table4[Expected Revenue]*(Table4[Installation]=$B6)*(Table4[Projected 
Year]=I$1)*(Table4[Projected 
Month]=I$2))/MAX(1,SUMPRODUCT(Table4[Expected Revenue]*(Table4[Installation]=$B6)*(Table4[Projected 
Year]=I$1)*(Table4[Projected 
Month]=I$2)))</f>
        <v>0</v>
      </c>
      <c r="K6" s="24">
        <f>SUMPRODUCT(Table4[Expected Revenue]*Table4[Expected CMR]*(Table4[Projected 
Year]=I$1)*(Table4[Projected 
Month]=I$2)*(Table4[Installation]=$B6))/MAX(1,I6)</f>
        <v>0</v>
      </c>
      <c r="L6" s="27">
        <f>SUMIFS(Table4[Expected Revenue],Table4[Installation],$B6,Table4[Projected 
Year],L$1,Table4[Projected 
Month],L$2)</f>
        <v>0</v>
      </c>
      <c r="M6" s="23">
        <f>SUMPRODUCT(Table4[Probability]*Table4[Expected Revenue]*(Table4[Installation]=$B6)*(Table4[Projected 
Year]=L$1)*(Table4[Projected 
Month]=L$2))/MAX(1,SUMPRODUCT(Table4[Expected Revenue]*(Table4[Installation]=$B6)*(Table4[Projected 
Year]=L$1)*(Table4[Projected 
Month]=L$2)))</f>
        <v>0</v>
      </c>
      <c r="N6" s="24">
        <f>SUMPRODUCT(Table4[Expected Revenue]*Table4[Expected CMR]*(Table4[Projected 
Year]=L$1)*(Table4[Projected 
Month]=L$2)*(Table4[Installation]=$B6))/MAX(1,L6)</f>
        <v>0</v>
      </c>
      <c r="O6" s="27">
        <f>SUMIFS(Table4[Expected Revenue],Table4[Installation],$B6,Table4[Projected 
Year],O$1,Table4[Projected 
Month],O$2)</f>
        <v>0</v>
      </c>
      <c r="P6" s="23">
        <f>SUMPRODUCT(Table4[Probability]*Table4[Expected Revenue]*(Table4[Installation]=$B6)*(Table4[Projected 
Year]=O$1)*(Table4[Projected 
Month]=O$2))/MAX(1,SUMPRODUCT(Table4[Expected Revenue]*(Table4[Installation]=$B6)*(Table4[Projected 
Year]=O$1)*(Table4[Projected 
Month]=O$2)))</f>
        <v>0</v>
      </c>
      <c r="Q6" s="24">
        <f>SUMPRODUCT(Table4[Expected Revenue]*Table4[Expected CMR]*(Table4[Projected 
Year]=O$1)*(Table4[Projected 
Month]=O$2)*(Table4[Installation]=$B6))/MAX(1,O6)</f>
        <v>0</v>
      </c>
      <c r="R6" s="27">
        <f>SUMIFS(Table4[Expected Revenue],Table4[Installation],$B6,Table4[Projected 
Year],R$1,Table4[Projected 
Month],R$2)</f>
        <v>0</v>
      </c>
      <c r="S6" s="23">
        <f>SUMPRODUCT(Table4[Probability]*Table4[Expected Revenue]*(Table4[Installation]=$B6)*(Table4[Projected 
Year]=R$1)*(Table4[Projected 
Month]=R$2))/MAX(1,SUMPRODUCT(Table4[Expected Revenue]*(Table4[Installation]=$B6)*(Table4[Projected 
Year]=R$1)*(Table4[Projected 
Month]=R$2)))</f>
        <v>0</v>
      </c>
      <c r="T6" s="24">
        <f>SUMPRODUCT(Table4[Expected Revenue]*Table4[Expected CMR]*(Table4[Projected 
Year]=R$1)*(Table4[Projected 
Month]=R$2)*(Table4[Installation]=$B6))/MAX(1,R6)</f>
        <v>0</v>
      </c>
      <c r="U6" s="27">
        <f>SUMIFS(Table4[Expected Revenue],Table4[Installation],$B6,Table4[Projected 
Year],U$1,Table4[Projected 
Month],U$2)</f>
        <v>0</v>
      </c>
      <c r="V6" s="23">
        <f>SUMPRODUCT(Table4[Probability]*Table4[Expected Revenue]*(Table4[Installation]=$B6)*(Table4[Projected 
Year]=U$1)*(Table4[Projected 
Month]=U$2))/MAX(1,SUMPRODUCT(Table4[Expected Revenue]*(Table4[Installation]=$B6)*(Table4[Projected 
Year]=U$1)*(Table4[Projected 
Month]=U$2)))</f>
        <v>0</v>
      </c>
      <c r="W6" s="24">
        <f>SUMPRODUCT(Table4[Expected Revenue]*Table4[Expected CMR]*(Table4[Projected 
Year]=U$1)*(Table4[Projected 
Month]=U$2)*(Table4[Installation]=$B6))/MAX(1,U6)</f>
        <v>0</v>
      </c>
      <c r="X6" s="27">
        <f>SUMIFS(Table4[Expected Revenue],Table4[Installation],$B6,Table4[Projected 
Year],X$1,Table4[Projected 
Month],X$2)</f>
        <v>0</v>
      </c>
      <c r="Y6" s="23">
        <f>SUMPRODUCT(Table4[Probability]*Table4[Expected Revenue]*(Table4[Installation]=$B6)*(Table4[Projected 
Year]=X$1)*(Table4[Projected 
Month]=X$2))/MAX(1,SUMPRODUCT(Table4[Expected Revenue]*(Table4[Installation]=$B6)*(Table4[Projected 
Year]=X$1)*(Table4[Projected 
Month]=X$2)))</f>
        <v>0</v>
      </c>
      <c r="Z6" s="24">
        <f>SUMPRODUCT(Table4[Expected Revenue]*Table4[Expected CMR]*(Table4[Projected 
Year]=X$1)*(Table4[Projected 
Month]=X$2)*(Table4[Installation]=$B6))/MAX(1,X6)</f>
        <v>0</v>
      </c>
      <c r="AA6" s="27">
        <f>SUMIFS(Table4[Expected Revenue],Table4[Installation],$B6,Table4[Projected 
Year],AA$1,Table4[Projected 
Month],AA$2)</f>
        <v>0</v>
      </c>
      <c r="AB6" s="23">
        <f>SUMPRODUCT(Table4[Probability]*Table4[Expected Revenue]*(Table4[Installation]=$B6)*(Table4[Projected 
Year]=AA$1)*(Table4[Projected 
Month]=AA$2))/MAX(1,SUMPRODUCT(Table4[Expected Revenue]*(Table4[Installation]=$B6)*(Table4[Projected 
Year]=AA$1)*(Table4[Projected 
Month]=AA$2)))</f>
        <v>0</v>
      </c>
      <c r="AC6" s="24">
        <f>SUMPRODUCT(Table4[Expected Revenue]*Table4[Expected CMR]*(Table4[Projected 
Year]=AA$1)*(Table4[Projected 
Month]=AA$2)*(Table4[Installation]=$B6))/MAX(1,AA6)</f>
        <v>0</v>
      </c>
      <c r="AD6" s="27">
        <f>SUMIFS(Table4[Expected Revenue],Table4[Installation],$B6,Table4[Projected 
Year],AD$1,Table4[Projected 
Month],AD$2)</f>
        <v>0</v>
      </c>
      <c r="AE6" s="23">
        <f>SUMPRODUCT(Table4[Probability]*Table4[Expected Revenue]*(Table4[Installation]=$B6)*(Table4[Projected 
Year]=AD$1)*(Table4[Projected 
Month]=AD$2))/MAX(1,SUMPRODUCT(Table4[Expected Revenue]*(Table4[Installation]=$B6)*(Table4[Projected 
Year]=AD$1)*(Table4[Projected 
Month]=AD$2)))</f>
        <v>0</v>
      </c>
      <c r="AF6" s="24">
        <f>SUMPRODUCT(Table4[Expected Revenue]*Table4[Expected CMR]*(Table4[Projected 
Year]=AD$1)*(Table4[Projected 
Month]=AD$2)*(Table4[Installation]=$B6))/MAX(1,AD6)</f>
        <v>0</v>
      </c>
      <c r="AG6" s="27">
        <f>SUMIFS(Table4[Expected Revenue],Table4[Installation],$B6,Table4[Projected 
Year],AG$1,Table4[Projected 
Month],AG$2)</f>
        <v>0</v>
      </c>
      <c r="AH6" s="23">
        <f>SUMPRODUCT(Table4[Probability]*Table4[Expected Revenue]*(Table4[Installation]=$B6)*(Table4[Projected 
Year]=AG$1)*(Table4[Projected 
Month]=AG$2))/MAX(1,SUMPRODUCT(Table4[Expected Revenue]*(Table4[Installation]=$B6)*(Table4[Projected 
Year]=AG$1)*(Table4[Projected 
Month]=AG$2)))</f>
        <v>0</v>
      </c>
      <c r="AI6" s="24">
        <f>SUMPRODUCT(Table4[Expected Revenue]*Table4[Expected CMR]*(Table4[Projected 
Year]=AG$1)*(Table4[Projected 
Month]=AG$2)*(Table4[Installation]=$B6))/MAX(1,AG6)</f>
        <v>0</v>
      </c>
      <c r="AJ6" s="27">
        <f>SUMIFS(Table4[Expected Revenue],Table4[Installation],$B6,Table4[Projected 
Year],AJ$1,Table4[Projected 
Month],AJ$2)</f>
        <v>0</v>
      </c>
      <c r="AK6" s="23">
        <f>SUMPRODUCT(Table4[Probability]*Table4[Expected Revenue]*(Table4[Installation]=$B6)*(Table4[Projected 
Year]=AJ$1)*(Table4[Projected 
Month]=AJ$2))/MAX(1,SUMPRODUCT(Table4[Expected Revenue]*(Table4[Installation]=$B6)*(Table4[Projected 
Year]=AJ$1)*(Table4[Projected 
Month]=AJ$2)))</f>
        <v>0</v>
      </c>
      <c r="AL6" s="24">
        <f>SUMPRODUCT(Table4[Expected Revenue]*Table4[Expected CMR]*(Table4[Projected 
Year]=AJ$1)*(Table4[Projected 
Month]=AJ$2)*(Table4[Installation]=$B6))/MAX(1,AJ6)</f>
        <v>0</v>
      </c>
      <c r="AM6" s="30">
        <f t="shared" si="0"/>
        <v>0</v>
      </c>
      <c r="AN6" s="52">
        <f t="shared" si="1"/>
        <v>0</v>
      </c>
      <c r="AO6" s="52">
        <f t="shared" si="1"/>
        <v>0</v>
      </c>
      <c r="AP6" s="27" t="e">
        <f>SUMIFS(#REF!,Table4[Installation],$B6,#REF!,AP$1,#REF!,AP$2)</f>
        <v>#REF!</v>
      </c>
      <c r="AQ6" s="21" t="e">
        <f>SUMIFS(#REF!,Table4[Installation],$B6,Table4[Projected 
Year],AP$1,#REF!,AP$2)</f>
        <v>#REF!</v>
      </c>
      <c r="AR6" s="24" t="e">
        <f t="shared" ref="AR6:AR51" si="7">IF(AP6=0,IF(AQ6=0,"-",0),1-(AQ6/AP6))</f>
        <v>#REF!</v>
      </c>
      <c r="AS6" s="27" t="e">
        <f>SUMIFS(#REF!,Table4[Installation],$B6,#REF!,AS$1,#REF!,AS$2)</f>
        <v>#REF!</v>
      </c>
      <c r="AT6" s="21" t="e">
        <f>SUMIFS(#REF!,Table4[Installation],$B6,Table4[Projected 
Year],AS$1,#REF!,AS$2)</f>
        <v>#REF!</v>
      </c>
      <c r="AU6" s="24" t="e">
        <f t="shared" ref="AU6:AU51" si="8">IF(AS6=0,IF(AT6=0,"-",0),1-(AT6/AS6))</f>
        <v>#REF!</v>
      </c>
      <c r="AV6" s="27" t="e">
        <f>SUMIFS(#REF!,Table4[Installation],$B6,#REF!,AV$1,#REF!,AV$2)</f>
        <v>#REF!</v>
      </c>
      <c r="AW6" s="21" t="e">
        <f>SUMIFS(#REF!,Table4[Installation],$B6,Table4[Projected 
Year],AV$1,#REF!,AV$2)</f>
        <v>#REF!</v>
      </c>
      <c r="AX6" s="24" t="e">
        <f t="shared" ref="AX6:AX51" si="9">IF(AV6=0,IF(AW6=0,"-",0),1-(AW6/AV6))</f>
        <v>#REF!</v>
      </c>
      <c r="AY6" s="27" t="e">
        <f>SUMIFS(#REF!,Table4[Installation],$B6,#REF!,AY$1,#REF!,AY$2)</f>
        <v>#REF!</v>
      </c>
      <c r="AZ6" s="21" t="e">
        <f>SUMIFS(#REF!,Table4[Installation],$B6,Table4[Projected 
Year],AY$1,#REF!,AY$2)</f>
        <v>#REF!</v>
      </c>
      <c r="BA6" s="24" t="e">
        <f t="shared" ref="BA6:BA51" si="10">IF(AY6=0,IF(AZ6=0,"-",0),1-(AZ6/AY6))</f>
        <v>#REF!</v>
      </c>
      <c r="BB6" s="27" t="e">
        <f>SUMIFS(#REF!,Table4[Installation],$B6,#REF!,BB$1,#REF!,BB$2)</f>
        <v>#REF!</v>
      </c>
      <c r="BC6" s="21" t="e">
        <f>SUMIFS(#REF!,Table4[Installation],$B6,Table4[Projected 
Year],BB$1,#REF!,BB$2)</f>
        <v>#REF!</v>
      </c>
      <c r="BD6" s="24" t="e">
        <f t="shared" ref="BD6:BD51" si="11">IF(BB6=0,IF(BC6=0,"-",0),1-(BC6/BB6))</f>
        <v>#REF!</v>
      </c>
      <c r="BE6" s="27" t="e">
        <f>SUMIFS(#REF!,Table4[Installation],$B6,#REF!,BE$1,#REF!,BE$2)</f>
        <v>#REF!</v>
      </c>
      <c r="BF6" s="21" t="e">
        <f>SUMIFS(#REF!,Table4[Installation],$B6,Table4[Projected 
Year],BE$1,#REF!,BE$2)</f>
        <v>#REF!</v>
      </c>
      <c r="BG6" s="24" t="e">
        <f t="shared" si="2"/>
        <v>#REF!</v>
      </c>
      <c r="BH6" s="27" t="e">
        <f>SUMIFS(#REF!,Table4[Installation],$B6,#REF!,BH$1,#REF!,BH$2)</f>
        <v>#REF!</v>
      </c>
      <c r="BI6" s="21" t="e">
        <f>SUMIFS(#REF!,Table4[Installation],$B6,Table4[Projected 
Year],BH$1,#REF!,BH$2)</f>
        <v>#REF!</v>
      </c>
      <c r="BJ6" s="24" t="e">
        <f t="shared" si="3"/>
        <v>#REF!</v>
      </c>
      <c r="BK6" s="27" t="e">
        <f>SUMIFS(#REF!,Table4[Installation],$B6,#REF!,BK$1,#REF!,BK$2)</f>
        <v>#REF!</v>
      </c>
      <c r="BL6" s="21" t="e">
        <f>SUMIFS(#REF!,Table4[Installation],$B6,Table4[Projected 
Year],BK$1,#REF!,BK$2)</f>
        <v>#REF!</v>
      </c>
      <c r="BM6" s="24" t="e">
        <f>IF(BK6=0,IF(BL6=0,"-",0),1-(BL6/BK6))</f>
        <v>#REF!</v>
      </c>
      <c r="BN6" s="27" t="e">
        <f>SUMIFS(#REF!,Table4[Installation],$B6,#REF!,BN$1,#REF!,BN$2)</f>
        <v>#REF!</v>
      </c>
      <c r="BO6" s="21" t="e">
        <f>SUMIFS(#REF!,Table4[Installation],$B6,Table4[Projected 
Year],BN$1,#REF!,BN$2)</f>
        <v>#REF!</v>
      </c>
      <c r="BP6" s="24" t="e">
        <f>IF(BN6=0,IF(BO6=0,"-",0),1-(BO6/BN6))</f>
        <v>#REF!</v>
      </c>
      <c r="BQ6" s="27" t="e">
        <f>SUMIFS(#REF!,Table4[Installation],$B6,#REF!,BQ$1,#REF!,BQ$2)</f>
        <v>#REF!</v>
      </c>
      <c r="BR6" s="21" t="e">
        <f>SUMIFS(#REF!,Table4[Installation],$B6,Table4[Projected 
Year],BQ$1,#REF!,BQ$2)</f>
        <v>#REF!</v>
      </c>
      <c r="BS6" s="24" t="e">
        <f>IF(BQ6=0,IF(BR6=0,"-",0),1-(BR6/BQ6))</f>
        <v>#REF!</v>
      </c>
      <c r="BT6" s="27" t="e">
        <f>SUMIFS(#REF!,Table4[Installation],$B6,#REF!,BT$1,#REF!,BT$2)</f>
        <v>#REF!</v>
      </c>
      <c r="BU6" s="21" t="e">
        <f>SUMIFS(#REF!,Table4[Installation],$B6,Table4[Projected 
Year],BT$1,#REF!,BT$2)</f>
        <v>#REF!</v>
      </c>
      <c r="BV6" s="24" t="e">
        <f>IF(BT6=0,IF(BU6=0,"-",0),1-(BU6/BT6))</f>
        <v>#REF!</v>
      </c>
      <c r="BW6" s="27" t="e">
        <f>SUMIFS(#REF!,Table4[Installation],$B6,#REF!,BW$1,#REF!,BW$2)</f>
        <v>#REF!</v>
      </c>
      <c r="BX6" s="21" t="e">
        <f>SUMIFS(#REF!,Table4[Installation],$B6,Table4[Projected 
Year],BW$1,#REF!,BW$2)</f>
        <v>#REF!</v>
      </c>
      <c r="BY6" s="24" t="e">
        <f>IF(BW6=0,IF(BX6=0,"-",0),1-(BX6/BW6))</f>
        <v>#REF!</v>
      </c>
      <c r="BZ6" s="30" t="e">
        <f t="shared" si="4"/>
        <v>#REF!</v>
      </c>
      <c r="CA6" s="30" t="e">
        <f t="shared" si="5"/>
        <v>#REF!</v>
      </c>
      <c r="CB6" s="24" t="e">
        <f t="shared" si="6"/>
        <v>#REF!</v>
      </c>
      <c r="CC6" s="29">
        <v>389244</v>
      </c>
      <c r="CD6" s="19" t="e">
        <f>BZ6-CC6</f>
        <v>#REF!</v>
      </c>
    </row>
    <row r="7" spans="1:82">
      <c r="A7" s="18" t="s">
        <v>57</v>
      </c>
      <c r="B7" s="20" t="s">
        <v>130</v>
      </c>
      <c r="C7" s="27">
        <f>SUMIFS(Table4[Expected Revenue],Table4[Installation],$B7,Table4[Projected 
Year],C$1,Table4[Projected 
Month],C$2)</f>
        <v>0</v>
      </c>
      <c r="D7" s="23">
        <f>SUMPRODUCT(Table4[Probability]*Table4[Expected Revenue]*(Table4[Installation]=$B7)*(Table4[Projected 
Year]=C$1)*(Table4[Projected 
Month]=C$2))/MAX(1,SUMPRODUCT(Table4[Expected Revenue]*(Table4[Installation]=$B7)*(Table4[Projected 
Year]=C$1)*(Table4[Projected 
Month]=C$2)))</f>
        <v>0</v>
      </c>
      <c r="E7" s="24">
        <f>SUMPRODUCT(Table4[Expected Revenue]*Table4[Expected CMR]*(Table4[Projected 
Year]=C$1)*(Table4[Projected 
Month]=C$2)*(Table4[Installation]=$B7))/MAX(1,C7)</f>
        <v>0</v>
      </c>
      <c r="F7" s="27">
        <f>SUMIFS(Table4[Expected Revenue],Table4[Installation],$B7,Table4[Projected 
Year],F$1,Table4[Projected 
Month],F$2)</f>
        <v>0</v>
      </c>
      <c r="G7" s="23">
        <f>SUMPRODUCT(Table4[Probability]*Table4[Expected Revenue]*(Table4[Installation]=$B7)*(Table4[Projected 
Year]=F$1)*(Table4[Projected 
Month]=F$2))/MAX(1,SUMPRODUCT(Table4[Expected Revenue]*(Table4[Installation]=$B7)*(Table4[Projected 
Year]=F$1)*(Table4[Projected 
Month]=F$2)))</f>
        <v>0</v>
      </c>
      <c r="H7" s="24">
        <f>SUMPRODUCT(Table4[Expected Revenue]*Table4[Expected CMR]*(Table4[Projected 
Year]=F$1)*(Table4[Projected 
Month]=F$2)*(Table4[Installation]=$B7))/MAX(1,F7)</f>
        <v>0</v>
      </c>
      <c r="I7" s="27">
        <f>SUMIFS(Table4[Expected Revenue],Table4[Installation],$B7,Table4[Projected 
Year],I$1,Table4[Projected 
Month],I$2)</f>
        <v>0</v>
      </c>
      <c r="J7" s="23">
        <f>SUMPRODUCT(Table4[Probability]*Table4[Expected Revenue]*(Table4[Installation]=$B7)*(Table4[Projected 
Year]=I$1)*(Table4[Projected 
Month]=I$2))/MAX(1,SUMPRODUCT(Table4[Expected Revenue]*(Table4[Installation]=$B7)*(Table4[Projected 
Year]=I$1)*(Table4[Projected 
Month]=I$2)))</f>
        <v>0</v>
      </c>
      <c r="K7" s="24">
        <f>SUMPRODUCT(Table4[Expected Revenue]*Table4[Expected CMR]*(Table4[Projected 
Year]=I$1)*(Table4[Projected 
Month]=I$2)*(Table4[Installation]=$B7))/MAX(1,I7)</f>
        <v>0</v>
      </c>
      <c r="L7" s="27">
        <f>SUMIFS(Table4[Expected Revenue],Table4[Installation],$B7,Table4[Projected 
Year],L$1,Table4[Projected 
Month],L$2)</f>
        <v>0</v>
      </c>
      <c r="M7" s="23">
        <f>SUMPRODUCT(Table4[Probability]*Table4[Expected Revenue]*(Table4[Installation]=$B7)*(Table4[Projected 
Year]=L$1)*(Table4[Projected 
Month]=L$2))/MAX(1,SUMPRODUCT(Table4[Expected Revenue]*(Table4[Installation]=$B7)*(Table4[Projected 
Year]=L$1)*(Table4[Projected 
Month]=L$2)))</f>
        <v>0</v>
      </c>
      <c r="N7" s="24">
        <f>SUMPRODUCT(Table4[Expected Revenue]*Table4[Expected CMR]*(Table4[Projected 
Year]=L$1)*(Table4[Projected 
Month]=L$2)*(Table4[Installation]=$B7))/MAX(1,L7)</f>
        <v>0</v>
      </c>
      <c r="O7" s="27">
        <f>SUMIFS(Table4[Expected Revenue],Table4[Installation],$B7,Table4[Projected 
Year],O$1,Table4[Projected 
Month],O$2)</f>
        <v>0</v>
      </c>
      <c r="P7" s="23">
        <f>SUMPRODUCT(Table4[Probability]*Table4[Expected Revenue]*(Table4[Installation]=$B7)*(Table4[Projected 
Year]=O$1)*(Table4[Projected 
Month]=O$2))/MAX(1,SUMPRODUCT(Table4[Expected Revenue]*(Table4[Installation]=$B7)*(Table4[Projected 
Year]=O$1)*(Table4[Projected 
Month]=O$2)))</f>
        <v>0</v>
      </c>
      <c r="Q7" s="24">
        <f>SUMPRODUCT(Table4[Expected Revenue]*Table4[Expected CMR]*(Table4[Projected 
Year]=O$1)*(Table4[Projected 
Month]=O$2)*(Table4[Installation]=$B7))/MAX(1,O7)</f>
        <v>0</v>
      </c>
      <c r="R7" s="27">
        <f>SUMIFS(Table4[Expected Revenue],Table4[Installation],$B7,Table4[Projected 
Year],R$1,Table4[Projected 
Month],R$2)</f>
        <v>0</v>
      </c>
      <c r="S7" s="23">
        <f>SUMPRODUCT(Table4[Probability]*Table4[Expected Revenue]*(Table4[Installation]=$B7)*(Table4[Projected 
Year]=R$1)*(Table4[Projected 
Month]=R$2))/MAX(1,SUMPRODUCT(Table4[Expected Revenue]*(Table4[Installation]=$B7)*(Table4[Projected 
Year]=R$1)*(Table4[Projected 
Month]=R$2)))</f>
        <v>0</v>
      </c>
      <c r="T7" s="24">
        <f>SUMPRODUCT(Table4[Expected Revenue]*Table4[Expected CMR]*(Table4[Projected 
Year]=R$1)*(Table4[Projected 
Month]=R$2)*(Table4[Installation]=$B7))/MAX(1,R7)</f>
        <v>0</v>
      </c>
      <c r="U7" s="27">
        <f>SUMIFS(Table4[Expected Revenue],Table4[Installation],$B7,Table4[Projected 
Year],U$1,Table4[Projected 
Month],U$2)</f>
        <v>0</v>
      </c>
      <c r="V7" s="23">
        <f>SUMPRODUCT(Table4[Probability]*Table4[Expected Revenue]*(Table4[Installation]=$B7)*(Table4[Projected 
Year]=U$1)*(Table4[Projected 
Month]=U$2))/MAX(1,SUMPRODUCT(Table4[Expected Revenue]*(Table4[Installation]=$B7)*(Table4[Projected 
Year]=U$1)*(Table4[Projected 
Month]=U$2)))</f>
        <v>0</v>
      </c>
      <c r="W7" s="24">
        <f>SUMPRODUCT(Table4[Expected Revenue]*Table4[Expected CMR]*(Table4[Projected 
Year]=U$1)*(Table4[Projected 
Month]=U$2)*(Table4[Installation]=$B7))/MAX(1,U7)</f>
        <v>0</v>
      </c>
      <c r="X7" s="27">
        <f>SUMIFS(Table4[Expected Revenue],Table4[Installation],$B7,Table4[Projected 
Year],X$1,Table4[Projected 
Month],X$2)</f>
        <v>0</v>
      </c>
      <c r="Y7" s="23">
        <f>SUMPRODUCT(Table4[Probability]*Table4[Expected Revenue]*(Table4[Installation]=$B7)*(Table4[Projected 
Year]=X$1)*(Table4[Projected 
Month]=X$2))/MAX(1,SUMPRODUCT(Table4[Expected Revenue]*(Table4[Installation]=$B7)*(Table4[Projected 
Year]=X$1)*(Table4[Projected 
Month]=X$2)))</f>
        <v>0</v>
      </c>
      <c r="Z7" s="24">
        <f>SUMPRODUCT(Table4[Expected Revenue]*Table4[Expected CMR]*(Table4[Projected 
Year]=X$1)*(Table4[Projected 
Month]=X$2)*(Table4[Installation]=$B7))/MAX(1,X7)</f>
        <v>0</v>
      </c>
      <c r="AA7" s="27">
        <f>SUMIFS(Table4[Expected Revenue],Table4[Installation],$B7,Table4[Projected 
Year],AA$1,Table4[Projected 
Month],AA$2)</f>
        <v>0</v>
      </c>
      <c r="AB7" s="23">
        <f>SUMPRODUCT(Table4[Probability]*Table4[Expected Revenue]*(Table4[Installation]=$B7)*(Table4[Projected 
Year]=AA$1)*(Table4[Projected 
Month]=AA$2))/MAX(1,SUMPRODUCT(Table4[Expected Revenue]*(Table4[Installation]=$B7)*(Table4[Projected 
Year]=AA$1)*(Table4[Projected 
Month]=AA$2)))</f>
        <v>0</v>
      </c>
      <c r="AC7" s="24">
        <f>SUMPRODUCT(Table4[Expected Revenue]*Table4[Expected CMR]*(Table4[Projected 
Year]=AA$1)*(Table4[Projected 
Month]=AA$2)*(Table4[Installation]=$B7))/MAX(1,AA7)</f>
        <v>0</v>
      </c>
      <c r="AD7" s="27">
        <f>SUMIFS(Table4[Expected Revenue],Table4[Installation],$B7,Table4[Projected 
Year],AD$1,Table4[Projected 
Month],AD$2)</f>
        <v>0</v>
      </c>
      <c r="AE7" s="23">
        <f>SUMPRODUCT(Table4[Probability]*Table4[Expected Revenue]*(Table4[Installation]=$B7)*(Table4[Projected 
Year]=AD$1)*(Table4[Projected 
Month]=AD$2))/MAX(1,SUMPRODUCT(Table4[Expected Revenue]*(Table4[Installation]=$B7)*(Table4[Projected 
Year]=AD$1)*(Table4[Projected 
Month]=AD$2)))</f>
        <v>0</v>
      </c>
      <c r="AF7" s="24">
        <f>SUMPRODUCT(Table4[Expected Revenue]*Table4[Expected CMR]*(Table4[Projected 
Year]=AD$1)*(Table4[Projected 
Month]=AD$2)*(Table4[Installation]=$B7))/MAX(1,AD7)</f>
        <v>0</v>
      </c>
      <c r="AG7" s="27">
        <f>SUMIFS(Table4[Expected Revenue],Table4[Installation],$B7,Table4[Projected 
Year],AG$1,Table4[Projected 
Month],AG$2)</f>
        <v>0</v>
      </c>
      <c r="AH7" s="23">
        <f>SUMPRODUCT(Table4[Probability]*Table4[Expected Revenue]*(Table4[Installation]=$B7)*(Table4[Projected 
Year]=AG$1)*(Table4[Projected 
Month]=AG$2))/MAX(1,SUMPRODUCT(Table4[Expected Revenue]*(Table4[Installation]=$B7)*(Table4[Projected 
Year]=AG$1)*(Table4[Projected 
Month]=AG$2)))</f>
        <v>0</v>
      </c>
      <c r="AI7" s="24">
        <f>SUMPRODUCT(Table4[Expected Revenue]*Table4[Expected CMR]*(Table4[Projected 
Year]=AG$1)*(Table4[Projected 
Month]=AG$2)*(Table4[Installation]=$B7))/MAX(1,AG7)</f>
        <v>0</v>
      </c>
      <c r="AJ7" s="27">
        <f>SUMIFS(Table4[Expected Revenue],Table4[Installation],$B7,Table4[Projected 
Year],AJ$1,Table4[Projected 
Month],AJ$2)</f>
        <v>0</v>
      </c>
      <c r="AK7" s="23">
        <f>SUMPRODUCT(Table4[Probability]*Table4[Expected Revenue]*(Table4[Installation]=$B7)*(Table4[Projected 
Year]=AJ$1)*(Table4[Projected 
Month]=AJ$2))/MAX(1,SUMPRODUCT(Table4[Expected Revenue]*(Table4[Installation]=$B7)*(Table4[Projected 
Year]=AJ$1)*(Table4[Projected 
Month]=AJ$2)))</f>
        <v>0</v>
      </c>
      <c r="AL7" s="24">
        <f>SUMPRODUCT(Table4[Expected Revenue]*Table4[Expected CMR]*(Table4[Projected 
Year]=AJ$1)*(Table4[Projected 
Month]=AJ$2)*(Table4[Installation]=$B7))/MAX(1,AJ7)</f>
        <v>0</v>
      </c>
      <c r="AM7" s="30">
        <f t="shared" si="0"/>
        <v>0</v>
      </c>
      <c r="AN7" s="52">
        <f t="shared" si="1"/>
        <v>0</v>
      </c>
      <c r="AO7" s="52">
        <f t="shared" si="1"/>
        <v>0</v>
      </c>
      <c r="AP7" s="27" t="e">
        <f>SUMIFS(#REF!,Table4[Installation],$B7,#REF!,AP$1,#REF!,AP$2)</f>
        <v>#REF!</v>
      </c>
      <c r="AQ7" s="21" t="e">
        <f>SUMIFS(#REF!,Table4[Installation],$B7,Table4[Projected 
Year],AP$1,#REF!,AP$2)</f>
        <v>#REF!</v>
      </c>
      <c r="AR7" s="24" t="e">
        <f t="shared" si="7"/>
        <v>#REF!</v>
      </c>
      <c r="AS7" s="27" t="e">
        <f>SUMIFS(#REF!,Table4[Installation],$B7,#REF!,AS$1,#REF!,AS$2)</f>
        <v>#REF!</v>
      </c>
      <c r="AT7" s="21" t="e">
        <f>SUMIFS(#REF!,Table4[Installation],$B7,Table4[Projected 
Year],AS$1,#REF!,AS$2)</f>
        <v>#REF!</v>
      </c>
      <c r="AU7" s="24" t="e">
        <f t="shared" si="8"/>
        <v>#REF!</v>
      </c>
      <c r="AV7" s="27" t="e">
        <f>SUMIFS(#REF!,Table4[Installation],$B7,#REF!,AV$1,#REF!,AV$2)</f>
        <v>#REF!</v>
      </c>
      <c r="AW7" s="21" t="e">
        <f>SUMIFS(#REF!,Table4[Installation],$B7,Table4[Projected 
Year],AV$1,#REF!,AV$2)</f>
        <v>#REF!</v>
      </c>
      <c r="AX7" s="24" t="e">
        <f t="shared" si="9"/>
        <v>#REF!</v>
      </c>
      <c r="AY7" s="27" t="e">
        <f>SUMIFS(#REF!,Table4[Installation],$B7,#REF!,AY$1,#REF!,AY$2)</f>
        <v>#REF!</v>
      </c>
      <c r="AZ7" s="21" t="e">
        <f>SUMIFS(#REF!,Table4[Installation],$B7,Table4[Projected 
Year],AY$1,#REF!,AY$2)</f>
        <v>#REF!</v>
      </c>
      <c r="BA7" s="24" t="e">
        <f t="shared" si="10"/>
        <v>#REF!</v>
      </c>
      <c r="BB7" s="27" t="e">
        <f>SUMIFS(#REF!,Table4[Installation],$B7,#REF!,BB$1,#REF!,BB$2)</f>
        <v>#REF!</v>
      </c>
      <c r="BC7" s="21" t="e">
        <f>SUMIFS(#REF!,Table4[Installation],$B7,Table4[Projected 
Year],BB$1,#REF!,BB$2)</f>
        <v>#REF!</v>
      </c>
      <c r="BD7" s="24" t="e">
        <f t="shared" si="11"/>
        <v>#REF!</v>
      </c>
      <c r="BE7" s="27" t="e">
        <f>SUMIFS(#REF!,Table4[Installation],$B7,#REF!,BE$1,#REF!,BE$2)</f>
        <v>#REF!</v>
      </c>
      <c r="BF7" s="21" t="e">
        <f>SUMIFS(#REF!,Table4[Installation],$B7,Table4[Projected 
Year],BE$1,#REF!,BE$2)</f>
        <v>#REF!</v>
      </c>
      <c r="BG7" s="24" t="e">
        <f t="shared" si="2"/>
        <v>#REF!</v>
      </c>
      <c r="BH7" s="27" t="e">
        <f>SUMIFS(#REF!,Table4[Installation],$B7,#REF!,BH$1,#REF!,BH$2)</f>
        <v>#REF!</v>
      </c>
      <c r="BI7" s="21" t="e">
        <f>SUMIFS(#REF!,Table4[Installation],$B7,Table4[Projected 
Year],BH$1,#REF!,BH$2)</f>
        <v>#REF!</v>
      </c>
      <c r="BJ7" s="24" t="e">
        <f t="shared" si="3"/>
        <v>#REF!</v>
      </c>
      <c r="BK7" s="27" t="e">
        <f>SUMIFS(#REF!,Table4[Installation],$B7,#REF!,BK$1,#REF!,BK$2)</f>
        <v>#REF!</v>
      </c>
      <c r="BL7" s="21" t="e">
        <f>SUMIFS(#REF!,Table4[Installation],$B7,Table4[Projected 
Year],BK$1,#REF!,BK$2)</f>
        <v>#REF!</v>
      </c>
      <c r="BM7" s="24" t="e">
        <f>IF(BK7=0,IF(BL7=0,"-",0),1-(BL7/BK7))</f>
        <v>#REF!</v>
      </c>
      <c r="BN7" s="27" t="e">
        <f>SUMIFS(#REF!,Table4[Installation],$B7,#REF!,BN$1,#REF!,BN$2)</f>
        <v>#REF!</v>
      </c>
      <c r="BO7" s="21" t="e">
        <f>SUMIFS(#REF!,Table4[Installation],$B7,Table4[Projected 
Year],BN$1,#REF!,BN$2)</f>
        <v>#REF!</v>
      </c>
      <c r="BP7" s="24" t="e">
        <f>IF(BN7=0,IF(BO7=0,"-",0),1-(BO7/BN7))</f>
        <v>#REF!</v>
      </c>
      <c r="BQ7" s="27" t="e">
        <f>SUMIFS(#REF!,Table4[Installation],$B7,#REF!,BQ$1,#REF!,BQ$2)</f>
        <v>#REF!</v>
      </c>
      <c r="BR7" s="21" t="e">
        <f>SUMIFS(#REF!,Table4[Installation],$B7,Table4[Projected 
Year],BQ$1,#REF!,BQ$2)</f>
        <v>#REF!</v>
      </c>
      <c r="BS7" s="24" t="e">
        <f>IF(BQ7=0,IF(BR7=0,"-",0),1-(BR7/BQ7))</f>
        <v>#REF!</v>
      </c>
      <c r="BT7" s="27" t="e">
        <f>SUMIFS(#REF!,Table4[Installation],$B7,#REF!,BT$1,#REF!,BT$2)</f>
        <v>#REF!</v>
      </c>
      <c r="BU7" s="21" t="e">
        <f>SUMIFS(#REF!,Table4[Installation],$B7,Table4[Projected 
Year],BT$1,#REF!,BT$2)</f>
        <v>#REF!</v>
      </c>
      <c r="BV7" s="24" t="e">
        <f>IF(BT7=0,IF(BU7=0,"-",0),1-(BU7/BT7))</f>
        <v>#REF!</v>
      </c>
      <c r="BW7" s="27" t="e">
        <f>SUMIFS(#REF!,Table4[Installation],$B7,#REF!,BW$1,#REF!,BW$2)</f>
        <v>#REF!</v>
      </c>
      <c r="BX7" s="21" t="e">
        <f>SUMIFS(#REF!,Table4[Installation],$B7,Table4[Projected 
Year],BW$1,#REF!,BW$2)</f>
        <v>#REF!</v>
      </c>
      <c r="BY7" s="24" t="e">
        <f>IF(BW7=0,IF(BX7=0,"-",0),1-(BX7/BW7))</f>
        <v>#REF!</v>
      </c>
      <c r="BZ7" s="30" t="e">
        <f t="shared" si="4"/>
        <v>#REF!</v>
      </c>
      <c r="CA7" s="30" t="e">
        <f t="shared" si="5"/>
        <v>#REF!</v>
      </c>
      <c r="CB7" s="24" t="e">
        <f t="shared" si="6"/>
        <v>#REF!</v>
      </c>
      <c r="CC7" s="29">
        <v>389244</v>
      </c>
      <c r="CD7" s="19" t="e">
        <f>BZ7-CC7</f>
        <v>#REF!</v>
      </c>
    </row>
    <row r="8" spans="1:82">
      <c r="A8" s="18" t="s">
        <v>57</v>
      </c>
      <c r="B8" s="20" t="s">
        <v>137</v>
      </c>
      <c r="C8" s="27">
        <f>SUMIFS(Table4[Expected Revenue],Table4[Installation],$B8,Table4[Projected 
Year],C$1,Table4[Projected 
Month],C$2)</f>
        <v>0</v>
      </c>
      <c r="D8" s="23">
        <f>SUMPRODUCT(Table4[Probability]*Table4[Expected Revenue]*(Table4[Installation]=$B8)*(Table4[Projected 
Year]=C$1)*(Table4[Projected 
Month]=C$2))/MAX(1,SUMPRODUCT(Table4[Expected Revenue]*(Table4[Installation]=$B8)*(Table4[Projected 
Year]=C$1)*(Table4[Projected 
Month]=C$2)))</f>
        <v>0</v>
      </c>
      <c r="E8" s="24">
        <f>SUMPRODUCT(Table4[Expected Revenue]*Table4[Expected CMR]*(Table4[Projected 
Year]=C$1)*(Table4[Projected 
Month]=C$2)*(Table4[Installation]=$B8))/MAX(1,C8)</f>
        <v>0</v>
      </c>
      <c r="F8" s="27">
        <f>SUMIFS(Table4[Expected Revenue],Table4[Installation],$B8,Table4[Projected 
Year],F$1,Table4[Projected 
Month],F$2)</f>
        <v>0</v>
      </c>
      <c r="G8" s="23">
        <f>SUMPRODUCT(Table4[Probability]*Table4[Expected Revenue]*(Table4[Installation]=$B8)*(Table4[Projected 
Year]=F$1)*(Table4[Projected 
Month]=F$2))/MAX(1,SUMPRODUCT(Table4[Expected Revenue]*(Table4[Installation]=$B8)*(Table4[Projected 
Year]=F$1)*(Table4[Projected 
Month]=F$2)))</f>
        <v>0</v>
      </c>
      <c r="H8" s="24">
        <f>SUMPRODUCT(Table4[Expected Revenue]*Table4[Expected CMR]*(Table4[Projected 
Year]=F$1)*(Table4[Projected 
Month]=F$2)*(Table4[Installation]=$B8))/MAX(1,F8)</f>
        <v>0</v>
      </c>
      <c r="I8" s="27">
        <f>SUMIFS(Table4[Expected Revenue],Table4[Installation],$B8,Table4[Projected 
Year],I$1,Table4[Projected 
Month],I$2)</f>
        <v>0</v>
      </c>
      <c r="J8" s="23">
        <f>SUMPRODUCT(Table4[Probability]*Table4[Expected Revenue]*(Table4[Installation]=$B8)*(Table4[Projected 
Year]=I$1)*(Table4[Projected 
Month]=I$2))/MAX(1,SUMPRODUCT(Table4[Expected Revenue]*(Table4[Installation]=$B8)*(Table4[Projected 
Year]=I$1)*(Table4[Projected 
Month]=I$2)))</f>
        <v>0</v>
      </c>
      <c r="K8" s="24">
        <f>SUMPRODUCT(Table4[Expected Revenue]*Table4[Expected CMR]*(Table4[Projected 
Year]=I$1)*(Table4[Projected 
Month]=I$2)*(Table4[Installation]=$B8))/MAX(1,I8)</f>
        <v>0</v>
      </c>
      <c r="L8" s="27">
        <f>SUMIFS(Table4[Expected Revenue],Table4[Installation],$B8,Table4[Projected 
Year],L$1,Table4[Projected 
Month],L$2)</f>
        <v>0</v>
      </c>
      <c r="M8" s="23">
        <f>SUMPRODUCT(Table4[Probability]*Table4[Expected Revenue]*(Table4[Installation]=$B8)*(Table4[Projected 
Year]=L$1)*(Table4[Projected 
Month]=L$2))/MAX(1,SUMPRODUCT(Table4[Expected Revenue]*(Table4[Installation]=$B8)*(Table4[Projected 
Year]=L$1)*(Table4[Projected 
Month]=L$2)))</f>
        <v>0</v>
      </c>
      <c r="N8" s="24">
        <f>SUMPRODUCT(Table4[Expected Revenue]*Table4[Expected CMR]*(Table4[Projected 
Year]=L$1)*(Table4[Projected 
Month]=L$2)*(Table4[Installation]=$B8))/MAX(1,L8)</f>
        <v>0</v>
      </c>
      <c r="O8" s="27">
        <f>SUMIFS(Table4[Expected Revenue],Table4[Installation],$B8,Table4[Projected 
Year],O$1,Table4[Projected 
Month],O$2)</f>
        <v>0</v>
      </c>
      <c r="P8" s="23">
        <f>SUMPRODUCT(Table4[Probability]*Table4[Expected Revenue]*(Table4[Installation]=$B8)*(Table4[Projected 
Year]=O$1)*(Table4[Projected 
Month]=O$2))/MAX(1,SUMPRODUCT(Table4[Expected Revenue]*(Table4[Installation]=$B8)*(Table4[Projected 
Year]=O$1)*(Table4[Projected 
Month]=O$2)))</f>
        <v>0</v>
      </c>
      <c r="Q8" s="24">
        <f>SUMPRODUCT(Table4[Expected Revenue]*Table4[Expected CMR]*(Table4[Projected 
Year]=O$1)*(Table4[Projected 
Month]=O$2)*(Table4[Installation]=$B8))/MAX(1,O8)</f>
        <v>0</v>
      </c>
      <c r="R8" s="27">
        <f>SUMIFS(Table4[Expected Revenue],Table4[Installation],$B8,Table4[Projected 
Year],R$1,Table4[Projected 
Month],R$2)</f>
        <v>0</v>
      </c>
      <c r="S8" s="23">
        <f>SUMPRODUCT(Table4[Probability]*Table4[Expected Revenue]*(Table4[Installation]=$B8)*(Table4[Projected 
Year]=R$1)*(Table4[Projected 
Month]=R$2))/MAX(1,SUMPRODUCT(Table4[Expected Revenue]*(Table4[Installation]=$B8)*(Table4[Projected 
Year]=R$1)*(Table4[Projected 
Month]=R$2)))</f>
        <v>0</v>
      </c>
      <c r="T8" s="24">
        <f>SUMPRODUCT(Table4[Expected Revenue]*Table4[Expected CMR]*(Table4[Projected 
Year]=R$1)*(Table4[Projected 
Month]=R$2)*(Table4[Installation]=$B8))/MAX(1,R8)</f>
        <v>0</v>
      </c>
      <c r="U8" s="27">
        <f>SUMIFS(Table4[Expected Revenue],Table4[Installation],$B8,Table4[Projected 
Year],U$1,Table4[Projected 
Month],U$2)</f>
        <v>0</v>
      </c>
      <c r="V8" s="23">
        <f>SUMPRODUCT(Table4[Probability]*Table4[Expected Revenue]*(Table4[Installation]=$B8)*(Table4[Projected 
Year]=U$1)*(Table4[Projected 
Month]=U$2))/MAX(1,SUMPRODUCT(Table4[Expected Revenue]*(Table4[Installation]=$B8)*(Table4[Projected 
Year]=U$1)*(Table4[Projected 
Month]=U$2)))</f>
        <v>0</v>
      </c>
      <c r="W8" s="24">
        <f>SUMPRODUCT(Table4[Expected Revenue]*Table4[Expected CMR]*(Table4[Projected 
Year]=U$1)*(Table4[Projected 
Month]=U$2)*(Table4[Installation]=$B8))/MAX(1,U8)</f>
        <v>0</v>
      </c>
      <c r="X8" s="27">
        <f>SUMIFS(Table4[Expected Revenue],Table4[Installation],$B8,Table4[Projected 
Year],X$1,Table4[Projected 
Month],X$2)</f>
        <v>0</v>
      </c>
      <c r="Y8" s="23">
        <f>SUMPRODUCT(Table4[Probability]*Table4[Expected Revenue]*(Table4[Installation]=$B8)*(Table4[Projected 
Year]=X$1)*(Table4[Projected 
Month]=X$2))/MAX(1,SUMPRODUCT(Table4[Expected Revenue]*(Table4[Installation]=$B8)*(Table4[Projected 
Year]=X$1)*(Table4[Projected 
Month]=X$2)))</f>
        <v>0</v>
      </c>
      <c r="Z8" s="24">
        <f>SUMPRODUCT(Table4[Expected Revenue]*Table4[Expected CMR]*(Table4[Projected 
Year]=X$1)*(Table4[Projected 
Month]=X$2)*(Table4[Installation]=$B8))/MAX(1,X8)</f>
        <v>0</v>
      </c>
      <c r="AA8" s="27">
        <f>SUMIFS(Table4[Expected Revenue],Table4[Installation],$B8,Table4[Projected 
Year],AA$1,Table4[Projected 
Month],AA$2)</f>
        <v>0</v>
      </c>
      <c r="AB8" s="23">
        <f>SUMPRODUCT(Table4[Probability]*Table4[Expected Revenue]*(Table4[Installation]=$B8)*(Table4[Projected 
Year]=AA$1)*(Table4[Projected 
Month]=AA$2))/MAX(1,SUMPRODUCT(Table4[Expected Revenue]*(Table4[Installation]=$B8)*(Table4[Projected 
Year]=AA$1)*(Table4[Projected 
Month]=AA$2)))</f>
        <v>0</v>
      </c>
      <c r="AC8" s="24">
        <f>SUMPRODUCT(Table4[Expected Revenue]*Table4[Expected CMR]*(Table4[Projected 
Year]=AA$1)*(Table4[Projected 
Month]=AA$2)*(Table4[Installation]=$B8))/MAX(1,AA8)</f>
        <v>0</v>
      </c>
      <c r="AD8" s="27">
        <f>SUMIFS(Table4[Expected Revenue],Table4[Installation],$B8,Table4[Projected 
Year],AD$1,Table4[Projected 
Month],AD$2)</f>
        <v>0</v>
      </c>
      <c r="AE8" s="23">
        <f>SUMPRODUCT(Table4[Probability]*Table4[Expected Revenue]*(Table4[Installation]=$B8)*(Table4[Projected 
Year]=AD$1)*(Table4[Projected 
Month]=AD$2))/MAX(1,SUMPRODUCT(Table4[Expected Revenue]*(Table4[Installation]=$B8)*(Table4[Projected 
Year]=AD$1)*(Table4[Projected 
Month]=AD$2)))</f>
        <v>0</v>
      </c>
      <c r="AF8" s="24">
        <f>SUMPRODUCT(Table4[Expected Revenue]*Table4[Expected CMR]*(Table4[Projected 
Year]=AD$1)*(Table4[Projected 
Month]=AD$2)*(Table4[Installation]=$B8))/MAX(1,AD8)</f>
        <v>0</v>
      </c>
      <c r="AG8" s="27">
        <f>SUMIFS(Table4[Expected Revenue],Table4[Installation],$B8,Table4[Projected 
Year],AG$1,Table4[Projected 
Month],AG$2)</f>
        <v>0</v>
      </c>
      <c r="AH8" s="23">
        <f>SUMPRODUCT(Table4[Probability]*Table4[Expected Revenue]*(Table4[Installation]=$B8)*(Table4[Projected 
Year]=AG$1)*(Table4[Projected 
Month]=AG$2))/MAX(1,SUMPRODUCT(Table4[Expected Revenue]*(Table4[Installation]=$B8)*(Table4[Projected 
Year]=AG$1)*(Table4[Projected 
Month]=AG$2)))</f>
        <v>0</v>
      </c>
      <c r="AI8" s="24">
        <f>SUMPRODUCT(Table4[Expected Revenue]*Table4[Expected CMR]*(Table4[Projected 
Year]=AG$1)*(Table4[Projected 
Month]=AG$2)*(Table4[Installation]=$B8))/MAX(1,AG8)</f>
        <v>0</v>
      </c>
      <c r="AJ8" s="27">
        <f>SUMIFS(Table4[Expected Revenue],Table4[Installation],$B8,Table4[Projected 
Year],AJ$1,Table4[Projected 
Month],AJ$2)</f>
        <v>0</v>
      </c>
      <c r="AK8" s="23">
        <f>SUMPRODUCT(Table4[Probability]*Table4[Expected Revenue]*(Table4[Installation]=$B8)*(Table4[Projected 
Year]=AJ$1)*(Table4[Projected 
Month]=AJ$2))/MAX(1,SUMPRODUCT(Table4[Expected Revenue]*(Table4[Installation]=$B8)*(Table4[Projected 
Year]=AJ$1)*(Table4[Projected 
Month]=AJ$2)))</f>
        <v>0</v>
      </c>
      <c r="AL8" s="24">
        <f>SUMPRODUCT(Table4[Expected Revenue]*Table4[Expected CMR]*(Table4[Projected 
Year]=AJ$1)*(Table4[Projected 
Month]=AJ$2)*(Table4[Installation]=$B8))/MAX(1,AJ8)</f>
        <v>0</v>
      </c>
      <c r="AM8" s="30">
        <f t="shared" si="0"/>
        <v>0</v>
      </c>
      <c r="AN8" s="52">
        <f t="shared" si="1"/>
        <v>0</v>
      </c>
      <c r="AO8" s="52">
        <f t="shared" si="1"/>
        <v>0</v>
      </c>
      <c r="AP8" s="27" t="e">
        <f>SUMIFS(#REF!,Table4[Installation],$B8,#REF!,AP$1,#REF!,AP$2)</f>
        <v>#REF!</v>
      </c>
      <c r="AQ8" s="21" t="e">
        <f>SUMIFS(#REF!,Table4[Installation],$B8,Table4[Projected 
Year],AP$1,#REF!,AP$2)</f>
        <v>#REF!</v>
      </c>
      <c r="AR8" s="24" t="e">
        <f t="shared" si="7"/>
        <v>#REF!</v>
      </c>
      <c r="AS8" s="27" t="e">
        <f>SUMIFS(#REF!,Table4[Installation],$B8,#REF!,AS$1,#REF!,AS$2)</f>
        <v>#REF!</v>
      </c>
      <c r="AT8" s="21" t="e">
        <f>SUMIFS(#REF!,Table4[Installation],$B8,Table4[Projected 
Year],AS$1,#REF!,AS$2)</f>
        <v>#REF!</v>
      </c>
      <c r="AU8" s="24" t="e">
        <f t="shared" si="8"/>
        <v>#REF!</v>
      </c>
      <c r="AV8" s="27" t="e">
        <f>SUMIFS(#REF!,Table4[Installation],$B8,#REF!,AV$1,#REF!,AV$2)</f>
        <v>#REF!</v>
      </c>
      <c r="AW8" s="21" t="e">
        <f>SUMIFS(#REF!,Table4[Installation],$B8,Table4[Projected 
Year],AV$1,#REF!,AV$2)</f>
        <v>#REF!</v>
      </c>
      <c r="AX8" s="24" t="e">
        <f t="shared" si="9"/>
        <v>#REF!</v>
      </c>
      <c r="AY8" s="27" t="e">
        <f>SUMIFS(#REF!,Table4[Installation],$B8,#REF!,AY$1,#REF!,AY$2)</f>
        <v>#REF!</v>
      </c>
      <c r="AZ8" s="21" t="e">
        <f>SUMIFS(#REF!,Table4[Installation],$B8,Table4[Projected 
Year],AY$1,#REF!,AY$2)</f>
        <v>#REF!</v>
      </c>
      <c r="BA8" s="24" t="e">
        <f t="shared" si="10"/>
        <v>#REF!</v>
      </c>
      <c r="BB8" s="27" t="e">
        <f>SUMIFS(#REF!,Table4[Installation],$B8,#REF!,BB$1,#REF!,BB$2)</f>
        <v>#REF!</v>
      </c>
      <c r="BC8" s="21" t="e">
        <f>SUMIFS(#REF!,Table4[Installation],$B8,Table4[Projected 
Year],BB$1,#REF!,BB$2)</f>
        <v>#REF!</v>
      </c>
      <c r="BD8" s="24" t="e">
        <f t="shared" si="11"/>
        <v>#REF!</v>
      </c>
      <c r="BE8" s="27" t="e">
        <f>SUMIFS(#REF!,Table4[Installation],$B8,#REF!,BE$1,#REF!,BE$2)</f>
        <v>#REF!</v>
      </c>
      <c r="BF8" s="21" t="e">
        <f>SUMIFS(#REF!,Table4[Installation],$B8,Table4[Projected 
Year],BE$1,#REF!,BE$2)</f>
        <v>#REF!</v>
      </c>
      <c r="BG8" s="24" t="e">
        <f t="shared" si="2"/>
        <v>#REF!</v>
      </c>
      <c r="BH8" s="27" t="e">
        <f>SUMIFS(#REF!,Table4[Installation],$B8,#REF!,BH$1,#REF!,BH$2)</f>
        <v>#REF!</v>
      </c>
      <c r="BI8" s="21" t="e">
        <f>SUMIFS(#REF!,Table4[Installation],$B8,Table4[Projected 
Year],BH$1,#REF!,BH$2)</f>
        <v>#REF!</v>
      </c>
      <c r="BJ8" s="24" t="e">
        <f t="shared" si="3"/>
        <v>#REF!</v>
      </c>
      <c r="BK8" s="27" t="e">
        <f>SUMIFS(#REF!,Table4[Installation],$B8,#REF!,BK$1,#REF!,BK$2)</f>
        <v>#REF!</v>
      </c>
      <c r="BL8" s="21" t="e">
        <f>SUMIFS(#REF!,Table4[Installation],$B8,Table4[Projected 
Year],BK$1,#REF!,BK$2)</f>
        <v>#REF!</v>
      </c>
      <c r="BM8" s="24" t="e">
        <f>IF(BK8=0,IF(BL8=0,"-",0),1-(BL8/BK8))</f>
        <v>#REF!</v>
      </c>
      <c r="BN8" s="27" t="e">
        <f>SUMIFS(#REF!,Table4[Installation],$B8,#REF!,BN$1,#REF!,BN$2)</f>
        <v>#REF!</v>
      </c>
      <c r="BO8" s="21" t="e">
        <f>SUMIFS(#REF!,Table4[Installation],$B8,Table4[Projected 
Year],BN$1,#REF!,BN$2)</f>
        <v>#REF!</v>
      </c>
      <c r="BP8" s="24" t="e">
        <f>IF(BN8=0,IF(BO8=0,"-",0),1-(BO8/BN8))</f>
        <v>#REF!</v>
      </c>
      <c r="BQ8" s="27" t="e">
        <f>SUMIFS(#REF!,Table4[Installation],$B8,#REF!,BQ$1,#REF!,BQ$2)</f>
        <v>#REF!</v>
      </c>
      <c r="BR8" s="21" t="e">
        <f>SUMIFS(#REF!,Table4[Installation],$B8,Table4[Projected 
Year],BQ$1,#REF!,BQ$2)</f>
        <v>#REF!</v>
      </c>
      <c r="BS8" s="24" t="e">
        <f>IF(BQ8=0,IF(BR8=0,"-",0),1-(BR8/BQ8))</f>
        <v>#REF!</v>
      </c>
      <c r="BT8" s="27" t="e">
        <f>SUMIFS(#REF!,Table4[Installation],$B8,#REF!,BT$1,#REF!,BT$2)</f>
        <v>#REF!</v>
      </c>
      <c r="BU8" s="21" t="e">
        <f>SUMIFS(#REF!,Table4[Installation],$B8,Table4[Projected 
Year],BT$1,#REF!,BT$2)</f>
        <v>#REF!</v>
      </c>
      <c r="BV8" s="24" t="e">
        <f>IF(BT8=0,IF(BU8=0,"-",0),1-(BU8/BT8))</f>
        <v>#REF!</v>
      </c>
      <c r="BW8" s="27" t="e">
        <f>SUMIFS(#REF!,Table4[Installation],$B8,#REF!,BW$1,#REF!,BW$2)</f>
        <v>#REF!</v>
      </c>
      <c r="BX8" s="21" t="e">
        <f>SUMIFS(#REF!,Table4[Installation],$B8,Table4[Projected 
Year],BW$1,#REF!,BW$2)</f>
        <v>#REF!</v>
      </c>
      <c r="BY8" s="24" t="e">
        <f t="shared" ref="BY8:BY28" si="12">IF(BW8=0,IF(BX8=0,"-",0),1-(BX8/BW8))</f>
        <v>#REF!</v>
      </c>
      <c r="BZ8" s="30" t="e">
        <f t="shared" si="4"/>
        <v>#REF!</v>
      </c>
      <c r="CA8" s="30" t="e">
        <f t="shared" si="5"/>
        <v>#REF!</v>
      </c>
      <c r="CB8" s="24" t="e">
        <f t="shared" si="6"/>
        <v>#REF!</v>
      </c>
      <c r="CC8" s="29">
        <v>439244</v>
      </c>
      <c r="CD8" s="19" t="e">
        <f>BZ8-CC8</f>
        <v>#REF!</v>
      </c>
    </row>
    <row r="9" spans="1:82">
      <c r="A9" s="18" t="s">
        <v>57</v>
      </c>
      <c r="B9" s="20" t="s">
        <v>146</v>
      </c>
      <c r="C9" s="27">
        <f>SUMIFS(Table4[Expected Revenue],Table4[Installation],$B9,Table4[Projected 
Year],C$1,Table4[Projected 
Month],C$2)</f>
        <v>0</v>
      </c>
      <c r="D9" s="23">
        <f>SUMPRODUCT(Table4[Probability]*Table4[Expected Revenue]*(Table4[Installation]=$B9)*(Table4[Projected 
Year]=C$1)*(Table4[Projected 
Month]=C$2))/MAX(1,SUMPRODUCT(Table4[Expected Revenue]*(Table4[Installation]=$B9)*(Table4[Projected 
Year]=C$1)*(Table4[Projected 
Month]=C$2)))</f>
        <v>0</v>
      </c>
      <c r="E9" s="24">
        <f>SUMPRODUCT(Table4[Expected Revenue]*Table4[Expected CMR]*(Table4[Projected 
Year]=C$1)*(Table4[Projected 
Month]=C$2)*(Table4[Installation]=$B9))/MAX(1,C9)</f>
        <v>0</v>
      </c>
      <c r="F9" s="27">
        <f>SUMIFS(Table4[Expected Revenue],Table4[Installation],$B9,Table4[Projected 
Year],F$1,Table4[Projected 
Month],F$2)</f>
        <v>0</v>
      </c>
      <c r="G9" s="23">
        <f>SUMPRODUCT(Table4[Probability]*Table4[Expected Revenue]*(Table4[Installation]=$B9)*(Table4[Projected 
Year]=F$1)*(Table4[Projected 
Month]=F$2))/MAX(1,SUMPRODUCT(Table4[Expected Revenue]*(Table4[Installation]=$B9)*(Table4[Projected 
Year]=F$1)*(Table4[Projected 
Month]=F$2)))</f>
        <v>0</v>
      </c>
      <c r="H9" s="24">
        <f>SUMPRODUCT(Table4[Expected Revenue]*Table4[Expected CMR]*(Table4[Projected 
Year]=F$1)*(Table4[Projected 
Month]=F$2)*(Table4[Installation]=$B9))/MAX(1,F9)</f>
        <v>0</v>
      </c>
      <c r="I9" s="27">
        <f>SUMIFS(Table4[Expected Revenue],Table4[Installation],$B9,Table4[Projected 
Year],I$1,Table4[Projected 
Month],I$2)</f>
        <v>0</v>
      </c>
      <c r="J9" s="23">
        <f>SUMPRODUCT(Table4[Probability]*Table4[Expected Revenue]*(Table4[Installation]=$B9)*(Table4[Projected 
Year]=I$1)*(Table4[Projected 
Month]=I$2))/MAX(1,SUMPRODUCT(Table4[Expected Revenue]*(Table4[Installation]=$B9)*(Table4[Projected 
Year]=I$1)*(Table4[Projected 
Month]=I$2)))</f>
        <v>0</v>
      </c>
      <c r="K9" s="24">
        <f>SUMPRODUCT(Table4[Expected Revenue]*Table4[Expected CMR]*(Table4[Projected 
Year]=I$1)*(Table4[Projected 
Month]=I$2)*(Table4[Installation]=$B9))/MAX(1,I9)</f>
        <v>0</v>
      </c>
      <c r="L9" s="27">
        <f>SUMIFS(Table4[Expected Revenue],Table4[Installation],$B9,Table4[Projected 
Year],L$1,Table4[Projected 
Month],L$2)</f>
        <v>0</v>
      </c>
      <c r="M9" s="23">
        <f>SUMPRODUCT(Table4[Probability]*Table4[Expected Revenue]*(Table4[Installation]=$B9)*(Table4[Projected 
Year]=L$1)*(Table4[Projected 
Month]=L$2))/MAX(1,SUMPRODUCT(Table4[Expected Revenue]*(Table4[Installation]=$B9)*(Table4[Projected 
Year]=L$1)*(Table4[Projected 
Month]=L$2)))</f>
        <v>0</v>
      </c>
      <c r="N9" s="24">
        <f>SUMPRODUCT(Table4[Expected Revenue]*Table4[Expected CMR]*(Table4[Projected 
Year]=L$1)*(Table4[Projected 
Month]=L$2)*(Table4[Installation]=$B9))/MAX(1,L9)</f>
        <v>0</v>
      </c>
      <c r="O9" s="27">
        <f>SUMIFS(Table4[Expected Revenue],Table4[Installation],$B9,Table4[Projected 
Year],O$1,Table4[Projected 
Month],O$2)</f>
        <v>0</v>
      </c>
      <c r="P9" s="23">
        <f>SUMPRODUCT(Table4[Probability]*Table4[Expected Revenue]*(Table4[Installation]=$B9)*(Table4[Projected 
Year]=O$1)*(Table4[Projected 
Month]=O$2))/MAX(1,SUMPRODUCT(Table4[Expected Revenue]*(Table4[Installation]=$B9)*(Table4[Projected 
Year]=O$1)*(Table4[Projected 
Month]=O$2)))</f>
        <v>0</v>
      </c>
      <c r="Q9" s="24">
        <f>SUMPRODUCT(Table4[Expected Revenue]*Table4[Expected CMR]*(Table4[Projected 
Year]=O$1)*(Table4[Projected 
Month]=O$2)*(Table4[Installation]=$B9))/MAX(1,O9)</f>
        <v>0</v>
      </c>
      <c r="R9" s="27">
        <f>SUMIFS(Table4[Expected Revenue],Table4[Installation],$B9,Table4[Projected 
Year],R$1,Table4[Projected 
Month],R$2)</f>
        <v>0</v>
      </c>
      <c r="S9" s="23">
        <f>SUMPRODUCT(Table4[Probability]*Table4[Expected Revenue]*(Table4[Installation]=$B9)*(Table4[Projected 
Year]=R$1)*(Table4[Projected 
Month]=R$2))/MAX(1,SUMPRODUCT(Table4[Expected Revenue]*(Table4[Installation]=$B9)*(Table4[Projected 
Year]=R$1)*(Table4[Projected 
Month]=R$2)))</f>
        <v>0</v>
      </c>
      <c r="T9" s="24">
        <f>SUMPRODUCT(Table4[Expected Revenue]*Table4[Expected CMR]*(Table4[Projected 
Year]=R$1)*(Table4[Projected 
Month]=R$2)*(Table4[Installation]=$B9))/MAX(1,R9)</f>
        <v>0</v>
      </c>
      <c r="U9" s="27">
        <f>SUMIFS(Table4[Expected Revenue],Table4[Installation],$B9,Table4[Projected 
Year],U$1,Table4[Projected 
Month],U$2)</f>
        <v>0</v>
      </c>
      <c r="V9" s="23">
        <f>SUMPRODUCT(Table4[Probability]*Table4[Expected Revenue]*(Table4[Installation]=$B9)*(Table4[Projected 
Year]=U$1)*(Table4[Projected 
Month]=U$2))/MAX(1,SUMPRODUCT(Table4[Expected Revenue]*(Table4[Installation]=$B9)*(Table4[Projected 
Year]=U$1)*(Table4[Projected 
Month]=U$2)))</f>
        <v>0</v>
      </c>
      <c r="W9" s="24">
        <f>SUMPRODUCT(Table4[Expected Revenue]*Table4[Expected CMR]*(Table4[Projected 
Year]=U$1)*(Table4[Projected 
Month]=U$2)*(Table4[Installation]=$B9))/MAX(1,U9)</f>
        <v>0</v>
      </c>
      <c r="X9" s="27">
        <f>SUMIFS(Table4[Expected Revenue],Table4[Installation],$B9,Table4[Projected 
Year],X$1,Table4[Projected 
Month],X$2)</f>
        <v>0</v>
      </c>
      <c r="Y9" s="23">
        <f>SUMPRODUCT(Table4[Probability]*Table4[Expected Revenue]*(Table4[Installation]=$B9)*(Table4[Projected 
Year]=X$1)*(Table4[Projected 
Month]=X$2))/MAX(1,SUMPRODUCT(Table4[Expected Revenue]*(Table4[Installation]=$B9)*(Table4[Projected 
Year]=X$1)*(Table4[Projected 
Month]=X$2)))</f>
        <v>0</v>
      </c>
      <c r="Z9" s="24">
        <f>SUMPRODUCT(Table4[Expected Revenue]*Table4[Expected CMR]*(Table4[Projected 
Year]=X$1)*(Table4[Projected 
Month]=X$2)*(Table4[Installation]=$B9))/MAX(1,X9)</f>
        <v>0</v>
      </c>
      <c r="AA9" s="27">
        <f>SUMIFS(Table4[Expected Revenue],Table4[Installation],$B9,Table4[Projected 
Year],AA$1,Table4[Projected 
Month],AA$2)</f>
        <v>0</v>
      </c>
      <c r="AB9" s="23">
        <f>SUMPRODUCT(Table4[Probability]*Table4[Expected Revenue]*(Table4[Installation]=$B9)*(Table4[Projected 
Year]=AA$1)*(Table4[Projected 
Month]=AA$2))/MAX(1,SUMPRODUCT(Table4[Expected Revenue]*(Table4[Installation]=$B9)*(Table4[Projected 
Year]=AA$1)*(Table4[Projected 
Month]=AA$2)))</f>
        <v>0</v>
      </c>
      <c r="AC9" s="24">
        <f>SUMPRODUCT(Table4[Expected Revenue]*Table4[Expected CMR]*(Table4[Projected 
Year]=AA$1)*(Table4[Projected 
Month]=AA$2)*(Table4[Installation]=$B9))/MAX(1,AA9)</f>
        <v>0</v>
      </c>
      <c r="AD9" s="27">
        <f>SUMIFS(Table4[Expected Revenue],Table4[Installation],$B9,Table4[Projected 
Year],AD$1,Table4[Projected 
Month],AD$2)</f>
        <v>0</v>
      </c>
      <c r="AE9" s="23">
        <f>SUMPRODUCT(Table4[Probability]*Table4[Expected Revenue]*(Table4[Installation]=$B9)*(Table4[Projected 
Year]=AD$1)*(Table4[Projected 
Month]=AD$2))/MAX(1,SUMPRODUCT(Table4[Expected Revenue]*(Table4[Installation]=$B9)*(Table4[Projected 
Year]=AD$1)*(Table4[Projected 
Month]=AD$2)))</f>
        <v>0</v>
      </c>
      <c r="AF9" s="24">
        <f>SUMPRODUCT(Table4[Expected Revenue]*Table4[Expected CMR]*(Table4[Projected 
Year]=AD$1)*(Table4[Projected 
Month]=AD$2)*(Table4[Installation]=$B9))/MAX(1,AD9)</f>
        <v>0</v>
      </c>
      <c r="AG9" s="27">
        <f>SUMIFS(Table4[Expected Revenue],Table4[Installation],$B9,Table4[Projected 
Year],AG$1,Table4[Projected 
Month],AG$2)</f>
        <v>0</v>
      </c>
      <c r="AH9" s="23">
        <f>SUMPRODUCT(Table4[Probability]*Table4[Expected Revenue]*(Table4[Installation]=$B9)*(Table4[Projected 
Year]=AG$1)*(Table4[Projected 
Month]=AG$2))/MAX(1,SUMPRODUCT(Table4[Expected Revenue]*(Table4[Installation]=$B9)*(Table4[Projected 
Year]=AG$1)*(Table4[Projected 
Month]=AG$2)))</f>
        <v>0</v>
      </c>
      <c r="AI9" s="24">
        <f>SUMPRODUCT(Table4[Expected Revenue]*Table4[Expected CMR]*(Table4[Projected 
Year]=AG$1)*(Table4[Projected 
Month]=AG$2)*(Table4[Installation]=$B9))/MAX(1,AG9)</f>
        <v>0</v>
      </c>
      <c r="AJ9" s="27">
        <f>SUMIFS(Table4[Expected Revenue],Table4[Installation],$B9,Table4[Projected 
Year],AJ$1,Table4[Projected 
Month],AJ$2)</f>
        <v>0</v>
      </c>
      <c r="AK9" s="23">
        <f>SUMPRODUCT(Table4[Probability]*Table4[Expected Revenue]*(Table4[Installation]=$B9)*(Table4[Projected 
Year]=AJ$1)*(Table4[Projected 
Month]=AJ$2))/MAX(1,SUMPRODUCT(Table4[Expected Revenue]*(Table4[Installation]=$B9)*(Table4[Projected 
Year]=AJ$1)*(Table4[Projected 
Month]=AJ$2)))</f>
        <v>0</v>
      </c>
      <c r="AL9" s="24">
        <f>SUMPRODUCT(Table4[Expected Revenue]*Table4[Expected CMR]*(Table4[Projected 
Year]=AJ$1)*(Table4[Projected 
Month]=AJ$2)*(Table4[Installation]=$B9))/MAX(1,AJ9)</f>
        <v>0</v>
      </c>
      <c r="AM9" s="30">
        <f t="shared" si="0"/>
        <v>0</v>
      </c>
      <c r="AN9" s="52">
        <f t="shared" si="1"/>
        <v>0</v>
      </c>
      <c r="AO9" s="52">
        <f t="shared" si="1"/>
        <v>0</v>
      </c>
      <c r="AP9" s="27" t="e">
        <f>SUMIFS(#REF!,Table4[Installation],$B9,#REF!,AP$1,#REF!,AP$2)</f>
        <v>#REF!</v>
      </c>
      <c r="AQ9" s="21" t="e">
        <f>SUMIFS(#REF!,Table4[Installation],$B9,Table4[Projected 
Year],AP$1,#REF!,AP$2)</f>
        <v>#REF!</v>
      </c>
      <c r="AR9" s="24" t="e">
        <f t="shared" si="7"/>
        <v>#REF!</v>
      </c>
      <c r="AS9" s="27" t="e">
        <f>SUMIFS(#REF!,Table4[Installation],$B9,#REF!,AS$1,#REF!,AS$2)</f>
        <v>#REF!</v>
      </c>
      <c r="AT9" s="21" t="e">
        <f>SUMIFS(#REF!,Table4[Installation],$B9,Table4[Projected 
Year],AS$1,#REF!,AS$2)</f>
        <v>#REF!</v>
      </c>
      <c r="AU9" s="24" t="e">
        <f t="shared" si="8"/>
        <v>#REF!</v>
      </c>
      <c r="AV9" s="27" t="e">
        <f>SUMIFS(#REF!,Table4[Installation],$B9,#REF!,AV$1,#REF!,AV$2)</f>
        <v>#REF!</v>
      </c>
      <c r="AW9" s="21" t="e">
        <f>SUMIFS(#REF!,Table4[Installation],$B9,Table4[Projected 
Year],AV$1,#REF!,AV$2)</f>
        <v>#REF!</v>
      </c>
      <c r="AX9" s="24" t="e">
        <f t="shared" si="9"/>
        <v>#REF!</v>
      </c>
      <c r="AY9" s="27" t="e">
        <f>SUMIFS(#REF!,Table4[Installation],$B9,#REF!,AY$1,#REF!,AY$2)</f>
        <v>#REF!</v>
      </c>
      <c r="AZ9" s="21" t="e">
        <f>SUMIFS(#REF!,Table4[Installation],$B9,Table4[Projected 
Year],AY$1,#REF!,AY$2)</f>
        <v>#REF!</v>
      </c>
      <c r="BA9" s="24" t="e">
        <f t="shared" si="10"/>
        <v>#REF!</v>
      </c>
      <c r="BB9" s="27" t="e">
        <f>SUMIFS(#REF!,Table4[Installation],$B9,#REF!,BB$1,#REF!,BB$2)</f>
        <v>#REF!</v>
      </c>
      <c r="BC9" s="21" t="e">
        <f>SUMIFS(#REF!,Table4[Installation],$B9,Table4[Projected 
Year],BB$1,#REF!,BB$2)</f>
        <v>#REF!</v>
      </c>
      <c r="BD9" s="24" t="e">
        <f t="shared" si="11"/>
        <v>#REF!</v>
      </c>
      <c r="BE9" s="27" t="e">
        <f>SUMIFS(#REF!,Table4[Installation],$B9,#REF!,BE$1,#REF!,BE$2)</f>
        <v>#REF!</v>
      </c>
      <c r="BF9" s="21" t="e">
        <f>SUMIFS(#REF!,Table4[Installation],$B9,Table4[Projected 
Year],BE$1,#REF!,BE$2)</f>
        <v>#REF!</v>
      </c>
      <c r="BG9" s="24" t="e">
        <f t="shared" si="2"/>
        <v>#REF!</v>
      </c>
      <c r="BH9" s="27" t="e">
        <f>SUMIFS(#REF!,Table4[Installation],$B9,#REF!,BH$1,#REF!,BH$2)</f>
        <v>#REF!</v>
      </c>
      <c r="BI9" s="21" t="e">
        <f>SUMIFS(#REF!,Table4[Installation],$B9,Table4[Projected 
Year],BH$1,#REF!,BH$2)</f>
        <v>#REF!</v>
      </c>
      <c r="BJ9" s="24" t="e">
        <f t="shared" si="3"/>
        <v>#REF!</v>
      </c>
      <c r="BK9" s="27" t="e">
        <f>SUMIFS(#REF!,Table4[Installation],$B9,#REF!,BK$1,#REF!,BK$2)</f>
        <v>#REF!</v>
      </c>
      <c r="BL9" s="21" t="e">
        <f>SUMIFS(#REF!,Table4[Installation],$B9,Table4[Projected 
Year],BK$1,#REF!,BK$2)</f>
        <v>#REF!</v>
      </c>
      <c r="BM9" s="24" t="e">
        <f>IF(BK9=0,IF(BL9=0,"-",0),1-(BL9/BK9))</f>
        <v>#REF!</v>
      </c>
      <c r="BN9" s="27" t="e">
        <f>SUMIFS(#REF!,Table4[Installation],$B9,#REF!,BN$1,#REF!,BN$2)</f>
        <v>#REF!</v>
      </c>
      <c r="BO9" s="21" t="e">
        <f>SUMIFS(#REF!,Table4[Installation],$B9,Table4[Projected 
Year],BN$1,#REF!,BN$2)</f>
        <v>#REF!</v>
      </c>
      <c r="BP9" s="24" t="e">
        <f>IF(BN9=0,IF(BO9=0,"-",0),1-(BO9/BN9))</f>
        <v>#REF!</v>
      </c>
      <c r="BQ9" s="27" t="e">
        <f>SUMIFS(#REF!,Table4[Installation],$B9,#REF!,BQ$1,#REF!,BQ$2)</f>
        <v>#REF!</v>
      </c>
      <c r="BR9" s="21" t="e">
        <f>SUMIFS(#REF!,Table4[Installation],$B9,Table4[Projected 
Year],BQ$1,#REF!,BQ$2)</f>
        <v>#REF!</v>
      </c>
      <c r="BS9" s="24" t="e">
        <f>IF(BQ9=0,IF(BR9=0,"-",0),1-(BR9/BQ9))</f>
        <v>#REF!</v>
      </c>
      <c r="BT9" s="27" t="e">
        <f>SUMIFS(#REF!,Table4[Installation],$B9,#REF!,BT$1,#REF!,BT$2)</f>
        <v>#REF!</v>
      </c>
      <c r="BU9" s="21" t="e">
        <f>SUMIFS(#REF!,Table4[Installation],$B9,Table4[Projected 
Year],BT$1,#REF!,BT$2)</f>
        <v>#REF!</v>
      </c>
      <c r="BV9" s="24" t="e">
        <f>IF(BT9=0,IF(BU9=0,"-",0),1-(BU9/BT9))</f>
        <v>#REF!</v>
      </c>
      <c r="BW9" s="27" t="e">
        <f>SUMIFS(#REF!,Table4[Installation],$B9,#REF!,BW$1,#REF!,BW$2)</f>
        <v>#REF!</v>
      </c>
      <c r="BX9" s="21" t="e">
        <f>SUMIFS(#REF!,Table4[Installation],$B9,Table4[Projected 
Year],BW$1,#REF!,BW$2)</f>
        <v>#REF!</v>
      </c>
      <c r="BY9" s="24" t="e">
        <f t="shared" si="12"/>
        <v>#REF!</v>
      </c>
      <c r="BZ9" s="30" t="e">
        <f t="shared" si="4"/>
        <v>#REF!</v>
      </c>
      <c r="CA9" s="30" t="e">
        <f t="shared" si="5"/>
        <v>#REF!</v>
      </c>
      <c r="CB9" s="24" t="e">
        <f t="shared" si="6"/>
        <v>#REF!</v>
      </c>
      <c r="CC9" s="29">
        <v>339244</v>
      </c>
      <c r="CD9" s="19" t="e">
        <f>BZ9-CC9</f>
        <v>#REF!</v>
      </c>
    </row>
    <row r="10" spans="1:82">
      <c r="A10" s="18" t="s">
        <v>57</v>
      </c>
      <c r="B10" s="20" t="s">
        <v>235</v>
      </c>
      <c r="C10" s="27">
        <f>SUMIFS(Table4[Expected Revenue],Table4[Installation],$B10,Table4[Projected 
Year],C$1,Table4[Projected 
Month],C$2)</f>
        <v>0</v>
      </c>
      <c r="D10" s="23">
        <f>SUMPRODUCT(Table4[Probability]*Table4[Expected Revenue]*(Table4[Installation]=$B10)*(Table4[Projected 
Year]=C$1)*(Table4[Projected 
Month]=C$2))/MAX(1,SUMPRODUCT(Table4[Expected Revenue]*(Table4[Installation]=$B10)*(Table4[Projected 
Year]=C$1)*(Table4[Projected 
Month]=C$2)))</f>
        <v>0</v>
      </c>
      <c r="E10" s="24">
        <f>SUMPRODUCT(Table4[Expected Revenue]*Table4[Expected CMR]*(Table4[Projected 
Year]=C$1)*(Table4[Projected 
Month]=C$2)*(Table4[Installation]=$B10))/MAX(1,C10)</f>
        <v>0</v>
      </c>
      <c r="F10" s="27">
        <f>SUMIFS(Table4[Expected Revenue],Table4[Installation],$B10,Table4[Projected 
Year],F$1,Table4[Projected 
Month],F$2)</f>
        <v>0</v>
      </c>
      <c r="G10" s="23">
        <f>SUMPRODUCT(Table4[Probability]*Table4[Expected Revenue]*(Table4[Installation]=$B10)*(Table4[Projected 
Year]=F$1)*(Table4[Projected 
Month]=F$2))/MAX(1,SUMPRODUCT(Table4[Expected Revenue]*(Table4[Installation]=$B10)*(Table4[Projected 
Year]=F$1)*(Table4[Projected 
Month]=F$2)))</f>
        <v>0</v>
      </c>
      <c r="H10" s="24">
        <f>SUMPRODUCT(Table4[Expected Revenue]*Table4[Expected CMR]*(Table4[Projected 
Year]=F$1)*(Table4[Projected 
Month]=F$2)*(Table4[Installation]=$B10))/MAX(1,F10)</f>
        <v>0</v>
      </c>
      <c r="I10" s="27">
        <f>SUMIFS(Table4[Expected Revenue],Table4[Installation],$B10,Table4[Projected 
Year],I$1,Table4[Projected 
Month],I$2)</f>
        <v>0</v>
      </c>
      <c r="J10" s="23">
        <f>SUMPRODUCT(Table4[Probability]*Table4[Expected Revenue]*(Table4[Installation]=$B10)*(Table4[Projected 
Year]=I$1)*(Table4[Projected 
Month]=I$2))/MAX(1,SUMPRODUCT(Table4[Expected Revenue]*(Table4[Installation]=$B10)*(Table4[Projected 
Year]=I$1)*(Table4[Projected 
Month]=I$2)))</f>
        <v>0</v>
      </c>
      <c r="K10" s="24">
        <f>SUMPRODUCT(Table4[Expected Revenue]*Table4[Expected CMR]*(Table4[Projected 
Year]=I$1)*(Table4[Projected 
Month]=I$2)*(Table4[Installation]=$B10))/MAX(1,I10)</f>
        <v>0</v>
      </c>
      <c r="L10" s="27">
        <f>SUMIFS(Table4[Expected Revenue],Table4[Installation],$B10,Table4[Projected 
Year],L$1,Table4[Projected 
Month],L$2)</f>
        <v>0</v>
      </c>
      <c r="M10" s="23">
        <f>SUMPRODUCT(Table4[Probability]*Table4[Expected Revenue]*(Table4[Installation]=$B10)*(Table4[Projected 
Year]=L$1)*(Table4[Projected 
Month]=L$2))/MAX(1,SUMPRODUCT(Table4[Expected Revenue]*(Table4[Installation]=$B10)*(Table4[Projected 
Year]=L$1)*(Table4[Projected 
Month]=L$2)))</f>
        <v>0</v>
      </c>
      <c r="N10" s="24">
        <f>SUMPRODUCT(Table4[Expected Revenue]*Table4[Expected CMR]*(Table4[Projected 
Year]=L$1)*(Table4[Projected 
Month]=L$2)*(Table4[Installation]=$B10))/MAX(1,L10)</f>
        <v>0</v>
      </c>
      <c r="O10" s="27">
        <f>SUMIFS(Table4[Expected Revenue],Table4[Installation],$B10,Table4[Projected 
Year],O$1,Table4[Projected 
Month],O$2)</f>
        <v>0</v>
      </c>
      <c r="P10" s="23">
        <f>SUMPRODUCT(Table4[Probability]*Table4[Expected Revenue]*(Table4[Installation]=$B10)*(Table4[Projected 
Year]=O$1)*(Table4[Projected 
Month]=O$2))/MAX(1,SUMPRODUCT(Table4[Expected Revenue]*(Table4[Installation]=$B10)*(Table4[Projected 
Year]=O$1)*(Table4[Projected 
Month]=O$2)))</f>
        <v>0</v>
      </c>
      <c r="Q10" s="24">
        <f>SUMPRODUCT(Table4[Expected Revenue]*Table4[Expected CMR]*(Table4[Projected 
Year]=O$1)*(Table4[Projected 
Month]=O$2)*(Table4[Installation]=$B10))/MAX(1,O10)</f>
        <v>0</v>
      </c>
      <c r="R10" s="27">
        <f>SUMIFS(Table4[Expected Revenue],Table4[Installation],$B10,Table4[Projected 
Year],R$1,Table4[Projected 
Month],R$2)</f>
        <v>0</v>
      </c>
      <c r="S10" s="23">
        <f>SUMPRODUCT(Table4[Probability]*Table4[Expected Revenue]*(Table4[Installation]=$B10)*(Table4[Projected 
Year]=R$1)*(Table4[Projected 
Month]=R$2))/MAX(1,SUMPRODUCT(Table4[Expected Revenue]*(Table4[Installation]=$B10)*(Table4[Projected 
Year]=R$1)*(Table4[Projected 
Month]=R$2)))</f>
        <v>0</v>
      </c>
      <c r="T10" s="24">
        <f>SUMPRODUCT(Table4[Expected Revenue]*Table4[Expected CMR]*(Table4[Projected 
Year]=R$1)*(Table4[Projected 
Month]=R$2)*(Table4[Installation]=$B10))/MAX(1,R10)</f>
        <v>0</v>
      </c>
      <c r="U10" s="27">
        <f>SUMIFS(Table4[Expected Revenue],Table4[Installation],$B10,Table4[Projected 
Year],U$1,Table4[Projected 
Month],U$2)</f>
        <v>0</v>
      </c>
      <c r="V10" s="23">
        <f>SUMPRODUCT(Table4[Probability]*Table4[Expected Revenue]*(Table4[Installation]=$B10)*(Table4[Projected 
Year]=U$1)*(Table4[Projected 
Month]=U$2))/MAX(1,SUMPRODUCT(Table4[Expected Revenue]*(Table4[Installation]=$B10)*(Table4[Projected 
Year]=U$1)*(Table4[Projected 
Month]=U$2)))</f>
        <v>0</v>
      </c>
      <c r="W10" s="24">
        <f>SUMPRODUCT(Table4[Expected Revenue]*Table4[Expected CMR]*(Table4[Projected 
Year]=U$1)*(Table4[Projected 
Month]=U$2)*(Table4[Installation]=$B10))/MAX(1,U10)</f>
        <v>0</v>
      </c>
      <c r="X10" s="27">
        <f>SUMIFS(Table4[Expected Revenue],Table4[Installation],$B10,Table4[Projected 
Year],X$1,Table4[Projected 
Month],X$2)</f>
        <v>0</v>
      </c>
      <c r="Y10" s="23">
        <f>SUMPRODUCT(Table4[Probability]*Table4[Expected Revenue]*(Table4[Installation]=$B10)*(Table4[Projected 
Year]=X$1)*(Table4[Projected 
Month]=X$2))/MAX(1,SUMPRODUCT(Table4[Expected Revenue]*(Table4[Installation]=$B10)*(Table4[Projected 
Year]=X$1)*(Table4[Projected 
Month]=X$2)))</f>
        <v>0</v>
      </c>
      <c r="Z10" s="24">
        <f>SUMPRODUCT(Table4[Expected Revenue]*Table4[Expected CMR]*(Table4[Projected 
Year]=X$1)*(Table4[Projected 
Month]=X$2)*(Table4[Installation]=$B10))/MAX(1,X10)</f>
        <v>0</v>
      </c>
      <c r="AA10" s="27">
        <f>SUMIFS(Table4[Expected Revenue],Table4[Installation],$B10,Table4[Projected 
Year],AA$1,Table4[Projected 
Month],AA$2)</f>
        <v>0</v>
      </c>
      <c r="AB10" s="23">
        <f>SUMPRODUCT(Table4[Probability]*Table4[Expected Revenue]*(Table4[Installation]=$B10)*(Table4[Projected 
Year]=AA$1)*(Table4[Projected 
Month]=AA$2))/MAX(1,SUMPRODUCT(Table4[Expected Revenue]*(Table4[Installation]=$B10)*(Table4[Projected 
Year]=AA$1)*(Table4[Projected 
Month]=AA$2)))</f>
        <v>0</v>
      </c>
      <c r="AC10" s="24">
        <f>SUMPRODUCT(Table4[Expected Revenue]*Table4[Expected CMR]*(Table4[Projected 
Year]=AA$1)*(Table4[Projected 
Month]=AA$2)*(Table4[Installation]=$B10))/MAX(1,AA10)</f>
        <v>0</v>
      </c>
      <c r="AD10" s="27">
        <f>SUMIFS(Table4[Expected Revenue],Table4[Installation],$B10,Table4[Projected 
Year],AD$1,Table4[Projected 
Month],AD$2)</f>
        <v>0</v>
      </c>
      <c r="AE10" s="23">
        <f>SUMPRODUCT(Table4[Probability]*Table4[Expected Revenue]*(Table4[Installation]=$B10)*(Table4[Projected 
Year]=AD$1)*(Table4[Projected 
Month]=AD$2))/MAX(1,SUMPRODUCT(Table4[Expected Revenue]*(Table4[Installation]=$B10)*(Table4[Projected 
Year]=AD$1)*(Table4[Projected 
Month]=AD$2)))</f>
        <v>0</v>
      </c>
      <c r="AF10" s="24">
        <f>SUMPRODUCT(Table4[Expected Revenue]*Table4[Expected CMR]*(Table4[Projected 
Year]=AD$1)*(Table4[Projected 
Month]=AD$2)*(Table4[Installation]=$B10))/MAX(1,AD10)</f>
        <v>0</v>
      </c>
      <c r="AG10" s="27">
        <f>SUMIFS(Table4[Expected Revenue],Table4[Installation],$B10,Table4[Projected 
Year],AG$1,Table4[Projected 
Month],AG$2)</f>
        <v>0</v>
      </c>
      <c r="AH10" s="23">
        <f>SUMPRODUCT(Table4[Probability]*Table4[Expected Revenue]*(Table4[Installation]=$B10)*(Table4[Projected 
Year]=AG$1)*(Table4[Projected 
Month]=AG$2))/MAX(1,SUMPRODUCT(Table4[Expected Revenue]*(Table4[Installation]=$B10)*(Table4[Projected 
Year]=AG$1)*(Table4[Projected 
Month]=AG$2)))</f>
        <v>0</v>
      </c>
      <c r="AI10" s="24">
        <f>SUMPRODUCT(Table4[Expected Revenue]*Table4[Expected CMR]*(Table4[Projected 
Year]=AG$1)*(Table4[Projected 
Month]=AG$2)*(Table4[Installation]=$B10))/MAX(1,AG10)</f>
        <v>0</v>
      </c>
      <c r="AJ10" s="27">
        <f>SUMIFS(Table4[Expected Revenue],Table4[Installation],$B10,Table4[Projected 
Year],AJ$1,Table4[Projected 
Month],AJ$2)</f>
        <v>0</v>
      </c>
      <c r="AK10" s="23">
        <f>SUMPRODUCT(Table4[Probability]*Table4[Expected Revenue]*(Table4[Installation]=$B10)*(Table4[Projected 
Year]=AJ$1)*(Table4[Projected 
Month]=AJ$2))/MAX(1,SUMPRODUCT(Table4[Expected Revenue]*(Table4[Installation]=$B10)*(Table4[Projected 
Year]=AJ$1)*(Table4[Projected 
Month]=AJ$2)))</f>
        <v>0</v>
      </c>
      <c r="AL10" s="24">
        <f>SUMPRODUCT(Table4[Expected Revenue]*Table4[Expected CMR]*(Table4[Projected 
Year]=AJ$1)*(Table4[Projected 
Month]=AJ$2)*(Table4[Installation]=$B10))/MAX(1,AJ10)</f>
        <v>0</v>
      </c>
      <c r="AM10" s="30">
        <f t="shared" si="0"/>
        <v>0</v>
      </c>
      <c r="AN10" s="52">
        <f t="shared" si="1"/>
        <v>0</v>
      </c>
      <c r="AO10" s="52">
        <f t="shared" si="1"/>
        <v>0</v>
      </c>
      <c r="AP10" s="27" t="e">
        <f>SUMIFS(#REF!,Table4[Installation],$B10,#REF!,AP$1,#REF!,AP$2)</f>
        <v>#REF!</v>
      </c>
      <c r="AQ10" s="21" t="e">
        <f>SUMIFS(#REF!,Table4[Installation],$B10,Table4[Projected 
Year],AP$1,#REF!,AP$2)</f>
        <v>#REF!</v>
      </c>
      <c r="AR10" s="24" t="e">
        <f t="shared" si="7"/>
        <v>#REF!</v>
      </c>
      <c r="AS10" s="27" t="e">
        <f>SUMIFS(#REF!,Table4[Installation],$B10,#REF!,AS$1,#REF!,AS$2)</f>
        <v>#REF!</v>
      </c>
      <c r="AT10" s="21" t="e">
        <f>SUMIFS(#REF!,Table4[Installation],$B10,Table4[Projected 
Year],AS$1,#REF!,AS$2)</f>
        <v>#REF!</v>
      </c>
      <c r="AU10" s="24" t="e">
        <f t="shared" si="8"/>
        <v>#REF!</v>
      </c>
      <c r="AV10" s="27" t="e">
        <f>SUMIFS(#REF!,Table4[Installation],$B10,#REF!,AV$1,#REF!,AV$2)</f>
        <v>#REF!</v>
      </c>
      <c r="AW10" s="21" t="e">
        <f>SUMIFS(#REF!,Table4[Installation],$B10,Table4[Projected 
Year],AV$1,#REF!,AV$2)</f>
        <v>#REF!</v>
      </c>
      <c r="AX10" s="24" t="e">
        <f t="shared" si="9"/>
        <v>#REF!</v>
      </c>
      <c r="AY10" s="27" t="e">
        <f>SUMIFS(#REF!,Table4[Installation],$B10,#REF!,AY$1,#REF!,AY$2)</f>
        <v>#REF!</v>
      </c>
      <c r="AZ10" s="21" t="e">
        <f>SUMIFS(#REF!,Table4[Installation],$B10,Table4[Projected 
Year],AY$1,#REF!,AY$2)</f>
        <v>#REF!</v>
      </c>
      <c r="BA10" s="24" t="e">
        <f t="shared" si="10"/>
        <v>#REF!</v>
      </c>
      <c r="BB10" s="27" t="e">
        <f>SUMIFS(#REF!,Table4[Installation],$B10,#REF!,BB$1,#REF!,BB$2)</f>
        <v>#REF!</v>
      </c>
      <c r="BC10" s="21" t="e">
        <f>SUMIFS(#REF!,Table4[Installation],$B10,Table4[Projected 
Year],BB$1,#REF!,BB$2)</f>
        <v>#REF!</v>
      </c>
      <c r="BD10" s="24" t="e">
        <f t="shared" si="11"/>
        <v>#REF!</v>
      </c>
      <c r="BE10" s="27" t="e">
        <f>SUMIFS(#REF!,Table4[Installation],$B10,#REF!,BE$1,#REF!,BE$2)</f>
        <v>#REF!</v>
      </c>
      <c r="BF10" s="21" t="e">
        <f>SUMIFS(#REF!,Table4[Installation],$B10,Table4[Projected 
Year],BE$1,#REF!,BE$2)</f>
        <v>#REF!</v>
      </c>
      <c r="BG10" s="24" t="e">
        <f t="shared" si="2"/>
        <v>#REF!</v>
      </c>
      <c r="BH10" s="27" t="e">
        <f>SUMIFS(#REF!,Table4[Installation],$B10,#REF!,BH$1,#REF!,BH$2)</f>
        <v>#REF!</v>
      </c>
      <c r="BI10" s="21" t="e">
        <f>SUMIFS(#REF!,Table4[Installation],$B10,Table4[Projected 
Year],BH$1,#REF!,BH$2)</f>
        <v>#REF!</v>
      </c>
      <c r="BJ10" s="24" t="e">
        <f t="shared" si="3"/>
        <v>#REF!</v>
      </c>
      <c r="BK10" s="27" t="e">
        <f>SUMIFS(#REF!,Table4[Installation],$B10,#REF!,BK$1,#REF!,BK$2)</f>
        <v>#REF!</v>
      </c>
      <c r="BL10" s="21" t="e">
        <f>SUMIFS(#REF!,Table4[Installation],$B10,Table4[Projected 
Year],BK$1,#REF!,BK$2)</f>
        <v>#REF!</v>
      </c>
      <c r="BM10" s="24" t="e">
        <f t="shared" ref="BM10:BM33" si="13">IF(BK10=0,IF(BL10=0,"-",0),1-(BL10/BK10))</f>
        <v>#REF!</v>
      </c>
      <c r="BN10" s="27" t="e">
        <f>SUMIFS(#REF!,Table4[Installation],$B10,#REF!,BN$1,#REF!,BN$2)</f>
        <v>#REF!</v>
      </c>
      <c r="BO10" s="21" t="e">
        <f>SUMIFS(#REF!,Table4[Installation],$B10,Table4[Projected 
Year],BN$1,#REF!,BN$2)</f>
        <v>#REF!</v>
      </c>
      <c r="BP10" s="24" t="e">
        <f t="shared" ref="BP10:BP31" si="14">IF(BN10=0,IF(BO10=0,"-",0),1-(BO10/BN10))</f>
        <v>#REF!</v>
      </c>
      <c r="BQ10" s="27" t="e">
        <f>SUMIFS(#REF!,Table4[Installation],$B10,#REF!,BQ$1,#REF!,BQ$2)</f>
        <v>#REF!</v>
      </c>
      <c r="BR10" s="21" t="e">
        <f>SUMIFS(#REF!,Table4[Installation],$B10,Table4[Projected 
Year],BQ$1,#REF!,BQ$2)</f>
        <v>#REF!</v>
      </c>
      <c r="BS10" s="24" t="e">
        <f t="shared" ref="BS10:BS34" si="15">IF(BQ10=0,IF(BR10=0,"-",0),1-(BR10/BQ10))</f>
        <v>#REF!</v>
      </c>
      <c r="BT10" s="27" t="e">
        <f>SUMIFS(#REF!,Table4[Installation],$B10,#REF!,BT$1,#REF!,BT$2)</f>
        <v>#REF!</v>
      </c>
      <c r="BU10" s="21" t="e">
        <f>SUMIFS(#REF!,Table4[Installation],$B10,Table4[Projected 
Year],BT$1,#REF!,BT$2)</f>
        <v>#REF!</v>
      </c>
      <c r="BV10" s="24" t="e">
        <f t="shared" ref="BV10:BV33" si="16">IF(BT10=0,IF(BU10=0,"-",0),1-(BU10/BT10))</f>
        <v>#REF!</v>
      </c>
      <c r="BW10" s="27" t="e">
        <f>SUMIFS(#REF!,Table4[Installation],$B10,#REF!,BW$1,#REF!,BW$2)</f>
        <v>#REF!</v>
      </c>
      <c r="BX10" s="21" t="e">
        <f>SUMIFS(#REF!,Table4[Installation],$B10,Table4[Projected 
Year],BW$1,#REF!,BW$2)</f>
        <v>#REF!</v>
      </c>
      <c r="BY10" s="24" t="e">
        <f t="shared" si="12"/>
        <v>#REF!</v>
      </c>
      <c r="BZ10" s="30" t="e">
        <f t="shared" si="4"/>
        <v>#REF!</v>
      </c>
      <c r="CA10" s="30" t="e">
        <f t="shared" si="5"/>
        <v>#REF!</v>
      </c>
      <c r="CB10" s="24" t="e">
        <f t="shared" si="6"/>
        <v>#REF!</v>
      </c>
      <c r="CC10" s="29"/>
    </row>
    <row r="11" spans="1:82">
      <c r="A11" s="18"/>
      <c r="B11" s="20"/>
      <c r="C11" s="27"/>
      <c r="D11" s="23"/>
      <c r="E11" s="24"/>
      <c r="F11" s="27"/>
      <c r="G11" s="23"/>
      <c r="H11" s="24"/>
      <c r="I11" s="27"/>
      <c r="J11" s="23"/>
      <c r="K11" s="24"/>
      <c r="L11" s="27"/>
      <c r="M11" s="23"/>
      <c r="N11" s="24"/>
      <c r="O11" s="27"/>
      <c r="P11" s="23"/>
      <c r="Q11" s="24"/>
      <c r="R11" s="27"/>
      <c r="S11" s="23"/>
      <c r="T11" s="24"/>
      <c r="U11" s="27"/>
      <c r="V11" s="23"/>
      <c r="W11" s="24"/>
      <c r="X11" s="27"/>
      <c r="Y11" s="23"/>
      <c r="Z11" s="24"/>
      <c r="AA11" s="27"/>
      <c r="AB11" s="23"/>
      <c r="AC11" s="24"/>
      <c r="AD11" s="27"/>
      <c r="AE11" s="23"/>
      <c r="AF11" s="24"/>
      <c r="AG11" s="27"/>
      <c r="AH11" s="23"/>
      <c r="AI11" s="24"/>
      <c r="AJ11" s="27"/>
      <c r="AK11" s="23"/>
      <c r="AL11" s="24"/>
      <c r="AM11" s="30"/>
      <c r="AN11" s="52"/>
      <c r="AO11" s="52"/>
      <c r="AP11" s="27" t="e">
        <f>SUMIFS(#REF!,Table4[Installation],$B11,#REF!,AP$1,#REF!,AP$2)</f>
        <v>#REF!</v>
      </c>
      <c r="AQ11" s="21" t="e">
        <f>SUMIFS(#REF!,Table4[Installation],$B11,Table4[Projected 
Year],AP$1,#REF!,AP$2)</f>
        <v>#REF!</v>
      </c>
      <c r="AR11" s="24" t="e">
        <f t="shared" si="7"/>
        <v>#REF!</v>
      </c>
      <c r="AS11" s="27" t="e">
        <f>SUMIFS(#REF!,Table4[Installation],$B11,#REF!,AS$1,#REF!,AS$2)</f>
        <v>#REF!</v>
      </c>
      <c r="AT11" s="21" t="e">
        <f>SUMIFS(#REF!,Table4[Installation],$B11,Table4[Projected 
Year],AS$1,#REF!,AS$2)</f>
        <v>#REF!</v>
      </c>
      <c r="AU11" s="24" t="e">
        <f t="shared" si="8"/>
        <v>#REF!</v>
      </c>
      <c r="AV11" s="27" t="e">
        <f>SUMIFS(#REF!,Table4[Installation],$B11,#REF!,AV$1,#REF!,AV$2)</f>
        <v>#REF!</v>
      </c>
      <c r="AW11" s="21" t="e">
        <f>SUMIFS(#REF!,Table4[Installation],$B11,Table4[Projected 
Year],AV$1,#REF!,AV$2)</f>
        <v>#REF!</v>
      </c>
      <c r="AX11" s="24" t="e">
        <f t="shared" si="9"/>
        <v>#REF!</v>
      </c>
      <c r="AY11" s="27" t="e">
        <f>SUMIFS(#REF!,Table4[Installation],$B11,#REF!,AY$1,#REF!,AY$2)</f>
        <v>#REF!</v>
      </c>
      <c r="AZ11" s="21" t="e">
        <f>SUMIFS(#REF!,Table4[Installation],$B11,Table4[Projected 
Year],AY$1,#REF!,AY$2)</f>
        <v>#REF!</v>
      </c>
      <c r="BA11" s="24" t="e">
        <f t="shared" si="10"/>
        <v>#REF!</v>
      </c>
      <c r="BB11" s="27" t="e">
        <f>SUMIFS(#REF!,Table4[Installation],$B11,#REF!,BB$1,#REF!,BB$2)</f>
        <v>#REF!</v>
      </c>
      <c r="BC11" s="21" t="e">
        <f>SUMIFS(#REF!,Table4[Installation],$B11,Table4[Projected 
Year],BB$1,#REF!,BB$2)</f>
        <v>#REF!</v>
      </c>
      <c r="BD11" s="24" t="e">
        <f t="shared" si="11"/>
        <v>#REF!</v>
      </c>
      <c r="BE11" s="27" t="e">
        <f>SUMIFS(#REF!,Table4[Installation],$B11,#REF!,BE$1,#REF!,BE$2)</f>
        <v>#REF!</v>
      </c>
      <c r="BF11" s="21"/>
      <c r="BG11" s="24"/>
      <c r="BH11" s="27" t="e">
        <f>SUMIFS(#REF!,Table4[Installation],$B11,#REF!,BH$1,#REF!,BH$2)</f>
        <v>#REF!</v>
      </c>
      <c r="BI11" s="21" t="e">
        <f>SUMIFS(#REF!,Table4[Installation],$B11,Table4[Projected 
Year],BH$1,#REF!,BH$2)</f>
        <v>#REF!</v>
      </c>
      <c r="BJ11" s="24" t="e">
        <f t="shared" si="3"/>
        <v>#REF!</v>
      </c>
      <c r="BK11" s="27" t="e">
        <f>SUMIFS(#REF!,Table4[Installation],$B11,#REF!,BK$1,#REF!,BK$2)</f>
        <v>#REF!</v>
      </c>
      <c r="BL11" s="21" t="e">
        <f>SUMIFS(#REF!,Table4[Installation],$B11,Table4[Projected 
Year],BK$1,#REF!,BK$2)</f>
        <v>#REF!</v>
      </c>
      <c r="BM11" s="24" t="e">
        <f t="shared" si="13"/>
        <v>#REF!</v>
      </c>
      <c r="BN11" s="27" t="e">
        <f>SUMIFS(#REF!,Table4[Installation],$B11,#REF!,BN$1,#REF!,BN$2)</f>
        <v>#REF!</v>
      </c>
      <c r="BO11" s="21" t="e">
        <f>SUMIFS(#REF!,Table4[Installation],$B11,Table4[Projected 
Year],BN$1,#REF!,BN$2)</f>
        <v>#REF!</v>
      </c>
      <c r="BP11" s="24" t="e">
        <f t="shared" si="14"/>
        <v>#REF!</v>
      </c>
      <c r="BQ11" s="27" t="e">
        <f>SUMIFS(#REF!,Table4[Installation],$B11,#REF!,BQ$1,#REF!,BQ$2)</f>
        <v>#REF!</v>
      </c>
      <c r="BR11" s="21" t="e">
        <f>SUMIFS(#REF!,Table4[Installation],$B11,Table4[Projected 
Year],BQ$1,#REF!,BQ$2)</f>
        <v>#REF!</v>
      </c>
      <c r="BS11" s="24" t="e">
        <f t="shared" si="15"/>
        <v>#REF!</v>
      </c>
      <c r="BT11" s="27" t="e">
        <f>SUMIFS(#REF!,Table4[Installation],$B11,#REF!,BT$1,#REF!,BT$2)</f>
        <v>#REF!</v>
      </c>
      <c r="BU11" s="21" t="e">
        <f>SUMIFS(#REF!,Table4[Installation],$B11,Table4[Projected 
Year],BT$1,#REF!,BT$2)</f>
        <v>#REF!</v>
      </c>
      <c r="BV11" s="24" t="e">
        <f t="shared" si="16"/>
        <v>#REF!</v>
      </c>
      <c r="BW11" s="27" t="e">
        <f>SUMIFS(#REF!,Table4[Installation],$B11,#REF!,BW$1,#REF!,BW$2)</f>
        <v>#REF!</v>
      </c>
      <c r="BX11" s="21" t="e">
        <f>SUMIFS(#REF!,Table4[Installation],$B11,Table4[Projected 
Year],BW$1,#REF!,BW$2)</f>
        <v>#REF!</v>
      </c>
      <c r="BY11" s="24" t="e">
        <f t="shared" si="12"/>
        <v>#REF!</v>
      </c>
      <c r="BZ11" s="30" t="e">
        <f t="shared" si="4"/>
        <v>#REF!</v>
      </c>
      <c r="CA11" s="30" t="e">
        <f t="shared" si="5"/>
        <v>#REF!</v>
      </c>
      <c r="CB11" s="24" t="e">
        <f t="shared" si="6"/>
        <v>#REF!</v>
      </c>
      <c r="CC11" s="29"/>
      <c r="CD11" s="19"/>
    </row>
    <row r="12" spans="1:82">
      <c r="A12" s="151" t="s">
        <v>161</v>
      </c>
      <c r="B12" s="20"/>
      <c r="C12" s="27"/>
      <c r="D12" s="23"/>
      <c r="E12" s="24"/>
      <c r="F12" s="27"/>
      <c r="G12" s="23"/>
      <c r="H12" s="24"/>
      <c r="I12" s="27"/>
      <c r="J12" s="23"/>
      <c r="K12" s="24"/>
      <c r="L12" s="27"/>
      <c r="M12" s="23"/>
      <c r="N12" s="24"/>
      <c r="O12" s="27"/>
      <c r="P12" s="23"/>
      <c r="Q12" s="24"/>
      <c r="R12" s="27"/>
      <c r="S12" s="23"/>
      <c r="T12" s="24"/>
      <c r="U12" s="27"/>
      <c r="V12" s="23"/>
      <c r="W12" s="24"/>
      <c r="X12" s="27"/>
      <c r="Y12" s="23"/>
      <c r="Z12" s="24"/>
      <c r="AA12" s="27"/>
      <c r="AB12" s="23"/>
      <c r="AC12" s="24"/>
      <c r="AD12" s="27"/>
      <c r="AE12" s="23"/>
      <c r="AF12" s="24"/>
      <c r="AG12" s="27"/>
      <c r="AH12" s="23"/>
      <c r="AI12" s="24"/>
      <c r="AJ12" s="27"/>
      <c r="AK12" s="23"/>
      <c r="AL12" s="24"/>
      <c r="AM12" s="30"/>
      <c r="AN12" s="52"/>
      <c r="AO12" s="52"/>
      <c r="AP12" s="27" t="e">
        <f>SUMIFS(#REF!,Table4[Installation],$B12,#REF!,AP$1,#REF!,AP$2)</f>
        <v>#REF!</v>
      </c>
      <c r="AQ12" s="21" t="e">
        <f>SUMIFS(#REF!,Table4[Installation],$B12,Table4[Projected 
Year],AP$1,#REF!,AP$2)</f>
        <v>#REF!</v>
      </c>
      <c r="AR12" s="24" t="e">
        <f t="shared" si="7"/>
        <v>#REF!</v>
      </c>
      <c r="AS12" s="27" t="e">
        <f>SUMIFS(#REF!,Table4[Installation],$B12,#REF!,AS$1,#REF!,AS$2)</f>
        <v>#REF!</v>
      </c>
      <c r="AT12" s="21" t="e">
        <f>SUMIFS(#REF!,Table4[Installation],$B12,Table4[Projected 
Year],AS$1,#REF!,AS$2)</f>
        <v>#REF!</v>
      </c>
      <c r="AU12" s="24" t="e">
        <f t="shared" si="8"/>
        <v>#REF!</v>
      </c>
      <c r="AV12" s="27" t="e">
        <f>SUMIFS(#REF!,Table4[Installation],$B12,#REF!,AV$1,#REF!,AV$2)</f>
        <v>#REF!</v>
      </c>
      <c r="AW12" s="21" t="e">
        <f>SUMIFS(#REF!,Table4[Installation],$B12,Table4[Projected 
Year],AV$1,#REF!,AV$2)</f>
        <v>#REF!</v>
      </c>
      <c r="AX12" s="24" t="e">
        <f t="shared" si="9"/>
        <v>#REF!</v>
      </c>
      <c r="AY12" s="27" t="e">
        <f>SUMIFS(#REF!,Table4[Installation],$B12,#REF!,AY$1,#REF!,AY$2)</f>
        <v>#REF!</v>
      </c>
      <c r="AZ12" s="21" t="e">
        <f>SUMIFS(#REF!,Table4[Installation],$B12,Table4[Projected 
Year],AY$1,#REF!,AY$2)</f>
        <v>#REF!</v>
      </c>
      <c r="BA12" s="24" t="e">
        <f t="shared" si="10"/>
        <v>#REF!</v>
      </c>
      <c r="BB12" s="27" t="e">
        <f>SUMIFS(#REF!,Table4[Installation],$B12,#REF!,BB$1,#REF!,BB$2)</f>
        <v>#REF!</v>
      </c>
      <c r="BC12" s="21" t="e">
        <f>SUMIFS(#REF!,Table4[Installation],$B12,Table4[Projected 
Year],BB$1,#REF!,BB$2)</f>
        <v>#REF!</v>
      </c>
      <c r="BD12" s="24" t="e">
        <f t="shared" si="11"/>
        <v>#REF!</v>
      </c>
      <c r="BE12" s="27" t="e">
        <f>SUMIFS(#REF!,Table4[Installation],$B12,#REF!,BE$1,#REF!,BE$2)</f>
        <v>#REF!</v>
      </c>
      <c r="BF12" s="21"/>
      <c r="BG12" s="24"/>
      <c r="BH12" s="27" t="e">
        <f>SUMIFS(#REF!,Table4[Installation],$B12,#REF!,BH$1,#REF!,BH$2)</f>
        <v>#REF!</v>
      </c>
      <c r="BI12" s="21" t="e">
        <f>SUMIFS(#REF!,Table4[Installation],$B12,Table4[Projected 
Year],BH$1,#REF!,BH$2)</f>
        <v>#REF!</v>
      </c>
      <c r="BJ12" s="24" t="e">
        <f t="shared" si="3"/>
        <v>#REF!</v>
      </c>
      <c r="BK12" s="27" t="e">
        <f>SUMIFS(#REF!,Table4[Installation],$B12,#REF!,BK$1,#REF!,BK$2)</f>
        <v>#REF!</v>
      </c>
      <c r="BL12" s="21" t="e">
        <f>SUMIFS(#REF!,Table4[Installation],$B12,Table4[Projected 
Year],BK$1,#REF!,BK$2)</f>
        <v>#REF!</v>
      </c>
      <c r="BM12" s="24" t="e">
        <f t="shared" si="13"/>
        <v>#REF!</v>
      </c>
      <c r="BN12" s="27" t="e">
        <f>SUMIFS(#REF!,Table4[Installation],$B12,#REF!,BN$1,#REF!,BN$2)</f>
        <v>#REF!</v>
      </c>
      <c r="BO12" s="21" t="e">
        <f>SUMIFS(#REF!,Table4[Installation],$B12,Table4[Projected 
Year],BN$1,#REF!,BN$2)</f>
        <v>#REF!</v>
      </c>
      <c r="BP12" s="24" t="e">
        <f t="shared" si="14"/>
        <v>#REF!</v>
      </c>
      <c r="BQ12" s="27" t="e">
        <f>SUMIFS(#REF!,Table4[Installation],$B12,#REF!,BQ$1,#REF!,BQ$2)</f>
        <v>#REF!</v>
      </c>
      <c r="BR12" s="21" t="e">
        <f>SUMIFS(#REF!,Table4[Installation],$B12,Table4[Projected 
Year],BQ$1,#REF!,BQ$2)</f>
        <v>#REF!</v>
      </c>
      <c r="BS12" s="24" t="e">
        <f t="shared" si="15"/>
        <v>#REF!</v>
      </c>
      <c r="BT12" s="27" t="e">
        <f>SUMIFS(#REF!,Table4[Installation],$B12,#REF!,BT$1,#REF!,BT$2)</f>
        <v>#REF!</v>
      </c>
      <c r="BU12" s="21" t="e">
        <f>SUMIFS(#REF!,Table4[Installation],$B12,Table4[Projected 
Year],BT$1,#REF!,BT$2)</f>
        <v>#REF!</v>
      </c>
      <c r="BV12" s="24" t="e">
        <f t="shared" si="16"/>
        <v>#REF!</v>
      </c>
      <c r="BW12" s="27" t="e">
        <f>SUMIFS(#REF!,Table4[Installation],$B12,#REF!,BW$1,#REF!,BW$2)</f>
        <v>#REF!</v>
      </c>
      <c r="BX12" s="21" t="e">
        <f>SUMIFS(#REF!,Table4[Installation],$B12,Table4[Projected 
Year],BW$1,#REF!,BW$2)</f>
        <v>#REF!</v>
      </c>
      <c r="BY12" s="24" t="e">
        <f t="shared" si="12"/>
        <v>#REF!</v>
      </c>
      <c r="BZ12" s="30" t="e">
        <f t="shared" si="4"/>
        <v>#REF!</v>
      </c>
      <c r="CA12" s="30" t="e">
        <f t="shared" si="5"/>
        <v>#REF!</v>
      </c>
      <c r="CB12" s="24" t="e">
        <f t="shared" si="6"/>
        <v>#REF!</v>
      </c>
      <c r="CC12" s="29"/>
      <c r="CD12" s="19"/>
    </row>
    <row r="13" spans="1:82">
      <c r="A13" s="18" t="s">
        <v>157</v>
      </c>
      <c r="B13" s="20" t="s">
        <v>156</v>
      </c>
      <c r="C13" s="27">
        <f>SUMIFS(Table4[Expected Revenue],Table4[Installation],$B13,Table4[Projected 
Year],C$1,Table4[Projected 
Month],C$2)</f>
        <v>0</v>
      </c>
      <c r="D13" s="23">
        <f>SUMPRODUCT(Table4[Probability]*Table4[Expected Revenue]*(Table4[Installation]=$B13)*(Table4[Projected 
Year]=C$1)*(Table4[Projected 
Month]=C$2))/MAX(1,SUMPRODUCT(Table4[Expected Revenue]*(Table4[Installation]=$B13)*(Table4[Projected 
Year]=C$1)*(Table4[Projected 
Month]=C$2)))</f>
        <v>0</v>
      </c>
      <c r="E13" s="24">
        <f>SUMPRODUCT(Table4[Expected Revenue]*Table4[Expected CMR]*(Table4[Projected 
Year]=C$1)*(Table4[Projected 
Month]=C$2)*(Table4[Installation]=$B13))/MAX(1,C13)</f>
        <v>0</v>
      </c>
      <c r="F13" s="27">
        <f>SUMIFS(Table4[Expected Revenue],Table4[Installation],$B13,Table4[Projected 
Year],F$1,Table4[Projected 
Month],F$2)</f>
        <v>0</v>
      </c>
      <c r="G13" s="23">
        <f>SUMPRODUCT(Table4[Probability]*Table4[Expected Revenue]*(Table4[Installation]=$B13)*(Table4[Projected 
Year]=F$1)*(Table4[Projected 
Month]=F$2))/MAX(1,SUMPRODUCT(Table4[Expected Revenue]*(Table4[Installation]=$B13)*(Table4[Projected 
Year]=F$1)*(Table4[Projected 
Month]=F$2)))</f>
        <v>0</v>
      </c>
      <c r="H13" s="24">
        <f>SUMPRODUCT(Table4[Expected Revenue]*Table4[Expected CMR]*(Table4[Projected 
Year]=F$1)*(Table4[Projected 
Month]=F$2)*(Table4[Installation]=$B13))/MAX(1,F13)</f>
        <v>0</v>
      </c>
      <c r="I13" s="27">
        <f>SUMIFS(Table4[Expected Revenue],Table4[Installation],$B13,Table4[Projected 
Year],I$1,Table4[Projected 
Month],I$2)</f>
        <v>0</v>
      </c>
      <c r="J13" s="23">
        <f>SUMPRODUCT(Table4[Probability]*Table4[Expected Revenue]*(Table4[Installation]=$B13)*(Table4[Projected 
Year]=I$1)*(Table4[Projected 
Month]=I$2))/MAX(1,SUMPRODUCT(Table4[Expected Revenue]*(Table4[Installation]=$B13)*(Table4[Projected 
Year]=I$1)*(Table4[Projected 
Month]=I$2)))</f>
        <v>0</v>
      </c>
      <c r="K13" s="24">
        <f>SUMPRODUCT(Table4[Expected Revenue]*Table4[Expected CMR]*(Table4[Projected 
Year]=I$1)*(Table4[Projected 
Month]=I$2)*(Table4[Installation]=$B13))/MAX(1,I13)</f>
        <v>0</v>
      </c>
      <c r="L13" s="27">
        <f>SUMIFS(Table4[Expected Revenue],Table4[Installation],$B13,Table4[Projected 
Year],L$1,Table4[Projected 
Month],L$2)</f>
        <v>0</v>
      </c>
      <c r="M13" s="23">
        <f>SUMPRODUCT(Table4[Probability]*Table4[Expected Revenue]*(Table4[Installation]=$B13)*(Table4[Projected 
Year]=L$1)*(Table4[Projected 
Month]=L$2))/MAX(1,SUMPRODUCT(Table4[Expected Revenue]*(Table4[Installation]=$B13)*(Table4[Projected 
Year]=L$1)*(Table4[Projected 
Month]=L$2)))</f>
        <v>0</v>
      </c>
      <c r="N13" s="24">
        <f>SUMPRODUCT(Table4[Expected Revenue]*Table4[Expected CMR]*(Table4[Projected 
Year]=L$1)*(Table4[Projected 
Month]=L$2)*(Table4[Installation]=$B13))/MAX(1,L13)</f>
        <v>0</v>
      </c>
      <c r="O13" s="27">
        <f>SUMIFS(Table4[Expected Revenue],Table4[Installation],$B13,Table4[Projected 
Year],O$1,Table4[Projected 
Month],O$2)</f>
        <v>0</v>
      </c>
      <c r="P13" s="23">
        <f>SUMPRODUCT(Table4[Probability]*Table4[Expected Revenue]*(Table4[Installation]=$B13)*(Table4[Projected 
Year]=O$1)*(Table4[Projected 
Month]=O$2))/MAX(1,SUMPRODUCT(Table4[Expected Revenue]*(Table4[Installation]=$B13)*(Table4[Projected 
Year]=O$1)*(Table4[Projected 
Month]=O$2)))</f>
        <v>0</v>
      </c>
      <c r="Q13" s="24">
        <f>SUMPRODUCT(Table4[Expected Revenue]*Table4[Expected CMR]*(Table4[Projected 
Year]=O$1)*(Table4[Projected 
Month]=O$2)*(Table4[Installation]=$B13))/MAX(1,O13)</f>
        <v>0</v>
      </c>
      <c r="R13" s="27">
        <f>SUMIFS(Table4[Expected Revenue],Table4[Installation],$B13,Table4[Projected 
Year],R$1,Table4[Projected 
Month],R$2)</f>
        <v>0</v>
      </c>
      <c r="S13" s="23">
        <f>SUMPRODUCT(Table4[Probability]*Table4[Expected Revenue]*(Table4[Installation]=$B13)*(Table4[Projected 
Year]=R$1)*(Table4[Projected 
Month]=R$2))/MAX(1,SUMPRODUCT(Table4[Expected Revenue]*(Table4[Installation]=$B13)*(Table4[Projected 
Year]=R$1)*(Table4[Projected 
Month]=R$2)))</f>
        <v>0</v>
      </c>
      <c r="T13" s="24">
        <f>SUMPRODUCT(Table4[Expected Revenue]*Table4[Expected CMR]*(Table4[Projected 
Year]=R$1)*(Table4[Projected 
Month]=R$2)*(Table4[Installation]=$B13))/MAX(1,R13)</f>
        <v>0</v>
      </c>
      <c r="U13" s="27">
        <f>SUMIFS(Table4[Expected Revenue],Table4[Installation],$B13,Table4[Projected 
Year],U$1,Table4[Projected 
Month],U$2)</f>
        <v>0</v>
      </c>
      <c r="V13" s="23">
        <f>SUMPRODUCT(Table4[Probability]*Table4[Expected Revenue]*(Table4[Installation]=$B13)*(Table4[Projected 
Year]=U$1)*(Table4[Projected 
Month]=U$2))/MAX(1,SUMPRODUCT(Table4[Expected Revenue]*(Table4[Installation]=$B13)*(Table4[Projected 
Year]=U$1)*(Table4[Projected 
Month]=U$2)))</f>
        <v>0</v>
      </c>
      <c r="W13" s="24">
        <f>SUMPRODUCT(Table4[Expected Revenue]*Table4[Expected CMR]*(Table4[Projected 
Year]=U$1)*(Table4[Projected 
Month]=U$2)*(Table4[Installation]=$B13))/MAX(1,U13)</f>
        <v>0</v>
      </c>
      <c r="X13" s="27">
        <f>SUMIFS(Table4[Expected Revenue],Table4[Installation],$B13,Table4[Projected 
Year],X$1,Table4[Projected 
Month],X$2)</f>
        <v>0</v>
      </c>
      <c r="Y13" s="23">
        <f>SUMPRODUCT(Table4[Probability]*Table4[Expected Revenue]*(Table4[Installation]=$B13)*(Table4[Projected 
Year]=X$1)*(Table4[Projected 
Month]=X$2))/MAX(1,SUMPRODUCT(Table4[Expected Revenue]*(Table4[Installation]=$B13)*(Table4[Projected 
Year]=X$1)*(Table4[Projected 
Month]=X$2)))</f>
        <v>0</v>
      </c>
      <c r="Z13" s="24">
        <f>SUMPRODUCT(Table4[Expected Revenue]*Table4[Expected CMR]*(Table4[Projected 
Year]=X$1)*(Table4[Projected 
Month]=X$2)*(Table4[Installation]=$B13))/MAX(1,X13)</f>
        <v>0</v>
      </c>
      <c r="AA13" s="27">
        <f>SUMIFS(Table4[Expected Revenue],Table4[Installation],$B13,Table4[Projected 
Year],AA$1,Table4[Projected 
Month],AA$2)</f>
        <v>0</v>
      </c>
      <c r="AB13" s="23">
        <f>SUMPRODUCT(Table4[Probability]*Table4[Expected Revenue]*(Table4[Installation]=$B13)*(Table4[Projected 
Year]=AA$1)*(Table4[Projected 
Month]=AA$2))/MAX(1,SUMPRODUCT(Table4[Expected Revenue]*(Table4[Installation]=$B13)*(Table4[Projected 
Year]=AA$1)*(Table4[Projected 
Month]=AA$2)))</f>
        <v>0</v>
      </c>
      <c r="AC13" s="24">
        <f>SUMPRODUCT(Table4[Expected Revenue]*Table4[Expected CMR]*(Table4[Projected 
Year]=AA$1)*(Table4[Projected 
Month]=AA$2)*(Table4[Installation]=$B13))/MAX(1,AA13)</f>
        <v>0</v>
      </c>
      <c r="AD13" s="27">
        <f>SUMIFS(Table4[Expected Revenue],Table4[Installation],$B13,Table4[Projected 
Year],AD$1,Table4[Projected 
Month],AD$2)</f>
        <v>0</v>
      </c>
      <c r="AE13" s="23">
        <f>SUMPRODUCT(Table4[Probability]*Table4[Expected Revenue]*(Table4[Installation]=$B13)*(Table4[Projected 
Year]=AD$1)*(Table4[Projected 
Month]=AD$2))/MAX(1,SUMPRODUCT(Table4[Expected Revenue]*(Table4[Installation]=$B13)*(Table4[Projected 
Year]=AD$1)*(Table4[Projected 
Month]=AD$2)))</f>
        <v>0</v>
      </c>
      <c r="AF13" s="24">
        <f>SUMPRODUCT(Table4[Expected Revenue]*Table4[Expected CMR]*(Table4[Projected 
Year]=AD$1)*(Table4[Projected 
Month]=AD$2)*(Table4[Installation]=$B13))/MAX(1,AD13)</f>
        <v>0</v>
      </c>
      <c r="AG13" s="27">
        <f>SUMIFS(Table4[Expected Revenue],Table4[Installation],$B13,Table4[Projected 
Year],AG$1,Table4[Projected 
Month],AG$2)</f>
        <v>0</v>
      </c>
      <c r="AH13" s="23">
        <f>SUMPRODUCT(Table4[Probability]*Table4[Expected Revenue]*(Table4[Installation]=$B13)*(Table4[Projected 
Year]=AG$1)*(Table4[Projected 
Month]=AG$2))/MAX(1,SUMPRODUCT(Table4[Expected Revenue]*(Table4[Installation]=$B13)*(Table4[Projected 
Year]=AG$1)*(Table4[Projected 
Month]=AG$2)))</f>
        <v>0</v>
      </c>
      <c r="AI13" s="24">
        <f>SUMPRODUCT(Table4[Expected Revenue]*Table4[Expected CMR]*(Table4[Projected 
Year]=AG$1)*(Table4[Projected 
Month]=AG$2)*(Table4[Installation]=$B13))/MAX(1,AG13)</f>
        <v>0</v>
      </c>
      <c r="AJ13" s="27">
        <f>SUMIFS(Table4[Expected Revenue],Table4[Installation],$B13,Table4[Projected 
Year],AJ$1,Table4[Projected 
Month],AJ$2)</f>
        <v>0</v>
      </c>
      <c r="AK13" s="23">
        <f>SUMPRODUCT(Table4[Probability]*Table4[Expected Revenue]*(Table4[Installation]=$B13)*(Table4[Projected 
Year]=AJ$1)*(Table4[Projected 
Month]=AJ$2))/MAX(1,SUMPRODUCT(Table4[Expected Revenue]*(Table4[Installation]=$B13)*(Table4[Projected 
Year]=AJ$1)*(Table4[Projected 
Month]=AJ$2)))</f>
        <v>0</v>
      </c>
      <c r="AL13" s="24">
        <f>SUMPRODUCT(Table4[Expected Revenue]*Table4[Expected CMR]*(Table4[Projected 
Year]=AJ$1)*(Table4[Projected 
Month]=AJ$2)*(Table4[Installation]=$B13))/MAX(1,AJ13)</f>
        <v>0</v>
      </c>
      <c r="AM13" s="30">
        <f>SUM($C13,$F13,$I13,$L13,$O13,$R13,$U13,$X13,$AA13,$AD13,$AG13,$AJ13)</f>
        <v>0</v>
      </c>
      <c r="AN13" s="52">
        <f t="shared" ref="AN13:AO15" si="17">SUM($C13*D13,$F13*G13,$I13*J13,$L13*M13,$O13*P13,$R13*S13,$U13*V13,$X13*Y13,$AA13*AB13,$AD13*AE13,$AG13*AH13,$AJ13*AK13)/MAX(1,$AM13)</f>
        <v>0</v>
      </c>
      <c r="AO13" s="52">
        <f t="shared" si="17"/>
        <v>0</v>
      </c>
      <c r="AP13" s="27" t="e">
        <f>SUMIFS(#REF!,Table4[Installation],$B13,#REF!,AP$1,#REF!,AP$2)</f>
        <v>#REF!</v>
      </c>
      <c r="AQ13" s="21" t="e">
        <f>SUMIFS(#REF!,Table4[Installation],$B13,Table4[Projected 
Year],AP$1,#REF!,AP$2)</f>
        <v>#REF!</v>
      </c>
      <c r="AR13" s="24" t="e">
        <f t="shared" si="7"/>
        <v>#REF!</v>
      </c>
      <c r="AS13" s="27" t="e">
        <f>SUMIFS(#REF!,Table4[Installation],$B13,#REF!,AS$1,#REF!,AS$2)</f>
        <v>#REF!</v>
      </c>
      <c r="AT13" s="21" t="e">
        <f>SUMIFS(#REF!,Table4[Installation],$B13,Table4[Projected 
Year],AS$1,#REF!,AS$2)</f>
        <v>#REF!</v>
      </c>
      <c r="AU13" s="24" t="e">
        <f t="shared" si="8"/>
        <v>#REF!</v>
      </c>
      <c r="AV13" s="27" t="e">
        <f>SUMIFS(#REF!,Table4[Installation],$B13,#REF!,AV$1,#REF!,AV$2)</f>
        <v>#REF!</v>
      </c>
      <c r="AW13" s="21" t="e">
        <f>SUMIFS(#REF!,Table4[Installation],$B13,Table4[Projected 
Year],AV$1,#REF!,AV$2)</f>
        <v>#REF!</v>
      </c>
      <c r="AX13" s="24" t="e">
        <f t="shared" si="9"/>
        <v>#REF!</v>
      </c>
      <c r="AY13" s="27" t="e">
        <f>SUMIFS(#REF!,Table4[Installation],$B13,#REF!,AY$1,#REF!,AY$2)</f>
        <v>#REF!</v>
      </c>
      <c r="AZ13" s="21" t="e">
        <f>SUMIFS(#REF!,Table4[Installation],$B13,Table4[Projected 
Year],AY$1,#REF!,AY$2)</f>
        <v>#REF!</v>
      </c>
      <c r="BA13" s="24" t="e">
        <f t="shared" si="10"/>
        <v>#REF!</v>
      </c>
      <c r="BB13" s="27" t="e">
        <f>SUMIFS(#REF!,Table4[Installation],$B13,#REF!,BB$1,#REF!,BB$2)</f>
        <v>#REF!</v>
      </c>
      <c r="BC13" s="21" t="e">
        <f>SUMIFS(#REF!,Table4[Installation],$B13,Table4[Projected 
Year],BB$1,#REF!,BB$2)</f>
        <v>#REF!</v>
      </c>
      <c r="BD13" s="24" t="e">
        <f t="shared" si="11"/>
        <v>#REF!</v>
      </c>
      <c r="BE13" s="27" t="e">
        <f>SUMIFS(#REF!,Table4[Installation],$B13,#REF!,BE$1,#REF!,BE$2)</f>
        <v>#REF!</v>
      </c>
      <c r="BF13" s="21" t="e">
        <f>SUMIFS(#REF!,Table4[Installation],$B13,Table4[Projected 
Year],BE$1,#REF!,BE$2)</f>
        <v>#REF!</v>
      </c>
      <c r="BG13" s="24" t="e">
        <f>IF(BE13=0,IF(BF13=0,"-",0),1-(BF13/BE13))</f>
        <v>#REF!</v>
      </c>
      <c r="BH13" s="27" t="e">
        <f>SUMIFS(#REF!,Table4[Installation],$B13,#REF!,BH$1,#REF!,BH$2)</f>
        <v>#REF!</v>
      </c>
      <c r="BI13" s="21" t="e">
        <f>SUMIFS(#REF!,Table4[Installation],$B13,Table4[Projected 
Year],BH$1,#REF!,BH$2)</f>
        <v>#REF!</v>
      </c>
      <c r="BJ13" s="24" t="e">
        <f t="shared" si="3"/>
        <v>#REF!</v>
      </c>
      <c r="BK13" s="27" t="e">
        <f>SUMIFS(#REF!,Table4[Installation],$B13,#REF!,BK$1,#REF!,BK$2)</f>
        <v>#REF!</v>
      </c>
      <c r="BL13" s="21" t="e">
        <f>SUMIFS(#REF!,Table4[Installation],$B13,Table4[Projected 
Year],BK$1,#REF!,BK$2)</f>
        <v>#REF!</v>
      </c>
      <c r="BM13" s="24" t="e">
        <f t="shared" si="13"/>
        <v>#REF!</v>
      </c>
      <c r="BN13" s="27" t="e">
        <f>SUMIFS(#REF!,Table4[Installation],$B13,#REF!,BN$1,#REF!,BN$2)</f>
        <v>#REF!</v>
      </c>
      <c r="BO13" s="21" t="e">
        <f>SUMIFS(#REF!,Table4[Installation],$B13,Table4[Projected 
Year],BN$1,#REF!,BN$2)</f>
        <v>#REF!</v>
      </c>
      <c r="BP13" s="24" t="e">
        <f t="shared" si="14"/>
        <v>#REF!</v>
      </c>
      <c r="BQ13" s="27" t="e">
        <f>SUMIFS(#REF!,Table4[Installation],$B13,#REF!,BQ$1,#REF!,BQ$2)</f>
        <v>#REF!</v>
      </c>
      <c r="BR13" s="21" t="e">
        <f>SUMIFS(#REF!,Table4[Installation],$B13,Table4[Projected 
Year],BQ$1,#REF!,BQ$2)</f>
        <v>#REF!</v>
      </c>
      <c r="BS13" s="24" t="e">
        <f t="shared" si="15"/>
        <v>#REF!</v>
      </c>
      <c r="BT13" s="27" t="e">
        <f>SUMIFS(#REF!,Table4[Installation],$B13,#REF!,BT$1,#REF!,BT$2)</f>
        <v>#REF!</v>
      </c>
      <c r="BU13" s="21" t="e">
        <f>SUMIFS(#REF!,Table4[Installation],$B13,Table4[Projected 
Year],BT$1,#REF!,BT$2)</f>
        <v>#REF!</v>
      </c>
      <c r="BV13" s="24" t="e">
        <f t="shared" si="16"/>
        <v>#REF!</v>
      </c>
      <c r="BW13" s="27" t="e">
        <f>SUMIFS(#REF!,Table4[Installation],$B13,#REF!,BW$1,#REF!,BW$2)</f>
        <v>#REF!</v>
      </c>
      <c r="BX13" s="21" t="e">
        <f>SUMIFS(#REF!,Table4[Installation],$B13,Table4[Projected 
Year],BW$1,#REF!,BW$2)</f>
        <v>#REF!</v>
      </c>
      <c r="BY13" s="24" t="e">
        <f t="shared" si="12"/>
        <v>#REF!</v>
      </c>
      <c r="BZ13" s="30" t="e">
        <f t="shared" si="4"/>
        <v>#REF!</v>
      </c>
      <c r="CA13" s="30" t="e">
        <f t="shared" si="5"/>
        <v>#REF!</v>
      </c>
      <c r="CB13" s="24" t="e">
        <f t="shared" si="6"/>
        <v>#REF!</v>
      </c>
      <c r="CC13" s="29">
        <v>150000</v>
      </c>
      <c r="CD13" s="19" t="e">
        <f>BZ13-CC13</f>
        <v>#REF!</v>
      </c>
    </row>
    <row r="14" spans="1:82">
      <c r="A14" s="18" t="s">
        <v>157</v>
      </c>
      <c r="B14" s="20" t="s">
        <v>309</v>
      </c>
      <c r="C14" s="27">
        <f>SUMIFS(Table4[Expected Revenue],Table4[Installation],$B14,Table4[Projected 
Year],C$1,Table4[Projected 
Month],C$2)</f>
        <v>0</v>
      </c>
      <c r="D14" s="23">
        <f>SUMPRODUCT(Table4[Probability]*Table4[Expected Revenue]*(Table4[Installation]=$B14)*(Table4[Projected 
Year]=C$1)*(Table4[Projected 
Month]=C$2))/MAX(1,SUMPRODUCT(Table4[Expected Revenue]*(Table4[Installation]=$B14)*(Table4[Projected 
Year]=C$1)*(Table4[Projected 
Month]=C$2)))</f>
        <v>0</v>
      </c>
      <c r="E14" s="24">
        <f>SUMPRODUCT(Table4[Expected Revenue]*Table4[Expected CMR]*(Table4[Projected 
Year]=C$1)*(Table4[Projected 
Month]=C$2)*(Table4[Installation]=$B14))/MAX(1,C14)</f>
        <v>0</v>
      </c>
      <c r="F14" s="27">
        <f>SUMIFS(Table4[Expected Revenue],Table4[Installation],$B14,Table4[Projected 
Year],F$1,Table4[Projected 
Month],F$2)</f>
        <v>0</v>
      </c>
      <c r="G14" s="23">
        <f>SUMPRODUCT(Table4[Probability]*Table4[Expected Revenue]*(Table4[Installation]=$B14)*(Table4[Projected 
Year]=F$1)*(Table4[Projected 
Month]=F$2))/MAX(1,SUMPRODUCT(Table4[Expected Revenue]*(Table4[Installation]=$B14)*(Table4[Projected 
Year]=F$1)*(Table4[Projected 
Month]=F$2)))</f>
        <v>0</v>
      </c>
      <c r="H14" s="24">
        <f>SUMPRODUCT(Table4[Expected Revenue]*Table4[Expected CMR]*(Table4[Projected 
Year]=F$1)*(Table4[Projected 
Month]=F$2)*(Table4[Installation]=$B14))/MAX(1,F14)</f>
        <v>0</v>
      </c>
      <c r="I14" s="27">
        <f>SUMIFS(Table4[Expected Revenue],Table4[Installation],$B14,Table4[Projected 
Year],I$1,Table4[Projected 
Month],I$2)</f>
        <v>0</v>
      </c>
      <c r="J14" s="23">
        <f>SUMPRODUCT(Table4[Probability]*Table4[Expected Revenue]*(Table4[Installation]=$B14)*(Table4[Projected 
Year]=I$1)*(Table4[Projected 
Month]=I$2))/MAX(1,SUMPRODUCT(Table4[Expected Revenue]*(Table4[Installation]=$B14)*(Table4[Projected 
Year]=I$1)*(Table4[Projected 
Month]=I$2)))</f>
        <v>0</v>
      </c>
      <c r="K14" s="24">
        <f>SUMPRODUCT(Table4[Expected Revenue]*Table4[Expected CMR]*(Table4[Projected 
Year]=I$1)*(Table4[Projected 
Month]=I$2)*(Table4[Installation]=$B14))/MAX(1,I14)</f>
        <v>0</v>
      </c>
      <c r="L14" s="27">
        <f>SUMIFS(Table4[Expected Revenue],Table4[Installation],$B14,Table4[Projected 
Year],L$1,Table4[Projected 
Month],L$2)</f>
        <v>0</v>
      </c>
      <c r="M14" s="23">
        <f>SUMPRODUCT(Table4[Probability]*Table4[Expected Revenue]*(Table4[Installation]=$B14)*(Table4[Projected 
Year]=L$1)*(Table4[Projected 
Month]=L$2))/MAX(1,SUMPRODUCT(Table4[Expected Revenue]*(Table4[Installation]=$B14)*(Table4[Projected 
Year]=L$1)*(Table4[Projected 
Month]=L$2)))</f>
        <v>0</v>
      </c>
      <c r="N14" s="24">
        <f>SUMPRODUCT(Table4[Expected Revenue]*Table4[Expected CMR]*(Table4[Projected 
Year]=L$1)*(Table4[Projected 
Month]=L$2)*(Table4[Installation]=$B14))/MAX(1,L14)</f>
        <v>0</v>
      </c>
      <c r="O14" s="27">
        <f>SUMIFS(Table4[Expected Revenue],Table4[Installation],$B14,Table4[Projected 
Year],O$1,Table4[Projected 
Month],O$2)</f>
        <v>0</v>
      </c>
      <c r="P14" s="23">
        <f>SUMPRODUCT(Table4[Probability]*Table4[Expected Revenue]*(Table4[Installation]=$B14)*(Table4[Projected 
Year]=O$1)*(Table4[Projected 
Month]=O$2))/MAX(1,SUMPRODUCT(Table4[Expected Revenue]*(Table4[Installation]=$B14)*(Table4[Projected 
Year]=O$1)*(Table4[Projected 
Month]=O$2)))</f>
        <v>0</v>
      </c>
      <c r="Q14" s="24">
        <f>SUMPRODUCT(Table4[Expected Revenue]*Table4[Expected CMR]*(Table4[Projected 
Year]=O$1)*(Table4[Projected 
Month]=O$2)*(Table4[Installation]=$B14))/MAX(1,O14)</f>
        <v>0</v>
      </c>
      <c r="R14" s="27">
        <f>SUMIFS(Table4[Expected Revenue],Table4[Installation],$B14,Table4[Projected 
Year],R$1,Table4[Projected 
Month],R$2)</f>
        <v>0</v>
      </c>
      <c r="S14" s="23">
        <f>SUMPRODUCT(Table4[Probability]*Table4[Expected Revenue]*(Table4[Installation]=$B14)*(Table4[Projected 
Year]=R$1)*(Table4[Projected 
Month]=R$2))/MAX(1,SUMPRODUCT(Table4[Expected Revenue]*(Table4[Installation]=$B14)*(Table4[Projected 
Year]=R$1)*(Table4[Projected 
Month]=R$2)))</f>
        <v>0</v>
      </c>
      <c r="T14" s="24">
        <f>SUMPRODUCT(Table4[Expected Revenue]*Table4[Expected CMR]*(Table4[Projected 
Year]=R$1)*(Table4[Projected 
Month]=R$2)*(Table4[Installation]=$B14))/MAX(1,R14)</f>
        <v>0</v>
      </c>
      <c r="U14" s="27">
        <f>SUMIFS(Table4[Expected Revenue],Table4[Installation],$B14,Table4[Projected 
Year],U$1,Table4[Projected 
Month],U$2)</f>
        <v>0</v>
      </c>
      <c r="V14" s="23">
        <f>SUMPRODUCT(Table4[Probability]*Table4[Expected Revenue]*(Table4[Installation]=$B14)*(Table4[Projected 
Year]=U$1)*(Table4[Projected 
Month]=U$2))/MAX(1,SUMPRODUCT(Table4[Expected Revenue]*(Table4[Installation]=$B14)*(Table4[Projected 
Year]=U$1)*(Table4[Projected 
Month]=U$2)))</f>
        <v>0</v>
      </c>
      <c r="W14" s="24">
        <f>SUMPRODUCT(Table4[Expected Revenue]*Table4[Expected CMR]*(Table4[Projected 
Year]=U$1)*(Table4[Projected 
Month]=U$2)*(Table4[Installation]=$B14))/MAX(1,U14)</f>
        <v>0</v>
      </c>
      <c r="X14" s="27">
        <f>SUMIFS(Table4[Expected Revenue],Table4[Installation],$B14,Table4[Projected 
Year],X$1,Table4[Projected 
Month],X$2)</f>
        <v>0</v>
      </c>
      <c r="Y14" s="23">
        <f>SUMPRODUCT(Table4[Probability]*Table4[Expected Revenue]*(Table4[Installation]=$B14)*(Table4[Projected 
Year]=X$1)*(Table4[Projected 
Month]=X$2))/MAX(1,SUMPRODUCT(Table4[Expected Revenue]*(Table4[Installation]=$B14)*(Table4[Projected 
Year]=X$1)*(Table4[Projected 
Month]=X$2)))</f>
        <v>0</v>
      </c>
      <c r="Z14" s="24">
        <f>SUMPRODUCT(Table4[Expected Revenue]*Table4[Expected CMR]*(Table4[Projected 
Year]=X$1)*(Table4[Projected 
Month]=X$2)*(Table4[Installation]=$B14))/MAX(1,X14)</f>
        <v>0</v>
      </c>
      <c r="AA14" s="27">
        <f>SUMIFS(Table4[Expected Revenue],Table4[Installation],$B14,Table4[Projected 
Year],AA$1,Table4[Projected 
Month],AA$2)</f>
        <v>0</v>
      </c>
      <c r="AB14" s="23">
        <f>SUMPRODUCT(Table4[Probability]*Table4[Expected Revenue]*(Table4[Installation]=$B14)*(Table4[Projected 
Year]=AA$1)*(Table4[Projected 
Month]=AA$2))/MAX(1,SUMPRODUCT(Table4[Expected Revenue]*(Table4[Installation]=$B14)*(Table4[Projected 
Year]=AA$1)*(Table4[Projected 
Month]=AA$2)))</f>
        <v>0</v>
      </c>
      <c r="AC14" s="24">
        <f>SUMPRODUCT(Table4[Expected Revenue]*Table4[Expected CMR]*(Table4[Projected 
Year]=AA$1)*(Table4[Projected 
Month]=AA$2)*(Table4[Installation]=$B14))/MAX(1,AA14)</f>
        <v>0</v>
      </c>
      <c r="AD14" s="27">
        <f>SUMIFS(Table4[Expected Revenue],Table4[Installation],$B14,Table4[Projected 
Year],AD$1,Table4[Projected 
Month],AD$2)</f>
        <v>0</v>
      </c>
      <c r="AE14" s="23">
        <f>SUMPRODUCT(Table4[Probability]*Table4[Expected Revenue]*(Table4[Installation]=$B14)*(Table4[Projected 
Year]=AD$1)*(Table4[Projected 
Month]=AD$2))/MAX(1,SUMPRODUCT(Table4[Expected Revenue]*(Table4[Installation]=$B14)*(Table4[Projected 
Year]=AD$1)*(Table4[Projected 
Month]=AD$2)))</f>
        <v>0</v>
      </c>
      <c r="AF14" s="24">
        <f>SUMPRODUCT(Table4[Expected Revenue]*Table4[Expected CMR]*(Table4[Projected 
Year]=AD$1)*(Table4[Projected 
Month]=AD$2)*(Table4[Installation]=$B14))/MAX(1,AD14)</f>
        <v>0</v>
      </c>
      <c r="AG14" s="27">
        <f>SUMIFS(Table4[Expected Revenue],Table4[Installation],$B14,Table4[Projected 
Year],AG$1,Table4[Projected 
Month],AG$2)</f>
        <v>0</v>
      </c>
      <c r="AH14" s="23">
        <f>SUMPRODUCT(Table4[Probability]*Table4[Expected Revenue]*(Table4[Installation]=$B14)*(Table4[Projected 
Year]=AG$1)*(Table4[Projected 
Month]=AG$2))/MAX(1,SUMPRODUCT(Table4[Expected Revenue]*(Table4[Installation]=$B14)*(Table4[Projected 
Year]=AG$1)*(Table4[Projected 
Month]=AG$2)))</f>
        <v>0</v>
      </c>
      <c r="AI14" s="24">
        <f>SUMPRODUCT(Table4[Expected Revenue]*Table4[Expected CMR]*(Table4[Projected 
Year]=AG$1)*(Table4[Projected 
Month]=AG$2)*(Table4[Installation]=$B14))/MAX(1,AG14)</f>
        <v>0</v>
      </c>
      <c r="AJ14" s="27">
        <f>SUMIFS(Table4[Expected Revenue],Table4[Installation],$B14,Table4[Projected 
Year],AJ$1,Table4[Projected 
Month],AJ$2)</f>
        <v>0</v>
      </c>
      <c r="AK14" s="23">
        <f>SUMPRODUCT(Table4[Probability]*Table4[Expected Revenue]*(Table4[Installation]=$B14)*(Table4[Projected 
Year]=AJ$1)*(Table4[Projected 
Month]=AJ$2))/MAX(1,SUMPRODUCT(Table4[Expected Revenue]*(Table4[Installation]=$B14)*(Table4[Projected 
Year]=AJ$1)*(Table4[Projected 
Month]=AJ$2)))</f>
        <v>0</v>
      </c>
      <c r="AL14" s="24">
        <f>SUMPRODUCT(Table4[Expected Revenue]*Table4[Expected CMR]*(Table4[Projected 
Year]=AJ$1)*(Table4[Projected 
Month]=AJ$2)*(Table4[Installation]=$B14))/MAX(1,AJ14)</f>
        <v>0</v>
      </c>
      <c r="AM14" s="30">
        <f>SUM($C14,$F14,$I14,$L14,$O14,$R14,$U14,$X14,$AA14,$AD14,$AG14,$AJ14)</f>
        <v>0</v>
      </c>
      <c r="AN14" s="52">
        <f t="shared" si="17"/>
        <v>0</v>
      </c>
      <c r="AO14" s="52">
        <f t="shared" si="17"/>
        <v>0</v>
      </c>
      <c r="AP14" s="27" t="e">
        <f>SUMIFS(#REF!,Table4[Installation],$B14,#REF!,AP$1,#REF!,AP$2)</f>
        <v>#REF!</v>
      </c>
      <c r="AQ14" s="21" t="e">
        <f>SUMIFS(#REF!,Table4[Installation],$B14,Table4[Projected 
Year],AP$1,#REF!,AP$2)</f>
        <v>#REF!</v>
      </c>
      <c r="AR14" s="24" t="e">
        <f t="shared" si="7"/>
        <v>#REF!</v>
      </c>
      <c r="AS14" s="27" t="e">
        <f>SUMIFS(#REF!,Table4[Installation],$B14,#REF!,AS$1,#REF!,AS$2)</f>
        <v>#REF!</v>
      </c>
      <c r="AT14" s="21" t="e">
        <f>SUMIFS(#REF!,Table4[Installation],$B14,Table4[Projected 
Year],AS$1,#REF!,AS$2)</f>
        <v>#REF!</v>
      </c>
      <c r="AU14" s="24" t="e">
        <f t="shared" si="8"/>
        <v>#REF!</v>
      </c>
      <c r="AV14" s="27" t="e">
        <f>SUMIFS(#REF!,Table4[Installation],$B14,#REF!,AV$1,#REF!,AV$2)</f>
        <v>#REF!</v>
      </c>
      <c r="AW14" s="21" t="e">
        <f>SUMIFS(#REF!,Table4[Installation],$B14,Table4[Projected 
Year],AV$1,#REF!,AV$2)</f>
        <v>#REF!</v>
      </c>
      <c r="AX14" s="24" t="e">
        <f t="shared" si="9"/>
        <v>#REF!</v>
      </c>
      <c r="AY14" s="27" t="e">
        <f>SUMIFS(#REF!,Table4[Installation],$B14,#REF!,AY$1,#REF!,AY$2)</f>
        <v>#REF!</v>
      </c>
      <c r="AZ14" s="21" t="e">
        <f>SUMIFS(#REF!,Table4[Installation],$B14,Table4[Projected 
Year],AY$1,#REF!,AY$2)</f>
        <v>#REF!</v>
      </c>
      <c r="BA14" s="24" t="e">
        <f t="shared" si="10"/>
        <v>#REF!</v>
      </c>
      <c r="BB14" s="27" t="e">
        <f>SUMIFS(#REF!,Table4[Installation],$B14,#REF!,BB$1,#REF!,BB$2)</f>
        <v>#REF!</v>
      </c>
      <c r="BC14" s="21" t="e">
        <f>SUMIFS(#REF!,Table4[Installation],$B14,Table4[Projected 
Year],BB$1,#REF!,BB$2)</f>
        <v>#REF!</v>
      </c>
      <c r="BD14" s="24" t="e">
        <f t="shared" si="11"/>
        <v>#REF!</v>
      </c>
      <c r="BE14" s="27" t="e">
        <f>SUMIFS(#REF!,Table4[Installation],$B14,#REF!,BE$1,#REF!,BE$2)</f>
        <v>#REF!</v>
      </c>
      <c r="BF14" s="21" t="e">
        <f>SUMIFS(#REF!,Table4[Installation],$B14,Table4[Projected 
Year],BE$1,#REF!,BE$2)</f>
        <v>#REF!</v>
      </c>
      <c r="BG14" s="24" t="e">
        <f>IF(BE14=0,IF(BF14=0,"-",0),1-(BF14/BE14))</f>
        <v>#REF!</v>
      </c>
      <c r="BH14" s="27" t="e">
        <f>SUMIFS(#REF!,Table4[Installation],$B14,#REF!,BH$1,#REF!,BH$2)</f>
        <v>#REF!</v>
      </c>
      <c r="BI14" s="21" t="e">
        <f>SUMIFS(#REF!,Table4[Installation],$B14,Table4[Projected 
Year],BH$1,#REF!,BH$2)</f>
        <v>#REF!</v>
      </c>
      <c r="BJ14" s="24" t="e">
        <f t="shared" si="3"/>
        <v>#REF!</v>
      </c>
      <c r="BK14" s="27" t="e">
        <f>SUMIFS(#REF!,Table4[Installation],$B14,#REF!,BK$1,#REF!,BK$2)</f>
        <v>#REF!</v>
      </c>
      <c r="BL14" s="21" t="e">
        <f>SUMIFS(#REF!,Table4[Installation],$B14,Table4[Projected 
Year],BK$1,#REF!,BK$2)</f>
        <v>#REF!</v>
      </c>
      <c r="BM14" s="24" t="e">
        <f t="shared" si="13"/>
        <v>#REF!</v>
      </c>
      <c r="BN14" s="27" t="e">
        <f>SUMIFS(#REF!,Table4[Installation],$B14,#REF!,BN$1,#REF!,BN$2)</f>
        <v>#REF!</v>
      </c>
      <c r="BO14" s="21" t="e">
        <f>SUMIFS(#REF!,Table4[Installation],$B14,Table4[Projected 
Year],BN$1,#REF!,BN$2)</f>
        <v>#REF!</v>
      </c>
      <c r="BP14" s="24" t="e">
        <f t="shared" si="14"/>
        <v>#REF!</v>
      </c>
      <c r="BQ14" s="27" t="e">
        <f>SUMIFS(#REF!,Table4[Installation],$B14,#REF!,BQ$1,#REF!,BQ$2)</f>
        <v>#REF!</v>
      </c>
      <c r="BR14" s="21" t="e">
        <f>SUMIFS(#REF!,Table4[Installation],$B14,Table4[Projected 
Year],BQ$1,#REF!,BQ$2)</f>
        <v>#REF!</v>
      </c>
      <c r="BS14" s="24" t="e">
        <f t="shared" si="15"/>
        <v>#REF!</v>
      </c>
      <c r="BT14" s="27" t="e">
        <f>SUMIFS(#REF!,Table4[Installation],$B14,#REF!,BT$1,#REF!,BT$2)</f>
        <v>#REF!</v>
      </c>
      <c r="BU14" s="21" t="e">
        <f>SUMIFS(#REF!,Table4[Installation],$B14,Table4[Projected 
Year],BT$1,#REF!,BT$2)</f>
        <v>#REF!</v>
      </c>
      <c r="BV14" s="24" t="e">
        <f t="shared" si="16"/>
        <v>#REF!</v>
      </c>
      <c r="BW14" s="27" t="e">
        <f>SUMIFS(#REF!,Table4[Installation],$B14,#REF!,BW$1,#REF!,BW$2)</f>
        <v>#REF!</v>
      </c>
      <c r="BX14" s="21" t="e">
        <f>SUMIFS(#REF!,Table4[Installation],$B14,Table4[Projected 
Year],BW$1,#REF!,BW$2)</f>
        <v>#REF!</v>
      </c>
      <c r="BY14" s="24" t="e">
        <f t="shared" si="12"/>
        <v>#REF!</v>
      </c>
      <c r="BZ14" s="30" t="e">
        <f t="shared" si="4"/>
        <v>#REF!</v>
      </c>
      <c r="CA14" s="30" t="e">
        <f t="shared" si="5"/>
        <v>#REF!</v>
      </c>
      <c r="CB14" s="24" t="e">
        <f t="shared" si="6"/>
        <v>#REF!</v>
      </c>
      <c r="CC14" s="29">
        <v>80000</v>
      </c>
      <c r="CD14" s="19" t="e">
        <f>BZ14-CC14</f>
        <v>#REF!</v>
      </c>
    </row>
    <row r="15" spans="1:82">
      <c r="A15" s="18" t="s">
        <v>157</v>
      </c>
      <c r="B15" s="20" t="s">
        <v>260</v>
      </c>
      <c r="C15" s="27">
        <f>SUMIFS(Table4[Expected Revenue],Table4[Installation],$B15,Table4[Projected 
Year],C$1,Table4[Projected 
Month],C$2)</f>
        <v>0</v>
      </c>
      <c r="D15" s="23">
        <f>SUMPRODUCT(Table4[Probability]*Table4[Expected Revenue]*(Table4[Installation]=$B15)*(Table4[Projected 
Year]=C$1)*(Table4[Projected 
Month]=C$2))/MAX(1,SUMPRODUCT(Table4[Expected Revenue]*(Table4[Installation]=$B15)*(Table4[Projected 
Year]=C$1)*(Table4[Projected 
Month]=C$2)))</f>
        <v>0</v>
      </c>
      <c r="E15" s="24">
        <f>SUMPRODUCT(Table4[Expected Revenue]*Table4[Expected CMR]*(Table4[Projected 
Year]=C$1)*(Table4[Projected 
Month]=C$2)*(Table4[Installation]=$B15))/MAX(1,C15)</f>
        <v>0</v>
      </c>
      <c r="F15" s="27">
        <f>SUMIFS(Table4[Expected Revenue],Table4[Installation],$B15,Table4[Projected 
Year],F$1,Table4[Projected 
Month],F$2)</f>
        <v>0</v>
      </c>
      <c r="G15" s="23">
        <f>SUMPRODUCT(Table4[Probability]*Table4[Expected Revenue]*(Table4[Installation]=$B15)*(Table4[Projected 
Year]=F$1)*(Table4[Projected 
Month]=F$2))/MAX(1,SUMPRODUCT(Table4[Expected Revenue]*(Table4[Installation]=$B15)*(Table4[Projected 
Year]=F$1)*(Table4[Projected 
Month]=F$2)))</f>
        <v>0</v>
      </c>
      <c r="H15" s="24">
        <f>SUMPRODUCT(Table4[Expected Revenue]*Table4[Expected CMR]*(Table4[Projected 
Year]=F$1)*(Table4[Projected 
Month]=F$2)*(Table4[Installation]=$B15))/MAX(1,F15)</f>
        <v>0</v>
      </c>
      <c r="I15" s="27">
        <f>SUMIFS(Table4[Expected Revenue],Table4[Installation],$B15,Table4[Projected 
Year],I$1,Table4[Projected 
Month],I$2)</f>
        <v>0</v>
      </c>
      <c r="J15" s="23">
        <f>SUMPRODUCT(Table4[Probability]*Table4[Expected Revenue]*(Table4[Installation]=$B15)*(Table4[Projected 
Year]=I$1)*(Table4[Projected 
Month]=I$2))/MAX(1,SUMPRODUCT(Table4[Expected Revenue]*(Table4[Installation]=$B15)*(Table4[Projected 
Year]=I$1)*(Table4[Projected 
Month]=I$2)))</f>
        <v>0</v>
      </c>
      <c r="K15" s="24">
        <f>SUMPRODUCT(Table4[Expected Revenue]*Table4[Expected CMR]*(Table4[Projected 
Year]=I$1)*(Table4[Projected 
Month]=I$2)*(Table4[Installation]=$B15))/MAX(1,I15)</f>
        <v>0</v>
      </c>
      <c r="L15" s="27">
        <f>SUMIFS(Table4[Expected Revenue],Table4[Installation],$B15,Table4[Projected 
Year],L$1,Table4[Projected 
Month],L$2)</f>
        <v>0</v>
      </c>
      <c r="M15" s="23">
        <f>SUMPRODUCT(Table4[Probability]*Table4[Expected Revenue]*(Table4[Installation]=$B15)*(Table4[Projected 
Year]=L$1)*(Table4[Projected 
Month]=L$2))/MAX(1,SUMPRODUCT(Table4[Expected Revenue]*(Table4[Installation]=$B15)*(Table4[Projected 
Year]=L$1)*(Table4[Projected 
Month]=L$2)))</f>
        <v>0</v>
      </c>
      <c r="N15" s="24">
        <f>SUMPRODUCT(Table4[Expected Revenue]*Table4[Expected CMR]*(Table4[Projected 
Year]=L$1)*(Table4[Projected 
Month]=L$2)*(Table4[Installation]=$B15))/MAX(1,L15)</f>
        <v>0</v>
      </c>
      <c r="O15" s="27">
        <f>SUMIFS(Table4[Expected Revenue],Table4[Installation],$B15,Table4[Projected 
Year],O$1,Table4[Projected 
Month],O$2)</f>
        <v>0</v>
      </c>
      <c r="P15" s="23">
        <f>SUMPRODUCT(Table4[Probability]*Table4[Expected Revenue]*(Table4[Installation]=$B15)*(Table4[Projected 
Year]=O$1)*(Table4[Projected 
Month]=O$2))/MAX(1,SUMPRODUCT(Table4[Expected Revenue]*(Table4[Installation]=$B15)*(Table4[Projected 
Year]=O$1)*(Table4[Projected 
Month]=O$2)))</f>
        <v>0</v>
      </c>
      <c r="Q15" s="24">
        <f>SUMPRODUCT(Table4[Expected Revenue]*Table4[Expected CMR]*(Table4[Projected 
Year]=O$1)*(Table4[Projected 
Month]=O$2)*(Table4[Installation]=$B15))/MAX(1,O15)</f>
        <v>0</v>
      </c>
      <c r="R15" s="27">
        <f>SUMIFS(Table4[Expected Revenue],Table4[Installation],$B15,Table4[Projected 
Year],R$1,Table4[Projected 
Month],R$2)</f>
        <v>0</v>
      </c>
      <c r="S15" s="23">
        <f>SUMPRODUCT(Table4[Probability]*Table4[Expected Revenue]*(Table4[Installation]=$B15)*(Table4[Projected 
Year]=R$1)*(Table4[Projected 
Month]=R$2))/MAX(1,SUMPRODUCT(Table4[Expected Revenue]*(Table4[Installation]=$B15)*(Table4[Projected 
Year]=R$1)*(Table4[Projected 
Month]=R$2)))</f>
        <v>0</v>
      </c>
      <c r="T15" s="24">
        <f>SUMPRODUCT(Table4[Expected Revenue]*Table4[Expected CMR]*(Table4[Projected 
Year]=R$1)*(Table4[Projected 
Month]=R$2)*(Table4[Installation]=$B15))/MAX(1,R15)</f>
        <v>0</v>
      </c>
      <c r="U15" s="27">
        <f>SUMIFS(Table4[Expected Revenue],Table4[Installation],$B15,Table4[Projected 
Year],U$1,Table4[Projected 
Month],U$2)</f>
        <v>0</v>
      </c>
      <c r="V15" s="23">
        <f>SUMPRODUCT(Table4[Probability]*Table4[Expected Revenue]*(Table4[Installation]=$B15)*(Table4[Projected 
Year]=U$1)*(Table4[Projected 
Month]=U$2))/MAX(1,SUMPRODUCT(Table4[Expected Revenue]*(Table4[Installation]=$B15)*(Table4[Projected 
Year]=U$1)*(Table4[Projected 
Month]=U$2)))</f>
        <v>0</v>
      </c>
      <c r="W15" s="24">
        <f>SUMPRODUCT(Table4[Expected Revenue]*Table4[Expected CMR]*(Table4[Projected 
Year]=U$1)*(Table4[Projected 
Month]=U$2)*(Table4[Installation]=$B15))/MAX(1,U15)</f>
        <v>0</v>
      </c>
      <c r="X15" s="27">
        <f>SUMIFS(Table4[Expected Revenue],Table4[Installation],$B15,Table4[Projected 
Year],X$1,Table4[Projected 
Month],X$2)</f>
        <v>0</v>
      </c>
      <c r="Y15" s="23">
        <f>SUMPRODUCT(Table4[Probability]*Table4[Expected Revenue]*(Table4[Installation]=$B15)*(Table4[Projected 
Year]=X$1)*(Table4[Projected 
Month]=X$2))/MAX(1,SUMPRODUCT(Table4[Expected Revenue]*(Table4[Installation]=$B15)*(Table4[Projected 
Year]=X$1)*(Table4[Projected 
Month]=X$2)))</f>
        <v>0</v>
      </c>
      <c r="Z15" s="24">
        <f>SUMPRODUCT(Table4[Expected Revenue]*Table4[Expected CMR]*(Table4[Projected 
Year]=X$1)*(Table4[Projected 
Month]=X$2)*(Table4[Installation]=$B15))/MAX(1,X15)</f>
        <v>0</v>
      </c>
      <c r="AA15" s="27">
        <f>SUMIFS(Table4[Expected Revenue],Table4[Installation],$B15,Table4[Projected 
Year],AA$1,Table4[Projected 
Month],AA$2)</f>
        <v>0</v>
      </c>
      <c r="AB15" s="23">
        <f>SUMPRODUCT(Table4[Probability]*Table4[Expected Revenue]*(Table4[Installation]=$B15)*(Table4[Projected 
Year]=AA$1)*(Table4[Projected 
Month]=AA$2))/MAX(1,SUMPRODUCT(Table4[Expected Revenue]*(Table4[Installation]=$B15)*(Table4[Projected 
Year]=AA$1)*(Table4[Projected 
Month]=AA$2)))</f>
        <v>0</v>
      </c>
      <c r="AC15" s="24">
        <f>SUMPRODUCT(Table4[Expected Revenue]*Table4[Expected CMR]*(Table4[Projected 
Year]=AA$1)*(Table4[Projected 
Month]=AA$2)*(Table4[Installation]=$B15))/MAX(1,AA15)</f>
        <v>0</v>
      </c>
      <c r="AD15" s="27">
        <f>SUMIFS(Table4[Expected Revenue],Table4[Installation],$B15,Table4[Projected 
Year],AD$1,Table4[Projected 
Month],AD$2)</f>
        <v>0</v>
      </c>
      <c r="AE15" s="23">
        <f>SUMPRODUCT(Table4[Probability]*Table4[Expected Revenue]*(Table4[Installation]=$B15)*(Table4[Projected 
Year]=AD$1)*(Table4[Projected 
Month]=AD$2))/MAX(1,SUMPRODUCT(Table4[Expected Revenue]*(Table4[Installation]=$B15)*(Table4[Projected 
Year]=AD$1)*(Table4[Projected 
Month]=AD$2)))</f>
        <v>0</v>
      </c>
      <c r="AF15" s="24">
        <f>SUMPRODUCT(Table4[Expected Revenue]*Table4[Expected CMR]*(Table4[Projected 
Year]=AD$1)*(Table4[Projected 
Month]=AD$2)*(Table4[Installation]=$B15))/MAX(1,AD15)</f>
        <v>0</v>
      </c>
      <c r="AG15" s="27">
        <f>SUMIFS(Table4[Expected Revenue],Table4[Installation],$B15,Table4[Projected 
Year],AG$1,Table4[Projected 
Month],AG$2)</f>
        <v>0</v>
      </c>
      <c r="AH15" s="23">
        <f>SUMPRODUCT(Table4[Probability]*Table4[Expected Revenue]*(Table4[Installation]=$B15)*(Table4[Projected 
Year]=AG$1)*(Table4[Projected 
Month]=AG$2))/MAX(1,SUMPRODUCT(Table4[Expected Revenue]*(Table4[Installation]=$B15)*(Table4[Projected 
Year]=AG$1)*(Table4[Projected 
Month]=AG$2)))</f>
        <v>0</v>
      </c>
      <c r="AI15" s="24">
        <f>SUMPRODUCT(Table4[Expected Revenue]*Table4[Expected CMR]*(Table4[Projected 
Year]=AG$1)*(Table4[Projected 
Month]=AG$2)*(Table4[Installation]=$B15))/MAX(1,AG15)</f>
        <v>0</v>
      </c>
      <c r="AJ15" s="27">
        <f>SUMIFS(Table4[Expected Revenue],Table4[Installation],$B15,Table4[Projected 
Year],AJ$1,Table4[Projected 
Month],AJ$2)</f>
        <v>0</v>
      </c>
      <c r="AK15" s="23">
        <f>SUMPRODUCT(Table4[Probability]*Table4[Expected Revenue]*(Table4[Installation]=$B15)*(Table4[Projected 
Year]=AJ$1)*(Table4[Projected 
Month]=AJ$2))/MAX(1,SUMPRODUCT(Table4[Expected Revenue]*(Table4[Installation]=$B15)*(Table4[Projected 
Year]=AJ$1)*(Table4[Projected 
Month]=AJ$2)))</f>
        <v>0</v>
      </c>
      <c r="AL15" s="24">
        <f>SUMPRODUCT(Table4[Expected Revenue]*Table4[Expected CMR]*(Table4[Projected 
Year]=AJ$1)*(Table4[Projected 
Month]=AJ$2)*(Table4[Installation]=$B15))/MAX(1,AJ15)</f>
        <v>0</v>
      </c>
      <c r="AM15" s="30">
        <f>SUM($C15,$F15,$I15,$L15,$O15,$R15,$U15,$X15,$AA15,$AD15,$AG15,$AJ15)</f>
        <v>0</v>
      </c>
      <c r="AN15" s="52">
        <f t="shared" si="17"/>
        <v>0</v>
      </c>
      <c r="AO15" s="52">
        <f t="shared" si="17"/>
        <v>0</v>
      </c>
      <c r="AP15" s="27" t="e">
        <f>SUMIFS(#REF!,Table4[Installation],$B15,#REF!,AP$1,#REF!,AP$2)</f>
        <v>#REF!</v>
      </c>
      <c r="AQ15" s="21" t="e">
        <f>SUMIFS(#REF!,Table4[Installation],$B15,Table4[Projected 
Year],AP$1,#REF!,AP$2)</f>
        <v>#REF!</v>
      </c>
      <c r="AR15" s="24" t="e">
        <f t="shared" si="7"/>
        <v>#REF!</v>
      </c>
      <c r="AS15" s="27" t="e">
        <f>SUMIFS(#REF!,Table4[Installation],$B15,#REF!,AS$1,#REF!,AS$2)</f>
        <v>#REF!</v>
      </c>
      <c r="AT15" s="21" t="e">
        <f>SUMIFS(#REF!,Table4[Installation],$B15,Table4[Projected 
Year],AS$1,#REF!,AS$2)</f>
        <v>#REF!</v>
      </c>
      <c r="AU15" s="24" t="e">
        <f t="shared" si="8"/>
        <v>#REF!</v>
      </c>
      <c r="AV15" s="27" t="e">
        <f>SUMIFS(#REF!,Table4[Installation],$B15,#REF!,AV$1,#REF!,AV$2)</f>
        <v>#REF!</v>
      </c>
      <c r="AW15" s="21" t="e">
        <f>SUMIFS(#REF!,Table4[Installation],$B15,Table4[Projected 
Year],AV$1,#REF!,AV$2)</f>
        <v>#REF!</v>
      </c>
      <c r="AX15" s="24" t="e">
        <f t="shared" si="9"/>
        <v>#REF!</v>
      </c>
      <c r="AY15" s="27" t="e">
        <f>SUMIFS(#REF!,Table4[Installation],$B15,#REF!,AY$1,#REF!,AY$2)</f>
        <v>#REF!</v>
      </c>
      <c r="AZ15" s="21" t="e">
        <f>SUMIFS(#REF!,Table4[Installation],$B15,Table4[Projected 
Year],AY$1,#REF!,AY$2)</f>
        <v>#REF!</v>
      </c>
      <c r="BA15" s="24" t="e">
        <f t="shared" si="10"/>
        <v>#REF!</v>
      </c>
      <c r="BB15" s="27" t="e">
        <f>SUMIFS(#REF!,Table4[Installation],$B15,#REF!,BB$1,#REF!,BB$2)</f>
        <v>#REF!</v>
      </c>
      <c r="BC15" s="21" t="e">
        <f>SUMIFS(#REF!,Table4[Installation],$B15,Table4[Projected 
Year],BB$1,#REF!,BB$2)</f>
        <v>#REF!</v>
      </c>
      <c r="BD15" s="24" t="e">
        <f t="shared" si="11"/>
        <v>#REF!</v>
      </c>
      <c r="BE15" s="27" t="e">
        <f>SUMIFS(#REF!,Table4[Installation],$B15,#REF!,BE$1,#REF!,BE$2)</f>
        <v>#REF!</v>
      </c>
      <c r="BF15" s="21" t="e">
        <f>SUMIFS(#REF!,Table4[Installation],$B15,Table4[Projected 
Year],BE$1,#REF!,BE$2)</f>
        <v>#REF!</v>
      </c>
      <c r="BG15" s="24" t="e">
        <f>IF(BE15=0,IF(BF15=0,"-",0),1-(BF15/BE15))</f>
        <v>#REF!</v>
      </c>
      <c r="BH15" s="27" t="e">
        <f>SUMIFS(#REF!,Table4[Installation],$B15,#REF!,BH$1,#REF!,BH$2)</f>
        <v>#REF!</v>
      </c>
      <c r="BI15" s="21" t="e">
        <f>SUMIFS(#REF!,Table4[Installation],$B15,Table4[Projected 
Year],BH$1,#REF!,BH$2)</f>
        <v>#REF!</v>
      </c>
      <c r="BJ15" s="24" t="e">
        <f t="shared" si="3"/>
        <v>#REF!</v>
      </c>
      <c r="BK15" s="27" t="e">
        <f>SUMIFS(#REF!,Table4[Installation],$B15,#REF!,BK$1,#REF!,BK$2)</f>
        <v>#REF!</v>
      </c>
      <c r="BL15" s="21" t="e">
        <f>SUMIFS(#REF!,Table4[Installation],$B15,Table4[Projected 
Year],BK$1,#REF!,BK$2)</f>
        <v>#REF!</v>
      </c>
      <c r="BM15" s="24" t="e">
        <f t="shared" si="13"/>
        <v>#REF!</v>
      </c>
      <c r="BN15" s="27" t="e">
        <f>SUMIFS(#REF!,Table4[Installation],$B15,#REF!,BN$1,#REF!,BN$2)</f>
        <v>#REF!</v>
      </c>
      <c r="BO15" s="21" t="e">
        <f>SUMIFS(#REF!,Table4[Installation],$B15,Table4[Projected 
Year],BN$1,#REF!,BN$2)</f>
        <v>#REF!</v>
      </c>
      <c r="BP15" s="24" t="e">
        <f t="shared" si="14"/>
        <v>#REF!</v>
      </c>
      <c r="BQ15" s="27" t="e">
        <f>SUMIFS(#REF!,Table4[Installation],$B15,#REF!,BQ$1,#REF!,BQ$2)</f>
        <v>#REF!</v>
      </c>
      <c r="BR15" s="21" t="e">
        <f>SUMIFS(#REF!,Table4[Installation],$B15,Table4[Projected 
Year],BQ$1,#REF!,BQ$2)</f>
        <v>#REF!</v>
      </c>
      <c r="BS15" s="24" t="e">
        <f t="shared" si="15"/>
        <v>#REF!</v>
      </c>
      <c r="BT15" s="27" t="e">
        <f>SUMIFS(#REF!,Table4[Installation],$B15,#REF!,BT$1,#REF!,BT$2)</f>
        <v>#REF!</v>
      </c>
      <c r="BU15" s="21" t="e">
        <f>SUMIFS(#REF!,Table4[Installation],$B15,Table4[Projected 
Year],BT$1,#REF!,BT$2)</f>
        <v>#REF!</v>
      </c>
      <c r="BV15" s="24" t="e">
        <f t="shared" si="16"/>
        <v>#REF!</v>
      </c>
      <c r="BW15" s="27" t="e">
        <f>SUMIFS(#REF!,Table4[Installation],$B15,#REF!,BW$1,#REF!,BW$2)</f>
        <v>#REF!</v>
      </c>
      <c r="BX15" s="21" t="e">
        <f>SUMIFS(#REF!,Table4[Installation],$B15,Table4[Projected 
Year],BW$1,#REF!,BW$2)</f>
        <v>#REF!</v>
      </c>
      <c r="BY15" s="24" t="e">
        <f t="shared" si="12"/>
        <v>#REF!</v>
      </c>
      <c r="BZ15" s="30" t="e">
        <f t="shared" si="4"/>
        <v>#REF!</v>
      </c>
      <c r="CA15" s="30" t="e">
        <f t="shared" si="5"/>
        <v>#REF!</v>
      </c>
      <c r="CB15" s="24" t="e">
        <f t="shared" si="6"/>
        <v>#REF!</v>
      </c>
      <c r="CC15" s="29">
        <v>150000</v>
      </c>
      <c r="CD15" s="19" t="e">
        <f>BZ15-CC15</f>
        <v>#REF!</v>
      </c>
    </row>
    <row r="16" spans="1:82">
      <c r="A16" s="18"/>
      <c r="B16" s="20"/>
      <c r="C16" s="27"/>
      <c r="D16" s="23"/>
      <c r="E16" s="24"/>
      <c r="F16" s="27"/>
      <c r="G16" s="23"/>
      <c r="H16" s="24"/>
      <c r="I16" s="27"/>
      <c r="J16" s="23"/>
      <c r="K16" s="24"/>
      <c r="L16" s="27"/>
      <c r="M16" s="23"/>
      <c r="N16" s="24"/>
      <c r="O16" s="27"/>
      <c r="P16" s="23"/>
      <c r="Q16" s="24"/>
      <c r="R16" s="27"/>
      <c r="S16" s="23"/>
      <c r="T16" s="24"/>
      <c r="U16" s="27"/>
      <c r="V16" s="23"/>
      <c r="W16" s="24"/>
      <c r="X16" s="27"/>
      <c r="Y16" s="23"/>
      <c r="Z16" s="24"/>
      <c r="AA16" s="27"/>
      <c r="AB16" s="23"/>
      <c r="AC16" s="24"/>
      <c r="AD16" s="27"/>
      <c r="AE16" s="23"/>
      <c r="AF16" s="24"/>
      <c r="AG16" s="27"/>
      <c r="AH16" s="23"/>
      <c r="AI16" s="24"/>
      <c r="AJ16" s="27"/>
      <c r="AK16" s="23"/>
      <c r="AL16" s="24"/>
      <c r="AM16" s="30"/>
      <c r="AN16" s="52"/>
      <c r="AO16" s="52"/>
      <c r="AP16" s="27" t="e">
        <f>SUMIFS(#REF!,Table4[Installation],$B16,#REF!,AP$1,#REF!,AP$2)</f>
        <v>#REF!</v>
      </c>
      <c r="AQ16" s="21" t="e">
        <f>SUMIFS(#REF!,Table4[Installation],$B16,Table4[Projected 
Year],AP$1,#REF!,AP$2)</f>
        <v>#REF!</v>
      </c>
      <c r="AR16" s="24" t="e">
        <f t="shared" si="7"/>
        <v>#REF!</v>
      </c>
      <c r="AS16" s="27" t="e">
        <f>SUMIFS(#REF!,Table4[Installation],$B16,#REF!,AS$1,#REF!,AS$2)</f>
        <v>#REF!</v>
      </c>
      <c r="AT16" s="21" t="e">
        <f>SUMIFS(#REF!,Table4[Installation],$B16,Table4[Projected 
Year],AS$1,#REF!,AS$2)</f>
        <v>#REF!</v>
      </c>
      <c r="AU16" s="24" t="e">
        <f t="shared" si="8"/>
        <v>#REF!</v>
      </c>
      <c r="AV16" s="27" t="e">
        <f>SUMIFS(#REF!,Table4[Installation],$B16,#REF!,AV$1,#REF!,AV$2)</f>
        <v>#REF!</v>
      </c>
      <c r="AW16" s="21" t="e">
        <f>SUMIFS(#REF!,Table4[Installation],$B16,Table4[Projected 
Year],AV$1,#REF!,AV$2)</f>
        <v>#REF!</v>
      </c>
      <c r="AX16" s="24" t="e">
        <f t="shared" si="9"/>
        <v>#REF!</v>
      </c>
      <c r="AY16" s="27" t="e">
        <f>SUMIFS(#REF!,Table4[Installation],$B16,#REF!,AY$1,#REF!,AY$2)</f>
        <v>#REF!</v>
      </c>
      <c r="AZ16" s="21" t="e">
        <f>SUMIFS(#REF!,Table4[Installation],$B16,Table4[Projected 
Year],AY$1,#REF!,AY$2)</f>
        <v>#REF!</v>
      </c>
      <c r="BA16" s="24" t="e">
        <f t="shared" si="10"/>
        <v>#REF!</v>
      </c>
      <c r="BB16" s="27" t="e">
        <f>SUMIFS(#REF!,Table4[Installation],$B16,#REF!,BB$1,#REF!,BB$2)</f>
        <v>#REF!</v>
      </c>
      <c r="BC16" s="21" t="e">
        <f>SUMIFS(#REF!,Table4[Installation],$B16,Table4[Projected 
Year],BB$1,#REF!,BB$2)</f>
        <v>#REF!</v>
      </c>
      <c r="BD16" s="24" t="e">
        <f t="shared" si="11"/>
        <v>#REF!</v>
      </c>
      <c r="BE16" s="27" t="e">
        <f>SUMIFS(#REF!,Table4[Installation],$B16,#REF!,BE$1,#REF!,BE$2)</f>
        <v>#REF!</v>
      </c>
      <c r="BF16" s="21" t="e">
        <f>SUMIFS(#REF!,Table4[Installation],$B16,Table4[Projected 
Year],BE$1,#REF!,BE$2)</f>
        <v>#REF!</v>
      </c>
      <c r="BG16" s="24" t="e">
        <f>IF(BE16=0,IF(BF16=0,"-",0),1-(BF16/BE16))</f>
        <v>#REF!</v>
      </c>
      <c r="BH16" s="27" t="e">
        <f>SUMIFS(#REF!,Table4[Installation],$B16,#REF!,BH$1,#REF!,BH$2)</f>
        <v>#REF!</v>
      </c>
      <c r="BI16" s="21" t="e">
        <f>SUMIFS(#REF!,Table4[Installation],$B16,Table4[Projected 
Year],BH$1,#REF!,BH$2)</f>
        <v>#REF!</v>
      </c>
      <c r="BJ16" s="24" t="e">
        <f t="shared" si="3"/>
        <v>#REF!</v>
      </c>
      <c r="BK16" s="27" t="e">
        <f>SUMIFS(#REF!,Table4[Installation],$B16,#REF!,BK$1,#REF!,BK$2)</f>
        <v>#REF!</v>
      </c>
      <c r="BL16" s="21" t="e">
        <f>SUMIFS(#REF!,Table4[Installation],$B16,Table4[Projected 
Year],BK$1,#REF!,BK$2)</f>
        <v>#REF!</v>
      </c>
      <c r="BM16" s="24" t="e">
        <f t="shared" si="13"/>
        <v>#REF!</v>
      </c>
      <c r="BN16" s="27" t="e">
        <f>SUMIFS(#REF!,Table4[Installation],$B16,#REF!,BN$1,#REF!,BN$2)</f>
        <v>#REF!</v>
      </c>
      <c r="BO16" s="21" t="e">
        <f>SUMIFS(#REF!,Table4[Installation],$B16,Table4[Projected 
Year],BN$1,#REF!,BN$2)</f>
        <v>#REF!</v>
      </c>
      <c r="BP16" s="24" t="e">
        <f t="shared" si="14"/>
        <v>#REF!</v>
      </c>
      <c r="BQ16" s="27" t="e">
        <f>SUMIFS(#REF!,Table4[Installation],$B16,#REF!,BQ$1,#REF!,BQ$2)</f>
        <v>#REF!</v>
      </c>
      <c r="BR16" s="21" t="e">
        <f>SUMIFS(#REF!,Table4[Installation],$B16,Table4[Projected 
Year],BQ$1,#REF!,BQ$2)</f>
        <v>#REF!</v>
      </c>
      <c r="BS16" s="24" t="e">
        <f t="shared" si="15"/>
        <v>#REF!</v>
      </c>
      <c r="BT16" s="27" t="e">
        <f>SUMIFS(#REF!,Table4[Installation],$B16,#REF!,BT$1,#REF!,BT$2)</f>
        <v>#REF!</v>
      </c>
      <c r="BU16" s="21" t="e">
        <f>SUMIFS(#REF!,Table4[Installation],$B16,Table4[Projected 
Year],BT$1,#REF!,BT$2)</f>
        <v>#REF!</v>
      </c>
      <c r="BV16" s="24" t="e">
        <f t="shared" si="16"/>
        <v>#REF!</v>
      </c>
      <c r="BW16" s="27" t="e">
        <f>SUMIFS(#REF!,Table4[Installation],$B16,#REF!,BW$1,#REF!,BW$2)</f>
        <v>#REF!</v>
      </c>
      <c r="BX16" s="21" t="e">
        <f>SUMIFS(#REF!,Table4[Installation],$B16,Table4[Projected 
Year],BW$1,#REF!,BW$2)</f>
        <v>#REF!</v>
      </c>
      <c r="BY16" s="24" t="e">
        <f t="shared" si="12"/>
        <v>#REF!</v>
      </c>
      <c r="BZ16" s="30" t="e">
        <f t="shared" si="4"/>
        <v>#REF!</v>
      </c>
      <c r="CA16" s="30" t="e">
        <f t="shared" si="5"/>
        <v>#REF!</v>
      </c>
      <c r="CB16" s="24" t="e">
        <f t="shared" si="6"/>
        <v>#REF!</v>
      </c>
      <c r="CC16" s="29"/>
      <c r="CD16" s="19"/>
    </row>
    <row r="17" spans="1:82">
      <c r="A17" s="151" t="s">
        <v>108</v>
      </c>
      <c r="B17" s="20"/>
      <c r="C17" s="27"/>
      <c r="D17" s="23"/>
      <c r="E17" s="24"/>
      <c r="F17" s="27"/>
      <c r="G17" s="23"/>
      <c r="H17" s="24"/>
      <c r="I17" s="27"/>
      <c r="J17" s="23"/>
      <c r="K17" s="24"/>
      <c r="L17" s="27"/>
      <c r="M17" s="23"/>
      <c r="N17" s="24"/>
      <c r="O17" s="27"/>
      <c r="P17" s="23"/>
      <c r="Q17" s="24"/>
      <c r="R17" s="27"/>
      <c r="S17" s="23"/>
      <c r="T17" s="24"/>
      <c r="U17" s="27"/>
      <c r="V17" s="23"/>
      <c r="W17" s="24"/>
      <c r="X17" s="27"/>
      <c r="Y17" s="23"/>
      <c r="Z17" s="24"/>
      <c r="AA17" s="27"/>
      <c r="AB17" s="23"/>
      <c r="AC17" s="24"/>
      <c r="AD17" s="27"/>
      <c r="AE17" s="23"/>
      <c r="AF17" s="24"/>
      <c r="AG17" s="27"/>
      <c r="AH17" s="23"/>
      <c r="AI17" s="24"/>
      <c r="AJ17" s="27"/>
      <c r="AK17" s="23"/>
      <c r="AL17" s="24"/>
      <c r="AM17" s="30"/>
      <c r="AN17" s="52"/>
      <c r="AO17" s="52"/>
      <c r="AP17" s="27" t="e">
        <f>SUMIFS(#REF!,Table4[Installation],$B17,#REF!,AP$1,#REF!,AP$2)</f>
        <v>#REF!</v>
      </c>
      <c r="AQ17" s="21" t="e">
        <f>SUMIFS(#REF!,Table4[Installation],$B17,Table4[Projected 
Year],AP$1,#REF!,AP$2)</f>
        <v>#REF!</v>
      </c>
      <c r="AR17" s="24" t="e">
        <f t="shared" si="7"/>
        <v>#REF!</v>
      </c>
      <c r="AS17" s="27" t="e">
        <f>SUMIFS(#REF!,Table4[Installation],$B17,#REF!,AS$1,#REF!,AS$2)</f>
        <v>#REF!</v>
      </c>
      <c r="AT17" s="21" t="e">
        <f>SUMIFS(#REF!,Table4[Installation],$B17,Table4[Projected 
Year],AS$1,#REF!,AS$2)</f>
        <v>#REF!</v>
      </c>
      <c r="AU17" s="24" t="e">
        <f t="shared" si="8"/>
        <v>#REF!</v>
      </c>
      <c r="AV17" s="27" t="e">
        <f>SUMIFS(#REF!,Table4[Installation],$B17,#REF!,AV$1,#REF!,AV$2)</f>
        <v>#REF!</v>
      </c>
      <c r="AW17" s="21" t="e">
        <f>SUMIFS(#REF!,Table4[Installation],$B17,Table4[Projected 
Year],AV$1,#REF!,AV$2)</f>
        <v>#REF!</v>
      </c>
      <c r="AX17" s="24" t="e">
        <f t="shared" si="9"/>
        <v>#REF!</v>
      </c>
      <c r="AY17" s="27" t="e">
        <f>SUMIFS(#REF!,Table4[Installation],$B17,#REF!,AY$1,#REF!,AY$2)</f>
        <v>#REF!</v>
      </c>
      <c r="AZ17" s="21" t="e">
        <f>SUMIFS(#REF!,Table4[Installation],$B17,Table4[Projected 
Year],AY$1,#REF!,AY$2)</f>
        <v>#REF!</v>
      </c>
      <c r="BA17" s="24" t="e">
        <f t="shared" si="10"/>
        <v>#REF!</v>
      </c>
      <c r="BB17" s="27" t="e">
        <f>SUMIFS(#REF!,Table4[Installation],$B17,#REF!,BB$1,#REF!,BB$2)</f>
        <v>#REF!</v>
      </c>
      <c r="BC17" s="21" t="e">
        <f>SUMIFS(#REF!,Table4[Installation],$B17,Table4[Projected 
Year],BB$1,#REF!,BB$2)</f>
        <v>#REF!</v>
      </c>
      <c r="BD17" s="24" t="e">
        <f t="shared" si="11"/>
        <v>#REF!</v>
      </c>
      <c r="BE17" s="27" t="e">
        <f>SUMIFS(#REF!,Table4[Installation],$B17,#REF!,BE$1,#REF!,BE$2)</f>
        <v>#REF!</v>
      </c>
      <c r="BF17" s="21" t="e">
        <f>SUMIFS(#REF!,Table4[Installation],$B17,Table4[Projected 
Year],BE$1,#REF!,BE$2)</f>
        <v>#REF!</v>
      </c>
      <c r="BG17" s="24" t="e">
        <f t="shared" ref="BG17:BG51" si="18">IF(BE17=0,IF(BF17=0,"-",0),1-(BF17/BE17))</f>
        <v>#REF!</v>
      </c>
      <c r="BH17" s="27" t="e">
        <f>SUMIFS(#REF!,Table4[Installation],$B17,#REF!,BH$1,#REF!,BH$2)</f>
        <v>#REF!</v>
      </c>
      <c r="BI17" s="21" t="e">
        <f>SUMIFS(#REF!,Table4[Installation],$B17,Table4[Projected 
Year],BH$1,#REF!,BH$2)</f>
        <v>#REF!</v>
      </c>
      <c r="BJ17" s="24" t="e">
        <f t="shared" si="3"/>
        <v>#REF!</v>
      </c>
      <c r="BK17" s="27" t="e">
        <f>SUMIFS(#REF!,Table4[Installation],$B17,#REF!,BK$1,#REF!,BK$2)</f>
        <v>#REF!</v>
      </c>
      <c r="BL17" s="21" t="e">
        <f>SUMIFS(#REF!,Table4[Installation],$B17,Table4[Projected 
Year],BK$1,#REF!,BK$2)</f>
        <v>#REF!</v>
      </c>
      <c r="BM17" s="24" t="e">
        <f t="shared" si="13"/>
        <v>#REF!</v>
      </c>
      <c r="BN17" s="27" t="e">
        <f>SUMIFS(#REF!,Table4[Installation],$B17,#REF!,BN$1,#REF!,BN$2)</f>
        <v>#REF!</v>
      </c>
      <c r="BO17" s="21" t="e">
        <f>SUMIFS(#REF!,Table4[Installation],$B17,Table4[Projected 
Year],BN$1,#REF!,BN$2)</f>
        <v>#REF!</v>
      </c>
      <c r="BP17" s="24" t="e">
        <f t="shared" si="14"/>
        <v>#REF!</v>
      </c>
      <c r="BQ17" s="27" t="e">
        <f>SUMIFS(#REF!,Table4[Installation],$B17,#REF!,BQ$1,#REF!,BQ$2)</f>
        <v>#REF!</v>
      </c>
      <c r="BR17" s="21" t="e">
        <f>SUMIFS(#REF!,Table4[Installation],$B17,Table4[Projected 
Year],BQ$1,#REF!,BQ$2)</f>
        <v>#REF!</v>
      </c>
      <c r="BS17" s="24" t="e">
        <f t="shared" si="15"/>
        <v>#REF!</v>
      </c>
      <c r="BT17" s="27" t="e">
        <f>SUMIFS(#REF!,Table4[Installation],$B17,#REF!,BT$1,#REF!,BT$2)</f>
        <v>#REF!</v>
      </c>
      <c r="BU17" s="21" t="e">
        <f>SUMIFS(#REF!,Table4[Installation],$B17,Table4[Projected 
Year],BT$1,#REF!,BT$2)</f>
        <v>#REF!</v>
      </c>
      <c r="BV17" s="24" t="e">
        <f t="shared" si="16"/>
        <v>#REF!</v>
      </c>
      <c r="BW17" s="27" t="e">
        <f>SUMIFS(#REF!,Table4[Installation],$B17,#REF!,BW$1,#REF!,BW$2)</f>
        <v>#REF!</v>
      </c>
      <c r="BX17" s="21" t="e">
        <f>SUMIFS(#REF!,Table4[Installation],$B17,Table4[Projected 
Year],BW$1,#REF!,BW$2)</f>
        <v>#REF!</v>
      </c>
      <c r="BY17" s="24" t="e">
        <f t="shared" si="12"/>
        <v>#REF!</v>
      </c>
      <c r="BZ17" s="30" t="e">
        <f t="shared" si="4"/>
        <v>#REF!</v>
      </c>
      <c r="CA17" s="30" t="e">
        <f t="shared" si="5"/>
        <v>#REF!</v>
      </c>
      <c r="CB17" s="24" t="e">
        <f t="shared" si="6"/>
        <v>#REF!</v>
      </c>
      <c r="CC17" s="29"/>
      <c r="CD17" s="19"/>
    </row>
    <row r="18" spans="1:82">
      <c r="A18" s="18" t="s">
        <v>57</v>
      </c>
      <c r="B18" s="20" t="s">
        <v>104</v>
      </c>
      <c r="C18" s="27">
        <f>SUMIFS(Table4[Expected Revenue],Table4[Installation],$B18,Table4[Projected 
Year],C$1,Table4[Projected 
Month],C$2)</f>
        <v>0</v>
      </c>
      <c r="D18" s="23">
        <f>SUMPRODUCT(Table4[Probability]*Table4[Expected Revenue]*(Table4[Installation]=$B18)*(Table4[Projected 
Year]=C$1)*(Table4[Projected 
Month]=C$2))/MAX(1,SUMPRODUCT(Table4[Expected Revenue]*(Table4[Installation]=$B18)*(Table4[Projected 
Year]=C$1)*(Table4[Projected 
Month]=C$2)))</f>
        <v>0</v>
      </c>
      <c r="E18" s="24">
        <f>SUMPRODUCT(Table4[Expected Revenue]*Table4[Expected CMR]*(Table4[Projected 
Year]=C$1)*(Table4[Projected 
Month]=C$2)*(Table4[Installation]=$B18))/MAX(1,C18)</f>
        <v>0</v>
      </c>
      <c r="F18" s="27">
        <f>SUMIFS(Table4[Expected Revenue],Table4[Installation],$B18,Table4[Projected 
Year],F$1,Table4[Projected 
Month],F$2)</f>
        <v>0</v>
      </c>
      <c r="G18" s="23">
        <f>SUMPRODUCT(Table4[Probability]*Table4[Expected Revenue]*(Table4[Installation]=$B18)*(Table4[Projected 
Year]=F$1)*(Table4[Projected 
Month]=F$2))/MAX(1,SUMPRODUCT(Table4[Expected Revenue]*(Table4[Installation]=$B18)*(Table4[Projected 
Year]=F$1)*(Table4[Projected 
Month]=F$2)))</f>
        <v>0</v>
      </c>
      <c r="H18" s="24">
        <f>SUMPRODUCT(Table4[Expected Revenue]*Table4[Expected CMR]*(Table4[Projected 
Year]=F$1)*(Table4[Projected 
Month]=F$2)*(Table4[Installation]=$B18))/MAX(1,F18)</f>
        <v>0</v>
      </c>
      <c r="I18" s="27">
        <f>SUMIFS(Table4[Expected Revenue],Table4[Installation],$B18,Table4[Projected 
Year],I$1,Table4[Projected 
Month],I$2)</f>
        <v>0</v>
      </c>
      <c r="J18" s="23">
        <f>SUMPRODUCT(Table4[Probability]*Table4[Expected Revenue]*(Table4[Installation]=$B18)*(Table4[Projected 
Year]=I$1)*(Table4[Projected 
Month]=I$2))/MAX(1,SUMPRODUCT(Table4[Expected Revenue]*(Table4[Installation]=$B18)*(Table4[Projected 
Year]=I$1)*(Table4[Projected 
Month]=I$2)))</f>
        <v>0</v>
      </c>
      <c r="K18" s="24">
        <f>SUMPRODUCT(Table4[Expected Revenue]*Table4[Expected CMR]*(Table4[Projected 
Year]=I$1)*(Table4[Projected 
Month]=I$2)*(Table4[Installation]=$B18))/MAX(1,I18)</f>
        <v>0</v>
      </c>
      <c r="L18" s="27">
        <f>SUMIFS(Table4[Expected Revenue],Table4[Installation],$B18,Table4[Projected 
Year],L$1,Table4[Projected 
Month],L$2)</f>
        <v>0</v>
      </c>
      <c r="M18" s="23">
        <f>SUMPRODUCT(Table4[Probability]*Table4[Expected Revenue]*(Table4[Installation]=$B18)*(Table4[Projected 
Year]=L$1)*(Table4[Projected 
Month]=L$2))/MAX(1,SUMPRODUCT(Table4[Expected Revenue]*(Table4[Installation]=$B18)*(Table4[Projected 
Year]=L$1)*(Table4[Projected 
Month]=L$2)))</f>
        <v>0</v>
      </c>
      <c r="N18" s="24">
        <f>SUMPRODUCT(Table4[Expected Revenue]*Table4[Expected CMR]*(Table4[Projected 
Year]=L$1)*(Table4[Projected 
Month]=L$2)*(Table4[Installation]=$B18))/MAX(1,L18)</f>
        <v>0</v>
      </c>
      <c r="O18" s="27">
        <f>SUMIFS(Table4[Expected Revenue],Table4[Installation],$B18,Table4[Projected 
Year],O$1,Table4[Projected 
Month],O$2)</f>
        <v>0</v>
      </c>
      <c r="P18" s="23">
        <f>SUMPRODUCT(Table4[Probability]*Table4[Expected Revenue]*(Table4[Installation]=$B18)*(Table4[Projected 
Year]=O$1)*(Table4[Projected 
Month]=O$2))/MAX(1,SUMPRODUCT(Table4[Expected Revenue]*(Table4[Installation]=$B18)*(Table4[Projected 
Year]=O$1)*(Table4[Projected 
Month]=O$2)))</f>
        <v>0</v>
      </c>
      <c r="Q18" s="24">
        <f>SUMPRODUCT(Table4[Expected Revenue]*Table4[Expected CMR]*(Table4[Projected 
Year]=O$1)*(Table4[Projected 
Month]=O$2)*(Table4[Installation]=$B18))/MAX(1,O18)</f>
        <v>0</v>
      </c>
      <c r="R18" s="27">
        <f>SUMIFS(Table4[Expected Revenue],Table4[Installation],$B18,Table4[Projected 
Year],R$1,Table4[Projected 
Month],R$2)</f>
        <v>0</v>
      </c>
      <c r="S18" s="23">
        <f>SUMPRODUCT(Table4[Probability]*Table4[Expected Revenue]*(Table4[Installation]=$B18)*(Table4[Projected 
Year]=R$1)*(Table4[Projected 
Month]=R$2))/MAX(1,SUMPRODUCT(Table4[Expected Revenue]*(Table4[Installation]=$B18)*(Table4[Projected 
Year]=R$1)*(Table4[Projected 
Month]=R$2)))</f>
        <v>0</v>
      </c>
      <c r="T18" s="24">
        <f>SUMPRODUCT(Table4[Expected Revenue]*Table4[Expected CMR]*(Table4[Projected 
Year]=R$1)*(Table4[Projected 
Month]=R$2)*(Table4[Installation]=$B18))/MAX(1,R18)</f>
        <v>0</v>
      </c>
      <c r="U18" s="27">
        <f>SUMIFS(Table4[Expected Revenue],Table4[Installation],$B18,Table4[Projected 
Year],U$1,Table4[Projected 
Month],U$2)</f>
        <v>0</v>
      </c>
      <c r="V18" s="23">
        <f>SUMPRODUCT(Table4[Probability]*Table4[Expected Revenue]*(Table4[Installation]=$B18)*(Table4[Projected 
Year]=U$1)*(Table4[Projected 
Month]=U$2))/MAX(1,SUMPRODUCT(Table4[Expected Revenue]*(Table4[Installation]=$B18)*(Table4[Projected 
Year]=U$1)*(Table4[Projected 
Month]=U$2)))</f>
        <v>0</v>
      </c>
      <c r="W18" s="24">
        <f>SUMPRODUCT(Table4[Expected Revenue]*Table4[Expected CMR]*(Table4[Projected 
Year]=U$1)*(Table4[Projected 
Month]=U$2)*(Table4[Installation]=$B18))/MAX(1,U18)</f>
        <v>0</v>
      </c>
      <c r="X18" s="27">
        <f>SUMIFS(Table4[Expected Revenue],Table4[Installation],$B18,Table4[Projected 
Year],X$1,Table4[Projected 
Month],X$2)</f>
        <v>0</v>
      </c>
      <c r="Y18" s="23">
        <f>SUMPRODUCT(Table4[Probability]*Table4[Expected Revenue]*(Table4[Installation]=$B18)*(Table4[Projected 
Year]=X$1)*(Table4[Projected 
Month]=X$2))/MAX(1,SUMPRODUCT(Table4[Expected Revenue]*(Table4[Installation]=$B18)*(Table4[Projected 
Year]=X$1)*(Table4[Projected 
Month]=X$2)))</f>
        <v>0</v>
      </c>
      <c r="Z18" s="24">
        <f>SUMPRODUCT(Table4[Expected Revenue]*Table4[Expected CMR]*(Table4[Projected 
Year]=X$1)*(Table4[Projected 
Month]=X$2)*(Table4[Installation]=$B18))/MAX(1,X18)</f>
        <v>0</v>
      </c>
      <c r="AA18" s="27">
        <f>SUMIFS(Table4[Expected Revenue],Table4[Installation],$B18,Table4[Projected 
Year],AA$1,Table4[Projected 
Month],AA$2)</f>
        <v>0</v>
      </c>
      <c r="AB18" s="23">
        <f>SUMPRODUCT(Table4[Probability]*Table4[Expected Revenue]*(Table4[Installation]=$B18)*(Table4[Projected 
Year]=AA$1)*(Table4[Projected 
Month]=AA$2))/MAX(1,SUMPRODUCT(Table4[Expected Revenue]*(Table4[Installation]=$B18)*(Table4[Projected 
Year]=AA$1)*(Table4[Projected 
Month]=AA$2)))</f>
        <v>0</v>
      </c>
      <c r="AC18" s="24">
        <f>SUMPRODUCT(Table4[Expected Revenue]*Table4[Expected CMR]*(Table4[Projected 
Year]=AA$1)*(Table4[Projected 
Month]=AA$2)*(Table4[Installation]=$B18))/MAX(1,AA18)</f>
        <v>0</v>
      </c>
      <c r="AD18" s="27">
        <f>SUMIFS(Table4[Expected Revenue],Table4[Installation],$B18,Table4[Projected 
Year],AD$1,Table4[Projected 
Month],AD$2)</f>
        <v>0</v>
      </c>
      <c r="AE18" s="23">
        <f>SUMPRODUCT(Table4[Probability]*Table4[Expected Revenue]*(Table4[Installation]=$B18)*(Table4[Projected 
Year]=AD$1)*(Table4[Projected 
Month]=AD$2))/MAX(1,SUMPRODUCT(Table4[Expected Revenue]*(Table4[Installation]=$B18)*(Table4[Projected 
Year]=AD$1)*(Table4[Projected 
Month]=AD$2)))</f>
        <v>0</v>
      </c>
      <c r="AF18" s="24">
        <f>SUMPRODUCT(Table4[Expected Revenue]*Table4[Expected CMR]*(Table4[Projected 
Year]=AD$1)*(Table4[Projected 
Month]=AD$2)*(Table4[Installation]=$B18))/MAX(1,AD18)</f>
        <v>0</v>
      </c>
      <c r="AG18" s="27">
        <f>SUMIFS(Table4[Expected Revenue],Table4[Installation],$B18,Table4[Projected 
Year],AG$1,Table4[Projected 
Month],AG$2)</f>
        <v>0</v>
      </c>
      <c r="AH18" s="23">
        <f>SUMPRODUCT(Table4[Probability]*Table4[Expected Revenue]*(Table4[Installation]=$B18)*(Table4[Projected 
Year]=AG$1)*(Table4[Projected 
Month]=AG$2))/MAX(1,SUMPRODUCT(Table4[Expected Revenue]*(Table4[Installation]=$B18)*(Table4[Projected 
Year]=AG$1)*(Table4[Projected 
Month]=AG$2)))</f>
        <v>0</v>
      </c>
      <c r="AI18" s="24">
        <f>SUMPRODUCT(Table4[Expected Revenue]*Table4[Expected CMR]*(Table4[Projected 
Year]=AG$1)*(Table4[Projected 
Month]=AG$2)*(Table4[Installation]=$B18))/MAX(1,AG18)</f>
        <v>0</v>
      </c>
      <c r="AJ18" s="27">
        <f>SUMIFS(Table4[Expected Revenue],Table4[Installation],$B18,Table4[Projected 
Year],AJ$1,Table4[Projected 
Month],AJ$2)</f>
        <v>37560</v>
      </c>
      <c r="AK18" s="23">
        <f>SUMPRODUCT(Table4[Probability]*Table4[Expected Revenue]*(Table4[Installation]=$B18)*(Table4[Projected 
Year]=AJ$1)*(Table4[Projected 
Month]=AJ$2))/MAX(1,SUMPRODUCT(Table4[Expected Revenue]*(Table4[Installation]=$B18)*(Table4[Projected 
Year]=AJ$1)*(Table4[Projected 
Month]=AJ$2)))</f>
        <v>1</v>
      </c>
      <c r="AL18" s="24">
        <f>SUMPRODUCT(Table4[Expected Revenue]*Table4[Expected CMR]*(Table4[Projected 
Year]=AJ$1)*(Table4[Projected 
Month]=AJ$2)*(Table4[Installation]=$B18))/MAX(1,AJ18)</f>
        <v>0.3</v>
      </c>
      <c r="AM18" s="30">
        <f>SUM($C18,$F18,$I18,$L18,$O18,$R18,$U18,$X18,$AA18,$AD18,$AG18,$AJ18)</f>
        <v>37560</v>
      </c>
      <c r="AN18" s="52">
        <f t="shared" ref="AN18:AO21" si="19">SUM($C18*D18,$F18*G18,$I18*J18,$L18*M18,$O18*P18,$R18*S18,$U18*V18,$X18*Y18,$AA18*AB18,$AD18*AE18,$AG18*AH18,$AJ18*AK18)/MAX(1,$AM18)</f>
        <v>1</v>
      </c>
      <c r="AO18" s="52">
        <f t="shared" si="19"/>
        <v>0.3</v>
      </c>
      <c r="AP18" s="27" t="e">
        <f>SUMIFS(#REF!,Table4[Installation],$B18,#REF!,AP$1,#REF!,AP$2)</f>
        <v>#REF!</v>
      </c>
      <c r="AQ18" s="21" t="e">
        <f>SUMIFS(#REF!,Table4[Installation],$B18,Table4[Projected 
Year],AP$1,#REF!,AP$2)</f>
        <v>#REF!</v>
      </c>
      <c r="AR18" s="24" t="e">
        <f t="shared" si="7"/>
        <v>#REF!</v>
      </c>
      <c r="AS18" s="27" t="e">
        <f>SUMIFS(#REF!,Table4[Installation],$B18,#REF!,AS$1,#REF!,AS$2)</f>
        <v>#REF!</v>
      </c>
      <c r="AT18" s="21" t="e">
        <f>SUMIFS(#REF!,Table4[Installation],$B18,Table4[Projected 
Year],AS$1,#REF!,AS$2)</f>
        <v>#REF!</v>
      </c>
      <c r="AU18" s="24" t="e">
        <f t="shared" si="8"/>
        <v>#REF!</v>
      </c>
      <c r="AV18" s="27" t="e">
        <f>SUMIFS(#REF!,Table4[Installation],$B18,#REF!,AV$1,#REF!,AV$2)</f>
        <v>#REF!</v>
      </c>
      <c r="AW18" s="21" t="e">
        <f>SUMIFS(#REF!,Table4[Installation],$B18,Table4[Projected 
Year],AV$1,#REF!,AV$2)</f>
        <v>#REF!</v>
      </c>
      <c r="AX18" s="24" t="e">
        <f t="shared" si="9"/>
        <v>#REF!</v>
      </c>
      <c r="AY18" s="27" t="e">
        <f>SUMIFS(#REF!,Table4[Installation],$B18,#REF!,AY$1,#REF!,AY$2)</f>
        <v>#REF!</v>
      </c>
      <c r="AZ18" s="21" t="e">
        <f>SUMIFS(#REF!,Table4[Installation],$B18,Table4[Projected 
Year],AY$1,#REF!,AY$2)</f>
        <v>#REF!</v>
      </c>
      <c r="BA18" s="24" t="e">
        <f t="shared" si="10"/>
        <v>#REF!</v>
      </c>
      <c r="BB18" s="27" t="e">
        <f>SUMIFS(#REF!,Table4[Installation],$B18,#REF!,BB$1,#REF!,BB$2)</f>
        <v>#REF!</v>
      </c>
      <c r="BC18" s="21" t="e">
        <f>SUMIFS(#REF!,Table4[Installation],$B18,Table4[Projected 
Year],BB$1,#REF!,BB$2)</f>
        <v>#REF!</v>
      </c>
      <c r="BD18" s="24" t="e">
        <f t="shared" si="11"/>
        <v>#REF!</v>
      </c>
      <c r="BE18" s="27" t="e">
        <f>SUMIFS(#REF!,Table4[Installation],$B18,#REF!,BE$1,#REF!,BE$2)</f>
        <v>#REF!</v>
      </c>
      <c r="BF18" s="21" t="e">
        <f>SUMIFS(#REF!,Table4[Installation],$B18,Table4[Projected 
Year],BE$1,#REF!,BE$2)</f>
        <v>#REF!</v>
      </c>
      <c r="BG18" s="24" t="e">
        <f t="shared" si="18"/>
        <v>#REF!</v>
      </c>
      <c r="BH18" s="27" t="e">
        <f>SUMIFS(#REF!,Table4[Installation],$B18,#REF!,BH$1,#REF!,BH$2)</f>
        <v>#REF!</v>
      </c>
      <c r="BI18" s="21" t="e">
        <f>SUMIFS(#REF!,Table4[Installation],$B18,Table4[Projected 
Year],BH$1,#REF!,BH$2)</f>
        <v>#REF!</v>
      </c>
      <c r="BJ18" s="24" t="e">
        <f t="shared" si="3"/>
        <v>#REF!</v>
      </c>
      <c r="BK18" s="27" t="e">
        <f>SUMIFS(#REF!,Table4[Installation],$B18,#REF!,BK$1,#REF!,BK$2)</f>
        <v>#REF!</v>
      </c>
      <c r="BL18" s="21" t="e">
        <f>SUMIFS(#REF!,Table4[Installation],$B18,Table4[Projected 
Year],BK$1,#REF!,BK$2)</f>
        <v>#REF!</v>
      </c>
      <c r="BM18" s="24" t="e">
        <f t="shared" si="13"/>
        <v>#REF!</v>
      </c>
      <c r="BN18" s="27" t="e">
        <f>SUMIFS(#REF!,Table4[Installation],$B18,#REF!,BN$1,#REF!,BN$2)</f>
        <v>#REF!</v>
      </c>
      <c r="BO18" s="21" t="e">
        <f>SUMIFS(#REF!,Table4[Installation],$B18,Table4[Projected 
Year],BN$1,#REF!,BN$2)</f>
        <v>#REF!</v>
      </c>
      <c r="BP18" s="24" t="e">
        <f t="shared" si="14"/>
        <v>#REF!</v>
      </c>
      <c r="BQ18" s="27" t="e">
        <f>SUMIFS(#REF!,Table4[Installation],$B18,#REF!,BQ$1,#REF!,BQ$2)</f>
        <v>#REF!</v>
      </c>
      <c r="BR18" s="21" t="e">
        <f>SUMIFS(#REF!,Table4[Installation],$B18,Table4[Projected 
Year],BQ$1,#REF!,BQ$2)</f>
        <v>#REF!</v>
      </c>
      <c r="BS18" s="24" t="e">
        <f t="shared" si="15"/>
        <v>#REF!</v>
      </c>
      <c r="BT18" s="27" t="e">
        <f>SUMIFS(#REF!,Table4[Installation],$B18,#REF!,BT$1,#REF!,BT$2)</f>
        <v>#REF!</v>
      </c>
      <c r="BU18" s="21" t="e">
        <f>SUMIFS(#REF!,Table4[Installation],$B18,Table4[Projected 
Year],BT$1,#REF!,BT$2)</f>
        <v>#REF!</v>
      </c>
      <c r="BV18" s="24" t="e">
        <f t="shared" si="16"/>
        <v>#REF!</v>
      </c>
      <c r="BW18" s="27" t="e">
        <f>SUMIFS(#REF!,Table4[Installation],$B18,#REF!,BW$1,#REF!,BW$2)</f>
        <v>#REF!</v>
      </c>
      <c r="BX18" s="21" t="e">
        <f>SUMIFS(#REF!,Table4[Installation],$B18,Table4[Projected 
Year],BW$1,#REF!,BW$2)</f>
        <v>#REF!</v>
      </c>
      <c r="BY18" s="24" t="e">
        <f t="shared" si="12"/>
        <v>#REF!</v>
      </c>
      <c r="BZ18" s="30" t="e">
        <f t="shared" si="4"/>
        <v>#REF!</v>
      </c>
      <c r="CA18" s="30" t="e">
        <f t="shared" si="5"/>
        <v>#REF!</v>
      </c>
      <c r="CB18" s="24" t="e">
        <f t="shared" si="6"/>
        <v>#REF!</v>
      </c>
      <c r="CC18" s="29">
        <v>374864</v>
      </c>
      <c r="CD18" s="19" t="e">
        <f>BZ18-CC18</f>
        <v>#REF!</v>
      </c>
    </row>
    <row r="19" spans="1:82">
      <c r="A19" s="18" t="s">
        <v>57</v>
      </c>
      <c r="B19" s="20" t="s">
        <v>73</v>
      </c>
      <c r="C19" s="27">
        <f>SUMIFS(Table4[Expected Revenue],Table4[Installation],$B19,Table4[Projected 
Year],C$1,Table4[Projected 
Month],C$2)</f>
        <v>0</v>
      </c>
      <c r="D19" s="23">
        <f>SUMPRODUCT(Table4[Probability]*Table4[Expected Revenue]*(Table4[Installation]=$B19)*(Table4[Projected 
Year]=C$1)*(Table4[Projected 
Month]=C$2))/MAX(1,SUMPRODUCT(Table4[Expected Revenue]*(Table4[Installation]=$B19)*(Table4[Projected 
Year]=C$1)*(Table4[Projected 
Month]=C$2)))</f>
        <v>0</v>
      </c>
      <c r="E19" s="24">
        <f>SUMPRODUCT(Table4[Expected Revenue]*Table4[Expected CMR]*(Table4[Projected 
Year]=C$1)*(Table4[Projected 
Month]=C$2)*(Table4[Installation]=$B19))/MAX(1,C19)</f>
        <v>0</v>
      </c>
      <c r="F19" s="27">
        <f>SUMIFS(Table4[Expected Revenue],Table4[Installation],$B19,Table4[Projected 
Year],F$1,Table4[Projected 
Month],F$2)</f>
        <v>0</v>
      </c>
      <c r="G19" s="23">
        <f>SUMPRODUCT(Table4[Probability]*Table4[Expected Revenue]*(Table4[Installation]=$B19)*(Table4[Projected 
Year]=F$1)*(Table4[Projected 
Month]=F$2))/MAX(1,SUMPRODUCT(Table4[Expected Revenue]*(Table4[Installation]=$B19)*(Table4[Projected 
Year]=F$1)*(Table4[Projected 
Month]=F$2)))</f>
        <v>0</v>
      </c>
      <c r="H19" s="24">
        <f>SUMPRODUCT(Table4[Expected Revenue]*Table4[Expected CMR]*(Table4[Projected 
Year]=F$1)*(Table4[Projected 
Month]=F$2)*(Table4[Installation]=$B19))/MAX(1,F19)</f>
        <v>0</v>
      </c>
      <c r="I19" s="27">
        <f>SUMIFS(Table4[Expected Revenue],Table4[Installation],$B19,Table4[Projected 
Year],I$1,Table4[Projected 
Month],I$2)</f>
        <v>0</v>
      </c>
      <c r="J19" s="23">
        <f>SUMPRODUCT(Table4[Probability]*Table4[Expected Revenue]*(Table4[Installation]=$B19)*(Table4[Projected 
Year]=I$1)*(Table4[Projected 
Month]=I$2))/MAX(1,SUMPRODUCT(Table4[Expected Revenue]*(Table4[Installation]=$B19)*(Table4[Projected 
Year]=I$1)*(Table4[Projected 
Month]=I$2)))</f>
        <v>0</v>
      </c>
      <c r="K19" s="24">
        <f>SUMPRODUCT(Table4[Expected Revenue]*Table4[Expected CMR]*(Table4[Projected 
Year]=I$1)*(Table4[Projected 
Month]=I$2)*(Table4[Installation]=$B19))/MAX(1,I19)</f>
        <v>0</v>
      </c>
      <c r="L19" s="27">
        <f>SUMIFS(Table4[Expected Revenue],Table4[Installation],$B19,Table4[Projected 
Year],L$1,Table4[Projected 
Month],L$2)</f>
        <v>0</v>
      </c>
      <c r="M19" s="23">
        <f>SUMPRODUCT(Table4[Probability]*Table4[Expected Revenue]*(Table4[Installation]=$B19)*(Table4[Projected 
Year]=L$1)*(Table4[Projected 
Month]=L$2))/MAX(1,SUMPRODUCT(Table4[Expected Revenue]*(Table4[Installation]=$B19)*(Table4[Projected 
Year]=L$1)*(Table4[Projected 
Month]=L$2)))</f>
        <v>0</v>
      </c>
      <c r="N19" s="24">
        <f>SUMPRODUCT(Table4[Expected Revenue]*Table4[Expected CMR]*(Table4[Projected 
Year]=L$1)*(Table4[Projected 
Month]=L$2)*(Table4[Installation]=$B19))/MAX(1,L19)</f>
        <v>0</v>
      </c>
      <c r="O19" s="27">
        <f>SUMIFS(Table4[Expected Revenue],Table4[Installation],$B19,Table4[Projected 
Year],O$1,Table4[Projected 
Month],O$2)</f>
        <v>0</v>
      </c>
      <c r="P19" s="23">
        <f>SUMPRODUCT(Table4[Probability]*Table4[Expected Revenue]*(Table4[Installation]=$B19)*(Table4[Projected 
Year]=O$1)*(Table4[Projected 
Month]=O$2))/MAX(1,SUMPRODUCT(Table4[Expected Revenue]*(Table4[Installation]=$B19)*(Table4[Projected 
Year]=O$1)*(Table4[Projected 
Month]=O$2)))</f>
        <v>0</v>
      </c>
      <c r="Q19" s="24">
        <f>SUMPRODUCT(Table4[Expected Revenue]*Table4[Expected CMR]*(Table4[Projected 
Year]=O$1)*(Table4[Projected 
Month]=O$2)*(Table4[Installation]=$B19))/MAX(1,O19)</f>
        <v>0</v>
      </c>
      <c r="R19" s="27">
        <f>SUMIFS(Table4[Expected Revenue],Table4[Installation],$B19,Table4[Projected 
Year],R$1,Table4[Projected 
Month],R$2)</f>
        <v>0</v>
      </c>
      <c r="S19" s="23">
        <f>SUMPRODUCT(Table4[Probability]*Table4[Expected Revenue]*(Table4[Installation]=$B19)*(Table4[Projected 
Year]=R$1)*(Table4[Projected 
Month]=R$2))/MAX(1,SUMPRODUCT(Table4[Expected Revenue]*(Table4[Installation]=$B19)*(Table4[Projected 
Year]=R$1)*(Table4[Projected 
Month]=R$2)))</f>
        <v>0</v>
      </c>
      <c r="T19" s="24">
        <f>SUMPRODUCT(Table4[Expected Revenue]*Table4[Expected CMR]*(Table4[Projected 
Year]=R$1)*(Table4[Projected 
Month]=R$2)*(Table4[Installation]=$B19))/MAX(1,R19)</f>
        <v>0</v>
      </c>
      <c r="U19" s="27">
        <f>SUMIFS(Table4[Expected Revenue],Table4[Installation],$B19,Table4[Projected 
Year],U$1,Table4[Projected 
Month],U$2)</f>
        <v>0</v>
      </c>
      <c r="V19" s="23">
        <f>SUMPRODUCT(Table4[Probability]*Table4[Expected Revenue]*(Table4[Installation]=$B19)*(Table4[Projected 
Year]=U$1)*(Table4[Projected 
Month]=U$2))/MAX(1,SUMPRODUCT(Table4[Expected Revenue]*(Table4[Installation]=$B19)*(Table4[Projected 
Year]=U$1)*(Table4[Projected 
Month]=U$2)))</f>
        <v>0</v>
      </c>
      <c r="W19" s="24">
        <f>SUMPRODUCT(Table4[Expected Revenue]*Table4[Expected CMR]*(Table4[Projected 
Year]=U$1)*(Table4[Projected 
Month]=U$2)*(Table4[Installation]=$B19))/MAX(1,U19)</f>
        <v>0</v>
      </c>
      <c r="X19" s="27">
        <f>SUMIFS(Table4[Expected Revenue],Table4[Installation],$B19,Table4[Projected 
Year],X$1,Table4[Projected 
Month],X$2)</f>
        <v>0</v>
      </c>
      <c r="Y19" s="23">
        <f>SUMPRODUCT(Table4[Probability]*Table4[Expected Revenue]*(Table4[Installation]=$B19)*(Table4[Projected 
Year]=X$1)*(Table4[Projected 
Month]=X$2))/MAX(1,SUMPRODUCT(Table4[Expected Revenue]*(Table4[Installation]=$B19)*(Table4[Projected 
Year]=X$1)*(Table4[Projected 
Month]=X$2)))</f>
        <v>0</v>
      </c>
      <c r="Z19" s="24">
        <f>SUMPRODUCT(Table4[Expected Revenue]*Table4[Expected CMR]*(Table4[Projected 
Year]=X$1)*(Table4[Projected 
Month]=X$2)*(Table4[Installation]=$B19))/MAX(1,X19)</f>
        <v>0</v>
      </c>
      <c r="AA19" s="27">
        <f>SUMIFS(Table4[Expected Revenue],Table4[Installation],$B19,Table4[Projected 
Year],AA$1,Table4[Projected 
Month],AA$2)</f>
        <v>0</v>
      </c>
      <c r="AB19" s="23">
        <f>SUMPRODUCT(Table4[Probability]*Table4[Expected Revenue]*(Table4[Installation]=$B19)*(Table4[Projected 
Year]=AA$1)*(Table4[Projected 
Month]=AA$2))/MAX(1,SUMPRODUCT(Table4[Expected Revenue]*(Table4[Installation]=$B19)*(Table4[Projected 
Year]=AA$1)*(Table4[Projected 
Month]=AA$2)))</f>
        <v>0</v>
      </c>
      <c r="AC19" s="24">
        <f>SUMPRODUCT(Table4[Expected Revenue]*Table4[Expected CMR]*(Table4[Projected 
Year]=AA$1)*(Table4[Projected 
Month]=AA$2)*(Table4[Installation]=$B19))/MAX(1,AA19)</f>
        <v>0</v>
      </c>
      <c r="AD19" s="27">
        <f>SUMIFS(Table4[Expected Revenue],Table4[Installation],$B19,Table4[Projected 
Year],AD$1,Table4[Projected 
Month],AD$2)</f>
        <v>0</v>
      </c>
      <c r="AE19" s="23">
        <f>SUMPRODUCT(Table4[Probability]*Table4[Expected Revenue]*(Table4[Installation]=$B19)*(Table4[Projected 
Year]=AD$1)*(Table4[Projected 
Month]=AD$2))/MAX(1,SUMPRODUCT(Table4[Expected Revenue]*(Table4[Installation]=$B19)*(Table4[Projected 
Year]=AD$1)*(Table4[Projected 
Month]=AD$2)))</f>
        <v>0</v>
      </c>
      <c r="AF19" s="24">
        <f>SUMPRODUCT(Table4[Expected Revenue]*Table4[Expected CMR]*(Table4[Projected 
Year]=AD$1)*(Table4[Projected 
Month]=AD$2)*(Table4[Installation]=$B19))/MAX(1,AD19)</f>
        <v>0</v>
      </c>
      <c r="AG19" s="27">
        <f>SUMIFS(Table4[Expected Revenue],Table4[Installation],$B19,Table4[Projected 
Year],AG$1,Table4[Projected 
Month],AG$2)</f>
        <v>0</v>
      </c>
      <c r="AH19" s="23">
        <f>SUMPRODUCT(Table4[Probability]*Table4[Expected Revenue]*(Table4[Installation]=$B19)*(Table4[Projected 
Year]=AG$1)*(Table4[Projected 
Month]=AG$2))/MAX(1,SUMPRODUCT(Table4[Expected Revenue]*(Table4[Installation]=$B19)*(Table4[Projected 
Year]=AG$1)*(Table4[Projected 
Month]=AG$2)))</f>
        <v>0</v>
      </c>
      <c r="AI19" s="24">
        <f>SUMPRODUCT(Table4[Expected Revenue]*Table4[Expected CMR]*(Table4[Projected 
Year]=AG$1)*(Table4[Projected 
Month]=AG$2)*(Table4[Installation]=$B19))/MAX(1,AG19)</f>
        <v>0</v>
      </c>
      <c r="AJ19" s="27">
        <f>SUMIFS(Table4[Expected Revenue],Table4[Installation],$B19,Table4[Projected 
Year],AJ$1,Table4[Projected 
Month],AJ$2)</f>
        <v>0</v>
      </c>
      <c r="AK19" s="23">
        <f>SUMPRODUCT(Table4[Probability]*Table4[Expected Revenue]*(Table4[Installation]=$B19)*(Table4[Projected 
Year]=AJ$1)*(Table4[Projected 
Month]=AJ$2))/MAX(1,SUMPRODUCT(Table4[Expected Revenue]*(Table4[Installation]=$B19)*(Table4[Projected 
Year]=AJ$1)*(Table4[Projected 
Month]=AJ$2)))</f>
        <v>0</v>
      </c>
      <c r="AL19" s="24">
        <f>SUMPRODUCT(Table4[Expected Revenue]*Table4[Expected CMR]*(Table4[Projected 
Year]=AJ$1)*(Table4[Projected 
Month]=AJ$2)*(Table4[Installation]=$B19))/MAX(1,AJ19)</f>
        <v>0</v>
      </c>
      <c r="AM19" s="30">
        <f>SUM($C19,$F19,$I19,$L19,$O19,$R19,$U19,$X19,$AA19,$AD19,$AG19,$AJ19)</f>
        <v>0</v>
      </c>
      <c r="AN19" s="52">
        <f t="shared" si="19"/>
        <v>0</v>
      </c>
      <c r="AO19" s="52">
        <f t="shared" si="19"/>
        <v>0</v>
      </c>
      <c r="AP19" s="27" t="e">
        <f>SUMIFS(#REF!,Table4[Installation],$B19,#REF!,AP$1,#REF!,AP$2)</f>
        <v>#REF!</v>
      </c>
      <c r="AQ19" s="21" t="e">
        <f>SUMIFS(#REF!,Table4[Installation],$B19,Table4[Projected 
Year],AP$1,#REF!,AP$2)</f>
        <v>#REF!</v>
      </c>
      <c r="AR19" s="24" t="e">
        <f t="shared" si="7"/>
        <v>#REF!</v>
      </c>
      <c r="AS19" s="27" t="e">
        <f>SUMIFS(#REF!,Table4[Installation],$B19,#REF!,AS$1,#REF!,AS$2)</f>
        <v>#REF!</v>
      </c>
      <c r="AT19" s="21" t="e">
        <f>SUMIFS(#REF!,Table4[Installation],$B19,Table4[Projected 
Year],AS$1,#REF!,AS$2)</f>
        <v>#REF!</v>
      </c>
      <c r="AU19" s="24" t="e">
        <f t="shared" si="8"/>
        <v>#REF!</v>
      </c>
      <c r="AV19" s="27" t="e">
        <f>SUMIFS(#REF!,Table4[Installation],$B19,#REF!,AV$1,#REF!,AV$2)</f>
        <v>#REF!</v>
      </c>
      <c r="AW19" s="21" t="e">
        <f>SUMIFS(#REF!,Table4[Installation],$B19,Table4[Projected 
Year],AV$1,#REF!,AV$2)</f>
        <v>#REF!</v>
      </c>
      <c r="AX19" s="24" t="e">
        <f t="shared" si="9"/>
        <v>#REF!</v>
      </c>
      <c r="AY19" s="27" t="e">
        <f>SUMIFS(#REF!,Table4[Installation],$B19,#REF!,AY$1,#REF!,AY$2)</f>
        <v>#REF!</v>
      </c>
      <c r="AZ19" s="21" t="e">
        <f>SUMIFS(#REF!,Table4[Installation],$B19,Table4[Projected 
Year],AY$1,#REF!,AY$2)</f>
        <v>#REF!</v>
      </c>
      <c r="BA19" s="24" t="e">
        <f t="shared" si="10"/>
        <v>#REF!</v>
      </c>
      <c r="BB19" s="27" t="e">
        <f>SUMIFS(#REF!,Table4[Installation],$B19,#REF!,BB$1,#REF!,BB$2)</f>
        <v>#REF!</v>
      </c>
      <c r="BC19" s="21" t="e">
        <f>SUMIFS(#REF!,Table4[Installation],$B19,Table4[Projected 
Year],BB$1,#REF!,BB$2)</f>
        <v>#REF!</v>
      </c>
      <c r="BD19" s="24" t="e">
        <f t="shared" si="11"/>
        <v>#REF!</v>
      </c>
      <c r="BE19" s="27" t="e">
        <f>SUMIFS(#REF!,Table4[Installation],$B19,#REF!,BE$1,#REF!,BE$2)</f>
        <v>#REF!</v>
      </c>
      <c r="BF19" s="21" t="e">
        <f>SUMIFS(#REF!,Table4[Installation],$B19,Table4[Projected 
Year],BE$1,#REF!,BE$2)</f>
        <v>#REF!</v>
      </c>
      <c r="BG19" s="24" t="e">
        <f t="shared" si="18"/>
        <v>#REF!</v>
      </c>
      <c r="BH19" s="27" t="e">
        <f>SUMIFS(#REF!,Table4[Installation],$B19,#REF!,BH$1,#REF!,BH$2)</f>
        <v>#REF!</v>
      </c>
      <c r="BI19" s="21" t="e">
        <f>SUMIFS(#REF!,Table4[Installation],$B19,Table4[Projected 
Year],BH$1,#REF!,BH$2)</f>
        <v>#REF!</v>
      </c>
      <c r="BJ19" s="24" t="e">
        <f t="shared" si="3"/>
        <v>#REF!</v>
      </c>
      <c r="BK19" s="27" t="e">
        <f>SUMIFS(#REF!,Table4[Installation],$B19,#REF!,BK$1,#REF!,BK$2)</f>
        <v>#REF!</v>
      </c>
      <c r="BL19" s="21" t="e">
        <f>SUMIFS(#REF!,Table4[Installation],$B19,Table4[Projected 
Year],BK$1,#REF!,BK$2)</f>
        <v>#REF!</v>
      </c>
      <c r="BM19" s="24" t="e">
        <f t="shared" si="13"/>
        <v>#REF!</v>
      </c>
      <c r="BN19" s="27" t="e">
        <f>SUMIFS(#REF!,Table4[Installation],$B19,#REF!,BN$1,#REF!,BN$2)</f>
        <v>#REF!</v>
      </c>
      <c r="BO19" s="21" t="e">
        <f>SUMIFS(#REF!,Table4[Installation],$B19,Table4[Projected 
Year],BN$1,#REF!,BN$2)</f>
        <v>#REF!</v>
      </c>
      <c r="BP19" s="24" t="e">
        <f t="shared" si="14"/>
        <v>#REF!</v>
      </c>
      <c r="BQ19" s="27" t="e">
        <f>SUMIFS(#REF!,Table4[Installation],$B19,#REF!,BQ$1,#REF!,BQ$2)</f>
        <v>#REF!</v>
      </c>
      <c r="BR19" s="21" t="e">
        <f>SUMIFS(#REF!,Table4[Installation],$B19,Table4[Projected 
Year],BQ$1,#REF!,BQ$2)</f>
        <v>#REF!</v>
      </c>
      <c r="BS19" s="24" t="e">
        <f t="shared" si="15"/>
        <v>#REF!</v>
      </c>
      <c r="BT19" s="27" t="e">
        <f>SUMIFS(#REF!,Table4[Installation],$B19,#REF!,BT$1,#REF!,BT$2)</f>
        <v>#REF!</v>
      </c>
      <c r="BU19" s="21" t="e">
        <f>SUMIFS(#REF!,Table4[Installation],$B19,Table4[Projected 
Year],BT$1,#REF!,BT$2)</f>
        <v>#REF!</v>
      </c>
      <c r="BV19" s="24" t="e">
        <f t="shared" si="16"/>
        <v>#REF!</v>
      </c>
      <c r="BW19" s="27" t="e">
        <f>SUMIFS(#REF!,Table4[Installation],$B19,#REF!,BW$1,#REF!,BW$2)</f>
        <v>#REF!</v>
      </c>
      <c r="BX19" s="21" t="e">
        <f>SUMIFS(#REF!,Table4[Installation],$B19,Table4[Projected 
Year],BW$1,#REF!,BW$2)</f>
        <v>#REF!</v>
      </c>
      <c r="BY19" s="24" t="e">
        <f t="shared" si="12"/>
        <v>#REF!</v>
      </c>
      <c r="BZ19" s="30" t="e">
        <f t="shared" si="4"/>
        <v>#REF!</v>
      </c>
      <c r="CA19" s="30" t="e">
        <f t="shared" si="5"/>
        <v>#REF!</v>
      </c>
      <c r="CB19" s="24" t="e">
        <f t="shared" si="6"/>
        <v>#REF!</v>
      </c>
      <c r="CC19" s="29">
        <v>324864</v>
      </c>
      <c r="CD19" s="19" t="e">
        <f>BZ19-CC19</f>
        <v>#REF!</v>
      </c>
    </row>
    <row r="20" spans="1:82">
      <c r="A20" s="18" t="s">
        <v>57</v>
      </c>
      <c r="B20" s="20" t="s">
        <v>114</v>
      </c>
      <c r="C20" s="27">
        <f>SUMIFS(Table4[Expected Revenue],Table4[Installation],$B20,Table4[Projected 
Year],C$1,Table4[Projected 
Month],C$2)</f>
        <v>0</v>
      </c>
      <c r="D20" s="23">
        <f>SUMPRODUCT(Table4[Probability]*Table4[Expected Revenue]*(Table4[Installation]=$B20)*(Table4[Projected 
Year]=C$1)*(Table4[Projected 
Month]=C$2))/MAX(1,SUMPRODUCT(Table4[Expected Revenue]*(Table4[Installation]=$B20)*(Table4[Projected 
Year]=C$1)*(Table4[Projected 
Month]=C$2)))</f>
        <v>0</v>
      </c>
      <c r="E20" s="24">
        <f>SUMPRODUCT(Table4[Expected Revenue]*Table4[Expected CMR]*(Table4[Projected 
Year]=C$1)*(Table4[Projected 
Month]=C$2)*(Table4[Installation]=$B20))/MAX(1,C20)</f>
        <v>0</v>
      </c>
      <c r="F20" s="27">
        <f>SUMIFS(Table4[Expected Revenue],Table4[Installation],$B20,Table4[Projected 
Year],F$1,Table4[Projected 
Month],F$2)</f>
        <v>0</v>
      </c>
      <c r="G20" s="23">
        <f>SUMPRODUCT(Table4[Probability]*Table4[Expected Revenue]*(Table4[Installation]=$B20)*(Table4[Projected 
Year]=F$1)*(Table4[Projected 
Month]=F$2))/MAX(1,SUMPRODUCT(Table4[Expected Revenue]*(Table4[Installation]=$B20)*(Table4[Projected 
Year]=F$1)*(Table4[Projected 
Month]=F$2)))</f>
        <v>0</v>
      </c>
      <c r="H20" s="24">
        <f>SUMPRODUCT(Table4[Expected Revenue]*Table4[Expected CMR]*(Table4[Projected 
Year]=F$1)*(Table4[Projected 
Month]=F$2)*(Table4[Installation]=$B20))/MAX(1,F20)</f>
        <v>0</v>
      </c>
      <c r="I20" s="27">
        <f>SUMIFS(Table4[Expected Revenue],Table4[Installation],$B20,Table4[Projected 
Year],I$1,Table4[Projected 
Month],I$2)</f>
        <v>0</v>
      </c>
      <c r="J20" s="23">
        <f>SUMPRODUCT(Table4[Probability]*Table4[Expected Revenue]*(Table4[Installation]=$B20)*(Table4[Projected 
Year]=I$1)*(Table4[Projected 
Month]=I$2))/MAX(1,SUMPRODUCT(Table4[Expected Revenue]*(Table4[Installation]=$B20)*(Table4[Projected 
Year]=I$1)*(Table4[Projected 
Month]=I$2)))</f>
        <v>0</v>
      </c>
      <c r="K20" s="24">
        <f>SUMPRODUCT(Table4[Expected Revenue]*Table4[Expected CMR]*(Table4[Projected 
Year]=I$1)*(Table4[Projected 
Month]=I$2)*(Table4[Installation]=$B20))/MAX(1,I20)</f>
        <v>0</v>
      </c>
      <c r="L20" s="27">
        <f>SUMIFS(Table4[Expected Revenue],Table4[Installation],$B20,Table4[Projected 
Year],L$1,Table4[Projected 
Month],L$2)</f>
        <v>0</v>
      </c>
      <c r="M20" s="23">
        <f>SUMPRODUCT(Table4[Probability]*Table4[Expected Revenue]*(Table4[Installation]=$B20)*(Table4[Projected 
Year]=L$1)*(Table4[Projected 
Month]=L$2))/MAX(1,SUMPRODUCT(Table4[Expected Revenue]*(Table4[Installation]=$B20)*(Table4[Projected 
Year]=L$1)*(Table4[Projected 
Month]=L$2)))</f>
        <v>0</v>
      </c>
      <c r="N20" s="24">
        <f>SUMPRODUCT(Table4[Expected Revenue]*Table4[Expected CMR]*(Table4[Projected 
Year]=L$1)*(Table4[Projected 
Month]=L$2)*(Table4[Installation]=$B20))/MAX(1,L20)</f>
        <v>0</v>
      </c>
      <c r="O20" s="27">
        <f>SUMIFS(Table4[Expected Revenue],Table4[Installation],$B20,Table4[Projected 
Year],O$1,Table4[Projected 
Month],O$2)</f>
        <v>0</v>
      </c>
      <c r="P20" s="23">
        <f>SUMPRODUCT(Table4[Probability]*Table4[Expected Revenue]*(Table4[Installation]=$B20)*(Table4[Projected 
Year]=O$1)*(Table4[Projected 
Month]=O$2))/MAX(1,SUMPRODUCT(Table4[Expected Revenue]*(Table4[Installation]=$B20)*(Table4[Projected 
Year]=O$1)*(Table4[Projected 
Month]=O$2)))</f>
        <v>0</v>
      </c>
      <c r="Q20" s="24">
        <f>SUMPRODUCT(Table4[Expected Revenue]*Table4[Expected CMR]*(Table4[Projected 
Year]=O$1)*(Table4[Projected 
Month]=O$2)*(Table4[Installation]=$B20))/MAX(1,O20)</f>
        <v>0</v>
      </c>
      <c r="R20" s="27">
        <f>SUMIFS(Table4[Expected Revenue],Table4[Installation],$B20,Table4[Projected 
Year],R$1,Table4[Projected 
Month],R$2)</f>
        <v>0</v>
      </c>
      <c r="S20" s="23">
        <f>SUMPRODUCT(Table4[Probability]*Table4[Expected Revenue]*(Table4[Installation]=$B20)*(Table4[Projected 
Year]=R$1)*(Table4[Projected 
Month]=R$2))/MAX(1,SUMPRODUCT(Table4[Expected Revenue]*(Table4[Installation]=$B20)*(Table4[Projected 
Year]=R$1)*(Table4[Projected 
Month]=R$2)))</f>
        <v>0</v>
      </c>
      <c r="T20" s="24">
        <f>SUMPRODUCT(Table4[Expected Revenue]*Table4[Expected CMR]*(Table4[Projected 
Year]=R$1)*(Table4[Projected 
Month]=R$2)*(Table4[Installation]=$B20))/MAX(1,R20)</f>
        <v>0</v>
      </c>
      <c r="U20" s="27">
        <f>SUMIFS(Table4[Expected Revenue],Table4[Installation],$B20,Table4[Projected 
Year],U$1,Table4[Projected 
Month],U$2)</f>
        <v>0</v>
      </c>
      <c r="V20" s="23">
        <f>SUMPRODUCT(Table4[Probability]*Table4[Expected Revenue]*(Table4[Installation]=$B20)*(Table4[Projected 
Year]=U$1)*(Table4[Projected 
Month]=U$2))/MAX(1,SUMPRODUCT(Table4[Expected Revenue]*(Table4[Installation]=$B20)*(Table4[Projected 
Year]=U$1)*(Table4[Projected 
Month]=U$2)))</f>
        <v>0</v>
      </c>
      <c r="W20" s="24">
        <f>SUMPRODUCT(Table4[Expected Revenue]*Table4[Expected CMR]*(Table4[Projected 
Year]=U$1)*(Table4[Projected 
Month]=U$2)*(Table4[Installation]=$B20))/MAX(1,U20)</f>
        <v>0</v>
      </c>
      <c r="X20" s="27">
        <f>SUMIFS(Table4[Expected Revenue],Table4[Installation],$B20,Table4[Projected 
Year],X$1,Table4[Projected 
Month],X$2)</f>
        <v>0</v>
      </c>
      <c r="Y20" s="23">
        <f>SUMPRODUCT(Table4[Probability]*Table4[Expected Revenue]*(Table4[Installation]=$B20)*(Table4[Projected 
Year]=X$1)*(Table4[Projected 
Month]=X$2))/MAX(1,SUMPRODUCT(Table4[Expected Revenue]*(Table4[Installation]=$B20)*(Table4[Projected 
Year]=X$1)*(Table4[Projected 
Month]=X$2)))</f>
        <v>0</v>
      </c>
      <c r="Z20" s="24">
        <f>SUMPRODUCT(Table4[Expected Revenue]*Table4[Expected CMR]*(Table4[Projected 
Year]=X$1)*(Table4[Projected 
Month]=X$2)*(Table4[Installation]=$B20))/MAX(1,X20)</f>
        <v>0</v>
      </c>
      <c r="AA20" s="27">
        <f>SUMIFS(Table4[Expected Revenue],Table4[Installation],$B20,Table4[Projected 
Year],AA$1,Table4[Projected 
Month],AA$2)</f>
        <v>0</v>
      </c>
      <c r="AB20" s="23">
        <f>SUMPRODUCT(Table4[Probability]*Table4[Expected Revenue]*(Table4[Installation]=$B20)*(Table4[Projected 
Year]=AA$1)*(Table4[Projected 
Month]=AA$2))/MAX(1,SUMPRODUCT(Table4[Expected Revenue]*(Table4[Installation]=$B20)*(Table4[Projected 
Year]=AA$1)*(Table4[Projected 
Month]=AA$2)))</f>
        <v>0</v>
      </c>
      <c r="AC20" s="24">
        <f>SUMPRODUCT(Table4[Expected Revenue]*Table4[Expected CMR]*(Table4[Projected 
Year]=AA$1)*(Table4[Projected 
Month]=AA$2)*(Table4[Installation]=$B20))/MAX(1,AA20)</f>
        <v>0</v>
      </c>
      <c r="AD20" s="27">
        <f>SUMIFS(Table4[Expected Revenue],Table4[Installation],$B20,Table4[Projected 
Year],AD$1,Table4[Projected 
Month],AD$2)</f>
        <v>0</v>
      </c>
      <c r="AE20" s="23">
        <f>SUMPRODUCT(Table4[Probability]*Table4[Expected Revenue]*(Table4[Installation]=$B20)*(Table4[Projected 
Year]=AD$1)*(Table4[Projected 
Month]=AD$2))/MAX(1,SUMPRODUCT(Table4[Expected Revenue]*(Table4[Installation]=$B20)*(Table4[Projected 
Year]=AD$1)*(Table4[Projected 
Month]=AD$2)))</f>
        <v>0</v>
      </c>
      <c r="AF20" s="24">
        <f>SUMPRODUCT(Table4[Expected Revenue]*Table4[Expected CMR]*(Table4[Projected 
Year]=AD$1)*(Table4[Projected 
Month]=AD$2)*(Table4[Installation]=$B20))/MAX(1,AD20)</f>
        <v>0</v>
      </c>
      <c r="AG20" s="27">
        <f>SUMIFS(Table4[Expected Revenue],Table4[Installation],$B20,Table4[Projected 
Year],AG$1,Table4[Projected 
Month],AG$2)</f>
        <v>0</v>
      </c>
      <c r="AH20" s="23">
        <f>SUMPRODUCT(Table4[Probability]*Table4[Expected Revenue]*(Table4[Installation]=$B20)*(Table4[Projected 
Year]=AG$1)*(Table4[Projected 
Month]=AG$2))/MAX(1,SUMPRODUCT(Table4[Expected Revenue]*(Table4[Installation]=$B20)*(Table4[Projected 
Year]=AG$1)*(Table4[Projected 
Month]=AG$2)))</f>
        <v>0</v>
      </c>
      <c r="AI20" s="24">
        <f>SUMPRODUCT(Table4[Expected Revenue]*Table4[Expected CMR]*(Table4[Projected 
Year]=AG$1)*(Table4[Projected 
Month]=AG$2)*(Table4[Installation]=$B20))/MAX(1,AG20)</f>
        <v>0</v>
      </c>
      <c r="AJ20" s="27">
        <f>SUMIFS(Table4[Expected Revenue],Table4[Installation],$B20,Table4[Projected 
Year],AJ$1,Table4[Projected 
Month],AJ$2)</f>
        <v>59915</v>
      </c>
      <c r="AK20" s="23">
        <f>SUMPRODUCT(Table4[Probability]*Table4[Expected Revenue]*(Table4[Installation]=$B20)*(Table4[Projected 
Year]=AJ$1)*(Table4[Projected 
Month]=AJ$2))/MAX(1,SUMPRODUCT(Table4[Expected Revenue]*(Table4[Installation]=$B20)*(Table4[Projected 
Year]=AJ$1)*(Table4[Projected 
Month]=AJ$2)))</f>
        <v>1</v>
      </c>
      <c r="AL20" s="24">
        <f>SUMPRODUCT(Table4[Expected Revenue]*Table4[Expected CMR]*(Table4[Projected 
Year]=AJ$1)*(Table4[Projected 
Month]=AJ$2)*(Table4[Installation]=$B20))/MAX(1,AJ20)</f>
        <v>0.3</v>
      </c>
      <c r="AM20" s="30">
        <f>SUM($C20,$F20,$I20,$L20,$O20,$R20,$U20,$X20,$AA20,$AD20,$AG20,$AJ20)</f>
        <v>59915</v>
      </c>
      <c r="AN20" s="52">
        <f t="shared" si="19"/>
        <v>1</v>
      </c>
      <c r="AO20" s="52">
        <f t="shared" si="19"/>
        <v>0.3</v>
      </c>
      <c r="AP20" s="27" t="e">
        <f>SUMIFS(#REF!,Table4[Installation],$B20,#REF!,AP$1,#REF!,AP$2)</f>
        <v>#REF!</v>
      </c>
      <c r="AQ20" s="21" t="e">
        <f>SUMIFS(#REF!,Table4[Installation],$B20,Table4[Projected 
Year],AP$1,#REF!,AP$2)</f>
        <v>#REF!</v>
      </c>
      <c r="AR20" s="24" t="e">
        <f t="shared" si="7"/>
        <v>#REF!</v>
      </c>
      <c r="AS20" s="27" t="e">
        <f>SUMIFS(#REF!,Table4[Installation],$B20,#REF!,AS$1,#REF!,AS$2)</f>
        <v>#REF!</v>
      </c>
      <c r="AT20" s="21" t="e">
        <f>SUMIFS(#REF!,Table4[Installation],$B20,Table4[Projected 
Year],AS$1,#REF!,AS$2)</f>
        <v>#REF!</v>
      </c>
      <c r="AU20" s="24" t="e">
        <f t="shared" si="8"/>
        <v>#REF!</v>
      </c>
      <c r="AV20" s="27" t="e">
        <f>SUMIFS(#REF!,Table4[Installation],$B20,#REF!,AV$1,#REF!,AV$2)</f>
        <v>#REF!</v>
      </c>
      <c r="AW20" s="21" t="e">
        <f>SUMIFS(#REF!,Table4[Installation],$B20,Table4[Projected 
Year],AV$1,#REF!,AV$2)</f>
        <v>#REF!</v>
      </c>
      <c r="AX20" s="24" t="e">
        <f t="shared" si="9"/>
        <v>#REF!</v>
      </c>
      <c r="AY20" s="27" t="e">
        <f>SUMIFS(#REF!,Table4[Installation],$B20,#REF!,AY$1,#REF!,AY$2)</f>
        <v>#REF!</v>
      </c>
      <c r="AZ20" s="21" t="e">
        <f>SUMIFS(#REF!,Table4[Installation],$B20,Table4[Projected 
Year],AY$1,#REF!,AY$2)</f>
        <v>#REF!</v>
      </c>
      <c r="BA20" s="24" t="e">
        <f t="shared" si="10"/>
        <v>#REF!</v>
      </c>
      <c r="BB20" s="27" t="e">
        <f>SUMIFS(#REF!,Table4[Installation],$B20,#REF!,BB$1,#REF!,BB$2)</f>
        <v>#REF!</v>
      </c>
      <c r="BC20" s="21" t="e">
        <f>SUMIFS(#REF!,Table4[Installation],$B20,Table4[Projected 
Year],BB$1,#REF!,BB$2)</f>
        <v>#REF!</v>
      </c>
      <c r="BD20" s="24" t="e">
        <f t="shared" si="11"/>
        <v>#REF!</v>
      </c>
      <c r="BE20" s="27" t="e">
        <f>SUMIFS(#REF!,Table4[Installation],$B20,#REF!,BE$1,#REF!,BE$2)</f>
        <v>#REF!</v>
      </c>
      <c r="BF20" s="21" t="e">
        <f>SUMIFS(#REF!,Table4[Installation],$B20,Table4[Projected 
Year],BE$1,#REF!,BE$2)</f>
        <v>#REF!</v>
      </c>
      <c r="BG20" s="24" t="e">
        <f t="shared" si="18"/>
        <v>#REF!</v>
      </c>
      <c r="BH20" s="27" t="e">
        <f>SUMIFS(#REF!,Table4[Installation],$B20,#REF!,BH$1,#REF!,BH$2)</f>
        <v>#REF!</v>
      </c>
      <c r="BI20" s="21" t="e">
        <f>SUMIFS(#REF!,Table4[Installation],$B20,Table4[Projected 
Year],BH$1,#REF!,BH$2)</f>
        <v>#REF!</v>
      </c>
      <c r="BJ20" s="24" t="e">
        <f t="shared" si="3"/>
        <v>#REF!</v>
      </c>
      <c r="BK20" s="27" t="e">
        <f>SUMIFS(#REF!,Table4[Installation],$B20,#REF!,BK$1,#REF!,BK$2)</f>
        <v>#REF!</v>
      </c>
      <c r="BL20" s="21" t="e">
        <f>SUMIFS(#REF!,Table4[Installation],$B20,Table4[Projected 
Year],BK$1,#REF!,BK$2)</f>
        <v>#REF!</v>
      </c>
      <c r="BM20" s="24" t="e">
        <f t="shared" si="13"/>
        <v>#REF!</v>
      </c>
      <c r="BN20" s="27" t="e">
        <f>SUMIFS(#REF!,Table4[Installation],$B20,#REF!,BN$1,#REF!,BN$2)</f>
        <v>#REF!</v>
      </c>
      <c r="BO20" s="21" t="e">
        <f>SUMIFS(#REF!,Table4[Installation],$B20,Table4[Projected 
Year],BN$1,#REF!,BN$2)</f>
        <v>#REF!</v>
      </c>
      <c r="BP20" s="24" t="e">
        <f t="shared" si="14"/>
        <v>#REF!</v>
      </c>
      <c r="BQ20" s="27" t="e">
        <f>SUMIFS(#REF!,Table4[Installation],$B20,#REF!,BQ$1,#REF!,BQ$2)</f>
        <v>#REF!</v>
      </c>
      <c r="BR20" s="21" t="e">
        <f>SUMIFS(#REF!,Table4[Installation],$B20,Table4[Projected 
Year],BQ$1,#REF!,BQ$2)</f>
        <v>#REF!</v>
      </c>
      <c r="BS20" s="24" t="e">
        <f t="shared" si="15"/>
        <v>#REF!</v>
      </c>
      <c r="BT20" s="27" t="e">
        <f>SUMIFS(#REF!,Table4[Installation],$B20,#REF!,BT$1,#REF!,BT$2)</f>
        <v>#REF!</v>
      </c>
      <c r="BU20" s="21" t="e">
        <f>SUMIFS(#REF!,Table4[Installation],$B20,Table4[Projected 
Year],BT$1,#REF!,BT$2)</f>
        <v>#REF!</v>
      </c>
      <c r="BV20" s="24" t="e">
        <f t="shared" si="16"/>
        <v>#REF!</v>
      </c>
      <c r="BW20" s="27" t="e">
        <f>SUMIFS(#REF!,Table4[Installation],$B20,#REF!,BW$1,#REF!,BW$2)</f>
        <v>#REF!</v>
      </c>
      <c r="BX20" s="21" t="e">
        <f>SUMIFS(#REF!,Table4[Installation],$B20,Table4[Projected 
Year],BW$1,#REF!,BW$2)</f>
        <v>#REF!</v>
      </c>
      <c r="BY20" s="24" t="e">
        <f t="shared" si="12"/>
        <v>#REF!</v>
      </c>
      <c r="BZ20" s="30" t="e">
        <f t="shared" si="4"/>
        <v>#REF!</v>
      </c>
      <c r="CA20" s="30" t="e">
        <f t="shared" si="5"/>
        <v>#REF!</v>
      </c>
      <c r="CB20" s="24" t="e">
        <f t="shared" si="6"/>
        <v>#REF!</v>
      </c>
      <c r="CC20" s="29">
        <v>439244</v>
      </c>
      <c r="CD20" s="19" t="e">
        <f>BZ20-CC20</f>
        <v>#REF!</v>
      </c>
    </row>
    <row r="21" spans="1:82">
      <c r="A21" s="18" t="s">
        <v>57</v>
      </c>
      <c r="B21" s="20" t="s">
        <v>117</v>
      </c>
      <c r="C21" s="27">
        <f>SUMIFS(Table4[Expected Revenue],Table4[Installation],$B21,Table4[Projected 
Year],C$1,Table4[Projected 
Month],C$2)</f>
        <v>0</v>
      </c>
      <c r="D21" s="23">
        <f>SUMPRODUCT(Table4[Probability]*Table4[Expected Revenue]*(Table4[Installation]=$B21)*(Table4[Projected 
Year]=C$1)*(Table4[Projected 
Month]=C$2))/MAX(1,SUMPRODUCT(Table4[Expected Revenue]*(Table4[Installation]=$B21)*(Table4[Projected 
Year]=C$1)*(Table4[Projected 
Month]=C$2)))</f>
        <v>0</v>
      </c>
      <c r="E21" s="24">
        <f>SUMPRODUCT(Table4[Expected Revenue]*Table4[Expected CMR]*(Table4[Projected 
Year]=C$1)*(Table4[Projected 
Month]=C$2)*(Table4[Installation]=$B21))/MAX(1,C21)</f>
        <v>0</v>
      </c>
      <c r="F21" s="27">
        <f>SUMIFS(Table4[Expected Revenue],Table4[Installation],$B21,Table4[Projected 
Year],F$1,Table4[Projected 
Month],F$2)</f>
        <v>0</v>
      </c>
      <c r="G21" s="23">
        <f>SUMPRODUCT(Table4[Probability]*Table4[Expected Revenue]*(Table4[Installation]=$B21)*(Table4[Projected 
Year]=F$1)*(Table4[Projected 
Month]=F$2))/MAX(1,SUMPRODUCT(Table4[Expected Revenue]*(Table4[Installation]=$B21)*(Table4[Projected 
Year]=F$1)*(Table4[Projected 
Month]=F$2)))</f>
        <v>0</v>
      </c>
      <c r="H21" s="24">
        <f>SUMPRODUCT(Table4[Expected Revenue]*Table4[Expected CMR]*(Table4[Projected 
Year]=F$1)*(Table4[Projected 
Month]=F$2)*(Table4[Installation]=$B21))/MAX(1,F21)</f>
        <v>0</v>
      </c>
      <c r="I21" s="27">
        <f>SUMIFS(Table4[Expected Revenue],Table4[Installation],$B21,Table4[Projected 
Year],I$1,Table4[Projected 
Month],I$2)</f>
        <v>0</v>
      </c>
      <c r="J21" s="23">
        <f>SUMPRODUCT(Table4[Probability]*Table4[Expected Revenue]*(Table4[Installation]=$B21)*(Table4[Projected 
Year]=I$1)*(Table4[Projected 
Month]=I$2))/MAX(1,SUMPRODUCT(Table4[Expected Revenue]*(Table4[Installation]=$B21)*(Table4[Projected 
Year]=I$1)*(Table4[Projected 
Month]=I$2)))</f>
        <v>0</v>
      </c>
      <c r="K21" s="24">
        <f>SUMPRODUCT(Table4[Expected Revenue]*Table4[Expected CMR]*(Table4[Projected 
Year]=I$1)*(Table4[Projected 
Month]=I$2)*(Table4[Installation]=$B21))/MAX(1,I21)</f>
        <v>0</v>
      </c>
      <c r="L21" s="27">
        <f>SUMIFS(Table4[Expected Revenue],Table4[Installation],$B21,Table4[Projected 
Year],L$1,Table4[Projected 
Month],L$2)</f>
        <v>0</v>
      </c>
      <c r="M21" s="23">
        <f>SUMPRODUCT(Table4[Probability]*Table4[Expected Revenue]*(Table4[Installation]=$B21)*(Table4[Projected 
Year]=L$1)*(Table4[Projected 
Month]=L$2))/MAX(1,SUMPRODUCT(Table4[Expected Revenue]*(Table4[Installation]=$B21)*(Table4[Projected 
Year]=L$1)*(Table4[Projected 
Month]=L$2)))</f>
        <v>0</v>
      </c>
      <c r="N21" s="24">
        <f>SUMPRODUCT(Table4[Expected Revenue]*Table4[Expected CMR]*(Table4[Projected 
Year]=L$1)*(Table4[Projected 
Month]=L$2)*(Table4[Installation]=$B21))/MAX(1,L21)</f>
        <v>0</v>
      </c>
      <c r="O21" s="27">
        <f>SUMIFS(Table4[Expected Revenue],Table4[Installation],$B21,Table4[Projected 
Year],O$1,Table4[Projected 
Month],O$2)</f>
        <v>0</v>
      </c>
      <c r="P21" s="23">
        <f>SUMPRODUCT(Table4[Probability]*Table4[Expected Revenue]*(Table4[Installation]=$B21)*(Table4[Projected 
Year]=O$1)*(Table4[Projected 
Month]=O$2))/MAX(1,SUMPRODUCT(Table4[Expected Revenue]*(Table4[Installation]=$B21)*(Table4[Projected 
Year]=O$1)*(Table4[Projected 
Month]=O$2)))</f>
        <v>0</v>
      </c>
      <c r="Q21" s="24">
        <f>SUMPRODUCT(Table4[Expected Revenue]*Table4[Expected CMR]*(Table4[Projected 
Year]=O$1)*(Table4[Projected 
Month]=O$2)*(Table4[Installation]=$B21))/MAX(1,O21)</f>
        <v>0</v>
      </c>
      <c r="R21" s="27">
        <f>SUMIFS(Table4[Expected Revenue],Table4[Installation],$B21,Table4[Projected 
Year],R$1,Table4[Projected 
Month],R$2)</f>
        <v>0</v>
      </c>
      <c r="S21" s="23">
        <f>SUMPRODUCT(Table4[Probability]*Table4[Expected Revenue]*(Table4[Installation]=$B21)*(Table4[Projected 
Year]=R$1)*(Table4[Projected 
Month]=R$2))/MAX(1,SUMPRODUCT(Table4[Expected Revenue]*(Table4[Installation]=$B21)*(Table4[Projected 
Year]=R$1)*(Table4[Projected 
Month]=R$2)))</f>
        <v>0</v>
      </c>
      <c r="T21" s="24">
        <f>SUMPRODUCT(Table4[Expected Revenue]*Table4[Expected CMR]*(Table4[Projected 
Year]=R$1)*(Table4[Projected 
Month]=R$2)*(Table4[Installation]=$B21))/MAX(1,R21)</f>
        <v>0</v>
      </c>
      <c r="U21" s="27">
        <f>SUMIFS(Table4[Expected Revenue],Table4[Installation],$B21,Table4[Projected 
Year],U$1,Table4[Projected 
Month],U$2)</f>
        <v>0</v>
      </c>
      <c r="V21" s="23">
        <f>SUMPRODUCT(Table4[Probability]*Table4[Expected Revenue]*(Table4[Installation]=$B21)*(Table4[Projected 
Year]=U$1)*(Table4[Projected 
Month]=U$2))/MAX(1,SUMPRODUCT(Table4[Expected Revenue]*(Table4[Installation]=$B21)*(Table4[Projected 
Year]=U$1)*(Table4[Projected 
Month]=U$2)))</f>
        <v>0</v>
      </c>
      <c r="W21" s="24">
        <f>SUMPRODUCT(Table4[Expected Revenue]*Table4[Expected CMR]*(Table4[Projected 
Year]=U$1)*(Table4[Projected 
Month]=U$2)*(Table4[Installation]=$B21))/MAX(1,U21)</f>
        <v>0</v>
      </c>
      <c r="X21" s="27">
        <f>SUMIFS(Table4[Expected Revenue],Table4[Installation],$B21,Table4[Projected 
Year],X$1,Table4[Projected 
Month],X$2)</f>
        <v>0</v>
      </c>
      <c r="Y21" s="23">
        <f>SUMPRODUCT(Table4[Probability]*Table4[Expected Revenue]*(Table4[Installation]=$B21)*(Table4[Projected 
Year]=X$1)*(Table4[Projected 
Month]=X$2))/MAX(1,SUMPRODUCT(Table4[Expected Revenue]*(Table4[Installation]=$B21)*(Table4[Projected 
Year]=X$1)*(Table4[Projected 
Month]=X$2)))</f>
        <v>0</v>
      </c>
      <c r="Z21" s="24">
        <f>SUMPRODUCT(Table4[Expected Revenue]*Table4[Expected CMR]*(Table4[Projected 
Year]=X$1)*(Table4[Projected 
Month]=X$2)*(Table4[Installation]=$B21))/MAX(1,X21)</f>
        <v>0</v>
      </c>
      <c r="AA21" s="27">
        <f>SUMIFS(Table4[Expected Revenue],Table4[Installation],$B21,Table4[Projected 
Year],AA$1,Table4[Projected 
Month],AA$2)</f>
        <v>0</v>
      </c>
      <c r="AB21" s="23">
        <f>SUMPRODUCT(Table4[Probability]*Table4[Expected Revenue]*(Table4[Installation]=$B21)*(Table4[Projected 
Year]=AA$1)*(Table4[Projected 
Month]=AA$2))/MAX(1,SUMPRODUCT(Table4[Expected Revenue]*(Table4[Installation]=$B21)*(Table4[Projected 
Year]=AA$1)*(Table4[Projected 
Month]=AA$2)))</f>
        <v>0</v>
      </c>
      <c r="AC21" s="24">
        <f>SUMPRODUCT(Table4[Expected Revenue]*Table4[Expected CMR]*(Table4[Projected 
Year]=AA$1)*(Table4[Projected 
Month]=AA$2)*(Table4[Installation]=$B21))/MAX(1,AA21)</f>
        <v>0</v>
      </c>
      <c r="AD21" s="27">
        <f>SUMIFS(Table4[Expected Revenue],Table4[Installation],$B21,Table4[Projected 
Year],AD$1,Table4[Projected 
Month],AD$2)</f>
        <v>0</v>
      </c>
      <c r="AE21" s="23">
        <f>SUMPRODUCT(Table4[Probability]*Table4[Expected Revenue]*(Table4[Installation]=$B21)*(Table4[Projected 
Year]=AD$1)*(Table4[Projected 
Month]=AD$2))/MAX(1,SUMPRODUCT(Table4[Expected Revenue]*(Table4[Installation]=$B21)*(Table4[Projected 
Year]=AD$1)*(Table4[Projected 
Month]=AD$2)))</f>
        <v>0</v>
      </c>
      <c r="AF21" s="24">
        <f>SUMPRODUCT(Table4[Expected Revenue]*Table4[Expected CMR]*(Table4[Projected 
Year]=AD$1)*(Table4[Projected 
Month]=AD$2)*(Table4[Installation]=$B21))/MAX(1,AD21)</f>
        <v>0</v>
      </c>
      <c r="AG21" s="27">
        <f>SUMIFS(Table4[Expected Revenue],Table4[Installation],$B21,Table4[Projected 
Year],AG$1,Table4[Projected 
Month],AG$2)</f>
        <v>0</v>
      </c>
      <c r="AH21" s="23">
        <f>SUMPRODUCT(Table4[Probability]*Table4[Expected Revenue]*(Table4[Installation]=$B21)*(Table4[Projected 
Year]=AG$1)*(Table4[Projected 
Month]=AG$2))/MAX(1,SUMPRODUCT(Table4[Expected Revenue]*(Table4[Installation]=$B21)*(Table4[Projected 
Year]=AG$1)*(Table4[Projected 
Month]=AG$2)))</f>
        <v>0</v>
      </c>
      <c r="AI21" s="24">
        <f>SUMPRODUCT(Table4[Expected Revenue]*Table4[Expected CMR]*(Table4[Projected 
Year]=AG$1)*(Table4[Projected 
Month]=AG$2)*(Table4[Installation]=$B21))/MAX(1,AG21)</f>
        <v>0</v>
      </c>
      <c r="AJ21" s="27">
        <f>SUMIFS(Table4[Expected Revenue],Table4[Installation],$B21,Table4[Projected 
Year],AJ$1,Table4[Projected 
Month],AJ$2)</f>
        <v>43476.67</v>
      </c>
      <c r="AK21" s="23">
        <f>SUMPRODUCT(Table4[Probability]*Table4[Expected Revenue]*(Table4[Installation]=$B21)*(Table4[Projected 
Year]=AJ$1)*(Table4[Projected 
Month]=AJ$2))/MAX(1,SUMPRODUCT(Table4[Expected Revenue]*(Table4[Installation]=$B21)*(Table4[Projected 
Year]=AJ$1)*(Table4[Projected 
Month]=AJ$2)))</f>
        <v>1</v>
      </c>
      <c r="AL21" s="24">
        <f>SUMPRODUCT(Table4[Expected Revenue]*Table4[Expected CMR]*(Table4[Projected 
Year]=AJ$1)*(Table4[Projected 
Month]=AJ$2)*(Table4[Installation]=$B21))/MAX(1,AJ21)</f>
        <v>0.56000000000000005</v>
      </c>
      <c r="AM21" s="30">
        <f>SUM($C21,$F21,$I21,$L21,$O21,$R21,$U21,$X21,$AA21,$AD21,$AG21,$AJ21)</f>
        <v>43476.67</v>
      </c>
      <c r="AN21" s="52">
        <f t="shared" si="19"/>
        <v>1</v>
      </c>
      <c r="AO21" s="52">
        <f t="shared" si="19"/>
        <v>0.56000000000000005</v>
      </c>
      <c r="AP21" s="27" t="e">
        <f>SUMIFS(#REF!,Table4[Installation],$B21,#REF!,AP$1,#REF!,AP$2)</f>
        <v>#REF!</v>
      </c>
      <c r="AQ21" s="21" t="e">
        <f>SUMIFS(#REF!,Table4[Installation],$B21,Table4[Projected 
Year],AP$1,#REF!,AP$2)</f>
        <v>#REF!</v>
      </c>
      <c r="AR21" s="24" t="e">
        <f t="shared" si="7"/>
        <v>#REF!</v>
      </c>
      <c r="AS21" s="27" t="e">
        <f>SUMIFS(#REF!,Table4[Installation],$B21,#REF!,AS$1,#REF!,AS$2)</f>
        <v>#REF!</v>
      </c>
      <c r="AT21" s="21" t="e">
        <f>SUMIFS(#REF!,Table4[Installation],$B21,Table4[Projected 
Year],AS$1,#REF!,AS$2)</f>
        <v>#REF!</v>
      </c>
      <c r="AU21" s="24" t="e">
        <f t="shared" si="8"/>
        <v>#REF!</v>
      </c>
      <c r="AV21" s="27" t="e">
        <f>SUMIFS(#REF!,Table4[Installation],$B21,#REF!,AV$1,#REF!,AV$2)</f>
        <v>#REF!</v>
      </c>
      <c r="AW21" s="21" t="e">
        <f>SUMIFS(#REF!,Table4[Installation],$B21,Table4[Projected 
Year],AV$1,#REF!,AV$2)</f>
        <v>#REF!</v>
      </c>
      <c r="AX21" s="24" t="e">
        <f t="shared" si="9"/>
        <v>#REF!</v>
      </c>
      <c r="AY21" s="27" t="e">
        <f>SUMIFS(#REF!,Table4[Installation],$B21,#REF!,AY$1,#REF!,AY$2)</f>
        <v>#REF!</v>
      </c>
      <c r="AZ21" s="21" t="e">
        <f>SUMIFS(#REF!,Table4[Installation],$B21,Table4[Projected 
Year],AY$1,#REF!,AY$2)</f>
        <v>#REF!</v>
      </c>
      <c r="BA21" s="24" t="e">
        <f t="shared" si="10"/>
        <v>#REF!</v>
      </c>
      <c r="BB21" s="27" t="e">
        <f>SUMIFS(#REF!,Table4[Installation],$B21,#REF!,BB$1,#REF!,BB$2)</f>
        <v>#REF!</v>
      </c>
      <c r="BC21" s="21" t="e">
        <f>SUMIFS(#REF!,Table4[Installation],$B21,Table4[Projected 
Year],BB$1,#REF!,BB$2)</f>
        <v>#REF!</v>
      </c>
      <c r="BD21" s="24" t="e">
        <f t="shared" si="11"/>
        <v>#REF!</v>
      </c>
      <c r="BE21" s="27" t="e">
        <f>SUMIFS(#REF!,Table4[Installation],$B21,#REF!,BE$1,#REF!,BE$2)</f>
        <v>#REF!</v>
      </c>
      <c r="BF21" s="21" t="e">
        <f>SUMIFS(#REF!,Table4[Installation],$B21,Table4[Projected 
Year],BE$1,#REF!,BE$2)</f>
        <v>#REF!</v>
      </c>
      <c r="BG21" s="24" t="e">
        <f t="shared" si="18"/>
        <v>#REF!</v>
      </c>
      <c r="BH21" s="27" t="e">
        <f>SUMIFS(#REF!,Table4[Installation],$B21,#REF!,BH$1,#REF!,BH$2)</f>
        <v>#REF!</v>
      </c>
      <c r="BI21" s="21" t="e">
        <f>SUMIFS(#REF!,Table4[Installation],$B21,Table4[Projected 
Year],BH$1,#REF!,BH$2)</f>
        <v>#REF!</v>
      </c>
      <c r="BJ21" s="24" t="e">
        <f t="shared" si="3"/>
        <v>#REF!</v>
      </c>
      <c r="BK21" s="27" t="e">
        <f>SUMIFS(#REF!,Table4[Installation],$B21,#REF!,BK$1,#REF!,BK$2)</f>
        <v>#REF!</v>
      </c>
      <c r="BL21" s="21" t="e">
        <f>SUMIFS(#REF!,Table4[Installation],$B21,Table4[Projected 
Year],BK$1,#REF!,BK$2)</f>
        <v>#REF!</v>
      </c>
      <c r="BM21" s="24" t="e">
        <f t="shared" si="13"/>
        <v>#REF!</v>
      </c>
      <c r="BN21" s="27" t="e">
        <f>SUMIFS(#REF!,Table4[Installation],$B21,#REF!,BN$1,#REF!,BN$2)</f>
        <v>#REF!</v>
      </c>
      <c r="BO21" s="21" t="e">
        <f>SUMIFS(#REF!,Table4[Installation],$B21,Table4[Projected 
Year],BN$1,#REF!,BN$2)</f>
        <v>#REF!</v>
      </c>
      <c r="BP21" s="24" t="e">
        <f t="shared" si="14"/>
        <v>#REF!</v>
      </c>
      <c r="BQ21" s="27" t="e">
        <f>SUMIFS(#REF!,Table4[Installation],$B21,#REF!,BQ$1,#REF!,BQ$2)</f>
        <v>#REF!</v>
      </c>
      <c r="BR21" s="21" t="e">
        <f>SUMIFS(#REF!,Table4[Installation],$B21,Table4[Projected 
Year],BQ$1,#REF!,BQ$2)</f>
        <v>#REF!</v>
      </c>
      <c r="BS21" s="24" t="e">
        <f t="shared" si="15"/>
        <v>#REF!</v>
      </c>
      <c r="BT21" s="27" t="e">
        <f>SUMIFS(#REF!,Table4[Installation],$B21,#REF!,BT$1,#REF!,BT$2)</f>
        <v>#REF!</v>
      </c>
      <c r="BU21" s="21" t="e">
        <f>SUMIFS(#REF!,Table4[Installation],$B21,Table4[Projected 
Year],BT$1,#REF!,BT$2)</f>
        <v>#REF!</v>
      </c>
      <c r="BV21" s="24" t="e">
        <f t="shared" si="16"/>
        <v>#REF!</v>
      </c>
      <c r="BW21" s="27" t="e">
        <f>SUMIFS(#REF!,Table4[Installation],$B21,#REF!,BW$1,#REF!,BW$2)</f>
        <v>#REF!</v>
      </c>
      <c r="BX21" s="21" t="e">
        <f>SUMIFS(#REF!,Table4[Installation],$B21,Table4[Projected 
Year],BW$1,#REF!,BW$2)</f>
        <v>#REF!</v>
      </c>
      <c r="BY21" s="24" t="e">
        <f t="shared" si="12"/>
        <v>#REF!</v>
      </c>
      <c r="BZ21" s="30" t="e">
        <f t="shared" si="4"/>
        <v>#REF!</v>
      </c>
      <c r="CA21" s="30" t="e">
        <f t="shared" si="5"/>
        <v>#REF!</v>
      </c>
      <c r="CB21" s="24" t="e">
        <f t="shared" si="6"/>
        <v>#REF!</v>
      </c>
      <c r="CC21" s="29">
        <v>364244</v>
      </c>
      <c r="CD21" s="19" t="e">
        <f>BZ21-CC21</f>
        <v>#REF!</v>
      </c>
    </row>
    <row r="22" spans="1:82">
      <c r="AP22" s="27" t="e">
        <f>SUMIFS(#REF!,Table4[Installation],$B22,#REF!,AP$1,#REF!,AP$2)</f>
        <v>#REF!</v>
      </c>
      <c r="AQ22" s="21" t="e">
        <f>SUMIFS(#REF!,Table4[Installation],$B22,Table4[Projected 
Year],AP$1,#REF!,AP$2)</f>
        <v>#REF!</v>
      </c>
      <c r="AR22" s="24" t="e">
        <f t="shared" si="7"/>
        <v>#REF!</v>
      </c>
      <c r="AS22" s="27" t="e">
        <f>SUMIFS(#REF!,Table4[Installation],$B22,#REF!,AS$1,#REF!,AS$2)</f>
        <v>#REF!</v>
      </c>
      <c r="AT22" s="21" t="e">
        <f>SUMIFS(#REF!,Table4[Installation],$B22,Table4[Projected 
Year],AS$1,#REF!,AS$2)</f>
        <v>#REF!</v>
      </c>
      <c r="AU22" s="24" t="e">
        <f t="shared" si="8"/>
        <v>#REF!</v>
      </c>
      <c r="AV22" s="27" t="e">
        <f>SUMIFS(#REF!,Table4[Installation],$B22,#REF!,AV$1,#REF!,AV$2)</f>
        <v>#REF!</v>
      </c>
      <c r="AW22" s="21" t="e">
        <f>SUMIFS(#REF!,Table4[Installation],$B22,Table4[Projected 
Year],AV$1,#REF!,AV$2)</f>
        <v>#REF!</v>
      </c>
      <c r="AX22" s="24" t="e">
        <f t="shared" si="9"/>
        <v>#REF!</v>
      </c>
      <c r="AY22" s="27" t="e">
        <f>SUMIFS(#REF!,Table4[Installation],$B22,#REF!,AY$1,#REF!,AY$2)</f>
        <v>#REF!</v>
      </c>
      <c r="AZ22" s="21" t="e">
        <f>SUMIFS(#REF!,Table4[Installation],$B22,Table4[Projected 
Year],AY$1,#REF!,AY$2)</f>
        <v>#REF!</v>
      </c>
      <c r="BA22" s="24" t="e">
        <f t="shared" si="10"/>
        <v>#REF!</v>
      </c>
      <c r="BB22" s="27" t="e">
        <f>SUMIFS(#REF!,Table4[Installation],$B22,#REF!,BB$1,#REF!,BB$2)</f>
        <v>#REF!</v>
      </c>
      <c r="BC22" s="21" t="e">
        <f>SUMIFS(#REF!,Table4[Installation],$B22,Table4[Projected 
Year],BB$1,#REF!,BB$2)</f>
        <v>#REF!</v>
      </c>
      <c r="BD22" s="24" t="e">
        <f t="shared" si="11"/>
        <v>#REF!</v>
      </c>
      <c r="BE22" s="27" t="e">
        <f>SUMIFS(#REF!,Table4[Installation],$B22,#REF!,BE$1,#REF!,BE$2)</f>
        <v>#REF!</v>
      </c>
      <c r="BF22" s="21" t="e">
        <f>SUMIFS(#REF!,Table4[Installation],$B22,Table4[Projected 
Year],BE$1,#REF!,BE$2)</f>
        <v>#REF!</v>
      </c>
      <c r="BG22" s="24" t="e">
        <f t="shared" si="18"/>
        <v>#REF!</v>
      </c>
      <c r="BH22" s="27" t="e">
        <f>SUMIFS(#REF!,Table4[Installation],$B22,#REF!,BH$1,#REF!,BH$2)</f>
        <v>#REF!</v>
      </c>
      <c r="BI22" s="21" t="e">
        <f>SUMIFS(#REF!,Table4[Installation],$B22,Table4[Projected 
Year],BH$1,#REF!,BH$2)</f>
        <v>#REF!</v>
      </c>
      <c r="BJ22" s="24" t="e">
        <f t="shared" si="3"/>
        <v>#REF!</v>
      </c>
      <c r="BK22" s="27" t="e">
        <f>SUMIFS(#REF!,Table4[Installation],$B22,#REF!,BK$1,#REF!,BK$2)</f>
        <v>#REF!</v>
      </c>
      <c r="BL22" s="21" t="e">
        <f>SUMIFS(#REF!,Table4[Installation],$B22,Table4[Projected 
Year],BK$1,#REF!,BK$2)</f>
        <v>#REF!</v>
      </c>
      <c r="BM22" s="24" t="e">
        <f t="shared" si="13"/>
        <v>#REF!</v>
      </c>
      <c r="BN22" s="27" t="e">
        <f>SUMIFS(#REF!,Table4[Installation],$B22,#REF!,BN$1,#REF!,BN$2)</f>
        <v>#REF!</v>
      </c>
      <c r="BO22" s="21" t="e">
        <f>SUMIFS(#REF!,Table4[Installation],$B22,Table4[Projected 
Year],BN$1,#REF!,BN$2)</f>
        <v>#REF!</v>
      </c>
      <c r="BP22" s="24" t="e">
        <f t="shared" si="14"/>
        <v>#REF!</v>
      </c>
      <c r="BQ22" s="27" t="e">
        <f>SUMIFS(#REF!,Table4[Installation],$B22,#REF!,BQ$1,#REF!,BQ$2)</f>
        <v>#REF!</v>
      </c>
      <c r="BR22" s="21" t="e">
        <f>SUMIFS(#REF!,Table4[Installation],$B22,Table4[Projected 
Year],BQ$1,#REF!,BQ$2)</f>
        <v>#REF!</v>
      </c>
      <c r="BS22" s="24" t="e">
        <f t="shared" si="15"/>
        <v>#REF!</v>
      </c>
      <c r="BT22" s="27" t="e">
        <f>SUMIFS(#REF!,Table4[Installation],$B22,#REF!,BT$1,#REF!,BT$2)</f>
        <v>#REF!</v>
      </c>
      <c r="BU22" s="21" t="e">
        <f>SUMIFS(#REF!,Table4[Installation],$B22,Table4[Projected 
Year],BT$1,#REF!,BT$2)</f>
        <v>#REF!</v>
      </c>
      <c r="BV22" s="24" t="e">
        <f t="shared" si="16"/>
        <v>#REF!</v>
      </c>
      <c r="BW22" s="27" t="e">
        <f>SUMIFS(#REF!,Table4[Installation],$B22,#REF!,BW$1,#REF!,BW$2)</f>
        <v>#REF!</v>
      </c>
      <c r="BX22" s="21" t="e">
        <f>SUMIFS(#REF!,Table4[Installation],$B22,Table4[Projected 
Year],BW$1,#REF!,BW$2)</f>
        <v>#REF!</v>
      </c>
      <c r="BY22" s="24" t="e">
        <f t="shared" si="12"/>
        <v>#REF!</v>
      </c>
      <c r="BZ22" s="30" t="e">
        <f t="shared" si="4"/>
        <v>#REF!</v>
      </c>
      <c r="CA22" s="30" t="e">
        <f t="shared" si="5"/>
        <v>#REF!</v>
      </c>
      <c r="CB22" s="24" t="e">
        <f t="shared" si="6"/>
        <v>#REF!</v>
      </c>
    </row>
    <row r="23" spans="1:82">
      <c r="A23" s="151" t="s">
        <v>310</v>
      </c>
      <c r="AP23" s="27" t="e">
        <f>SUMIFS(#REF!,Table4[Installation],$B23,#REF!,AP$1,#REF!,AP$2)</f>
        <v>#REF!</v>
      </c>
      <c r="AQ23" s="21" t="e">
        <f>SUMIFS(#REF!,Table4[Installation],$B23,Table4[Projected 
Year],AP$1,#REF!,AP$2)</f>
        <v>#REF!</v>
      </c>
      <c r="AR23" s="24" t="e">
        <f t="shared" si="7"/>
        <v>#REF!</v>
      </c>
      <c r="AS23" s="27" t="e">
        <f>SUMIFS(#REF!,Table4[Installation],$B23,#REF!,AS$1,#REF!,AS$2)</f>
        <v>#REF!</v>
      </c>
      <c r="AT23" s="21" t="e">
        <f>SUMIFS(#REF!,Table4[Installation],$B23,Table4[Projected 
Year],AS$1,#REF!,AS$2)</f>
        <v>#REF!</v>
      </c>
      <c r="AU23" s="24" t="e">
        <f t="shared" si="8"/>
        <v>#REF!</v>
      </c>
      <c r="AV23" s="27" t="e">
        <f>SUMIFS(#REF!,Table4[Installation],$B23,#REF!,AV$1,#REF!,AV$2)</f>
        <v>#REF!</v>
      </c>
      <c r="AW23" s="21" t="e">
        <f>SUMIFS(#REF!,Table4[Installation],$B23,Table4[Projected 
Year],AV$1,#REF!,AV$2)</f>
        <v>#REF!</v>
      </c>
      <c r="AX23" s="24" t="e">
        <f t="shared" si="9"/>
        <v>#REF!</v>
      </c>
      <c r="AY23" s="27" t="e">
        <f>SUMIFS(#REF!,Table4[Installation],$B23,#REF!,AY$1,#REF!,AY$2)</f>
        <v>#REF!</v>
      </c>
      <c r="AZ23" s="21" t="e">
        <f>SUMIFS(#REF!,Table4[Installation],$B23,Table4[Projected 
Year],AY$1,#REF!,AY$2)</f>
        <v>#REF!</v>
      </c>
      <c r="BA23" s="24" t="e">
        <f t="shared" si="10"/>
        <v>#REF!</v>
      </c>
      <c r="BB23" s="27" t="e">
        <f>SUMIFS(#REF!,Table4[Installation],$B23,#REF!,BB$1,#REF!,BB$2)</f>
        <v>#REF!</v>
      </c>
      <c r="BC23" s="21" t="e">
        <f>SUMIFS(#REF!,Table4[Installation],$B23,Table4[Projected 
Year],BB$1,#REF!,BB$2)</f>
        <v>#REF!</v>
      </c>
      <c r="BD23" s="24" t="e">
        <f t="shared" si="11"/>
        <v>#REF!</v>
      </c>
      <c r="BE23" s="27" t="e">
        <f>SUMIFS(#REF!,Table4[Installation],$B23,#REF!,BE$1,#REF!,BE$2)</f>
        <v>#REF!</v>
      </c>
      <c r="BF23" s="21" t="e">
        <f>SUMIFS(#REF!,Table4[Installation],$B23,Table4[Projected 
Year],BE$1,#REF!,BE$2)</f>
        <v>#REF!</v>
      </c>
      <c r="BG23" s="24" t="e">
        <f t="shared" si="18"/>
        <v>#REF!</v>
      </c>
      <c r="BH23" s="27" t="e">
        <f>SUMIFS(#REF!,Table4[Installation],$B23,#REF!,BH$1,#REF!,BH$2)</f>
        <v>#REF!</v>
      </c>
      <c r="BI23" s="21" t="e">
        <f>SUMIFS(#REF!,Table4[Installation],$B23,Table4[Projected 
Year],BH$1,#REF!,BH$2)</f>
        <v>#REF!</v>
      </c>
      <c r="BJ23" s="24" t="e">
        <f t="shared" si="3"/>
        <v>#REF!</v>
      </c>
      <c r="BK23" s="27" t="e">
        <f>SUMIFS(#REF!,Table4[Installation],$B23,#REF!,BK$1,#REF!,BK$2)</f>
        <v>#REF!</v>
      </c>
      <c r="BL23" s="21" t="e">
        <f>SUMIFS(#REF!,Table4[Installation],$B23,Table4[Projected 
Year],BK$1,#REF!,BK$2)</f>
        <v>#REF!</v>
      </c>
      <c r="BM23" s="24" t="e">
        <f t="shared" si="13"/>
        <v>#REF!</v>
      </c>
      <c r="BN23" s="27" t="e">
        <f>SUMIFS(#REF!,Table4[Installation],$B23,#REF!,BN$1,#REF!,BN$2)</f>
        <v>#REF!</v>
      </c>
      <c r="BO23" s="21" t="e">
        <f>SUMIFS(#REF!,Table4[Installation],$B23,Table4[Projected 
Year],BN$1,#REF!,BN$2)</f>
        <v>#REF!</v>
      </c>
      <c r="BP23" s="24" t="e">
        <f t="shared" si="14"/>
        <v>#REF!</v>
      </c>
      <c r="BQ23" s="27" t="e">
        <f>SUMIFS(#REF!,Table4[Installation],$B23,#REF!,BQ$1,#REF!,BQ$2)</f>
        <v>#REF!</v>
      </c>
      <c r="BR23" s="21" t="e">
        <f>SUMIFS(#REF!,Table4[Installation],$B23,Table4[Projected 
Year],BQ$1,#REF!,BQ$2)</f>
        <v>#REF!</v>
      </c>
      <c r="BS23" s="24" t="e">
        <f t="shared" si="15"/>
        <v>#REF!</v>
      </c>
      <c r="BT23" s="27" t="e">
        <f>SUMIFS(#REF!,Table4[Installation],$B23,#REF!,BT$1,#REF!,BT$2)</f>
        <v>#REF!</v>
      </c>
      <c r="BU23" s="21" t="e">
        <f>SUMIFS(#REF!,Table4[Installation],$B23,Table4[Projected 
Year],BT$1,#REF!,BT$2)</f>
        <v>#REF!</v>
      </c>
      <c r="BV23" s="24" t="e">
        <f t="shared" si="16"/>
        <v>#REF!</v>
      </c>
      <c r="BW23" s="27" t="e">
        <f>SUMIFS(#REF!,Table4[Installation],$B23,#REF!,BW$1,#REF!,BW$2)</f>
        <v>#REF!</v>
      </c>
      <c r="BX23" s="21" t="e">
        <f>SUMIFS(#REF!,Table4[Installation],$B23,Table4[Projected 
Year],BW$1,#REF!,BW$2)</f>
        <v>#REF!</v>
      </c>
      <c r="BY23" s="24" t="e">
        <f t="shared" si="12"/>
        <v>#REF!</v>
      </c>
      <c r="BZ23" s="30" t="e">
        <f t="shared" si="4"/>
        <v>#REF!</v>
      </c>
      <c r="CA23" s="30" t="e">
        <f t="shared" si="5"/>
        <v>#REF!</v>
      </c>
      <c r="CB23" s="24" t="e">
        <f t="shared" si="6"/>
        <v>#REF!</v>
      </c>
    </row>
    <row r="24" spans="1:82">
      <c r="A24" s="18" t="s">
        <v>311</v>
      </c>
      <c r="B24" s="20" t="s">
        <v>312</v>
      </c>
      <c r="C24" s="27">
        <f>SUMIFS(Table4[Expected Revenue],Table4[Installation],$B24,Table4[Projected 
Year],C$1,Table4[Projected 
Month],C$2)</f>
        <v>0</v>
      </c>
      <c r="D24" s="23">
        <f>SUMPRODUCT(Table4[Probability]*Table4[Expected Revenue]*(Table4[Installation]=$B24)*(Table4[Projected 
Year]=C$1)*(Table4[Projected 
Month]=C$2))/MAX(1,SUMPRODUCT(Table4[Expected Revenue]*(Table4[Installation]=$B24)*(Table4[Projected 
Year]=C$1)*(Table4[Projected 
Month]=C$2)))</f>
        <v>0</v>
      </c>
      <c r="E24" s="24">
        <f>SUMPRODUCT(Table4[Expected Revenue]*Table4[Expected CMR]*(Table4[Projected 
Year]=C$1)*(Table4[Projected 
Month]=C$2)*(Table4[Installation]=$B24))/MAX(1,C24)</f>
        <v>0</v>
      </c>
      <c r="F24" s="27">
        <f>SUMIFS(Table4[Expected Revenue],Table4[Installation],$B24,Table4[Projected 
Year],F$1,Table4[Projected 
Month],F$2)</f>
        <v>0</v>
      </c>
      <c r="G24" s="23">
        <f>SUMPRODUCT(Table4[Probability]*Table4[Expected Revenue]*(Table4[Installation]=$B24)*(Table4[Projected 
Year]=F$1)*(Table4[Projected 
Month]=F$2))/MAX(1,SUMPRODUCT(Table4[Expected Revenue]*(Table4[Installation]=$B24)*(Table4[Projected 
Year]=F$1)*(Table4[Projected 
Month]=F$2)))</f>
        <v>0</v>
      </c>
      <c r="H24" s="24">
        <f>SUMPRODUCT(Table4[Expected Revenue]*Table4[Expected CMR]*(Table4[Projected 
Year]=F$1)*(Table4[Projected 
Month]=F$2)*(Table4[Installation]=$B24))/MAX(1,F24)</f>
        <v>0</v>
      </c>
      <c r="I24" s="27">
        <f>SUMIFS(Table4[Expected Revenue],Table4[Installation],$B24,Table4[Projected 
Year],I$1,Table4[Projected 
Month],I$2)</f>
        <v>0</v>
      </c>
      <c r="J24" s="23">
        <f>SUMPRODUCT(Table4[Probability]*Table4[Expected Revenue]*(Table4[Installation]=$B24)*(Table4[Projected 
Year]=I$1)*(Table4[Projected 
Month]=I$2))/MAX(1,SUMPRODUCT(Table4[Expected Revenue]*(Table4[Installation]=$B24)*(Table4[Projected 
Year]=I$1)*(Table4[Projected 
Month]=I$2)))</f>
        <v>0</v>
      </c>
      <c r="K24" s="24">
        <f>SUMPRODUCT(Table4[Expected Revenue]*Table4[Expected CMR]*(Table4[Projected 
Year]=I$1)*(Table4[Projected 
Month]=I$2)*(Table4[Installation]=$B24))/MAX(1,I24)</f>
        <v>0</v>
      </c>
      <c r="L24" s="27">
        <f>SUMIFS(Table4[Expected Revenue],Table4[Installation],$B24,Table4[Projected 
Year],L$1,Table4[Projected 
Month],L$2)</f>
        <v>0</v>
      </c>
      <c r="M24" s="23">
        <f>SUMPRODUCT(Table4[Probability]*Table4[Expected Revenue]*(Table4[Installation]=$B24)*(Table4[Projected 
Year]=L$1)*(Table4[Projected 
Month]=L$2))/MAX(1,SUMPRODUCT(Table4[Expected Revenue]*(Table4[Installation]=$B24)*(Table4[Projected 
Year]=L$1)*(Table4[Projected 
Month]=L$2)))</f>
        <v>0</v>
      </c>
      <c r="N24" s="24">
        <f>SUMPRODUCT(Table4[Expected Revenue]*Table4[Expected CMR]*(Table4[Projected 
Year]=L$1)*(Table4[Projected 
Month]=L$2)*(Table4[Installation]=$B24))/MAX(1,L24)</f>
        <v>0</v>
      </c>
      <c r="O24" s="27">
        <f>SUMIFS(Table4[Expected Revenue],Table4[Installation],$B24,Table4[Projected 
Year],O$1,Table4[Projected 
Month],O$2)</f>
        <v>0</v>
      </c>
      <c r="P24" s="23">
        <f>SUMPRODUCT(Table4[Probability]*Table4[Expected Revenue]*(Table4[Installation]=$B24)*(Table4[Projected 
Year]=O$1)*(Table4[Projected 
Month]=O$2))/MAX(1,SUMPRODUCT(Table4[Expected Revenue]*(Table4[Installation]=$B24)*(Table4[Projected 
Year]=O$1)*(Table4[Projected 
Month]=O$2)))</f>
        <v>0</v>
      </c>
      <c r="Q24" s="24">
        <f>SUMPRODUCT(Table4[Expected Revenue]*Table4[Expected CMR]*(Table4[Projected 
Year]=O$1)*(Table4[Projected 
Month]=O$2)*(Table4[Installation]=$B24))/MAX(1,O24)</f>
        <v>0</v>
      </c>
      <c r="R24" s="27">
        <f>SUMIFS(Table4[Expected Revenue],Table4[Installation],$B24,Table4[Projected 
Year],R$1,Table4[Projected 
Month],R$2)</f>
        <v>0</v>
      </c>
      <c r="S24" s="23">
        <f>SUMPRODUCT(Table4[Probability]*Table4[Expected Revenue]*(Table4[Installation]=$B24)*(Table4[Projected 
Year]=R$1)*(Table4[Projected 
Month]=R$2))/MAX(1,SUMPRODUCT(Table4[Expected Revenue]*(Table4[Installation]=$B24)*(Table4[Projected 
Year]=R$1)*(Table4[Projected 
Month]=R$2)))</f>
        <v>0</v>
      </c>
      <c r="T24" s="24">
        <f>SUMPRODUCT(Table4[Expected Revenue]*Table4[Expected CMR]*(Table4[Projected 
Year]=R$1)*(Table4[Projected 
Month]=R$2)*(Table4[Installation]=$B24))/MAX(1,R24)</f>
        <v>0</v>
      </c>
      <c r="U24" s="27">
        <f>SUMIFS(Table4[Expected Revenue],Table4[Installation],$B24,Table4[Projected 
Year],U$1,Table4[Projected 
Month],U$2)</f>
        <v>0</v>
      </c>
      <c r="V24" s="23">
        <f>SUMPRODUCT(Table4[Probability]*Table4[Expected Revenue]*(Table4[Installation]=$B24)*(Table4[Projected 
Year]=U$1)*(Table4[Projected 
Month]=U$2))/MAX(1,SUMPRODUCT(Table4[Expected Revenue]*(Table4[Installation]=$B24)*(Table4[Projected 
Year]=U$1)*(Table4[Projected 
Month]=U$2)))</f>
        <v>0</v>
      </c>
      <c r="W24" s="24">
        <f>SUMPRODUCT(Table4[Expected Revenue]*Table4[Expected CMR]*(Table4[Projected 
Year]=U$1)*(Table4[Projected 
Month]=U$2)*(Table4[Installation]=$B24))/MAX(1,U24)</f>
        <v>0</v>
      </c>
      <c r="X24" s="27">
        <f>SUMIFS(Table4[Expected Revenue],Table4[Installation],$B24,Table4[Projected 
Year],X$1,Table4[Projected 
Month],X$2)</f>
        <v>0</v>
      </c>
      <c r="Y24" s="23">
        <f>SUMPRODUCT(Table4[Probability]*Table4[Expected Revenue]*(Table4[Installation]=$B24)*(Table4[Projected 
Year]=X$1)*(Table4[Projected 
Month]=X$2))/MAX(1,SUMPRODUCT(Table4[Expected Revenue]*(Table4[Installation]=$B24)*(Table4[Projected 
Year]=X$1)*(Table4[Projected 
Month]=X$2)))</f>
        <v>0</v>
      </c>
      <c r="Z24" s="24">
        <f>SUMPRODUCT(Table4[Expected Revenue]*Table4[Expected CMR]*(Table4[Projected 
Year]=X$1)*(Table4[Projected 
Month]=X$2)*(Table4[Installation]=$B24))/MAX(1,X24)</f>
        <v>0</v>
      </c>
      <c r="AA24" s="27">
        <f>SUMIFS(Table4[Expected Revenue],Table4[Installation],$B24,Table4[Projected 
Year],AA$1,Table4[Projected 
Month],AA$2)</f>
        <v>0</v>
      </c>
      <c r="AB24" s="23">
        <f>SUMPRODUCT(Table4[Probability]*Table4[Expected Revenue]*(Table4[Installation]=$B24)*(Table4[Projected 
Year]=AA$1)*(Table4[Projected 
Month]=AA$2))/MAX(1,SUMPRODUCT(Table4[Expected Revenue]*(Table4[Installation]=$B24)*(Table4[Projected 
Year]=AA$1)*(Table4[Projected 
Month]=AA$2)))</f>
        <v>0</v>
      </c>
      <c r="AC24" s="24">
        <f>SUMPRODUCT(Table4[Expected Revenue]*Table4[Expected CMR]*(Table4[Projected 
Year]=AA$1)*(Table4[Projected 
Month]=AA$2)*(Table4[Installation]=$B24))/MAX(1,AA24)</f>
        <v>0</v>
      </c>
      <c r="AD24" s="27">
        <f>SUMIFS(Table4[Expected Revenue],Table4[Installation],$B24,Table4[Projected 
Year],AD$1,Table4[Projected 
Month],AD$2)</f>
        <v>0</v>
      </c>
      <c r="AE24" s="23">
        <f>SUMPRODUCT(Table4[Probability]*Table4[Expected Revenue]*(Table4[Installation]=$B24)*(Table4[Projected 
Year]=AD$1)*(Table4[Projected 
Month]=AD$2))/MAX(1,SUMPRODUCT(Table4[Expected Revenue]*(Table4[Installation]=$B24)*(Table4[Projected 
Year]=AD$1)*(Table4[Projected 
Month]=AD$2)))</f>
        <v>0</v>
      </c>
      <c r="AF24" s="24">
        <f>SUMPRODUCT(Table4[Expected Revenue]*Table4[Expected CMR]*(Table4[Projected 
Year]=AD$1)*(Table4[Projected 
Month]=AD$2)*(Table4[Installation]=$B24))/MAX(1,AD24)</f>
        <v>0</v>
      </c>
      <c r="AG24" s="27">
        <f>SUMIFS(Table4[Expected Revenue],Table4[Installation],$B24,Table4[Projected 
Year],AG$1,Table4[Projected 
Month],AG$2)</f>
        <v>0</v>
      </c>
      <c r="AH24" s="23">
        <f>SUMPRODUCT(Table4[Probability]*Table4[Expected Revenue]*(Table4[Installation]=$B24)*(Table4[Projected 
Year]=AG$1)*(Table4[Projected 
Month]=AG$2))/MAX(1,SUMPRODUCT(Table4[Expected Revenue]*(Table4[Installation]=$B24)*(Table4[Projected 
Year]=AG$1)*(Table4[Projected 
Month]=AG$2)))</f>
        <v>0</v>
      </c>
      <c r="AI24" s="24">
        <f>SUMPRODUCT(Table4[Expected Revenue]*Table4[Expected CMR]*(Table4[Projected 
Year]=AG$1)*(Table4[Projected 
Month]=AG$2)*(Table4[Installation]=$B24))/MAX(1,AG24)</f>
        <v>0</v>
      </c>
      <c r="AJ24" s="27">
        <f>SUMIFS(Table4[Expected Revenue],Table4[Installation],$B24,Table4[Projected 
Year],AJ$1,Table4[Projected 
Month],AJ$2)</f>
        <v>0</v>
      </c>
      <c r="AK24" s="23">
        <f>SUMPRODUCT(Table4[Probability]*Table4[Expected Revenue]*(Table4[Installation]=$B24)*(Table4[Projected 
Year]=AJ$1)*(Table4[Projected 
Month]=AJ$2))/MAX(1,SUMPRODUCT(Table4[Expected Revenue]*(Table4[Installation]=$B24)*(Table4[Projected 
Year]=AJ$1)*(Table4[Projected 
Month]=AJ$2)))</f>
        <v>0</v>
      </c>
      <c r="AL24" s="24">
        <f>SUMPRODUCT(Table4[Expected Revenue]*Table4[Expected CMR]*(Table4[Projected 
Year]=AJ$1)*(Table4[Projected 
Month]=AJ$2)*(Table4[Installation]=$B24))/MAX(1,AJ24)</f>
        <v>0</v>
      </c>
      <c r="AM24" s="30">
        <f t="shared" ref="AM24:AM51" si="20">SUM($C24,$F24,$I24,$L24,$O24,$R24,$U24,$X24,$AA24,$AD24,$AG24,$AJ24)</f>
        <v>0</v>
      </c>
      <c r="AN24" s="52">
        <f t="shared" ref="AN24:AO29" si="21">SUM($C24*D24,$F24*G24,$I24*J24,$L24*M24,$O24*P24,$R24*S24,$U24*V24,$X24*Y24,$AA24*AB24,$AD24*AE24,$AG24*AH24,$AJ24*AK24)/MAX(1,$AM24)</f>
        <v>0</v>
      </c>
      <c r="AO24" s="52">
        <f t="shared" si="21"/>
        <v>0</v>
      </c>
      <c r="AP24" s="27" t="e">
        <f>SUMIFS(#REF!,Table4[Installation],$B24,#REF!,AP$1,#REF!,AP$2)</f>
        <v>#REF!</v>
      </c>
      <c r="AQ24" s="21" t="e">
        <f>SUMIFS(#REF!,Table4[Installation],$B24,Table4[Projected 
Year],AP$1,#REF!,AP$2)</f>
        <v>#REF!</v>
      </c>
      <c r="AR24" s="24" t="e">
        <f t="shared" si="7"/>
        <v>#REF!</v>
      </c>
      <c r="AS24" s="27" t="e">
        <f>SUMIFS(#REF!,Table4[Installation],$B24,#REF!,AS$1,#REF!,AS$2)</f>
        <v>#REF!</v>
      </c>
      <c r="AT24" s="21" t="e">
        <f>SUMIFS(#REF!,Table4[Installation],$B24,Table4[Projected 
Year],AS$1,#REF!,AS$2)</f>
        <v>#REF!</v>
      </c>
      <c r="AU24" s="24" t="e">
        <f t="shared" si="8"/>
        <v>#REF!</v>
      </c>
      <c r="AV24" s="27" t="e">
        <f>SUMIFS(#REF!,Table4[Installation],$B24,#REF!,AV$1,#REF!,AV$2)</f>
        <v>#REF!</v>
      </c>
      <c r="AW24" s="21" t="e">
        <f>SUMIFS(#REF!,Table4[Installation],$B24,Table4[Projected 
Year],AV$1,#REF!,AV$2)</f>
        <v>#REF!</v>
      </c>
      <c r="AX24" s="24" t="e">
        <f t="shared" si="9"/>
        <v>#REF!</v>
      </c>
      <c r="AY24" s="27" t="e">
        <f>SUMIFS(#REF!,Table4[Installation],$B24,#REF!,AY$1,#REF!,AY$2)</f>
        <v>#REF!</v>
      </c>
      <c r="AZ24" s="21" t="e">
        <f>SUMIFS(#REF!,Table4[Installation],$B24,Table4[Projected 
Year],AY$1,#REF!,AY$2)</f>
        <v>#REF!</v>
      </c>
      <c r="BA24" s="24" t="e">
        <f t="shared" si="10"/>
        <v>#REF!</v>
      </c>
      <c r="BB24" s="27" t="e">
        <f>SUMIFS(#REF!,Table4[Installation],$B24,#REF!,BB$1,#REF!,BB$2)</f>
        <v>#REF!</v>
      </c>
      <c r="BC24" s="21" t="e">
        <f>SUMIFS(#REF!,Table4[Installation],$B24,Table4[Projected 
Year],BB$1,#REF!,BB$2)</f>
        <v>#REF!</v>
      </c>
      <c r="BD24" s="24" t="e">
        <f t="shared" si="11"/>
        <v>#REF!</v>
      </c>
      <c r="BE24" s="27" t="e">
        <f>SUMIFS(#REF!,Table4[Installation],$B24,#REF!,BE$1,#REF!,BE$2)</f>
        <v>#REF!</v>
      </c>
      <c r="BF24" s="21" t="e">
        <f>SUMIFS(#REF!,Table4[Installation],$B24,Table4[Projected 
Year],BE$1,#REF!,BE$2)</f>
        <v>#REF!</v>
      </c>
      <c r="BG24" s="24" t="e">
        <f t="shared" si="18"/>
        <v>#REF!</v>
      </c>
      <c r="BH24" s="27" t="e">
        <f>SUMIFS(#REF!,Table4[Installation],$B24,#REF!,BH$1,#REF!,BH$2)</f>
        <v>#REF!</v>
      </c>
      <c r="BI24" s="21" t="e">
        <f>SUMIFS(#REF!,Table4[Installation],$B24,Table4[Projected 
Year],BH$1,#REF!,BH$2)</f>
        <v>#REF!</v>
      </c>
      <c r="BJ24" s="24" t="e">
        <f t="shared" si="3"/>
        <v>#REF!</v>
      </c>
      <c r="BK24" s="27" t="e">
        <f>SUMIFS(#REF!,Table4[Installation],$B24,#REF!,BK$1,#REF!,BK$2)</f>
        <v>#REF!</v>
      </c>
      <c r="BL24" s="21" t="e">
        <f>SUMIFS(#REF!,Table4[Installation],$B24,Table4[Projected 
Year],BK$1,#REF!,BK$2)</f>
        <v>#REF!</v>
      </c>
      <c r="BM24" s="24" t="e">
        <f t="shared" si="13"/>
        <v>#REF!</v>
      </c>
      <c r="BN24" s="27" t="e">
        <f>SUMIFS(#REF!,Table4[Installation],$B24,#REF!,BN$1,#REF!,BN$2)</f>
        <v>#REF!</v>
      </c>
      <c r="BO24" s="21" t="e">
        <f>SUMIFS(#REF!,Table4[Installation],$B24,Table4[Projected 
Year],BN$1,#REF!,BN$2)</f>
        <v>#REF!</v>
      </c>
      <c r="BP24" s="24" t="e">
        <f t="shared" si="14"/>
        <v>#REF!</v>
      </c>
      <c r="BQ24" s="27" t="e">
        <f>SUMIFS(#REF!,Table4[Installation],$B24,#REF!,BQ$1,#REF!,BQ$2)</f>
        <v>#REF!</v>
      </c>
      <c r="BR24" s="21" t="e">
        <f>SUMIFS(#REF!,Table4[Installation],$B24,Table4[Projected 
Year],BQ$1,#REF!,BQ$2)</f>
        <v>#REF!</v>
      </c>
      <c r="BS24" s="24" t="e">
        <f t="shared" si="15"/>
        <v>#REF!</v>
      </c>
      <c r="BT24" s="27" t="e">
        <f>SUMIFS(#REF!,Table4[Installation],$B24,#REF!,BT$1,#REF!,BT$2)</f>
        <v>#REF!</v>
      </c>
      <c r="BU24" s="21" t="e">
        <f>SUMIFS(#REF!,Table4[Installation],$B24,Table4[Projected 
Year],BT$1,#REF!,BT$2)</f>
        <v>#REF!</v>
      </c>
      <c r="BV24" s="24" t="e">
        <f t="shared" si="16"/>
        <v>#REF!</v>
      </c>
      <c r="BW24" s="27" t="e">
        <f>SUMIFS(#REF!,Table4[Installation],$B24,#REF!,BW$1,#REF!,BW$2)</f>
        <v>#REF!</v>
      </c>
      <c r="BX24" s="21" t="e">
        <f>SUMIFS(#REF!,Table4[Installation],$B24,Table4[Projected 
Year],BW$1,#REF!,BW$2)</f>
        <v>#REF!</v>
      </c>
      <c r="BY24" s="24" t="e">
        <f t="shared" si="12"/>
        <v>#REF!</v>
      </c>
      <c r="BZ24" s="30" t="e">
        <f t="shared" si="4"/>
        <v>#REF!</v>
      </c>
      <c r="CA24" s="30" t="e">
        <f t="shared" si="5"/>
        <v>#REF!</v>
      </c>
      <c r="CB24" s="24" t="e">
        <f t="shared" si="6"/>
        <v>#REF!</v>
      </c>
      <c r="CC24" s="29"/>
      <c r="CD24" s="19" t="e">
        <f>BZ24-CC24</f>
        <v>#REF!</v>
      </c>
    </row>
    <row r="25" spans="1:82">
      <c r="A25" s="18"/>
      <c r="B25" s="20" t="s">
        <v>313</v>
      </c>
      <c r="C25" s="27">
        <f>SUMIFS(Table4[Expected Revenue],Table4[Installation],$B25,Table4[Projected 
Year],C$1,Table4[Projected 
Month],C$2)</f>
        <v>0</v>
      </c>
      <c r="D25" s="23">
        <f>SUMPRODUCT(Table4[Probability]*Table4[Expected Revenue]*(Table4[Installation]=$B25)*(Table4[Projected 
Year]=C$1)*(Table4[Projected 
Month]=C$2))/MAX(1,SUMPRODUCT(Table4[Expected Revenue]*(Table4[Installation]=$B25)*(Table4[Projected 
Year]=C$1)*(Table4[Projected 
Month]=C$2)))</f>
        <v>0</v>
      </c>
      <c r="E25" s="24">
        <f>SUMPRODUCT(Table4[Expected Revenue]*Table4[Expected CMR]*(Table4[Projected 
Year]=C$1)*(Table4[Projected 
Month]=C$2)*(Table4[Installation]=$B25))/MAX(1,C25)</f>
        <v>0</v>
      </c>
      <c r="F25" s="27">
        <f>SUMIFS(Table4[Expected Revenue],Table4[Installation],$B25,Table4[Projected 
Year],F$1,Table4[Projected 
Month],F$2)</f>
        <v>0</v>
      </c>
      <c r="G25" s="23">
        <f>SUMPRODUCT(Table4[Probability]*Table4[Expected Revenue]*(Table4[Installation]=$B25)*(Table4[Projected 
Year]=F$1)*(Table4[Projected 
Month]=F$2))/MAX(1,SUMPRODUCT(Table4[Expected Revenue]*(Table4[Installation]=$B25)*(Table4[Projected 
Year]=F$1)*(Table4[Projected 
Month]=F$2)))</f>
        <v>0</v>
      </c>
      <c r="H25" s="24">
        <f>SUMPRODUCT(Table4[Expected Revenue]*Table4[Expected CMR]*(Table4[Projected 
Year]=F$1)*(Table4[Projected 
Month]=F$2)*(Table4[Installation]=$B25))/MAX(1,F25)</f>
        <v>0</v>
      </c>
      <c r="I25" s="27">
        <f>SUMIFS(Table4[Expected Revenue],Table4[Installation],$B25,Table4[Projected 
Year],I$1,Table4[Projected 
Month],I$2)</f>
        <v>0</v>
      </c>
      <c r="J25" s="23">
        <f>SUMPRODUCT(Table4[Probability]*Table4[Expected Revenue]*(Table4[Installation]=$B25)*(Table4[Projected 
Year]=I$1)*(Table4[Projected 
Month]=I$2))/MAX(1,SUMPRODUCT(Table4[Expected Revenue]*(Table4[Installation]=$B25)*(Table4[Projected 
Year]=I$1)*(Table4[Projected 
Month]=I$2)))</f>
        <v>0</v>
      </c>
      <c r="K25" s="24">
        <f>SUMPRODUCT(Table4[Expected Revenue]*Table4[Expected CMR]*(Table4[Projected 
Year]=I$1)*(Table4[Projected 
Month]=I$2)*(Table4[Installation]=$B25))/MAX(1,I25)</f>
        <v>0</v>
      </c>
      <c r="L25" s="27">
        <f>SUMIFS(Table4[Expected Revenue],Table4[Installation],$B25,Table4[Projected 
Year],L$1,Table4[Projected 
Month],L$2)</f>
        <v>0</v>
      </c>
      <c r="M25" s="23">
        <f>SUMPRODUCT(Table4[Probability]*Table4[Expected Revenue]*(Table4[Installation]=$B25)*(Table4[Projected 
Year]=L$1)*(Table4[Projected 
Month]=L$2))/MAX(1,SUMPRODUCT(Table4[Expected Revenue]*(Table4[Installation]=$B25)*(Table4[Projected 
Year]=L$1)*(Table4[Projected 
Month]=L$2)))</f>
        <v>0</v>
      </c>
      <c r="N25" s="24">
        <f>SUMPRODUCT(Table4[Expected Revenue]*Table4[Expected CMR]*(Table4[Projected 
Year]=L$1)*(Table4[Projected 
Month]=L$2)*(Table4[Installation]=$B25))/MAX(1,L25)</f>
        <v>0</v>
      </c>
      <c r="O25" s="27">
        <f>SUMIFS(Table4[Expected Revenue],Table4[Installation],$B25,Table4[Projected 
Year],O$1,Table4[Projected 
Month],O$2)</f>
        <v>0</v>
      </c>
      <c r="P25" s="23">
        <f>SUMPRODUCT(Table4[Probability]*Table4[Expected Revenue]*(Table4[Installation]=$B25)*(Table4[Projected 
Year]=O$1)*(Table4[Projected 
Month]=O$2))/MAX(1,SUMPRODUCT(Table4[Expected Revenue]*(Table4[Installation]=$B25)*(Table4[Projected 
Year]=O$1)*(Table4[Projected 
Month]=O$2)))</f>
        <v>0</v>
      </c>
      <c r="Q25" s="24">
        <f>SUMPRODUCT(Table4[Expected Revenue]*Table4[Expected CMR]*(Table4[Projected 
Year]=O$1)*(Table4[Projected 
Month]=O$2)*(Table4[Installation]=$B25))/MAX(1,O25)</f>
        <v>0</v>
      </c>
      <c r="R25" s="27">
        <f>SUMIFS(Table4[Expected Revenue],Table4[Installation],$B25,Table4[Projected 
Year],R$1,Table4[Projected 
Month],R$2)</f>
        <v>0</v>
      </c>
      <c r="S25" s="23">
        <f>SUMPRODUCT(Table4[Probability]*Table4[Expected Revenue]*(Table4[Installation]=$B25)*(Table4[Projected 
Year]=R$1)*(Table4[Projected 
Month]=R$2))/MAX(1,SUMPRODUCT(Table4[Expected Revenue]*(Table4[Installation]=$B25)*(Table4[Projected 
Year]=R$1)*(Table4[Projected 
Month]=R$2)))</f>
        <v>0</v>
      </c>
      <c r="T25" s="24">
        <f>SUMPRODUCT(Table4[Expected Revenue]*Table4[Expected CMR]*(Table4[Projected 
Year]=R$1)*(Table4[Projected 
Month]=R$2)*(Table4[Installation]=$B25))/MAX(1,R25)</f>
        <v>0</v>
      </c>
      <c r="U25" s="27">
        <f>SUMIFS(Table4[Expected Revenue],Table4[Installation],$B25,Table4[Projected 
Year],U$1,Table4[Projected 
Month],U$2)</f>
        <v>0</v>
      </c>
      <c r="V25" s="23">
        <f>SUMPRODUCT(Table4[Probability]*Table4[Expected Revenue]*(Table4[Installation]=$B25)*(Table4[Projected 
Year]=U$1)*(Table4[Projected 
Month]=U$2))/MAX(1,SUMPRODUCT(Table4[Expected Revenue]*(Table4[Installation]=$B25)*(Table4[Projected 
Year]=U$1)*(Table4[Projected 
Month]=U$2)))</f>
        <v>0</v>
      </c>
      <c r="W25" s="24">
        <f>SUMPRODUCT(Table4[Expected Revenue]*Table4[Expected CMR]*(Table4[Projected 
Year]=U$1)*(Table4[Projected 
Month]=U$2)*(Table4[Installation]=$B25))/MAX(1,U25)</f>
        <v>0</v>
      </c>
      <c r="X25" s="27">
        <f>SUMIFS(Table4[Expected Revenue],Table4[Installation],$B25,Table4[Projected 
Year],X$1,Table4[Projected 
Month],X$2)</f>
        <v>0</v>
      </c>
      <c r="Y25" s="23">
        <f>SUMPRODUCT(Table4[Probability]*Table4[Expected Revenue]*(Table4[Installation]=$B25)*(Table4[Projected 
Year]=X$1)*(Table4[Projected 
Month]=X$2))/MAX(1,SUMPRODUCT(Table4[Expected Revenue]*(Table4[Installation]=$B25)*(Table4[Projected 
Year]=X$1)*(Table4[Projected 
Month]=X$2)))</f>
        <v>0</v>
      </c>
      <c r="Z25" s="24">
        <f>SUMPRODUCT(Table4[Expected Revenue]*Table4[Expected CMR]*(Table4[Projected 
Year]=X$1)*(Table4[Projected 
Month]=X$2)*(Table4[Installation]=$B25))/MAX(1,X25)</f>
        <v>0</v>
      </c>
      <c r="AA25" s="27">
        <f>SUMIFS(Table4[Expected Revenue],Table4[Installation],$B25,Table4[Projected 
Year],AA$1,Table4[Projected 
Month],AA$2)</f>
        <v>0</v>
      </c>
      <c r="AB25" s="23">
        <f>SUMPRODUCT(Table4[Probability]*Table4[Expected Revenue]*(Table4[Installation]=$B25)*(Table4[Projected 
Year]=AA$1)*(Table4[Projected 
Month]=AA$2))/MAX(1,SUMPRODUCT(Table4[Expected Revenue]*(Table4[Installation]=$B25)*(Table4[Projected 
Year]=AA$1)*(Table4[Projected 
Month]=AA$2)))</f>
        <v>0</v>
      </c>
      <c r="AC25" s="24">
        <f>SUMPRODUCT(Table4[Expected Revenue]*Table4[Expected CMR]*(Table4[Projected 
Year]=AA$1)*(Table4[Projected 
Month]=AA$2)*(Table4[Installation]=$B25))/MAX(1,AA25)</f>
        <v>0</v>
      </c>
      <c r="AD25" s="27">
        <f>SUMIFS(Table4[Expected Revenue],Table4[Installation],$B25,Table4[Projected 
Year],AD$1,Table4[Projected 
Month],AD$2)</f>
        <v>0</v>
      </c>
      <c r="AE25" s="23">
        <f>SUMPRODUCT(Table4[Probability]*Table4[Expected Revenue]*(Table4[Installation]=$B25)*(Table4[Projected 
Year]=AD$1)*(Table4[Projected 
Month]=AD$2))/MAX(1,SUMPRODUCT(Table4[Expected Revenue]*(Table4[Installation]=$B25)*(Table4[Projected 
Year]=AD$1)*(Table4[Projected 
Month]=AD$2)))</f>
        <v>0</v>
      </c>
      <c r="AF25" s="24">
        <f>SUMPRODUCT(Table4[Expected Revenue]*Table4[Expected CMR]*(Table4[Projected 
Year]=AD$1)*(Table4[Projected 
Month]=AD$2)*(Table4[Installation]=$B25))/MAX(1,AD25)</f>
        <v>0</v>
      </c>
      <c r="AG25" s="27">
        <f>SUMIFS(Table4[Expected Revenue],Table4[Installation],$B25,Table4[Projected 
Year],AG$1,Table4[Projected 
Month],AG$2)</f>
        <v>0</v>
      </c>
      <c r="AH25" s="23">
        <f>SUMPRODUCT(Table4[Probability]*Table4[Expected Revenue]*(Table4[Installation]=$B25)*(Table4[Projected 
Year]=AG$1)*(Table4[Projected 
Month]=AG$2))/MAX(1,SUMPRODUCT(Table4[Expected Revenue]*(Table4[Installation]=$B25)*(Table4[Projected 
Year]=AG$1)*(Table4[Projected 
Month]=AG$2)))</f>
        <v>0</v>
      </c>
      <c r="AI25" s="24">
        <f>SUMPRODUCT(Table4[Expected Revenue]*Table4[Expected CMR]*(Table4[Projected 
Year]=AG$1)*(Table4[Projected 
Month]=AG$2)*(Table4[Installation]=$B25))/MAX(1,AG25)</f>
        <v>0</v>
      </c>
      <c r="AJ25" s="27">
        <f>SUMIFS(Table4[Expected Revenue],Table4[Installation],$B25,Table4[Projected 
Year],AJ$1,Table4[Projected 
Month],AJ$2)</f>
        <v>0</v>
      </c>
      <c r="AK25" s="23">
        <f>SUMPRODUCT(Table4[Probability]*Table4[Expected Revenue]*(Table4[Installation]=$B25)*(Table4[Projected 
Year]=AJ$1)*(Table4[Projected 
Month]=AJ$2))/MAX(1,SUMPRODUCT(Table4[Expected Revenue]*(Table4[Installation]=$B25)*(Table4[Projected 
Year]=AJ$1)*(Table4[Projected 
Month]=AJ$2)))</f>
        <v>0</v>
      </c>
      <c r="AL25" s="24">
        <f>SUMPRODUCT(Table4[Expected Revenue]*Table4[Expected CMR]*(Table4[Projected 
Year]=AJ$1)*(Table4[Projected 
Month]=AJ$2)*(Table4[Installation]=$B25))/MAX(1,AJ25)</f>
        <v>0</v>
      </c>
      <c r="AM25" s="30">
        <f t="shared" si="20"/>
        <v>0</v>
      </c>
      <c r="AN25" s="52">
        <f t="shared" si="21"/>
        <v>0</v>
      </c>
      <c r="AO25" s="52">
        <f t="shared" si="21"/>
        <v>0</v>
      </c>
      <c r="AP25" s="27" t="e">
        <f>SUMIFS(#REF!,Table4[Installation],$B25,#REF!,AP$1,#REF!,AP$2)</f>
        <v>#REF!</v>
      </c>
      <c r="AQ25" s="21" t="e">
        <f>SUMIFS(#REF!,Table4[Installation],$B25,Table4[Projected 
Year],AP$1,#REF!,AP$2)</f>
        <v>#REF!</v>
      </c>
      <c r="AR25" s="24" t="e">
        <f t="shared" si="7"/>
        <v>#REF!</v>
      </c>
      <c r="AS25" s="27" t="e">
        <f>SUMIFS(#REF!,Table4[Installation],$B25,#REF!,AS$1,#REF!,AS$2)</f>
        <v>#REF!</v>
      </c>
      <c r="AT25" s="21" t="e">
        <f>SUMIFS(#REF!,Table4[Installation],$B25,Table4[Projected 
Year],AS$1,#REF!,AS$2)</f>
        <v>#REF!</v>
      </c>
      <c r="AU25" s="24" t="e">
        <f t="shared" si="8"/>
        <v>#REF!</v>
      </c>
      <c r="AV25" s="27" t="e">
        <f>SUMIFS(#REF!,Table4[Installation],$B25,#REF!,AV$1,#REF!,AV$2)</f>
        <v>#REF!</v>
      </c>
      <c r="AW25" s="21" t="e">
        <f>SUMIFS(#REF!,Table4[Installation],$B25,Table4[Projected 
Year],AV$1,#REF!,AV$2)</f>
        <v>#REF!</v>
      </c>
      <c r="AX25" s="24" t="e">
        <f t="shared" si="9"/>
        <v>#REF!</v>
      </c>
      <c r="AY25" s="27" t="e">
        <f>SUMIFS(#REF!,Table4[Installation],$B25,#REF!,AY$1,#REF!,AY$2)</f>
        <v>#REF!</v>
      </c>
      <c r="AZ25" s="21" t="e">
        <f>SUMIFS(#REF!,Table4[Installation],$B25,Table4[Projected 
Year],AY$1,#REF!,AY$2)</f>
        <v>#REF!</v>
      </c>
      <c r="BA25" s="24" t="e">
        <f t="shared" si="10"/>
        <v>#REF!</v>
      </c>
      <c r="BB25" s="27" t="e">
        <f>SUMIFS(#REF!,Table4[Installation],$B25,#REF!,BB$1,#REF!,BB$2)</f>
        <v>#REF!</v>
      </c>
      <c r="BC25" s="21" t="e">
        <f>SUMIFS(#REF!,Table4[Installation],$B25,Table4[Projected 
Year],BB$1,#REF!,BB$2)</f>
        <v>#REF!</v>
      </c>
      <c r="BD25" s="24" t="e">
        <f t="shared" si="11"/>
        <v>#REF!</v>
      </c>
      <c r="BE25" s="27" t="e">
        <f>SUMIFS(#REF!,Table4[Installation],$B25,#REF!,BE$1,#REF!,BE$2)</f>
        <v>#REF!</v>
      </c>
      <c r="BF25" s="21" t="e">
        <f>SUMIFS(#REF!,Table4[Installation],$B25,Table4[Projected 
Year],BE$1,#REF!,BE$2)</f>
        <v>#REF!</v>
      </c>
      <c r="BG25" s="24" t="e">
        <f t="shared" si="18"/>
        <v>#REF!</v>
      </c>
      <c r="BH25" s="27" t="e">
        <f>SUMIFS(#REF!,Table4[Installation],$B25,#REF!,BH$1,#REF!,BH$2)</f>
        <v>#REF!</v>
      </c>
      <c r="BI25" s="21" t="e">
        <f>SUMIFS(#REF!,Table4[Installation],$B25,Table4[Projected 
Year],BH$1,#REF!,BH$2)</f>
        <v>#REF!</v>
      </c>
      <c r="BJ25" s="24" t="e">
        <f t="shared" si="3"/>
        <v>#REF!</v>
      </c>
      <c r="BK25" s="27" t="e">
        <f>SUMIFS(#REF!,Table4[Installation],$B25,#REF!,BK$1,#REF!,BK$2)</f>
        <v>#REF!</v>
      </c>
      <c r="BL25" s="21" t="e">
        <f>SUMIFS(#REF!,Table4[Installation],$B25,Table4[Projected 
Year],BK$1,#REF!,BK$2)</f>
        <v>#REF!</v>
      </c>
      <c r="BM25" s="24" t="e">
        <f t="shared" si="13"/>
        <v>#REF!</v>
      </c>
      <c r="BN25" s="27" t="e">
        <f>SUMIFS(#REF!,Table4[Installation],$B25,#REF!,BN$1,#REF!,BN$2)</f>
        <v>#REF!</v>
      </c>
      <c r="BO25" s="21" t="e">
        <f>SUMIFS(#REF!,Table4[Installation],$B25,Table4[Projected 
Year],BN$1,#REF!,BN$2)</f>
        <v>#REF!</v>
      </c>
      <c r="BP25" s="24" t="e">
        <f t="shared" si="14"/>
        <v>#REF!</v>
      </c>
      <c r="BQ25" s="27" t="e">
        <f>SUMIFS(#REF!,Table4[Installation],$B25,#REF!,BQ$1,#REF!,BQ$2)</f>
        <v>#REF!</v>
      </c>
      <c r="BR25" s="21" t="e">
        <f>SUMIFS(#REF!,Table4[Installation],$B25,Table4[Projected 
Year],BQ$1,#REF!,BQ$2)</f>
        <v>#REF!</v>
      </c>
      <c r="BS25" s="24" t="e">
        <f t="shared" si="15"/>
        <v>#REF!</v>
      </c>
      <c r="BT25" s="27" t="e">
        <f>SUMIFS(#REF!,Table4[Installation],$B25,#REF!,BT$1,#REF!,BT$2)</f>
        <v>#REF!</v>
      </c>
      <c r="BU25" s="21" t="e">
        <f>SUMIFS(#REF!,Table4[Installation],$B25,Table4[Projected 
Year],BT$1,#REF!,BT$2)</f>
        <v>#REF!</v>
      </c>
      <c r="BV25" s="24" t="e">
        <f t="shared" si="16"/>
        <v>#REF!</v>
      </c>
      <c r="BW25" s="27" t="e">
        <f>SUMIFS(#REF!,Table4[Installation],$B25,#REF!,BW$1,#REF!,BW$2)</f>
        <v>#REF!</v>
      </c>
      <c r="BX25" s="21" t="e">
        <f>SUMIFS(#REF!,Table4[Installation],$B25,Table4[Projected 
Year],BW$1,#REF!,BW$2)</f>
        <v>#REF!</v>
      </c>
      <c r="BY25" s="24" t="e">
        <f t="shared" si="12"/>
        <v>#REF!</v>
      </c>
      <c r="BZ25" s="30" t="e">
        <f t="shared" si="4"/>
        <v>#REF!</v>
      </c>
      <c r="CA25" s="30" t="e">
        <f t="shared" si="5"/>
        <v>#REF!</v>
      </c>
      <c r="CB25" s="24" t="e">
        <f t="shared" si="6"/>
        <v>#REF!</v>
      </c>
      <c r="CC25" s="29"/>
    </row>
    <row r="26" spans="1:82">
      <c r="A26" s="18" t="s">
        <v>283</v>
      </c>
      <c r="B26" s="20" t="s">
        <v>189</v>
      </c>
      <c r="C26" s="27">
        <f>SUMIFS(Table4[Expected Revenue],Table4[Installation],$B26,Table4[Projected 
Year],C$1,Table4[Projected 
Month],C$2)</f>
        <v>0</v>
      </c>
      <c r="D26" s="23">
        <f>SUMPRODUCT(Table4[Probability]*Table4[Expected Revenue]*(Table4[Installation]=$B26)*(Table4[Projected 
Year]=C$1)*(Table4[Projected 
Month]=C$2))/MAX(1,SUMPRODUCT(Table4[Expected Revenue]*(Table4[Installation]=$B26)*(Table4[Projected 
Year]=C$1)*(Table4[Projected 
Month]=C$2)))</f>
        <v>0</v>
      </c>
      <c r="E26" s="24">
        <f>SUMPRODUCT(Table4[Expected Revenue]*Table4[Expected CMR]*(Table4[Projected 
Year]=C$1)*(Table4[Projected 
Month]=C$2)*(Table4[Installation]=$B26))/MAX(1,C26)</f>
        <v>0</v>
      </c>
      <c r="F26" s="27">
        <f>SUMIFS(Table4[Expected Revenue],Table4[Installation],$B26,Table4[Projected 
Year],F$1,Table4[Projected 
Month],F$2)</f>
        <v>0</v>
      </c>
      <c r="G26" s="23">
        <f>SUMPRODUCT(Table4[Probability]*Table4[Expected Revenue]*(Table4[Installation]=$B26)*(Table4[Projected 
Year]=F$1)*(Table4[Projected 
Month]=F$2))/MAX(1,SUMPRODUCT(Table4[Expected Revenue]*(Table4[Installation]=$B26)*(Table4[Projected 
Year]=F$1)*(Table4[Projected 
Month]=F$2)))</f>
        <v>0</v>
      </c>
      <c r="H26" s="24">
        <f>SUMPRODUCT(Table4[Expected Revenue]*Table4[Expected CMR]*(Table4[Projected 
Year]=F$1)*(Table4[Projected 
Month]=F$2)*(Table4[Installation]=$B26))/MAX(1,F26)</f>
        <v>0</v>
      </c>
      <c r="I26" s="27">
        <f>SUMIFS(Table4[Expected Revenue],Table4[Installation],$B26,Table4[Projected 
Year],I$1,Table4[Projected 
Month],I$2)</f>
        <v>0</v>
      </c>
      <c r="J26" s="23">
        <f>SUMPRODUCT(Table4[Probability]*Table4[Expected Revenue]*(Table4[Installation]=$B26)*(Table4[Projected 
Year]=I$1)*(Table4[Projected 
Month]=I$2))/MAX(1,SUMPRODUCT(Table4[Expected Revenue]*(Table4[Installation]=$B26)*(Table4[Projected 
Year]=I$1)*(Table4[Projected 
Month]=I$2)))</f>
        <v>0</v>
      </c>
      <c r="K26" s="24">
        <f>SUMPRODUCT(Table4[Expected Revenue]*Table4[Expected CMR]*(Table4[Projected 
Year]=I$1)*(Table4[Projected 
Month]=I$2)*(Table4[Installation]=$B26))/MAX(1,I26)</f>
        <v>0</v>
      </c>
      <c r="L26" s="27">
        <f>SUMIFS(Table4[Expected Revenue],Table4[Installation],$B26,Table4[Projected 
Year],L$1,Table4[Projected 
Month],L$2)</f>
        <v>0</v>
      </c>
      <c r="M26" s="23">
        <f>SUMPRODUCT(Table4[Probability]*Table4[Expected Revenue]*(Table4[Installation]=$B26)*(Table4[Projected 
Year]=L$1)*(Table4[Projected 
Month]=L$2))/MAX(1,SUMPRODUCT(Table4[Expected Revenue]*(Table4[Installation]=$B26)*(Table4[Projected 
Year]=L$1)*(Table4[Projected 
Month]=L$2)))</f>
        <v>0</v>
      </c>
      <c r="N26" s="24">
        <f>SUMPRODUCT(Table4[Expected Revenue]*Table4[Expected CMR]*(Table4[Projected 
Year]=L$1)*(Table4[Projected 
Month]=L$2)*(Table4[Installation]=$B26))/MAX(1,L26)</f>
        <v>0</v>
      </c>
      <c r="O26" s="27">
        <f>SUMIFS(Table4[Expected Revenue],Table4[Installation],$B26,Table4[Projected 
Year],O$1,Table4[Projected 
Month],O$2)</f>
        <v>0</v>
      </c>
      <c r="P26" s="23">
        <f>SUMPRODUCT(Table4[Probability]*Table4[Expected Revenue]*(Table4[Installation]=$B26)*(Table4[Projected 
Year]=O$1)*(Table4[Projected 
Month]=O$2))/MAX(1,SUMPRODUCT(Table4[Expected Revenue]*(Table4[Installation]=$B26)*(Table4[Projected 
Year]=O$1)*(Table4[Projected 
Month]=O$2)))</f>
        <v>0</v>
      </c>
      <c r="Q26" s="24">
        <f>SUMPRODUCT(Table4[Expected Revenue]*Table4[Expected CMR]*(Table4[Projected 
Year]=O$1)*(Table4[Projected 
Month]=O$2)*(Table4[Installation]=$B26))/MAX(1,O26)</f>
        <v>0</v>
      </c>
      <c r="R26" s="27">
        <f>SUMIFS(Table4[Expected Revenue],Table4[Installation],$B26,Table4[Projected 
Year],R$1,Table4[Projected 
Month],R$2)</f>
        <v>0</v>
      </c>
      <c r="S26" s="23">
        <f>SUMPRODUCT(Table4[Probability]*Table4[Expected Revenue]*(Table4[Installation]=$B26)*(Table4[Projected 
Year]=R$1)*(Table4[Projected 
Month]=R$2))/MAX(1,SUMPRODUCT(Table4[Expected Revenue]*(Table4[Installation]=$B26)*(Table4[Projected 
Year]=R$1)*(Table4[Projected 
Month]=R$2)))</f>
        <v>0</v>
      </c>
      <c r="T26" s="24">
        <f>SUMPRODUCT(Table4[Expected Revenue]*Table4[Expected CMR]*(Table4[Projected 
Year]=R$1)*(Table4[Projected 
Month]=R$2)*(Table4[Installation]=$B26))/MAX(1,R26)</f>
        <v>0</v>
      </c>
      <c r="U26" s="27">
        <f>SUMIFS(Table4[Expected Revenue],Table4[Installation],$B26,Table4[Projected 
Year],U$1,Table4[Projected 
Month],U$2)</f>
        <v>0</v>
      </c>
      <c r="V26" s="23">
        <f>SUMPRODUCT(Table4[Probability]*Table4[Expected Revenue]*(Table4[Installation]=$B26)*(Table4[Projected 
Year]=U$1)*(Table4[Projected 
Month]=U$2))/MAX(1,SUMPRODUCT(Table4[Expected Revenue]*(Table4[Installation]=$B26)*(Table4[Projected 
Year]=U$1)*(Table4[Projected 
Month]=U$2)))</f>
        <v>0</v>
      </c>
      <c r="W26" s="24">
        <f>SUMPRODUCT(Table4[Expected Revenue]*Table4[Expected CMR]*(Table4[Projected 
Year]=U$1)*(Table4[Projected 
Month]=U$2)*(Table4[Installation]=$B26))/MAX(1,U26)</f>
        <v>0</v>
      </c>
      <c r="X26" s="27">
        <f>SUMIFS(Table4[Expected Revenue],Table4[Installation],$B26,Table4[Projected 
Year],X$1,Table4[Projected 
Month],X$2)</f>
        <v>0</v>
      </c>
      <c r="Y26" s="23">
        <f>SUMPRODUCT(Table4[Probability]*Table4[Expected Revenue]*(Table4[Installation]=$B26)*(Table4[Projected 
Year]=X$1)*(Table4[Projected 
Month]=X$2))/MAX(1,SUMPRODUCT(Table4[Expected Revenue]*(Table4[Installation]=$B26)*(Table4[Projected 
Year]=X$1)*(Table4[Projected 
Month]=X$2)))</f>
        <v>0</v>
      </c>
      <c r="Z26" s="24">
        <f>SUMPRODUCT(Table4[Expected Revenue]*Table4[Expected CMR]*(Table4[Projected 
Year]=X$1)*(Table4[Projected 
Month]=X$2)*(Table4[Installation]=$B26))/MAX(1,X26)</f>
        <v>0</v>
      </c>
      <c r="AA26" s="27">
        <f>SUMIFS(Table4[Expected Revenue],Table4[Installation],$B26,Table4[Projected 
Year],AA$1,Table4[Projected 
Month],AA$2)</f>
        <v>0</v>
      </c>
      <c r="AB26" s="23">
        <f>SUMPRODUCT(Table4[Probability]*Table4[Expected Revenue]*(Table4[Installation]=$B26)*(Table4[Projected 
Year]=AA$1)*(Table4[Projected 
Month]=AA$2))/MAX(1,SUMPRODUCT(Table4[Expected Revenue]*(Table4[Installation]=$B26)*(Table4[Projected 
Year]=AA$1)*(Table4[Projected 
Month]=AA$2)))</f>
        <v>0</v>
      </c>
      <c r="AC26" s="24">
        <f>SUMPRODUCT(Table4[Expected Revenue]*Table4[Expected CMR]*(Table4[Projected 
Year]=AA$1)*(Table4[Projected 
Month]=AA$2)*(Table4[Installation]=$B26))/MAX(1,AA26)</f>
        <v>0</v>
      </c>
      <c r="AD26" s="27">
        <f>SUMIFS(Table4[Expected Revenue],Table4[Installation],$B26,Table4[Projected 
Year],AD$1,Table4[Projected 
Month],AD$2)</f>
        <v>0</v>
      </c>
      <c r="AE26" s="23">
        <f>SUMPRODUCT(Table4[Probability]*Table4[Expected Revenue]*(Table4[Installation]=$B26)*(Table4[Projected 
Year]=AD$1)*(Table4[Projected 
Month]=AD$2))/MAX(1,SUMPRODUCT(Table4[Expected Revenue]*(Table4[Installation]=$B26)*(Table4[Projected 
Year]=AD$1)*(Table4[Projected 
Month]=AD$2)))</f>
        <v>0</v>
      </c>
      <c r="AF26" s="24">
        <f>SUMPRODUCT(Table4[Expected Revenue]*Table4[Expected CMR]*(Table4[Projected 
Year]=AD$1)*(Table4[Projected 
Month]=AD$2)*(Table4[Installation]=$B26))/MAX(1,AD26)</f>
        <v>0</v>
      </c>
      <c r="AG26" s="27">
        <f>SUMIFS(Table4[Expected Revenue],Table4[Installation],$B26,Table4[Projected 
Year],AG$1,Table4[Projected 
Month],AG$2)</f>
        <v>0</v>
      </c>
      <c r="AH26" s="23">
        <f>SUMPRODUCT(Table4[Probability]*Table4[Expected Revenue]*(Table4[Installation]=$B26)*(Table4[Projected 
Year]=AG$1)*(Table4[Projected 
Month]=AG$2))/MAX(1,SUMPRODUCT(Table4[Expected Revenue]*(Table4[Installation]=$B26)*(Table4[Projected 
Year]=AG$1)*(Table4[Projected 
Month]=AG$2)))</f>
        <v>0</v>
      </c>
      <c r="AI26" s="24">
        <f>SUMPRODUCT(Table4[Expected Revenue]*Table4[Expected CMR]*(Table4[Projected 
Year]=AG$1)*(Table4[Projected 
Month]=AG$2)*(Table4[Installation]=$B26))/MAX(1,AG26)</f>
        <v>0</v>
      </c>
      <c r="AJ26" s="27">
        <f>SUMIFS(Table4[Expected Revenue],Table4[Installation],$B26,Table4[Projected 
Year],AJ$1,Table4[Projected 
Month],AJ$2)</f>
        <v>0</v>
      </c>
      <c r="AK26" s="23">
        <f>SUMPRODUCT(Table4[Probability]*Table4[Expected Revenue]*(Table4[Installation]=$B26)*(Table4[Projected 
Year]=AJ$1)*(Table4[Projected 
Month]=AJ$2))/MAX(1,SUMPRODUCT(Table4[Expected Revenue]*(Table4[Installation]=$B26)*(Table4[Projected 
Year]=AJ$1)*(Table4[Projected 
Month]=AJ$2)))</f>
        <v>0</v>
      </c>
      <c r="AL26" s="24">
        <f>SUMPRODUCT(Table4[Expected Revenue]*Table4[Expected CMR]*(Table4[Projected 
Year]=AJ$1)*(Table4[Projected 
Month]=AJ$2)*(Table4[Installation]=$B26))/MAX(1,AJ26)</f>
        <v>0</v>
      </c>
      <c r="AM26" s="30">
        <f t="shared" si="20"/>
        <v>0</v>
      </c>
      <c r="AN26" s="52">
        <f t="shared" si="21"/>
        <v>0</v>
      </c>
      <c r="AO26" s="52">
        <f t="shared" si="21"/>
        <v>0</v>
      </c>
      <c r="AP26" s="27" t="e">
        <f>SUMIFS(#REF!,Table4[Installation],$B26,#REF!,AP$1,#REF!,AP$2)</f>
        <v>#REF!</v>
      </c>
      <c r="AQ26" s="21" t="e">
        <f>SUMIFS(#REF!,Table4[Installation],$B26,Table4[Projected 
Year],AP$1,#REF!,AP$2)</f>
        <v>#REF!</v>
      </c>
      <c r="AR26" s="24" t="e">
        <f t="shared" si="7"/>
        <v>#REF!</v>
      </c>
      <c r="AS26" s="27" t="e">
        <f>SUMIFS(#REF!,Table4[Installation],$B26,#REF!,AS$1,#REF!,AS$2)</f>
        <v>#REF!</v>
      </c>
      <c r="AT26" s="21" t="e">
        <f>SUMIFS(#REF!,Table4[Installation],$B26,Table4[Projected 
Year],AS$1,#REF!,AS$2)</f>
        <v>#REF!</v>
      </c>
      <c r="AU26" s="24" t="e">
        <f t="shared" si="8"/>
        <v>#REF!</v>
      </c>
      <c r="AV26" s="27" t="e">
        <f>SUMIFS(#REF!,Table4[Installation],$B26,#REF!,AV$1,#REF!,AV$2)</f>
        <v>#REF!</v>
      </c>
      <c r="AW26" s="21" t="e">
        <f>SUMIFS(#REF!,Table4[Installation],$B26,Table4[Projected 
Year],AV$1,#REF!,AV$2)</f>
        <v>#REF!</v>
      </c>
      <c r="AX26" s="24" t="e">
        <f t="shared" si="9"/>
        <v>#REF!</v>
      </c>
      <c r="AY26" s="27" t="e">
        <f>SUMIFS(#REF!,Table4[Installation],$B26,#REF!,AY$1,#REF!,AY$2)</f>
        <v>#REF!</v>
      </c>
      <c r="AZ26" s="21" t="e">
        <f>SUMIFS(#REF!,Table4[Installation],$B26,Table4[Projected 
Year],AY$1,#REF!,AY$2)</f>
        <v>#REF!</v>
      </c>
      <c r="BA26" s="24" t="e">
        <f t="shared" si="10"/>
        <v>#REF!</v>
      </c>
      <c r="BB26" s="27" t="e">
        <f>SUMIFS(#REF!,Table4[Installation],$B26,#REF!,BB$1,#REF!,BB$2)</f>
        <v>#REF!</v>
      </c>
      <c r="BC26" s="21" t="e">
        <f>SUMIFS(#REF!,Table4[Installation],$B26,Table4[Projected 
Year],BB$1,#REF!,BB$2)</f>
        <v>#REF!</v>
      </c>
      <c r="BD26" s="24" t="e">
        <f t="shared" si="11"/>
        <v>#REF!</v>
      </c>
      <c r="BE26" s="27" t="e">
        <f>SUMIFS(#REF!,Table4[Installation],$B26,#REF!,BE$1,#REF!,BE$2)</f>
        <v>#REF!</v>
      </c>
      <c r="BF26" s="21" t="e">
        <f>SUMIFS(#REF!,Table4[Installation],$B26,Table4[Projected 
Year],BE$1,#REF!,BE$2)</f>
        <v>#REF!</v>
      </c>
      <c r="BG26" s="24" t="e">
        <f t="shared" si="18"/>
        <v>#REF!</v>
      </c>
      <c r="BH26" s="27" t="e">
        <f>SUMIFS(#REF!,Table4[Installation],$B26,#REF!,BH$1,#REF!,BH$2)</f>
        <v>#REF!</v>
      </c>
      <c r="BI26" s="21" t="e">
        <f>SUMIFS(#REF!,Table4[Installation],$B26,Table4[Projected 
Year],BH$1,#REF!,BH$2)</f>
        <v>#REF!</v>
      </c>
      <c r="BJ26" s="24" t="e">
        <f t="shared" si="3"/>
        <v>#REF!</v>
      </c>
      <c r="BK26" s="27" t="e">
        <f>SUMIFS(#REF!,Table4[Installation],$B26,#REF!,BK$1,#REF!,BK$2)</f>
        <v>#REF!</v>
      </c>
      <c r="BL26" s="21" t="e">
        <f>SUMIFS(#REF!,Table4[Installation],$B26,Table4[Projected 
Year],BK$1,#REF!,BK$2)</f>
        <v>#REF!</v>
      </c>
      <c r="BM26" s="24" t="e">
        <f t="shared" si="13"/>
        <v>#REF!</v>
      </c>
      <c r="BN26" s="27" t="e">
        <f>SUMIFS(#REF!,Table4[Installation],$B26,#REF!,BN$1,#REF!,BN$2)</f>
        <v>#REF!</v>
      </c>
      <c r="BO26" s="21" t="e">
        <f>SUMIFS(#REF!,Table4[Installation],$B26,Table4[Projected 
Year],BN$1,#REF!,BN$2)</f>
        <v>#REF!</v>
      </c>
      <c r="BP26" s="24" t="e">
        <f t="shared" si="14"/>
        <v>#REF!</v>
      </c>
      <c r="BQ26" s="27" t="e">
        <f>SUMIFS(#REF!,Table4[Installation],$B26,#REF!,BQ$1,#REF!,BQ$2)</f>
        <v>#REF!</v>
      </c>
      <c r="BR26" s="21" t="e">
        <f>SUMIFS(#REF!,Table4[Installation],$B26,Table4[Projected 
Year],BQ$1,#REF!,BQ$2)</f>
        <v>#REF!</v>
      </c>
      <c r="BS26" s="24" t="e">
        <f t="shared" si="15"/>
        <v>#REF!</v>
      </c>
      <c r="BT26" s="27" t="e">
        <f>SUMIFS(#REF!,Table4[Installation],$B26,#REF!,BT$1,#REF!,BT$2)</f>
        <v>#REF!</v>
      </c>
      <c r="BU26" s="21" t="e">
        <f>SUMIFS(#REF!,Table4[Installation],$B26,Table4[Projected 
Year],BT$1,#REF!,BT$2)</f>
        <v>#REF!</v>
      </c>
      <c r="BV26" s="24" t="e">
        <f t="shared" si="16"/>
        <v>#REF!</v>
      </c>
      <c r="BW26" s="27" t="e">
        <f>SUMIFS(#REF!,Table4[Installation],$B26,#REF!,BW$1,#REF!,BW$2)</f>
        <v>#REF!</v>
      </c>
      <c r="BX26" s="21" t="e">
        <f>SUMIFS(#REF!,Table4[Installation],$B26,Table4[Projected 
Year],BW$1,#REF!,BW$2)</f>
        <v>#REF!</v>
      </c>
      <c r="BY26" s="24" t="e">
        <f t="shared" si="12"/>
        <v>#REF!</v>
      </c>
      <c r="BZ26" s="30" t="e">
        <f t="shared" ref="BZ26:BZ51" si="22">SUM($AP26,$AS26,$AV26,$AY26,$BB26,$BE26,$BH26,$BK26,$BN26,$BQ26,$BT26,$BW26)</f>
        <v>#REF!</v>
      </c>
      <c r="CA26" s="30" t="e">
        <f t="shared" ref="CA26:CA51" si="23">SUM(AQ26,AT26,AW26,AZ26,BC26,BF26,BI26,BI26,BL26,BI26,BO26,BR26,BU26,BX26)</f>
        <v>#REF!</v>
      </c>
      <c r="CB26" s="24" t="e">
        <f t="shared" ref="CB26:CB52" si="24">IF(BZ26=0,IF(CA26=0,"-",0),1-(CA26/BZ26))</f>
        <v>#REF!</v>
      </c>
      <c r="CC26" s="29"/>
    </row>
    <row r="27" spans="1:82">
      <c r="A27" s="18"/>
      <c r="B27" s="20" t="s">
        <v>314</v>
      </c>
      <c r="C27" s="27">
        <f>SUMIFS(Table4[Expected Revenue],Table4[Installation],$B27,Table4[Projected 
Year],C$1,Table4[Projected 
Month],C$2)</f>
        <v>0</v>
      </c>
      <c r="D27" s="23">
        <f>SUMPRODUCT(Table4[Probability]*Table4[Expected Revenue]*(Table4[Installation]=$B27)*(Table4[Projected 
Year]=C$1)*(Table4[Projected 
Month]=C$2))/MAX(1,SUMPRODUCT(Table4[Expected Revenue]*(Table4[Installation]=$B27)*(Table4[Projected 
Year]=C$1)*(Table4[Projected 
Month]=C$2)))</f>
        <v>0</v>
      </c>
      <c r="E27" s="24">
        <f>SUMPRODUCT(Table4[Expected Revenue]*Table4[Expected CMR]*(Table4[Projected 
Year]=C$1)*(Table4[Projected 
Month]=C$2)*(Table4[Installation]=$B27))/MAX(1,C27)</f>
        <v>0</v>
      </c>
      <c r="F27" s="27">
        <f>SUMIFS(Table4[Expected Revenue],Table4[Installation],$B27,Table4[Projected 
Year],F$1,Table4[Projected 
Month],F$2)</f>
        <v>0</v>
      </c>
      <c r="G27" s="23">
        <f>SUMPRODUCT(Table4[Probability]*Table4[Expected Revenue]*(Table4[Installation]=$B27)*(Table4[Projected 
Year]=F$1)*(Table4[Projected 
Month]=F$2))/MAX(1,SUMPRODUCT(Table4[Expected Revenue]*(Table4[Installation]=$B27)*(Table4[Projected 
Year]=F$1)*(Table4[Projected 
Month]=F$2)))</f>
        <v>0</v>
      </c>
      <c r="H27" s="24">
        <f>SUMPRODUCT(Table4[Expected Revenue]*Table4[Expected CMR]*(Table4[Projected 
Year]=F$1)*(Table4[Projected 
Month]=F$2)*(Table4[Installation]=$B27))/MAX(1,F27)</f>
        <v>0</v>
      </c>
      <c r="I27" s="27">
        <f>SUMIFS(Table4[Expected Revenue],Table4[Installation],$B27,Table4[Projected 
Year],I$1,Table4[Projected 
Month],I$2)</f>
        <v>0</v>
      </c>
      <c r="J27" s="23">
        <f>SUMPRODUCT(Table4[Probability]*Table4[Expected Revenue]*(Table4[Installation]=$B27)*(Table4[Projected 
Year]=I$1)*(Table4[Projected 
Month]=I$2))/MAX(1,SUMPRODUCT(Table4[Expected Revenue]*(Table4[Installation]=$B27)*(Table4[Projected 
Year]=I$1)*(Table4[Projected 
Month]=I$2)))</f>
        <v>0</v>
      </c>
      <c r="K27" s="24">
        <f>SUMPRODUCT(Table4[Expected Revenue]*Table4[Expected CMR]*(Table4[Projected 
Year]=I$1)*(Table4[Projected 
Month]=I$2)*(Table4[Installation]=$B27))/MAX(1,I27)</f>
        <v>0</v>
      </c>
      <c r="L27" s="27">
        <f>SUMIFS(Table4[Expected Revenue],Table4[Installation],$B27,Table4[Projected 
Year],L$1,Table4[Projected 
Month],L$2)</f>
        <v>0</v>
      </c>
      <c r="M27" s="23">
        <f>SUMPRODUCT(Table4[Probability]*Table4[Expected Revenue]*(Table4[Installation]=$B27)*(Table4[Projected 
Year]=L$1)*(Table4[Projected 
Month]=L$2))/MAX(1,SUMPRODUCT(Table4[Expected Revenue]*(Table4[Installation]=$B27)*(Table4[Projected 
Year]=L$1)*(Table4[Projected 
Month]=L$2)))</f>
        <v>0</v>
      </c>
      <c r="N27" s="24">
        <f>SUMPRODUCT(Table4[Expected Revenue]*Table4[Expected CMR]*(Table4[Projected 
Year]=L$1)*(Table4[Projected 
Month]=L$2)*(Table4[Installation]=$B27))/MAX(1,L27)</f>
        <v>0</v>
      </c>
      <c r="O27" s="27">
        <f>SUMIFS(Table4[Expected Revenue],Table4[Installation],$B27,Table4[Projected 
Year],O$1,Table4[Projected 
Month],O$2)</f>
        <v>0</v>
      </c>
      <c r="P27" s="23">
        <f>SUMPRODUCT(Table4[Probability]*Table4[Expected Revenue]*(Table4[Installation]=$B27)*(Table4[Projected 
Year]=O$1)*(Table4[Projected 
Month]=O$2))/MAX(1,SUMPRODUCT(Table4[Expected Revenue]*(Table4[Installation]=$B27)*(Table4[Projected 
Year]=O$1)*(Table4[Projected 
Month]=O$2)))</f>
        <v>0</v>
      </c>
      <c r="Q27" s="24">
        <f>SUMPRODUCT(Table4[Expected Revenue]*Table4[Expected CMR]*(Table4[Projected 
Year]=O$1)*(Table4[Projected 
Month]=O$2)*(Table4[Installation]=$B27))/MAX(1,O27)</f>
        <v>0</v>
      </c>
      <c r="R27" s="27">
        <f>SUMIFS(Table4[Expected Revenue],Table4[Installation],$B27,Table4[Projected 
Year],R$1,Table4[Projected 
Month],R$2)</f>
        <v>0</v>
      </c>
      <c r="S27" s="23">
        <f>SUMPRODUCT(Table4[Probability]*Table4[Expected Revenue]*(Table4[Installation]=$B27)*(Table4[Projected 
Year]=R$1)*(Table4[Projected 
Month]=R$2))/MAX(1,SUMPRODUCT(Table4[Expected Revenue]*(Table4[Installation]=$B27)*(Table4[Projected 
Year]=R$1)*(Table4[Projected 
Month]=R$2)))</f>
        <v>0</v>
      </c>
      <c r="T27" s="24">
        <f>SUMPRODUCT(Table4[Expected Revenue]*Table4[Expected CMR]*(Table4[Projected 
Year]=R$1)*(Table4[Projected 
Month]=R$2)*(Table4[Installation]=$B27))/MAX(1,R27)</f>
        <v>0</v>
      </c>
      <c r="U27" s="27">
        <f>SUMIFS(Table4[Expected Revenue],Table4[Installation],$B27,Table4[Projected 
Year],U$1,Table4[Projected 
Month],U$2)</f>
        <v>0</v>
      </c>
      <c r="V27" s="23">
        <f>SUMPRODUCT(Table4[Probability]*Table4[Expected Revenue]*(Table4[Installation]=$B27)*(Table4[Projected 
Year]=U$1)*(Table4[Projected 
Month]=U$2))/MAX(1,SUMPRODUCT(Table4[Expected Revenue]*(Table4[Installation]=$B27)*(Table4[Projected 
Year]=U$1)*(Table4[Projected 
Month]=U$2)))</f>
        <v>0</v>
      </c>
      <c r="W27" s="24">
        <f>SUMPRODUCT(Table4[Expected Revenue]*Table4[Expected CMR]*(Table4[Projected 
Year]=U$1)*(Table4[Projected 
Month]=U$2)*(Table4[Installation]=$B27))/MAX(1,U27)</f>
        <v>0</v>
      </c>
      <c r="X27" s="27">
        <f>SUMIFS(Table4[Expected Revenue],Table4[Installation],$B27,Table4[Projected 
Year],X$1,Table4[Projected 
Month],X$2)</f>
        <v>0</v>
      </c>
      <c r="Y27" s="23">
        <f>SUMPRODUCT(Table4[Probability]*Table4[Expected Revenue]*(Table4[Installation]=$B27)*(Table4[Projected 
Year]=X$1)*(Table4[Projected 
Month]=X$2))/MAX(1,SUMPRODUCT(Table4[Expected Revenue]*(Table4[Installation]=$B27)*(Table4[Projected 
Year]=X$1)*(Table4[Projected 
Month]=X$2)))</f>
        <v>0</v>
      </c>
      <c r="Z27" s="24">
        <f>SUMPRODUCT(Table4[Expected Revenue]*Table4[Expected CMR]*(Table4[Projected 
Year]=X$1)*(Table4[Projected 
Month]=X$2)*(Table4[Installation]=$B27))/MAX(1,X27)</f>
        <v>0</v>
      </c>
      <c r="AA27" s="27">
        <f>SUMIFS(Table4[Expected Revenue],Table4[Installation],$B27,Table4[Projected 
Year],AA$1,Table4[Projected 
Month],AA$2)</f>
        <v>0</v>
      </c>
      <c r="AB27" s="23">
        <f>SUMPRODUCT(Table4[Probability]*Table4[Expected Revenue]*(Table4[Installation]=$B27)*(Table4[Projected 
Year]=AA$1)*(Table4[Projected 
Month]=AA$2))/MAX(1,SUMPRODUCT(Table4[Expected Revenue]*(Table4[Installation]=$B27)*(Table4[Projected 
Year]=AA$1)*(Table4[Projected 
Month]=AA$2)))</f>
        <v>0</v>
      </c>
      <c r="AC27" s="24">
        <f>SUMPRODUCT(Table4[Expected Revenue]*Table4[Expected CMR]*(Table4[Projected 
Year]=AA$1)*(Table4[Projected 
Month]=AA$2)*(Table4[Installation]=$B27))/MAX(1,AA27)</f>
        <v>0</v>
      </c>
      <c r="AD27" s="27">
        <f>SUMIFS(Table4[Expected Revenue],Table4[Installation],$B27,Table4[Projected 
Year],AD$1,Table4[Projected 
Month],AD$2)</f>
        <v>0</v>
      </c>
      <c r="AE27" s="23">
        <f>SUMPRODUCT(Table4[Probability]*Table4[Expected Revenue]*(Table4[Installation]=$B27)*(Table4[Projected 
Year]=AD$1)*(Table4[Projected 
Month]=AD$2))/MAX(1,SUMPRODUCT(Table4[Expected Revenue]*(Table4[Installation]=$B27)*(Table4[Projected 
Year]=AD$1)*(Table4[Projected 
Month]=AD$2)))</f>
        <v>0</v>
      </c>
      <c r="AF27" s="24">
        <f>SUMPRODUCT(Table4[Expected Revenue]*Table4[Expected CMR]*(Table4[Projected 
Year]=AD$1)*(Table4[Projected 
Month]=AD$2)*(Table4[Installation]=$B27))/MAX(1,AD27)</f>
        <v>0</v>
      </c>
      <c r="AG27" s="27">
        <f>SUMIFS(Table4[Expected Revenue],Table4[Installation],$B27,Table4[Projected 
Year],AG$1,Table4[Projected 
Month],AG$2)</f>
        <v>0</v>
      </c>
      <c r="AH27" s="23">
        <f>SUMPRODUCT(Table4[Probability]*Table4[Expected Revenue]*(Table4[Installation]=$B27)*(Table4[Projected 
Year]=AG$1)*(Table4[Projected 
Month]=AG$2))/MAX(1,SUMPRODUCT(Table4[Expected Revenue]*(Table4[Installation]=$B27)*(Table4[Projected 
Year]=AG$1)*(Table4[Projected 
Month]=AG$2)))</f>
        <v>0</v>
      </c>
      <c r="AI27" s="24">
        <f>SUMPRODUCT(Table4[Expected Revenue]*Table4[Expected CMR]*(Table4[Projected 
Year]=AG$1)*(Table4[Projected 
Month]=AG$2)*(Table4[Installation]=$B27))/MAX(1,AG27)</f>
        <v>0</v>
      </c>
      <c r="AJ27" s="27">
        <f>SUMIFS(Table4[Expected Revenue],Table4[Installation],$B27,Table4[Projected 
Year],AJ$1,Table4[Projected 
Month],AJ$2)</f>
        <v>0</v>
      </c>
      <c r="AK27" s="23">
        <f>SUMPRODUCT(Table4[Probability]*Table4[Expected Revenue]*(Table4[Installation]=$B27)*(Table4[Projected 
Year]=AJ$1)*(Table4[Projected 
Month]=AJ$2))/MAX(1,SUMPRODUCT(Table4[Expected Revenue]*(Table4[Installation]=$B27)*(Table4[Projected 
Year]=AJ$1)*(Table4[Projected 
Month]=AJ$2)))</f>
        <v>0</v>
      </c>
      <c r="AL27" s="24">
        <f>SUMPRODUCT(Table4[Expected Revenue]*Table4[Expected CMR]*(Table4[Projected 
Year]=AJ$1)*(Table4[Projected 
Month]=AJ$2)*(Table4[Installation]=$B27))/MAX(1,AJ27)</f>
        <v>0</v>
      </c>
      <c r="AM27" s="30">
        <f t="shared" si="20"/>
        <v>0</v>
      </c>
      <c r="AN27" s="52">
        <f t="shared" si="21"/>
        <v>0</v>
      </c>
      <c r="AO27" s="52">
        <f t="shared" si="21"/>
        <v>0</v>
      </c>
      <c r="AP27" s="27" t="e">
        <f>SUMIFS(#REF!,Table4[Installation],$B27,#REF!,AP$1,#REF!,AP$2)</f>
        <v>#REF!</v>
      </c>
      <c r="AQ27" s="21" t="e">
        <f>SUMIFS(#REF!,Table4[Installation],$B27,Table4[Projected 
Year],AP$1,#REF!,AP$2)</f>
        <v>#REF!</v>
      </c>
      <c r="AR27" s="24" t="e">
        <f t="shared" si="7"/>
        <v>#REF!</v>
      </c>
      <c r="AS27" s="27" t="e">
        <f>SUMIFS(#REF!,Table4[Installation],$B27,#REF!,AS$1,#REF!,AS$2)</f>
        <v>#REF!</v>
      </c>
      <c r="AT27" s="21" t="e">
        <f>SUMIFS(#REF!,Table4[Installation],$B27,Table4[Projected 
Year],AS$1,#REF!,AS$2)</f>
        <v>#REF!</v>
      </c>
      <c r="AU27" s="24" t="e">
        <f t="shared" si="8"/>
        <v>#REF!</v>
      </c>
      <c r="AV27" s="27" t="e">
        <f>SUMIFS(#REF!,Table4[Installation],$B27,#REF!,AV$1,#REF!,AV$2)</f>
        <v>#REF!</v>
      </c>
      <c r="AW27" s="21" t="e">
        <f>SUMIFS(#REF!,Table4[Installation],$B27,Table4[Projected 
Year],AV$1,#REF!,AV$2)</f>
        <v>#REF!</v>
      </c>
      <c r="AX27" s="24" t="e">
        <f t="shared" si="9"/>
        <v>#REF!</v>
      </c>
      <c r="AY27" s="27" t="e">
        <f>SUMIFS(#REF!,Table4[Installation],$B27,#REF!,AY$1,#REF!,AY$2)</f>
        <v>#REF!</v>
      </c>
      <c r="AZ27" s="21" t="e">
        <f>SUMIFS(#REF!,Table4[Installation],$B27,Table4[Projected 
Year],AY$1,#REF!,AY$2)</f>
        <v>#REF!</v>
      </c>
      <c r="BA27" s="24" t="e">
        <f t="shared" si="10"/>
        <v>#REF!</v>
      </c>
      <c r="BB27" s="27" t="e">
        <f>SUMIFS(#REF!,Table4[Installation],$B27,#REF!,BB$1,#REF!,BB$2)</f>
        <v>#REF!</v>
      </c>
      <c r="BC27" s="21" t="e">
        <f>SUMIFS(#REF!,Table4[Installation],$B27,Table4[Projected 
Year],BB$1,#REF!,BB$2)</f>
        <v>#REF!</v>
      </c>
      <c r="BD27" s="24" t="e">
        <f t="shared" si="11"/>
        <v>#REF!</v>
      </c>
      <c r="BE27" s="27" t="e">
        <f>SUMIFS(#REF!,Table4[Installation],$B27,#REF!,BE$1,#REF!,BE$2)</f>
        <v>#REF!</v>
      </c>
      <c r="BF27" s="21" t="e">
        <f>SUMIFS(#REF!,Table4[Installation],$B27,Table4[Projected 
Year],BE$1,#REF!,BE$2)</f>
        <v>#REF!</v>
      </c>
      <c r="BG27" s="24" t="e">
        <f t="shared" si="18"/>
        <v>#REF!</v>
      </c>
      <c r="BH27" s="27" t="e">
        <f>SUMIFS(#REF!,Table4[Installation],$B27,#REF!,BH$1,#REF!,BH$2)</f>
        <v>#REF!</v>
      </c>
      <c r="BI27" s="21" t="e">
        <f>SUMIFS(#REF!,Table4[Installation],$B27,Table4[Projected 
Year],BH$1,#REF!,BH$2)</f>
        <v>#REF!</v>
      </c>
      <c r="BJ27" s="24" t="e">
        <f t="shared" si="3"/>
        <v>#REF!</v>
      </c>
      <c r="BK27" s="27" t="e">
        <f>SUMIFS(#REF!,Table4[Installation],$B27,#REF!,BK$1,#REF!,BK$2)</f>
        <v>#REF!</v>
      </c>
      <c r="BL27" s="21" t="e">
        <f>SUMIFS(#REF!,Table4[Installation],$B27,Table4[Projected 
Year],BK$1,#REF!,BK$2)</f>
        <v>#REF!</v>
      </c>
      <c r="BM27" s="24" t="e">
        <f t="shared" si="13"/>
        <v>#REF!</v>
      </c>
      <c r="BN27" s="27" t="e">
        <f>SUMIFS(#REF!,Table4[Installation],$B27,#REF!,BN$1,#REF!,BN$2)</f>
        <v>#REF!</v>
      </c>
      <c r="BO27" s="21" t="e">
        <f>SUMIFS(#REF!,Table4[Installation],$B27,Table4[Projected 
Year],BN$1,#REF!,BN$2)</f>
        <v>#REF!</v>
      </c>
      <c r="BP27" s="24" t="e">
        <f t="shared" si="14"/>
        <v>#REF!</v>
      </c>
      <c r="BQ27" s="27" t="e">
        <f>SUMIFS(#REF!,Table4[Installation],$B27,#REF!,BQ$1,#REF!,BQ$2)</f>
        <v>#REF!</v>
      </c>
      <c r="BR27" s="21" t="e">
        <f>SUMIFS(#REF!,Table4[Installation],$B27,Table4[Projected 
Year],BQ$1,#REF!,BQ$2)</f>
        <v>#REF!</v>
      </c>
      <c r="BS27" s="24" t="e">
        <f t="shared" si="15"/>
        <v>#REF!</v>
      </c>
      <c r="BT27" s="27" t="e">
        <f>SUMIFS(#REF!,Table4[Installation],$B27,#REF!,BT$1,#REF!,BT$2)</f>
        <v>#REF!</v>
      </c>
      <c r="BU27" s="21" t="e">
        <f>SUMIFS(#REF!,Table4[Installation],$B27,Table4[Projected 
Year],BT$1,#REF!,BT$2)</f>
        <v>#REF!</v>
      </c>
      <c r="BV27" s="24" t="e">
        <f t="shared" si="16"/>
        <v>#REF!</v>
      </c>
      <c r="BW27" s="27" t="e">
        <f>SUMIFS(#REF!,Table4[Installation],$B27,#REF!,BW$1,#REF!,BW$2)</f>
        <v>#REF!</v>
      </c>
      <c r="BX27" s="21" t="e">
        <f>SUMIFS(#REF!,Table4[Installation],$B27,Table4[Projected 
Year],BW$1,#REF!,BW$2)</f>
        <v>#REF!</v>
      </c>
      <c r="BY27" s="24" t="e">
        <f t="shared" si="12"/>
        <v>#REF!</v>
      </c>
      <c r="BZ27" s="30" t="e">
        <f t="shared" si="22"/>
        <v>#REF!</v>
      </c>
      <c r="CA27" s="30" t="e">
        <f t="shared" si="23"/>
        <v>#REF!</v>
      </c>
      <c r="CB27" s="24" t="e">
        <f t="shared" si="24"/>
        <v>#REF!</v>
      </c>
      <c r="CC27" s="29"/>
    </row>
    <row r="28" spans="1:82">
      <c r="A28" s="18"/>
      <c r="B28" s="20" t="s">
        <v>315</v>
      </c>
      <c r="C28" s="27">
        <f>SUMIFS(Table4[Expected Revenue],Table4[Installation],$B28,Table4[Projected 
Year],C$1,Table4[Projected 
Month],C$2)</f>
        <v>0</v>
      </c>
      <c r="D28" s="23">
        <f>SUMPRODUCT(Table4[Probability]*Table4[Expected Revenue]*(Table4[Installation]=$B28)*(Table4[Projected 
Year]=C$1)*(Table4[Projected 
Month]=C$2))/MAX(1,SUMPRODUCT(Table4[Expected Revenue]*(Table4[Installation]=$B28)*(Table4[Projected 
Year]=C$1)*(Table4[Projected 
Month]=C$2)))</f>
        <v>0</v>
      </c>
      <c r="E28" s="24">
        <f>SUMPRODUCT(Table4[Expected Revenue]*Table4[Expected CMR]*(Table4[Projected 
Year]=C$1)*(Table4[Projected 
Month]=C$2)*(Table4[Installation]=$B28))/MAX(1,C28)</f>
        <v>0</v>
      </c>
      <c r="F28" s="27">
        <f>SUMIFS(Table4[Expected Revenue],Table4[Installation],$B28,Table4[Projected 
Year],F$1,Table4[Projected 
Month],F$2)</f>
        <v>0</v>
      </c>
      <c r="G28" s="23">
        <f>SUMPRODUCT(Table4[Probability]*Table4[Expected Revenue]*(Table4[Installation]=$B28)*(Table4[Projected 
Year]=F$1)*(Table4[Projected 
Month]=F$2))/MAX(1,SUMPRODUCT(Table4[Expected Revenue]*(Table4[Installation]=$B28)*(Table4[Projected 
Year]=F$1)*(Table4[Projected 
Month]=F$2)))</f>
        <v>0</v>
      </c>
      <c r="H28" s="24">
        <f>SUMPRODUCT(Table4[Expected Revenue]*Table4[Expected CMR]*(Table4[Projected 
Year]=F$1)*(Table4[Projected 
Month]=F$2)*(Table4[Installation]=$B28))/MAX(1,F28)</f>
        <v>0</v>
      </c>
      <c r="I28" s="27">
        <f>SUMIFS(Table4[Expected Revenue],Table4[Installation],$B28,Table4[Projected 
Year],I$1,Table4[Projected 
Month],I$2)</f>
        <v>0</v>
      </c>
      <c r="J28" s="23">
        <f>SUMPRODUCT(Table4[Probability]*Table4[Expected Revenue]*(Table4[Installation]=$B28)*(Table4[Projected 
Year]=I$1)*(Table4[Projected 
Month]=I$2))/MAX(1,SUMPRODUCT(Table4[Expected Revenue]*(Table4[Installation]=$B28)*(Table4[Projected 
Year]=I$1)*(Table4[Projected 
Month]=I$2)))</f>
        <v>0</v>
      </c>
      <c r="K28" s="24">
        <f>SUMPRODUCT(Table4[Expected Revenue]*Table4[Expected CMR]*(Table4[Projected 
Year]=I$1)*(Table4[Projected 
Month]=I$2)*(Table4[Installation]=$B28))/MAX(1,I28)</f>
        <v>0</v>
      </c>
      <c r="L28" s="27">
        <f>SUMIFS(Table4[Expected Revenue],Table4[Installation],$B28,Table4[Projected 
Year],L$1,Table4[Projected 
Month],L$2)</f>
        <v>0</v>
      </c>
      <c r="M28" s="23">
        <f>SUMPRODUCT(Table4[Probability]*Table4[Expected Revenue]*(Table4[Installation]=$B28)*(Table4[Projected 
Year]=L$1)*(Table4[Projected 
Month]=L$2))/MAX(1,SUMPRODUCT(Table4[Expected Revenue]*(Table4[Installation]=$B28)*(Table4[Projected 
Year]=L$1)*(Table4[Projected 
Month]=L$2)))</f>
        <v>0</v>
      </c>
      <c r="N28" s="24">
        <f>SUMPRODUCT(Table4[Expected Revenue]*Table4[Expected CMR]*(Table4[Projected 
Year]=L$1)*(Table4[Projected 
Month]=L$2)*(Table4[Installation]=$B28))/MAX(1,L28)</f>
        <v>0</v>
      </c>
      <c r="O28" s="27">
        <f>SUMIFS(Table4[Expected Revenue],Table4[Installation],$B28,Table4[Projected 
Year],O$1,Table4[Projected 
Month],O$2)</f>
        <v>0</v>
      </c>
      <c r="P28" s="23">
        <f>SUMPRODUCT(Table4[Probability]*Table4[Expected Revenue]*(Table4[Installation]=$B28)*(Table4[Projected 
Year]=O$1)*(Table4[Projected 
Month]=O$2))/MAX(1,SUMPRODUCT(Table4[Expected Revenue]*(Table4[Installation]=$B28)*(Table4[Projected 
Year]=O$1)*(Table4[Projected 
Month]=O$2)))</f>
        <v>0</v>
      </c>
      <c r="Q28" s="24">
        <f>SUMPRODUCT(Table4[Expected Revenue]*Table4[Expected CMR]*(Table4[Projected 
Year]=O$1)*(Table4[Projected 
Month]=O$2)*(Table4[Installation]=$B28))/MAX(1,O28)</f>
        <v>0</v>
      </c>
      <c r="R28" s="27">
        <f>SUMIFS(Table4[Expected Revenue],Table4[Installation],$B28,Table4[Projected 
Year],R$1,Table4[Projected 
Month],R$2)</f>
        <v>0</v>
      </c>
      <c r="S28" s="23">
        <f>SUMPRODUCT(Table4[Probability]*Table4[Expected Revenue]*(Table4[Installation]=$B28)*(Table4[Projected 
Year]=R$1)*(Table4[Projected 
Month]=R$2))/MAX(1,SUMPRODUCT(Table4[Expected Revenue]*(Table4[Installation]=$B28)*(Table4[Projected 
Year]=R$1)*(Table4[Projected 
Month]=R$2)))</f>
        <v>0</v>
      </c>
      <c r="T28" s="24">
        <f>SUMPRODUCT(Table4[Expected Revenue]*Table4[Expected CMR]*(Table4[Projected 
Year]=R$1)*(Table4[Projected 
Month]=R$2)*(Table4[Installation]=$B28))/MAX(1,R28)</f>
        <v>0</v>
      </c>
      <c r="U28" s="27">
        <f>SUMIFS(Table4[Expected Revenue],Table4[Installation],$B28,Table4[Projected 
Year],U$1,Table4[Projected 
Month],U$2)</f>
        <v>0</v>
      </c>
      <c r="V28" s="23">
        <f>SUMPRODUCT(Table4[Probability]*Table4[Expected Revenue]*(Table4[Installation]=$B28)*(Table4[Projected 
Year]=U$1)*(Table4[Projected 
Month]=U$2))/MAX(1,SUMPRODUCT(Table4[Expected Revenue]*(Table4[Installation]=$B28)*(Table4[Projected 
Year]=U$1)*(Table4[Projected 
Month]=U$2)))</f>
        <v>0</v>
      </c>
      <c r="W28" s="24">
        <f>SUMPRODUCT(Table4[Expected Revenue]*Table4[Expected CMR]*(Table4[Projected 
Year]=U$1)*(Table4[Projected 
Month]=U$2)*(Table4[Installation]=$B28))/MAX(1,U28)</f>
        <v>0</v>
      </c>
      <c r="X28" s="27">
        <f>SUMIFS(Table4[Expected Revenue],Table4[Installation],$B28,Table4[Projected 
Year],X$1,Table4[Projected 
Month],X$2)</f>
        <v>0</v>
      </c>
      <c r="Y28" s="23">
        <f>SUMPRODUCT(Table4[Probability]*Table4[Expected Revenue]*(Table4[Installation]=$B28)*(Table4[Projected 
Year]=X$1)*(Table4[Projected 
Month]=X$2))/MAX(1,SUMPRODUCT(Table4[Expected Revenue]*(Table4[Installation]=$B28)*(Table4[Projected 
Year]=X$1)*(Table4[Projected 
Month]=X$2)))</f>
        <v>0</v>
      </c>
      <c r="Z28" s="24">
        <f>SUMPRODUCT(Table4[Expected Revenue]*Table4[Expected CMR]*(Table4[Projected 
Year]=X$1)*(Table4[Projected 
Month]=X$2)*(Table4[Installation]=$B28))/MAX(1,X28)</f>
        <v>0</v>
      </c>
      <c r="AA28" s="27">
        <f>SUMIFS(Table4[Expected Revenue],Table4[Installation],$B28,Table4[Projected 
Year],AA$1,Table4[Projected 
Month],AA$2)</f>
        <v>0</v>
      </c>
      <c r="AB28" s="23">
        <f>SUMPRODUCT(Table4[Probability]*Table4[Expected Revenue]*(Table4[Installation]=$B28)*(Table4[Projected 
Year]=AA$1)*(Table4[Projected 
Month]=AA$2))/MAX(1,SUMPRODUCT(Table4[Expected Revenue]*(Table4[Installation]=$B28)*(Table4[Projected 
Year]=AA$1)*(Table4[Projected 
Month]=AA$2)))</f>
        <v>0</v>
      </c>
      <c r="AC28" s="24">
        <f>SUMPRODUCT(Table4[Expected Revenue]*Table4[Expected CMR]*(Table4[Projected 
Year]=AA$1)*(Table4[Projected 
Month]=AA$2)*(Table4[Installation]=$B28))/MAX(1,AA28)</f>
        <v>0</v>
      </c>
      <c r="AD28" s="27">
        <f>SUMIFS(Table4[Expected Revenue],Table4[Installation],$B28,Table4[Projected 
Year],AD$1,Table4[Projected 
Month],AD$2)</f>
        <v>0</v>
      </c>
      <c r="AE28" s="23">
        <f>SUMPRODUCT(Table4[Probability]*Table4[Expected Revenue]*(Table4[Installation]=$B28)*(Table4[Projected 
Year]=AD$1)*(Table4[Projected 
Month]=AD$2))/MAX(1,SUMPRODUCT(Table4[Expected Revenue]*(Table4[Installation]=$B28)*(Table4[Projected 
Year]=AD$1)*(Table4[Projected 
Month]=AD$2)))</f>
        <v>0</v>
      </c>
      <c r="AF28" s="24">
        <f>SUMPRODUCT(Table4[Expected Revenue]*Table4[Expected CMR]*(Table4[Projected 
Year]=AD$1)*(Table4[Projected 
Month]=AD$2)*(Table4[Installation]=$B28))/MAX(1,AD28)</f>
        <v>0</v>
      </c>
      <c r="AG28" s="27">
        <f>SUMIFS(Table4[Expected Revenue],Table4[Installation],$B28,Table4[Projected 
Year],AG$1,Table4[Projected 
Month],AG$2)</f>
        <v>0</v>
      </c>
      <c r="AH28" s="23">
        <f>SUMPRODUCT(Table4[Probability]*Table4[Expected Revenue]*(Table4[Installation]=$B28)*(Table4[Projected 
Year]=AG$1)*(Table4[Projected 
Month]=AG$2))/MAX(1,SUMPRODUCT(Table4[Expected Revenue]*(Table4[Installation]=$B28)*(Table4[Projected 
Year]=AG$1)*(Table4[Projected 
Month]=AG$2)))</f>
        <v>0</v>
      </c>
      <c r="AI28" s="24">
        <f>SUMPRODUCT(Table4[Expected Revenue]*Table4[Expected CMR]*(Table4[Projected 
Year]=AG$1)*(Table4[Projected 
Month]=AG$2)*(Table4[Installation]=$B28))/MAX(1,AG28)</f>
        <v>0</v>
      </c>
      <c r="AJ28" s="27">
        <f>SUMIFS(Table4[Expected Revenue],Table4[Installation],$B28,Table4[Projected 
Year],AJ$1,Table4[Projected 
Month],AJ$2)</f>
        <v>0</v>
      </c>
      <c r="AK28" s="23">
        <f>SUMPRODUCT(Table4[Probability]*Table4[Expected Revenue]*(Table4[Installation]=$B28)*(Table4[Projected 
Year]=AJ$1)*(Table4[Projected 
Month]=AJ$2))/MAX(1,SUMPRODUCT(Table4[Expected Revenue]*(Table4[Installation]=$B28)*(Table4[Projected 
Year]=AJ$1)*(Table4[Projected 
Month]=AJ$2)))</f>
        <v>0</v>
      </c>
      <c r="AL28" s="24">
        <f>SUMPRODUCT(Table4[Expected Revenue]*Table4[Expected CMR]*(Table4[Projected 
Year]=AJ$1)*(Table4[Projected 
Month]=AJ$2)*(Table4[Installation]=$B28))/MAX(1,AJ28)</f>
        <v>0</v>
      </c>
      <c r="AM28" s="30">
        <f t="shared" si="20"/>
        <v>0</v>
      </c>
      <c r="AN28" s="52">
        <f t="shared" si="21"/>
        <v>0</v>
      </c>
      <c r="AO28" s="52">
        <f t="shared" si="21"/>
        <v>0</v>
      </c>
      <c r="AP28" s="27" t="e">
        <f>SUMIFS(#REF!,Table4[Installation],$B28,#REF!,AP$1,#REF!,AP$2)</f>
        <v>#REF!</v>
      </c>
      <c r="AQ28" s="21" t="e">
        <f>SUMIFS(#REF!,Table4[Installation],$B28,Table4[Projected 
Year],AP$1,#REF!,AP$2)</f>
        <v>#REF!</v>
      </c>
      <c r="AR28" s="24" t="e">
        <f t="shared" si="7"/>
        <v>#REF!</v>
      </c>
      <c r="AS28" s="27" t="e">
        <f>SUMIFS(#REF!,Table4[Installation],$B28,#REF!,AS$1,#REF!,AS$2)</f>
        <v>#REF!</v>
      </c>
      <c r="AT28" s="21" t="e">
        <f>SUMIFS(#REF!,Table4[Installation],$B28,Table4[Projected 
Year],AS$1,#REF!,AS$2)</f>
        <v>#REF!</v>
      </c>
      <c r="AU28" s="24" t="e">
        <f t="shared" si="8"/>
        <v>#REF!</v>
      </c>
      <c r="AV28" s="27" t="e">
        <f>SUMIFS(#REF!,Table4[Installation],$B28,#REF!,AV$1,#REF!,AV$2)</f>
        <v>#REF!</v>
      </c>
      <c r="AW28" s="21" t="e">
        <f>SUMIFS(#REF!,Table4[Installation],$B28,Table4[Projected 
Year],AV$1,#REF!,AV$2)</f>
        <v>#REF!</v>
      </c>
      <c r="AX28" s="24" t="e">
        <f t="shared" si="9"/>
        <v>#REF!</v>
      </c>
      <c r="AY28" s="27" t="e">
        <f>SUMIFS(#REF!,Table4[Installation],$B28,#REF!,AY$1,#REF!,AY$2)</f>
        <v>#REF!</v>
      </c>
      <c r="AZ28" s="21" t="e">
        <f>SUMIFS(#REF!,Table4[Installation],$B28,Table4[Projected 
Year],AY$1,#REF!,AY$2)</f>
        <v>#REF!</v>
      </c>
      <c r="BA28" s="24" t="e">
        <f t="shared" si="10"/>
        <v>#REF!</v>
      </c>
      <c r="BB28" s="27" t="e">
        <f>SUMIFS(#REF!,Table4[Installation],$B28,#REF!,BB$1,#REF!,BB$2)</f>
        <v>#REF!</v>
      </c>
      <c r="BC28" s="21" t="e">
        <f>SUMIFS(#REF!,Table4[Installation],$B28,Table4[Projected 
Year],BB$1,#REF!,BB$2)</f>
        <v>#REF!</v>
      </c>
      <c r="BD28" s="24" t="e">
        <f t="shared" si="11"/>
        <v>#REF!</v>
      </c>
      <c r="BE28" s="27" t="e">
        <f>SUMIFS(#REF!,Table4[Installation],$B28,#REF!,BE$1,#REF!,BE$2)</f>
        <v>#REF!</v>
      </c>
      <c r="BF28" s="21" t="e">
        <f>SUMIFS(#REF!,Table4[Installation],$B28,Table4[Projected 
Year],BE$1,#REF!,BE$2)</f>
        <v>#REF!</v>
      </c>
      <c r="BG28" s="24" t="e">
        <f t="shared" si="18"/>
        <v>#REF!</v>
      </c>
      <c r="BH28" s="27" t="e">
        <f>SUMIFS(#REF!,Table4[Installation],$B28,#REF!,BH$1,#REF!,BH$2)</f>
        <v>#REF!</v>
      </c>
      <c r="BI28" s="21" t="e">
        <f>SUMIFS(#REF!,Table4[Installation],$B28,Table4[Projected 
Year],BH$1,#REF!,BH$2)</f>
        <v>#REF!</v>
      </c>
      <c r="BJ28" s="24" t="e">
        <f t="shared" si="3"/>
        <v>#REF!</v>
      </c>
      <c r="BK28" s="27" t="e">
        <f>SUMIFS(#REF!,Table4[Installation],$B28,#REF!,BK$1,#REF!,BK$2)</f>
        <v>#REF!</v>
      </c>
      <c r="BL28" s="21" t="e">
        <f>SUMIFS(#REF!,Table4[Installation],$B28,Table4[Projected 
Year],BK$1,#REF!,BK$2)</f>
        <v>#REF!</v>
      </c>
      <c r="BM28" s="24" t="e">
        <f t="shared" si="13"/>
        <v>#REF!</v>
      </c>
      <c r="BN28" s="27" t="e">
        <f>SUMIFS(#REF!,Table4[Installation],$B28,#REF!,BN$1,#REF!,BN$2)</f>
        <v>#REF!</v>
      </c>
      <c r="BO28" s="21" t="e">
        <f>SUMIFS(#REF!,Table4[Installation],$B28,Table4[Projected 
Year],BN$1,#REF!,BN$2)</f>
        <v>#REF!</v>
      </c>
      <c r="BP28" s="24" t="e">
        <f t="shared" si="14"/>
        <v>#REF!</v>
      </c>
      <c r="BQ28" s="27" t="e">
        <f>SUMIFS(#REF!,Table4[Installation],$B28,#REF!,BQ$1,#REF!,BQ$2)</f>
        <v>#REF!</v>
      </c>
      <c r="BR28" s="21" t="e">
        <f>SUMIFS(#REF!,Table4[Installation],$B28,Table4[Projected 
Year],BQ$1,#REF!,BQ$2)</f>
        <v>#REF!</v>
      </c>
      <c r="BS28" s="24" t="e">
        <f t="shared" si="15"/>
        <v>#REF!</v>
      </c>
      <c r="BT28" s="27" t="e">
        <f>SUMIFS(#REF!,Table4[Installation],$B28,#REF!,BT$1,#REF!,BT$2)</f>
        <v>#REF!</v>
      </c>
      <c r="BU28" s="21" t="e">
        <f>SUMIFS(#REF!,Table4[Installation],$B28,Table4[Projected 
Year],BT$1,#REF!,BT$2)</f>
        <v>#REF!</v>
      </c>
      <c r="BV28" s="24" t="e">
        <f t="shared" si="16"/>
        <v>#REF!</v>
      </c>
      <c r="BW28" s="27" t="e">
        <f>SUMIFS(#REF!,Table4[Installation],$B28,#REF!,BW$1,#REF!,BW$2)</f>
        <v>#REF!</v>
      </c>
      <c r="BX28" s="21" t="e">
        <f>SUMIFS(#REF!,Table4[Installation],$B28,Table4[Projected 
Year],BW$1,#REF!,BW$2)</f>
        <v>#REF!</v>
      </c>
      <c r="BY28" s="24" t="e">
        <f t="shared" si="12"/>
        <v>#REF!</v>
      </c>
      <c r="BZ28" s="30" t="e">
        <f t="shared" si="22"/>
        <v>#REF!</v>
      </c>
      <c r="CA28" s="30" t="e">
        <f t="shared" si="23"/>
        <v>#REF!</v>
      </c>
      <c r="CB28" s="24" t="e">
        <f t="shared" si="24"/>
        <v>#REF!</v>
      </c>
      <c r="CC28" s="29"/>
    </row>
    <row r="29" spans="1:82">
      <c r="A29" s="18"/>
      <c r="B29" s="20" t="s">
        <v>316</v>
      </c>
      <c r="C29" s="27">
        <f>SUMIFS(Table4[Expected Revenue],Table4[Installation],$B29,Table4[Projected 
Year],C$1,Table4[Projected 
Month],C$2)</f>
        <v>0</v>
      </c>
      <c r="D29" s="23">
        <f>SUMPRODUCT(Table4[Probability]*Table4[Expected Revenue]*(Table4[Installation]=$B29)*(Table4[Projected 
Year]=C$1)*(Table4[Projected 
Month]=C$2))/MAX(1,SUMPRODUCT(Table4[Expected Revenue]*(Table4[Installation]=$B29)*(Table4[Projected 
Year]=C$1)*(Table4[Projected 
Month]=C$2)))</f>
        <v>0</v>
      </c>
      <c r="E29" s="24">
        <f>SUMPRODUCT(Table4[Expected Revenue]*Table4[Expected CMR]*(Table4[Projected 
Year]=C$1)*(Table4[Projected 
Month]=C$2)*(Table4[Installation]=$B29))/MAX(1,C29)</f>
        <v>0</v>
      </c>
      <c r="F29" s="27">
        <f>SUMIFS(Table4[Expected Revenue],Table4[Installation],$B29,Table4[Projected 
Year],F$1,Table4[Projected 
Month],F$2)</f>
        <v>0</v>
      </c>
      <c r="G29" s="23">
        <f>SUMPRODUCT(Table4[Probability]*Table4[Expected Revenue]*(Table4[Installation]=$B29)*(Table4[Projected 
Year]=F$1)*(Table4[Projected 
Month]=F$2))/MAX(1,SUMPRODUCT(Table4[Expected Revenue]*(Table4[Installation]=$B29)*(Table4[Projected 
Year]=F$1)*(Table4[Projected 
Month]=F$2)))</f>
        <v>0</v>
      </c>
      <c r="H29" s="24">
        <f>SUMPRODUCT(Table4[Expected Revenue]*Table4[Expected CMR]*(Table4[Projected 
Year]=F$1)*(Table4[Projected 
Month]=F$2)*(Table4[Installation]=$B29))/MAX(1,F29)</f>
        <v>0</v>
      </c>
      <c r="I29" s="27">
        <f>SUMIFS(Table4[Expected Revenue],Table4[Installation],$B29,Table4[Projected 
Year],I$1,Table4[Projected 
Month],I$2)</f>
        <v>0</v>
      </c>
      <c r="J29" s="23">
        <f>SUMPRODUCT(Table4[Probability]*Table4[Expected Revenue]*(Table4[Installation]=$B29)*(Table4[Projected 
Year]=I$1)*(Table4[Projected 
Month]=I$2))/MAX(1,SUMPRODUCT(Table4[Expected Revenue]*(Table4[Installation]=$B29)*(Table4[Projected 
Year]=I$1)*(Table4[Projected 
Month]=I$2)))</f>
        <v>0</v>
      </c>
      <c r="K29" s="24">
        <f>SUMPRODUCT(Table4[Expected Revenue]*Table4[Expected CMR]*(Table4[Projected 
Year]=I$1)*(Table4[Projected 
Month]=I$2)*(Table4[Installation]=$B29))/MAX(1,I29)</f>
        <v>0</v>
      </c>
      <c r="L29" s="27">
        <f>SUMIFS(Table4[Expected Revenue],Table4[Installation],$B29,Table4[Projected 
Year],L$1,Table4[Projected 
Month],L$2)</f>
        <v>0</v>
      </c>
      <c r="M29" s="23">
        <f>SUMPRODUCT(Table4[Probability]*Table4[Expected Revenue]*(Table4[Installation]=$B29)*(Table4[Projected 
Year]=L$1)*(Table4[Projected 
Month]=L$2))/MAX(1,SUMPRODUCT(Table4[Expected Revenue]*(Table4[Installation]=$B29)*(Table4[Projected 
Year]=L$1)*(Table4[Projected 
Month]=L$2)))</f>
        <v>0</v>
      </c>
      <c r="N29" s="24">
        <f>SUMPRODUCT(Table4[Expected Revenue]*Table4[Expected CMR]*(Table4[Projected 
Year]=L$1)*(Table4[Projected 
Month]=L$2)*(Table4[Installation]=$B29))/MAX(1,L29)</f>
        <v>0</v>
      </c>
      <c r="O29" s="27">
        <f>SUMIFS(Table4[Expected Revenue],Table4[Installation],$B29,Table4[Projected 
Year],O$1,Table4[Projected 
Month],O$2)</f>
        <v>0</v>
      </c>
      <c r="P29" s="23">
        <f>SUMPRODUCT(Table4[Probability]*Table4[Expected Revenue]*(Table4[Installation]=$B29)*(Table4[Projected 
Year]=O$1)*(Table4[Projected 
Month]=O$2))/MAX(1,SUMPRODUCT(Table4[Expected Revenue]*(Table4[Installation]=$B29)*(Table4[Projected 
Year]=O$1)*(Table4[Projected 
Month]=O$2)))</f>
        <v>0</v>
      </c>
      <c r="Q29" s="24">
        <f>SUMPRODUCT(Table4[Expected Revenue]*Table4[Expected CMR]*(Table4[Projected 
Year]=O$1)*(Table4[Projected 
Month]=O$2)*(Table4[Installation]=$B29))/MAX(1,O29)</f>
        <v>0</v>
      </c>
      <c r="R29" s="27">
        <f>SUMIFS(Table4[Expected Revenue],Table4[Installation],$B29,Table4[Projected 
Year],R$1,Table4[Projected 
Month],R$2)</f>
        <v>0</v>
      </c>
      <c r="S29" s="23">
        <f>SUMPRODUCT(Table4[Probability]*Table4[Expected Revenue]*(Table4[Installation]=$B29)*(Table4[Projected 
Year]=R$1)*(Table4[Projected 
Month]=R$2))/MAX(1,SUMPRODUCT(Table4[Expected Revenue]*(Table4[Installation]=$B29)*(Table4[Projected 
Year]=R$1)*(Table4[Projected 
Month]=R$2)))</f>
        <v>0</v>
      </c>
      <c r="T29" s="24">
        <f>SUMPRODUCT(Table4[Expected Revenue]*Table4[Expected CMR]*(Table4[Projected 
Year]=R$1)*(Table4[Projected 
Month]=R$2)*(Table4[Installation]=$B29))/MAX(1,R29)</f>
        <v>0</v>
      </c>
      <c r="U29" s="27">
        <f>SUMIFS(Table4[Expected Revenue],Table4[Installation],$B29,Table4[Projected 
Year],U$1,Table4[Projected 
Month],U$2)</f>
        <v>0</v>
      </c>
      <c r="V29" s="23">
        <f>SUMPRODUCT(Table4[Probability]*Table4[Expected Revenue]*(Table4[Installation]=$B29)*(Table4[Projected 
Year]=U$1)*(Table4[Projected 
Month]=U$2))/MAX(1,SUMPRODUCT(Table4[Expected Revenue]*(Table4[Installation]=$B29)*(Table4[Projected 
Year]=U$1)*(Table4[Projected 
Month]=U$2)))</f>
        <v>0</v>
      </c>
      <c r="W29" s="24">
        <f>SUMPRODUCT(Table4[Expected Revenue]*Table4[Expected CMR]*(Table4[Projected 
Year]=U$1)*(Table4[Projected 
Month]=U$2)*(Table4[Installation]=$B29))/MAX(1,U29)</f>
        <v>0</v>
      </c>
      <c r="X29" s="27">
        <f>SUMIFS(Table4[Expected Revenue],Table4[Installation],$B29,Table4[Projected 
Year],X$1,Table4[Projected 
Month],X$2)</f>
        <v>0</v>
      </c>
      <c r="Y29" s="23">
        <f>SUMPRODUCT(Table4[Probability]*Table4[Expected Revenue]*(Table4[Installation]=$B29)*(Table4[Projected 
Year]=X$1)*(Table4[Projected 
Month]=X$2))/MAX(1,SUMPRODUCT(Table4[Expected Revenue]*(Table4[Installation]=$B29)*(Table4[Projected 
Year]=X$1)*(Table4[Projected 
Month]=X$2)))</f>
        <v>0</v>
      </c>
      <c r="Z29" s="24">
        <f>SUMPRODUCT(Table4[Expected Revenue]*Table4[Expected CMR]*(Table4[Projected 
Year]=X$1)*(Table4[Projected 
Month]=X$2)*(Table4[Installation]=$B29))/MAX(1,X29)</f>
        <v>0</v>
      </c>
      <c r="AA29" s="27">
        <f>SUMIFS(Table4[Expected Revenue],Table4[Installation],$B29,Table4[Projected 
Year],AA$1,Table4[Projected 
Month],AA$2)</f>
        <v>0</v>
      </c>
      <c r="AB29" s="23">
        <f>SUMPRODUCT(Table4[Probability]*Table4[Expected Revenue]*(Table4[Installation]=$B29)*(Table4[Projected 
Year]=AA$1)*(Table4[Projected 
Month]=AA$2))/MAX(1,SUMPRODUCT(Table4[Expected Revenue]*(Table4[Installation]=$B29)*(Table4[Projected 
Year]=AA$1)*(Table4[Projected 
Month]=AA$2)))</f>
        <v>0</v>
      </c>
      <c r="AC29" s="24">
        <f>SUMPRODUCT(Table4[Expected Revenue]*Table4[Expected CMR]*(Table4[Projected 
Year]=AA$1)*(Table4[Projected 
Month]=AA$2)*(Table4[Installation]=$B29))/MAX(1,AA29)</f>
        <v>0</v>
      </c>
      <c r="AD29" s="27">
        <f>SUMIFS(Table4[Expected Revenue],Table4[Installation],$B29,Table4[Projected 
Year],AD$1,Table4[Projected 
Month],AD$2)</f>
        <v>0</v>
      </c>
      <c r="AE29" s="23">
        <f>SUMPRODUCT(Table4[Probability]*Table4[Expected Revenue]*(Table4[Installation]=$B29)*(Table4[Projected 
Year]=AD$1)*(Table4[Projected 
Month]=AD$2))/MAX(1,SUMPRODUCT(Table4[Expected Revenue]*(Table4[Installation]=$B29)*(Table4[Projected 
Year]=AD$1)*(Table4[Projected 
Month]=AD$2)))</f>
        <v>0</v>
      </c>
      <c r="AF29" s="24">
        <f>SUMPRODUCT(Table4[Expected Revenue]*Table4[Expected CMR]*(Table4[Projected 
Year]=AD$1)*(Table4[Projected 
Month]=AD$2)*(Table4[Installation]=$B29))/MAX(1,AD29)</f>
        <v>0</v>
      </c>
      <c r="AG29" s="27">
        <f>SUMIFS(Table4[Expected Revenue],Table4[Installation],$B29,Table4[Projected 
Year],AG$1,Table4[Projected 
Month],AG$2)</f>
        <v>0</v>
      </c>
      <c r="AH29" s="23">
        <f>SUMPRODUCT(Table4[Probability]*Table4[Expected Revenue]*(Table4[Installation]=$B29)*(Table4[Projected 
Year]=AG$1)*(Table4[Projected 
Month]=AG$2))/MAX(1,SUMPRODUCT(Table4[Expected Revenue]*(Table4[Installation]=$B29)*(Table4[Projected 
Year]=AG$1)*(Table4[Projected 
Month]=AG$2)))</f>
        <v>0</v>
      </c>
      <c r="AI29" s="24">
        <f>SUMPRODUCT(Table4[Expected Revenue]*Table4[Expected CMR]*(Table4[Projected 
Year]=AG$1)*(Table4[Projected 
Month]=AG$2)*(Table4[Installation]=$B29))/MAX(1,AG29)</f>
        <v>0</v>
      </c>
      <c r="AJ29" s="27">
        <f>SUMIFS(Table4[Expected Revenue],Table4[Installation],$B29,Table4[Projected 
Year],AJ$1,Table4[Projected 
Month],AJ$2)</f>
        <v>0</v>
      </c>
      <c r="AK29" s="23">
        <f>SUMPRODUCT(Table4[Probability]*Table4[Expected Revenue]*(Table4[Installation]=$B29)*(Table4[Projected 
Year]=AJ$1)*(Table4[Projected 
Month]=AJ$2))/MAX(1,SUMPRODUCT(Table4[Expected Revenue]*(Table4[Installation]=$B29)*(Table4[Projected 
Year]=AJ$1)*(Table4[Projected 
Month]=AJ$2)))</f>
        <v>0</v>
      </c>
      <c r="AL29" s="24">
        <f>SUMPRODUCT(Table4[Expected Revenue]*Table4[Expected CMR]*(Table4[Projected 
Year]=AJ$1)*(Table4[Projected 
Month]=AJ$2)*(Table4[Installation]=$B29))/MAX(1,AJ29)</f>
        <v>0</v>
      </c>
      <c r="AM29" s="30">
        <f t="shared" si="20"/>
        <v>0</v>
      </c>
      <c r="AN29" s="52">
        <f t="shared" si="21"/>
        <v>0</v>
      </c>
      <c r="AO29" s="52">
        <f t="shared" si="21"/>
        <v>0</v>
      </c>
      <c r="AP29" s="27" t="e">
        <f>SUMIFS(#REF!,Table4[Installation],$B29,#REF!,AP$1,#REF!,AP$2)</f>
        <v>#REF!</v>
      </c>
      <c r="AQ29" s="21" t="e">
        <f>SUMIFS(#REF!,Table4[Installation],$B29,Table4[Projected 
Year],AP$1,#REF!,AP$2)</f>
        <v>#REF!</v>
      </c>
      <c r="AR29" s="24" t="e">
        <f t="shared" si="7"/>
        <v>#REF!</v>
      </c>
      <c r="AS29" s="27" t="e">
        <f>SUMIFS(#REF!,Table4[Installation],$B29,#REF!,AS$1,#REF!,AS$2)</f>
        <v>#REF!</v>
      </c>
      <c r="AT29" s="21" t="e">
        <f>SUMIFS(#REF!,Table4[Installation],$B29,Table4[Projected 
Year],AS$1,#REF!,AS$2)</f>
        <v>#REF!</v>
      </c>
      <c r="AU29" s="24" t="e">
        <f t="shared" si="8"/>
        <v>#REF!</v>
      </c>
      <c r="AV29" s="27" t="e">
        <f>SUMIFS(#REF!,Table4[Installation],$B29,#REF!,AV$1,#REF!,AV$2)</f>
        <v>#REF!</v>
      </c>
      <c r="AW29" s="21" t="e">
        <f>SUMIFS(#REF!,Table4[Installation],$B29,Table4[Projected 
Year],AV$1,#REF!,AV$2)</f>
        <v>#REF!</v>
      </c>
      <c r="AX29" s="24" t="e">
        <f t="shared" si="9"/>
        <v>#REF!</v>
      </c>
      <c r="AY29" s="27" t="e">
        <f>SUMIFS(#REF!,Table4[Installation],$B29,#REF!,AY$1,#REF!,AY$2)</f>
        <v>#REF!</v>
      </c>
      <c r="AZ29" s="21" t="e">
        <f>SUMIFS(#REF!,Table4[Installation],$B29,Table4[Projected 
Year],AY$1,#REF!,AY$2)</f>
        <v>#REF!</v>
      </c>
      <c r="BA29" s="24" t="e">
        <f t="shared" si="10"/>
        <v>#REF!</v>
      </c>
      <c r="BB29" s="27" t="e">
        <f>SUMIFS(#REF!,Table4[Installation],$B29,#REF!,BB$1,#REF!,BB$2)</f>
        <v>#REF!</v>
      </c>
      <c r="BC29" s="21" t="e">
        <f>SUMIFS(#REF!,Table4[Installation],$B29,Table4[Projected 
Year],BB$1,#REF!,BB$2)</f>
        <v>#REF!</v>
      </c>
      <c r="BD29" s="24" t="e">
        <f t="shared" si="11"/>
        <v>#REF!</v>
      </c>
      <c r="BE29" s="27" t="e">
        <f>SUMIFS(#REF!,Table4[Installation],$B29,#REF!,BE$1,#REF!,BE$2)</f>
        <v>#REF!</v>
      </c>
      <c r="BF29" s="21" t="e">
        <f>SUMIFS(#REF!,Table4[Installation],$B29,Table4[Projected 
Year],BE$1,#REF!,BE$2)</f>
        <v>#REF!</v>
      </c>
      <c r="BG29" s="24" t="e">
        <f t="shared" si="18"/>
        <v>#REF!</v>
      </c>
      <c r="BH29" s="27" t="e">
        <f>SUMIFS(#REF!,Table4[Installation],$B29,#REF!,BH$1,#REF!,BH$2)</f>
        <v>#REF!</v>
      </c>
      <c r="BI29" s="21" t="e">
        <f>SUMIFS(#REF!,Table4[Installation],$B29,Table4[Projected 
Year],BH$1,#REF!,BH$2)</f>
        <v>#REF!</v>
      </c>
      <c r="BJ29" s="24" t="e">
        <f t="shared" si="3"/>
        <v>#REF!</v>
      </c>
      <c r="BK29" s="27" t="e">
        <f>SUMIFS(#REF!,Table4[Installation],$B29,#REF!,BK$1,#REF!,BK$2)</f>
        <v>#REF!</v>
      </c>
      <c r="BL29" s="21" t="e">
        <f>SUMIFS(#REF!,Table4[Installation],$B29,Table4[Projected 
Year],BK$1,#REF!,BK$2)</f>
        <v>#REF!</v>
      </c>
      <c r="BM29" s="24" t="e">
        <f t="shared" si="13"/>
        <v>#REF!</v>
      </c>
      <c r="BN29" s="27" t="e">
        <f>SUMIFS(#REF!,Table4[Installation],$B29,#REF!,BN$1,#REF!,BN$2)</f>
        <v>#REF!</v>
      </c>
      <c r="BO29" s="21" t="e">
        <f>SUMIFS(#REF!,Table4[Installation],$B29,Table4[Projected 
Year],BN$1,#REF!,BN$2)</f>
        <v>#REF!</v>
      </c>
      <c r="BP29" s="24" t="e">
        <f t="shared" si="14"/>
        <v>#REF!</v>
      </c>
      <c r="BQ29" s="27" t="e">
        <f>SUMIFS(#REF!,Table4[Installation],$B29,#REF!,BQ$1,#REF!,BQ$2)</f>
        <v>#REF!</v>
      </c>
      <c r="BR29" s="21" t="e">
        <f>SUMIFS(#REF!,Table4[Installation],$B29,Table4[Projected 
Year],BQ$1,#REF!,BQ$2)</f>
        <v>#REF!</v>
      </c>
      <c r="BS29" s="24" t="e">
        <f t="shared" si="15"/>
        <v>#REF!</v>
      </c>
      <c r="BT29" s="27" t="e">
        <f>SUMIFS(#REF!,Table4[Installation],$B29,#REF!,BT$1,#REF!,BT$2)</f>
        <v>#REF!</v>
      </c>
      <c r="BU29" s="21" t="e">
        <f>SUMIFS(#REF!,Table4[Installation],$B29,Table4[Projected 
Year],BT$1,#REF!,BT$2)</f>
        <v>#REF!</v>
      </c>
      <c r="BV29" s="24" t="e">
        <f t="shared" si="16"/>
        <v>#REF!</v>
      </c>
      <c r="BW29" s="27" t="e">
        <f>SUMIFS(#REF!,Table4[Installation],$B29,#REF!,BW$1,#REF!,BW$2)</f>
        <v>#REF!</v>
      </c>
      <c r="BX29" s="21" t="e">
        <f>SUMIFS(#REF!,Table4[Installation],$B29,Table4[Projected 
Year],BW$1,#REF!,BW$2)</f>
        <v>#REF!</v>
      </c>
      <c r="BY29" s="24" t="e">
        <f t="shared" ref="BY29:BY52" si="25">IF(BW29=0,IF(BX29=0,"-",0),1-(BX29/BW29))</f>
        <v>#REF!</v>
      </c>
      <c r="BZ29" s="30" t="e">
        <f t="shared" si="22"/>
        <v>#REF!</v>
      </c>
      <c r="CA29" s="30" t="e">
        <f t="shared" si="23"/>
        <v>#REF!</v>
      </c>
      <c r="CB29" s="24" t="e">
        <f t="shared" si="24"/>
        <v>#REF!</v>
      </c>
      <c r="CC29" s="29"/>
    </row>
    <row r="30" spans="1:82">
      <c r="A30" s="18"/>
      <c r="B30" s="20" t="s">
        <v>317</v>
      </c>
      <c r="C30" s="27">
        <f>SUMIFS(Table4[Expected Revenue],Table4[Installation],$B30,Table4[Projected 
Year],C$1,Table4[Projected 
Month],C$2)</f>
        <v>0</v>
      </c>
      <c r="D30" s="23">
        <f>SUMPRODUCT(Table4[Probability]*Table4[Expected Revenue]*(Table4[Installation]=$B30)*(Table4[Projected 
Year]=C$1)*(Table4[Projected 
Month]=C$2))/MAX(1,SUMPRODUCT(Table4[Expected Revenue]*(Table4[Installation]=$B30)*(Table4[Projected 
Year]=C$1)*(Table4[Projected 
Month]=C$2)))</f>
        <v>0</v>
      </c>
      <c r="E30" s="24">
        <f>SUMPRODUCT(Table4[Expected Revenue]*Table4[Expected CMR]*(Table4[Projected 
Year]=C$1)*(Table4[Projected 
Month]=C$2)*(Table4[Installation]=$B30))/MAX(1,C30)</f>
        <v>0</v>
      </c>
      <c r="F30" s="27">
        <f>SUMIFS(Table4[Expected Revenue],Table4[Installation],$B30,Table4[Projected 
Year],F$1,Table4[Projected 
Month],F$2)</f>
        <v>0</v>
      </c>
      <c r="G30" s="23">
        <f>SUMPRODUCT(Table4[Probability]*Table4[Expected Revenue]*(Table4[Installation]=$B30)*(Table4[Projected 
Year]=F$1)*(Table4[Projected 
Month]=F$2))/MAX(1,SUMPRODUCT(Table4[Expected Revenue]*(Table4[Installation]=$B30)*(Table4[Projected 
Year]=F$1)*(Table4[Projected 
Month]=F$2)))</f>
        <v>0</v>
      </c>
      <c r="H30" s="24">
        <f>SUMPRODUCT(Table4[Expected Revenue]*Table4[Expected CMR]*(Table4[Projected 
Year]=F$1)*(Table4[Projected 
Month]=F$2)*(Table4[Installation]=$B30))/MAX(1,F30)</f>
        <v>0</v>
      </c>
      <c r="I30" s="27">
        <f>SUMIFS(Table4[Expected Revenue],Table4[Installation],$B30,Table4[Projected 
Year],I$1,Table4[Projected 
Month],I$2)</f>
        <v>0</v>
      </c>
      <c r="J30" s="23">
        <f>SUMPRODUCT(Table4[Probability]*Table4[Expected Revenue]*(Table4[Installation]=$B30)*(Table4[Projected 
Year]=I$1)*(Table4[Projected 
Month]=I$2))/MAX(1,SUMPRODUCT(Table4[Expected Revenue]*(Table4[Installation]=$B30)*(Table4[Projected 
Year]=I$1)*(Table4[Projected 
Month]=I$2)))</f>
        <v>0</v>
      </c>
      <c r="K30" s="24">
        <f>SUMPRODUCT(Table4[Expected Revenue]*Table4[Expected CMR]*(Table4[Projected 
Year]=I$1)*(Table4[Projected 
Month]=I$2)*(Table4[Installation]=$B30))/MAX(1,I30)</f>
        <v>0</v>
      </c>
      <c r="L30" s="27">
        <f>SUMIFS(Table4[Expected Revenue],Table4[Installation],$B30,Table4[Projected 
Year],L$1,Table4[Projected 
Month],L$2)</f>
        <v>0</v>
      </c>
      <c r="M30" s="23">
        <f>SUMPRODUCT(Table4[Probability]*Table4[Expected Revenue]*(Table4[Installation]=$B30)*(Table4[Projected 
Year]=L$1)*(Table4[Projected 
Month]=L$2))/MAX(1,SUMPRODUCT(Table4[Expected Revenue]*(Table4[Installation]=$B30)*(Table4[Projected 
Year]=L$1)*(Table4[Projected 
Month]=L$2)))</f>
        <v>0</v>
      </c>
      <c r="N30" s="24">
        <f>SUMPRODUCT(Table4[Expected Revenue]*Table4[Expected CMR]*(Table4[Projected 
Year]=L$1)*(Table4[Projected 
Month]=L$2)*(Table4[Installation]=$B30))/MAX(1,L30)</f>
        <v>0</v>
      </c>
      <c r="O30" s="27">
        <f>SUMIFS(Table4[Expected Revenue],Table4[Installation],$B30,Table4[Projected 
Year],O$1,Table4[Projected 
Month],O$2)</f>
        <v>0</v>
      </c>
      <c r="P30" s="23">
        <f>SUMPRODUCT(Table4[Probability]*Table4[Expected Revenue]*(Table4[Installation]=$B30)*(Table4[Projected 
Year]=O$1)*(Table4[Projected 
Month]=O$2))/MAX(1,SUMPRODUCT(Table4[Expected Revenue]*(Table4[Installation]=$B30)*(Table4[Projected 
Year]=O$1)*(Table4[Projected 
Month]=O$2)))</f>
        <v>0</v>
      </c>
      <c r="Q30" s="24">
        <f>SUMPRODUCT(Table4[Expected Revenue]*Table4[Expected CMR]*(Table4[Projected 
Year]=O$1)*(Table4[Projected 
Month]=O$2)*(Table4[Installation]=$B30))/MAX(1,O30)</f>
        <v>0</v>
      </c>
      <c r="R30" s="27">
        <f>SUMIFS(Table4[Expected Revenue],Table4[Installation],$B30,Table4[Projected 
Year],R$1,Table4[Projected 
Month],R$2)</f>
        <v>0</v>
      </c>
      <c r="S30" s="23">
        <f>SUMPRODUCT(Table4[Probability]*Table4[Expected Revenue]*(Table4[Installation]=$B30)*(Table4[Projected 
Year]=R$1)*(Table4[Projected 
Month]=R$2))/MAX(1,SUMPRODUCT(Table4[Expected Revenue]*(Table4[Installation]=$B30)*(Table4[Projected 
Year]=R$1)*(Table4[Projected 
Month]=R$2)))</f>
        <v>0</v>
      </c>
      <c r="T30" s="24">
        <f>SUMPRODUCT(Table4[Expected Revenue]*Table4[Expected CMR]*(Table4[Projected 
Year]=R$1)*(Table4[Projected 
Month]=R$2)*(Table4[Installation]=$B30))/MAX(1,R30)</f>
        <v>0</v>
      </c>
      <c r="U30" s="27">
        <f>SUMIFS(Table4[Expected Revenue],Table4[Installation],$B30,Table4[Projected 
Year],U$1,Table4[Projected 
Month],U$2)</f>
        <v>0</v>
      </c>
      <c r="V30" s="23">
        <f>SUMPRODUCT(Table4[Probability]*Table4[Expected Revenue]*(Table4[Installation]=$B30)*(Table4[Projected 
Year]=U$1)*(Table4[Projected 
Month]=U$2))/MAX(1,SUMPRODUCT(Table4[Expected Revenue]*(Table4[Installation]=$B30)*(Table4[Projected 
Year]=U$1)*(Table4[Projected 
Month]=U$2)))</f>
        <v>0</v>
      </c>
      <c r="W30" s="24">
        <f>SUMPRODUCT(Table4[Expected Revenue]*Table4[Expected CMR]*(Table4[Projected 
Year]=U$1)*(Table4[Projected 
Month]=U$2)*(Table4[Installation]=$B30))/MAX(1,U30)</f>
        <v>0</v>
      </c>
      <c r="X30" s="27">
        <f>SUMIFS(Table4[Expected Revenue],Table4[Installation],$B30,Table4[Projected 
Year],X$1,Table4[Projected 
Month],X$2)</f>
        <v>0</v>
      </c>
      <c r="Y30" s="23">
        <f>SUMPRODUCT(Table4[Probability]*Table4[Expected Revenue]*(Table4[Installation]=$B30)*(Table4[Projected 
Year]=X$1)*(Table4[Projected 
Month]=X$2))/MAX(1,SUMPRODUCT(Table4[Expected Revenue]*(Table4[Installation]=$B30)*(Table4[Projected 
Year]=X$1)*(Table4[Projected 
Month]=X$2)))</f>
        <v>0</v>
      </c>
      <c r="Z30" s="24">
        <f>SUMPRODUCT(Table4[Expected Revenue]*Table4[Expected CMR]*(Table4[Projected 
Year]=X$1)*(Table4[Projected 
Month]=X$2)*(Table4[Installation]=$B30))/MAX(1,X30)</f>
        <v>0</v>
      </c>
      <c r="AA30" s="27">
        <f>SUMIFS(Table4[Expected Revenue],Table4[Installation],$B30,Table4[Projected 
Year],AA$1,Table4[Projected 
Month],AA$2)</f>
        <v>0</v>
      </c>
      <c r="AB30" s="23">
        <f>SUMPRODUCT(Table4[Probability]*Table4[Expected Revenue]*(Table4[Installation]=$B30)*(Table4[Projected 
Year]=AA$1)*(Table4[Projected 
Month]=AA$2))/MAX(1,SUMPRODUCT(Table4[Expected Revenue]*(Table4[Installation]=$B30)*(Table4[Projected 
Year]=AA$1)*(Table4[Projected 
Month]=AA$2)))</f>
        <v>0</v>
      </c>
      <c r="AC30" s="24">
        <f>SUMPRODUCT(Table4[Expected Revenue]*Table4[Expected CMR]*(Table4[Projected 
Year]=AA$1)*(Table4[Projected 
Month]=AA$2)*(Table4[Installation]=$B30))/MAX(1,AA30)</f>
        <v>0</v>
      </c>
      <c r="AD30" s="27">
        <f>SUMIFS(Table4[Expected Revenue],Table4[Installation],$B30,Table4[Projected 
Year],AD$1,Table4[Projected 
Month],AD$2)</f>
        <v>0</v>
      </c>
      <c r="AE30" s="23">
        <f>SUMPRODUCT(Table4[Probability]*Table4[Expected Revenue]*(Table4[Installation]=$B30)*(Table4[Projected 
Year]=AD$1)*(Table4[Projected 
Month]=AD$2))/MAX(1,SUMPRODUCT(Table4[Expected Revenue]*(Table4[Installation]=$B30)*(Table4[Projected 
Year]=AD$1)*(Table4[Projected 
Month]=AD$2)))</f>
        <v>0</v>
      </c>
      <c r="AF30" s="24">
        <f>SUMPRODUCT(Table4[Expected Revenue]*Table4[Expected CMR]*(Table4[Projected 
Year]=AD$1)*(Table4[Projected 
Month]=AD$2)*(Table4[Installation]=$B30))/MAX(1,AD30)</f>
        <v>0</v>
      </c>
      <c r="AG30" s="27">
        <f>SUMIFS(Table4[Expected Revenue],Table4[Installation],$B30,Table4[Projected 
Year],AG$1,Table4[Projected 
Month],AG$2)</f>
        <v>0</v>
      </c>
      <c r="AH30" s="23">
        <f>SUMPRODUCT(Table4[Probability]*Table4[Expected Revenue]*(Table4[Installation]=$B30)*(Table4[Projected 
Year]=AG$1)*(Table4[Projected 
Month]=AG$2))/MAX(1,SUMPRODUCT(Table4[Expected Revenue]*(Table4[Installation]=$B30)*(Table4[Projected 
Year]=AG$1)*(Table4[Projected 
Month]=AG$2)))</f>
        <v>0</v>
      </c>
      <c r="AI30" s="24">
        <f>SUMPRODUCT(Table4[Expected Revenue]*Table4[Expected CMR]*(Table4[Projected 
Year]=AG$1)*(Table4[Projected 
Month]=AG$2)*(Table4[Installation]=$B30))/MAX(1,AG30)</f>
        <v>0</v>
      </c>
      <c r="AJ30" s="27">
        <f>SUMIFS(Table4[Expected Revenue],Table4[Installation],$B30,Table4[Projected 
Year],AJ$1,Table4[Projected 
Month],AJ$2)</f>
        <v>0</v>
      </c>
      <c r="AK30" s="23">
        <f>SUMPRODUCT(Table4[Probability]*Table4[Expected Revenue]*(Table4[Installation]=$B30)*(Table4[Projected 
Year]=AJ$1)*(Table4[Projected 
Month]=AJ$2))/MAX(1,SUMPRODUCT(Table4[Expected Revenue]*(Table4[Installation]=$B30)*(Table4[Projected 
Year]=AJ$1)*(Table4[Projected 
Month]=AJ$2)))</f>
        <v>0</v>
      </c>
      <c r="AL30" s="24">
        <f>SUMPRODUCT(Table4[Expected Revenue]*Table4[Expected CMR]*(Table4[Projected 
Year]=AJ$1)*(Table4[Projected 
Month]=AJ$2)*(Table4[Installation]=$B30))/MAX(1,AJ30)</f>
        <v>0</v>
      </c>
      <c r="AM30" s="30">
        <f t="shared" si="20"/>
        <v>0</v>
      </c>
      <c r="AN30" s="52">
        <f t="shared" ref="AN30:AO45" si="26">SUM($C30*D30,$F30*G30,$I30*J30,$L30*M30,$O30*P30,$R30*S30,$U30*V30,$X30*Y30,$AA30*AB30,$AD30*AE30,$AG30*AH30,$AJ30*AK30)/MAX(1,$AM30)</f>
        <v>0</v>
      </c>
      <c r="AO30" s="52">
        <f t="shared" si="26"/>
        <v>0</v>
      </c>
      <c r="AP30" s="27" t="e">
        <f>SUMIFS(#REF!,Table4[Installation],$B30,#REF!,AP$1,#REF!,AP$2)</f>
        <v>#REF!</v>
      </c>
      <c r="AQ30" s="21" t="e">
        <f>SUMIFS(#REF!,Table4[Installation],$B30,Table4[Projected 
Year],AP$1,#REF!,AP$2)</f>
        <v>#REF!</v>
      </c>
      <c r="AR30" s="24" t="e">
        <f t="shared" si="7"/>
        <v>#REF!</v>
      </c>
      <c r="AS30" s="27" t="e">
        <f>SUMIFS(#REF!,Table4[Installation],$B30,#REF!,AS$1,#REF!,AS$2)</f>
        <v>#REF!</v>
      </c>
      <c r="AT30" s="21" t="e">
        <f>SUMIFS(#REF!,Table4[Installation],$B30,Table4[Projected 
Year],AS$1,#REF!,AS$2)</f>
        <v>#REF!</v>
      </c>
      <c r="AU30" s="24" t="e">
        <f t="shared" si="8"/>
        <v>#REF!</v>
      </c>
      <c r="AV30" s="27" t="e">
        <f>SUMIFS(#REF!,Table4[Installation],$B30,#REF!,AV$1,#REF!,AV$2)</f>
        <v>#REF!</v>
      </c>
      <c r="AW30" s="21" t="e">
        <f>SUMIFS(#REF!,Table4[Installation],$B30,Table4[Projected 
Year],AV$1,#REF!,AV$2)</f>
        <v>#REF!</v>
      </c>
      <c r="AX30" s="24" t="e">
        <f t="shared" si="9"/>
        <v>#REF!</v>
      </c>
      <c r="AY30" s="27" t="e">
        <f>SUMIFS(#REF!,Table4[Installation],$B30,#REF!,AY$1,#REF!,AY$2)</f>
        <v>#REF!</v>
      </c>
      <c r="AZ30" s="21" t="e">
        <f>SUMIFS(#REF!,Table4[Installation],$B30,Table4[Projected 
Year],AY$1,#REF!,AY$2)</f>
        <v>#REF!</v>
      </c>
      <c r="BA30" s="24" t="e">
        <f t="shared" si="10"/>
        <v>#REF!</v>
      </c>
      <c r="BB30" s="27" t="e">
        <f>SUMIFS(#REF!,Table4[Installation],$B30,#REF!,BB$1,#REF!,BB$2)</f>
        <v>#REF!</v>
      </c>
      <c r="BC30" s="21" t="e">
        <f>SUMIFS(#REF!,Table4[Installation],$B30,Table4[Projected 
Year],BB$1,#REF!,BB$2)</f>
        <v>#REF!</v>
      </c>
      <c r="BD30" s="24" t="e">
        <f t="shared" si="11"/>
        <v>#REF!</v>
      </c>
      <c r="BE30" s="27" t="e">
        <f>SUMIFS(#REF!,Table4[Installation],$B30,#REF!,BE$1,#REF!,BE$2)</f>
        <v>#REF!</v>
      </c>
      <c r="BF30" s="21" t="e">
        <f>SUMIFS(#REF!,Table4[Installation],$B30,Table4[Projected 
Year],BE$1,#REF!,BE$2)</f>
        <v>#REF!</v>
      </c>
      <c r="BG30" s="24" t="e">
        <f t="shared" si="18"/>
        <v>#REF!</v>
      </c>
      <c r="BH30" s="27" t="e">
        <f>SUMIFS(#REF!,Table4[Installation],$B30,#REF!,BH$1,#REF!,BH$2)</f>
        <v>#REF!</v>
      </c>
      <c r="BI30" s="21" t="e">
        <f>SUMIFS(#REF!,Table4[Installation],$B30,Table4[Projected 
Year],BH$1,#REF!,BH$2)</f>
        <v>#REF!</v>
      </c>
      <c r="BJ30" s="24" t="e">
        <f t="shared" si="3"/>
        <v>#REF!</v>
      </c>
      <c r="BK30" s="27" t="e">
        <f>SUMIFS(#REF!,Table4[Installation],$B30,#REF!,BK$1,#REF!,BK$2)</f>
        <v>#REF!</v>
      </c>
      <c r="BL30" s="21" t="e">
        <f>SUMIFS(#REF!,Table4[Installation],$B30,Table4[Projected 
Year],BK$1,#REF!,BK$2)</f>
        <v>#REF!</v>
      </c>
      <c r="BM30" s="24" t="e">
        <f t="shared" si="13"/>
        <v>#REF!</v>
      </c>
      <c r="BN30" s="27" t="e">
        <f>SUMIFS(#REF!,Table4[Installation],$B30,#REF!,BN$1,#REF!,BN$2)</f>
        <v>#REF!</v>
      </c>
      <c r="BO30" s="21" t="e">
        <f>SUMIFS(#REF!,Table4[Installation],$B30,Table4[Projected 
Year],BN$1,#REF!,BN$2)</f>
        <v>#REF!</v>
      </c>
      <c r="BP30" s="24" t="e">
        <f t="shared" si="14"/>
        <v>#REF!</v>
      </c>
      <c r="BQ30" s="27" t="e">
        <f>SUMIFS(#REF!,Table4[Installation],$B30,#REF!,BQ$1,#REF!,BQ$2)</f>
        <v>#REF!</v>
      </c>
      <c r="BR30" s="21" t="e">
        <f>SUMIFS(#REF!,Table4[Installation],$B30,Table4[Projected 
Year],BQ$1,#REF!,BQ$2)</f>
        <v>#REF!</v>
      </c>
      <c r="BS30" s="24" t="e">
        <f t="shared" si="15"/>
        <v>#REF!</v>
      </c>
      <c r="BT30" s="27" t="e">
        <f>SUMIFS(#REF!,Table4[Installation],$B30,#REF!,BT$1,#REF!,BT$2)</f>
        <v>#REF!</v>
      </c>
      <c r="BU30" s="21" t="e">
        <f>SUMIFS(#REF!,Table4[Installation],$B30,Table4[Projected 
Year],BT$1,#REF!,BT$2)</f>
        <v>#REF!</v>
      </c>
      <c r="BV30" s="24" t="e">
        <f t="shared" si="16"/>
        <v>#REF!</v>
      </c>
      <c r="BW30" s="27" t="e">
        <f>SUMIFS(#REF!,Table4[Installation],$B30,#REF!,BW$1,#REF!,BW$2)</f>
        <v>#REF!</v>
      </c>
      <c r="BX30" s="21" t="e">
        <f>SUMIFS(#REF!,Table4[Installation],$B30,Table4[Projected 
Year],BW$1,#REF!,BW$2)</f>
        <v>#REF!</v>
      </c>
      <c r="BY30" s="24" t="e">
        <f t="shared" si="25"/>
        <v>#REF!</v>
      </c>
      <c r="BZ30" s="30" t="e">
        <f t="shared" si="22"/>
        <v>#REF!</v>
      </c>
      <c r="CA30" s="30" t="e">
        <f t="shared" si="23"/>
        <v>#REF!</v>
      </c>
      <c r="CB30" s="24" t="e">
        <f t="shared" si="24"/>
        <v>#REF!</v>
      </c>
      <c r="CC30" s="29"/>
    </row>
    <row r="31" spans="1:82">
      <c r="A31" s="18"/>
      <c r="B31" s="20" t="s">
        <v>318</v>
      </c>
      <c r="C31" s="27">
        <f>SUMIFS(Table4[Expected Revenue],Table4[Installation],$B31,Table4[Projected 
Year],C$1,Table4[Projected 
Month],C$2)</f>
        <v>0</v>
      </c>
      <c r="D31" s="23">
        <f>SUMPRODUCT(Table4[Probability]*Table4[Expected Revenue]*(Table4[Installation]=$B31)*(Table4[Projected 
Year]=C$1)*(Table4[Projected 
Month]=C$2))/MAX(1,SUMPRODUCT(Table4[Expected Revenue]*(Table4[Installation]=$B31)*(Table4[Projected 
Year]=C$1)*(Table4[Projected 
Month]=C$2)))</f>
        <v>0</v>
      </c>
      <c r="E31" s="24">
        <f>SUMPRODUCT(Table4[Expected Revenue]*Table4[Expected CMR]*(Table4[Projected 
Year]=C$1)*(Table4[Projected 
Month]=C$2)*(Table4[Installation]=$B31))/MAX(1,C31)</f>
        <v>0</v>
      </c>
      <c r="F31" s="27">
        <f>SUMIFS(Table4[Expected Revenue],Table4[Installation],$B31,Table4[Projected 
Year],F$1,Table4[Projected 
Month],F$2)</f>
        <v>0</v>
      </c>
      <c r="G31" s="23">
        <f>SUMPRODUCT(Table4[Probability]*Table4[Expected Revenue]*(Table4[Installation]=$B31)*(Table4[Projected 
Year]=F$1)*(Table4[Projected 
Month]=F$2))/MAX(1,SUMPRODUCT(Table4[Expected Revenue]*(Table4[Installation]=$B31)*(Table4[Projected 
Year]=F$1)*(Table4[Projected 
Month]=F$2)))</f>
        <v>0</v>
      </c>
      <c r="H31" s="24">
        <f>SUMPRODUCT(Table4[Expected Revenue]*Table4[Expected CMR]*(Table4[Projected 
Year]=F$1)*(Table4[Projected 
Month]=F$2)*(Table4[Installation]=$B31))/MAX(1,F31)</f>
        <v>0</v>
      </c>
      <c r="I31" s="27">
        <f>SUMIFS(Table4[Expected Revenue],Table4[Installation],$B31,Table4[Projected 
Year],I$1,Table4[Projected 
Month],I$2)</f>
        <v>0</v>
      </c>
      <c r="J31" s="23">
        <f>SUMPRODUCT(Table4[Probability]*Table4[Expected Revenue]*(Table4[Installation]=$B31)*(Table4[Projected 
Year]=I$1)*(Table4[Projected 
Month]=I$2))/MAX(1,SUMPRODUCT(Table4[Expected Revenue]*(Table4[Installation]=$B31)*(Table4[Projected 
Year]=I$1)*(Table4[Projected 
Month]=I$2)))</f>
        <v>0</v>
      </c>
      <c r="K31" s="24">
        <f>SUMPRODUCT(Table4[Expected Revenue]*Table4[Expected CMR]*(Table4[Projected 
Year]=I$1)*(Table4[Projected 
Month]=I$2)*(Table4[Installation]=$B31))/MAX(1,I31)</f>
        <v>0</v>
      </c>
      <c r="L31" s="27">
        <f>SUMIFS(Table4[Expected Revenue],Table4[Installation],$B31,Table4[Projected 
Year],L$1,Table4[Projected 
Month],L$2)</f>
        <v>0</v>
      </c>
      <c r="M31" s="23">
        <f>SUMPRODUCT(Table4[Probability]*Table4[Expected Revenue]*(Table4[Installation]=$B31)*(Table4[Projected 
Year]=L$1)*(Table4[Projected 
Month]=L$2))/MAX(1,SUMPRODUCT(Table4[Expected Revenue]*(Table4[Installation]=$B31)*(Table4[Projected 
Year]=L$1)*(Table4[Projected 
Month]=L$2)))</f>
        <v>0</v>
      </c>
      <c r="N31" s="24">
        <f>SUMPRODUCT(Table4[Expected Revenue]*Table4[Expected CMR]*(Table4[Projected 
Year]=L$1)*(Table4[Projected 
Month]=L$2)*(Table4[Installation]=$B31))/MAX(1,L31)</f>
        <v>0</v>
      </c>
      <c r="O31" s="27">
        <f>SUMIFS(Table4[Expected Revenue],Table4[Installation],$B31,Table4[Projected 
Year],O$1,Table4[Projected 
Month],O$2)</f>
        <v>0</v>
      </c>
      <c r="P31" s="23">
        <f>SUMPRODUCT(Table4[Probability]*Table4[Expected Revenue]*(Table4[Installation]=$B31)*(Table4[Projected 
Year]=O$1)*(Table4[Projected 
Month]=O$2))/MAX(1,SUMPRODUCT(Table4[Expected Revenue]*(Table4[Installation]=$B31)*(Table4[Projected 
Year]=O$1)*(Table4[Projected 
Month]=O$2)))</f>
        <v>0</v>
      </c>
      <c r="Q31" s="24">
        <f>SUMPRODUCT(Table4[Expected Revenue]*Table4[Expected CMR]*(Table4[Projected 
Year]=O$1)*(Table4[Projected 
Month]=O$2)*(Table4[Installation]=$B31))/MAX(1,O31)</f>
        <v>0</v>
      </c>
      <c r="R31" s="27">
        <f>SUMIFS(Table4[Expected Revenue],Table4[Installation],$B31,Table4[Projected 
Year],R$1,Table4[Projected 
Month],R$2)</f>
        <v>0</v>
      </c>
      <c r="S31" s="23">
        <f>SUMPRODUCT(Table4[Probability]*Table4[Expected Revenue]*(Table4[Installation]=$B31)*(Table4[Projected 
Year]=R$1)*(Table4[Projected 
Month]=R$2))/MAX(1,SUMPRODUCT(Table4[Expected Revenue]*(Table4[Installation]=$B31)*(Table4[Projected 
Year]=R$1)*(Table4[Projected 
Month]=R$2)))</f>
        <v>0</v>
      </c>
      <c r="T31" s="24">
        <f>SUMPRODUCT(Table4[Expected Revenue]*Table4[Expected CMR]*(Table4[Projected 
Year]=R$1)*(Table4[Projected 
Month]=R$2)*(Table4[Installation]=$B31))/MAX(1,R31)</f>
        <v>0</v>
      </c>
      <c r="U31" s="27">
        <f>SUMIFS(Table4[Expected Revenue],Table4[Installation],$B31,Table4[Projected 
Year],U$1,Table4[Projected 
Month],U$2)</f>
        <v>0</v>
      </c>
      <c r="V31" s="23">
        <f>SUMPRODUCT(Table4[Probability]*Table4[Expected Revenue]*(Table4[Installation]=$B31)*(Table4[Projected 
Year]=U$1)*(Table4[Projected 
Month]=U$2))/MAX(1,SUMPRODUCT(Table4[Expected Revenue]*(Table4[Installation]=$B31)*(Table4[Projected 
Year]=U$1)*(Table4[Projected 
Month]=U$2)))</f>
        <v>0</v>
      </c>
      <c r="W31" s="24">
        <f>SUMPRODUCT(Table4[Expected Revenue]*Table4[Expected CMR]*(Table4[Projected 
Year]=U$1)*(Table4[Projected 
Month]=U$2)*(Table4[Installation]=$B31))/MAX(1,U31)</f>
        <v>0</v>
      </c>
      <c r="X31" s="27">
        <f>SUMIFS(Table4[Expected Revenue],Table4[Installation],$B31,Table4[Projected 
Year],X$1,Table4[Projected 
Month],X$2)</f>
        <v>0</v>
      </c>
      <c r="Y31" s="23">
        <f>SUMPRODUCT(Table4[Probability]*Table4[Expected Revenue]*(Table4[Installation]=$B31)*(Table4[Projected 
Year]=X$1)*(Table4[Projected 
Month]=X$2))/MAX(1,SUMPRODUCT(Table4[Expected Revenue]*(Table4[Installation]=$B31)*(Table4[Projected 
Year]=X$1)*(Table4[Projected 
Month]=X$2)))</f>
        <v>0</v>
      </c>
      <c r="Z31" s="24">
        <f>SUMPRODUCT(Table4[Expected Revenue]*Table4[Expected CMR]*(Table4[Projected 
Year]=X$1)*(Table4[Projected 
Month]=X$2)*(Table4[Installation]=$B31))/MAX(1,X31)</f>
        <v>0</v>
      </c>
      <c r="AA31" s="27">
        <f>SUMIFS(Table4[Expected Revenue],Table4[Installation],$B31,Table4[Projected 
Year],AA$1,Table4[Projected 
Month],AA$2)</f>
        <v>0</v>
      </c>
      <c r="AB31" s="23">
        <f>SUMPRODUCT(Table4[Probability]*Table4[Expected Revenue]*(Table4[Installation]=$B31)*(Table4[Projected 
Year]=AA$1)*(Table4[Projected 
Month]=AA$2))/MAX(1,SUMPRODUCT(Table4[Expected Revenue]*(Table4[Installation]=$B31)*(Table4[Projected 
Year]=AA$1)*(Table4[Projected 
Month]=AA$2)))</f>
        <v>0</v>
      </c>
      <c r="AC31" s="24">
        <f>SUMPRODUCT(Table4[Expected Revenue]*Table4[Expected CMR]*(Table4[Projected 
Year]=AA$1)*(Table4[Projected 
Month]=AA$2)*(Table4[Installation]=$B31))/MAX(1,AA31)</f>
        <v>0</v>
      </c>
      <c r="AD31" s="27">
        <f>SUMIFS(Table4[Expected Revenue],Table4[Installation],$B31,Table4[Projected 
Year],AD$1,Table4[Projected 
Month],AD$2)</f>
        <v>0</v>
      </c>
      <c r="AE31" s="23">
        <f>SUMPRODUCT(Table4[Probability]*Table4[Expected Revenue]*(Table4[Installation]=$B31)*(Table4[Projected 
Year]=AD$1)*(Table4[Projected 
Month]=AD$2))/MAX(1,SUMPRODUCT(Table4[Expected Revenue]*(Table4[Installation]=$B31)*(Table4[Projected 
Year]=AD$1)*(Table4[Projected 
Month]=AD$2)))</f>
        <v>0</v>
      </c>
      <c r="AF31" s="24">
        <f>SUMPRODUCT(Table4[Expected Revenue]*Table4[Expected CMR]*(Table4[Projected 
Year]=AD$1)*(Table4[Projected 
Month]=AD$2)*(Table4[Installation]=$B31))/MAX(1,AD31)</f>
        <v>0</v>
      </c>
      <c r="AG31" s="27">
        <f>SUMIFS(Table4[Expected Revenue],Table4[Installation],$B31,Table4[Projected 
Year],AG$1,Table4[Projected 
Month],AG$2)</f>
        <v>0</v>
      </c>
      <c r="AH31" s="23">
        <f>SUMPRODUCT(Table4[Probability]*Table4[Expected Revenue]*(Table4[Installation]=$B31)*(Table4[Projected 
Year]=AG$1)*(Table4[Projected 
Month]=AG$2))/MAX(1,SUMPRODUCT(Table4[Expected Revenue]*(Table4[Installation]=$B31)*(Table4[Projected 
Year]=AG$1)*(Table4[Projected 
Month]=AG$2)))</f>
        <v>0</v>
      </c>
      <c r="AI31" s="24">
        <f>SUMPRODUCT(Table4[Expected Revenue]*Table4[Expected CMR]*(Table4[Projected 
Year]=AG$1)*(Table4[Projected 
Month]=AG$2)*(Table4[Installation]=$B31))/MAX(1,AG31)</f>
        <v>0</v>
      </c>
      <c r="AJ31" s="27">
        <f>SUMIFS(Table4[Expected Revenue],Table4[Installation],$B31,Table4[Projected 
Year],AJ$1,Table4[Projected 
Month],AJ$2)</f>
        <v>0</v>
      </c>
      <c r="AK31" s="23">
        <f>SUMPRODUCT(Table4[Probability]*Table4[Expected Revenue]*(Table4[Installation]=$B31)*(Table4[Projected 
Year]=AJ$1)*(Table4[Projected 
Month]=AJ$2))/MAX(1,SUMPRODUCT(Table4[Expected Revenue]*(Table4[Installation]=$B31)*(Table4[Projected 
Year]=AJ$1)*(Table4[Projected 
Month]=AJ$2)))</f>
        <v>0</v>
      </c>
      <c r="AL31" s="24">
        <f>SUMPRODUCT(Table4[Expected Revenue]*Table4[Expected CMR]*(Table4[Projected 
Year]=AJ$1)*(Table4[Projected 
Month]=AJ$2)*(Table4[Installation]=$B31))/MAX(1,AJ31)</f>
        <v>0</v>
      </c>
      <c r="AM31" s="30">
        <f t="shared" si="20"/>
        <v>0</v>
      </c>
      <c r="AN31" s="52">
        <f t="shared" si="26"/>
        <v>0</v>
      </c>
      <c r="AO31" s="52">
        <f t="shared" si="26"/>
        <v>0</v>
      </c>
      <c r="AP31" s="27" t="e">
        <f>SUMIFS(#REF!,Table4[Installation],$B31,#REF!,AP$1,#REF!,AP$2)</f>
        <v>#REF!</v>
      </c>
      <c r="AQ31" s="21" t="e">
        <f>SUMIFS(#REF!,Table4[Installation],$B31,Table4[Projected 
Year],AP$1,#REF!,AP$2)</f>
        <v>#REF!</v>
      </c>
      <c r="AR31" s="24" t="e">
        <f t="shared" si="7"/>
        <v>#REF!</v>
      </c>
      <c r="AS31" s="27" t="e">
        <f>SUMIFS(#REF!,Table4[Installation],$B31,#REF!,AS$1,#REF!,AS$2)</f>
        <v>#REF!</v>
      </c>
      <c r="AT31" s="21" t="e">
        <f>SUMIFS(#REF!,Table4[Installation],$B31,Table4[Projected 
Year],AS$1,#REF!,AS$2)</f>
        <v>#REF!</v>
      </c>
      <c r="AU31" s="24" t="e">
        <f t="shared" si="8"/>
        <v>#REF!</v>
      </c>
      <c r="AV31" s="27" t="e">
        <f>SUMIFS(#REF!,Table4[Installation],$B31,#REF!,AV$1,#REF!,AV$2)</f>
        <v>#REF!</v>
      </c>
      <c r="AW31" s="21" t="e">
        <f>SUMIFS(#REF!,Table4[Installation],$B31,Table4[Projected 
Year],AV$1,#REF!,AV$2)</f>
        <v>#REF!</v>
      </c>
      <c r="AX31" s="24" t="e">
        <f t="shared" si="9"/>
        <v>#REF!</v>
      </c>
      <c r="AY31" s="27" t="e">
        <f>SUMIFS(#REF!,Table4[Installation],$B31,#REF!,AY$1,#REF!,AY$2)</f>
        <v>#REF!</v>
      </c>
      <c r="AZ31" s="21" t="e">
        <f>SUMIFS(#REF!,Table4[Installation],$B31,Table4[Projected 
Year],AY$1,#REF!,AY$2)</f>
        <v>#REF!</v>
      </c>
      <c r="BA31" s="24" t="e">
        <f t="shared" si="10"/>
        <v>#REF!</v>
      </c>
      <c r="BB31" s="27" t="e">
        <f>SUMIFS(#REF!,Table4[Installation],$B31,#REF!,BB$1,#REF!,BB$2)</f>
        <v>#REF!</v>
      </c>
      <c r="BC31" s="21" t="e">
        <f>SUMIFS(#REF!,Table4[Installation],$B31,Table4[Projected 
Year],BB$1,#REF!,BB$2)</f>
        <v>#REF!</v>
      </c>
      <c r="BD31" s="24" t="e">
        <f t="shared" si="11"/>
        <v>#REF!</v>
      </c>
      <c r="BE31" s="27" t="e">
        <f>SUMIFS(#REF!,Table4[Installation],$B31,#REF!,BE$1,#REF!,BE$2)</f>
        <v>#REF!</v>
      </c>
      <c r="BF31" s="21" t="e">
        <f>SUMIFS(#REF!,Table4[Installation],$B31,Table4[Projected 
Year],BE$1,#REF!,BE$2)</f>
        <v>#REF!</v>
      </c>
      <c r="BG31" s="24" t="e">
        <f t="shared" si="18"/>
        <v>#REF!</v>
      </c>
      <c r="BH31" s="27" t="e">
        <f>SUMIFS(#REF!,Table4[Installation],$B31,#REF!,BH$1,#REF!,BH$2)</f>
        <v>#REF!</v>
      </c>
      <c r="BI31" s="21" t="e">
        <f>SUMIFS(#REF!,Table4[Installation],$B31,Table4[Projected 
Year],BH$1,#REF!,BH$2)</f>
        <v>#REF!</v>
      </c>
      <c r="BJ31" s="24" t="e">
        <f t="shared" si="3"/>
        <v>#REF!</v>
      </c>
      <c r="BK31" s="27" t="e">
        <f>SUMIFS(#REF!,Table4[Installation],$B31,#REF!,BK$1,#REF!,BK$2)</f>
        <v>#REF!</v>
      </c>
      <c r="BL31" s="21" t="e">
        <f>SUMIFS(#REF!,Table4[Installation],$B31,Table4[Projected 
Year],BK$1,#REF!,BK$2)</f>
        <v>#REF!</v>
      </c>
      <c r="BM31" s="24" t="e">
        <f t="shared" si="13"/>
        <v>#REF!</v>
      </c>
      <c r="BN31" s="27" t="e">
        <f>SUMIFS(#REF!,Table4[Installation],$B31,#REF!,BN$1,#REF!,BN$2)</f>
        <v>#REF!</v>
      </c>
      <c r="BO31" s="21" t="e">
        <f>SUMIFS(#REF!,Table4[Installation],$B31,Table4[Projected 
Year],BN$1,#REF!,BN$2)</f>
        <v>#REF!</v>
      </c>
      <c r="BP31" s="24" t="e">
        <f t="shared" si="14"/>
        <v>#REF!</v>
      </c>
      <c r="BQ31" s="27" t="e">
        <f>SUMIFS(#REF!,Table4[Installation],$B31,#REF!,BQ$1,#REF!,BQ$2)</f>
        <v>#REF!</v>
      </c>
      <c r="BR31" s="21" t="e">
        <f>SUMIFS(#REF!,Table4[Installation],$B31,Table4[Projected 
Year],BQ$1,#REF!,BQ$2)</f>
        <v>#REF!</v>
      </c>
      <c r="BS31" s="24" t="e">
        <f t="shared" si="15"/>
        <v>#REF!</v>
      </c>
      <c r="BT31" s="27" t="e">
        <f>SUMIFS(#REF!,Table4[Installation],$B31,#REF!,BT$1,#REF!,BT$2)</f>
        <v>#REF!</v>
      </c>
      <c r="BU31" s="21" t="e">
        <f>SUMIFS(#REF!,Table4[Installation],$B31,Table4[Projected 
Year],BT$1,#REF!,BT$2)</f>
        <v>#REF!</v>
      </c>
      <c r="BV31" s="24" t="e">
        <f t="shared" si="16"/>
        <v>#REF!</v>
      </c>
      <c r="BW31" s="27" t="e">
        <f>SUMIFS(#REF!,Table4[Installation],$B31,#REF!,BW$1,#REF!,BW$2)</f>
        <v>#REF!</v>
      </c>
      <c r="BX31" s="21" t="e">
        <f>SUMIFS(#REF!,Table4[Installation],$B31,Table4[Projected 
Year],BW$1,#REF!,BW$2)</f>
        <v>#REF!</v>
      </c>
      <c r="BY31" s="24" t="e">
        <f t="shared" si="25"/>
        <v>#REF!</v>
      </c>
      <c r="BZ31" s="30" t="e">
        <f t="shared" si="22"/>
        <v>#REF!</v>
      </c>
      <c r="CA31" s="30" t="e">
        <f t="shared" si="23"/>
        <v>#REF!</v>
      </c>
      <c r="CB31" s="24" t="e">
        <f t="shared" si="24"/>
        <v>#REF!</v>
      </c>
      <c r="CC31" s="29"/>
    </row>
    <row r="32" spans="1:82">
      <c r="A32" s="18"/>
      <c r="B32" s="20" t="s">
        <v>319</v>
      </c>
      <c r="C32" s="27">
        <f>SUMIFS(Table4[Expected Revenue],Table4[Installation],$B32,Table4[Projected 
Year],C$1,Table4[Projected 
Month],C$2)</f>
        <v>0</v>
      </c>
      <c r="D32" s="23">
        <f>SUMPRODUCT(Table4[Probability]*Table4[Expected Revenue]*(Table4[Installation]=$B32)*(Table4[Projected 
Year]=C$1)*(Table4[Projected 
Month]=C$2))/MAX(1,SUMPRODUCT(Table4[Expected Revenue]*(Table4[Installation]=$B32)*(Table4[Projected 
Year]=C$1)*(Table4[Projected 
Month]=C$2)))</f>
        <v>0</v>
      </c>
      <c r="E32" s="24">
        <f>SUMPRODUCT(Table4[Expected Revenue]*Table4[Expected CMR]*(Table4[Projected 
Year]=C$1)*(Table4[Projected 
Month]=C$2)*(Table4[Installation]=$B32))/MAX(1,C32)</f>
        <v>0</v>
      </c>
      <c r="F32" s="27">
        <f>SUMIFS(Table4[Expected Revenue],Table4[Installation],$B32,Table4[Projected 
Year],F$1,Table4[Projected 
Month],F$2)</f>
        <v>0</v>
      </c>
      <c r="G32" s="23">
        <f>SUMPRODUCT(Table4[Probability]*Table4[Expected Revenue]*(Table4[Installation]=$B32)*(Table4[Projected 
Year]=F$1)*(Table4[Projected 
Month]=F$2))/MAX(1,SUMPRODUCT(Table4[Expected Revenue]*(Table4[Installation]=$B32)*(Table4[Projected 
Year]=F$1)*(Table4[Projected 
Month]=F$2)))</f>
        <v>0</v>
      </c>
      <c r="H32" s="24">
        <f>SUMPRODUCT(Table4[Expected Revenue]*Table4[Expected CMR]*(Table4[Projected 
Year]=F$1)*(Table4[Projected 
Month]=F$2)*(Table4[Installation]=$B32))/MAX(1,F32)</f>
        <v>0</v>
      </c>
      <c r="I32" s="27">
        <f>SUMIFS(Table4[Expected Revenue],Table4[Installation],$B32,Table4[Projected 
Year],I$1,Table4[Projected 
Month],I$2)</f>
        <v>0</v>
      </c>
      <c r="J32" s="23">
        <f>SUMPRODUCT(Table4[Probability]*Table4[Expected Revenue]*(Table4[Installation]=$B32)*(Table4[Projected 
Year]=I$1)*(Table4[Projected 
Month]=I$2))/MAX(1,SUMPRODUCT(Table4[Expected Revenue]*(Table4[Installation]=$B32)*(Table4[Projected 
Year]=I$1)*(Table4[Projected 
Month]=I$2)))</f>
        <v>0</v>
      </c>
      <c r="K32" s="24">
        <f>SUMPRODUCT(Table4[Expected Revenue]*Table4[Expected CMR]*(Table4[Projected 
Year]=I$1)*(Table4[Projected 
Month]=I$2)*(Table4[Installation]=$B32))/MAX(1,I32)</f>
        <v>0</v>
      </c>
      <c r="L32" s="27">
        <f>SUMIFS(Table4[Expected Revenue],Table4[Installation],$B32,Table4[Projected 
Year],L$1,Table4[Projected 
Month],L$2)</f>
        <v>0</v>
      </c>
      <c r="M32" s="23">
        <f>SUMPRODUCT(Table4[Probability]*Table4[Expected Revenue]*(Table4[Installation]=$B32)*(Table4[Projected 
Year]=L$1)*(Table4[Projected 
Month]=L$2))/MAX(1,SUMPRODUCT(Table4[Expected Revenue]*(Table4[Installation]=$B32)*(Table4[Projected 
Year]=L$1)*(Table4[Projected 
Month]=L$2)))</f>
        <v>0</v>
      </c>
      <c r="N32" s="24">
        <f>SUMPRODUCT(Table4[Expected Revenue]*Table4[Expected CMR]*(Table4[Projected 
Year]=L$1)*(Table4[Projected 
Month]=L$2)*(Table4[Installation]=$B32))/MAX(1,L32)</f>
        <v>0</v>
      </c>
      <c r="O32" s="27">
        <f>SUMIFS(Table4[Expected Revenue],Table4[Installation],$B32,Table4[Projected 
Year],O$1,Table4[Projected 
Month],O$2)</f>
        <v>0</v>
      </c>
      <c r="P32" s="23">
        <f>SUMPRODUCT(Table4[Probability]*Table4[Expected Revenue]*(Table4[Installation]=$B32)*(Table4[Projected 
Year]=O$1)*(Table4[Projected 
Month]=O$2))/MAX(1,SUMPRODUCT(Table4[Expected Revenue]*(Table4[Installation]=$B32)*(Table4[Projected 
Year]=O$1)*(Table4[Projected 
Month]=O$2)))</f>
        <v>0</v>
      </c>
      <c r="Q32" s="24">
        <f>SUMPRODUCT(Table4[Expected Revenue]*Table4[Expected CMR]*(Table4[Projected 
Year]=O$1)*(Table4[Projected 
Month]=O$2)*(Table4[Installation]=$B32))/MAX(1,O32)</f>
        <v>0</v>
      </c>
      <c r="R32" s="27">
        <f>SUMIFS(Table4[Expected Revenue],Table4[Installation],$B32,Table4[Projected 
Year],R$1,Table4[Projected 
Month],R$2)</f>
        <v>0</v>
      </c>
      <c r="S32" s="23">
        <f>SUMPRODUCT(Table4[Probability]*Table4[Expected Revenue]*(Table4[Installation]=$B32)*(Table4[Projected 
Year]=R$1)*(Table4[Projected 
Month]=R$2))/MAX(1,SUMPRODUCT(Table4[Expected Revenue]*(Table4[Installation]=$B32)*(Table4[Projected 
Year]=R$1)*(Table4[Projected 
Month]=R$2)))</f>
        <v>0</v>
      </c>
      <c r="T32" s="24">
        <f>SUMPRODUCT(Table4[Expected Revenue]*Table4[Expected CMR]*(Table4[Projected 
Year]=R$1)*(Table4[Projected 
Month]=R$2)*(Table4[Installation]=$B32))/MAX(1,R32)</f>
        <v>0</v>
      </c>
      <c r="U32" s="27">
        <f>SUMIFS(Table4[Expected Revenue],Table4[Installation],$B32,Table4[Projected 
Year],U$1,Table4[Projected 
Month],U$2)</f>
        <v>0</v>
      </c>
      <c r="V32" s="23">
        <f>SUMPRODUCT(Table4[Probability]*Table4[Expected Revenue]*(Table4[Installation]=$B32)*(Table4[Projected 
Year]=U$1)*(Table4[Projected 
Month]=U$2))/MAX(1,SUMPRODUCT(Table4[Expected Revenue]*(Table4[Installation]=$B32)*(Table4[Projected 
Year]=U$1)*(Table4[Projected 
Month]=U$2)))</f>
        <v>0</v>
      </c>
      <c r="W32" s="24">
        <f>SUMPRODUCT(Table4[Expected Revenue]*Table4[Expected CMR]*(Table4[Projected 
Year]=U$1)*(Table4[Projected 
Month]=U$2)*(Table4[Installation]=$B32))/MAX(1,U32)</f>
        <v>0</v>
      </c>
      <c r="X32" s="27">
        <f>SUMIFS(Table4[Expected Revenue],Table4[Installation],$B32,Table4[Projected 
Year],X$1,Table4[Projected 
Month],X$2)</f>
        <v>0</v>
      </c>
      <c r="Y32" s="23">
        <f>SUMPRODUCT(Table4[Probability]*Table4[Expected Revenue]*(Table4[Installation]=$B32)*(Table4[Projected 
Year]=X$1)*(Table4[Projected 
Month]=X$2))/MAX(1,SUMPRODUCT(Table4[Expected Revenue]*(Table4[Installation]=$B32)*(Table4[Projected 
Year]=X$1)*(Table4[Projected 
Month]=X$2)))</f>
        <v>0</v>
      </c>
      <c r="Z32" s="24">
        <f>SUMPRODUCT(Table4[Expected Revenue]*Table4[Expected CMR]*(Table4[Projected 
Year]=X$1)*(Table4[Projected 
Month]=X$2)*(Table4[Installation]=$B32))/MAX(1,X32)</f>
        <v>0</v>
      </c>
      <c r="AA32" s="27">
        <f>SUMIFS(Table4[Expected Revenue],Table4[Installation],$B32,Table4[Projected 
Year],AA$1,Table4[Projected 
Month],AA$2)</f>
        <v>0</v>
      </c>
      <c r="AB32" s="23">
        <f>SUMPRODUCT(Table4[Probability]*Table4[Expected Revenue]*(Table4[Installation]=$B32)*(Table4[Projected 
Year]=AA$1)*(Table4[Projected 
Month]=AA$2))/MAX(1,SUMPRODUCT(Table4[Expected Revenue]*(Table4[Installation]=$B32)*(Table4[Projected 
Year]=AA$1)*(Table4[Projected 
Month]=AA$2)))</f>
        <v>0</v>
      </c>
      <c r="AC32" s="24">
        <f>SUMPRODUCT(Table4[Expected Revenue]*Table4[Expected CMR]*(Table4[Projected 
Year]=AA$1)*(Table4[Projected 
Month]=AA$2)*(Table4[Installation]=$B32))/MAX(1,AA32)</f>
        <v>0</v>
      </c>
      <c r="AD32" s="27">
        <f>SUMIFS(Table4[Expected Revenue],Table4[Installation],$B32,Table4[Projected 
Year],AD$1,Table4[Projected 
Month],AD$2)</f>
        <v>0</v>
      </c>
      <c r="AE32" s="23">
        <f>SUMPRODUCT(Table4[Probability]*Table4[Expected Revenue]*(Table4[Installation]=$B32)*(Table4[Projected 
Year]=AD$1)*(Table4[Projected 
Month]=AD$2))/MAX(1,SUMPRODUCT(Table4[Expected Revenue]*(Table4[Installation]=$B32)*(Table4[Projected 
Year]=AD$1)*(Table4[Projected 
Month]=AD$2)))</f>
        <v>0</v>
      </c>
      <c r="AF32" s="24">
        <f>SUMPRODUCT(Table4[Expected Revenue]*Table4[Expected CMR]*(Table4[Projected 
Year]=AD$1)*(Table4[Projected 
Month]=AD$2)*(Table4[Installation]=$B32))/MAX(1,AD32)</f>
        <v>0</v>
      </c>
      <c r="AG32" s="27">
        <f>SUMIFS(Table4[Expected Revenue],Table4[Installation],$B32,Table4[Projected 
Year],AG$1,Table4[Projected 
Month],AG$2)</f>
        <v>0</v>
      </c>
      <c r="AH32" s="23">
        <f>SUMPRODUCT(Table4[Probability]*Table4[Expected Revenue]*(Table4[Installation]=$B32)*(Table4[Projected 
Year]=AG$1)*(Table4[Projected 
Month]=AG$2))/MAX(1,SUMPRODUCT(Table4[Expected Revenue]*(Table4[Installation]=$B32)*(Table4[Projected 
Year]=AG$1)*(Table4[Projected 
Month]=AG$2)))</f>
        <v>0</v>
      </c>
      <c r="AI32" s="24">
        <f>SUMPRODUCT(Table4[Expected Revenue]*Table4[Expected CMR]*(Table4[Projected 
Year]=AG$1)*(Table4[Projected 
Month]=AG$2)*(Table4[Installation]=$B32))/MAX(1,AG32)</f>
        <v>0</v>
      </c>
      <c r="AJ32" s="27">
        <f>SUMIFS(Table4[Expected Revenue],Table4[Installation],$B32,Table4[Projected 
Year],AJ$1,Table4[Projected 
Month],AJ$2)</f>
        <v>0</v>
      </c>
      <c r="AK32" s="23">
        <f>SUMPRODUCT(Table4[Probability]*Table4[Expected Revenue]*(Table4[Installation]=$B32)*(Table4[Projected 
Year]=AJ$1)*(Table4[Projected 
Month]=AJ$2))/MAX(1,SUMPRODUCT(Table4[Expected Revenue]*(Table4[Installation]=$B32)*(Table4[Projected 
Year]=AJ$1)*(Table4[Projected 
Month]=AJ$2)))</f>
        <v>0</v>
      </c>
      <c r="AL32" s="24">
        <f>SUMPRODUCT(Table4[Expected Revenue]*Table4[Expected CMR]*(Table4[Projected 
Year]=AJ$1)*(Table4[Projected 
Month]=AJ$2)*(Table4[Installation]=$B32))/MAX(1,AJ32)</f>
        <v>0</v>
      </c>
      <c r="AM32" s="30">
        <f t="shared" si="20"/>
        <v>0</v>
      </c>
      <c r="AN32" s="52">
        <f t="shared" si="26"/>
        <v>0</v>
      </c>
      <c r="AO32" s="52">
        <f t="shared" si="26"/>
        <v>0</v>
      </c>
      <c r="AP32" s="27" t="e">
        <f>SUMIFS(#REF!,Table4[Installation],$B32,#REF!,AP$1,#REF!,AP$2)</f>
        <v>#REF!</v>
      </c>
      <c r="AQ32" s="21" t="e">
        <f>SUMIFS(#REF!,Table4[Installation],$B32,Table4[Projected 
Year],AP$1,#REF!,AP$2)</f>
        <v>#REF!</v>
      </c>
      <c r="AR32" s="24" t="e">
        <f t="shared" si="7"/>
        <v>#REF!</v>
      </c>
      <c r="AS32" s="27" t="e">
        <f>SUMIFS(#REF!,Table4[Installation],$B32,#REF!,AS$1,#REF!,AS$2)</f>
        <v>#REF!</v>
      </c>
      <c r="AT32" s="21" t="e">
        <f>SUMIFS(#REF!,Table4[Installation],$B32,Table4[Projected 
Year],AS$1,#REF!,AS$2)</f>
        <v>#REF!</v>
      </c>
      <c r="AU32" s="24" t="e">
        <f t="shared" si="8"/>
        <v>#REF!</v>
      </c>
      <c r="AV32" s="27" t="e">
        <f>SUMIFS(#REF!,Table4[Installation],$B32,#REF!,AV$1,#REF!,AV$2)</f>
        <v>#REF!</v>
      </c>
      <c r="AW32" s="21" t="e">
        <f>SUMIFS(#REF!,Table4[Installation],$B32,Table4[Projected 
Year],AV$1,#REF!,AV$2)</f>
        <v>#REF!</v>
      </c>
      <c r="AX32" s="24" t="e">
        <f t="shared" si="9"/>
        <v>#REF!</v>
      </c>
      <c r="AY32" s="27" t="e">
        <f>SUMIFS(#REF!,Table4[Installation],$B32,#REF!,AY$1,#REF!,AY$2)</f>
        <v>#REF!</v>
      </c>
      <c r="AZ32" s="21" t="e">
        <f>SUMIFS(#REF!,Table4[Installation],$B32,Table4[Projected 
Year],AY$1,#REF!,AY$2)</f>
        <v>#REF!</v>
      </c>
      <c r="BA32" s="24" t="e">
        <f t="shared" si="10"/>
        <v>#REF!</v>
      </c>
      <c r="BB32" s="27" t="e">
        <f>SUMIFS(#REF!,Table4[Installation],$B32,#REF!,BB$1,#REF!,BB$2)</f>
        <v>#REF!</v>
      </c>
      <c r="BC32" s="21" t="e">
        <f>SUMIFS(#REF!,Table4[Installation],$B32,Table4[Projected 
Year],BB$1,#REF!,BB$2)</f>
        <v>#REF!</v>
      </c>
      <c r="BD32" s="24" t="e">
        <f t="shared" si="11"/>
        <v>#REF!</v>
      </c>
      <c r="BE32" s="27" t="e">
        <f>SUMIFS(#REF!,Table4[Installation],$B32,#REF!,BE$1,#REF!,BE$2)</f>
        <v>#REF!</v>
      </c>
      <c r="BF32" s="21" t="e">
        <f>SUMIFS(#REF!,Table4[Installation],$B32,Table4[Projected 
Year],BE$1,#REF!,BE$2)</f>
        <v>#REF!</v>
      </c>
      <c r="BG32" s="24" t="e">
        <f t="shared" si="18"/>
        <v>#REF!</v>
      </c>
      <c r="BH32" s="27" t="e">
        <f>SUMIFS(#REF!,Table4[Installation],$B32,#REF!,BH$1,#REF!,BH$2)</f>
        <v>#REF!</v>
      </c>
      <c r="BI32" s="21" t="e">
        <f>SUMIFS(#REF!,Table4[Installation],$B32,Table4[Projected 
Year],BH$1,#REF!,BH$2)</f>
        <v>#REF!</v>
      </c>
      <c r="BJ32" s="24" t="e">
        <f t="shared" si="3"/>
        <v>#REF!</v>
      </c>
      <c r="BK32" s="27" t="e">
        <f>SUMIFS(#REF!,Table4[Installation],$B32,#REF!,BK$1,#REF!,BK$2)</f>
        <v>#REF!</v>
      </c>
      <c r="BL32" s="21" t="e">
        <f>SUMIFS(#REF!,Table4[Installation],$B32,Table4[Projected 
Year],BK$1,#REF!,BK$2)</f>
        <v>#REF!</v>
      </c>
      <c r="BM32" s="24" t="e">
        <f t="shared" si="13"/>
        <v>#REF!</v>
      </c>
      <c r="BN32" s="27" t="e">
        <f>SUMIFS(#REF!,Table4[Installation],$B32,#REF!,BN$1,#REF!,BN$2)</f>
        <v>#REF!</v>
      </c>
      <c r="BO32" s="21" t="e">
        <f>SUMIFS(#REF!,Table4[Installation],$B32,Table4[Projected 
Year],BN$1,#REF!,BN$2)</f>
        <v>#REF!</v>
      </c>
      <c r="BP32" s="24" t="e">
        <f t="shared" ref="BP32:BP51" si="27">IF(BN32=0,IF(BO32=0,"-",0),1-(BO32/BN32))</f>
        <v>#REF!</v>
      </c>
      <c r="BQ32" s="27" t="e">
        <f>SUMIFS(#REF!,Table4[Installation],$B32,#REF!,BQ$1,#REF!,BQ$2)</f>
        <v>#REF!</v>
      </c>
      <c r="BR32" s="21" t="e">
        <f>SUMIFS(#REF!,Table4[Installation],$B32,Table4[Projected 
Year],BQ$1,#REF!,BQ$2)</f>
        <v>#REF!</v>
      </c>
      <c r="BS32" s="24" t="e">
        <f t="shared" si="15"/>
        <v>#REF!</v>
      </c>
      <c r="BT32" s="27" t="e">
        <f>SUMIFS(#REF!,Table4[Installation],$B32,#REF!,BT$1,#REF!,BT$2)</f>
        <v>#REF!</v>
      </c>
      <c r="BU32" s="21" t="e">
        <f>SUMIFS(#REF!,Table4[Installation],$B32,Table4[Projected 
Year],BT$1,#REF!,BT$2)</f>
        <v>#REF!</v>
      </c>
      <c r="BV32" s="24" t="e">
        <f t="shared" si="16"/>
        <v>#REF!</v>
      </c>
      <c r="BW32" s="27" t="e">
        <f>SUMIFS(#REF!,Table4[Installation],$B32,#REF!,BW$1,#REF!,BW$2)</f>
        <v>#REF!</v>
      </c>
      <c r="BX32" s="21" t="e">
        <f>SUMIFS(#REF!,Table4[Installation],$B32,Table4[Projected 
Year],BW$1,#REF!,BW$2)</f>
        <v>#REF!</v>
      </c>
      <c r="BY32" s="24" t="e">
        <f t="shared" si="25"/>
        <v>#REF!</v>
      </c>
      <c r="BZ32" s="30" t="e">
        <f t="shared" si="22"/>
        <v>#REF!</v>
      </c>
      <c r="CA32" s="30" t="e">
        <f t="shared" si="23"/>
        <v>#REF!</v>
      </c>
      <c r="CB32" s="24" t="e">
        <f t="shared" si="24"/>
        <v>#REF!</v>
      </c>
      <c r="CC32" s="29"/>
    </row>
    <row r="33" spans="1:81">
      <c r="A33" s="18"/>
      <c r="B33" s="20" t="s">
        <v>320</v>
      </c>
      <c r="C33" s="27">
        <f>SUMIFS(Table4[Expected Revenue],Table4[Installation],$B33,Table4[Projected 
Year],C$1,Table4[Projected 
Month],C$2)</f>
        <v>0</v>
      </c>
      <c r="D33" s="23">
        <f>SUMPRODUCT(Table4[Probability]*Table4[Expected Revenue]*(Table4[Installation]=$B33)*(Table4[Projected 
Year]=C$1)*(Table4[Projected 
Month]=C$2))/MAX(1,SUMPRODUCT(Table4[Expected Revenue]*(Table4[Installation]=$B33)*(Table4[Projected 
Year]=C$1)*(Table4[Projected 
Month]=C$2)))</f>
        <v>0</v>
      </c>
      <c r="E33" s="24">
        <f>SUMPRODUCT(Table4[Expected Revenue]*Table4[Expected CMR]*(Table4[Projected 
Year]=C$1)*(Table4[Projected 
Month]=C$2)*(Table4[Installation]=$B33))/MAX(1,C33)</f>
        <v>0</v>
      </c>
      <c r="F33" s="27">
        <f>SUMIFS(Table4[Expected Revenue],Table4[Installation],$B33,Table4[Projected 
Year],F$1,Table4[Projected 
Month],F$2)</f>
        <v>0</v>
      </c>
      <c r="G33" s="23">
        <f>SUMPRODUCT(Table4[Probability]*Table4[Expected Revenue]*(Table4[Installation]=$B33)*(Table4[Projected 
Year]=F$1)*(Table4[Projected 
Month]=F$2))/MAX(1,SUMPRODUCT(Table4[Expected Revenue]*(Table4[Installation]=$B33)*(Table4[Projected 
Year]=F$1)*(Table4[Projected 
Month]=F$2)))</f>
        <v>0</v>
      </c>
      <c r="H33" s="24">
        <f>SUMPRODUCT(Table4[Expected Revenue]*Table4[Expected CMR]*(Table4[Projected 
Year]=F$1)*(Table4[Projected 
Month]=F$2)*(Table4[Installation]=$B33))/MAX(1,F33)</f>
        <v>0</v>
      </c>
      <c r="I33" s="27">
        <f>SUMIFS(Table4[Expected Revenue],Table4[Installation],$B33,Table4[Projected 
Year],I$1,Table4[Projected 
Month],I$2)</f>
        <v>0</v>
      </c>
      <c r="J33" s="23">
        <f>SUMPRODUCT(Table4[Probability]*Table4[Expected Revenue]*(Table4[Installation]=$B33)*(Table4[Projected 
Year]=I$1)*(Table4[Projected 
Month]=I$2))/MAX(1,SUMPRODUCT(Table4[Expected Revenue]*(Table4[Installation]=$B33)*(Table4[Projected 
Year]=I$1)*(Table4[Projected 
Month]=I$2)))</f>
        <v>0</v>
      </c>
      <c r="K33" s="24">
        <f>SUMPRODUCT(Table4[Expected Revenue]*Table4[Expected CMR]*(Table4[Projected 
Year]=I$1)*(Table4[Projected 
Month]=I$2)*(Table4[Installation]=$B33))/MAX(1,I33)</f>
        <v>0</v>
      </c>
      <c r="L33" s="27">
        <f>SUMIFS(Table4[Expected Revenue],Table4[Installation],$B33,Table4[Projected 
Year],L$1,Table4[Projected 
Month],L$2)</f>
        <v>0</v>
      </c>
      <c r="M33" s="23">
        <f>SUMPRODUCT(Table4[Probability]*Table4[Expected Revenue]*(Table4[Installation]=$B33)*(Table4[Projected 
Year]=L$1)*(Table4[Projected 
Month]=L$2))/MAX(1,SUMPRODUCT(Table4[Expected Revenue]*(Table4[Installation]=$B33)*(Table4[Projected 
Year]=L$1)*(Table4[Projected 
Month]=L$2)))</f>
        <v>0</v>
      </c>
      <c r="N33" s="24">
        <f>SUMPRODUCT(Table4[Expected Revenue]*Table4[Expected CMR]*(Table4[Projected 
Year]=L$1)*(Table4[Projected 
Month]=L$2)*(Table4[Installation]=$B33))/MAX(1,L33)</f>
        <v>0</v>
      </c>
      <c r="O33" s="27">
        <f>SUMIFS(Table4[Expected Revenue],Table4[Installation],$B33,Table4[Projected 
Year],O$1,Table4[Projected 
Month],O$2)</f>
        <v>0</v>
      </c>
      <c r="P33" s="23">
        <f>SUMPRODUCT(Table4[Probability]*Table4[Expected Revenue]*(Table4[Installation]=$B33)*(Table4[Projected 
Year]=O$1)*(Table4[Projected 
Month]=O$2))/MAX(1,SUMPRODUCT(Table4[Expected Revenue]*(Table4[Installation]=$B33)*(Table4[Projected 
Year]=O$1)*(Table4[Projected 
Month]=O$2)))</f>
        <v>0</v>
      </c>
      <c r="Q33" s="24">
        <f>SUMPRODUCT(Table4[Expected Revenue]*Table4[Expected CMR]*(Table4[Projected 
Year]=O$1)*(Table4[Projected 
Month]=O$2)*(Table4[Installation]=$B33))/MAX(1,O33)</f>
        <v>0</v>
      </c>
      <c r="R33" s="27">
        <f>SUMIFS(Table4[Expected Revenue],Table4[Installation],$B33,Table4[Projected 
Year],R$1,Table4[Projected 
Month],R$2)</f>
        <v>0</v>
      </c>
      <c r="S33" s="23">
        <f>SUMPRODUCT(Table4[Probability]*Table4[Expected Revenue]*(Table4[Installation]=$B33)*(Table4[Projected 
Year]=R$1)*(Table4[Projected 
Month]=R$2))/MAX(1,SUMPRODUCT(Table4[Expected Revenue]*(Table4[Installation]=$B33)*(Table4[Projected 
Year]=R$1)*(Table4[Projected 
Month]=R$2)))</f>
        <v>0</v>
      </c>
      <c r="T33" s="24">
        <f>SUMPRODUCT(Table4[Expected Revenue]*Table4[Expected CMR]*(Table4[Projected 
Year]=R$1)*(Table4[Projected 
Month]=R$2)*(Table4[Installation]=$B33))/MAX(1,R33)</f>
        <v>0</v>
      </c>
      <c r="U33" s="27">
        <f>SUMIFS(Table4[Expected Revenue],Table4[Installation],$B33,Table4[Projected 
Year],U$1,Table4[Projected 
Month],U$2)</f>
        <v>0</v>
      </c>
      <c r="V33" s="23">
        <f>SUMPRODUCT(Table4[Probability]*Table4[Expected Revenue]*(Table4[Installation]=$B33)*(Table4[Projected 
Year]=U$1)*(Table4[Projected 
Month]=U$2))/MAX(1,SUMPRODUCT(Table4[Expected Revenue]*(Table4[Installation]=$B33)*(Table4[Projected 
Year]=U$1)*(Table4[Projected 
Month]=U$2)))</f>
        <v>0</v>
      </c>
      <c r="W33" s="24">
        <f>SUMPRODUCT(Table4[Expected Revenue]*Table4[Expected CMR]*(Table4[Projected 
Year]=U$1)*(Table4[Projected 
Month]=U$2)*(Table4[Installation]=$B33))/MAX(1,U33)</f>
        <v>0</v>
      </c>
      <c r="X33" s="27">
        <f>SUMIFS(Table4[Expected Revenue],Table4[Installation],$B33,Table4[Projected 
Year],X$1,Table4[Projected 
Month],X$2)</f>
        <v>0</v>
      </c>
      <c r="Y33" s="23">
        <f>SUMPRODUCT(Table4[Probability]*Table4[Expected Revenue]*(Table4[Installation]=$B33)*(Table4[Projected 
Year]=X$1)*(Table4[Projected 
Month]=X$2))/MAX(1,SUMPRODUCT(Table4[Expected Revenue]*(Table4[Installation]=$B33)*(Table4[Projected 
Year]=X$1)*(Table4[Projected 
Month]=X$2)))</f>
        <v>0</v>
      </c>
      <c r="Z33" s="24">
        <f>SUMPRODUCT(Table4[Expected Revenue]*Table4[Expected CMR]*(Table4[Projected 
Year]=X$1)*(Table4[Projected 
Month]=X$2)*(Table4[Installation]=$B33))/MAX(1,X33)</f>
        <v>0</v>
      </c>
      <c r="AA33" s="27">
        <f>SUMIFS(Table4[Expected Revenue],Table4[Installation],$B33,Table4[Projected 
Year],AA$1,Table4[Projected 
Month],AA$2)</f>
        <v>0</v>
      </c>
      <c r="AB33" s="23">
        <f>SUMPRODUCT(Table4[Probability]*Table4[Expected Revenue]*(Table4[Installation]=$B33)*(Table4[Projected 
Year]=AA$1)*(Table4[Projected 
Month]=AA$2))/MAX(1,SUMPRODUCT(Table4[Expected Revenue]*(Table4[Installation]=$B33)*(Table4[Projected 
Year]=AA$1)*(Table4[Projected 
Month]=AA$2)))</f>
        <v>0</v>
      </c>
      <c r="AC33" s="24">
        <f>SUMPRODUCT(Table4[Expected Revenue]*Table4[Expected CMR]*(Table4[Projected 
Year]=AA$1)*(Table4[Projected 
Month]=AA$2)*(Table4[Installation]=$B33))/MAX(1,AA33)</f>
        <v>0</v>
      </c>
      <c r="AD33" s="27">
        <f>SUMIFS(Table4[Expected Revenue],Table4[Installation],$B33,Table4[Projected 
Year],AD$1,Table4[Projected 
Month],AD$2)</f>
        <v>0</v>
      </c>
      <c r="AE33" s="23">
        <f>SUMPRODUCT(Table4[Probability]*Table4[Expected Revenue]*(Table4[Installation]=$B33)*(Table4[Projected 
Year]=AD$1)*(Table4[Projected 
Month]=AD$2))/MAX(1,SUMPRODUCT(Table4[Expected Revenue]*(Table4[Installation]=$B33)*(Table4[Projected 
Year]=AD$1)*(Table4[Projected 
Month]=AD$2)))</f>
        <v>0</v>
      </c>
      <c r="AF33" s="24">
        <f>SUMPRODUCT(Table4[Expected Revenue]*Table4[Expected CMR]*(Table4[Projected 
Year]=AD$1)*(Table4[Projected 
Month]=AD$2)*(Table4[Installation]=$B33))/MAX(1,AD33)</f>
        <v>0</v>
      </c>
      <c r="AG33" s="27">
        <f>SUMIFS(Table4[Expected Revenue],Table4[Installation],$B33,Table4[Projected 
Year],AG$1,Table4[Projected 
Month],AG$2)</f>
        <v>0</v>
      </c>
      <c r="AH33" s="23">
        <f>SUMPRODUCT(Table4[Probability]*Table4[Expected Revenue]*(Table4[Installation]=$B33)*(Table4[Projected 
Year]=AG$1)*(Table4[Projected 
Month]=AG$2))/MAX(1,SUMPRODUCT(Table4[Expected Revenue]*(Table4[Installation]=$B33)*(Table4[Projected 
Year]=AG$1)*(Table4[Projected 
Month]=AG$2)))</f>
        <v>0</v>
      </c>
      <c r="AI33" s="24">
        <f>SUMPRODUCT(Table4[Expected Revenue]*Table4[Expected CMR]*(Table4[Projected 
Year]=AG$1)*(Table4[Projected 
Month]=AG$2)*(Table4[Installation]=$B33))/MAX(1,AG33)</f>
        <v>0</v>
      </c>
      <c r="AJ33" s="27">
        <f>SUMIFS(Table4[Expected Revenue],Table4[Installation],$B33,Table4[Projected 
Year],AJ$1,Table4[Projected 
Month],AJ$2)</f>
        <v>0</v>
      </c>
      <c r="AK33" s="23">
        <f>SUMPRODUCT(Table4[Probability]*Table4[Expected Revenue]*(Table4[Installation]=$B33)*(Table4[Projected 
Year]=AJ$1)*(Table4[Projected 
Month]=AJ$2))/MAX(1,SUMPRODUCT(Table4[Expected Revenue]*(Table4[Installation]=$B33)*(Table4[Projected 
Year]=AJ$1)*(Table4[Projected 
Month]=AJ$2)))</f>
        <v>0</v>
      </c>
      <c r="AL33" s="24">
        <f>SUMPRODUCT(Table4[Expected Revenue]*Table4[Expected CMR]*(Table4[Projected 
Year]=AJ$1)*(Table4[Projected 
Month]=AJ$2)*(Table4[Installation]=$B33))/MAX(1,AJ33)</f>
        <v>0</v>
      </c>
      <c r="AM33" s="30">
        <f t="shared" si="20"/>
        <v>0</v>
      </c>
      <c r="AN33" s="52">
        <f t="shared" si="26"/>
        <v>0</v>
      </c>
      <c r="AO33" s="52">
        <f t="shared" si="26"/>
        <v>0</v>
      </c>
      <c r="AP33" s="27" t="e">
        <f>SUMIFS(#REF!,Table4[Installation],$B33,#REF!,AP$1,#REF!,AP$2)</f>
        <v>#REF!</v>
      </c>
      <c r="AQ33" s="21" t="e">
        <f>SUMIFS(#REF!,Table4[Installation],$B33,Table4[Projected 
Year],AP$1,#REF!,AP$2)</f>
        <v>#REF!</v>
      </c>
      <c r="AR33" s="24" t="e">
        <f t="shared" si="7"/>
        <v>#REF!</v>
      </c>
      <c r="AS33" s="27" t="e">
        <f>SUMIFS(#REF!,Table4[Installation],$B33,#REF!,AS$1,#REF!,AS$2)</f>
        <v>#REF!</v>
      </c>
      <c r="AT33" s="21" t="e">
        <f>SUMIFS(#REF!,Table4[Installation],$B33,Table4[Projected 
Year],AS$1,#REF!,AS$2)</f>
        <v>#REF!</v>
      </c>
      <c r="AU33" s="24" t="e">
        <f t="shared" si="8"/>
        <v>#REF!</v>
      </c>
      <c r="AV33" s="27" t="e">
        <f>SUMIFS(#REF!,Table4[Installation],$B33,#REF!,AV$1,#REF!,AV$2)</f>
        <v>#REF!</v>
      </c>
      <c r="AW33" s="21" t="e">
        <f>SUMIFS(#REF!,Table4[Installation],$B33,Table4[Projected 
Year],AV$1,#REF!,AV$2)</f>
        <v>#REF!</v>
      </c>
      <c r="AX33" s="24" t="e">
        <f t="shared" si="9"/>
        <v>#REF!</v>
      </c>
      <c r="AY33" s="27" t="e">
        <f>SUMIFS(#REF!,Table4[Installation],$B33,#REF!,AY$1,#REF!,AY$2)</f>
        <v>#REF!</v>
      </c>
      <c r="AZ33" s="21" t="e">
        <f>SUMIFS(#REF!,Table4[Installation],$B33,Table4[Projected 
Year],AY$1,#REF!,AY$2)</f>
        <v>#REF!</v>
      </c>
      <c r="BA33" s="24" t="e">
        <f t="shared" si="10"/>
        <v>#REF!</v>
      </c>
      <c r="BB33" s="27" t="e">
        <f>SUMIFS(#REF!,Table4[Installation],$B33,#REF!,BB$1,#REF!,BB$2)</f>
        <v>#REF!</v>
      </c>
      <c r="BC33" s="21" t="e">
        <f>SUMIFS(#REF!,Table4[Installation],$B33,Table4[Projected 
Year],BB$1,#REF!,BB$2)</f>
        <v>#REF!</v>
      </c>
      <c r="BD33" s="24" t="e">
        <f t="shared" si="11"/>
        <v>#REF!</v>
      </c>
      <c r="BE33" s="27" t="e">
        <f>SUMIFS(#REF!,Table4[Installation],$B33,#REF!,BE$1,#REF!,BE$2)</f>
        <v>#REF!</v>
      </c>
      <c r="BF33" s="21" t="e">
        <f>SUMIFS(#REF!,Table4[Installation],$B33,Table4[Projected 
Year],BE$1,#REF!,BE$2)</f>
        <v>#REF!</v>
      </c>
      <c r="BG33" s="24" t="e">
        <f t="shared" si="18"/>
        <v>#REF!</v>
      </c>
      <c r="BH33" s="27" t="e">
        <f>SUMIFS(#REF!,Table4[Installation],$B33,#REF!,BH$1,#REF!,BH$2)</f>
        <v>#REF!</v>
      </c>
      <c r="BI33" s="21" t="e">
        <f>SUMIFS(#REF!,Table4[Installation],$B33,Table4[Projected 
Year],BH$1,#REF!,BH$2)</f>
        <v>#REF!</v>
      </c>
      <c r="BJ33" s="24" t="e">
        <f t="shared" si="3"/>
        <v>#REF!</v>
      </c>
      <c r="BK33" s="27" t="e">
        <f>SUMIFS(#REF!,Table4[Installation],$B33,#REF!,BK$1,#REF!,BK$2)</f>
        <v>#REF!</v>
      </c>
      <c r="BL33" s="21" t="e">
        <f>SUMIFS(#REF!,Table4[Installation],$B33,Table4[Projected 
Year],BK$1,#REF!,BK$2)</f>
        <v>#REF!</v>
      </c>
      <c r="BM33" s="24" t="e">
        <f t="shared" si="13"/>
        <v>#REF!</v>
      </c>
      <c r="BN33" s="27" t="e">
        <f>SUMIFS(#REF!,Table4[Installation],$B33,#REF!,BN$1,#REF!,BN$2)</f>
        <v>#REF!</v>
      </c>
      <c r="BO33" s="21" t="e">
        <f>SUMIFS(#REF!,Table4[Installation],$B33,Table4[Projected 
Year],BN$1,#REF!,BN$2)</f>
        <v>#REF!</v>
      </c>
      <c r="BP33" s="24" t="e">
        <f t="shared" si="27"/>
        <v>#REF!</v>
      </c>
      <c r="BQ33" s="27" t="e">
        <f>SUMIFS(#REF!,Table4[Installation],$B33,#REF!,BQ$1,#REF!,BQ$2)</f>
        <v>#REF!</v>
      </c>
      <c r="BR33" s="21" t="e">
        <f>SUMIFS(#REF!,Table4[Installation],$B33,Table4[Projected 
Year],BQ$1,#REF!,BQ$2)</f>
        <v>#REF!</v>
      </c>
      <c r="BS33" s="24" t="e">
        <f t="shared" si="15"/>
        <v>#REF!</v>
      </c>
      <c r="BT33" s="27" t="e">
        <f>SUMIFS(#REF!,Table4[Installation],$B33,#REF!,BT$1,#REF!,BT$2)</f>
        <v>#REF!</v>
      </c>
      <c r="BU33" s="21" t="e">
        <f>SUMIFS(#REF!,Table4[Installation],$B33,Table4[Projected 
Year],BT$1,#REF!,BT$2)</f>
        <v>#REF!</v>
      </c>
      <c r="BV33" s="24" t="e">
        <f t="shared" si="16"/>
        <v>#REF!</v>
      </c>
      <c r="BW33" s="27" t="e">
        <f>SUMIFS(#REF!,Table4[Installation],$B33,#REF!,BW$1,#REF!,BW$2)</f>
        <v>#REF!</v>
      </c>
      <c r="BX33" s="21" t="e">
        <f>SUMIFS(#REF!,Table4[Installation],$B33,Table4[Projected 
Year],BW$1,#REF!,BW$2)</f>
        <v>#REF!</v>
      </c>
      <c r="BY33" s="24" t="e">
        <f t="shared" si="25"/>
        <v>#REF!</v>
      </c>
      <c r="BZ33" s="30" t="e">
        <f t="shared" si="22"/>
        <v>#REF!</v>
      </c>
      <c r="CA33" s="30" t="e">
        <f t="shared" si="23"/>
        <v>#REF!</v>
      </c>
      <c r="CB33" s="24" t="e">
        <f t="shared" si="24"/>
        <v>#REF!</v>
      </c>
      <c r="CC33" s="29"/>
    </row>
    <row r="34" spans="1:81">
      <c r="A34" s="18"/>
      <c r="B34" s="20" t="s">
        <v>321</v>
      </c>
      <c r="C34" s="27">
        <f>SUMIFS(Table4[Expected Revenue],Table4[Installation],$B34,Table4[Projected 
Year],C$1,Table4[Projected 
Month],C$2)</f>
        <v>0</v>
      </c>
      <c r="D34" s="23">
        <f>SUMPRODUCT(Table4[Probability]*Table4[Expected Revenue]*(Table4[Installation]=$B34)*(Table4[Projected 
Year]=C$1)*(Table4[Projected 
Month]=C$2))/MAX(1,SUMPRODUCT(Table4[Expected Revenue]*(Table4[Installation]=$B34)*(Table4[Projected 
Year]=C$1)*(Table4[Projected 
Month]=C$2)))</f>
        <v>0</v>
      </c>
      <c r="E34" s="24">
        <f>SUMPRODUCT(Table4[Expected Revenue]*Table4[Expected CMR]*(Table4[Projected 
Year]=C$1)*(Table4[Projected 
Month]=C$2)*(Table4[Installation]=$B34))/MAX(1,C34)</f>
        <v>0</v>
      </c>
      <c r="F34" s="27">
        <f>SUMIFS(Table4[Expected Revenue],Table4[Installation],$B34,Table4[Projected 
Year],F$1,Table4[Projected 
Month],F$2)</f>
        <v>0</v>
      </c>
      <c r="G34" s="23">
        <f>SUMPRODUCT(Table4[Probability]*Table4[Expected Revenue]*(Table4[Installation]=$B34)*(Table4[Projected 
Year]=F$1)*(Table4[Projected 
Month]=F$2))/MAX(1,SUMPRODUCT(Table4[Expected Revenue]*(Table4[Installation]=$B34)*(Table4[Projected 
Year]=F$1)*(Table4[Projected 
Month]=F$2)))</f>
        <v>0</v>
      </c>
      <c r="H34" s="24">
        <f>SUMPRODUCT(Table4[Expected Revenue]*Table4[Expected CMR]*(Table4[Projected 
Year]=F$1)*(Table4[Projected 
Month]=F$2)*(Table4[Installation]=$B34))/MAX(1,F34)</f>
        <v>0</v>
      </c>
      <c r="I34" s="27">
        <f>SUMIFS(Table4[Expected Revenue],Table4[Installation],$B34,Table4[Projected 
Year],I$1,Table4[Projected 
Month],I$2)</f>
        <v>0</v>
      </c>
      <c r="J34" s="23">
        <f>SUMPRODUCT(Table4[Probability]*Table4[Expected Revenue]*(Table4[Installation]=$B34)*(Table4[Projected 
Year]=I$1)*(Table4[Projected 
Month]=I$2))/MAX(1,SUMPRODUCT(Table4[Expected Revenue]*(Table4[Installation]=$B34)*(Table4[Projected 
Year]=I$1)*(Table4[Projected 
Month]=I$2)))</f>
        <v>0</v>
      </c>
      <c r="K34" s="24">
        <f>SUMPRODUCT(Table4[Expected Revenue]*Table4[Expected CMR]*(Table4[Projected 
Year]=I$1)*(Table4[Projected 
Month]=I$2)*(Table4[Installation]=$B34))/MAX(1,I34)</f>
        <v>0</v>
      </c>
      <c r="L34" s="27">
        <f>SUMIFS(Table4[Expected Revenue],Table4[Installation],$B34,Table4[Projected 
Year],L$1,Table4[Projected 
Month],L$2)</f>
        <v>0</v>
      </c>
      <c r="M34" s="23">
        <f>SUMPRODUCT(Table4[Probability]*Table4[Expected Revenue]*(Table4[Installation]=$B34)*(Table4[Projected 
Year]=L$1)*(Table4[Projected 
Month]=L$2))/MAX(1,SUMPRODUCT(Table4[Expected Revenue]*(Table4[Installation]=$B34)*(Table4[Projected 
Year]=L$1)*(Table4[Projected 
Month]=L$2)))</f>
        <v>0</v>
      </c>
      <c r="N34" s="24">
        <f>SUMPRODUCT(Table4[Expected Revenue]*Table4[Expected CMR]*(Table4[Projected 
Year]=L$1)*(Table4[Projected 
Month]=L$2)*(Table4[Installation]=$B34))/MAX(1,L34)</f>
        <v>0</v>
      </c>
      <c r="O34" s="27">
        <f>SUMIFS(Table4[Expected Revenue],Table4[Installation],$B34,Table4[Projected 
Year],O$1,Table4[Projected 
Month],O$2)</f>
        <v>0</v>
      </c>
      <c r="P34" s="23">
        <f>SUMPRODUCT(Table4[Probability]*Table4[Expected Revenue]*(Table4[Installation]=$B34)*(Table4[Projected 
Year]=O$1)*(Table4[Projected 
Month]=O$2))/MAX(1,SUMPRODUCT(Table4[Expected Revenue]*(Table4[Installation]=$B34)*(Table4[Projected 
Year]=O$1)*(Table4[Projected 
Month]=O$2)))</f>
        <v>0</v>
      </c>
      <c r="Q34" s="24">
        <f>SUMPRODUCT(Table4[Expected Revenue]*Table4[Expected CMR]*(Table4[Projected 
Year]=O$1)*(Table4[Projected 
Month]=O$2)*(Table4[Installation]=$B34))/MAX(1,O34)</f>
        <v>0</v>
      </c>
      <c r="R34" s="27">
        <f>SUMIFS(Table4[Expected Revenue],Table4[Installation],$B34,Table4[Projected 
Year],R$1,Table4[Projected 
Month],R$2)</f>
        <v>0</v>
      </c>
      <c r="S34" s="23">
        <f>SUMPRODUCT(Table4[Probability]*Table4[Expected Revenue]*(Table4[Installation]=$B34)*(Table4[Projected 
Year]=R$1)*(Table4[Projected 
Month]=R$2))/MAX(1,SUMPRODUCT(Table4[Expected Revenue]*(Table4[Installation]=$B34)*(Table4[Projected 
Year]=R$1)*(Table4[Projected 
Month]=R$2)))</f>
        <v>0</v>
      </c>
      <c r="T34" s="24">
        <f>SUMPRODUCT(Table4[Expected Revenue]*Table4[Expected CMR]*(Table4[Projected 
Year]=R$1)*(Table4[Projected 
Month]=R$2)*(Table4[Installation]=$B34))/MAX(1,R34)</f>
        <v>0</v>
      </c>
      <c r="U34" s="27">
        <f>SUMIFS(Table4[Expected Revenue],Table4[Installation],$B34,Table4[Projected 
Year],U$1,Table4[Projected 
Month],U$2)</f>
        <v>0</v>
      </c>
      <c r="V34" s="23">
        <f>SUMPRODUCT(Table4[Probability]*Table4[Expected Revenue]*(Table4[Installation]=$B34)*(Table4[Projected 
Year]=U$1)*(Table4[Projected 
Month]=U$2))/MAX(1,SUMPRODUCT(Table4[Expected Revenue]*(Table4[Installation]=$B34)*(Table4[Projected 
Year]=U$1)*(Table4[Projected 
Month]=U$2)))</f>
        <v>0</v>
      </c>
      <c r="W34" s="24">
        <f>SUMPRODUCT(Table4[Expected Revenue]*Table4[Expected CMR]*(Table4[Projected 
Year]=U$1)*(Table4[Projected 
Month]=U$2)*(Table4[Installation]=$B34))/MAX(1,U34)</f>
        <v>0</v>
      </c>
      <c r="X34" s="27">
        <f>SUMIFS(Table4[Expected Revenue],Table4[Installation],$B34,Table4[Projected 
Year],X$1,Table4[Projected 
Month],X$2)</f>
        <v>0</v>
      </c>
      <c r="Y34" s="23">
        <f>SUMPRODUCT(Table4[Probability]*Table4[Expected Revenue]*(Table4[Installation]=$B34)*(Table4[Projected 
Year]=X$1)*(Table4[Projected 
Month]=X$2))/MAX(1,SUMPRODUCT(Table4[Expected Revenue]*(Table4[Installation]=$B34)*(Table4[Projected 
Year]=X$1)*(Table4[Projected 
Month]=X$2)))</f>
        <v>0</v>
      </c>
      <c r="Z34" s="24">
        <f>SUMPRODUCT(Table4[Expected Revenue]*Table4[Expected CMR]*(Table4[Projected 
Year]=X$1)*(Table4[Projected 
Month]=X$2)*(Table4[Installation]=$B34))/MAX(1,X34)</f>
        <v>0</v>
      </c>
      <c r="AA34" s="27">
        <f>SUMIFS(Table4[Expected Revenue],Table4[Installation],$B34,Table4[Projected 
Year],AA$1,Table4[Projected 
Month],AA$2)</f>
        <v>0</v>
      </c>
      <c r="AB34" s="23">
        <f>SUMPRODUCT(Table4[Probability]*Table4[Expected Revenue]*(Table4[Installation]=$B34)*(Table4[Projected 
Year]=AA$1)*(Table4[Projected 
Month]=AA$2))/MAX(1,SUMPRODUCT(Table4[Expected Revenue]*(Table4[Installation]=$B34)*(Table4[Projected 
Year]=AA$1)*(Table4[Projected 
Month]=AA$2)))</f>
        <v>0</v>
      </c>
      <c r="AC34" s="24">
        <f>SUMPRODUCT(Table4[Expected Revenue]*Table4[Expected CMR]*(Table4[Projected 
Year]=AA$1)*(Table4[Projected 
Month]=AA$2)*(Table4[Installation]=$B34))/MAX(1,AA34)</f>
        <v>0</v>
      </c>
      <c r="AD34" s="27">
        <f>SUMIFS(Table4[Expected Revenue],Table4[Installation],$B34,Table4[Projected 
Year],AD$1,Table4[Projected 
Month],AD$2)</f>
        <v>0</v>
      </c>
      <c r="AE34" s="23">
        <f>SUMPRODUCT(Table4[Probability]*Table4[Expected Revenue]*(Table4[Installation]=$B34)*(Table4[Projected 
Year]=AD$1)*(Table4[Projected 
Month]=AD$2))/MAX(1,SUMPRODUCT(Table4[Expected Revenue]*(Table4[Installation]=$B34)*(Table4[Projected 
Year]=AD$1)*(Table4[Projected 
Month]=AD$2)))</f>
        <v>0</v>
      </c>
      <c r="AF34" s="24">
        <f>SUMPRODUCT(Table4[Expected Revenue]*Table4[Expected CMR]*(Table4[Projected 
Year]=AD$1)*(Table4[Projected 
Month]=AD$2)*(Table4[Installation]=$B34))/MAX(1,AD34)</f>
        <v>0</v>
      </c>
      <c r="AG34" s="27">
        <f>SUMIFS(Table4[Expected Revenue],Table4[Installation],$B34,Table4[Projected 
Year],AG$1,Table4[Projected 
Month],AG$2)</f>
        <v>0</v>
      </c>
      <c r="AH34" s="23">
        <f>SUMPRODUCT(Table4[Probability]*Table4[Expected Revenue]*(Table4[Installation]=$B34)*(Table4[Projected 
Year]=AG$1)*(Table4[Projected 
Month]=AG$2))/MAX(1,SUMPRODUCT(Table4[Expected Revenue]*(Table4[Installation]=$B34)*(Table4[Projected 
Year]=AG$1)*(Table4[Projected 
Month]=AG$2)))</f>
        <v>0</v>
      </c>
      <c r="AI34" s="24">
        <f>SUMPRODUCT(Table4[Expected Revenue]*Table4[Expected CMR]*(Table4[Projected 
Year]=AG$1)*(Table4[Projected 
Month]=AG$2)*(Table4[Installation]=$B34))/MAX(1,AG34)</f>
        <v>0</v>
      </c>
      <c r="AJ34" s="27">
        <f>SUMIFS(Table4[Expected Revenue],Table4[Installation],$B34,Table4[Projected 
Year],AJ$1,Table4[Projected 
Month],AJ$2)</f>
        <v>0</v>
      </c>
      <c r="AK34" s="23">
        <f>SUMPRODUCT(Table4[Probability]*Table4[Expected Revenue]*(Table4[Installation]=$B34)*(Table4[Projected 
Year]=AJ$1)*(Table4[Projected 
Month]=AJ$2))/MAX(1,SUMPRODUCT(Table4[Expected Revenue]*(Table4[Installation]=$B34)*(Table4[Projected 
Year]=AJ$1)*(Table4[Projected 
Month]=AJ$2)))</f>
        <v>0</v>
      </c>
      <c r="AL34" s="24">
        <f>SUMPRODUCT(Table4[Expected Revenue]*Table4[Expected CMR]*(Table4[Projected 
Year]=AJ$1)*(Table4[Projected 
Month]=AJ$2)*(Table4[Installation]=$B34))/MAX(1,AJ34)</f>
        <v>0</v>
      </c>
      <c r="AM34" s="30">
        <f t="shared" si="20"/>
        <v>0</v>
      </c>
      <c r="AN34" s="52">
        <f t="shared" si="26"/>
        <v>0</v>
      </c>
      <c r="AO34" s="52">
        <f t="shared" si="26"/>
        <v>0</v>
      </c>
      <c r="AP34" s="27" t="e">
        <f>SUMIFS(#REF!,Table4[Installation],$B34,#REF!,AP$1,#REF!,AP$2)</f>
        <v>#REF!</v>
      </c>
      <c r="AQ34" s="21" t="e">
        <f>SUMIFS(#REF!,Table4[Installation],$B34,Table4[Projected 
Year],AP$1,#REF!,AP$2)</f>
        <v>#REF!</v>
      </c>
      <c r="AR34" s="24" t="e">
        <f t="shared" si="7"/>
        <v>#REF!</v>
      </c>
      <c r="AS34" s="27" t="e">
        <f>SUMIFS(#REF!,Table4[Installation],$B34,#REF!,AS$1,#REF!,AS$2)</f>
        <v>#REF!</v>
      </c>
      <c r="AT34" s="21" t="e">
        <f>SUMIFS(#REF!,Table4[Installation],$B34,Table4[Projected 
Year],AS$1,#REF!,AS$2)</f>
        <v>#REF!</v>
      </c>
      <c r="AU34" s="24" t="e">
        <f t="shared" si="8"/>
        <v>#REF!</v>
      </c>
      <c r="AV34" s="27" t="e">
        <f>SUMIFS(#REF!,Table4[Installation],$B34,#REF!,AV$1,#REF!,AV$2)</f>
        <v>#REF!</v>
      </c>
      <c r="AW34" s="21" t="e">
        <f>SUMIFS(#REF!,Table4[Installation],$B34,Table4[Projected 
Year],AV$1,#REF!,AV$2)</f>
        <v>#REF!</v>
      </c>
      <c r="AX34" s="24" t="e">
        <f t="shared" si="9"/>
        <v>#REF!</v>
      </c>
      <c r="AY34" s="27" t="e">
        <f>SUMIFS(#REF!,Table4[Installation],$B34,#REF!,AY$1,#REF!,AY$2)</f>
        <v>#REF!</v>
      </c>
      <c r="AZ34" s="21" t="e">
        <f>SUMIFS(#REF!,Table4[Installation],$B34,Table4[Projected 
Year],AY$1,#REF!,AY$2)</f>
        <v>#REF!</v>
      </c>
      <c r="BA34" s="24" t="e">
        <f t="shared" si="10"/>
        <v>#REF!</v>
      </c>
      <c r="BB34" s="27" t="e">
        <f>SUMIFS(#REF!,Table4[Installation],$B34,#REF!,BB$1,#REF!,BB$2)</f>
        <v>#REF!</v>
      </c>
      <c r="BC34" s="21" t="e">
        <f>SUMIFS(#REF!,Table4[Installation],$B34,Table4[Projected 
Year],BB$1,#REF!,BB$2)</f>
        <v>#REF!</v>
      </c>
      <c r="BD34" s="24" t="e">
        <f t="shared" si="11"/>
        <v>#REF!</v>
      </c>
      <c r="BE34" s="27" t="e">
        <f>SUMIFS(#REF!,Table4[Installation],$B34,#REF!,BE$1,#REF!,BE$2)</f>
        <v>#REF!</v>
      </c>
      <c r="BF34" s="21" t="e">
        <f>SUMIFS(#REF!,Table4[Installation],$B34,Table4[Projected 
Year],BE$1,#REF!,BE$2)</f>
        <v>#REF!</v>
      </c>
      <c r="BG34" s="24" t="e">
        <f t="shared" si="18"/>
        <v>#REF!</v>
      </c>
      <c r="BH34" s="27" t="e">
        <f>SUMIFS(#REF!,Table4[Installation],$B34,#REF!,BH$1,#REF!,BH$2)</f>
        <v>#REF!</v>
      </c>
      <c r="BI34" s="21" t="e">
        <f>SUMIFS(#REF!,Table4[Installation],$B34,Table4[Projected 
Year],BH$1,#REF!,BH$2)</f>
        <v>#REF!</v>
      </c>
      <c r="BJ34" s="24" t="e">
        <f t="shared" si="3"/>
        <v>#REF!</v>
      </c>
      <c r="BK34" s="27" t="e">
        <f>SUMIFS(#REF!,Table4[Installation],$B34,#REF!,BK$1,#REF!,BK$2)</f>
        <v>#REF!</v>
      </c>
      <c r="BL34" s="21" t="e">
        <f>SUMIFS(#REF!,Table4[Installation],$B34,Table4[Projected 
Year],BK$1,#REF!,BK$2)</f>
        <v>#REF!</v>
      </c>
      <c r="BM34" s="24" t="e">
        <f t="shared" ref="BM34:BM51" si="28">IF(BK34=0,IF(BL34=0,"-",0),1-(BL34/BK34))</f>
        <v>#REF!</v>
      </c>
      <c r="BN34" s="27" t="e">
        <f>SUMIFS(#REF!,Table4[Installation],$B34,#REF!,BN$1,#REF!,BN$2)</f>
        <v>#REF!</v>
      </c>
      <c r="BO34" s="21" t="e">
        <f>SUMIFS(#REF!,Table4[Installation],$B34,Table4[Projected 
Year],BN$1,#REF!,BN$2)</f>
        <v>#REF!</v>
      </c>
      <c r="BP34" s="24" t="e">
        <f t="shared" si="27"/>
        <v>#REF!</v>
      </c>
      <c r="BQ34" s="27" t="e">
        <f>SUMIFS(#REF!,Table4[Installation],$B34,#REF!,BQ$1,#REF!,BQ$2)</f>
        <v>#REF!</v>
      </c>
      <c r="BR34" s="21" t="e">
        <f>SUMIFS(#REF!,Table4[Installation],$B34,Table4[Projected 
Year],BQ$1,#REF!,BQ$2)</f>
        <v>#REF!</v>
      </c>
      <c r="BS34" s="24" t="e">
        <f t="shared" si="15"/>
        <v>#REF!</v>
      </c>
      <c r="BT34" s="27" t="e">
        <f>SUMIFS(#REF!,Table4[Installation],$B34,#REF!,BT$1,#REF!,BT$2)</f>
        <v>#REF!</v>
      </c>
      <c r="BU34" s="21" t="e">
        <f>SUMIFS(#REF!,Table4[Installation],$B34,Table4[Projected 
Year],BT$1,#REF!,BT$2)</f>
        <v>#REF!</v>
      </c>
      <c r="BV34" s="24" t="e">
        <f t="shared" ref="BV34:BV51" si="29">IF(BT34=0,IF(BU34=0,"-",0),1-(BU34/BT34))</f>
        <v>#REF!</v>
      </c>
      <c r="BW34" s="27" t="e">
        <f>SUMIFS(#REF!,Table4[Installation],$B34,#REF!,BW$1,#REF!,BW$2)</f>
        <v>#REF!</v>
      </c>
      <c r="BX34" s="21" t="e">
        <f>SUMIFS(#REF!,Table4[Installation],$B34,Table4[Projected 
Year],BW$1,#REF!,BW$2)</f>
        <v>#REF!</v>
      </c>
      <c r="BY34" s="24" t="e">
        <f t="shared" si="25"/>
        <v>#REF!</v>
      </c>
      <c r="BZ34" s="30" t="e">
        <f t="shared" si="22"/>
        <v>#REF!</v>
      </c>
      <c r="CA34" s="30" t="e">
        <f t="shared" si="23"/>
        <v>#REF!</v>
      </c>
      <c r="CB34" s="24" t="e">
        <f t="shared" si="24"/>
        <v>#REF!</v>
      </c>
      <c r="CC34" s="29"/>
    </row>
    <row r="35" spans="1:81">
      <c r="A35" s="18"/>
      <c r="B35" s="20" t="s">
        <v>322</v>
      </c>
      <c r="C35" s="27">
        <f>SUMIFS(Table4[Expected Revenue],Table4[Installation],$B35,Table4[Projected 
Year],C$1,Table4[Projected 
Month],C$2)</f>
        <v>0</v>
      </c>
      <c r="D35" s="23">
        <f>SUMPRODUCT(Table4[Probability]*Table4[Expected Revenue]*(Table4[Installation]=$B35)*(Table4[Projected 
Year]=C$1)*(Table4[Projected 
Month]=C$2))/MAX(1,SUMPRODUCT(Table4[Expected Revenue]*(Table4[Installation]=$B35)*(Table4[Projected 
Year]=C$1)*(Table4[Projected 
Month]=C$2)))</f>
        <v>0</v>
      </c>
      <c r="E35" s="24">
        <f>SUMPRODUCT(Table4[Expected Revenue]*Table4[Expected CMR]*(Table4[Projected 
Year]=C$1)*(Table4[Projected 
Month]=C$2)*(Table4[Installation]=$B35))/MAX(1,C35)</f>
        <v>0</v>
      </c>
      <c r="F35" s="27">
        <f>SUMIFS(Table4[Expected Revenue],Table4[Installation],$B35,Table4[Projected 
Year],F$1,Table4[Projected 
Month],F$2)</f>
        <v>0</v>
      </c>
      <c r="G35" s="23">
        <f>SUMPRODUCT(Table4[Probability]*Table4[Expected Revenue]*(Table4[Installation]=$B35)*(Table4[Projected 
Year]=F$1)*(Table4[Projected 
Month]=F$2))/MAX(1,SUMPRODUCT(Table4[Expected Revenue]*(Table4[Installation]=$B35)*(Table4[Projected 
Year]=F$1)*(Table4[Projected 
Month]=F$2)))</f>
        <v>0</v>
      </c>
      <c r="H35" s="24">
        <f>SUMPRODUCT(Table4[Expected Revenue]*Table4[Expected CMR]*(Table4[Projected 
Year]=F$1)*(Table4[Projected 
Month]=F$2)*(Table4[Installation]=$B35))/MAX(1,F35)</f>
        <v>0</v>
      </c>
      <c r="I35" s="27">
        <f>SUMIFS(Table4[Expected Revenue],Table4[Installation],$B35,Table4[Projected 
Year],I$1,Table4[Projected 
Month],I$2)</f>
        <v>0</v>
      </c>
      <c r="J35" s="23">
        <f>SUMPRODUCT(Table4[Probability]*Table4[Expected Revenue]*(Table4[Installation]=$B35)*(Table4[Projected 
Year]=I$1)*(Table4[Projected 
Month]=I$2))/MAX(1,SUMPRODUCT(Table4[Expected Revenue]*(Table4[Installation]=$B35)*(Table4[Projected 
Year]=I$1)*(Table4[Projected 
Month]=I$2)))</f>
        <v>0</v>
      </c>
      <c r="K35" s="24">
        <f>SUMPRODUCT(Table4[Expected Revenue]*Table4[Expected CMR]*(Table4[Projected 
Year]=I$1)*(Table4[Projected 
Month]=I$2)*(Table4[Installation]=$B35))/MAX(1,I35)</f>
        <v>0</v>
      </c>
      <c r="L35" s="27">
        <f>SUMIFS(Table4[Expected Revenue],Table4[Installation],$B35,Table4[Projected 
Year],L$1,Table4[Projected 
Month],L$2)</f>
        <v>0</v>
      </c>
      <c r="M35" s="23">
        <f>SUMPRODUCT(Table4[Probability]*Table4[Expected Revenue]*(Table4[Installation]=$B35)*(Table4[Projected 
Year]=L$1)*(Table4[Projected 
Month]=L$2))/MAX(1,SUMPRODUCT(Table4[Expected Revenue]*(Table4[Installation]=$B35)*(Table4[Projected 
Year]=L$1)*(Table4[Projected 
Month]=L$2)))</f>
        <v>0</v>
      </c>
      <c r="N35" s="24">
        <f>SUMPRODUCT(Table4[Expected Revenue]*Table4[Expected CMR]*(Table4[Projected 
Year]=L$1)*(Table4[Projected 
Month]=L$2)*(Table4[Installation]=$B35))/MAX(1,L35)</f>
        <v>0</v>
      </c>
      <c r="O35" s="27">
        <f>SUMIFS(Table4[Expected Revenue],Table4[Installation],$B35,Table4[Projected 
Year],O$1,Table4[Projected 
Month],O$2)</f>
        <v>0</v>
      </c>
      <c r="P35" s="23">
        <f>SUMPRODUCT(Table4[Probability]*Table4[Expected Revenue]*(Table4[Installation]=$B35)*(Table4[Projected 
Year]=O$1)*(Table4[Projected 
Month]=O$2))/MAX(1,SUMPRODUCT(Table4[Expected Revenue]*(Table4[Installation]=$B35)*(Table4[Projected 
Year]=O$1)*(Table4[Projected 
Month]=O$2)))</f>
        <v>0</v>
      </c>
      <c r="Q35" s="24">
        <f>SUMPRODUCT(Table4[Expected Revenue]*Table4[Expected CMR]*(Table4[Projected 
Year]=O$1)*(Table4[Projected 
Month]=O$2)*(Table4[Installation]=$B35))/MAX(1,O35)</f>
        <v>0</v>
      </c>
      <c r="R35" s="27">
        <f>SUMIFS(Table4[Expected Revenue],Table4[Installation],$B35,Table4[Projected 
Year],R$1,Table4[Projected 
Month],R$2)</f>
        <v>0</v>
      </c>
      <c r="S35" s="23">
        <f>SUMPRODUCT(Table4[Probability]*Table4[Expected Revenue]*(Table4[Installation]=$B35)*(Table4[Projected 
Year]=R$1)*(Table4[Projected 
Month]=R$2))/MAX(1,SUMPRODUCT(Table4[Expected Revenue]*(Table4[Installation]=$B35)*(Table4[Projected 
Year]=R$1)*(Table4[Projected 
Month]=R$2)))</f>
        <v>0</v>
      </c>
      <c r="T35" s="24">
        <f>SUMPRODUCT(Table4[Expected Revenue]*Table4[Expected CMR]*(Table4[Projected 
Year]=R$1)*(Table4[Projected 
Month]=R$2)*(Table4[Installation]=$B35))/MAX(1,R35)</f>
        <v>0</v>
      </c>
      <c r="U35" s="27">
        <f>SUMIFS(Table4[Expected Revenue],Table4[Installation],$B35,Table4[Projected 
Year],U$1,Table4[Projected 
Month],U$2)</f>
        <v>0</v>
      </c>
      <c r="V35" s="23">
        <f>SUMPRODUCT(Table4[Probability]*Table4[Expected Revenue]*(Table4[Installation]=$B35)*(Table4[Projected 
Year]=U$1)*(Table4[Projected 
Month]=U$2))/MAX(1,SUMPRODUCT(Table4[Expected Revenue]*(Table4[Installation]=$B35)*(Table4[Projected 
Year]=U$1)*(Table4[Projected 
Month]=U$2)))</f>
        <v>0</v>
      </c>
      <c r="W35" s="24">
        <f>SUMPRODUCT(Table4[Expected Revenue]*Table4[Expected CMR]*(Table4[Projected 
Year]=U$1)*(Table4[Projected 
Month]=U$2)*(Table4[Installation]=$B35))/MAX(1,U35)</f>
        <v>0</v>
      </c>
      <c r="X35" s="27">
        <f>SUMIFS(Table4[Expected Revenue],Table4[Installation],$B35,Table4[Projected 
Year],X$1,Table4[Projected 
Month],X$2)</f>
        <v>0</v>
      </c>
      <c r="Y35" s="23">
        <f>SUMPRODUCT(Table4[Probability]*Table4[Expected Revenue]*(Table4[Installation]=$B35)*(Table4[Projected 
Year]=X$1)*(Table4[Projected 
Month]=X$2))/MAX(1,SUMPRODUCT(Table4[Expected Revenue]*(Table4[Installation]=$B35)*(Table4[Projected 
Year]=X$1)*(Table4[Projected 
Month]=X$2)))</f>
        <v>0</v>
      </c>
      <c r="Z35" s="24">
        <f>SUMPRODUCT(Table4[Expected Revenue]*Table4[Expected CMR]*(Table4[Projected 
Year]=X$1)*(Table4[Projected 
Month]=X$2)*(Table4[Installation]=$B35))/MAX(1,X35)</f>
        <v>0</v>
      </c>
      <c r="AA35" s="27">
        <f>SUMIFS(Table4[Expected Revenue],Table4[Installation],$B35,Table4[Projected 
Year],AA$1,Table4[Projected 
Month],AA$2)</f>
        <v>0</v>
      </c>
      <c r="AB35" s="23">
        <f>SUMPRODUCT(Table4[Probability]*Table4[Expected Revenue]*(Table4[Installation]=$B35)*(Table4[Projected 
Year]=AA$1)*(Table4[Projected 
Month]=AA$2))/MAX(1,SUMPRODUCT(Table4[Expected Revenue]*(Table4[Installation]=$B35)*(Table4[Projected 
Year]=AA$1)*(Table4[Projected 
Month]=AA$2)))</f>
        <v>0</v>
      </c>
      <c r="AC35" s="24">
        <f>SUMPRODUCT(Table4[Expected Revenue]*Table4[Expected CMR]*(Table4[Projected 
Year]=AA$1)*(Table4[Projected 
Month]=AA$2)*(Table4[Installation]=$B35))/MAX(1,AA35)</f>
        <v>0</v>
      </c>
      <c r="AD35" s="27">
        <f>SUMIFS(Table4[Expected Revenue],Table4[Installation],$B35,Table4[Projected 
Year],AD$1,Table4[Projected 
Month],AD$2)</f>
        <v>0</v>
      </c>
      <c r="AE35" s="23">
        <f>SUMPRODUCT(Table4[Probability]*Table4[Expected Revenue]*(Table4[Installation]=$B35)*(Table4[Projected 
Year]=AD$1)*(Table4[Projected 
Month]=AD$2))/MAX(1,SUMPRODUCT(Table4[Expected Revenue]*(Table4[Installation]=$B35)*(Table4[Projected 
Year]=AD$1)*(Table4[Projected 
Month]=AD$2)))</f>
        <v>0</v>
      </c>
      <c r="AF35" s="24">
        <f>SUMPRODUCT(Table4[Expected Revenue]*Table4[Expected CMR]*(Table4[Projected 
Year]=AD$1)*(Table4[Projected 
Month]=AD$2)*(Table4[Installation]=$B35))/MAX(1,AD35)</f>
        <v>0</v>
      </c>
      <c r="AG35" s="27">
        <f>SUMIFS(Table4[Expected Revenue],Table4[Installation],$B35,Table4[Projected 
Year],AG$1,Table4[Projected 
Month],AG$2)</f>
        <v>0</v>
      </c>
      <c r="AH35" s="23">
        <f>SUMPRODUCT(Table4[Probability]*Table4[Expected Revenue]*(Table4[Installation]=$B35)*(Table4[Projected 
Year]=AG$1)*(Table4[Projected 
Month]=AG$2))/MAX(1,SUMPRODUCT(Table4[Expected Revenue]*(Table4[Installation]=$B35)*(Table4[Projected 
Year]=AG$1)*(Table4[Projected 
Month]=AG$2)))</f>
        <v>0</v>
      </c>
      <c r="AI35" s="24">
        <f>SUMPRODUCT(Table4[Expected Revenue]*Table4[Expected CMR]*(Table4[Projected 
Year]=AG$1)*(Table4[Projected 
Month]=AG$2)*(Table4[Installation]=$B35))/MAX(1,AG35)</f>
        <v>0</v>
      </c>
      <c r="AJ35" s="27">
        <f>SUMIFS(Table4[Expected Revenue],Table4[Installation],$B35,Table4[Projected 
Year],AJ$1,Table4[Projected 
Month],AJ$2)</f>
        <v>0</v>
      </c>
      <c r="AK35" s="23">
        <f>SUMPRODUCT(Table4[Probability]*Table4[Expected Revenue]*(Table4[Installation]=$B35)*(Table4[Projected 
Year]=AJ$1)*(Table4[Projected 
Month]=AJ$2))/MAX(1,SUMPRODUCT(Table4[Expected Revenue]*(Table4[Installation]=$B35)*(Table4[Projected 
Year]=AJ$1)*(Table4[Projected 
Month]=AJ$2)))</f>
        <v>0</v>
      </c>
      <c r="AL35" s="24">
        <f>SUMPRODUCT(Table4[Expected Revenue]*Table4[Expected CMR]*(Table4[Projected 
Year]=AJ$1)*(Table4[Projected 
Month]=AJ$2)*(Table4[Installation]=$B35))/MAX(1,AJ35)</f>
        <v>0</v>
      </c>
      <c r="AM35" s="30">
        <f t="shared" si="20"/>
        <v>0</v>
      </c>
      <c r="AN35" s="52">
        <f t="shared" si="26"/>
        <v>0</v>
      </c>
      <c r="AO35" s="52">
        <f t="shared" si="26"/>
        <v>0</v>
      </c>
      <c r="AP35" s="27" t="e">
        <f>SUMIFS(#REF!,Table4[Installation],$B35,#REF!,AP$1,#REF!,AP$2)</f>
        <v>#REF!</v>
      </c>
      <c r="AQ35" s="21" t="e">
        <f>SUMIFS(#REF!,Table4[Installation],$B35,Table4[Projected 
Year],AP$1,#REF!,AP$2)</f>
        <v>#REF!</v>
      </c>
      <c r="AR35" s="24" t="e">
        <f t="shared" si="7"/>
        <v>#REF!</v>
      </c>
      <c r="AS35" s="27" t="e">
        <f>SUMIFS(#REF!,Table4[Installation],$B35,#REF!,AS$1,#REF!,AS$2)</f>
        <v>#REF!</v>
      </c>
      <c r="AT35" s="21" t="e">
        <f>SUMIFS(#REF!,Table4[Installation],$B35,Table4[Projected 
Year],AS$1,#REF!,AS$2)</f>
        <v>#REF!</v>
      </c>
      <c r="AU35" s="24" t="e">
        <f t="shared" si="8"/>
        <v>#REF!</v>
      </c>
      <c r="AV35" s="27" t="e">
        <f>SUMIFS(#REF!,Table4[Installation],$B35,#REF!,AV$1,#REF!,AV$2)</f>
        <v>#REF!</v>
      </c>
      <c r="AW35" s="21" t="e">
        <f>SUMIFS(#REF!,Table4[Installation],$B35,Table4[Projected 
Year],AV$1,#REF!,AV$2)</f>
        <v>#REF!</v>
      </c>
      <c r="AX35" s="24" t="e">
        <f t="shared" si="9"/>
        <v>#REF!</v>
      </c>
      <c r="AY35" s="27" t="e">
        <f>SUMIFS(#REF!,Table4[Installation],$B35,#REF!,AY$1,#REF!,AY$2)</f>
        <v>#REF!</v>
      </c>
      <c r="AZ35" s="21" t="e">
        <f>SUMIFS(#REF!,Table4[Installation],$B35,Table4[Projected 
Year],AY$1,#REF!,AY$2)</f>
        <v>#REF!</v>
      </c>
      <c r="BA35" s="24" t="e">
        <f t="shared" si="10"/>
        <v>#REF!</v>
      </c>
      <c r="BB35" s="27" t="e">
        <f>SUMIFS(#REF!,Table4[Installation],$B35,#REF!,BB$1,#REF!,BB$2)</f>
        <v>#REF!</v>
      </c>
      <c r="BC35" s="21" t="e">
        <f>SUMIFS(#REF!,Table4[Installation],$B35,Table4[Projected 
Year],BB$1,#REF!,BB$2)</f>
        <v>#REF!</v>
      </c>
      <c r="BD35" s="24" t="e">
        <f t="shared" si="11"/>
        <v>#REF!</v>
      </c>
      <c r="BE35" s="27" t="e">
        <f>SUMIFS(#REF!,Table4[Installation],$B35,#REF!,BE$1,#REF!,BE$2)</f>
        <v>#REF!</v>
      </c>
      <c r="BF35" s="21" t="e">
        <f>SUMIFS(#REF!,Table4[Installation],$B35,Table4[Projected 
Year],BE$1,#REF!,BE$2)</f>
        <v>#REF!</v>
      </c>
      <c r="BG35" s="24" t="e">
        <f t="shared" si="18"/>
        <v>#REF!</v>
      </c>
      <c r="BH35" s="27" t="e">
        <f>SUMIFS(#REF!,Table4[Installation],$B35,#REF!,BH$1,#REF!,BH$2)</f>
        <v>#REF!</v>
      </c>
      <c r="BI35" s="21" t="e">
        <f>SUMIFS(#REF!,Table4[Installation],$B35,Table4[Projected 
Year],BH$1,#REF!,BH$2)</f>
        <v>#REF!</v>
      </c>
      <c r="BJ35" s="24" t="e">
        <f t="shared" si="3"/>
        <v>#REF!</v>
      </c>
      <c r="BK35" s="27" t="e">
        <f>SUMIFS(#REF!,Table4[Installation],$B35,#REF!,BK$1,#REF!,BK$2)</f>
        <v>#REF!</v>
      </c>
      <c r="BL35" s="21" t="e">
        <f>SUMIFS(#REF!,Table4[Installation],$B35,Table4[Projected 
Year],BK$1,#REF!,BK$2)</f>
        <v>#REF!</v>
      </c>
      <c r="BM35" s="24" t="e">
        <f t="shared" si="28"/>
        <v>#REF!</v>
      </c>
      <c r="BN35" s="27" t="e">
        <f>SUMIFS(#REF!,Table4[Installation],$B35,#REF!,BN$1,#REF!,BN$2)</f>
        <v>#REF!</v>
      </c>
      <c r="BO35" s="21" t="e">
        <f>SUMIFS(#REF!,Table4[Installation],$B35,Table4[Projected 
Year],BN$1,#REF!,BN$2)</f>
        <v>#REF!</v>
      </c>
      <c r="BP35" s="24" t="e">
        <f t="shared" si="27"/>
        <v>#REF!</v>
      </c>
      <c r="BQ35" s="27" t="e">
        <f>SUMIFS(#REF!,Table4[Installation],$B35,#REF!,BQ$1,#REF!,BQ$2)</f>
        <v>#REF!</v>
      </c>
      <c r="BR35" s="21" t="e">
        <f>SUMIFS(#REF!,Table4[Installation],$B35,Table4[Projected 
Year],BQ$1,#REF!,BQ$2)</f>
        <v>#REF!</v>
      </c>
      <c r="BS35" s="24" t="e">
        <f t="shared" ref="BS35:BS51" si="30">IF(BQ35=0,IF(BR35=0,"-",0),1-(BR35/BQ35))</f>
        <v>#REF!</v>
      </c>
      <c r="BT35" s="27" t="e">
        <f>SUMIFS(#REF!,Table4[Installation],$B35,#REF!,BT$1,#REF!,BT$2)</f>
        <v>#REF!</v>
      </c>
      <c r="BU35" s="21" t="e">
        <f>SUMIFS(#REF!,Table4[Installation],$B35,Table4[Projected 
Year],BT$1,#REF!,BT$2)</f>
        <v>#REF!</v>
      </c>
      <c r="BV35" s="24" t="e">
        <f t="shared" si="29"/>
        <v>#REF!</v>
      </c>
      <c r="BW35" s="27" t="e">
        <f>SUMIFS(#REF!,Table4[Installation],$B35,#REF!,BW$1,#REF!,BW$2)</f>
        <v>#REF!</v>
      </c>
      <c r="BX35" s="21" t="e">
        <f>SUMIFS(#REF!,Table4[Installation],$B35,Table4[Projected 
Year],BW$1,#REF!,BW$2)</f>
        <v>#REF!</v>
      </c>
      <c r="BY35" s="24" t="e">
        <f t="shared" si="25"/>
        <v>#REF!</v>
      </c>
      <c r="BZ35" s="30" t="e">
        <f t="shared" si="22"/>
        <v>#REF!</v>
      </c>
      <c r="CA35" s="30" t="e">
        <f t="shared" si="23"/>
        <v>#REF!</v>
      </c>
      <c r="CB35" s="24" t="e">
        <f t="shared" si="24"/>
        <v>#REF!</v>
      </c>
      <c r="CC35" s="29"/>
    </row>
    <row r="36" spans="1:81">
      <c r="A36" s="18"/>
      <c r="B36" s="20" t="s">
        <v>323</v>
      </c>
      <c r="C36" s="27">
        <f>SUMIFS(Table4[Expected Revenue],Table4[Installation],$B36,Table4[Projected 
Year],C$1,Table4[Projected 
Month],C$2)</f>
        <v>0</v>
      </c>
      <c r="D36" s="23">
        <f>SUMPRODUCT(Table4[Probability]*Table4[Expected Revenue]*(Table4[Installation]=$B36)*(Table4[Projected 
Year]=C$1)*(Table4[Projected 
Month]=C$2))/MAX(1,SUMPRODUCT(Table4[Expected Revenue]*(Table4[Installation]=$B36)*(Table4[Projected 
Year]=C$1)*(Table4[Projected 
Month]=C$2)))</f>
        <v>0</v>
      </c>
      <c r="E36" s="24">
        <f>SUMPRODUCT(Table4[Expected Revenue]*Table4[Expected CMR]*(Table4[Projected 
Year]=C$1)*(Table4[Projected 
Month]=C$2)*(Table4[Installation]=$B36))/MAX(1,C36)</f>
        <v>0</v>
      </c>
      <c r="F36" s="27">
        <f>SUMIFS(Table4[Expected Revenue],Table4[Installation],$B36,Table4[Projected 
Year],F$1,Table4[Projected 
Month],F$2)</f>
        <v>0</v>
      </c>
      <c r="G36" s="23">
        <f>SUMPRODUCT(Table4[Probability]*Table4[Expected Revenue]*(Table4[Installation]=$B36)*(Table4[Projected 
Year]=F$1)*(Table4[Projected 
Month]=F$2))/MAX(1,SUMPRODUCT(Table4[Expected Revenue]*(Table4[Installation]=$B36)*(Table4[Projected 
Year]=F$1)*(Table4[Projected 
Month]=F$2)))</f>
        <v>0</v>
      </c>
      <c r="H36" s="24">
        <f>SUMPRODUCT(Table4[Expected Revenue]*Table4[Expected CMR]*(Table4[Projected 
Year]=F$1)*(Table4[Projected 
Month]=F$2)*(Table4[Installation]=$B36))/MAX(1,F36)</f>
        <v>0</v>
      </c>
      <c r="I36" s="27">
        <f>SUMIFS(Table4[Expected Revenue],Table4[Installation],$B36,Table4[Projected 
Year],I$1,Table4[Projected 
Month],I$2)</f>
        <v>0</v>
      </c>
      <c r="J36" s="23">
        <f>SUMPRODUCT(Table4[Probability]*Table4[Expected Revenue]*(Table4[Installation]=$B36)*(Table4[Projected 
Year]=I$1)*(Table4[Projected 
Month]=I$2))/MAX(1,SUMPRODUCT(Table4[Expected Revenue]*(Table4[Installation]=$B36)*(Table4[Projected 
Year]=I$1)*(Table4[Projected 
Month]=I$2)))</f>
        <v>0</v>
      </c>
      <c r="K36" s="24">
        <f>SUMPRODUCT(Table4[Expected Revenue]*Table4[Expected CMR]*(Table4[Projected 
Year]=I$1)*(Table4[Projected 
Month]=I$2)*(Table4[Installation]=$B36))/MAX(1,I36)</f>
        <v>0</v>
      </c>
      <c r="L36" s="27">
        <f>SUMIFS(Table4[Expected Revenue],Table4[Installation],$B36,Table4[Projected 
Year],L$1,Table4[Projected 
Month],L$2)</f>
        <v>0</v>
      </c>
      <c r="M36" s="23">
        <f>SUMPRODUCT(Table4[Probability]*Table4[Expected Revenue]*(Table4[Installation]=$B36)*(Table4[Projected 
Year]=L$1)*(Table4[Projected 
Month]=L$2))/MAX(1,SUMPRODUCT(Table4[Expected Revenue]*(Table4[Installation]=$B36)*(Table4[Projected 
Year]=L$1)*(Table4[Projected 
Month]=L$2)))</f>
        <v>0</v>
      </c>
      <c r="N36" s="24">
        <f>SUMPRODUCT(Table4[Expected Revenue]*Table4[Expected CMR]*(Table4[Projected 
Year]=L$1)*(Table4[Projected 
Month]=L$2)*(Table4[Installation]=$B36))/MAX(1,L36)</f>
        <v>0</v>
      </c>
      <c r="O36" s="27">
        <f>SUMIFS(Table4[Expected Revenue],Table4[Installation],$B36,Table4[Projected 
Year],O$1,Table4[Projected 
Month],O$2)</f>
        <v>0</v>
      </c>
      <c r="P36" s="23">
        <f>SUMPRODUCT(Table4[Probability]*Table4[Expected Revenue]*(Table4[Installation]=$B36)*(Table4[Projected 
Year]=O$1)*(Table4[Projected 
Month]=O$2))/MAX(1,SUMPRODUCT(Table4[Expected Revenue]*(Table4[Installation]=$B36)*(Table4[Projected 
Year]=O$1)*(Table4[Projected 
Month]=O$2)))</f>
        <v>0</v>
      </c>
      <c r="Q36" s="24">
        <f>SUMPRODUCT(Table4[Expected Revenue]*Table4[Expected CMR]*(Table4[Projected 
Year]=O$1)*(Table4[Projected 
Month]=O$2)*(Table4[Installation]=$B36))/MAX(1,O36)</f>
        <v>0</v>
      </c>
      <c r="R36" s="27">
        <f>SUMIFS(Table4[Expected Revenue],Table4[Installation],$B36,Table4[Projected 
Year],R$1,Table4[Projected 
Month],R$2)</f>
        <v>0</v>
      </c>
      <c r="S36" s="23">
        <f>SUMPRODUCT(Table4[Probability]*Table4[Expected Revenue]*(Table4[Installation]=$B36)*(Table4[Projected 
Year]=R$1)*(Table4[Projected 
Month]=R$2))/MAX(1,SUMPRODUCT(Table4[Expected Revenue]*(Table4[Installation]=$B36)*(Table4[Projected 
Year]=R$1)*(Table4[Projected 
Month]=R$2)))</f>
        <v>0</v>
      </c>
      <c r="T36" s="24">
        <f>SUMPRODUCT(Table4[Expected Revenue]*Table4[Expected CMR]*(Table4[Projected 
Year]=R$1)*(Table4[Projected 
Month]=R$2)*(Table4[Installation]=$B36))/MAX(1,R36)</f>
        <v>0</v>
      </c>
      <c r="U36" s="27">
        <f>SUMIFS(Table4[Expected Revenue],Table4[Installation],$B36,Table4[Projected 
Year],U$1,Table4[Projected 
Month],U$2)</f>
        <v>0</v>
      </c>
      <c r="V36" s="23">
        <f>SUMPRODUCT(Table4[Probability]*Table4[Expected Revenue]*(Table4[Installation]=$B36)*(Table4[Projected 
Year]=U$1)*(Table4[Projected 
Month]=U$2))/MAX(1,SUMPRODUCT(Table4[Expected Revenue]*(Table4[Installation]=$B36)*(Table4[Projected 
Year]=U$1)*(Table4[Projected 
Month]=U$2)))</f>
        <v>0</v>
      </c>
      <c r="W36" s="24">
        <f>SUMPRODUCT(Table4[Expected Revenue]*Table4[Expected CMR]*(Table4[Projected 
Year]=U$1)*(Table4[Projected 
Month]=U$2)*(Table4[Installation]=$B36))/MAX(1,U36)</f>
        <v>0</v>
      </c>
      <c r="X36" s="27">
        <f>SUMIFS(Table4[Expected Revenue],Table4[Installation],$B36,Table4[Projected 
Year],X$1,Table4[Projected 
Month],X$2)</f>
        <v>0</v>
      </c>
      <c r="Y36" s="23">
        <f>SUMPRODUCT(Table4[Probability]*Table4[Expected Revenue]*(Table4[Installation]=$B36)*(Table4[Projected 
Year]=X$1)*(Table4[Projected 
Month]=X$2))/MAX(1,SUMPRODUCT(Table4[Expected Revenue]*(Table4[Installation]=$B36)*(Table4[Projected 
Year]=X$1)*(Table4[Projected 
Month]=X$2)))</f>
        <v>0</v>
      </c>
      <c r="Z36" s="24">
        <f>SUMPRODUCT(Table4[Expected Revenue]*Table4[Expected CMR]*(Table4[Projected 
Year]=X$1)*(Table4[Projected 
Month]=X$2)*(Table4[Installation]=$B36))/MAX(1,X36)</f>
        <v>0</v>
      </c>
      <c r="AA36" s="27">
        <f>SUMIFS(Table4[Expected Revenue],Table4[Installation],$B36,Table4[Projected 
Year],AA$1,Table4[Projected 
Month],AA$2)</f>
        <v>0</v>
      </c>
      <c r="AB36" s="23">
        <f>SUMPRODUCT(Table4[Probability]*Table4[Expected Revenue]*(Table4[Installation]=$B36)*(Table4[Projected 
Year]=AA$1)*(Table4[Projected 
Month]=AA$2))/MAX(1,SUMPRODUCT(Table4[Expected Revenue]*(Table4[Installation]=$B36)*(Table4[Projected 
Year]=AA$1)*(Table4[Projected 
Month]=AA$2)))</f>
        <v>0</v>
      </c>
      <c r="AC36" s="24">
        <f>SUMPRODUCT(Table4[Expected Revenue]*Table4[Expected CMR]*(Table4[Projected 
Year]=AA$1)*(Table4[Projected 
Month]=AA$2)*(Table4[Installation]=$B36))/MAX(1,AA36)</f>
        <v>0</v>
      </c>
      <c r="AD36" s="27">
        <f>SUMIFS(Table4[Expected Revenue],Table4[Installation],$B36,Table4[Projected 
Year],AD$1,Table4[Projected 
Month],AD$2)</f>
        <v>0</v>
      </c>
      <c r="AE36" s="23">
        <f>SUMPRODUCT(Table4[Probability]*Table4[Expected Revenue]*(Table4[Installation]=$B36)*(Table4[Projected 
Year]=AD$1)*(Table4[Projected 
Month]=AD$2))/MAX(1,SUMPRODUCT(Table4[Expected Revenue]*(Table4[Installation]=$B36)*(Table4[Projected 
Year]=AD$1)*(Table4[Projected 
Month]=AD$2)))</f>
        <v>0</v>
      </c>
      <c r="AF36" s="24">
        <f>SUMPRODUCT(Table4[Expected Revenue]*Table4[Expected CMR]*(Table4[Projected 
Year]=AD$1)*(Table4[Projected 
Month]=AD$2)*(Table4[Installation]=$B36))/MAX(1,AD36)</f>
        <v>0</v>
      </c>
      <c r="AG36" s="27">
        <f>SUMIFS(Table4[Expected Revenue],Table4[Installation],$B36,Table4[Projected 
Year],AG$1,Table4[Projected 
Month],AG$2)</f>
        <v>0</v>
      </c>
      <c r="AH36" s="23">
        <f>SUMPRODUCT(Table4[Probability]*Table4[Expected Revenue]*(Table4[Installation]=$B36)*(Table4[Projected 
Year]=AG$1)*(Table4[Projected 
Month]=AG$2))/MAX(1,SUMPRODUCT(Table4[Expected Revenue]*(Table4[Installation]=$B36)*(Table4[Projected 
Year]=AG$1)*(Table4[Projected 
Month]=AG$2)))</f>
        <v>0</v>
      </c>
      <c r="AI36" s="24">
        <f>SUMPRODUCT(Table4[Expected Revenue]*Table4[Expected CMR]*(Table4[Projected 
Year]=AG$1)*(Table4[Projected 
Month]=AG$2)*(Table4[Installation]=$B36))/MAX(1,AG36)</f>
        <v>0</v>
      </c>
      <c r="AJ36" s="27">
        <f>SUMIFS(Table4[Expected Revenue],Table4[Installation],$B36,Table4[Projected 
Year],AJ$1,Table4[Projected 
Month],AJ$2)</f>
        <v>0</v>
      </c>
      <c r="AK36" s="23">
        <f>SUMPRODUCT(Table4[Probability]*Table4[Expected Revenue]*(Table4[Installation]=$B36)*(Table4[Projected 
Year]=AJ$1)*(Table4[Projected 
Month]=AJ$2))/MAX(1,SUMPRODUCT(Table4[Expected Revenue]*(Table4[Installation]=$B36)*(Table4[Projected 
Year]=AJ$1)*(Table4[Projected 
Month]=AJ$2)))</f>
        <v>0</v>
      </c>
      <c r="AL36" s="24">
        <f>SUMPRODUCT(Table4[Expected Revenue]*Table4[Expected CMR]*(Table4[Projected 
Year]=AJ$1)*(Table4[Projected 
Month]=AJ$2)*(Table4[Installation]=$B36))/MAX(1,AJ36)</f>
        <v>0</v>
      </c>
      <c r="AM36" s="30">
        <f t="shared" si="20"/>
        <v>0</v>
      </c>
      <c r="AN36" s="52">
        <f t="shared" si="26"/>
        <v>0</v>
      </c>
      <c r="AO36" s="52">
        <f t="shared" si="26"/>
        <v>0</v>
      </c>
      <c r="AP36" s="27" t="e">
        <f>SUMIFS(#REF!,Table4[Installation],$B36,#REF!,AP$1,#REF!,AP$2)</f>
        <v>#REF!</v>
      </c>
      <c r="AQ36" s="21" t="e">
        <f>SUMIFS(#REF!,Table4[Installation],$B36,Table4[Projected 
Year],AP$1,#REF!,AP$2)</f>
        <v>#REF!</v>
      </c>
      <c r="AR36" s="24" t="e">
        <f t="shared" si="7"/>
        <v>#REF!</v>
      </c>
      <c r="AS36" s="27" t="e">
        <f>SUMIFS(#REF!,Table4[Installation],$B36,#REF!,AS$1,#REF!,AS$2)</f>
        <v>#REF!</v>
      </c>
      <c r="AT36" s="21" t="e">
        <f>SUMIFS(#REF!,Table4[Installation],$B36,Table4[Projected 
Year],AS$1,#REF!,AS$2)</f>
        <v>#REF!</v>
      </c>
      <c r="AU36" s="24" t="e">
        <f t="shared" si="8"/>
        <v>#REF!</v>
      </c>
      <c r="AV36" s="27" t="e">
        <f>SUMIFS(#REF!,Table4[Installation],$B36,#REF!,AV$1,#REF!,AV$2)</f>
        <v>#REF!</v>
      </c>
      <c r="AW36" s="21" t="e">
        <f>SUMIFS(#REF!,Table4[Installation],$B36,Table4[Projected 
Year],AV$1,#REF!,AV$2)</f>
        <v>#REF!</v>
      </c>
      <c r="AX36" s="24" t="e">
        <f t="shared" si="9"/>
        <v>#REF!</v>
      </c>
      <c r="AY36" s="27" t="e">
        <f>SUMIFS(#REF!,Table4[Installation],$B36,#REF!,AY$1,#REF!,AY$2)</f>
        <v>#REF!</v>
      </c>
      <c r="AZ36" s="21" t="e">
        <f>SUMIFS(#REF!,Table4[Installation],$B36,Table4[Projected 
Year],AY$1,#REF!,AY$2)</f>
        <v>#REF!</v>
      </c>
      <c r="BA36" s="24" t="e">
        <f t="shared" si="10"/>
        <v>#REF!</v>
      </c>
      <c r="BB36" s="27" t="e">
        <f>SUMIFS(#REF!,Table4[Installation],$B36,#REF!,BB$1,#REF!,BB$2)</f>
        <v>#REF!</v>
      </c>
      <c r="BC36" s="21" t="e">
        <f>SUMIFS(#REF!,Table4[Installation],$B36,Table4[Projected 
Year],BB$1,#REF!,BB$2)</f>
        <v>#REF!</v>
      </c>
      <c r="BD36" s="24" t="e">
        <f t="shared" si="11"/>
        <v>#REF!</v>
      </c>
      <c r="BE36" s="27" t="e">
        <f>SUMIFS(#REF!,Table4[Installation],$B36,#REF!,BE$1,#REF!,BE$2)</f>
        <v>#REF!</v>
      </c>
      <c r="BF36" s="21" t="e">
        <f>SUMIFS(#REF!,Table4[Installation],$B36,Table4[Projected 
Year],BE$1,#REF!,BE$2)</f>
        <v>#REF!</v>
      </c>
      <c r="BG36" s="24" t="e">
        <f t="shared" si="18"/>
        <v>#REF!</v>
      </c>
      <c r="BH36" s="27" t="e">
        <f>SUMIFS(#REF!,Table4[Installation],$B36,#REF!,BH$1,#REF!,BH$2)</f>
        <v>#REF!</v>
      </c>
      <c r="BI36" s="21" t="e">
        <f>SUMIFS(#REF!,Table4[Installation],$B36,Table4[Projected 
Year],BH$1,#REF!,BH$2)</f>
        <v>#REF!</v>
      </c>
      <c r="BJ36" s="24" t="e">
        <f t="shared" si="3"/>
        <v>#REF!</v>
      </c>
      <c r="BK36" s="27" t="e">
        <f>SUMIFS(#REF!,Table4[Installation],$B36,#REF!,BK$1,#REF!,BK$2)</f>
        <v>#REF!</v>
      </c>
      <c r="BL36" s="21" t="e">
        <f>SUMIFS(#REF!,Table4[Installation],$B36,Table4[Projected 
Year],BK$1,#REF!,BK$2)</f>
        <v>#REF!</v>
      </c>
      <c r="BM36" s="24" t="e">
        <f t="shared" si="28"/>
        <v>#REF!</v>
      </c>
      <c r="BN36" s="27" t="e">
        <f>SUMIFS(#REF!,Table4[Installation],$B36,#REF!,BN$1,#REF!,BN$2)</f>
        <v>#REF!</v>
      </c>
      <c r="BO36" s="21" t="e">
        <f>SUMIFS(#REF!,Table4[Installation],$B36,Table4[Projected 
Year],BN$1,#REF!,BN$2)</f>
        <v>#REF!</v>
      </c>
      <c r="BP36" s="24" t="e">
        <f t="shared" si="27"/>
        <v>#REF!</v>
      </c>
      <c r="BQ36" s="27" t="e">
        <f>SUMIFS(#REF!,Table4[Installation],$B36,#REF!,BQ$1,#REF!,BQ$2)</f>
        <v>#REF!</v>
      </c>
      <c r="BR36" s="21" t="e">
        <f>SUMIFS(#REF!,Table4[Installation],$B36,Table4[Projected 
Year],BQ$1,#REF!,BQ$2)</f>
        <v>#REF!</v>
      </c>
      <c r="BS36" s="24" t="e">
        <f t="shared" si="30"/>
        <v>#REF!</v>
      </c>
      <c r="BT36" s="27" t="e">
        <f>SUMIFS(#REF!,Table4[Installation],$B36,#REF!,BT$1,#REF!,BT$2)</f>
        <v>#REF!</v>
      </c>
      <c r="BU36" s="21" t="e">
        <f>SUMIFS(#REF!,Table4[Installation],$B36,Table4[Projected 
Year],BT$1,#REF!,BT$2)</f>
        <v>#REF!</v>
      </c>
      <c r="BV36" s="24" t="e">
        <f t="shared" si="29"/>
        <v>#REF!</v>
      </c>
      <c r="BW36" s="27" t="e">
        <f>SUMIFS(#REF!,Table4[Installation],$B36,#REF!,BW$1,#REF!,BW$2)</f>
        <v>#REF!</v>
      </c>
      <c r="BX36" s="21" t="e">
        <f>SUMIFS(#REF!,Table4[Installation],$B36,Table4[Projected 
Year],BW$1,#REF!,BW$2)</f>
        <v>#REF!</v>
      </c>
      <c r="BY36" s="24" t="e">
        <f t="shared" si="25"/>
        <v>#REF!</v>
      </c>
      <c r="BZ36" s="30" t="e">
        <f t="shared" si="22"/>
        <v>#REF!</v>
      </c>
      <c r="CA36" s="30" t="e">
        <f t="shared" si="23"/>
        <v>#REF!</v>
      </c>
      <c r="CB36" s="24" t="e">
        <f t="shared" si="24"/>
        <v>#REF!</v>
      </c>
      <c r="CC36" s="29"/>
    </row>
    <row r="37" spans="1:81">
      <c r="A37" s="18"/>
      <c r="B37" s="20" t="s">
        <v>324</v>
      </c>
      <c r="C37" s="27">
        <f>SUMIFS(Table4[Expected Revenue],Table4[Installation],$B37,Table4[Projected 
Year],C$1,Table4[Projected 
Month],C$2)</f>
        <v>0</v>
      </c>
      <c r="D37" s="23">
        <f>SUMPRODUCT(Table4[Probability]*Table4[Expected Revenue]*(Table4[Installation]=$B37)*(Table4[Projected 
Year]=C$1)*(Table4[Projected 
Month]=C$2))/MAX(1,SUMPRODUCT(Table4[Expected Revenue]*(Table4[Installation]=$B37)*(Table4[Projected 
Year]=C$1)*(Table4[Projected 
Month]=C$2)))</f>
        <v>0</v>
      </c>
      <c r="E37" s="24">
        <f>SUMPRODUCT(Table4[Expected Revenue]*Table4[Expected CMR]*(Table4[Projected 
Year]=C$1)*(Table4[Projected 
Month]=C$2)*(Table4[Installation]=$B37))/MAX(1,C37)</f>
        <v>0</v>
      </c>
      <c r="F37" s="27">
        <f>SUMIFS(Table4[Expected Revenue],Table4[Installation],$B37,Table4[Projected 
Year],F$1,Table4[Projected 
Month],F$2)</f>
        <v>0</v>
      </c>
      <c r="G37" s="23">
        <f>SUMPRODUCT(Table4[Probability]*Table4[Expected Revenue]*(Table4[Installation]=$B37)*(Table4[Projected 
Year]=F$1)*(Table4[Projected 
Month]=F$2))/MAX(1,SUMPRODUCT(Table4[Expected Revenue]*(Table4[Installation]=$B37)*(Table4[Projected 
Year]=F$1)*(Table4[Projected 
Month]=F$2)))</f>
        <v>0</v>
      </c>
      <c r="H37" s="24">
        <f>SUMPRODUCT(Table4[Expected Revenue]*Table4[Expected CMR]*(Table4[Projected 
Year]=F$1)*(Table4[Projected 
Month]=F$2)*(Table4[Installation]=$B37))/MAX(1,F37)</f>
        <v>0</v>
      </c>
      <c r="I37" s="27">
        <f>SUMIFS(Table4[Expected Revenue],Table4[Installation],$B37,Table4[Projected 
Year],I$1,Table4[Projected 
Month],I$2)</f>
        <v>0</v>
      </c>
      <c r="J37" s="23">
        <f>SUMPRODUCT(Table4[Probability]*Table4[Expected Revenue]*(Table4[Installation]=$B37)*(Table4[Projected 
Year]=I$1)*(Table4[Projected 
Month]=I$2))/MAX(1,SUMPRODUCT(Table4[Expected Revenue]*(Table4[Installation]=$B37)*(Table4[Projected 
Year]=I$1)*(Table4[Projected 
Month]=I$2)))</f>
        <v>0</v>
      </c>
      <c r="K37" s="24">
        <f>SUMPRODUCT(Table4[Expected Revenue]*Table4[Expected CMR]*(Table4[Projected 
Year]=I$1)*(Table4[Projected 
Month]=I$2)*(Table4[Installation]=$B37))/MAX(1,I37)</f>
        <v>0</v>
      </c>
      <c r="L37" s="27">
        <f>SUMIFS(Table4[Expected Revenue],Table4[Installation],$B37,Table4[Projected 
Year],L$1,Table4[Projected 
Month],L$2)</f>
        <v>0</v>
      </c>
      <c r="M37" s="23">
        <f>SUMPRODUCT(Table4[Probability]*Table4[Expected Revenue]*(Table4[Installation]=$B37)*(Table4[Projected 
Year]=L$1)*(Table4[Projected 
Month]=L$2))/MAX(1,SUMPRODUCT(Table4[Expected Revenue]*(Table4[Installation]=$B37)*(Table4[Projected 
Year]=L$1)*(Table4[Projected 
Month]=L$2)))</f>
        <v>0</v>
      </c>
      <c r="N37" s="24">
        <f>SUMPRODUCT(Table4[Expected Revenue]*Table4[Expected CMR]*(Table4[Projected 
Year]=L$1)*(Table4[Projected 
Month]=L$2)*(Table4[Installation]=$B37))/MAX(1,L37)</f>
        <v>0</v>
      </c>
      <c r="O37" s="27">
        <f>SUMIFS(Table4[Expected Revenue],Table4[Installation],$B37,Table4[Projected 
Year],O$1,Table4[Projected 
Month],O$2)</f>
        <v>0</v>
      </c>
      <c r="P37" s="23">
        <f>SUMPRODUCT(Table4[Probability]*Table4[Expected Revenue]*(Table4[Installation]=$B37)*(Table4[Projected 
Year]=O$1)*(Table4[Projected 
Month]=O$2))/MAX(1,SUMPRODUCT(Table4[Expected Revenue]*(Table4[Installation]=$B37)*(Table4[Projected 
Year]=O$1)*(Table4[Projected 
Month]=O$2)))</f>
        <v>0</v>
      </c>
      <c r="Q37" s="24">
        <f>SUMPRODUCT(Table4[Expected Revenue]*Table4[Expected CMR]*(Table4[Projected 
Year]=O$1)*(Table4[Projected 
Month]=O$2)*(Table4[Installation]=$B37))/MAX(1,O37)</f>
        <v>0</v>
      </c>
      <c r="R37" s="27">
        <f>SUMIFS(Table4[Expected Revenue],Table4[Installation],$B37,Table4[Projected 
Year],R$1,Table4[Projected 
Month],R$2)</f>
        <v>0</v>
      </c>
      <c r="S37" s="23">
        <f>SUMPRODUCT(Table4[Probability]*Table4[Expected Revenue]*(Table4[Installation]=$B37)*(Table4[Projected 
Year]=R$1)*(Table4[Projected 
Month]=R$2))/MAX(1,SUMPRODUCT(Table4[Expected Revenue]*(Table4[Installation]=$B37)*(Table4[Projected 
Year]=R$1)*(Table4[Projected 
Month]=R$2)))</f>
        <v>0</v>
      </c>
      <c r="T37" s="24">
        <f>SUMPRODUCT(Table4[Expected Revenue]*Table4[Expected CMR]*(Table4[Projected 
Year]=R$1)*(Table4[Projected 
Month]=R$2)*(Table4[Installation]=$B37))/MAX(1,R37)</f>
        <v>0</v>
      </c>
      <c r="U37" s="27">
        <f>SUMIFS(Table4[Expected Revenue],Table4[Installation],$B37,Table4[Projected 
Year],U$1,Table4[Projected 
Month],U$2)</f>
        <v>0</v>
      </c>
      <c r="V37" s="23">
        <f>SUMPRODUCT(Table4[Probability]*Table4[Expected Revenue]*(Table4[Installation]=$B37)*(Table4[Projected 
Year]=U$1)*(Table4[Projected 
Month]=U$2))/MAX(1,SUMPRODUCT(Table4[Expected Revenue]*(Table4[Installation]=$B37)*(Table4[Projected 
Year]=U$1)*(Table4[Projected 
Month]=U$2)))</f>
        <v>0</v>
      </c>
      <c r="W37" s="24">
        <f>SUMPRODUCT(Table4[Expected Revenue]*Table4[Expected CMR]*(Table4[Projected 
Year]=U$1)*(Table4[Projected 
Month]=U$2)*(Table4[Installation]=$B37))/MAX(1,U37)</f>
        <v>0</v>
      </c>
      <c r="X37" s="27">
        <f>SUMIFS(Table4[Expected Revenue],Table4[Installation],$B37,Table4[Projected 
Year],X$1,Table4[Projected 
Month],X$2)</f>
        <v>0</v>
      </c>
      <c r="Y37" s="23">
        <f>SUMPRODUCT(Table4[Probability]*Table4[Expected Revenue]*(Table4[Installation]=$B37)*(Table4[Projected 
Year]=X$1)*(Table4[Projected 
Month]=X$2))/MAX(1,SUMPRODUCT(Table4[Expected Revenue]*(Table4[Installation]=$B37)*(Table4[Projected 
Year]=X$1)*(Table4[Projected 
Month]=X$2)))</f>
        <v>0</v>
      </c>
      <c r="Z37" s="24">
        <f>SUMPRODUCT(Table4[Expected Revenue]*Table4[Expected CMR]*(Table4[Projected 
Year]=X$1)*(Table4[Projected 
Month]=X$2)*(Table4[Installation]=$B37))/MAX(1,X37)</f>
        <v>0</v>
      </c>
      <c r="AA37" s="27">
        <f>SUMIFS(Table4[Expected Revenue],Table4[Installation],$B37,Table4[Projected 
Year],AA$1,Table4[Projected 
Month],AA$2)</f>
        <v>0</v>
      </c>
      <c r="AB37" s="23">
        <f>SUMPRODUCT(Table4[Probability]*Table4[Expected Revenue]*(Table4[Installation]=$B37)*(Table4[Projected 
Year]=AA$1)*(Table4[Projected 
Month]=AA$2))/MAX(1,SUMPRODUCT(Table4[Expected Revenue]*(Table4[Installation]=$B37)*(Table4[Projected 
Year]=AA$1)*(Table4[Projected 
Month]=AA$2)))</f>
        <v>0</v>
      </c>
      <c r="AC37" s="24">
        <f>SUMPRODUCT(Table4[Expected Revenue]*Table4[Expected CMR]*(Table4[Projected 
Year]=AA$1)*(Table4[Projected 
Month]=AA$2)*(Table4[Installation]=$B37))/MAX(1,AA37)</f>
        <v>0</v>
      </c>
      <c r="AD37" s="27">
        <f>SUMIFS(Table4[Expected Revenue],Table4[Installation],$B37,Table4[Projected 
Year],AD$1,Table4[Projected 
Month],AD$2)</f>
        <v>0</v>
      </c>
      <c r="AE37" s="23">
        <f>SUMPRODUCT(Table4[Probability]*Table4[Expected Revenue]*(Table4[Installation]=$B37)*(Table4[Projected 
Year]=AD$1)*(Table4[Projected 
Month]=AD$2))/MAX(1,SUMPRODUCT(Table4[Expected Revenue]*(Table4[Installation]=$B37)*(Table4[Projected 
Year]=AD$1)*(Table4[Projected 
Month]=AD$2)))</f>
        <v>0</v>
      </c>
      <c r="AF37" s="24">
        <f>SUMPRODUCT(Table4[Expected Revenue]*Table4[Expected CMR]*(Table4[Projected 
Year]=AD$1)*(Table4[Projected 
Month]=AD$2)*(Table4[Installation]=$B37))/MAX(1,AD37)</f>
        <v>0</v>
      </c>
      <c r="AG37" s="27">
        <f>SUMIFS(Table4[Expected Revenue],Table4[Installation],$B37,Table4[Projected 
Year],AG$1,Table4[Projected 
Month],AG$2)</f>
        <v>0</v>
      </c>
      <c r="AH37" s="23">
        <f>SUMPRODUCT(Table4[Probability]*Table4[Expected Revenue]*(Table4[Installation]=$B37)*(Table4[Projected 
Year]=AG$1)*(Table4[Projected 
Month]=AG$2))/MAX(1,SUMPRODUCT(Table4[Expected Revenue]*(Table4[Installation]=$B37)*(Table4[Projected 
Year]=AG$1)*(Table4[Projected 
Month]=AG$2)))</f>
        <v>0</v>
      </c>
      <c r="AI37" s="24">
        <f>SUMPRODUCT(Table4[Expected Revenue]*Table4[Expected CMR]*(Table4[Projected 
Year]=AG$1)*(Table4[Projected 
Month]=AG$2)*(Table4[Installation]=$B37))/MAX(1,AG37)</f>
        <v>0</v>
      </c>
      <c r="AJ37" s="27">
        <f>SUMIFS(Table4[Expected Revenue],Table4[Installation],$B37,Table4[Projected 
Year],AJ$1,Table4[Projected 
Month],AJ$2)</f>
        <v>0</v>
      </c>
      <c r="AK37" s="23">
        <f>SUMPRODUCT(Table4[Probability]*Table4[Expected Revenue]*(Table4[Installation]=$B37)*(Table4[Projected 
Year]=AJ$1)*(Table4[Projected 
Month]=AJ$2))/MAX(1,SUMPRODUCT(Table4[Expected Revenue]*(Table4[Installation]=$B37)*(Table4[Projected 
Year]=AJ$1)*(Table4[Projected 
Month]=AJ$2)))</f>
        <v>0</v>
      </c>
      <c r="AL37" s="24">
        <f>SUMPRODUCT(Table4[Expected Revenue]*Table4[Expected CMR]*(Table4[Projected 
Year]=AJ$1)*(Table4[Projected 
Month]=AJ$2)*(Table4[Installation]=$B37))/MAX(1,AJ37)</f>
        <v>0</v>
      </c>
      <c r="AM37" s="30">
        <f t="shared" si="20"/>
        <v>0</v>
      </c>
      <c r="AN37" s="52">
        <f t="shared" si="26"/>
        <v>0</v>
      </c>
      <c r="AO37" s="52">
        <f t="shared" si="26"/>
        <v>0</v>
      </c>
      <c r="AP37" s="27" t="e">
        <f>SUMIFS(#REF!,Table4[Installation],$B37,#REF!,AP$1,#REF!,AP$2)</f>
        <v>#REF!</v>
      </c>
      <c r="AQ37" s="21" t="e">
        <f>SUMIFS(#REF!,Table4[Installation],$B37,Table4[Projected 
Year],AP$1,#REF!,AP$2)</f>
        <v>#REF!</v>
      </c>
      <c r="AR37" s="24" t="e">
        <f t="shared" si="7"/>
        <v>#REF!</v>
      </c>
      <c r="AS37" s="27" t="e">
        <f>SUMIFS(#REF!,Table4[Installation],$B37,#REF!,AS$1,#REF!,AS$2)</f>
        <v>#REF!</v>
      </c>
      <c r="AT37" s="21" t="e">
        <f>SUMIFS(#REF!,Table4[Installation],$B37,Table4[Projected 
Year],AS$1,#REF!,AS$2)</f>
        <v>#REF!</v>
      </c>
      <c r="AU37" s="24" t="e">
        <f t="shared" si="8"/>
        <v>#REF!</v>
      </c>
      <c r="AV37" s="27" t="e">
        <f>SUMIFS(#REF!,Table4[Installation],$B37,#REF!,AV$1,#REF!,AV$2)</f>
        <v>#REF!</v>
      </c>
      <c r="AW37" s="21" t="e">
        <f>SUMIFS(#REF!,Table4[Installation],$B37,Table4[Projected 
Year],AV$1,#REF!,AV$2)</f>
        <v>#REF!</v>
      </c>
      <c r="AX37" s="24" t="e">
        <f t="shared" si="9"/>
        <v>#REF!</v>
      </c>
      <c r="AY37" s="27" t="e">
        <f>SUMIFS(#REF!,Table4[Installation],$B37,#REF!,AY$1,#REF!,AY$2)</f>
        <v>#REF!</v>
      </c>
      <c r="AZ37" s="21" t="e">
        <f>SUMIFS(#REF!,Table4[Installation],$B37,Table4[Projected 
Year],AY$1,#REF!,AY$2)</f>
        <v>#REF!</v>
      </c>
      <c r="BA37" s="24" t="e">
        <f t="shared" si="10"/>
        <v>#REF!</v>
      </c>
      <c r="BB37" s="27" t="e">
        <f>SUMIFS(#REF!,Table4[Installation],$B37,#REF!,BB$1,#REF!,BB$2)</f>
        <v>#REF!</v>
      </c>
      <c r="BC37" s="21" t="e">
        <f>SUMIFS(#REF!,Table4[Installation],$B37,Table4[Projected 
Year],BB$1,#REF!,BB$2)</f>
        <v>#REF!</v>
      </c>
      <c r="BD37" s="24" t="e">
        <f t="shared" si="11"/>
        <v>#REF!</v>
      </c>
      <c r="BE37" s="27" t="e">
        <f>SUMIFS(#REF!,Table4[Installation],$B37,#REF!,BE$1,#REF!,BE$2)</f>
        <v>#REF!</v>
      </c>
      <c r="BF37" s="21" t="e">
        <f>SUMIFS(#REF!,Table4[Installation],$B37,Table4[Projected 
Year],BE$1,#REF!,BE$2)</f>
        <v>#REF!</v>
      </c>
      <c r="BG37" s="24" t="e">
        <f t="shared" si="18"/>
        <v>#REF!</v>
      </c>
      <c r="BH37" s="27" t="e">
        <f>SUMIFS(#REF!,Table4[Installation],$B37,#REF!,BH$1,#REF!,BH$2)</f>
        <v>#REF!</v>
      </c>
      <c r="BI37" s="21" t="e">
        <f>SUMIFS(#REF!,Table4[Installation],$B37,Table4[Projected 
Year],BH$1,#REF!,BH$2)</f>
        <v>#REF!</v>
      </c>
      <c r="BJ37" s="24" t="e">
        <f t="shared" si="3"/>
        <v>#REF!</v>
      </c>
      <c r="BK37" s="27" t="e">
        <f>SUMIFS(#REF!,Table4[Installation],$B37,#REF!,BK$1,#REF!,BK$2)</f>
        <v>#REF!</v>
      </c>
      <c r="BL37" s="21" t="e">
        <f>SUMIFS(#REF!,Table4[Installation],$B37,Table4[Projected 
Year],BK$1,#REF!,BK$2)</f>
        <v>#REF!</v>
      </c>
      <c r="BM37" s="24" t="e">
        <f t="shared" si="28"/>
        <v>#REF!</v>
      </c>
      <c r="BN37" s="27" t="e">
        <f>SUMIFS(#REF!,Table4[Installation],$B37,#REF!,BN$1,#REF!,BN$2)</f>
        <v>#REF!</v>
      </c>
      <c r="BO37" s="21" t="e">
        <f>SUMIFS(#REF!,Table4[Installation],$B37,Table4[Projected 
Year],BN$1,#REF!,BN$2)</f>
        <v>#REF!</v>
      </c>
      <c r="BP37" s="24" t="e">
        <f t="shared" si="27"/>
        <v>#REF!</v>
      </c>
      <c r="BQ37" s="27" t="e">
        <f>SUMIFS(#REF!,Table4[Installation],$B37,#REF!,BQ$1,#REF!,BQ$2)</f>
        <v>#REF!</v>
      </c>
      <c r="BR37" s="21" t="e">
        <f>SUMIFS(#REF!,Table4[Installation],$B37,Table4[Projected 
Year],BQ$1,#REF!,BQ$2)</f>
        <v>#REF!</v>
      </c>
      <c r="BS37" s="24" t="e">
        <f t="shared" si="30"/>
        <v>#REF!</v>
      </c>
      <c r="BT37" s="27" t="e">
        <f>SUMIFS(#REF!,Table4[Installation],$B37,#REF!,BT$1,#REF!,BT$2)</f>
        <v>#REF!</v>
      </c>
      <c r="BU37" s="21" t="e">
        <f>SUMIFS(#REF!,Table4[Installation],$B37,Table4[Projected 
Year],BT$1,#REF!,BT$2)</f>
        <v>#REF!</v>
      </c>
      <c r="BV37" s="24" t="e">
        <f t="shared" si="29"/>
        <v>#REF!</v>
      </c>
      <c r="BW37" s="27" t="e">
        <f>SUMIFS(#REF!,Table4[Installation],$B37,#REF!,BW$1,#REF!,BW$2)</f>
        <v>#REF!</v>
      </c>
      <c r="BX37" s="21" t="e">
        <f>SUMIFS(#REF!,Table4[Installation],$B37,Table4[Projected 
Year],BW$1,#REF!,BW$2)</f>
        <v>#REF!</v>
      </c>
      <c r="BY37" s="24" t="e">
        <f t="shared" si="25"/>
        <v>#REF!</v>
      </c>
      <c r="BZ37" s="30" t="e">
        <f t="shared" si="22"/>
        <v>#REF!</v>
      </c>
      <c r="CA37" s="30" t="e">
        <f t="shared" si="23"/>
        <v>#REF!</v>
      </c>
      <c r="CB37" s="24" t="e">
        <f t="shared" si="24"/>
        <v>#REF!</v>
      </c>
      <c r="CC37" s="29"/>
    </row>
    <row r="38" spans="1:81">
      <c r="A38" s="18"/>
      <c r="B38" s="20" t="s">
        <v>282</v>
      </c>
      <c r="C38" s="27">
        <f>SUMIFS(Table4[Expected Revenue],Table4[Installation],$B38,Table4[Projected 
Year],C$1,Table4[Projected 
Month],C$2)</f>
        <v>0</v>
      </c>
      <c r="D38" s="23">
        <f>SUMPRODUCT(Table4[Probability]*Table4[Expected Revenue]*(Table4[Installation]=$B38)*(Table4[Projected 
Year]=C$1)*(Table4[Projected 
Month]=C$2))/MAX(1,SUMPRODUCT(Table4[Expected Revenue]*(Table4[Installation]=$B38)*(Table4[Projected 
Year]=C$1)*(Table4[Projected 
Month]=C$2)))</f>
        <v>0</v>
      </c>
      <c r="E38" s="24">
        <f>SUMPRODUCT(Table4[Expected Revenue]*Table4[Expected CMR]*(Table4[Projected 
Year]=C$1)*(Table4[Projected 
Month]=C$2)*(Table4[Installation]=$B38))/MAX(1,C38)</f>
        <v>0</v>
      </c>
      <c r="F38" s="27">
        <f>SUMIFS(Table4[Expected Revenue],Table4[Installation],$B38,Table4[Projected 
Year],F$1,Table4[Projected 
Month],F$2)</f>
        <v>0</v>
      </c>
      <c r="G38" s="23">
        <f>SUMPRODUCT(Table4[Probability]*Table4[Expected Revenue]*(Table4[Installation]=$B38)*(Table4[Projected 
Year]=F$1)*(Table4[Projected 
Month]=F$2))/MAX(1,SUMPRODUCT(Table4[Expected Revenue]*(Table4[Installation]=$B38)*(Table4[Projected 
Year]=F$1)*(Table4[Projected 
Month]=F$2)))</f>
        <v>0</v>
      </c>
      <c r="H38" s="24">
        <f>SUMPRODUCT(Table4[Expected Revenue]*Table4[Expected CMR]*(Table4[Projected 
Year]=F$1)*(Table4[Projected 
Month]=F$2)*(Table4[Installation]=$B38))/MAX(1,F38)</f>
        <v>0</v>
      </c>
      <c r="I38" s="27">
        <f>SUMIFS(Table4[Expected Revenue],Table4[Installation],$B38,Table4[Projected 
Year],I$1,Table4[Projected 
Month],I$2)</f>
        <v>0</v>
      </c>
      <c r="J38" s="23">
        <f>SUMPRODUCT(Table4[Probability]*Table4[Expected Revenue]*(Table4[Installation]=$B38)*(Table4[Projected 
Year]=I$1)*(Table4[Projected 
Month]=I$2))/MAX(1,SUMPRODUCT(Table4[Expected Revenue]*(Table4[Installation]=$B38)*(Table4[Projected 
Year]=I$1)*(Table4[Projected 
Month]=I$2)))</f>
        <v>0</v>
      </c>
      <c r="K38" s="24">
        <f>SUMPRODUCT(Table4[Expected Revenue]*Table4[Expected CMR]*(Table4[Projected 
Year]=I$1)*(Table4[Projected 
Month]=I$2)*(Table4[Installation]=$B38))/MAX(1,I38)</f>
        <v>0</v>
      </c>
      <c r="L38" s="27">
        <f>SUMIFS(Table4[Expected Revenue],Table4[Installation],$B38,Table4[Projected 
Year],L$1,Table4[Projected 
Month],L$2)</f>
        <v>0</v>
      </c>
      <c r="M38" s="23">
        <f>SUMPRODUCT(Table4[Probability]*Table4[Expected Revenue]*(Table4[Installation]=$B38)*(Table4[Projected 
Year]=L$1)*(Table4[Projected 
Month]=L$2))/MAX(1,SUMPRODUCT(Table4[Expected Revenue]*(Table4[Installation]=$B38)*(Table4[Projected 
Year]=L$1)*(Table4[Projected 
Month]=L$2)))</f>
        <v>0</v>
      </c>
      <c r="N38" s="24">
        <f>SUMPRODUCT(Table4[Expected Revenue]*Table4[Expected CMR]*(Table4[Projected 
Year]=L$1)*(Table4[Projected 
Month]=L$2)*(Table4[Installation]=$B38))/MAX(1,L38)</f>
        <v>0</v>
      </c>
      <c r="O38" s="27">
        <f>SUMIFS(Table4[Expected Revenue],Table4[Installation],$B38,Table4[Projected 
Year],O$1,Table4[Projected 
Month],O$2)</f>
        <v>0</v>
      </c>
      <c r="P38" s="23">
        <f>SUMPRODUCT(Table4[Probability]*Table4[Expected Revenue]*(Table4[Installation]=$B38)*(Table4[Projected 
Year]=O$1)*(Table4[Projected 
Month]=O$2))/MAX(1,SUMPRODUCT(Table4[Expected Revenue]*(Table4[Installation]=$B38)*(Table4[Projected 
Year]=O$1)*(Table4[Projected 
Month]=O$2)))</f>
        <v>0</v>
      </c>
      <c r="Q38" s="24">
        <f>SUMPRODUCT(Table4[Expected Revenue]*Table4[Expected CMR]*(Table4[Projected 
Year]=O$1)*(Table4[Projected 
Month]=O$2)*(Table4[Installation]=$B38))/MAX(1,O38)</f>
        <v>0</v>
      </c>
      <c r="R38" s="27">
        <f>SUMIFS(Table4[Expected Revenue],Table4[Installation],$B38,Table4[Projected 
Year],R$1,Table4[Projected 
Month],R$2)</f>
        <v>0</v>
      </c>
      <c r="S38" s="23">
        <f>SUMPRODUCT(Table4[Probability]*Table4[Expected Revenue]*(Table4[Installation]=$B38)*(Table4[Projected 
Year]=R$1)*(Table4[Projected 
Month]=R$2))/MAX(1,SUMPRODUCT(Table4[Expected Revenue]*(Table4[Installation]=$B38)*(Table4[Projected 
Year]=R$1)*(Table4[Projected 
Month]=R$2)))</f>
        <v>0</v>
      </c>
      <c r="T38" s="24">
        <f>SUMPRODUCT(Table4[Expected Revenue]*Table4[Expected CMR]*(Table4[Projected 
Year]=R$1)*(Table4[Projected 
Month]=R$2)*(Table4[Installation]=$B38))/MAX(1,R38)</f>
        <v>0</v>
      </c>
      <c r="U38" s="27">
        <f>SUMIFS(Table4[Expected Revenue],Table4[Installation],$B38,Table4[Projected 
Year],U$1,Table4[Projected 
Month],U$2)</f>
        <v>0</v>
      </c>
      <c r="V38" s="23">
        <f>SUMPRODUCT(Table4[Probability]*Table4[Expected Revenue]*(Table4[Installation]=$B38)*(Table4[Projected 
Year]=U$1)*(Table4[Projected 
Month]=U$2))/MAX(1,SUMPRODUCT(Table4[Expected Revenue]*(Table4[Installation]=$B38)*(Table4[Projected 
Year]=U$1)*(Table4[Projected 
Month]=U$2)))</f>
        <v>0</v>
      </c>
      <c r="W38" s="24">
        <f>SUMPRODUCT(Table4[Expected Revenue]*Table4[Expected CMR]*(Table4[Projected 
Year]=U$1)*(Table4[Projected 
Month]=U$2)*(Table4[Installation]=$B38))/MAX(1,U38)</f>
        <v>0</v>
      </c>
      <c r="X38" s="27">
        <f>SUMIFS(Table4[Expected Revenue],Table4[Installation],$B38,Table4[Projected 
Year],X$1,Table4[Projected 
Month],X$2)</f>
        <v>0</v>
      </c>
      <c r="Y38" s="23">
        <f>SUMPRODUCT(Table4[Probability]*Table4[Expected Revenue]*(Table4[Installation]=$B38)*(Table4[Projected 
Year]=X$1)*(Table4[Projected 
Month]=X$2))/MAX(1,SUMPRODUCT(Table4[Expected Revenue]*(Table4[Installation]=$B38)*(Table4[Projected 
Year]=X$1)*(Table4[Projected 
Month]=X$2)))</f>
        <v>0</v>
      </c>
      <c r="Z38" s="24">
        <f>SUMPRODUCT(Table4[Expected Revenue]*Table4[Expected CMR]*(Table4[Projected 
Year]=X$1)*(Table4[Projected 
Month]=X$2)*(Table4[Installation]=$B38))/MAX(1,X38)</f>
        <v>0</v>
      </c>
      <c r="AA38" s="27">
        <f>SUMIFS(Table4[Expected Revenue],Table4[Installation],$B38,Table4[Projected 
Year],AA$1,Table4[Projected 
Month],AA$2)</f>
        <v>0</v>
      </c>
      <c r="AB38" s="23">
        <f>SUMPRODUCT(Table4[Probability]*Table4[Expected Revenue]*(Table4[Installation]=$B38)*(Table4[Projected 
Year]=AA$1)*(Table4[Projected 
Month]=AA$2))/MAX(1,SUMPRODUCT(Table4[Expected Revenue]*(Table4[Installation]=$B38)*(Table4[Projected 
Year]=AA$1)*(Table4[Projected 
Month]=AA$2)))</f>
        <v>0</v>
      </c>
      <c r="AC38" s="24">
        <f>SUMPRODUCT(Table4[Expected Revenue]*Table4[Expected CMR]*(Table4[Projected 
Year]=AA$1)*(Table4[Projected 
Month]=AA$2)*(Table4[Installation]=$B38))/MAX(1,AA38)</f>
        <v>0</v>
      </c>
      <c r="AD38" s="27">
        <f>SUMIFS(Table4[Expected Revenue],Table4[Installation],$B38,Table4[Projected 
Year],AD$1,Table4[Projected 
Month],AD$2)</f>
        <v>0</v>
      </c>
      <c r="AE38" s="23">
        <f>SUMPRODUCT(Table4[Probability]*Table4[Expected Revenue]*(Table4[Installation]=$B38)*(Table4[Projected 
Year]=AD$1)*(Table4[Projected 
Month]=AD$2))/MAX(1,SUMPRODUCT(Table4[Expected Revenue]*(Table4[Installation]=$B38)*(Table4[Projected 
Year]=AD$1)*(Table4[Projected 
Month]=AD$2)))</f>
        <v>0</v>
      </c>
      <c r="AF38" s="24">
        <f>SUMPRODUCT(Table4[Expected Revenue]*Table4[Expected CMR]*(Table4[Projected 
Year]=AD$1)*(Table4[Projected 
Month]=AD$2)*(Table4[Installation]=$B38))/MAX(1,AD38)</f>
        <v>0</v>
      </c>
      <c r="AG38" s="27">
        <f>SUMIFS(Table4[Expected Revenue],Table4[Installation],$B38,Table4[Projected 
Year],AG$1,Table4[Projected 
Month],AG$2)</f>
        <v>0</v>
      </c>
      <c r="AH38" s="23">
        <f>SUMPRODUCT(Table4[Probability]*Table4[Expected Revenue]*(Table4[Installation]=$B38)*(Table4[Projected 
Year]=AG$1)*(Table4[Projected 
Month]=AG$2))/MAX(1,SUMPRODUCT(Table4[Expected Revenue]*(Table4[Installation]=$B38)*(Table4[Projected 
Year]=AG$1)*(Table4[Projected 
Month]=AG$2)))</f>
        <v>0</v>
      </c>
      <c r="AI38" s="24">
        <f>SUMPRODUCT(Table4[Expected Revenue]*Table4[Expected CMR]*(Table4[Projected 
Year]=AG$1)*(Table4[Projected 
Month]=AG$2)*(Table4[Installation]=$B38))/MAX(1,AG38)</f>
        <v>0</v>
      </c>
      <c r="AJ38" s="27">
        <f>SUMIFS(Table4[Expected Revenue],Table4[Installation],$B38,Table4[Projected 
Year],AJ$1,Table4[Projected 
Month],AJ$2)</f>
        <v>0</v>
      </c>
      <c r="AK38" s="23">
        <f>SUMPRODUCT(Table4[Probability]*Table4[Expected Revenue]*(Table4[Installation]=$B38)*(Table4[Projected 
Year]=AJ$1)*(Table4[Projected 
Month]=AJ$2))/MAX(1,SUMPRODUCT(Table4[Expected Revenue]*(Table4[Installation]=$B38)*(Table4[Projected 
Year]=AJ$1)*(Table4[Projected 
Month]=AJ$2)))</f>
        <v>0</v>
      </c>
      <c r="AL38" s="24">
        <f>SUMPRODUCT(Table4[Expected Revenue]*Table4[Expected CMR]*(Table4[Projected 
Year]=AJ$1)*(Table4[Projected 
Month]=AJ$2)*(Table4[Installation]=$B38))/MAX(1,AJ38)</f>
        <v>0</v>
      </c>
      <c r="AM38" s="30">
        <f t="shared" si="20"/>
        <v>0</v>
      </c>
      <c r="AN38" s="52">
        <f t="shared" si="26"/>
        <v>0</v>
      </c>
      <c r="AO38" s="52">
        <f t="shared" si="26"/>
        <v>0</v>
      </c>
      <c r="AP38" s="27" t="e">
        <f>SUMIFS(#REF!,Table4[Installation],$B38,#REF!,AP$1,#REF!,AP$2)</f>
        <v>#REF!</v>
      </c>
      <c r="AQ38" s="21" t="e">
        <f>SUMIFS(#REF!,Table4[Installation],$B38,Table4[Projected 
Year],AP$1,#REF!,AP$2)</f>
        <v>#REF!</v>
      </c>
      <c r="AR38" s="24" t="e">
        <f t="shared" si="7"/>
        <v>#REF!</v>
      </c>
      <c r="AS38" s="27" t="e">
        <f>SUMIFS(#REF!,Table4[Installation],$B38,#REF!,AS$1,#REF!,AS$2)</f>
        <v>#REF!</v>
      </c>
      <c r="AT38" s="21" t="e">
        <f>SUMIFS(#REF!,Table4[Installation],$B38,Table4[Projected 
Year],AS$1,#REF!,AS$2)</f>
        <v>#REF!</v>
      </c>
      <c r="AU38" s="24" t="e">
        <f t="shared" si="8"/>
        <v>#REF!</v>
      </c>
      <c r="AV38" s="27" t="e">
        <f>SUMIFS(#REF!,Table4[Installation],$B38,#REF!,AV$1,#REF!,AV$2)</f>
        <v>#REF!</v>
      </c>
      <c r="AW38" s="21" t="e">
        <f>SUMIFS(#REF!,Table4[Installation],$B38,Table4[Projected 
Year],AV$1,#REF!,AV$2)</f>
        <v>#REF!</v>
      </c>
      <c r="AX38" s="24" t="e">
        <f t="shared" si="9"/>
        <v>#REF!</v>
      </c>
      <c r="AY38" s="27" t="e">
        <f>SUMIFS(#REF!,Table4[Installation],$B38,#REF!,AY$1,#REF!,AY$2)</f>
        <v>#REF!</v>
      </c>
      <c r="AZ38" s="21" t="e">
        <f>SUMIFS(#REF!,Table4[Installation],$B38,Table4[Projected 
Year],AY$1,#REF!,AY$2)</f>
        <v>#REF!</v>
      </c>
      <c r="BA38" s="24" t="e">
        <f t="shared" si="10"/>
        <v>#REF!</v>
      </c>
      <c r="BB38" s="27" t="e">
        <f>SUMIFS(#REF!,Table4[Installation],$B38,#REF!,BB$1,#REF!,BB$2)</f>
        <v>#REF!</v>
      </c>
      <c r="BC38" s="21" t="e">
        <f>SUMIFS(#REF!,Table4[Installation],$B38,Table4[Projected 
Year],BB$1,#REF!,BB$2)</f>
        <v>#REF!</v>
      </c>
      <c r="BD38" s="24" t="e">
        <f t="shared" si="11"/>
        <v>#REF!</v>
      </c>
      <c r="BE38" s="27" t="e">
        <f>SUMIFS(#REF!,Table4[Installation],$B38,#REF!,BE$1,#REF!,BE$2)</f>
        <v>#REF!</v>
      </c>
      <c r="BF38" s="21" t="e">
        <f>SUMIFS(#REF!,Table4[Installation],$B38,Table4[Projected 
Year],BE$1,#REF!,BE$2)</f>
        <v>#REF!</v>
      </c>
      <c r="BG38" s="24" t="e">
        <f t="shared" si="18"/>
        <v>#REF!</v>
      </c>
      <c r="BH38" s="27" t="e">
        <f>SUMIFS(#REF!,Table4[Installation],$B38,#REF!,BH$1,#REF!,BH$2)</f>
        <v>#REF!</v>
      </c>
      <c r="BI38" s="21" t="e">
        <f>SUMIFS(#REF!,Table4[Installation],$B38,Table4[Projected 
Year],BH$1,#REF!,BH$2)</f>
        <v>#REF!</v>
      </c>
      <c r="BJ38" s="24" t="e">
        <f t="shared" si="3"/>
        <v>#REF!</v>
      </c>
      <c r="BK38" s="27" t="e">
        <f>SUMIFS(#REF!,Table4[Installation],$B38,#REF!,BK$1,#REF!,BK$2)</f>
        <v>#REF!</v>
      </c>
      <c r="BL38" s="21" t="e">
        <f>SUMIFS(#REF!,Table4[Installation],$B38,Table4[Projected 
Year],BK$1,#REF!,BK$2)</f>
        <v>#REF!</v>
      </c>
      <c r="BM38" s="24" t="e">
        <f t="shared" si="28"/>
        <v>#REF!</v>
      </c>
      <c r="BN38" s="27" t="e">
        <f>SUMIFS(#REF!,Table4[Installation],$B38,#REF!,BN$1,#REF!,BN$2)</f>
        <v>#REF!</v>
      </c>
      <c r="BO38" s="21" t="e">
        <f>SUMIFS(#REF!,Table4[Installation],$B38,Table4[Projected 
Year],BN$1,#REF!,BN$2)</f>
        <v>#REF!</v>
      </c>
      <c r="BP38" s="24" t="e">
        <f t="shared" si="27"/>
        <v>#REF!</v>
      </c>
      <c r="BQ38" s="27" t="e">
        <f>SUMIFS(#REF!,Table4[Installation],$B38,#REF!,BQ$1,#REF!,BQ$2)</f>
        <v>#REF!</v>
      </c>
      <c r="BR38" s="21" t="e">
        <f>SUMIFS(#REF!,Table4[Installation],$B38,Table4[Projected 
Year],BQ$1,#REF!,BQ$2)</f>
        <v>#REF!</v>
      </c>
      <c r="BS38" s="24" t="e">
        <f t="shared" si="30"/>
        <v>#REF!</v>
      </c>
      <c r="BT38" s="27" t="e">
        <f>SUMIFS(#REF!,Table4[Installation],$B38,#REF!,BT$1,#REF!,BT$2)</f>
        <v>#REF!</v>
      </c>
      <c r="BU38" s="21" t="e">
        <f>SUMIFS(#REF!,Table4[Installation],$B38,Table4[Projected 
Year],BT$1,#REF!,BT$2)</f>
        <v>#REF!</v>
      </c>
      <c r="BV38" s="24" t="e">
        <f t="shared" si="29"/>
        <v>#REF!</v>
      </c>
      <c r="BW38" s="27" t="e">
        <f>SUMIFS(#REF!,Table4[Installation],$B38,#REF!,BW$1,#REF!,BW$2)</f>
        <v>#REF!</v>
      </c>
      <c r="BX38" s="21" t="e">
        <f>SUMIFS(#REF!,Table4[Installation],$B38,Table4[Projected 
Year],BW$1,#REF!,BW$2)</f>
        <v>#REF!</v>
      </c>
      <c r="BY38" s="24" t="e">
        <f t="shared" si="25"/>
        <v>#REF!</v>
      </c>
      <c r="BZ38" s="30" t="e">
        <f t="shared" si="22"/>
        <v>#REF!</v>
      </c>
      <c r="CA38" s="30" t="e">
        <f t="shared" si="23"/>
        <v>#REF!</v>
      </c>
      <c r="CB38" s="24" t="e">
        <f t="shared" si="24"/>
        <v>#REF!</v>
      </c>
      <c r="CC38" s="29"/>
    </row>
    <row r="39" spans="1:81">
      <c r="A39" s="18"/>
      <c r="B39" s="20" t="s">
        <v>325</v>
      </c>
      <c r="C39" s="27">
        <f>SUMIFS(Table4[Expected Revenue],Table4[Installation],$B39,Table4[Projected 
Year],C$1,Table4[Projected 
Month],C$2)</f>
        <v>0</v>
      </c>
      <c r="D39" s="23">
        <f>SUMPRODUCT(Table4[Probability]*Table4[Expected Revenue]*(Table4[Installation]=$B39)*(Table4[Projected 
Year]=C$1)*(Table4[Projected 
Month]=C$2))/MAX(1,SUMPRODUCT(Table4[Expected Revenue]*(Table4[Installation]=$B39)*(Table4[Projected 
Year]=C$1)*(Table4[Projected 
Month]=C$2)))</f>
        <v>0</v>
      </c>
      <c r="E39" s="24">
        <f>SUMPRODUCT(Table4[Expected Revenue]*Table4[Expected CMR]*(Table4[Projected 
Year]=C$1)*(Table4[Projected 
Month]=C$2)*(Table4[Installation]=$B39))/MAX(1,C39)</f>
        <v>0</v>
      </c>
      <c r="F39" s="27">
        <f>SUMIFS(Table4[Expected Revenue],Table4[Installation],$B39,Table4[Projected 
Year],F$1,Table4[Projected 
Month],F$2)</f>
        <v>0</v>
      </c>
      <c r="G39" s="23">
        <f>SUMPRODUCT(Table4[Probability]*Table4[Expected Revenue]*(Table4[Installation]=$B39)*(Table4[Projected 
Year]=F$1)*(Table4[Projected 
Month]=F$2))/MAX(1,SUMPRODUCT(Table4[Expected Revenue]*(Table4[Installation]=$B39)*(Table4[Projected 
Year]=F$1)*(Table4[Projected 
Month]=F$2)))</f>
        <v>0</v>
      </c>
      <c r="H39" s="24">
        <f>SUMPRODUCT(Table4[Expected Revenue]*Table4[Expected CMR]*(Table4[Projected 
Year]=F$1)*(Table4[Projected 
Month]=F$2)*(Table4[Installation]=$B39))/MAX(1,F39)</f>
        <v>0</v>
      </c>
      <c r="I39" s="27">
        <f>SUMIFS(Table4[Expected Revenue],Table4[Installation],$B39,Table4[Projected 
Year],I$1,Table4[Projected 
Month],I$2)</f>
        <v>0</v>
      </c>
      <c r="J39" s="23">
        <f>SUMPRODUCT(Table4[Probability]*Table4[Expected Revenue]*(Table4[Installation]=$B39)*(Table4[Projected 
Year]=I$1)*(Table4[Projected 
Month]=I$2))/MAX(1,SUMPRODUCT(Table4[Expected Revenue]*(Table4[Installation]=$B39)*(Table4[Projected 
Year]=I$1)*(Table4[Projected 
Month]=I$2)))</f>
        <v>0</v>
      </c>
      <c r="K39" s="24">
        <f>SUMPRODUCT(Table4[Expected Revenue]*Table4[Expected CMR]*(Table4[Projected 
Year]=I$1)*(Table4[Projected 
Month]=I$2)*(Table4[Installation]=$B39))/MAX(1,I39)</f>
        <v>0</v>
      </c>
      <c r="L39" s="27">
        <f>SUMIFS(Table4[Expected Revenue],Table4[Installation],$B39,Table4[Projected 
Year],L$1,Table4[Projected 
Month],L$2)</f>
        <v>0</v>
      </c>
      <c r="M39" s="23">
        <f>SUMPRODUCT(Table4[Probability]*Table4[Expected Revenue]*(Table4[Installation]=$B39)*(Table4[Projected 
Year]=L$1)*(Table4[Projected 
Month]=L$2))/MAX(1,SUMPRODUCT(Table4[Expected Revenue]*(Table4[Installation]=$B39)*(Table4[Projected 
Year]=L$1)*(Table4[Projected 
Month]=L$2)))</f>
        <v>0</v>
      </c>
      <c r="N39" s="24">
        <f>SUMPRODUCT(Table4[Expected Revenue]*Table4[Expected CMR]*(Table4[Projected 
Year]=L$1)*(Table4[Projected 
Month]=L$2)*(Table4[Installation]=$B39))/MAX(1,L39)</f>
        <v>0</v>
      </c>
      <c r="O39" s="27">
        <f>SUMIFS(Table4[Expected Revenue],Table4[Installation],$B39,Table4[Projected 
Year],O$1,Table4[Projected 
Month],O$2)</f>
        <v>0</v>
      </c>
      <c r="P39" s="23">
        <f>SUMPRODUCT(Table4[Probability]*Table4[Expected Revenue]*(Table4[Installation]=$B39)*(Table4[Projected 
Year]=O$1)*(Table4[Projected 
Month]=O$2))/MAX(1,SUMPRODUCT(Table4[Expected Revenue]*(Table4[Installation]=$B39)*(Table4[Projected 
Year]=O$1)*(Table4[Projected 
Month]=O$2)))</f>
        <v>0</v>
      </c>
      <c r="Q39" s="24">
        <f>SUMPRODUCT(Table4[Expected Revenue]*Table4[Expected CMR]*(Table4[Projected 
Year]=O$1)*(Table4[Projected 
Month]=O$2)*(Table4[Installation]=$B39))/MAX(1,O39)</f>
        <v>0</v>
      </c>
      <c r="R39" s="27">
        <f>SUMIFS(Table4[Expected Revenue],Table4[Installation],$B39,Table4[Projected 
Year],R$1,Table4[Projected 
Month],R$2)</f>
        <v>0</v>
      </c>
      <c r="S39" s="23">
        <f>SUMPRODUCT(Table4[Probability]*Table4[Expected Revenue]*(Table4[Installation]=$B39)*(Table4[Projected 
Year]=R$1)*(Table4[Projected 
Month]=R$2))/MAX(1,SUMPRODUCT(Table4[Expected Revenue]*(Table4[Installation]=$B39)*(Table4[Projected 
Year]=R$1)*(Table4[Projected 
Month]=R$2)))</f>
        <v>0</v>
      </c>
      <c r="T39" s="24">
        <f>SUMPRODUCT(Table4[Expected Revenue]*Table4[Expected CMR]*(Table4[Projected 
Year]=R$1)*(Table4[Projected 
Month]=R$2)*(Table4[Installation]=$B39))/MAX(1,R39)</f>
        <v>0</v>
      </c>
      <c r="U39" s="27">
        <f>SUMIFS(Table4[Expected Revenue],Table4[Installation],$B39,Table4[Projected 
Year],U$1,Table4[Projected 
Month],U$2)</f>
        <v>0</v>
      </c>
      <c r="V39" s="23">
        <f>SUMPRODUCT(Table4[Probability]*Table4[Expected Revenue]*(Table4[Installation]=$B39)*(Table4[Projected 
Year]=U$1)*(Table4[Projected 
Month]=U$2))/MAX(1,SUMPRODUCT(Table4[Expected Revenue]*(Table4[Installation]=$B39)*(Table4[Projected 
Year]=U$1)*(Table4[Projected 
Month]=U$2)))</f>
        <v>0</v>
      </c>
      <c r="W39" s="24">
        <f>SUMPRODUCT(Table4[Expected Revenue]*Table4[Expected CMR]*(Table4[Projected 
Year]=U$1)*(Table4[Projected 
Month]=U$2)*(Table4[Installation]=$B39))/MAX(1,U39)</f>
        <v>0</v>
      </c>
      <c r="X39" s="27">
        <f>SUMIFS(Table4[Expected Revenue],Table4[Installation],$B39,Table4[Projected 
Year],X$1,Table4[Projected 
Month],X$2)</f>
        <v>0</v>
      </c>
      <c r="Y39" s="23">
        <f>SUMPRODUCT(Table4[Probability]*Table4[Expected Revenue]*(Table4[Installation]=$B39)*(Table4[Projected 
Year]=X$1)*(Table4[Projected 
Month]=X$2))/MAX(1,SUMPRODUCT(Table4[Expected Revenue]*(Table4[Installation]=$B39)*(Table4[Projected 
Year]=X$1)*(Table4[Projected 
Month]=X$2)))</f>
        <v>0</v>
      </c>
      <c r="Z39" s="24">
        <f>SUMPRODUCT(Table4[Expected Revenue]*Table4[Expected CMR]*(Table4[Projected 
Year]=X$1)*(Table4[Projected 
Month]=X$2)*(Table4[Installation]=$B39))/MAX(1,X39)</f>
        <v>0</v>
      </c>
      <c r="AA39" s="27">
        <f>SUMIFS(Table4[Expected Revenue],Table4[Installation],$B39,Table4[Projected 
Year],AA$1,Table4[Projected 
Month],AA$2)</f>
        <v>0</v>
      </c>
      <c r="AB39" s="23">
        <f>SUMPRODUCT(Table4[Probability]*Table4[Expected Revenue]*(Table4[Installation]=$B39)*(Table4[Projected 
Year]=AA$1)*(Table4[Projected 
Month]=AA$2))/MAX(1,SUMPRODUCT(Table4[Expected Revenue]*(Table4[Installation]=$B39)*(Table4[Projected 
Year]=AA$1)*(Table4[Projected 
Month]=AA$2)))</f>
        <v>0</v>
      </c>
      <c r="AC39" s="24">
        <f>SUMPRODUCT(Table4[Expected Revenue]*Table4[Expected CMR]*(Table4[Projected 
Year]=AA$1)*(Table4[Projected 
Month]=AA$2)*(Table4[Installation]=$B39))/MAX(1,AA39)</f>
        <v>0</v>
      </c>
      <c r="AD39" s="27">
        <f>SUMIFS(Table4[Expected Revenue],Table4[Installation],$B39,Table4[Projected 
Year],AD$1,Table4[Projected 
Month],AD$2)</f>
        <v>0</v>
      </c>
      <c r="AE39" s="23">
        <f>SUMPRODUCT(Table4[Probability]*Table4[Expected Revenue]*(Table4[Installation]=$B39)*(Table4[Projected 
Year]=AD$1)*(Table4[Projected 
Month]=AD$2))/MAX(1,SUMPRODUCT(Table4[Expected Revenue]*(Table4[Installation]=$B39)*(Table4[Projected 
Year]=AD$1)*(Table4[Projected 
Month]=AD$2)))</f>
        <v>0</v>
      </c>
      <c r="AF39" s="24">
        <f>SUMPRODUCT(Table4[Expected Revenue]*Table4[Expected CMR]*(Table4[Projected 
Year]=AD$1)*(Table4[Projected 
Month]=AD$2)*(Table4[Installation]=$B39))/MAX(1,AD39)</f>
        <v>0</v>
      </c>
      <c r="AG39" s="27">
        <f>SUMIFS(Table4[Expected Revenue],Table4[Installation],$B39,Table4[Projected 
Year],AG$1,Table4[Projected 
Month],AG$2)</f>
        <v>0</v>
      </c>
      <c r="AH39" s="23">
        <f>SUMPRODUCT(Table4[Probability]*Table4[Expected Revenue]*(Table4[Installation]=$B39)*(Table4[Projected 
Year]=AG$1)*(Table4[Projected 
Month]=AG$2))/MAX(1,SUMPRODUCT(Table4[Expected Revenue]*(Table4[Installation]=$B39)*(Table4[Projected 
Year]=AG$1)*(Table4[Projected 
Month]=AG$2)))</f>
        <v>0</v>
      </c>
      <c r="AI39" s="24">
        <f>SUMPRODUCT(Table4[Expected Revenue]*Table4[Expected CMR]*(Table4[Projected 
Year]=AG$1)*(Table4[Projected 
Month]=AG$2)*(Table4[Installation]=$B39))/MAX(1,AG39)</f>
        <v>0</v>
      </c>
      <c r="AJ39" s="27">
        <f>SUMIFS(Table4[Expected Revenue],Table4[Installation],$B39,Table4[Projected 
Year],AJ$1,Table4[Projected 
Month],AJ$2)</f>
        <v>0</v>
      </c>
      <c r="AK39" s="23">
        <f>SUMPRODUCT(Table4[Probability]*Table4[Expected Revenue]*(Table4[Installation]=$B39)*(Table4[Projected 
Year]=AJ$1)*(Table4[Projected 
Month]=AJ$2))/MAX(1,SUMPRODUCT(Table4[Expected Revenue]*(Table4[Installation]=$B39)*(Table4[Projected 
Year]=AJ$1)*(Table4[Projected 
Month]=AJ$2)))</f>
        <v>0</v>
      </c>
      <c r="AL39" s="24">
        <f>SUMPRODUCT(Table4[Expected Revenue]*Table4[Expected CMR]*(Table4[Projected 
Year]=AJ$1)*(Table4[Projected 
Month]=AJ$2)*(Table4[Installation]=$B39))/MAX(1,AJ39)</f>
        <v>0</v>
      </c>
      <c r="AM39" s="30">
        <f t="shared" si="20"/>
        <v>0</v>
      </c>
      <c r="AN39" s="52">
        <f t="shared" si="26"/>
        <v>0</v>
      </c>
      <c r="AO39" s="52">
        <f t="shared" si="26"/>
        <v>0</v>
      </c>
      <c r="AP39" s="27" t="e">
        <f>SUMIFS(#REF!,Table4[Installation],$B39,#REF!,AP$1,#REF!,AP$2)</f>
        <v>#REF!</v>
      </c>
      <c r="AQ39" s="21" t="e">
        <f>SUMIFS(#REF!,Table4[Installation],$B39,Table4[Projected 
Year],AP$1,#REF!,AP$2)</f>
        <v>#REF!</v>
      </c>
      <c r="AR39" s="24" t="e">
        <f t="shared" si="7"/>
        <v>#REF!</v>
      </c>
      <c r="AS39" s="27" t="e">
        <f>SUMIFS(#REF!,Table4[Installation],$B39,#REF!,AS$1,#REF!,AS$2)</f>
        <v>#REF!</v>
      </c>
      <c r="AT39" s="21" t="e">
        <f>SUMIFS(#REF!,Table4[Installation],$B39,Table4[Projected 
Year],AS$1,#REF!,AS$2)</f>
        <v>#REF!</v>
      </c>
      <c r="AU39" s="24" t="e">
        <f t="shared" si="8"/>
        <v>#REF!</v>
      </c>
      <c r="AV39" s="27" t="e">
        <f>SUMIFS(#REF!,Table4[Installation],$B39,#REF!,AV$1,#REF!,AV$2)</f>
        <v>#REF!</v>
      </c>
      <c r="AW39" s="21" t="e">
        <f>SUMIFS(#REF!,Table4[Installation],$B39,Table4[Projected 
Year],AV$1,#REF!,AV$2)</f>
        <v>#REF!</v>
      </c>
      <c r="AX39" s="24" t="e">
        <f t="shared" si="9"/>
        <v>#REF!</v>
      </c>
      <c r="AY39" s="27" t="e">
        <f>SUMIFS(#REF!,Table4[Installation],$B39,#REF!,AY$1,#REF!,AY$2)</f>
        <v>#REF!</v>
      </c>
      <c r="AZ39" s="21" t="e">
        <f>SUMIFS(#REF!,Table4[Installation],$B39,Table4[Projected 
Year],AY$1,#REF!,AY$2)</f>
        <v>#REF!</v>
      </c>
      <c r="BA39" s="24" t="e">
        <f t="shared" si="10"/>
        <v>#REF!</v>
      </c>
      <c r="BB39" s="27" t="e">
        <f>SUMIFS(#REF!,Table4[Installation],$B39,#REF!,BB$1,#REF!,BB$2)</f>
        <v>#REF!</v>
      </c>
      <c r="BC39" s="21" t="e">
        <f>SUMIFS(#REF!,Table4[Installation],$B39,Table4[Projected 
Year],BB$1,#REF!,BB$2)</f>
        <v>#REF!</v>
      </c>
      <c r="BD39" s="24" t="e">
        <f t="shared" si="11"/>
        <v>#REF!</v>
      </c>
      <c r="BE39" s="27" t="e">
        <f>SUMIFS(#REF!,Table4[Installation],$B39,#REF!,BE$1,#REF!,BE$2)</f>
        <v>#REF!</v>
      </c>
      <c r="BF39" s="21" t="e">
        <f>SUMIFS(#REF!,Table4[Installation],$B39,Table4[Projected 
Year],BE$1,#REF!,BE$2)</f>
        <v>#REF!</v>
      </c>
      <c r="BG39" s="24" t="e">
        <f t="shared" si="18"/>
        <v>#REF!</v>
      </c>
      <c r="BH39" s="27" t="e">
        <f>SUMIFS(#REF!,Table4[Installation],$B39,#REF!,BH$1,#REF!,BH$2)</f>
        <v>#REF!</v>
      </c>
      <c r="BI39" s="21" t="e">
        <f>SUMIFS(#REF!,Table4[Installation],$B39,Table4[Projected 
Year],BH$1,#REF!,BH$2)</f>
        <v>#REF!</v>
      </c>
      <c r="BJ39" s="24" t="e">
        <f t="shared" si="3"/>
        <v>#REF!</v>
      </c>
      <c r="BK39" s="27" t="e">
        <f>SUMIFS(#REF!,Table4[Installation],$B39,#REF!,BK$1,#REF!,BK$2)</f>
        <v>#REF!</v>
      </c>
      <c r="BL39" s="21" t="e">
        <f>SUMIFS(#REF!,Table4[Installation],$B39,Table4[Projected 
Year],BK$1,#REF!,BK$2)</f>
        <v>#REF!</v>
      </c>
      <c r="BM39" s="24" t="e">
        <f t="shared" si="28"/>
        <v>#REF!</v>
      </c>
      <c r="BN39" s="27" t="e">
        <f>SUMIFS(#REF!,Table4[Installation],$B39,#REF!,BN$1,#REF!,BN$2)</f>
        <v>#REF!</v>
      </c>
      <c r="BO39" s="21" t="e">
        <f>SUMIFS(#REF!,Table4[Installation],$B39,Table4[Projected 
Year],BN$1,#REF!,BN$2)</f>
        <v>#REF!</v>
      </c>
      <c r="BP39" s="24" t="e">
        <f t="shared" si="27"/>
        <v>#REF!</v>
      </c>
      <c r="BQ39" s="27" t="e">
        <f>SUMIFS(#REF!,Table4[Installation],$B39,#REF!,BQ$1,#REF!,BQ$2)</f>
        <v>#REF!</v>
      </c>
      <c r="BR39" s="21" t="e">
        <f>SUMIFS(#REF!,Table4[Installation],$B39,Table4[Projected 
Year],BQ$1,#REF!,BQ$2)</f>
        <v>#REF!</v>
      </c>
      <c r="BS39" s="24" t="e">
        <f t="shared" si="30"/>
        <v>#REF!</v>
      </c>
      <c r="BT39" s="27" t="e">
        <f>SUMIFS(#REF!,Table4[Installation],$B39,#REF!,BT$1,#REF!,BT$2)</f>
        <v>#REF!</v>
      </c>
      <c r="BU39" s="21" t="e">
        <f>SUMIFS(#REF!,Table4[Installation],$B39,Table4[Projected 
Year],BT$1,#REF!,BT$2)</f>
        <v>#REF!</v>
      </c>
      <c r="BV39" s="24" t="e">
        <f t="shared" si="29"/>
        <v>#REF!</v>
      </c>
      <c r="BW39" s="27" t="e">
        <f>SUMIFS(#REF!,Table4[Installation],$B39,#REF!,BW$1,#REF!,BW$2)</f>
        <v>#REF!</v>
      </c>
      <c r="BX39" s="21" t="e">
        <f>SUMIFS(#REF!,Table4[Installation],$B39,Table4[Projected 
Year],BW$1,#REF!,BW$2)</f>
        <v>#REF!</v>
      </c>
      <c r="BY39" s="24" t="e">
        <f t="shared" si="25"/>
        <v>#REF!</v>
      </c>
      <c r="BZ39" s="30" t="e">
        <f t="shared" si="22"/>
        <v>#REF!</v>
      </c>
      <c r="CA39" s="30" t="e">
        <f t="shared" si="23"/>
        <v>#REF!</v>
      </c>
      <c r="CB39" s="24" t="e">
        <f t="shared" si="24"/>
        <v>#REF!</v>
      </c>
      <c r="CC39" s="29"/>
    </row>
    <row r="40" spans="1:81">
      <c r="A40" s="18"/>
      <c r="B40" s="20" t="s">
        <v>326</v>
      </c>
      <c r="C40" s="27">
        <f>SUMIFS(Table4[Expected Revenue],Table4[Installation],$B40,Table4[Projected 
Year],C$1,Table4[Projected 
Month],C$2)</f>
        <v>0</v>
      </c>
      <c r="D40" s="23">
        <f>SUMPRODUCT(Table4[Probability]*Table4[Expected Revenue]*(Table4[Installation]=$B40)*(Table4[Projected 
Year]=C$1)*(Table4[Projected 
Month]=C$2))/MAX(1,SUMPRODUCT(Table4[Expected Revenue]*(Table4[Installation]=$B40)*(Table4[Projected 
Year]=C$1)*(Table4[Projected 
Month]=C$2)))</f>
        <v>0</v>
      </c>
      <c r="E40" s="24">
        <f>SUMPRODUCT(Table4[Expected Revenue]*Table4[Expected CMR]*(Table4[Projected 
Year]=C$1)*(Table4[Projected 
Month]=C$2)*(Table4[Installation]=$B40))/MAX(1,C40)</f>
        <v>0</v>
      </c>
      <c r="F40" s="27">
        <f>SUMIFS(Table4[Expected Revenue],Table4[Installation],$B40,Table4[Projected 
Year],F$1,Table4[Projected 
Month],F$2)</f>
        <v>0</v>
      </c>
      <c r="G40" s="23">
        <f>SUMPRODUCT(Table4[Probability]*Table4[Expected Revenue]*(Table4[Installation]=$B40)*(Table4[Projected 
Year]=F$1)*(Table4[Projected 
Month]=F$2))/MAX(1,SUMPRODUCT(Table4[Expected Revenue]*(Table4[Installation]=$B40)*(Table4[Projected 
Year]=F$1)*(Table4[Projected 
Month]=F$2)))</f>
        <v>0</v>
      </c>
      <c r="H40" s="24">
        <f>SUMPRODUCT(Table4[Expected Revenue]*Table4[Expected CMR]*(Table4[Projected 
Year]=F$1)*(Table4[Projected 
Month]=F$2)*(Table4[Installation]=$B40))/MAX(1,F40)</f>
        <v>0</v>
      </c>
      <c r="I40" s="27">
        <f>SUMIFS(Table4[Expected Revenue],Table4[Installation],$B40,Table4[Projected 
Year],I$1,Table4[Projected 
Month],I$2)</f>
        <v>0</v>
      </c>
      <c r="J40" s="23">
        <f>SUMPRODUCT(Table4[Probability]*Table4[Expected Revenue]*(Table4[Installation]=$B40)*(Table4[Projected 
Year]=I$1)*(Table4[Projected 
Month]=I$2))/MAX(1,SUMPRODUCT(Table4[Expected Revenue]*(Table4[Installation]=$B40)*(Table4[Projected 
Year]=I$1)*(Table4[Projected 
Month]=I$2)))</f>
        <v>0</v>
      </c>
      <c r="K40" s="24">
        <f>SUMPRODUCT(Table4[Expected Revenue]*Table4[Expected CMR]*(Table4[Projected 
Year]=I$1)*(Table4[Projected 
Month]=I$2)*(Table4[Installation]=$B40))/MAX(1,I40)</f>
        <v>0</v>
      </c>
      <c r="L40" s="27">
        <f>SUMIFS(Table4[Expected Revenue],Table4[Installation],$B40,Table4[Projected 
Year],L$1,Table4[Projected 
Month],L$2)</f>
        <v>0</v>
      </c>
      <c r="M40" s="23">
        <f>SUMPRODUCT(Table4[Probability]*Table4[Expected Revenue]*(Table4[Installation]=$B40)*(Table4[Projected 
Year]=L$1)*(Table4[Projected 
Month]=L$2))/MAX(1,SUMPRODUCT(Table4[Expected Revenue]*(Table4[Installation]=$B40)*(Table4[Projected 
Year]=L$1)*(Table4[Projected 
Month]=L$2)))</f>
        <v>0</v>
      </c>
      <c r="N40" s="24">
        <f>SUMPRODUCT(Table4[Expected Revenue]*Table4[Expected CMR]*(Table4[Projected 
Year]=L$1)*(Table4[Projected 
Month]=L$2)*(Table4[Installation]=$B40))/MAX(1,L40)</f>
        <v>0</v>
      </c>
      <c r="O40" s="27">
        <f>SUMIFS(Table4[Expected Revenue],Table4[Installation],$B40,Table4[Projected 
Year],O$1,Table4[Projected 
Month],O$2)</f>
        <v>0</v>
      </c>
      <c r="P40" s="23">
        <f>SUMPRODUCT(Table4[Probability]*Table4[Expected Revenue]*(Table4[Installation]=$B40)*(Table4[Projected 
Year]=O$1)*(Table4[Projected 
Month]=O$2))/MAX(1,SUMPRODUCT(Table4[Expected Revenue]*(Table4[Installation]=$B40)*(Table4[Projected 
Year]=O$1)*(Table4[Projected 
Month]=O$2)))</f>
        <v>0</v>
      </c>
      <c r="Q40" s="24">
        <f>SUMPRODUCT(Table4[Expected Revenue]*Table4[Expected CMR]*(Table4[Projected 
Year]=O$1)*(Table4[Projected 
Month]=O$2)*(Table4[Installation]=$B40))/MAX(1,O40)</f>
        <v>0</v>
      </c>
      <c r="R40" s="27">
        <f>SUMIFS(Table4[Expected Revenue],Table4[Installation],$B40,Table4[Projected 
Year],R$1,Table4[Projected 
Month],R$2)</f>
        <v>0</v>
      </c>
      <c r="S40" s="23">
        <f>SUMPRODUCT(Table4[Probability]*Table4[Expected Revenue]*(Table4[Installation]=$B40)*(Table4[Projected 
Year]=R$1)*(Table4[Projected 
Month]=R$2))/MAX(1,SUMPRODUCT(Table4[Expected Revenue]*(Table4[Installation]=$B40)*(Table4[Projected 
Year]=R$1)*(Table4[Projected 
Month]=R$2)))</f>
        <v>0</v>
      </c>
      <c r="T40" s="24">
        <f>SUMPRODUCT(Table4[Expected Revenue]*Table4[Expected CMR]*(Table4[Projected 
Year]=R$1)*(Table4[Projected 
Month]=R$2)*(Table4[Installation]=$B40))/MAX(1,R40)</f>
        <v>0</v>
      </c>
      <c r="U40" s="27">
        <f>SUMIFS(Table4[Expected Revenue],Table4[Installation],$B40,Table4[Projected 
Year],U$1,Table4[Projected 
Month],U$2)</f>
        <v>0</v>
      </c>
      <c r="V40" s="23">
        <f>SUMPRODUCT(Table4[Probability]*Table4[Expected Revenue]*(Table4[Installation]=$B40)*(Table4[Projected 
Year]=U$1)*(Table4[Projected 
Month]=U$2))/MAX(1,SUMPRODUCT(Table4[Expected Revenue]*(Table4[Installation]=$B40)*(Table4[Projected 
Year]=U$1)*(Table4[Projected 
Month]=U$2)))</f>
        <v>0</v>
      </c>
      <c r="W40" s="24">
        <f>SUMPRODUCT(Table4[Expected Revenue]*Table4[Expected CMR]*(Table4[Projected 
Year]=U$1)*(Table4[Projected 
Month]=U$2)*(Table4[Installation]=$B40))/MAX(1,U40)</f>
        <v>0</v>
      </c>
      <c r="X40" s="27">
        <f>SUMIFS(Table4[Expected Revenue],Table4[Installation],$B40,Table4[Projected 
Year],X$1,Table4[Projected 
Month],X$2)</f>
        <v>0</v>
      </c>
      <c r="Y40" s="23">
        <f>SUMPRODUCT(Table4[Probability]*Table4[Expected Revenue]*(Table4[Installation]=$B40)*(Table4[Projected 
Year]=X$1)*(Table4[Projected 
Month]=X$2))/MAX(1,SUMPRODUCT(Table4[Expected Revenue]*(Table4[Installation]=$B40)*(Table4[Projected 
Year]=X$1)*(Table4[Projected 
Month]=X$2)))</f>
        <v>0</v>
      </c>
      <c r="Z40" s="24">
        <f>SUMPRODUCT(Table4[Expected Revenue]*Table4[Expected CMR]*(Table4[Projected 
Year]=X$1)*(Table4[Projected 
Month]=X$2)*(Table4[Installation]=$B40))/MAX(1,X40)</f>
        <v>0</v>
      </c>
      <c r="AA40" s="27">
        <f>SUMIFS(Table4[Expected Revenue],Table4[Installation],$B40,Table4[Projected 
Year],AA$1,Table4[Projected 
Month],AA$2)</f>
        <v>0</v>
      </c>
      <c r="AB40" s="23">
        <f>SUMPRODUCT(Table4[Probability]*Table4[Expected Revenue]*(Table4[Installation]=$B40)*(Table4[Projected 
Year]=AA$1)*(Table4[Projected 
Month]=AA$2))/MAX(1,SUMPRODUCT(Table4[Expected Revenue]*(Table4[Installation]=$B40)*(Table4[Projected 
Year]=AA$1)*(Table4[Projected 
Month]=AA$2)))</f>
        <v>0</v>
      </c>
      <c r="AC40" s="24">
        <f>SUMPRODUCT(Table4[Expected Revenue]*Table4[Expected CMR]*(Table4[Projected 
Year]=AA$1)*(Table4[Projected 
Month]=AA$2)*(Table4[Installation]=$B40))/MAX(1,AA40)</f>
        <v>0</v>
      </c>
      <c r="AD40" s="27">
        <f>SUMIFS(Table4[Expected Revenue],Table4[Installation],$B40,Table4[Projected 
Year],AD$1,Table4[Projected 
Month],AD$2)</f>
        <v>0</v>
      </c>
      <c r="AE40" s="23">
        <f>SUMPRODUCT(Table4[Probability]*Table4[Expected Revenue]*(Table4[Installation]=$B40)*(Table4[Projected 
Year]=AD$1)*(Table4[Projected 
Month]=AD$2))/MAX(1,SUMPRODUCT(Table4[Expected Revenue]*(Table4[Installation]=$B40)*(Table4[Projected 
Year]=AD$1)*(Table4[Projected 
Month]=AD$2)))</f>
        <v>0</v>
      </c>
      <c r="AF40" s="24">
        <f>SUMPRODUCT(Table4[Expected Revenue]*Table4[Expected CMR]*(Table4[Projected 
Year]=AD$1)*(Table4[Projected 
Month]=AD$2)*(Table4[Installation]=$B40))/MAX(1,AD40)</f>
        <v>0</v>
      </c>
      <c r="AG40" s="27">
        <f>SUMIFS(Table4[Expected Revenue],Table4[Installation],$B40,Table4[Projected 
Year],AG$1,Table4[Projected 
Month],AG$2)</f>
        <v>0</v>
      </c>
      <c r="AH40" s="23">
        <f>SUMPRODUCT(Table4[Probability]*Table4[Expected Revenue]*(Table4[Installation]=$B40)*(Table4[Projected 
Year]=AG$1)*(Table4[Projected 
Month]=AG$2))/MAX(1,SUMPRODUCT(Table4[Expected Revenue]*(Table4[Installation]=$B40)*(Table4[Projected 
Year]=AG$1)*(Table4[Projected 
Month]=AG$2)))</f>
        <v>0</v>
      </c>
      <c r="AI40" s="24">
        <f>SUMPRODUCT(Table4[Expected Revenue]*Table4[Expected CMR]*(Table4[Projected 
Year]=AG$1)*(Table4[Projected 
Month]=AG$2)*(Table4[Installation]=$B40))/MAX(1,AG40)</f>
        <v>0</v>
      </c>
      <c r="AJ40" s="27">
        <f>SUMIFS(Table4[Expected Revenue],Table4[Installation],$B40,Table4[Projected 
Year],AJ$1,Table4[Projected 
Month],AJ$2)</f>
        <v>0</v>
      </c>
      <c r="AK40" s="23">
        <f>SUMPRODUCT(Table4[Probability]*Table4[Expected Revenue]*(Table4[Installation]=$B40)*(Table4[Projected 
Year]=AJ$1)*(Table4[Projected 
Month]=AJ$2))/MAX(1,SUMPRODUCT(Table4[Expected Revenue]*(Table4[Installation]=$B40)*(Table4[Projected 
Year]=AJ$1)*(Table4[Projected 
Month]=AJ$2)))</f>
        <v>0</v>
      </c>
      <c r="AL40" s="24">
        <f>SUMPRODUCT(Table4[Expected Revenue]*Table4[Expected CMR]*(Table4[Projected 
Year]=AJ$1)*(Table4[Projected 
Month]=AJ$2)*(Table4[Installation]=$B40))/MAX(1,AJ40)</f>
        <v>0</v>
      </c>
      <c r="AM40" s="30">
        <f t="shared" si="20"/>
        <v>0</v>
      </c>
      <c r="AN40" s="52">
        <f t="shared" si="26"/>
        <v>0</v>
      </c>
      <c r="AO40" s="52">
        <f t="shared" si="26"/>
        <v>0</v>
      </c>
      <c r="AP40" s="27" t="e">
        <f>SUMIFS(#REF!,Table4[Installation],$B40,#REF!,AP$1,#REF!,AP$2)</f>
        <v>#REF!</v>
      </c>
      <c r="AQ40" s="21" t="e">
        <f>SUMIFS(#REF!,Table4[Installation],$B40,Table4[Projected 
Year],AP$1,#REF!,AP$2)</f>
        <v>#REF!</v>
      </c>
      <c r="AR40" s="24" t="e">
        <f t="shared" si="7"/>
        <v>#REF!</v>
      </c>
      <c r="AS40" s="27" t="e">
        <f>SUMIFS(#REF!,Table4[Installation],$B40,#REF!,AS$1,#REF!,AS$2)</f>
        <v>#REF!</v>
      </c>
      <c r="AT40" s="21" t="e">
        <f>SUMIFS(#REF!,Table4[Installation],$B40,Table4[Projected 
Year],AS$1,#REF!,AS$2)</f>
        <v>#REF!</v>
      </c>
      <c r="AU40" s="24" t="e">
        <f t="shared" si="8"/>
        <v>#REF!</v>
      </c>
      <c r="AV40" s="27" t="e">
        <f>SUMIFS(#REF!,Table4[Installation],$B40,#REF!,AV$1,#REF!,AV$2)</f>
        <v>#REF!</v>
      </c>
      <c r="AW40" s="21" t="e">
        <f>SUMIFS(#REF!,Table4[Installation],$B40,Table4[Projected 
Year],AV$1,#REF!,AV$2)</f>
        <v>#REF!</v>
      </c>
      <c r="AX40" s="24" t="e">
        <f t="shared" si="9"/>
        <v>#REF!</v>
      </c>
      <c r="AY40" s="27" t="e">
        <f>SUMIFS(#REF!,Table4[Installation],$B40,#REF!,AY$1,#REF!,AY$2)</f>
        <v>#REF!</v>
      </c>
      <c r="AZ40" s="21" t="e">
        <f>SUMIFS(#REF!,Table4[Installation],$B40,Table4[Projected 
Year],AY$1,#REF!,AY$2)</f>
        <v>#REF!</v>
      </c>
      <c r="BA40" s="24" t="e">
        <f t="shared" si="10"/>
        <v>#REF!</v>
      </c>
      <c r="BB40" s="27" t="e">
        <f>SUMIFS(#REF!,Table4[Installation],$B40,#REF!,BB$1,#REF!,BB$2)</f>
        <v>#REF!</v>
      </c>
      <c r="BC40" s="21" t="e">
        <f>SUMIFS(#REF!,Table4[Installation],$B40,Table4[Projected 
Year],BB$1,#REF!,BB$2)</f>
        <v>#REF!</v>
      </c>
      <c r="BD40" s="24" t="e">
        <f t="shared" si="11"/>
        <v>#REF!</v>
      </c>
      <c r="BE40" s="27" t="e">
        <f>SUMIFS(#REF!,Table4[Installation],$B40,#REF!,BE$1,#REF!,BE$2)</f>
        <v>#REF!</v>
      </c>
      <c r="BF40" s="21" t="e">
        <f>SUMIFS(#REF!,Table4[Installation],$B40,Table4[Projected 
Year],BE$1,#REF!,BE$2)</f>
        <v>#REF!</v>
      </c>
      <c r="BG40" s="24" t="e">
        <f t="shared" si="18"/>
        <v>#REF!</v>
      </c>
      <c r="BH40" s="27" t="e">
        <f>SUMIFS(#REF!,Table4[Installation],$B40,#REF!,BH$1,#REF!,BH$2)</f>
        <v>#REF!</v>
      </c>
      <c r="BI40" s="21" t="e">
        <f>SUMIFS(#REF!,Table4[Installation],$B40,Table4[Projected 
Year],BH$1,#REF!,BH$2)</f>
        <v>#REF!</v>
      </c>
      <c r="BJ40" s="24" t="e">
        <f t="shared" si="3"/>
        <v>#REF!</v>
      </c>
      <c r="BK40" s="27" t="e">
        <f>SUMIFS(#REF!,Table4[Installation],$B40,#REF!,BK$1,#REF!,BK$2)</f>
        <v>#REF!</v>
      </c>
      <c r="BL40" s="21" t="e">
        <f>SUMIFS(#REF!,Table4[Installation],$B40,Table4[Projected 
Year],BK$1,#REF!,BK$2)</f>
        <v>#REF!</v>
      </c>
      <c r="BM40" s="24" t="e">
        <f t="shared" si="28"/>
        <v>#REF!</v>
      </c>
      <c r="BN40" s="27" t="e">
        <f>SUMIFS(#REF!,Table4[Installation],$B40,#REF!,BN$1,#REF!,BN$2)</f>
        <v>#REF!</v>
      </c>
      <c r="BO40" s="21" t="e">
        <f>SUMIFS(#REF!,Table4[Installation],$B40,Table4[Projected 
Year],BN$1,#REF!,BN$2)</f>
        <v>#REF!</v>
      </c>
      <c r="BP40" s="24" t="e">
        <f t="shared" si="27"/>
        <v>#REF!</v>
      </c>
      <c r="BQ40" s="27" t="e">
        <f>SUMIFS(#REF!,Table4[Installation],$B40,#REF!,BQ$1,#REF!,BQ$2)</f>
        <v>#REF!</v>
      </c>
      <c r="BR40" s="21" t="e">
        <f>SUMIFS(#REF!,Table4[Installation],$B40,Table4[Projected 
Year],BQ$1,#REF!,BQ$2)</f>
        <v>#REF!</v>
      </c>
      <c r="BS40" s="24" t="e">
        <f t="shared" si="30"/>
        <v>#REF!</v>
      </c>
      <c r="BT40" s="27" t="e">
        <f>SUMIFS(#REF!,Table4[Installation],$B40,#REF!,BT$1,#REF!,BT$2)</f>
        <v>#REF!</v>
      </c>
      <c r="BU40" s="21" t="e">
        <f>SUMIFS(#REF!,Table4[Installation],$B40,Table4[Projected 
Year],BT$1,#REF!,BT$2)</f>
        <v>#REF!</v>
      </c>
      <c r="BV40" s="24" t="e">
        <f t="shared" si="29"/>
        <v>#REF!</v>
      </c>
      <c r="BW40" s="27" t="e">
        <f>SUMIFS(#REF!,Table4[Installation],$B40,#REF!,BW$1,#REF!,BW$2)</f>
        <v>#REF!</v>
      </c>
      <c r="BX40" s="21" t="e">
        <f>SUMIFS(#REF!,Table4[Installation],$B40,Table4[Projected 
Year],BW$1,#REF!,BW$2)</f>
        <v>#REF!</v>
      </c>
      <c r="BY40" s="24" t="e">
        <f t="shared" si="25"/>
        <v>#REF!</v>
      </c>
      <c r="BZ40" s="30" t="e">
        <f t="shared" si="22"/>
        <v>#REF!</v>
      </c>
      <c r="CA40" s="30" t="e">
        <f t="shared" si="23"/>
        <v>#REF!</v>
      </c>
      <c r="CB40" s="24" t="e">
        <f t="shared" si="24"/>
        <v>#REF!</v>
      </c>
      <c r="CC40" s="29"/>
    </row>
    <row r="41" spans="1:81">
      <c r="A41" s="18"/>
      <c r="B41" s="20" t="s">
        <v>327</v>
      </c>
      <c r="C41" s="27">
        <f>SUMIFS(Table4[Expected Revenue],Table4[Installation],$B41,Table4[Projected 
Year],C$1,Table4[Projected 
Month],C$2)</f>
        <v>0</v>
      </c>
      <c r="D41" s="23">
        <f>SUMPRODUCT(Table4[Probability]*Table4[Expected Revenue]*(Table4[Installation]=$B41)*(Table4[Projected 
Year]=C$1)*(Table4[Projected 
Month]=C$2))/MAX(1,SUMPRODUCT(Table4[Expected Revenue]*(Table4[Installation]=$B41)*(Table4[Projected 
Year]=C$1)*(Table4[Projected 
Month]=C$2)))</f>
        <v>0</v>
      </c>
      <c r="E41" s="24">
        <f>SUMPRODUCT(Table4[Expected Revenue]*Table4[Expected CMR]*(Table4[Projected 
Year]=C$1)*(Table4[Projected 
Month]=C$2)*(Table4[Installation]=$B41))/MAX(1,C41)</f>
        <v>0</v>
      </c>
      <c r="F41" s="27">
        <f>SUMIFS(Table4[Expected Revenue],Table4[Installation],$B41,Table4[Projected 
Year],F$1,Table4[Projected 
Month],F$2)</f>
        <v>0</v>
      </c>
      <c r="G41" s="23">
        <f>SUMPRODUCT(Table4[Probability]*Table4[Expected Revenue]*(Table4[Installation]=$B41)*(Table4[Projected 
Year]=F$1)*(Table4[Projected 
Month]=F$2))/MAX(1,SUMPRODUCT(Table4[Expected Revenue]*(Table4[Installation]=$B41)*(Table4[Projected 
Year]=F$1)*(Table4[Projected 
Month]=F$2)))</f>
        <v>0</v>
      </c>
      <c r="H41" s="24">
        <f>SUMPRODUCT(Table4[Expected Revenue]*Table4[Expected CMR]*(Table4[Projected 
Year]=F$1)*(Table4[Projected 
Month]=F$2)*(Table4[Installation]=$B41))/MAX(1,F41)</f>
        <v>0</v>
      </c>
      <c r="I41" s="27">
        <f>SUMIFS(Table4[Expected Revenue],Table4[Installation],$B41,Table4[Projected 
Year],I$1,Table4[Projected 
Month],I$2)</f>
        <v>0</v>
      </c>
      <c r="J41" s="23">
        <f>SUMPRODUCT(Table4[Probability]*Table4[Expected Revenue]*(Table4[Installation]=$B41)*(Table4[Projected 
Year]=I$1)*(Table4[Projected 
Month]=I$2))/MAX(1,SUMPRODUCT(Table4[Expected Revenue]*(Table4[Installation]=$B41)*(Table4[Projected 
Year]=I$1)*(Table4[Projected 
Month]=I$2)))</f>
        <v>0</v>
      </c>
      <c r="K41" s="24">
        <f>SUMPRODUCT(Table4[Expected Revenue]*Table4[Expected CMR]*(Table4[Projected 
Year]=I$1)*(Table4[Projected 
Month]=I$2)*(Table4[Installation]=$B41))/MAX(1,I41)</f>
        <v>0</v>
      </c>
      <c r="L41" s="27">
        <f>SUMIFS(Table4[Expected Revenue],Table4[Installation],$B41,Table4[Projected 
Year],L$1,Table4[Projected 
Month],L$2)</f>
        <v>0</v>
      </c>
      <c r="M41" s="23">
        <f>SUMPRODUCT(Table4[Probability]*Table4[Expected Revenue]*(Table4[Installation]=$B41)*(Table4[Projected 
Year]=L$1)*(Table4[Projected 
Month]=L$2))/MAX(1,SUMPRODUCT(Table4[Expected Revenue]*(Table4[Installation]=$B41)*(Table4[Projected 
Year]=L$1)*(Table4[Projected 
Month]=L$2)))</f>
        <v>0</v>
      </c>
      <c r="N41" s="24">
        <f>SUMPRODUCT(Table4[Expected Revenue]*Table4[Expected CMR]*(Table4[Projected 
Year]=L$1)*(Table4[Projected 
Month]=L$2)*(Table4[Installation]=$B41))/MAX(1,L41)</f>
        <v>0</v>
      </c>
      <c r="O41" s="27">
        <f>SUMIFS(Table4[Expected Revenue],Table4[Installation],$B41,Table4[Projected 
Year],O$1,Table4[Projected 
Month],O$2)</f>
        <v>0</v>
      </c>
      <c r="P41" s="23">
        <f>SUMPRODUCT(Table4[Probability]*Table4[Expected Revenue]*(Table4[Installation]=$B41)*(Table4[Projected 
Year]=O$1)*(Table4[Projected 
Month]=O$2))/MAX(1,SUMPRODUCT(Table4[Expected Revenue]*(Table4[Installation]=$B41)*(Table4[Projected 
Year]=O$1)*(Table4[Projected 
Month]=O$2)))</f>
        <v>0</v>
      </c>
      <c r="Q41" s="24">
        <f>SUMPRODUCT(Table4[Expected Revenue]*Table4[Expected CMR]*(Table4[Projected 
Year]=O$1)*(Table4[Projected 
Month]=O$2)*(Table4[Installation]=$B41))/MAX(1,O41)</f>
        <v>0</v>
      </c>
      <c r="R41" s="27">
        <f>SUMIFS(Table4[Expected Revenue],Table4[Installation],$B41,Table4[Projected 
Year],R$1,Table4[Projected 
Month],R$2)</f>
        <v>0</v>
      </c>
      <c r="S41" s="23">
        <f>SUMPRODUCT(Table4[Probability]*Table4[Expected Revenue]*(Table4[Installation]=$B41)*(Table4[Projected 
Year]=R$1)*(Table4[Projected 
Month]=R$2))/MAX(1,SUMPRODUCT(Table4[Expected Revenue]*(Table4[Installation]=$B41)*(Table4[Projected 
Year]=R$1)*(Table4[Projected 
Month]=R$2)))</f>
        <v>0</v>
      </c>
      <c r="T41" s="24">
        <f>SUMPRODUCT(Table4[Expected Revenue]*Table4[Expected CMR]*(Table4[Projected 
Year]=R$1)*(Table4[Projected 
Month]=R$2)*(Table4[Installation]=$B41))/MAX(1,R41)</f>
        <v>0</v>
      </c>
      <c r="U41" s="27">
        <f>SUMIFS(Table4[Expected Revenue],Table4[Installation],$B41,Table4[Projected 
Year],U$1,Table4[Projected 
Month],U$2)</f>
        <v>0</v>
      </c>
      <c r="V41" s="23">
        <f>SUMPRODUCT(Table4[Probability]*Table4[Expected Revenue]*(Table4[Installation]=$B41)*(Table4[Projected 
Year]=U$1)*(Table4[Projected 
Month]=U$2))/MAX(1,SUMPRODUCT(Table4[Expected Revenue]*(Table4[Installation]=$B41)*(Table4[Projected 
Year]=U$1)*(Table4[Projected 
Month]=U$2)))</f>
        <v>0</v>
      </c>
      <c r="W41" s="24">
        <f>SUMPRODUCT(Table4[Expected Revenue]*Table4[Expected CMR]*(Table4[Projected 
Year]=U$1)*(Table4[Projected 
Month]=U$2)*(Table4[Installation]=$B41))/MAX(1,U41)</f>
        <v>0</v>
      </c>
      <c r="X41" s="27">
        <f>SUMIFS(Table4[Expected Revenue],Table4[Installation],$B41,Table4[Projected 
Year],X$1,Table4[Projected 
Month],X$2)</f>
        <v>0</v>
      </c>
      <c r="Y41" s="23">
        <f>SUMPRODUCT(Table4[Probability]*Table4[Expected Revenue]*(Table4[Installation]=$B41)*(Table4[Projected 
Year]=X$1)*(Table4[Projected 
Month]=X$2))/MAX(1,SUMPRODUCT(Table4[Expected Revenue]*(Table4[Installation]=$B41)*(Table4[Projected 
Year]=X$1)*(Table4[Projected 
Month]=X$2)))</f>
        <v>0</v>
      </c>
      <c r="Z41" s="24">
        <f>SUMPRODUCT(Table4[Expected Revenue]*Table4[Expected CMR]*(Table4[Projected 
Year]=X$1)*(Table4[Projected 
Month]=X$2)*(Table4[Installation]=$B41))/MAX(1,X41)</f>
        <v>0</v>
      </c>
      <c r="AA41" s="27">
        <f>SUMIFS(Table4[Expected Revenue],Table4[Installation],$B41,Table4[Projected 
Year],AA$1,Table4[Projected 
Month],AA$2)</f>
        <v>0</v>
      </c>
      <c r="AB41" s="23">
        <f>SUMPRODUCT(Table4[Probability]*Table4[Expected Revenue]*(Table4[Installation]=$B41)*(Table4[Projected 
Year]=AA$1)*(Table4[Projected 
Month]=AA$2))/MAX(1,SUMPRODUCT(Table4[Expected Revenue]*(Table4[Installation]=$B41)*(Table4[Projected 
Year]=AA$1)*(Table4[Projected 
Month]=AA$2)))</f>
        <v>0</v>
      </c>
      <c r="AC41" s="24">
        <f>SUMPRODUCT(Table4[Expected Revenue]*Table4[Expected CMR]*(Table4[Projected 
Year]=AA$1)*(Table4[Projected 
Month]=AA$2)*(Table4[Installation]=$B41))/MAX(1,AA41)</f>
        <v>0</v>
      </c>
      <c r="AD41" s="27">
        <f>SUMIFS(Table4[Expected Revenue],Table4[Installation],$B41,Table4[Projected 
Year],AD$1,Table4[Projected 
Month],AD$2)</f>
        <v>0</v>
      </c>
      <c r="AE41" s="23">
        <f>SUMPRODUCT(Table4[Probability]*Table4[Expected Revenue]*(Table4[Installation]=$B41)*(Table4[Projected 
Year]=AD$1)*(Table4[Projected 
Month]=AD$2))/MAX(1,SUMPRODUCT(Table4[Expected Revenue]*(Table4[Installation]=$B41)*(Table4[Projected 
Year]=AD$1)*(Table4[Projected 
Month]=AD$2)))</f>
        <v>0</v>
      </c>
      <c r="AF41" s="24">
        <f>SUMPRODUCT(Table4[Expected Revenue]*Table4[Expected CMR]*(Table4[Projected 
Year]=AD$1)*(Table4[Projected 
Month]=AD$2)*(Table4[Installation]=$B41))/MAX(1,AD41)</f>
        <v>0</v>
      </c>
      <c r="AG41" s="27">
        <f>SUMIFS(Table4[Expected Revenue],Table4[Installation],$B41,Table4[Projected 
Year],AG$1,Table4[Projected 
Month],AG$2)</f>
        <v>0</v>
      </c>
      <c r="AH41" s="23">
        <f>SUMPRODUCT(Table4[Probability]*Table4[Expected Revenue]*(Table4[Installation]=$B41)*(Table4[Projected 
Year]=AG$1)*(Table4[Projected 
Month]=AG$2))/MAX(1,SUMPRODUCT(Table4[Expected Revenue]*(Table4[Installation]=$B41)*(Table4[Projected 
Year]=AG$1)*(Table4[Projected 
Month]=AG$2)))</f>
        <v>0</v>
      </c>
      <c r="AI41" s="24">
        <f>SUMPRODUCT(Table4[Expected Revenue]*Table4[Expected CMR]*(Table4[Projected 
Year]=AG$1)*(Table4[Projected 
Month]=AG$2)*(Table4[Installation]=$B41))/MAX(1,AG41)</f>
        <v>0</v>
      </c>
      <c r="AJ41" s="27">
        <f>SUMIFS(Table4[Expected Revenue],Table4[Installation],$B41,Table4[Projected 
Year],AJ$1,Table4[Projected 
Month],AJ$2)</f>
        <v>0</v>
      </c>
      <c r="AK41" s="23">
        <f>SUMPRODUCT(Table4[Probability]*Table4[Expected Revenue]*(Table4[Installation]=$B41)*(Table4[Projected 
Year]=AJ$1)*(Table4[Projected 
Month]=AJ$2))/MAX(1,SUMPRODUCT(Table4[Expected Revenue]*(Table4[Installation]=$B41)*(Table4[Projected 
Year]=AJ$1)*(Table4[Projected 
Month]=AJ$2)))</f>
        <v>0</v>
      </c>
      <c r="AL41" s="24">
        <f>SUMPRODUCT(Table4[Expected Revenue]*Table4[Expected CMR]*(Table4[Projected 
Year]=AJ$1)*(Table4[Projected 
Month]=AJ$2)*(Table4[Installation]=$B41))/MAX(1,AJ41)</f>
        <v>0</v>
      </c>
      <c r="AM41" s="30">
        <f t="shared" si="20"/>
        <v>0</v>
      </c>
      <c r="AN41" s="52">
        <f t="shared" si="26"/>
        <v>0</v>
      </c>
      <c r="AO41" s="52">
        <f t="shared" si="26"/>
        <v>0</v>
      </c>
      <c r="AP41" s="27" t="e">
        <f>SUMIFS(#REF!,Table4[Installation],$B41,#REF!,AP$1,#REF!,AP$2)</f>
        <v>#REF!</v>
      </c>
      <c r="AQ41" s="21" t="e">
        <f>SUMIFS(#REF!,Table4[Installation],$B41,Table4[Projected 
Year],AP$1,#REF!,AP$2)</f>
        <v>#REF!</v>
      </c>
      <c r="AR41" s="24" t="e">
        <f t="shared" si="7"/>
        <v>#REF!</v>
      </c>
      <c r="AS41" s="27" t="e">
        <f>SUMIFS(#REF!,Table4[Installation],$B41,#REF!,AS$1,#REF!,AS$2)</f>
        <v>#REF!</v>
      </c>
      <c r="AT41" s="21" t="e">
        <f>SUMIFS(#REF!,Table4[Installation],$B41,Table4[Projected 
Year],AS$1,#REF!,AS$2)</f>
        <v>#REF!</v>
      </c>
      <c r="AU41" s="24" t="e">
        <f t="shared" si="8"/>
        <v>#REF!</v>
      </c>
      <c r="AV41" s="27" t="e">
        <f>SUMIFS(#REF!,Table4[Installation],$B41,#REF!,AV$1,#REF!,AV$2)</f>
        <v>#REF!</v>
      </c>
      <c r="AW41" s="21" t="e">
        <f>SUMIFS(#REF!,Table4[Installation],$B41,Table4[Projected 
Year],AV$1,#REF!,AV$2)</f>
        <v>#REF!</v>
      </c>
      <c r="AX41" s="24" t="e">
        <f t="shared" si="9"/>
        <v>#REF!</v>
      </c>
      <c r="AY41" s="27" t="e">
        <f>SUMIFS(#REF!,Table4[Installation],$B41,#REF!,AY$1,#REF!,AY$2)</f>
        <v>#REF!</v>
      </c>
      <c r="AZ41" s="21" t="e">
        <f>SUMIFS(#REF!,Table4[Installation],$B41,Table4[Projected 
Year],AY$1,#REF!,AY$2)</f>
        <v>#REF!</v>
      </c>
      <c r="BA41" s="24" t="e">
        <f t="shared" si="10"/>
        <v>#REF!</v>
      </c>
      <c r="BB41" s="27" t="e">
        <f>SUMIFS(#REF!,Table4[Installation],$B41,#REF!,BB$1,#REF!,BB$2)</f>
        <v>#REF!</v>
      </c>
      <c r="BC41" s="21" t="e">
        <f>SUMIFS(#REF!,Table4[Installation],$B41,Table4[Projected 
Year],BB$1,#REF!,BB$2)</f>
        <v>#REF!</v>
      </c>
      <c r="BD41" s="24" t="e">
        <f t="shared" si="11"/>
        <v>#REF!</v>
      </c>
      <c r="BE41" s="27" t="e">
        <f>SUMIFS(#REF!,Table4[Installation],$B41,#REF!,BE$1,#REF!,BE$2)</f>
        <v>#REF!</v>
      </c>
      <c r="BF41" s="21" t="e">
        <f>SUMIFS(#REF!,Table4[Installation],$B41,Table4[Projected 
Year],BE$1,#REF!,BE$2)</f>
        <v>#REF!</v>
      </c>
      <c r="BG41" s="24" t="e">
        <f t="shared" si="18"/>
        <v>#REF!</v>
      </c>
      <c r="BH41" s="27" t="e">
        <f>SUMIFS(#REF!,Table4[Installation],$B41,#REF!,BH$1,#REF!,BH$2)</f>
        <v>#REF!</v>
      </c>
      <c r="BI41" s="21" t="e">
        <f>SUMIFS(#REF!,Table4[Installation],$B41,Table4[Projected 
Year],BH$1,#REF!,BH$2)</f>
        <v>#REF!</v>
      </c>
      <c r="BJ41" s="24" t="e">
        <f t="shared" si="3"/>
        <v>#REF!</v>
      </c>
      <c r="BK41" s="27" t="e">
        <f>SUMIFS(#REF!,Table4[Installation],$B41,#REF!,BK$1,#REF!,BK$2)</f>
        <v>#REF!</v>
      </c>
      <c r="BL41" s="21" t="e">
        <f>SUMIFS(#REF!,Table4[Installation],$B41,Table4[Projected 
Year],BK$1,#REF!,BK$2)</f>
        <v>#REF!</v>
      </c>
      <c r="BM41" s="24" t="e">
        <f t="shared" si="28"/>
        <v>#REF!</v>
      </c>
      <c r="BN41" s="27" t="e">
        <f>SUMIFS(#REF!,Table4[Installation],$B41,#REF!,BN$1,#REF!,BN$2)</f>
        <v>#REF!</v>
      </c>
      <c r="BO41" s="21" t="e">
        <f>SUMIFS(#REF!,Table4[Installation],$B41,Table4[Projected 
Year],BN$1,#REF!,BN$2)</f>
        <v>#REF!</v>
      </c>
      <c r="BP41" s="24" t="e">
        <f t="shared" si="27"/>
        <v>#REF!</v>
      </c>
      <c r="BQ41" s="27" t="e">
        <f>SUMIFS(#REF!,Table4[Installation],$B41,#REF!,BQ$1,#REF!,BQ$2)</f>
        <v>#REF!</v>
      </c>
      <c r="BR41" s="21" t="e">
        <f>SUMIFS(#REF!,Table4[Installation],$B41,Table4[Projected 
Year],BQ$1,#REF!,BQ$2)</f>
        <v>#REF!</v>
      </c>
      <c r="BS41" s="24" t="e">
        <f t="shared" si="30"/>
        <v>#REF!</v>
      </c>
      <c r="BT41" s="27" t="e">
        <f>SUMIFS(#REF!,Table4[Installation],$B41,#REF!,BT$1,#REF!,BT$2)</f>
        <v>#REF!</v>
      </c>
      <c r="BU41" s="21" t="e">
        <f>SUMIFS(#REF!,Table4[Installation],$B41,Table4[Projected 
Year],BT$1,#REF!,BT$2)</f>
        <v>#REF!</v>
      </c>
      <c r="BV41" s="24" t="e">
        <f t="shared" si="29"/>
        <v>#REF!</v>
      </c>
      <c r="BW41" s="27" t="e">
        <f>SUMIFS(#REF!,Table4[Installation],$B41,#REF!,BW$1,#REF!,BW$2)</f>
        <v>#REF!</v>
      </c>
      <c r="BX41" s="21" t="e">
        <f>SUMIFS(#REF!,Table4[Installation],$B41,Table4[Projected 
Year],BW$1,#REF!,BW$2)</f>
        <v>#REF!</v>
      </c>
      <c r="BY41" s="24" t="e">
        <f t="shared" si="25"/>
        <v>#REF!</v>
      </c>
      <c r="BZ41" s="30" t="e">
        <f t="shared" si="22"/>
        <v>#REF!</v>
      </c>
      <c r="CA41" s="30" t="e">
        <f t="shared" si="23"/>
        <v>#REF!</v>
      </c>
      <c r="CB41" s="24" t="e">
        <f t="shared" si="24"/>
        <v>#REF!</v>
      </c>
      <c r="CC41" s="29"/>
    </row>
    <row r="42" spans="1:81">
      <c r="A42" s="18"/>
      <c r="B42" s="20" t="s">
        <v>328</v>
      </c>
      <c r="C42" s="27"/>
      <c r="D42" s="23"/>
      <c r="E42" s="24"/>
      <c r="F42" s="27"/>
      <c r="G42" s="23"/>
      <c r="H42" s="24"/>
      <c r="I42" s="27"/>
      <c r="J42" s="23"/>
      <c r="K42" s="24"/>
      <c r="L42" s="27"/>
      <c r="M42" s="23"/>
      <c r="N42" s="24"/>
      <c r="O42" s="27"/>
      <c r="P42" s="23"/>
      <c r="Q42" s="24"/>
      <c r="R42" s="27"/>
      <c r="S42" s="23"/>
      <c r="T42" s="24"/>
      <c r="U42" s="27">
        <f>SUMIFS(Table4[Expected Revenue],Table4[Installation],$B42,Table4[Projected 
Year],U$1,Table4[Projected 
Month],U$2)</f>
        <v>0</v>
      </c>
      <c r="V42" s="23">
        <f>SUMPRODUCT(Table4[Probability]*Table4[Expected Revenue]*(Table4[Installation]=$B42)*(Table4[Projected 
Year]=U$1)*(Table4[Projected 
Month]=U$2))/MAX(1,SUMPRODUCT(Table4[Expected Revenue]*(Table4[Installation]=$B42)*(Table4[Projected 
Year]=U$1)*(Table4[Projected 
Month]=U$2)))</f>
        <v>0</v>
      </c>
      <c r="W42" s="24">
        <f>SUMPRODUCT(Table4[Expected Revenue]*Table4[Expected CMR]*(Table4[Projected 
Year]=U$1)*(Table4[Projected 
Month]=U$2)*(Table4[Installation]=$B42))/MAX(1,U42)</f>
        <v>0</v>
      </c>
      <c r="X42" s="27">
        <f>SUMIFS(Table4[Expected Revenue],Table4[Installation],$B42,Table4[Projected 
Year],X$1,Table4[Projected 
Month],X$2)</f>
        <v>0</v>
      </c>
      <c r="Y42" s="23">
        <f>SUMPRODUCT(Table4[Probability]*Table4[Expected Revenue]*(Table4[Installation]=$B42)*(Table4[Projected 
Year]=X$1)*(Table4[Projected 
Month]=X$2))/MAX(1,SUMPRODUCT(Table4[Expected Revenue]*(Table4[Installation]=$B42)*(Table4[Projected 
Year]=X$1)*(Table4[Projected 
Month]=X$2)))</f>
        <v>0</v>
      </c>
      <c r="Z42" s="24">
        <f>SUMPRODUCT(Table4[Expected Revenue]*Table4[Expected CMR]*(Table4[Projected 
Year]=X$1)*(Table4[Projected 
Month]=X$2)*(Table4[Installation]=$B42))/MAX(1,X42)</f>
        <v>0</v>
      </c>
      <c r="AA42" s="27">
        <f>SUMIFS(Table4[Expected Revenue],Table4[Installation],$B42,Table4[Projected 
Year],AA$1,Table4[Projected 
Month],AA$2)</f>
        <v>0</v>
      </c>
      <c r="AB42" s="23">
        <f>SUMPRODUCT(Table4[Probability]*Table4[Expected Revenue]*(Table4[Installation]=$B42)*(Table4[Projected 
Year]=AA$1)*(Table4[Projected 
Month]=AA$2))/MAX(1,SUMPRODUCT(Table4[Expected Revenue]*(Table4[Installation]=$B42)*(Table4[Projected 
Year]=AA$1)*(Table4[Projected 
Month]=AA$2)))</f>
        <v>0</v>
      </c>
      <c r="AC42" s="24">
        <f>SUMPRODUCT(Table4[Expected Revenue]*Table4[Expected CMR]*(Table4[Projected 
Year]=AA$1)*(Table4[Projected 
Month]=AA$2)*(Table4[Installation]=$B42))/MAX(1,AA42)</f>
        <v>0</v>
      </c>
      <c r="AD42" s="27">
        <f>SUMIFS(Table4[Expected Revenue],Table4[Installation],$B42,Table4[Projected 
Year],AD$1,Table4[Projected 
Month],AD$2)</f>
        <v>0</v>
      </c>
      <c r="AE42" s="23">
        <f>SUMPRODUCT(Table4[Probability]*Table4[Expected Revenue]*(Table4[Installation]=$B42)*(Table4[Projected 
Year]=AD$1)*(Table4[Projected 
Month]=AD$2))/MAX(1,SUMPRODUCT(Table4[Expected Revenue]*(Table4[Installation]=$B42)*(Table4[Projected 
Year]=AD$1)*(Table4[Projected 
Month]=AD$2)))</f>
        <v>0</v>
      </c>
      <c r="AF42" s="24">
        <f>SUMPRODUCT(Table4[Expected Revenue]*Table4[Expected CMR]*(Table4[Projected 
Year]=AD$1)*(Table4[Projected 
Month]=AD$2)*(Table4[Installation]=$B42))/MAX(1,AD42)</f>
        <v>0</v>
      </c>
      <c r="AG42" s="27">
        <f>SUMIFS(Table4[Expected Revenue],Table4[Installation],$B42,Table4[Projected 
Year],AG$1,Table4[Projected 
Month],AG$2)</f>
        <v>0</v>
      </c>
      <c r="AH42" s="23">
        <f>SUMPRODUCT(Table4[Probability]*Table4[Expected Revenue]*(Table4[Installation]=$B42)*(Table4[Projected 
Year]=AG$1)*(Table4[Projected 
Month]=AG$2))/MAX(1,SUMPRODUCT(Table4[Expected Revenue]*(Table4[Installation]=$B42)*(Table4[Projected 
Year]=AG$1)*(Table4[Projected 
Month]=AG$2)))</f>
        <v>0</v>
      </c>
      <c r="AI42" s="24">
        <f>SUMPRODUCT(Table4[Expected Revenue]*Table4[Expected CMR]*(Table4[Projected 
Year]=AG$1)*(Table4[Projected 
Month]=AG$2)*(Table4[Installation]=$B42))/MAX(1,AG42)</f>
        <v>0</v>
      </c>
      <c r="AJ42" s="27">
        <f>SUMIFS(Table4[Expected Revenue],Table4[Installation],$B42,Table4[Projected 
Year],AJ$1,Table4[Projected 
Month],AJ$2)</f>
        <v>0</v>
      </c>
      <c r="AK42" s="23">
        <f>SUMPRODUCT(Table4[Probability]*Table4[Expected Revenue]*(Table4[Installation]=$B42)*(Table4[Projected 
Year]=AJ$1)*(Table4[Projected 
Month]=AJ$2))/MAX(1,SUMPRODUCT(Table4[Expected Revenue]*(Table4[Installation]=$B42)*(Table4[Projected 
Year]=AJ$1)*(Table4[Projected 
Month]=AJ$2)))</f>
        <v>0</v>
      </c>
      <c r="AL42" s="24">
        <f>SUMPRODUCT(Table4[Expected Revenue]*Table4[Expected CMR]*(Table4[Projected 
Year]=AJ$1)*(Table4[Projected 
Month]=AJ$2)*(Table4[Installation]=$B42))/MAX(1,AJ42)</f>
        <v>0</v>
      </c>
      <c r="AM42" s="30">
        <f t="shared" si="20"/>
        <v>0</v>
      </c>
      <c r="AN42" s="52">
        <f t="shared" si="26"/>
        <v>0</v>
      </c>
      <c r="AO42" s="52">
        <f t="shared" si="26"/>
        <v>0</v>
      </c>
      <c r="AP42" s="27" t="e">
        <f>SUMIFS(#REF!,Table4[Installation],$B42,#REF!,AP$1,#REF!,AP$2)</f>
        <v>#REF!</v>
      </c>
      <c r="AQ42" s="21" t="e">
        <f>SUMIFS(#REF!,Table4[Installation],$B42,Table4[Projected 
Year],AP$1,#REF!,AP$2)</f>
        <v>#REF!</v>
      </c>
      <c r="AR42" s="24" t="e">
        <f t="shared" si="7"/>
        <v>#REF!</v>
      </c>
      <c r="AS42" s="27" t="e">
        <f>SUMIFS(#REF!,Table4[Installation],$B42,#REF!,AS$1,#REF!,AS$2)</f>
        <v>#REF!</v>
      </c>
      <c r="AT42" s="21" t="e">
        <f>SUMIFS(#REF!,Table4[Installation],$B42,Table4[Projected 
Year],AS$1,#REF!,AS$2)</f>
        <v>#REF!</v>
      </c>
      <c r="AU42" s="24" t="e">
        <f t="shared" si="8"/>
        <v>#REF!</v>
      </c>
      <c r="AV42" s="27" t="e">
        <f>SUMIFS(#REF!,Table4[Installation],$B42,#REF!,AV$1,#REF!,AV$2)</f>
        <v>#REF!</v>
      </c>
      <c r="AW42" s="21" t="e">
        <f>SUMIFS(#REF!,Table4[Installation],$B42,Table4[Projected 
Year],AV$1,#REF!,AV$2)</f>
        <v>#REF!</v>
      </c>
      <c r="AX42" s="24" t="e">
        <f t="shared" si="9"/>
        <v>#REF!</v>
      </c>
      <c r="AY42" s="27" t="e">
        <f>SUMIFS(#REF!,Table4[Installation],$B42,#REF!,AY$1,#REF!,AY$2)</f>
        <v>#REF!</v>
      </c>
      <c r="AZ42" s="21" t="e">
        <f>SUMIFS(#REF!,Table4[Installation],$B42,Table4[Projected 
Year],AY$1,#REF!,AY$2)</f>
        <v>#REF!</v>
      </c>
      <c r="BA42" s="24" t="e">
        <f t="shared" si="10"/>
        <v>#REF!</v>
      </c>
      <c r="BB42" s="27" t="e">
        <f>SUMIFS(#REF!,Table4[Installation],$B42,#REF!,BB$1,#REF!,BB$2)</f>
        <v>#REF!</v>
      </c>
      <c r="BC42" s="21" t="e">
        <f>SUMIFS(#REF!,Table4[Installation],$B42,Table4[Projected 
Year],BB$1,#REF!,BB$2)</f>
        <v>#REF!</v>
      </c>
      <c r="BD42" s="24" t="e">
        <f t="shared" si="11"/>
        <v>#REF!</v>
      </c>
      <c r="BE42" s="27" t="e">
        <f>SUMIFS(#REF!,Table4[Installation],$B42,#REF!,BE$1,#REF!,BE$2)</f>
        <v>#REF!</v>
      </c>
      <c r="BF42" s="21" t="e">
        <f>SUMIFS(#REF!,Table4[Installation],$B42,Table4[Projected 
Year],BE$1,#REF!,BE$2)</f>
        <v>#REF!</v>
      </c>
      <c r="BG42" s="24" t="e">
        <f t="shared" si="18"/>
        <v>#REF!</v>
      </c>
      <c r="BH42" s="27" t="e">
        <f>SUMIFS(#REF!,Table4[Installation],$B42,#REF!,BH$1,#REF!,BH$2)</f>
        <v>#REF!</v>
      </c>
      <c r="BI42" s="21" t="e">
        <f>SUMIFS(#REF!,Table4[Installation],$B42,Table4[Projected 
Year],BH$1,#REF!,BH$2)</f>
        <v>#REF!</v>
      </c>
      <c r="BJ42" s="24" t="e">
        <f t="shared" si="3"/>
        <v>#REF!</v>
      </c>
      <c r="BK42" s="27" t="e">
        <f>SUMIFS(#REF!,Table4[Installation],$B42,#REF!,BK$1,#REF!,BK$2)</f>
        <v>#REF!</v>
      </c>
      <c r="BL42" s="21" t="e">
        <f>SUMIFS(#REF!,Table4[Installation],$B42,Table4[Projected 
Year],BK$1,#REF!,BK$2)</f>
        <v>#REF!</v>
      </c>
      <c r="BM42" s="24" t="e">
        <f t="shared" si="28"/>
        <v>#REF!</v>
      </c>
      <c r="BN42" s="27" t="e">
        <f>SUMIFS(#REF!,Table4[Installation],$B42,#REF!,BN$1,#REF!,BN$2)</f>
        <v>#REF!</v>
      </c>
      <c r="BO42" s="21" t="e">
        <f>SUMIFS(#REF!,Table4[Installation],$B42,Table4[Projected 
Year],BN$1,#REF!,BN$2)</f>
        <v>#REF!</v>
      </c>
      <c r="BP42" s="24" t="e">
        <f t="shared" si="27"/>
        <v>#REF!</v>
      </c>
      <c r="BQ42" s="27" t="e">
        <f>SUMIFS(#REF!,Table4[Installation],$B42,#REF!,BQ$1,#REF!,BQ$2)</f>
        <v>#REF!</v>
      </c>
      <c r="BR42" s="21" t="e">
        <f>SUMIFS(#REF!,Table4[Installation],$B42,Table4[Projected 
Year],BQ$1,#REF!,BQ$2)</f>
        <v>#REF!</v>
      </c>
      <c r="BS42" s="24" t="e">
        <f t="shared" si="30"/>
        <v>#REF!</v>
      </c>
      <c r="BT42" s="27" t="e">
        <f>SUMIFS(#REF!,Table4[Installation],$B42,#REF!,BT$1,#REF!,BT$2)</f>
        <v>#REF!</v>
      </c>
      <c r="BU42" s="21" t="e">
        <f>SUMIFS(#REF!,Table4[Installation],$B42,Table4[Projected 
Year],BT$1,#REF!,BT$2)</f>
        <v>#REF!</v>
      </c>
      <c r="BV42" s="24" t="e">
        <f t="shared" si="29"/>
        <v>#REF!</v>
      </c>
      <c r="BW42" s="27" t="e">
        <f>SUMIFS(#REF!,Table4[Installation],$B42,#REF!,BW$1,#REF!,BW$2)</f>
        <v>#REF!</v>
      </c>
      <c r="BX42" s="21" t="e">
        <f>SUMIFS(#REF!,Table4[Installation],$B42,Table4[Projected 
Year],BW$1,#REF!,BW$2)</f>
        <v>#REF!</v>
      </c>
      <c r="BY42" s="24" t="e">
        <f t="shared" si="25"/>
        <v>#REF!</v>
      </c>
      <c r="BZ42" s="30" t="e">
        <f t="shared" si="22"/>
        <v>#REF!</v>
      </c>
      <c r="CA42" s="30" t="e">
        <f t="shared" si="23"/>
        <v>#REF!</v>
      </c>
      <c r="CB42" s="24" t="e">
        <f t="shared" si="24"/>
        <v>#REF!</v>
      </c>
      <c r="CC42" s="29">
        <v>500000</v>
      </c>
    </row>
    <row r="43" spans="1:81">
      <c r="A43" s="18"/>
      <c r="B43" s="20" t="s">
        <v>236</v>
      </c>
      <c r="C43" s="27"/>
      <c r="D43" s="23"/>
      <c r="E43" s="24"/>
      <c r="F43" s="27"/>
      <c r="G43" s="23"/>
      <c r="H43" s="24"/>
      <c r="I43" s="27"/>
      <c r="J43" s="23"/>
      <c r="K43" s="24"/>
      <c r="L43" s="27"/>
      <c r="M43" s="23"/>
      <c r="N43" s="24"/>
      <c r="O43" s="27"/>
      <c r="P43" s="23"/>
      <c r="Q43" s="24"/>
      <c r="R43" s="27"/>
      <c r="S43" s="23"/>
      <c r="T43" s="24"/>
      <c r="U43" s="27">
        <f>SUMIFS(Table4[Expected Revenue],Table4[Installation],$B43,Table4[Projected 
Year],U$1,Table4[Projected 
Month],U$2)</f>
        <v>0</v>
      </c>
      <c r="V43" s="23">
        <f>SUMPRODUCT(Table4[Probability]*Table4[Expected Revenue]*(Table4[Installation]=$B43)*(Table4[Projected 
Year]=U$1)*(Table4[Projected 
Month]=U$2))/MAX(1,SUMPRODUCT(Table4[Expected Revenue]*(Table4[Installation]=$B43)*(Table4[Projected 
Year]=U$1)*(Table4[Projected 
Month]=U$2)))</f>
        <v>0</v>
      </c>
      <c r="W43" s="24">
        <f>SUMPRODUCT(Table4[Expected Revenue]*Table4[Expected CMR]*(Table4[Projected 
Year]=U$1)*(Table4[Projected 
Month]=U$2)*(Table4[Installation]=$B43))/MAX(1,U43)</f>
        <v>0</v>
      </c>
      <c r="X43" s="27">
        <f>SUMIFS(Table4[Expected Revenue],Table4[Installation],$B43,Table4[Projected 
Year],X$1,Table4[Projected 
Month],X$2)</f>
        <v>0</v>
      </c>
      <c r="Y43" s="23">
        <f>SUMPRODUCT(Table4[Probability]*Table4[Expected Revenue]*(Table4[Installation]=$B43)*(Table4[Projected 
Year]=X$1)*(Table4[Projected 
Month]=X$2))/MAX(1,SUMPRODUCT(Table4[Expected Revenue]*(Table4[Installation]=$B43)*(Table4[Projected 
Year]=X$1)*(Table4[Projected 
Month]=X$2)))</f>
        <v>0</v>
      </c>
      <c r="Z43" s="24">
        <f>SUMPRODUCT(Table4[Expected Revenue]*Table4[Expected CMR]*(Table4[Projected 
Year]=X$1)*(Table4[Projected 
Month]=X$2)*(Table4[Installation]=$B43))/MAX(1,X43)</f>
        <v>0</v>
      </c>
      <c r="AA43" s="27">
        <f>SUMIFS(Table4[Expected Revenue],Table4[Installation],$B43,Table4[Projected 
Year],AA$1,Table4[Projected 
Month],AA$2)</f>
        <v>0</v>
      </c>
      <c r="AB43" s="23">
        <f>SUMPRODUCT(Table4[Probability]*Table4[Expected Revenue]*(Table4[Installation]=$B43)*(Table4[Projected 
Year]=AA$1)*(Table4[Projected 
Month]=AA$2))/MAX(1,SUMPRODUCT(Table4[Expected Revenue]*(Table4[Installation]=$B43)*(Table4[Projected 
Year]=AA$1)*(Table4[Projected 
Month]=AA$2)))</f>
        <v>0</v>
      </c>
      <c r="AC43" s="24">
        <f>SUMPRODUCT(Table4[Expected Revenue]*Table4[Expected CMR]*(Table4[Projected 
Year]=AA$1)*(Table4[Projected 
Month]=AA$2)*(Table4[Installation]=$B43))/MAX(1,AA43)</f>
        <v>0</v>
      </c>
      <c r="AD43" s="27">
        <f>SUMIFS(Table4[Expected Revenue],Table4[Installation],$B43,Table4[Projected 
Year],AD$1,Table4[Projected 
Month],AD$2)</f>
        <v>0</v>
      </c>
      <c r="AE43" s="23">
        <f>SUMPRODUCT(Table4[Probability]*Table4[Expected Revenue]*(Table4[Installation]=$B43)*(Table4[Projected 
Year]=AD$1)*(Table4[Projected 
Month]=AD$2))/MAX(1,SUMPRODUCT(Table4[Expected Revenue]*(Table4[Installation]=$B43)*(Table4[Projected 
Year]=AD$1)*(Table4[Projected 
Month]=AD$2)))</f>
        <v>0</v>
      </c>
      <c r="AF43" s="24">
        <f>SUMPRODUCT(Table4[Expected Revenue]*Table4[Expected CMR]*(Table4[Projected 
Year]=AD$1)*(Table4[Projected 
Month]=AD$2)*(Table4[Installation]=$B43))/MAX(1,AD43)</f>
        <v>0</v>
      </c>
      <c r="AG43" s="27">
        <f>SUMIFS(Table4[Expected Revenue],Table4[Installation],$B43,Table4[Projected 
Year],AG$1,Table4[Projected 
Month],AG$2)</f>
        <v>0</v>
      </c>
      <c r="AH43" s="23">
        <f>SUMPRODUCT(Table4[Probability]*Table4[Expected Revenue]*(Table4[Installation]=$B43)*(Table4[Projected 
Year]=AG$1)*(Table4[Projected 
Month]=AG$2))/MAX(1,SUMPRODUCT(Table4[Expected Revenue]*(Table4[Installation]=$B43)*(Table4[Projected 
Year]=AG$1)*(Table4[Projected 
Month]=AG$2)))</f>
        <v>0</v>
      </c>
      <c r="AI43" s="24">
        <f>SUMPRODUCT(Table4[Expected Revenue]*Table4[Expected CMR]*(Table4[Projected 
Year]=AG$1)*(Table4[Projected 
Month]=AG$2)*(Table4[Installation]=$B43))/MAX(1,AG43)</f>
        <v>0</v>
      </c>
      <c r="AJ43" s="27">
        <f>SUMIFS(Table4[Expected Revenue],Table4[Installation],$B43,Table4[Projected 
Year],AJ$1,Table4[Projected 
Month],AJ$2)</f>
        <v>0</v>
      </c>
      <c r="AK43" s="23">
        <f>SUMPRODUCT(Table4[Probability]*Table4[Expected Revenue]*(Table4[Installation]=$B43)*(Table4[Projected 
Year]=AJ$1)*(Table4[Projected 
Month]=AJ$2))/MAX(1,SUMPRODUCT(Table4[Expected Revenue]*(Table4[Installation]=$B43)*(Table4[Projected 
Year]=AJ$1)*(Table4[Projected 
Month]=AJ$2)))</f>
        <v>0</v>
      </c>
      <c r="AL43" s="24">
        <f>SUMPRODUCT(Table4[Expected Revenue]*Table4[Expected CMR]*(Table4[Projected 
Year]=AJ$1)*(Table4[Projected 
Month]=AJ$2)*(Table4[Installation]=$B43))/MAX(1,AJ43)</f>
        <v>0</v>
      </c>
      <c r="AM43" s="30">
        <f t="shared" si="20"/>
        <v>0</v>
      </c>
      <c r="AN43" s="52">
        <f t="shared" si="26"/>
        <v>0</v>
      </c>
      <c r="AO43" s="52">
        <f t="shared" si="26"/>
        <v>0</v>
      </c>
      <c r="AP43" s="27" t="e">
        <f>SUMIFS(#REF!,Table4[Installation],$B43,#REF!,AP$1,#REF!,AP$2)</f>
        <v>#REF!</v>
      </c>
      <c r="AQ43" s="21" t="e">
        <f>SUMIFS(#REF!,Table4[Installation],$B43,Table4[Projected 
Year],AP$1,#REF!,AP$2)</f>
        <v>#REF!</v>
      </c>
      <c r="AR43" s="24" t="e">
        <f t="shared" si="7"/>
        <v>#REF!</v>
      </c>
      <c r="AS43" s="27" t="e">
        <f>SUMIFS(#REF!,Table4[Installation],$B43,#REF!,AS$1,#REF!,AS$2)</f>
        <v>#REF!</v>
      </c>
      <c r="AT43" s="21" t="e">
        <f>SUMIFS(#REF!,Table4[Installation],$B43,Table4[Projected 
Year],AS$1,#REF!,AS$2)</f>
        <v>#REF!</v>
      </c>
      <c r="AU43" s="24" t="e">
        <f t="shared" si="8"/>
        <v>#REF!</v>
      </c>
      <c r="AV43" s="27" t="e">
        <f>SUMIFS(#REF!,Table4[Installation],$B43,#REF!,AV$1,#REF!,AV$2)</f>
        <v>#REF!</v>
      </c>
      <c r="AW43" s="21" t="e">
        <f>SUMIFS(#REF!,Table4[Installation],$B43,Table4[Projected 
Year],AV$1,#REF!,AV$2)</f>
        <v>#REF!</v>
      </c>
      <c r="AX43" s="24" t="e">
        <f t="shared" si="9"/>
        <v>#REF!</v>
      </c>
      <c r="AY43" s="27" t="e">
        <f>SUMIFS(#REF!,Table4[Installation],$B43,#REF!,AY$1,#REF!,AY$2)</f>
        <v>#REF!</v>
      </c>
      <c r="AZ43" s="21" t="e">
        <f>SUMIFS(#REF!,Table4[Installation],$B43,Table4[Projected 
Year],AY$1,#REF!,AY$2)</f>
        <v>#REF!</v>
      </c>
      <c r="BA43" s="24" t="e">
        <f t="shared" si="10"/>
        <v>#REF!</v>
      </c>
      <c r="BB43" s="27" t="e">
        <f>SUMIFS(#REF!,Table4[Installation],$B43,#REF!,BB$1,#REF!,BB$2)</f>
        <v>#REF!</v>
      </c>
      <c r="BC43" s="21" t="e">
        <f>SUMIFS(#REF!,Table4[Installation],$B43,Table4[Projected 
Year],BB$1,#REF!,BB$2)</f>
        <v>#REF!</v>
      </c>
      <c r="BD43" s="24" t="e">
        <f t="shared" si="11"/>
        <v>#REF!</v>
      </c>
      <c r="BE43" s="27" t="e">
        <f>SUMIFS(#REF!,Table4[Installation],$B43,#REF!,BE$1,#REF!,BE$2)</f>
        <v>#REF!</v>
      </c>
      <c r="BF43" s="21" t="e">
        <f>SUMIFS(#REF!,Table4[Installation],$B43,Table4[Projected 
Year],BE$1,#REF!,BE$2)</f>
        <v>#REF!</v>
      </c>
      <c r="BG43" s="24" t="e">
        <f t="shared" si="18"/>
        <v>#REF!</v>
      </c>
      <c r="BH43" s="27" t="e">
        <f>SUMIFS(#REF!,Table4[Installation],$B43,#REF!,BH$1,#REF!,BH$2)</f>
        <v>#REF!</v>
      </c>
      <c r="BI43" s="21" t="e">
        <f>SUMIFS(#REF!,Table4[Installation],$B43,Table4[Projected 
Year],BH$1,#REF!,BH$2)</f>
        <v>#REF!</v>
      </c>
      <c r="BJ43" s="24" t="e">
        <f t="shared" si="3"/>
        <v>#REF!</v>
      </c>
      <c r="BK43" s="27" t="e">
        <f>SUMIFS(#REF!,Table4[Installation],$B43,#REF!,BK$1,#REF!,BK$2)</f>
        <v>#REF!</v>
      </c>
      <c r="BL43" s="21" t="e">
        <f>SUMIFS(#REF!,Table4[Installation],$B43,Table4[Projected 
Year],BK$1,#REF!,BK$2)</f>
        <v>#REF!</v>
      </c>
      <c r="BM43" s="24" t="e">
        <f t="shared" si="28"/>
        <v>#REF!</v>
      </c>
      <c r="BN43" s="27" t="e">
        <f>SUMIFS(#REF!,Table4[Installation],$B43,#REF!,BN$1,#REF!,BN$2)</f>
        <v>#REF!</v>
      </c>
      <c r="BO43" s="21" t="e">
        <f>SUMIFS(#REF!,Table4[Installation],$B43,Table4[Projected 
Year],BN$1,#REF!,BN$2)</f>
        <v>#REF!</v>
      </c>
      <c r="BP43" s="24" t="e">
        <f t="shared" si="27"/>
        <v>#REF!</v>
      </c>
      <c r="BQ43" s="27" t="e">
        <f>SUMIFS(#REF!,Table4[Installation],$B43,#REF!,BQ$1,#REF!,BQ$2)</f>
        <v>#REF!</v>
      </c>
      <c r="BR43" s="21" t="e">
        <f>SUMIFS(#REF!,Table4[Installation],$B43,Table4[Projected 
Year],BQ$1,#REF!,BQ$2)</f>
        <v>#REF!</v>
      </c>
      <c r="BS43" s="24" t="e">
        <f t="shared" si="30"/>
        <v>#REF!</v>
      </c>
      <c r="BT43" s="27" t="e">
        <f>SUMIFS(#REF!,Table4[Installation],$B43,#REF!,BT$1,#REF!,BT$2)</f>
        <v>#REF!</v>
      </c>
      <c r="BU43" s="21" t="e">
        <f>SUMIFS(#REF!,Table4[Installation],$B43,Table4[Projected 
Year],BT$1,#REF!,BT$2)</f>
        <v>#REF!</v>
      </c>
      <c r="BV43" s="24" t="e">
        <f t="shared" si="29"/>
        <v>#REF!</v>
      </c>
      <c r="BW43" s="27" t="e">
        <f>SUMIFS(#REF!,Table4[Installation],$B43,#REF!,BW$1,#REF!,BW$2)</f>
        <v>#REF!</v>
      </c>
      <c r="BX43" s="21" t="e">
        <f>SUMIFS(#REF!,Table4[Installation],$B43,Table4[Projected 
Year],BW$1,#REF!,BW$2)</f>
        <v>#REF!</v>
      </c>
      <c r="BY43" s="24" t="e">
        <f t="shared" si="25"/>
        <v>#REF!</v>
      </c>
      <c r="BZ43" s="30" t="e">
        <f t="shared" si="22"/>
        <v>#REF!</v>
      </c>
      <c r="CA43" s="30" t="e">
        <f t="shared" si="23"/>
        <v>#REF!</v>
      </c>
      <c r="CB43" s="24" t="e">
        <f t="shared" si="24"/>
        <v>#REF!</v>
      </c>
      <c r="CC43" s="29">
        <v>500000</v>
      </c>
    </row>
    <row r="44" spans="1:81">
      <c r="A44" s="18"/>
      <c r="B44" s="20" t="s">
        <v>296</v>
      </c>
      <c r="C44" s="27"/>
      <c r="D44" s="23"/>
      <c r="E44" s="24"/>
      <c r="F44" s="27"/>
      <c r="G44" s="23"/>
      <c r="H44" s="24"/>
      <c r="I44" s="27"/>
      <c r="J44" s="23"/>
      <c r="K44" s="24"/>
      <c r="L44" s="27"/>
      <c r="M44" s="23"/>
      <c r="N44" s="24"/>
      <c r="O44" s="27"/>
      <c r="P44" s="23"/>
      <c r="Q44" s="24"/>
      <c r="R44" s="27"/>
      <c r="S44" s="23"/>
      <c r="T44" s="24"/>
      <c r="U44" s="27">
        <f>SUMIFS(Table4[Expected Revenue],Table4[Installation],$B44,Table4[Projected 
Year],U$1,Table4[Projected 
Month],U$2)</f>
        <v>0</v>
      </c>
      <c r="V44" s="23">
        <f>SUMPRODUCT(Table4[Probability]*Table4[Expected Revenue]*(Table4[Installation]=$B44)*(Table4[Projected 
Year]=U$1)*(Table4[Projected 
Month]=U$2))/MAX(1,SUMPRODUCT(Table4[Expected Revenue]*(Table4[Installation]=$B44)*(Table4[Projected 
Year]=U$1)*(Table4[Projected 
Month]=U$2)))</f>
        <v>0</v>
      </c>
      <c r="W44" s="24">
        <f>SUMPRODUCT(Table4[Expected Revenue]*Table4[Expected CMR]*(Table4[Projected 
Year]=U$1)*(Table4[Projected 
Month]=U$2)*(Table4[Installation]=$B44))/MAX(1,U44)</f>
        <v>0</v>
      </c>
      <c r="X44" s="27">
        <f>SUMIFS(Table4[Expected Revenue],Table4[Installation],$B44,Table4[Projected 
Year],X$1,Table4[Projected 
Month],X$2)</f>
        <v>0</v>
      </c>
      <c r="Y44" s="23">
        <f>SUMPRODUCT(Table4[Probability]*Table4[Expected Revenue]*(Table4[Installation]=$B44)*(Table4[Projected 
Year]=X$1)*(Table4[Projected 
Month]=X$2))/MAX(1,SUMPRODUCT(Table4[Expected Revenue]*(Table4[Installation]=$B44)*(Table4[Projected 
Year]=X$1)*(Table4[Projected 
Month]=X$2)))</f>
        <v>0</v>
      </c>
      <c r="Z44" s="24">
        <f>SUMPRODUCT(Table4[Expected Revenue]*Table4[Expected CMR]*(Table4[Projected 
Year]=X$1)*(Table4[Projected 
Month]=X$2)*(Table4[Installation]=$B44))/MAX(1,X44)</f>
        <v>0</v>
      </c>
      <c r="AA44" s="27">
        <f>SUMIFS(Table4[Expected Revenue],Table4[Installation],$B44,Table4[Projected 
Year],AA$1,Table4[Projected 
Month],AA$2)</f>
        <v>0</v>
      </c>
      <c r="AB44" s="23">
        <f>SUMPRODUCT(Table4[Probability]*Table4[Expected Revenue]*(Table4[Installation]=$B44)*(Table4[Projected 
Year]=AA$1)*(Table4[Projected 
Month]=AA$2))/MAX(1,SUMPRODUCT(Table4[Expected Revenue]*(Table4[Installation]=$B44)*(Table4[Projected 
Year]=AA$1)*(Table4[Projected 
Month]=AA$2)))</f>
        <v>0</v>
      </c>
      <c r="AC44" s="24">
        <f>SUMPRODUCT(Table4[Expected Revenue]*Table4[Expected CMR]*(Table4[Projected 
Year]=AA$1)*(Table4[Projected 
Month]=AA$2)*(Table4[Installation]=$B44))/MAX(1,AA44)</f>
        <v>0</v>
      </c>
      <c r="AD44" s="27">
        <f>SUMIFS(Table4[Expected Revenue],Table4[Installation],$B44,Table4[Projected 
Year],AD$1,Table4[Projected 
Month],AD$2)</f>
        <v>0</v>
      </c>
      <c r="AE44" s="23">
        <f>SUMPRODUCT(Table4[Probability]*Table4[Expected Revenue]*(Table4[Installation]=$B44)*(Table4[Projected 
Year]=AD$1)*(Table4[Projected 
Month]=AD$2))/MAX(1,SUMPRODUCT(Table4[Expected Revenue]*(Table4[Installation]=$B44)*(Table4[Projected 
Year]=AD$1)*(Table4[Projected 
Month]=AD$2)))</f>
        <v>0</v>
      </c>
      <c r="AF44" s="24">
        <f>SUMPRODUCT(Table4[Expected Revenue]*Table4[Expected CMR]*(Table4[Projected 
Year]=AD$1)*(Table4[Projected 
Month]=AD$2)*(Table4[Installation]=$B44))/MAX(1,AD44)</f>
        <v>0</v>
      </c>
      <c r="AG44" s="27">
        <f>SUMIFS(Table4[Expected Revenue],Table4[Installation],$B44,Table4[Projected 
Year],AG$1,Table4[Projected 
Month],AG$2)</f>
        <v>0</v>
      </c>
      <c r="AH44" s="23">
        <f>SUMPRODUCT(Table4[Probability]*Table4[Expected Revenue]*(Table4[Installation]=$B44)*(Table4[Projected 
Year]=AG$1)*(Table4[Projected 
Month]=AG$2))/MAX(1,SUMPRODUCT(Table4[Expected Revenue]*(Table4[Installation]=$B44)*(Table4[Projected 
Year]=AG$1)*(Table4[Projected 
Month]=AG$2)))</f>
        <v>0</v>
      </c>
      <c r="AI44" s="24">
        <f>SUMPRODUCT(Table4[Expected Revenue]*Table4[Expected CMR]*(Table4[Projected 
Year]=AG$1)*(Table4[Projected 
Month]=AG$2)*(Table4[Installation]=$B44))/MAX(1,AG44)</f>
        <v>0</v>
      </c>
      <c r="AJ44" s="27">
        <f>SUMIFS(Table4[Expected Revenue],Table4[Installation],$B44,Table4[Projected 
Year],AJ$1,Table4[Projected 
Month],AJ$2)</f>
        <v>0</v>
      </c>
      <c r="AK44" s="23">
        <f>SUMPRODUCT(Table4[Probability]*Table4[Expected Revenue]*(Table4[Installation]=$B44)*(Table4[Projected 
Year]=AJ$1)*(Table4[Projected 
Month]=AJ$2))/MAX(1,SUMPRODUCT(Table4[Expected Revenue]*(Table4[Installation]=$B44)*(Table4[Projected 
Year]=AJ$1)*(Table4[Projected 
Month]=AJ$2)))</f>
        <v>0</v>
      </c>
      <c r="AL44" s="24">
        <f>SUMPRODUCT(Table4[Expected Revenue]*Table4[Expected CMR]*(Table4[Projected 
Year]=AJ$1)*(Table4[Projected 
Month]=AJ$2)*(Table4[Installation]=$B44))/MAX(1,AJ44)</f>
        <v>0</v>
      </c>
      <c r="AM44" s="30">
        <f t="shared" si="20"/>
        <v>0</v>
      </c>
      <c r="AN44" s="52">
        <f t="shared" si="26"/>
        <v>0</v>
      </c>
      <c r="AO44" s="52">
        <f t="shared" si="26"/>
        <v>0</v>
      </c>
      <c r="AP44" s="27" t="e">
        <f>SUMIFS(#REF!,Table4[Installation],$B44,#REF!,AP$1,#REF!,AP$2)</f>
        <v>#REF!</v>
      </c>
      <c r="AQ44" s="21" t="e">
        <f>SUMIFS(#REF!,Table4[Installation],$B44,Table4[Projected 
Year],AP$1,#REF!,AP$2)</f>
        <v>#REF!</v>
      </c>
      <c r="AR44" s="24" t="e">
        <f t="shared" si="7"/>
        <v>#REF!</v>
      </c>
      <c r="AS44" s="27" t="e">
        <f>SUMIFS(#REF!,Table4[Installation],$B44,#REF!,AS$1,#REF!,AS$2)</f>
        <v>#REF!</v>
      </c>
      <c r="AT44" s="21" t="e">
        <f>SUMIFS(#REF!,Table4[Installation],$B44,Table4[Projected 
Year],AS$1,#REF!,AS$2)</f>
        <v>#REF!</v>
      </c>
      <c r="AU44" s="24" t="e">
        <f t="shared" si="8"/>
        <v>#REF!</v>
      </c>
      <c r="AV44" s="27" t="e">
        <f>SUMIFS(#REF!,Table4[Installation],$B44,#REF!,AV$1,#REF!,AV$2)</f>
        <v>#REF!</v>
      </c>
      <c r="AW44" s="21" t="e">
        <f>SUMIFS(#REF!,Table4[Installation],$B44,Table4[Projected 
Year],AV$1,#REF!,AV$2)</f>
        <v>#REF!</v>
      </c>
      <c r="AX44" s="24" t="e">
        <f t="shared" si="9"/>
        <v>#REF!</v>
      </c>
      <c r="AY44" s="27" t="e">
        <f>SUMIFS(#REF!,Table4[Installation],$B44,#REF!,AY$1,#REF!,AY$2)</f>
        <v>#REF!</v>
      </c>
      <c r="AZ44" s="21" t="e">
        <f>SUMIFS(#REF!,Table4[Installation],$B44,Table4[Projected 
Year],AY$1,#REF!,AY$2)</f>
        <v>#REF!</v>
      </c>
      <c r="BA44" s="24" t="e">
        <f t="shared" si="10"/>
        <v>#REF!</v>
      </c>
      <c r="BB44" s="27" t="e">
        <f>SUMIFS(#REF!,Table4[Installation],$B44,#REF!,BB$1,#REF!,BB$2)</f>
        <v>#REF!</v>
      </c>
      <c r="BC44" s="21" t="e">
        <f>SUMIFS(#REF!,Table4[Installation],$B44,Table4[Projected 
Year],BB$1,#REF!,BB$2)</f>
        <v>#REF!</v>
      </c>
      <c r="BD44" s="24" t="e">
        <f t="shared" si="11"/>
        <v>#REF!</v>
      </c>
      <c r="BE44" s="27" t="e">
        <f>SUMIFS(#REF!,Table4[Installation],$B44,#REF!,BE$1,#REF!,BE$2)</f>
        <v>#REF!</v>
      </c>
      <c r="BF44" s="21" t="e">
        <f>SUMIFS(#REF!,Table4[Installation],$B44,Table4[Projected 
Year],BE$1,#REF!,BE$2)</f>
        <v>#REF!</v>
      </c>
      <c r="BG44" s="24" t="e">
        <f t="shared" si="18"/>
        <v>#REF!</v>
      </c>
      <c r="BH44" s="27" t="e">
        <f>SUMIFS(#REF!,Table4[Installation],$B44,#REF!,BH$1,#REF!,BH$2)</f>
        <v>#REF!</v>
      </c>
      <c r="BI44" s="21" t="e">
        <f>SUMIFS(#REF!,Table4[Installation],$B44,Table4[Projected 
Year],BH$1,#REF!,BH$2)</f>
        <v>#REF!</v>
      </c>
      <c r="BJ44" s="24" t="e">
        <f t="shared" ref="BJ44:BJ51" si="31">IF(BH44=0,IF(BI44=0,"-",0),1-(BI44/BH44))</f>
        <v>#REF!</v>
      </c>
      <c r="BK44" s="27" t="e">
        <f>SUMIFS(#REF!,Table4[Installation],$B44,#REF!,BK$1,#REF!,BK$2)</f>
        <v>#REF!</v>
      </c>
      <c r="BL44" s="21" t="e">
        <f>SUMIFS(#REF!,Table4[Installation],$B44,Table4[Projected 
Year],BK$1,#REF!,BK$2)</f>
        <v>#REF!</v>
      </c>
      <c r="BM44" s="24" t="e">
        <f t="shared" si="28"/>
        <v>#REF!</v>
      </c>
      <c r="BN44" s="27" t="e">
        <f>SUMIFS(#REF!,Table4[Installation],$B44,#REF!,BN$1,#REF!,BN$2)</f>
        <v>#REF!</v>
      </c>
      <c r="BO44" s="21" t="e">
        <f>SUMIFS(#REF!,Table4[Installation],$B44,Table4[Projected 
Year],BN$1,#REF!,BN$2)</f>
        <v>#REF!</v>
      </c>
      <c r="BP44" s="24" t="e">
        <f t="shared" si="27"/>
        <v>#REF!</v>
      </c>
      <c r="BQ44" s="27" t="e">
        <f>SUMIFS(#REF!,Table4[Installation],$B44,#REF!,BQ$1,#REF!,BQ$2)</f>
        <v>#REF!</v>
      </c>
      <c r="BR44" s="21" t="e">
        <f>SUMIFS(#REF!,Table4[Installation],$B44,Table4[Projected 
Year],BQ$1,#REF!,BQ$2)</f>
        <v>#REF!</v>
      </c>
      <c r="BS44" s="24" t="e">
        <f t="shared" si="30"/>
        <v>#REF!</v>
      </c>
      <c r="BT44" s="27" t="e">
        <f>SUMIFS(#REF!,Table4[Installation],$B44,#REF!,BT$1,#REF!,BT$2)</f>
        <v>#REF!</v>
      </c>
      <c r="BU44" s="21" t="e">
        <f>SUMIFS(#REF!,Table4[Installation],$B44,Table4[Projected 
Year],BT$1,#REF!,BT$2)</f>
        <v>#REF!</v>
      </c>
      <c r="BV44" s="24" t="e">
        <f t="shared" si="29"/>
        <v>#REF!</v>
      </c>
      <c r="BW44" s="27" t="e">
        <f>SUMIFS(#REF!,Table4[Installation],$B44,#REF!,BW$1,#REF!,BW$2)</f>
        <v>#REF!</v>
      </c>
      <c r="BX44" s="21" t="e">
        <f>SUMIFS(#REF!,Table4[Installation],$B44,Table4[Projected 
Year],BW$1,#REF!,BW$2)</f>
        <v>#REF!</v>
      </c>
      <c r="BY44" s="24" t="e">
        <f t="shared" si="25"/>
        <v>#REF!</v>
      </c>
      <c r="BZ44" s="30" t="e">
        <f t="shared" si="22"/>
        <v>#REF!</v>
      </c>
      <c r="CA44" s="30" t="e">
        <f t="shared" si="23"/>
        <v>#REF!</v>
      </c>
      <c r="CB44" s="24" t="e">
        <f t="shared" si="24"/>
        <v>#REF!</v>
      </c>
      <c r="CC44" s="29">
        <v>540000</v>
      </c>
    </row>
    <row r="45" spans="1:81">
      <c r="A45" s="18"/>
      <c r="B45" s="20" t="s">
        <v>253</v>
      </c>
      <c r="C45" s="27"/>
      <c r="D45" s="23"/>
      <c r="E45" s="24"/>
      <c r="F45" s="27"/>
      <c r="G45" s="23"/>
      <c r="H45" s="24"/>
      <c r="I45" s="27"/>
      <c r="J45" s="23"/>
      <c r="K45" s="24"/>
      <c r="L45" s="27"/>
      <c r="M45" s="23"/>
      <c r="N45" s="24"/>
      <c r="O45" s="27"/>
      <c r="P45" s="23"/>
      <c r="Q45" s="24"/>
      <c r="R45" s="27"/>
      <c r="S45" s="23"/>
      <c r="T45" s="24"/>
      <c r="U45" s="27">
        <f>SUMIFS(Table4[Expected Revenue],Table4[Installation],$B45,Table4[Projected 
Year],U$1,Table4[Projected 
Month],U$2)</f>
        <v>0</v>
      </c>
      <c r="V45" s="23">
        <f>SUMPRODUCT(Table4[Probability]*Table4[Expected Revenue]*(Table4[Installation]=$B45)*(Table4[Projected 
Year]=U$1)*(Table4[Projected 
Month]=U$2))/MAX(1,SUMPRODUCT(Table4[Expected Revenue]*(Table4[Installation]=$B45)*(Table4[Projected 
Year]=U$1)*(Table4[Projected 
Month]=U$2)))</f>
        <v>0</v>
      </c>
      <c r="W45" s="24">
        <f>SUMPRODUCT(Table4[Expected Revenue]*Table4[Expected CMR]*(Table4[Projected 
Year]=U$1)*(Table4[Projected 
Month]=U$2)*(Table4[Installation]=$B45))/MAX(1,U45)</f>
        <v>0</v>
      </c>
      <c r="X45" s="27">
        <f>SUMIFS(Table4[Expected Revenue],Table4[Installation],$B45,Table4[Projected 
Year],X$1,Table4[Projected 
Month],X$2)</f>
        <v>0</v>
      </c>
      <c r="Y45" s="23">
        <f>SUMPRODUCT(Table4[Probability]*Table4[Expected Revenue]*(Table4[Installation]=$B45)*(Table4[Projected 
Year]=X$1)*(Table4[Projected 
Month]=X$2))/MAX(1,SUMPRODUCT(Table4[Expected Revenue]*(Table4[Installation]=$B45)*(Table4[Projected 
Year]=X$1)*(Table4[Projected 
Month]=X$2)))</f>
        <v>0</v>
      </c>
      <c r="Z45" s="24">
        <f>SUMPRODUCT(Table4[Expected Revenue]*Table4[Expected CMR]*(Table4[Projected 
Year]=X$1)*(Table4[Projected 
Month]=X$2)*(Table4[Installation]=$B45))/MAX(1,X45)</f>
        <v>0</v>
      </c>
      <c r="AA45" s="27">
        <f>SUMIFS(Table4[Expected Revenue],Table4[Installation],$B45,Table4[Projected 
Year],AA$1,Table4[Projected 
Month],AA$2)</f>
        <v>0</v>
      </c>
      <c r="AB45" s="23">
        <f>SUMPRODUCT(Table4[Probability]*Table4[Expected Revenue]*(Table4[Installation]=$B45)*(Table4[Projected 
Year]=AA$1)*(Table4[Projected 
Month]=AA$2))/MAX(1,SUMPRODUCT(Table4[Expected Revenue]*(Table4[Installation]=$B45)*(Table4[Projected 
Year]=AA$1)*(Table4[Projected 
Month]=AA$2)))</f>
        <v>0</v>
      </c>
      <c r="AC45" s="24">
        <f>SUMPRODUCT(Table4[Expected Revenue]*Table4[Expected CMR]*(Table4[Projected 
Year]=AA$1)*(Table4[Projected 
Month]=AA$2)*(Table4[Installation]=$B45))/MAX(1,AA45)</f>
        <v>0</v>
      </c>
      <c r="AD45" s="27">
        <f>SUMIFS(Table4[Expected Revenue],Table4[Installation],$B45,Table4[Projected 
Year],AD$1,Table4[Projected 
Month],AD$2)</f>
        <v>0</v>
      </c>
      <c r="AE45" s="23">
        <f>SUMPRODUCT(Table4[Probability]*Table4[Expected Revenue]*(Table4[Installation]=$B45)*(Table4[Projected 
Year]=AD$1)*(Table4[Projected 
Month]=AD$2))/MAX(1,SUMPRODUCT(Table4[Expected Revenue]*(Table4[Installation]=$B45)*(Table4[Projected 
Year]=AD$1)*(Table4[Projected 
Month]=AD$2)))</f>
        <v>0</v>
      </c>
      <c r="AF45" s="24">
        <f>SUMPRODUCT(Table4[Expected Revenue]*Table4[Expected CMR]*(Table4[Projected 
Year]=AD$1)*(Table4[Projected 
Month]=AD$2)*(Table4[Installation]=$B45))/MAX(1,AD45)</f>
        <v>0</v>
      </c>
      <c r="AG45" s="27">
        <f>SUMIFS(Table4[Expected Revenue],Table4[Installation],$B45,Table4[Projected 
Year],AG$1,Table4[Projected 
Month],AG$2)</f>
        <v>0</v>
      </c>
      <c r="AH45" s="23">
        <f>SUMPRODUCT(Table4[Probability]*Table4[Expected Revenue]*(Table4[Installation]=$B45)*(Table4[Projected 
Year]=AG$1)*(Table4[Projected 
Month]=AG$2))/MAX(1,SUMPRODUCT(Table4[Expected Revenue]*(Table4[Installation]=$B45)*(Table4[Projected 
Year]=AG$1)*(Table4[Projected 
Month]=AG$2)))</f>
        <v>0</v>
      </c>
      <c r="AI45" s="24">
        <f>SUMPRODUCT(Table4[Expected Revenue]*Table4[Expected CMR]*(Table4[Projected 
Year]=AG$1)*(Table4[Projected 
Month]=AG$2)*(Table4[Installation]=$B45))/MAX(1,AG45)</f>
        <v>0</v>
      </c>
      <c r="AJ45" s="27">
        <f>SUMIFS(Table4[Expected Revenue],Table4[Installation],$B45,Table4[Projected 
Year],AJ$1,Table4[Projected 
Month],AJ$2)</f>
        <v>0</v>
      </c>
      <c r="AK45" s="23">
        <f>SUMPRODUCT(Table4[Probability]*Table4[Expected Revenue]*(Table4[Installation]=$B45)*(Table4[Projected 
Year]=AJ$1)*(Table4[Projected 
Month]=AJ$2))/MAX(1,SUMPRODUCT(Table4[Expected Revenue]*(Table4[Installation]=$B45)*(Table4[Projected 
Year]=AJ$1)*(Table4[Projected 
Month]=AJ$2)))</f>
        <v>0</v>
      </c>
      <c r="AL45" s="24">
        <f>SUMPRODUCT(Table4[Expected Revenue]*Table4[Expected CMR]*(Table4[Projected 
Year]=AJ$1)*(Table4[Projected 
Month]=AJ$2)*(Table4[Installation]=$B45))/MAX(1,AJ45)</f>
        <v>0</v>
      </c>
      <c r="AM45" s="30">
        <f t="shared" si="20"/>
        <v>0</v>
      </c>
      <c r="AN45" s="52">
        <f t="shared" si="26"/>
        <v>0</v>
      </c>
      <c r="AO45" s="52">
        <f t="shared" si="26"/>
        <v>0</v>
      </c>
      <c r="AP45" s="27" t="e">
        <f>SUMIFS(#REF!,Table4[Installation],$B45,#REF!,AP$1,#REF!,AP$2)</f>
        <v>#REF!</v>
      </c>
      <c r="AQ45" s="21" t="e">
        <f>SUMIFS(#REF!,Table4[Installation],$B45,Table4[Projected 
Year],AP$1,#REF!,AP$2)</f>
        <v>#REF!</v>
      </c>
      <c r="AR45" s="24" t="e">
        <f t="shared" si="7"/>
        <v>#REF!</v>
      </c>
      <c r="AS45" s="27" t="e">
        <f>SUMIFS(#REF!,Table4[Installation],$B45,#REF!,AS$1,#REF!,AS$2)</f>
        <v>#REF!</v>
      </c>
      <c r="AT45" s="21" t="e">
        <f>SUMIFS(#REF!,Table4[Installation],$B45,Table4[Projected 
Year],AS$1,#REF!,AS$2)</f>
        <v>#REF!</v>
      </c>
      <c r="AU45" s="24" t="e">
        <f t="shared" si="8"/>
        <v>#REF!</v>
      </c>
      <c r="AV45" s="27" t="e">
        <f>SUMIFS(#REF!,Table4[Installation],$B45,#REF!,AV$1,#REF!,AV$2)</f>
        <v>#REF!</v>
      </c>
      <c r="AW45" s="21" t="e">
        <f>SUMIFS(#REF!,Table4[Installation],$B45,Table4[Projected 
Year],AV$1,#REF!,AV$2)</f>
        <v>#REF!</v>
      </c>
      <c r="AX45" s="24" t="e">
        <f t="shared" si="9"/>
        <v>#REF!</v>
      </c>
      <c r="AY45" s="27" t="e">
        <f>SUMIFS(#REF!,Table4[Installation],$B45,#REF!,AY$1,#REF!,AY$2)</f>
        <v>#REF!</v>
      </c>
      <c r="AZ45" s="21" t="e">
        <f>SUMIFS(#REF!,Table4[Installation],$B45,Table4[Projected 
Year],AY$1,#REF!,AY$2)</f>
        <v>#REF!</v>
      </c>
      <c r="BA45" s="24" t="e">
        <f t="shared" si="10"/>
        <v>#REF!</v>
      </c>
      <c r="BB45" s="27" t="e">
        <f>SUMIFS(#REF!,Table4[Installation],$B45,#REF!,BB$1,#REF!,BB$2)</f>
        <v>#REF!</v>
      </c>
      <c r="BC45" s="21" t="e">
        <f>SUMIFS(#REF!,Table4[Installation],$B45,Table4[Projected 
Year],BB$1,#REF!,BB$2)</f>
        <v>#REF!</v>
      </c>
      <c r="BD45" s="24" t="e">
        <f t="shared" si="11"/>
        <v>#REF!</v>
      </c>
      <c r="BE45" s="27" t="e">
        <f>SUMIFS(#REF!,Table4[Installation],$B45,#REF!,BE$1,#REF!,BE$2)</f>
        <v>#REF!</v>
      </c>
      <c r="BF45" s="21" t="e">
        <f>SUMIFS(#REF!,Table4[Installation],$B45,Table4[Projected 
Year],BE$1,#REF!,BE$2)</f>
        <v>#REF!</v>
      </c>
      <c r="BG45" s="24" t="e">
        <f t="shared" si="18"/>
        <v>#REF!</v>
      </c>
      <c r="BH45" s="27" t="e">
        <f>SUMIFS(#REF!,Table4[Installation],$B45,#REF!,BH$1,#REF!,BH$2)</f>
        <v>#REF!</v>
      </c>
      <c r="BI45" s="21" t="e">
        <f>SUMIFS(#REF!,Table4[Installation],$B45,Table4[Projected 
Year],BH$1,#REF!,BH$2)</f>
        <v>#REF!</v>
      </c>
      <c r="BJ45" s="24" t="e">
        <f t="shared" si="31"/>
        <v>#REF!</v>
      </c>
      <c r="BK45" s="27" t="e">
        <f>SUMIFS(#REF!,Table4[Installation],$B45,#REF!,BK$1,#REF!,BK$2)</f>
        <v>#REF!</v>
      </c>
      <c r="BL45" s="21" t="e">
        <f>SUMIFS(#REF!,Table4[Installation],$B45,Table4[Projected 
Year],BK$1,#REF!,BK$2)</f>
        <v>#REF!</v>
      </c>
      <c r="BM45" s="24" t="e">
        <f t="shared" si="28"/>
        <v>#REF!</v>
      </c>
      <c r="BN45" s="27" t="e">
        <f>SUMIFS(#REF!,Table4[Installation],$B45,#REF!,BN$1,#REF!,BN$2)</f>
        <v>#REF!</v>
      </c>
      <c r="BO45" s="21" t="e">
        <f>SUMIFS(#REF!,Table4[Installation],$B45,Table4[Projected 
Year],BN$1,#REF!,BN$2)</f>
        <v>#REF!</v>
      </c>
      <c r="BP45" s="24" t="e">
        <f t="shared" si="27"/>
        <v>#REF!</v>
      </c>
      <c r="BQ45" s="27" t="e">
        <f>SUMIFS(#REF!,Table4[Installation],$B45,#REF!,BQ$1,#REF!,BQ$2)</f>
        <v>#REF!</v>
      </c>
      <c r="BR45" s="21" t="e">
        <f>SUMIFS(#REF!,Table4[Installation],$B45,Table4[Projected 
Year],BQ$1,#REF!,BQ$2)</f>
        <v>#REF!</v>
      </c>
      <c r="BS45" s="24" t="e">
        <f t="shared" si="30"/>
        <v>#REF!</v>
      </c>
      <c r="BT45" s="27" t="e">
        <f>SUMIFS(#REF!,Table4[Installation],$B45,#REF!,BT$1,#REF!,BT$2)</f>
        <v>#REF!</v>
      </c>
      <c r="BU45" s="21" t="e">
        <f>SUMIFS(#REF!,Table4[Installation],$B45,Table4[Projected 
Year],BT$1,#REF!,BT$2)</f>
        <v>#REF!</v>
      </c>
      <c r="BV45" s="24" t="e">
        <f t="shared" si="29"/>
        <v>#REF!</v>
      </c>
      <c r="BW45" s="27" t="e">
        <f>SUMIFS(#REF!,Table4[Installation],$B45,#REF!,BW$1,#REF!,BW$2)</f>
        <v>#REF!</v>
      </c>
      <c r="BX45" s="21" t="e">
        <f>SUMIFS(#REF!,Table4[Installation],$B45,Table4[Projected 
Year],BW$1,#REF!,BW$2)</f>
        <v>#REF!</v>
      </c>
      <c r="BY45" s="24" t="e">
        <f t="shared" si="25"/>
        <v>#REF!</v>
      </c>
      <c r="BZ45" s="30" t="e">
        <f t="shared" si="22"/>
        <v>#REF!</v>
      </c>
      <c r="CA45" s="30" t="e">
        <f t="shared" si="23"/>
        <v>#REF!</v>
      </c>
      <c r="CB45" s="24" t="e">
        <f t="shared" si="24"/>
        <v>#REF!</v>
      </c>
    </row>
    <row r="46" spans="1:81">
      <c r="A46" s="18"/>
      <c r="B46" s="20"/>
      <c r="C46" s="27"/>
      <c r="D46" s="23"/>
      <c r="E46" s="24"/>
      <c r="F46" s="27"/>
      <c r="G46" s="23"/>
      <c r="H46" s="24"/>
      <c r="I46" s="27"/>
      <c r="J46" s="23"/>
      <c r="K46" s="24"/>
      <c r="L46" s="27"/>
      <c r="M46" s="23"/>
      <c r="N46" s="24"/>
      <c r="O46" s="27"/>
      <c r="P46" s="23"/>
      <c r="Q46" s="24"/>
      <c r="R46" s="27"/>
      <c r="S46" s="23"/>
      <c r="T46" s="24"/>
      <c r="U46" s="27">
        <f>SUMIFS(Table4[Expected Revenue],Table4[Installation],$B46,Table4[Projected 
Year],U$1,Table4[Projected 
Month],U$2)</f>
        <v>0</v>
      </c>
      <c r="V46" s="23">
        <f>SUMPRODUCT(Table4[Probability]*Table4[Expected Revenue]*(Table4[Installation]=$B46)*(Table4[Projected 
Year]=U$1)*(Table4[Projected 
Month]=U$2))/MAX(1,SUMPRODUCT(Table4[Expected Revenue]*(Table4[Installation]=$B46)*(Table4[Projected 
Year]=U$1)*(Table4[Projected 
Month]=U$2)))</f>
        <v>0</v>
      </c>
      <c r="W46" s="24">
        <f>SUMPRODUCT(Table4[Expected Revenue]*Table4[Expected CMR]*(Table4[Projected 
Year]=U$1)*(Table4[Projected 
Month]=U$2)*(Table4[Installation]=$B46))/MAX(1,U46)</f>
        <v>0</v>
      </c>
      <c r="X46" s="27">
        <f>SUMIFS(Table4[Expected Revenue],Table4[Installation],$B46,Table4[Projected 
Year],X$1,Table4[Projected 
Month],X$2)</f>
        <v>0</v>
      </c>
      <c r="Y46" s="23">
        <f>SUMPRODUCT(Table4[Probability]*Table4[Expected Revenue]*(Table4[Installation]=$B46)*(Table4[Projected 
Year]=X$1)*(Table4[Projected 
Month]=X$2))/MAX(1,SUMPRODUCT(Table4[Expected Revenue]*(Table4[Installation]=$B46)*(Table4[Projected 
Year]=X$1)*(Table4[Projected 
Month]=X$2)))</f>
        <v>0</v>
      </c>
      <c r="Z46" s="24">
        <f>SUMPRODUCT(Table4[Expected Revenue]*Table4[Expected CMR]*(Table4[Projected 
Year]=X$1)*(Table4[Projected 
Month]=X$2)*(Table4[Installation]=$B46))/MAX(1,X46)</f>
        <v>0</v>
      </c>
      <c r="AA46" s="27">
        <f>SUMIFS(Table4[Expected Revenue],Table4[Installation],$B46,Table4[Projected 
Year],AA$1,Table4[Projected 
Month],AA$2)</f>
        <v>0</v>
      </c>
      <c r="AB46" s="23">
        <f>SUMPRODUCT(Table4[Probability]*Table4[Expected Revenue]*(Table4[Installation]=$B46)*(Table4[Projected 
Year]=AA$1)*(Table4[Projected 
Month]=AA$2))/MAX(1,SUMPRODUCT(Table4[Expected Revenue]*(Table4[Installation]=$B46)*(Table4[Projected 
Year]=AA$1)*(Table4[Projected 
Month]=AA$2)))</f>
        <v>0</v>
      </c>
      <c r="AC46" s="24">
        <f>SUMPRODUCT(Table4[Expected Revenue]*Table4[Expected CMR]*(Table4[Projected 
Year]=AA$1)*(Table4[Projected 
Month]=AA$2)*(Table4[Installation]=$B46))/MAX(1,AA46)</f>
        <v>0</v>
      </c>
      <c r="AD46" s="27">
        <f>SUMIFS(Table4[Expected Revenue],Table4[Installation],$B46,Table4[Projected 
Year],AD$1,Table4[Projected 
Month],AD$2)</f>
        <v>0</v>
      </c>
      <c r="AE46" s="23">
        <f>SUMPRODUCT(Table4[Probability]*Table4[Expected Revenue]*(Table4[Installation]=$B46)*(Table4[Projected 
Year]=AD$1)*(Table4[Projected 
Month]=AD$2))/MAX(1,SUMPRODUCT(Table4[Expected Revenue]*(Table4[Installation]=$B46)*(Table4[Projected 
Year]=AD$1)*(Table4[Projected 
Month]=AD$2)))</f>
        <v>0</v>
      </c>
      <c r="AF46" s="24">
        <f>SUMPRODUCT(Table4[Expected Revenue]*Table4[Expected CMR]*(Table4[Projected 
Year]=AD$1)*(Table4[Projected 
Month]=AD$2)*(Table4[Installation]=$B46))/MAX(1,AD46)</f>
        <v>0</v>
      </c>
      <c r="AG46" s="27">
        <f>SUMIFS(Table4[Expected Revenue],Table4[Installation],$B46,Table4[Projected 
Year],AG$1,Table4[Projected 
Month],AG$2)</f>
        <v>0</v>
      </c>
      <c r="AH46" s="23">
        <f>SUMPRODUCT(Table4[Probability]*Table4[Expected Revenue]*(Table4[Installation]=$B46)*(Table4[Projected 
Year]=AG$1)*(Table4[Projected 
Month]=AG$2))/MAX(1,SUMPRODUCT(Table4[Expected Revenue]*(Table4[Installation]=$B46)*(Table4[Projected 
Year]=AG$1)*(Table4[Projected 
Month]=AG$2)))</f>
        <v>0</v>
      </c>
      <c r="AI46" s="24">
        <f>SUMPRODUCT(Table4[Expected Revenue]*Table4[Expected CMR]*(Table4[Projected 
Year]=AG$1)*(Table4[Projected 
Month]=AG$2)*(Table4[Installation]=$B46))/MAX(1,AG46)</f>
        <v>0</v>
      </c>
      <c r="AJ46" s="27">
        <f>SUMIFS(Table4[Expected Revenue],Table4[Installation],$B46,Table4[Projected 
Year],AJ$1,Table4[Projected 
Month],AJ$2)</f>
        <v>0</v>
      </c>
      <c r="AK46" s="23">
        <f>SUMPRODUCT(Table4[Probability]*Table4[Expected Revenue]*(Table4[Installation]=$B46)*(Table4[Projected 
Year]=AJ$1)*(Table4[Projected 
Month]=AJ$2))/MAX(1,SUMPRODUCT(Table4[Expected Revenue]*(Table4[Installation]=$B46)*(Table4[Projected 
Year]=AJ$1)*(Table4[Projected 
Month]=AJ$2)))</f>
        <v>0</v>
      </c>
      <c r="AL46" s="24">
        <f>SUMPRODUCT(Table4[Expected Revenue]*Table4[Expected CMR]*(Table4[Projected 
Year]=AJ$1)*(Table4[Projected 
Month]=AJ$2)*(Table4[Installation]=$B46))/MAX(1,AJ46)</f>
        <v>0</v>
      </c>
      <c r="AM46" s="30">
        <f t="shared" si="20"/>
        <v>0</v>
      </c>
      <c r="AN46" s="52">
        <f t="shared" ref="AN46:AO51" si="32">SUM($C46*D46,$F46*G46,$I46*J46,$L46*M46,$O46*P46,$R46*S46,$U46*V46,$X46*Y46,$AA46*AB46,$AD46*AE46,$AG46*AH46,$AJ46*AK46)/MAX(1,$AM46)</f>
        <v>0</v>
      </c>
      <c r="AO46" s="52">
        <f t="shared" si="32"/>
        <v>0</v>
      </c>
      <c r="AP46" s="27" t="e">
        <f>SUMIFS(#REF!,Table4[Installation],$B46,#REF!,AP$1,#REF!,AP$2)</f>
        <v>#REF!</v>
      </c>
      <c r="AQ46" s="21" t="e">
        <f>SUMIFS(#REF!,Table4[Installation],$B46,Table4[Projected 
Year],AP$1,#REF!,AP$2)</f>
        <v>#REF!</v>
      </c>
      <c r="AR46" s="24" t="e">
        <f t="shared" si="7"/>
        <v>#REF!</v>
      </c>
      <c r="AS46" s="27" t="e">
        <f>SUMIFS(#REF!,Table4[Installation],$B46,#REF!,AS$1,#REF!,AS$2)</f>
        <v>#REF!</v>
      </c>
      <c r="AT46" s="21" t="e">
        <f>SUMIFS(#REF!,Table4[Installation],$B46,Table4[Projected 
Year],AS$1,#REF!,AS$2)</f>
        <v>#REF!</v>
      </c>
      <c r="AU46" s="24" t="e">
        <f t="shared" si="8"/>
        <v>#REF!</v>
      </c>
      <c r="AV46" s="27" t="e">
        <f>SUMIFS(#REF!,Table4[Installation],$B46,#REF!,AV$1,#REF!,AV$2)</f>
        <v>#REF!</v>
      </c>
      <c r="AW46" s="21" t="e">
        <f>SUMIFS(#REF!,Table4[Installation],$B46,Table4[Projected 
Year],AV$1,#REF!,AV$2)</f>
        <v>#REF!</v>
      </c>
      <c r="AX46" s="24" t="e">
        <f t="shared" si="9"/>
        <v>#REF!</v>
      </c>
      <c r="AY46" s="27" t="e">
        <f>SUMIFS(#REF!,Table4[Installation],$B46,#REF!,AY$1,#REF!,AY$2)</f>
        <v>#REF!</v>
      </c>
      <c r="AZ46" s="21" t="e">
        <f>SUMIFS(#REF!,Table4[Installation],$B46,Table4[Projected 
Year],AY$1,#REF!,AY$2)</f>
        <v>#REF!</v>
      </c>
      <c r="BA46" s="24" t="e">
        <f t="shared" si="10"/>
        <v>#REF!</v>
      </c>
      <c r="BB46" s="27" t="e">
        <f>SUMIFS(#REF!,Table4[Installation],$B46,#REF!,BB$1,#REF!,BB$2)</f>
        <v>#REF!</v>
      </c>
      <c r="BC46" s="21" t="e">
        <f>SUMIFS(#REF!,Table4[Installation],$B46,Table4[Projected 
Year],BB$1,#REF!,BB$2)</f>
        <v>#REF!</v>
      </c>
      <c r="BD46" s="24" t="e">
        <f t="shared" si="11"/>
        <v>#REF!</v>
      </c>
      <c r="BE46" s="27" t="e">
        <f>SUMIFS(#REF!,Table4[Installation],$B46,#REF!,BE$1,#REF!,BE$2)</f>
        <v>#REF!</v>
      </c>
      <c r="BF46" s="21" t="e">
        <f>SUMIFS(#REF!,Table4[Installation],$B46,Table4[Projected 
Year],BE$1,#REF!,BE$2)</f>
        <v>#REF!</v>
      </c>
      <c r="BG46" s="24" t="e">
        <f t="shared" si="18"/>
        <v>#REF!</v>
      </c>
      <c r="BH46" s="27" t="e">
        <f>SUMIFS(#REF!,Table4[Installation],$B46,#REF!,BH$1,#REF!,BH$2)</f>
        <v>#REF!</v>
      </c>
      <c r="BI46" s="21" t="e">
        <f>SUMIFS(#REF!,Table4[Installation],$B46,Table4[Projected 
Year],BH$1,#REF!,BH$2)</f>
        <v>#REF!</v>
      </c>
      <c r="BJ46" s="24" t="e">
        <f t="shared" si="31"/>
        <v>#REF!</v>
      </c>
      <c r="BK46" s="27" t="e">
        <f>SUMIFS(#REF!,Table4[Installation],$B46,#REF!,BK$1,#REF!,BK$2)</f>
        <v>#REF!</v>
      </c>
      <c r="BL46" s="21" t="e">
        <f>SUMIFS(#REF!,Table4[Installation],$B46,Table4[Projected 
Year],BK$1,#REF!,BK$2)</f>
        <v>#REF!</v>
      </c>
      <c r="BM46" s="24" t="e">
        <f t="shared" si="28"/>
        <v>#REF!</v>
      </c>
      <c r="BN46" s="27" t="e">
        <f>SUMIFS(#REF!,Table4[Installation],$B46,#REF!,BN$1,#REF!,BN$2)</f>
        <v>#REF!</v>
      </c>
      <c r="BO46" s="21" t="e">
        <f>SUMIFS(#REF!,Table4[Installation],$B46,Table4[Projected 
Year],BN$1,#REF!,BN$2)</f>
        <v>#REF!</v>
      </c>
      <c r="BP46" s="24" t="e">
        <f t="shared" si="27"/>
        <v>#REF!</v>
      </c>
      <c r="BQ46" s="27" t="e">
        <f>SUMIFS(#REF!,Table4[Installation],$B46,#REF!,BQ$1,#REF!,BQ$2)</f>
        <v>#REF!</v>
      </c>
      <c r="BR46" s="21" t="e">
        <f>SUMIFS(#REF!,Table4[Installation],$B46,Table4[Projected 
Year],BQ$1,#REF!,BQ$2)</f>
        <v>#REF!</v>
      </c>
      <c r="BS46" s="24" t="e">
        <f t="shared" si="30"/>
        <v>#REF!</v>
      </c>
      <c r="BT46" s="27" t="e">
        <f>SUMIFS(#REF!,Table4[Installation],$B46,#REF!,BT$1,#REF!,BT$2)</f>
        <v>#REF!</v>
      </c>
      <c r="BU46" s="21" t="e">
        <f>SUMIFS(#REF!,Table4[Installation],$B46,Table4[Projected 
Year],BT$1,#REF!,BT$2)</f>
        <v>#REF!</v>
      </c>
      <c r="BV46" s="24" t="e">
        <f t="shared" si="29"/>
        <v>#REF!</v>
      </c>
      <c r="BW46" s="27" t="e">
        <f>SUMIFS(#REF!,Table4[Installation],$B46,#REF!,BW$1,#REF!,BW$2)</f>
        <v>#REF!</v>
      </c>
      <c r="BX46" s="21" t="e">
        <f>SUMIFS(#REF!,Table4[Installation],$B46,Table4[Projected 
Year],BW$1,#REF!,BW$2)</f>
        <v>#REF!</v>
      </c>
      <c r="BY46" s="24" t="e">
        <f t="shared" si="25"/>
        <v>#REF!</v>
      </c>
      <c r="BZ46" s="30" t="e">
        <f t="shared" si="22"/>
        <v>#REF!</v>
      </c>
      <c r="CA46" s="30" t="e">
        <f t="shared" si="23"/>
        <v>#REF!</v>
      </c>
      <c r="CB46" s="24" t="e">
        <f t="shared" si="24"/>
        <v>#REF!</v>
      </c>
    </row>
    <row r="47" spans="1:81">
      <c r="A47" s="18"/>
      <c r="B47" s="20"/>
      <c r="C47" s="27"/>
      <c r="D47" s="23"/>
      <c r="E47" s="24"/>
      <c r="F47" s="27"/>
      <c r="G47" s="23"/>
      <c r="H47" s="24"/>
      <c r="I47" s="27"/>
      <c r="J47" s="23"/>
      <c r="K47" s="24"/>
      <c r="L47" s="27"/>
      <c r="M47" s="23"/>
      <c r="N47" s="24"/>
      <c r="O47" s="27"/>
      <c r="P47" s="23"/>
      <c r="Q47" s="24"/>
      <c r="R47" s="27"/>
      <c r="S47" s="23"/>
      <c r="T47" s="24"/>
      <c r="U47" s="27">
        <f>SUMIFS(Table4[Expected Revenue],Table4[Installation],$B47,Table4[Projected 
Year],U$1,Table4[Projected 
Month],U$2)</f>
        <v>0</v>
      </c>
      <c r="V47" s="23">
        <f>SUMPRODUCT(Table4[Probability]*Table4[Expected Revenue]*(Table4[Installation]=$B47)*(Table4[Projected 
Year]=U$1)*(Table4[Projected 
Month]=U$2))/MAX(1,SUMPRODUCT(Table4[Expected Revenue]*(Table4[Installation]=$B47)*(Table4[Projected 
Year]=U$1)*(Table4[Projected 
Month]=U$2)))</f>
        <v>0</v>
      </c>
      <c r="W47" s="24">
        <f>SUMPRODUCT(Table4[Expected Revenue]*Table4[Expected CMR]*(Table4[Projected 
Year]=U$1)*(Table4[Projected 
Month]=U$2)*(Table4[Installation]=$B47))/MAX(1,U47)</f>
        <v>0</v>
      </c>
      <c r="X47" s="27">
        <f>SUMIFS(Table4[Expected Revenue],Table4[Installation],$B47,Table4[Projected 
Year],X$1,Table4[Projected 
Month],X$2)</f>
        <v>0</v>
      </c>
      <c r="Y47" s="23">
        <f>SUMPRODUCT(Table4[Probability]*Table4[Expected Revenue]*(Table4[Installation]=$B47)*(Table4[Projected 
Year]=X$1)*(Table4[Projected 
Month]=X$2))/MAX(1,SUMPRODUCT(Table4[Expected Revenue]*(Table4[Installation]=$B47)*(Table4[Projected 
Year]=X$1)*(Table4[Projected 
Month]=X$2)))</f>
        <v>0</v>
      </c>
      <c r="Z47" s="24">
        <f>SUMPRODUCT(Table4[Expected Revenue]*Table4[Expected CMR]*(Table4[Projected 
Year]=X$1)*(Table4[Projected 
Month]=X$2)*(Table4[Installation]=$B47))/MAX(1,X47)</f>
        <v>0</v>
      </c>
      <c r="AA47" s="27">
        <f>SUMIFS(Table4[Expected Revenue],Table4[Installation],$B47,Table4[Projected 
Year],AA$1,Table4[Projected 
Month],AA$2)</f>
        <v>0</v>
      </c>
      <c r="AB47" s="23">
        <f>SUMPRODUCT(Table4[Probability]*Table4[Expected Revenue]*(Table4[Installation]=$B47)*(Table4[Projected 
Year]=AA$1)*(Table4[Projected 
Month]=AA$2))/MAX(1,SUMPRODUCT(Table4[Expected Revenue]*(Table4[Installation]=$B47)*(Table4[Projected 
Year]=AA$1)*(Table4[Projected 
Month]=AA$2)))</f>
        <v>0</v>
      </c>
      <c r="AC47" s="24">
        <f>SUMPRODUCT(Table4[Expected Revenue]*Table4[Expected CMR]*(Table4[Projected 
Year]=AA$1)*(Table4[Projected 
Month]=AA$2)*(Table4[Installation]=$B47))/MAX(1,AA47)</f>
        <v>0</v>
      </c>
      <c r="AD47" s="27">
        <f>SUMIFS(Table4[Expected Revenue],Table4[Installation],$B47,Table4[Projected 
Year],AD$1,Table4[Projected 
Month],AD$2)</f>
        <v>0</v>
      </c>
      <c r="AE47" s="23">
        <f>SUMPRODUCT(Table4[Probability]*Table4[Expected Revenue]*(Table4[Installation]=$B47)*(Table4[Projected 
Year]=AD$1)*(Table4[Projected 
Month]=AD$2))/MAX(1,SUMPRODUCT(Table4[Expected Revenue]*(Table4[Installation]=$B47)*(Table4[Projected 
Year]=AD$1)*(Table4[Projected 
Month]=AD$2)))</f>
        <v>0</v>
      </c>
      <c r="AF47" s="24">
        <f>SUMPRODUCT(Table4[Expected Revenue]*Table4[Expected CMR]*(Table4[Projected 
Year]=AD$1)*(Table4[Projected 
Month]=AD$2)*(Table4[Installation]=$B47))/MAX(1,AD47)</f>
        <v>0</v>
      </c>
      <c r="AG47" s="27">
        <f>SUMIFS(Table4[Expected Revenue],Table4[Installation],$B47,Table4[Projected 
Year],AG$1,Table4[Projected 
Month],AG$2)</f>
        <v>0</v>
      </c>
      <c r="AH47" s="23">
        <f>SUMPRODUCT(Table4[Probability]*Table4[Expected Revenue]*(Table4[Installation]=$B47)*(Table4[Projected 
Year]=AG$1)*(Table4[Projected 
Month]=AG$2))/MAX(1,SUMPRODUCT(Table4[Expected Revenue]*(Table4[Installation]=$B47)*(Table4[Projected 
Year]=AG$1)*(Table4[Projected 
Month]=AG$2)))</f>
        <v>0</v>
      </c>
      <c r="AI47" s="24">
        <f>SUMPRODUCT(Table4[Expected Revenue]*Table4[Expected CMR]*(Table4[Projected 
Year]=AG$1)*(Table4[Projected 
Month]=AG$2)*(Table4[Installation]=$B47))/MAX(1,AG47)</f>
        <v>0</v>
      </c>
      <c r="AJ47" s="27">
        <f>SUMIFS(Table4[Expected Revenue],Table4[Installation],$B47,Table4[Projected 
Year],AJ$1,Table4[Projected 
Month],AJ$2)</f>
        <v>0</v>
      </c>
      <c r="AK47" s="23">
        <f>SUMPRODUCT(Table4[Probability]*Table4[Expected Revenue]*(Table4[Installation]=$B47)*(Table4[Projected 
Year]=AJ$1)*(Table4[Projected 
Month]=AJ$2))/MAX(1,SUMPRODUCT(Table4[Expected Revenue]*(Table4[Installation]=$B47)*(Table4[Projected 
Year]=AJ$1)*(Table4[Projected 
Month]=AJ$2)))</f>
        <v>0</v>
      </c>
      <c r="AL47" s="24">
        <f>SUMPRODUCT(Table4[Expected Revenue]*Table4[Expected CMR]*(Table4[Projected 
Year]=AJ$1)*(Table4[Projected 
Month]=AJ$2)*(Table4[Installation]=$B47))/MAX(1,AJ47)</f>
        <v>0</v>
      </c>
      <c r="AM47" s="30">
        <f t="shared" si="20"/>
        <v>0</v>
      </c>
      <c r="AN47" s="52">
        <f t="shared" si="32"/>
        <v>0</v>
      </c>
      <c r="AO47" s="52">
        <f t="shared" si="32"/>
        <v>0</v>
      </c>
      <c r="AP47" s="27" t="e">
        <f>SUMIFS(#REF!,Table4[Installation],$B47,#REF!,AP$1,#REF!,AP$2)</f>
        <v>#REF!</v>
      </c>
      <c r="AQ47" s="21" t="e">
        <f>SUMIFS(#REF!,Table4[Installation],$B47,Table4[Projected 
Year],AP$1,#REF!,AP$2)</f>
        <v>#REF!</v>
      </c>
      <c r="AR47" s="24" t="e">
        <f t="shared" si="7"/>
        <v>#REF!</v>
      </c>
      <c r="AS47" s="27" t="e">
        <f>SUMIFS(#REF!,Table4[Installation],$B47,#REF!,AS$1,#REF!,AS$2)</f>
        <v>#REF!</v>
      </c>
      <c r="AT47" s="21" t="e">
        <f>SUMIFS(#REF!,Table4[Installation],$B47,Table4[Projected 
Year],AS$1,#REF!,AS$2)</f>
        <v>#REF!</v>
      </c>
      <c r="AU47" s="24" t="e">
        <f t="shared" si="8"/>
        <v>#REF!</v>
      </c>
      <c r="AV47" s="27" t="e">
        <f>SUMIFS(#REF!,Table4[Installation],$B47,#REF!,AV$1,#REF!,AV$2)</f>
        <v>#REF!</v>
      </c>
      <c r="AW47" s="21" t="e">
        <f>SUMIFS(#REF!,Table4[Installation],$B47,Table4[Projected 
Year],AV$1,#REF!,AV$2)</f>
        <v>#REF!</v>
      </c>
      <c r="AX47" s="24" t="e">
        <f t="shared" si="9"/>
        <v>#REF!</v>
      </c>
      <c r="AY47" s="27" t="e">
        <f>SUMIFS(#REF!,Table4[Installation],$B47,#REF!,AY$1,#REF!,AY$2)</f>
        <v>#REF!</v>
      </c>
      <c r="AZ47" s="21" t="e">
        <f>SUMIFS(#REF!,Table4[Installation],$B47,Table4[Projected 
Year],AY$1,#REF!,AY$2)</f>
        <v>#REF!</v>
      </c>
      <c r="BA47" s="24" t="e">
        <f t="shared" si="10"/>
        <v>#REF!</v>
      </c>
      <c r="BB47" s="27" t="e">
        <f>SUMIFS(#REF!,Table4[Installation],$B47,#REF!,BB$1,#REF!,BB$2)</f>
        <v>#REF!</v>
      </c>
      <c r="BC47" s="21" t="e">
        <f>SUMIFS(#REF!,Table4[Installation],$B47,Table4[Projected 
Year],BB$1,#REF!,BB$2)</f>
        <v>#REF!</v>
      </c>
      <c r="BD47" s="24" t="e">
        <f t="shared" si="11"/>
        <v>#REF!</v>
      </c>
      <c r="BE47" s="27" t="e">
        <f>SUMIFS(#REF!,Table4[Installation],$B47,#REF!,BE$1,#REF!,BE$2)</f>
        <v>#REF!</v>
      </c>
      <c r="BF47" s="21" t="e">
        <f>SUMIFS(#REF!,Table4[Installation],$B47,Table4[Projected 
Year],BE$1,#REF!,BE$2)</f>
        <v>#REF!</v>
      </c>
      <c r="BG47" s="24" t="e">
        <f t="shared" si="18"/>
        <v>#REF!</v>
      </c>
      <c r="BH47" s="27" t="e">
        <f>SUMIFS(#REF!,Table4[Installation],$B47,#REF!,BH$1,#REF!,BH$2)</f>
        <v>#REF!</v>
      </c>
      <c r="BI47" s="21" t="e">
        <f>SUMIFS(#REF!,Table4[Installation],$B47,Table4[Projected 
Year],BH$1,#REF!,BH$2)</f>
        <v>#REF!</v>
      </c>
      <c r="BJ47" s="24" t="e">
        <f t="shared" si="31"/>
        <v>#REF!</v>
      </c>
      <c r="BK47" s="27" t="e">
        <f>SUMIFS(#REF!,Table4[Installation],$B47,#REF!,BK$1,#REF!,BK$2)</f>
        <v>#REF!</v>
      </c>
      <c r="BL47" s="21" t="e">
        <f>SUMIFS(#REF!,Table4[Installation],$B47,Table4[Projected 
Year],BK$1,#REF!,BK$2)</f>
        <v>#REF!</v>
      </c>
      <c r="BM47" s="24" t="e">
        <f t="shared" si="28"/>
        <v>#REF!</v>
      </c>
      <c r="BN47" s="27" t="e">
        <f>SUMIFS(#REF!,Table4[Installation],$B47,#REF!,BN$1,#REF!,BN$2)</f>
        <v>#REF!</v>
      </c>
      <c r="BO47" s="21" t="e">
        <f>SUMIFS(#REF!,Table4[Installation],$B47,Table4[Projected 
Year],BN$1,#REF!,BN$2)</f>
        <v>#REF!</v>
      </c>
      <c r="BP47" s="24" t="e">
        <f t="shared" si="27"/>
        <v>#REF!</v>
      </c>
      <c r="BQ47" s="27" t="e">
        <f>SUMIFS(#REF!,Table4[Installation],$B47,#REF!,BQ$1,#REF!,BQ$2)</f>
        <v>#REF!</v>
      </c>
      <c r="BR47" s="21" t="e">
        <f>SUMIFS(#REF!,Table4[Installation],$B47,Table4[Projected 
Year],BQ$1,#REF!,BQ$2)</f>
        <v>#REF!</v>
      </c>
      <c r="BS47" s="24" t="e">
        <f t="shared" si="30"/>
        <v>#REF!</v>
      </c>
      <c r="BT47" s="27" t="e">
        <f>SUMIFS(#REF!,Table4[Installation],$B47,#REF!,BT$1,#REF!,BT$2)</f>
        <v>#REF!</v>
      </c>
      <c r="BU47" s="21" t="e">
        <f>SUMIFS(#REF!,Table4[Installation],$B47,Table4[Projected 
Year],BT$1,#REF!,BT$2)</f>
        <v>#REF!</v>
      </c>
      <c r="BV47" s="24" t="e">
        <f t="shared" si="29"/>
        <v>#REF!</v>
      </c>
      <c r="BW47" s="27" t="e">
        <f>SUMIFS(#REF!,Table4[Installation],$B47,#REF!,BW$1,#REF!,BW$2)</f>
        <v>#REF!</v>
      </c>
      <c r="BX47" s="21" t="e">
        <f>SUMIFS(#REF!,Table4[Installation],$B47,Table4[Projected 
Year],BW$1,#REF!,BW$2)</f>
        <v>#REF!</v>
      </c>
      <c r="BY47" s="24" t="e">
        <f t="shared" si="25"/>
        <v>#REF!</v>
      </c>
      <c r="BZ47" s="30" t="e">
        <f t="shared" si="22"/>
        <v>#REF!</v>
      </c>
      <c r="CA47" s="30" t="e">
        <f t="shared" si="23"/>
        <v>#REF!</v>
      </c>
      <c r="CB47" s="24" t="e">
        <f t="shared" si="24"/>
        <v>#REF!</v>
      </c>
    </row>
    <row r="48" spans="1:81">
      <c r="A48" s="18"/>
      <c r="B48" s="20"/>
      <c r="C48" s="27"/>
      <c r="D48" s="23"/>
      <c r="E48" s="24"/>
      <c r="F48" s="27"/>
      <c r="G48" s="23"/>
      <c r="H48" s="24"/>
      <c r="I48" s="27"/>
      <c r="J48" s="23"/>
      <c r="K48" s="24"/>
      <c r="L48" s="27"/>
      <c r="M48" s="23"/>
      <c r="N48" s="24"/>
      <c r="O48" s="27"/>
      <c r="P48" s="23"/>
      <c r="Q48" s="24"/>
      <c r="R48" s="27"/>
      <c r="S48" s="23"/>
      <c r="T48" s="24"/>
      <c r="U48" s="27">
        <f>SUMIFS(Table4[Expected Revenue],Table4[Installation],$B48,Table4[Projected 
Year],U$1,Table4[Projected 
Month],U$2)</f>
        <v>0</v>
      </c>
      <c r="V48" s="23">
        <f>SUMPRODUCT(Table4[Probability]*Table4[Expected Revenue]*(Table4[Installation]=$B48)*(Table4[Projected 
Year]=U$1)*(Table4[Projected 
Month]=U$2))/MAX(1,SUMPRODUCT(Table4[Expected Revenue]*(Table4[Installation]=$B48)*(Table4[Projected 
Year]=U$1)*(Table4[Projected 
Month]=U$2)))</f>
        <v>0</v>
      </c>
      <c r="W48" s="24">
        <f>SUMPRODUCT(Table4[Expected Revenue]*Table4[Expected CMR]*(Table4[Projected 
Year]=U$1)*(Table4[Projected 
Month]=U$2)*(Table4[Installation]=$B48))/MAX(1,U48)</f>
        <v>0</v>
      </c>
      <c r="X48" s="27">
        <f>SUMIFS(Table4[Expected Revenue],Table4[Installation],$B48,Table4[Projected 
Year],X$1,Table4[Projected 
Month],X$2)</f>
        <v>0</v>
      </c>
      <c r="Y48" s="23">
        <f>SUMPRODUCT(Table4[Probability]*Table4[Expected Revenue]*(Table4[Installation]=$B48)*(Table4[Projected 
Year]=X$1)*(Table4[Projected 
Month]=X$2))/MAX(1,SUMPRODUCT(Table4[Expected Revenue]*(Table4[Installation]=$B48)*(Table4[Projected 
Year]=X$1)*(Table4[Projected 
Month]=X$2)))</f>
        <v>0</v>
      </c>
      <c r="Z48" s="24">
        <f>SUMPRODUCT(Table4[Expected Revenue]*Table4[Expected CMR]*(Table4[Projected 
Year]=X$1)*(Table4[Projected 
Month]=X$2)*(Table4[Installation]=$B48))/MAX(1,X48)</f>
        <v>0</v>
      </c>
      <c r="AA48" s="27">
        <f>SUMIFS(Table4[Expected Revenue],Table4[Installation],$B48,Table4[Projected 
Year],AA$1,Table4[Projected 
Month],AA$2)</f>
        <v>0</v>
      </c>
      <c r="AB48" s="23">
        <f>SUMPRODUCT(Table4[Probability]*Table4[Expected Revenue]*(Table4[Installation]=$B48)*(Table4[Projected 
Year]=AA$1)*(Table4[Projected 
Month]=AA$2))/MAX(1,SUMPRODUCT(Table4[Expected Revenue]*(Table4[Installation]=$B48)*(Table4[Projected 
Year]=AA$1)*(Table4[Projected 
Month]=AA$2)))</f>
        <v>0</v>
      </c>
      <c r="AC48" s="24">
        <f>SUMPRODUCT(Table4[Expected Revenue]*Table4[Expected CMR]*(Table4[Projected 
Year]=AA$1)*(Table4[Projected 
Month]=AA$2)*(Table4[Installation]=$B48))/MAX(1,AA48)</f>
        <v>0</v>
      </c>
      <c r="AD48" s="27">
        <f>SUMIFS(Table4[Expected Revenue],Table4[Installation],$B48,Table4[Projected 
Year],AD$1,Table4[Projected 
Month],AD$2)</f>
        <v>0</v>
      </c>
      <c r="AE48" s="23">
        <f>SUMPRODUCT(Table4[Probability]*Table4[Expected Revenue]*(Table4[Installation]=$B48)*(Table4[Projected 
Year]=AD$1)*(Table4[Projected 
Month]=AD$2))/MAX(1,SUMPRODUCT(Table4[Expected Revenue]*(Table4[Installation]=$B48)*(Table4[Projected 
Year]=AD$1)*(Table4[Projected 
Month]=AD$2)))</f>
        <v>0</v>
      </c>
      <c r="AF48" s="24">
        <f>SUMPRODUCT(Table4[Expected Revenue]*Table4[Expected CMR]*(Table4[Projected 
Year]=AD$1)*(Table4[Projected 
Month]=AD$2)*(Table4[Installation]=$B48))/MAX(1,AD48)</f>
        <v>0</v>
      </c>
      <c r="AG48" s="27">
        <f>SUMIFS(Table4[Expected Revenue],Table4[Installation],$B48,Table4[Projected 
Year],AG$1,Table4[Projected 
Month],AG$2)</f>
        <v>0</v>
      </c>
      <c r="AH48" s="23">
        <f>SUMPRODUCT(Table4[Probability]*Table4[Expected Revenue]*(Table4[Installation]=$B48)*(Table4[Projected 
Year]=AG$1)*(Table4[Projected 
Month]=AG$2))/MAX(1,SUMPRODUCT(Table4[Expected Revenue]*(Table4[Installation]=$B48)*(Table4[Projected 
Year]=AG$1)*(Table4[Projected 
Month]=AG$2)))</f>
        <v>0</v>
      </c>
      <c r="AI48" s="24">
        <f>SUMPRODUCT(Table4[Expected Revenue]*Table4[Expected CMR]*(Table4[Projected 
Year]=AG$1)*(Table4[Projected 
Month]=AG$2)*(Table4[Installation]=$B48))/MAX(1,AG48)</f>
        <v>0</v>
      </c>
      <c r="AJ48" s="27">
        <f>SUMIFS(Table4[Expected Revenue],Table4[Installation],$B48,Table4[Projected 
Year],AJ$1,Table4[Projected 
Month],AJ$2)</f>
        <v>0</v>
      </c>
      <c r="AK48" s="23">
        <f>SUMPRODUCT(Table4[Probability]*Table4[Expected Revenue]*(Table4[Installation]=$B48)*(Table4[Projected 
Year]=AJ$1)*(Table4[Projected 
Month]=AJ$2))/MAX(1,SUMPRODUCT(Table4[Expected Revenue]*(Table4[Installation]=$B48)*(Table4[Projected 
Year]=AJ$1)*(Table4[Projected 
Month]=AJ$2)))</f>
        <v>0</v>
      </c>
      <c r="AL48" s="24">
        <f>SUMPRODUCT(Table4[Expected Revenue]*Table4[Expected CMR]*(Table4[Projected 
Year]=AJ$1)*(Table4[Projected 
Month]=AJ$2)*(Table4[Installation]=$B48))/MAX(1,AJ48)</f>
        <v>0</v>
      </c>
      <c r="AM48" s="30">
        <f t="shared" si="20"/>
        <v>0</v>
      </c>
      <c r="AN48" s="52">
        <f t="shared" si="32"/>
        <v>0</v>
      </c>
      <c r="AO48" s="52">
        <f t="shared" si="32"/>
        <v>0</v>
      </c>
      <c r="AP48" s="27" t="e">
        <f>SUMIFS(#REF!,Table4[Installation],$B48,#REF!,AP$1,#REF!,AP$2)</f>
        <v>#REF!</v>
      </c>
      <c r="AQ48" s="21" t="e">
        <f>SUMIFS(#REF!,Table4[Installation],$B48,Table4[Projected 
Year],AP$1,#REF!,AP$2)</f>
        <v>#REF!</v>
      </c>
      <c r="AR48" s="24" t="e">
        <f t="shared" si="7"/>
        <v>#REF!</v>
      </c>
      <c r="AS48" s="27" t="e">
        <f>SUMIFS(#REF!,Table4[Installation],$B48,#REF!,AS$1,#REF!,AS$2)</f>
        <v>#REF!</v>
      </c>
      <c r="AT48" s="21" t="e">
        <f>SUMIFS(#REF!,Table4[Installation],$B48,Table4[Projected 
Year],AS$1,#REF!,AS$2)</f>
        <v>#REF!</v>
      </c>
      <c r="AU48" s="24" t="e">
        <f t="shared" si="8"/>
        <v>#REF!</v>
      </c>
      <c r="AV48" s="27" t="e">
        <f>SUMIFS(#REF!,Table4[Installation],$B48,#REF!,AV$1,#REF!,AV$2)</f>
        <v>#REF!</v>
      </c>
      <c r="AW48" s="21" t="e">
        <f>SUMIFS(#REF!,Table4[Installation],$B48,Table4[Projected 
Year],AV$1,#REF!,AV$2)</f>
        <v>#REF!</v>
      </c>
      <c r="AX48" s="24" t="e">
        <f t="shared" si="9"/>
        <v>#REF!</v>
      </c>
      <c r="AY48" s="27" t="e">
        <f>SUMIFS(#REF!,Table4[Installation],$B48,#REF!,AY$1,#REF!,AY$2)</f>
        <v>#REF!</v>
      </c>
      <c r="AZ48" s="21" t="e">
        <f>SUMIFS(#REF!,Table4[Installation],$B48,Table4[Projected 
Year],AY$1,#REF!,AY$2)</f>
        <v>#REF!</v>
      </c>
      <c r="BA48" s="24" t="e">
        <f t="shared" si="10"/>
        <v>#REF!</v>
      </c>
      <c r="BB48" s="27" t="e">
        <f>SUMIFS(#REF!,Table4[Installation],$B48,#REF!,BB$1,#REF!,BB$2)</f>
        <v>#REF!</v>
      </c>
      <c r="BC48" s="21" t="e">
        <f>SUMIFS(#REF!,Table4[Installation],$B48,Table4[Projected 
Year],BB$1,#REF!,BB$2)</f>
        <v>#REF!</v>
      </c>
      <c r="BD48" s="24" t="e">
        <f t="shared" si="11"/>
        <v>#REF!</v>
      </c>
      <c r="BE48" s="27" t="e">
        <f>SUMIFS(#REF!,Table4[Installation],$B48,#REF!,BE$1,#REF!,BE$2)</f>
        <v>#REF!</v>
      </c>
      <c r="BF48" s="21" t="e">
        <f>SUMIFS(#REF!,Table4[Installation],$B48,Table4[Projected 
Year],BE$1,#REF!,BE$2)</f>
        <v>#REF!</v>
      </c>
      <c r="BG48" s="24" t="e">
        <f t="shared" si="18"/>
        <v>#REF!</v>
      </c>
      <c r="BH48" s="27" t="e">
        <f>SUMIFS(#REF!,Table4[Installation],$B48,#REF!,BH$1,#REF!,BH$2)</f>
        <v>#REF!</v>
      </c>
      <c r="BI48" s="21" t="e">
        <f>SUMIFS(#REF!,Table4[Installation],$B48,Table4[Projected 
Year],BH$1,#REF!,BH$2)</f>
        <v>#REF!</v>
      </c>
      <c r="BJ48" s="24" t="e">
        <f t="shared" si="31"/>
        <v>#REF!</v>
      </c>
      <c r="BK48" s="27" t="e">
        <f>SUMIFS(#REF!,Table4[Installation],$B48,#REF!,BK$1,#REF!,BK$2)</f>
        <v>#REF!</v>
      </c>
      <c r="BL48" s="21" t="e">
        <f>SUMIFS(#REF!,Table4[Installation],$B48,Table4[Projected 
Year],BK$1,#REF!,BK$2)</f>
        <v>#REF!</v>
      </c>
      <c r="BM48" s="24" t="e">
        <f t="shared" si="28"/>
        <v>#REF!</v>
      </c>
      <c r="BN48" s="27" t="e">
        <f>SUMIFS(#REF!,Table4[Installation],$B48,#REF!,BN$1,#REF!,BN$2)</f>
        <v>#REF!</v>
      </c>
      <c r="BO48" s="21" t="e">
        <f>SUMIFS(#REF!,Table4[Installation],$B48,Table4[Projected 
Year],BN$1,#REF!,BN$2)</f>
        <v>#REF!</v>
      </c>
      <c r="BP48" s="24" t="e">
        <f t="shared" si="27"/>
        <v>#REF!</v>
      </c>
      <c r="BQ48" s="27" t="e">
        <f>SUMIFS(#REF!,Table4[Installation],$B48,#REF!,BQ$1,#REF!,BQ$2)</f>
        <v>#REF!</v>
      </c>
      <c r="BR48" s="21" t="e">
        <f>SUMIFS(#REF!,Table4[Installation],$B48,Table4[Projected 
Year],BQ$1,#REF!,BQ$2)</f>
        <v>#REF!</v>
      </c>
      <c r="BS48" s="24" t="e">
        <f t="shared" si="30"/>
        <v>#REF!</v>
      </c>
      <c r="BT48" s="27" t="e">
        <f>SUMIFS(#REF!,Table4[Installation],$B48,#REF!,BT$1,#REF!,BT$2)</f>
        <v>#REF!</v>
      </c>
      <c r="BU48" s="21" t="e">
        <f>SUMIFS(#REF!,Table4[Installation],$B48,Table4[Projected 
Year],BT$1,#REF!,BT$2)</f>
        <v>#REF!</v>
      </c>
      <c r="BV48" s="24" t="e">
        <f t="shared" si="29"/>
        <v>#REF!</v>
      </c>
      <c r="BW48" s="27" t="e">
        <f>SUMIFS(#REF!,Table4[Installation],$B48,#REF!,BW$1,#REF!,BW$2)</f>
        <v>#REF!</v>
      </c>
      <c r="BX48" s="21" t="e">
        <f>SUMIFS(#REF!,Table4[Installation],$B48,Table4[Projected 
Year],BW$1,#REF!,BW$2)</f>
        <v>#REF!</v>
      </c>
      <c r="BY48" s="24" t="e">
        <f t="shared" si="25"/>
        <v>#REF!</v>
      </c>
      <c r="BZ48" s="30" t="e">
        <f t="shared" si="22"/>
        <v>#REF!</v>
      </c>
      <c r="CA48" s="30" t="e">
        <f t="shared" si="23"/>
        <v>#REF!</v>
      </c>
      <c r="CB48" s="24" t="e">
        <f t="shared" si="24"/>
        <v>#REF!</v>
      </c>
    </row>
    <row r="49" spans="1:81">
      <c r="A49" s="18"/>
      <c r="B49" s="20"/>
      <c r="C49" s="27"/>
      <c r="D49" s="23"/>
      <c r="E49" s="24"/>
      <c r="F49" s="27"/>
      <c r="G49" s="23"/>
      <c r="H49" s="24"/>
      <c r="I49" s="27"/>
      <c r="J49" s="23"/>
      <c r="K49" s="24"/>
      <c r="L49" s="27"/>
      <c r="M49" s="23"/>
      <c r="N49" s="24"/>
      <c r="O49" s="27"/>
      <c r="P49" s="23"/>
      <c r="Q49" s="24"/>
      <c r="R49" s="27"/>
      <c r="S49" s="23"/>
      <c r="T49" s="24"/>
      <c r="U49" s="27">
        <f>SUMIFS(Table4[Expected Revenue],Table4[Installation],$B49,Table4[Projected 
Year],U$1,Table4[Projected 
Month],U$2)</f>
        <v>0</v>
      </c>
      <c r="V49" s="23">
        <f>SUMPRODUCT(Table4[Probability]*Table4[Expected Revenue]*(Table4[Installation]=$B49)*(Table4[Projected 
Year]=U$1)*(Table4[Projected 
Month]=U$2))/MAX(1,SUMPRODUCT(Table4[Expected Revenue]*(Table4[Installation]=$B49)*(Table4[Projected 
Year]=U$1)*(Table4[Projected 
Month]=U$2)))</f>
        <v>0</v>
      </c>
      <c r="W49" s="24">
        <f>SUMPRODUCT(Table4[Expected Revenue]*Table4[Expected CMR]*(Table4[Projected 
Year]=U$1)*(Table4[Projected 
Month]=U$2)*(Table4[Installation]=$B49))/MAX(1,U49)</f>
        <v>0</v>
      </c>
      <c r="X49" s="27">
        <f>SUMIFS(Table4[Expected Revenue],Table4[Installation],$B49,Table4[Projected 
Year],X$1,Table4[Projected 
Month],X$2)</f>
        <v>0</v>
      </c>
      <c r="Y49" s="23">
        <f>SUMPRODUCT(Table4[Probability]*Table4[Expected Revenue]*(Table4[Installation]=$B49)*(Table4[Projected 
Year]=X$1)*(Table4[Projected 
Month]=X$2))/MAX(1,SUMPRODUCT(Table4[Expected Revenue]*(Table4[Installation]=$B49)*(Table4[Projected 
Year]=X$1)*(Table4[Projected 
Month]=X$2)))</f>
        <v>0</v>
      </c>
      <c r="Z49" s="24">
        <f>SUMPRODUCT(Table4[Expected Revenue]*Table4[Expected CMR]*(Table4[Projected 
Year]=X$1)*(Table4[Projected 
Month]=X$2)*(Table4[Installation]=$B49))/MAX(1,X49)</f>
        <v>0</v>
      </c>
      <c r="AA49" s="27">
        <f>SUMIFS(Table4[Expected Revenue],Table4[Installation],$B49,Table4[Projected 
Year],AA$1,Table4[Projected 
Month],AA$2)</f>
        <v>0</v>
      </c>
      <c r="AB49" s="23">
        <f>SUMPRODUCT(Table4[Probability]*Table4[Expected Revenue]*(Table4[Installation]=$B49)*(Table4[Projected 
Year]=AA$1)*(Table4[Projected 
Month]=AA$2))/MAX(1,SUMPRODUCT(Table4[Expected Revenue]*(Table4[Installation]=$B49)*(Table4[Projected 
Year]=AA$1)*(Table4[Projected 
Month]=AA$2)))</f>
        <v>0</v>
      </c>
      <c r="AC49" s="24">
        <f>SUMPRODUCT(Table4[Expected Revenue]*Table4[Expected CMR]*(Table4[Projected 
Year]=AA$1)*(Table4[Projected 
Month]=AA$2)*(Table4[Installation]=$B49))/MAX(1,AA49)</f>
        <v>0</v>
      </c>
      <c r="AD49" s="27">
        <f>SUMIFS(Table4[Expected Revenue],Table4[Installation],$B49,Table4[Projected 
Year],AD$1,Table4[Projected 
Month],AD$2)</f>
        <v>0</v>
      </c>
      <c r="AE49" s="23">
        <f>SUMPRODUCT(Table4[Probability]*Table4[Expected Revenue]*(Table4[Installation]=$B49)*(Table4[Projected 
Year]=AD$1)*(Table4[Projected 
Month]=AD$2))/MAX(1,SUMPRODUCT(Table4[Expected Revenue]*(Table4[Installation]=$B49)*(Table4[Projected 
Year]=AD$1)*(Table4[Projected 
Month]=AD$2)))</f>
        <v>0</v>
      </c>
      <c r="AF49" s="24">
        <f>SUMPRODUCT(Table4[Expected Revenue]*Table4[Expected CMR]*(Table4[Projected 
Year]=AD$1)*(Table4[Projected 
Month]=AD$2)*(Table4[Installation]=$B49))/MAX(1,AD49)</f>
        <v>0</v>
      </c>
      <c r="AG49" s="27">
        <f>SUMIFS(Table4[Expected Revenue],Table4[Installation],$B49,Table4[Projected 
Year],AG$1,Table4[Projected 
Month],AG$2)</f>
        <v>0</v>
      </c>
      <c r="AH49" s="23">
        <f>SUMPRODUCT(Table4[Probability]*Table4[Expected Revenue]*(Table4[Installation]=$B49)*(Table4[Projected 
Year]=AG$1)*(Table4[Projected 
Month]=AG$2))/MAX(1,SUMPRODUCT(Table4[Expected Revenue]*(Table4[Installation]=$B49)*(Table4[Projected 
Year]=AG$1)*(Table4[Projected 
Month]=AG$2)))</f>
        <v>0</v>
      </c>
      <c r="AI49" s="24">
        <f>SUMPRODUCT(Table4[Expected Revenue]*Table4[Expected CMR]*(Table4[Projected 
Year]=AG$1)*(Table4[Projected 
Month]=AG$2)*(Table4[Installation]=$B49))/MAX(1,AG49)</f>
        <v>0</v>
      </c>
      <c r="AJ49" s="27">
        <f>SUMIFS(Table4[Expected Revenue],Table4[Installation],$B49,Table4[Projected 
Year],AJ$1,Table4[Projected 
Month],AJ$2)</f>
        <v>0</v>
      </c>
      <c r="AK49" s="23">
        <f>SUMPRODUCT(Table4[Probability]*Table4[Expected Revenue]*(Table4[Installation]=$B49)*(Table4[Projected 
Year]=AJ$1)*(Table4[Projected 
Month]=AJ$2))/MAX(1,SUMPRODUCT(Table4[Expected Revenue]*(Table4[Installation]=$B49)*(Table4[Projected 
Year]=AJ$1)*(Table4[Projected 
Month]=AJ$2)))</f>
        <v>0</v>
      </c>
      <c r="AL49" s="24">
        <f>SUMPRODUCT(Table4[Expected Revenue]*Table4[Expected CMR]*(Table4[Projected 
Year]=AJ$1)*(Table4[Projected 
Month]=AJ$2)*(Table4[Installation]=$B49))/MAX(1,AJ49)</f>
        <v>0</v>
      </c>
      <c r="AM49" s="30">
        <f t="shared" si="20"/>
        <v>0</v>
      </c>
      <c r="AN49" s="52">
        <f t="shared" si="32"/>
        <v>0</v>
      </c>
      <c r="AO49" s="52">
        <f t="shared" si="32"/>
        <v>0</v>
      </c>
      <c r="AP49" s="27" t="e">
        <f>SUMIFS(#REF!,Table4[Installation],$B49,#REF!,AP$1,#REF!,AP$2)</f>
        <v>#REF!</v>
      </c>
      <c r="AQ49" s="21" t="e">
        <f>SUMIFS(#REF!,Table4[Installation],$B49,Table4[Projected 
Year],AP$1,#REF!,AP$2)</f>
        <v>#REF!</v>
      </c>
      <c r="AR49" s="24" t="e">
        <f t="shared" si="7"/>
        <v>#REF!</v>
      </c>
      <c r="AS49" s="27" t="e">
        <f>SUMIFS(#REF!,Table4[Installation],$B49,#REF!,AS$1,#REF!,AS$2)</f>
        <v>#REF!</v>
      </c>
      <c r="AT49" s="21" t="e">
        <f>SUMIFS(#REF!,Table4[Installation],$B49,Table4[Projected 
Year],AS$1,#REF!,AS$2)</f>
        <v>#REF!</v>
      </c>
      <c r="AU49" s="24" t="e">
        <f t="shared" si="8"/>
        <v>#REF!</v>
      </c>
      <c r="AV49" s="27" t="e">
        <f>SUMIFS(#REF!,Table4[Installation],$B49,#REF!,AV$1,#REF!,AV$2)</f>
        <v>#REF!</v>
      </c>
      <c r="AW49" s="21" t="e">
        <f>SUMIFS(#REF!,Table4[Installation],$B49,Table4[Projected 
Year],AV$1,#REF!,AV$2)</f>
        <v>#REF!</v>
      </c>
      <c r="AX49" s="24" t="e">
        <f t="shared" si="9"/>
        <v>#REF!</v>
      </c>
      <c r="AY49" s="27" t="e">
        <f>SUMIFS(#REF!,Table4[Installation],$B49,#REF!,AY$1,#REF!,AY$2)</f>
        <v>#REF!</v>
      </c>
      <c r="AZ49" s="21" t="e">
        <f>SUMIFS(#REF!,Table4[Installation],$B49,Table4[Projected 
Year],AY$1,#REF!,AY$2)</f>
        <v>#REF!</v>
      </c>
      <c r="BA49" s="24" t="e">
        <f t="shared" si="10"/>
        <v>#REF!</v>
      </c>
      <c r="BB49" s="27" t="e">
        <f>SUMIFS(#REF!,Table4[Installation],$B49,#REF!,BB$1,#REF!,BB$2)</f>
        <v>#REF!</v>
      </c>
      <c r="BC49" s="21" t="e">
        <f>SUMIFS(#REF!,Table4[Installation],$B49,Table4[Projected 
Year],BB$1,#REF!,BB$2)</f>
        <v>#REF!</v>
      </c>
      <c r="BD49" s="24" t="e">
        <f t="shared" si="11"/>
        <v>#REF!</v>
      </c>
      <c r="BE49" s="27" t="e">
        <f>SUMIFS(#REF!,Table4[Installation],$B49,#REF!,BE$1,#REF!,BE$2)</f>
        <v>#REF!</v>
      </c>
      <c r="BF49" s="21" t="e">
        <f>SUMIFS(#REF!,Table4[Installation],$B49,Table4[Projected 
Year],BE$1,#REF!,BE$2)</f>
        <v>#REF!</v>
      </c>
      <c r="BG49" s="24" t="e">
        <f t="shared" si="18"/>
        <v>#REF!</v>
      </c>
      <c r="BH49" s="27" t="e">
        <f>SUMIFS(#REF!,Table4[Installation],$B49,#REF!,BH$1,#REF!,BH$2)</f>
        <v>#REF!</v>
      </c>
      <c r="BI49" s="21" t="e">
        <f>SUMIFS(#REF!,Table4[Installation],$B49,Table4[Projected 
Year],BH$1,#REF!,BH$2)</f>
        <v>#REF!</v>
      </c>
      <c r="BJ49" s="24" t="e">
        <f t="shared" si="31"/>
        <v>#REF!</v>
      </c>
      <c r="BK49" s="27" t="e">
        <f>SUMIFS(#REF!,Table4[Installation],$B49,#REF!,BK$1,#REF!,BK$2)</f>
        <v>#REF!</v>
      </c>
      <c r="BL49" s="21" t="e">
        <f>SUMIFS(#REF!,Table4[Installation],$B49,Table4[Projected 
Year],BK$1,#REF!,BK$2)</f>
        <v>#REF!</v>
      </c>
      <c r="BM49" s="24" t="e">
        <f t="shared" si="28"/>
        <v>#REF!</v>
      </c>
      <c r="BN49" s="27" t="e">
        <f>SUMIFS(#REF!,Table4[Installation],$B49,#REF!,BN$1,#REF!,BN$2)</f>
        <v>#REF!</v>
      </c>
      <c r="BO49" s="21" t="e">
        <f>SUMIFS(#REF!,Table4[Installation],$B49,Table4[Projected 
Year],BN$1,#REF!,BN$2)</f>
        <v>#REF!</v>
      </c>
      <c r="BP49" s="24" t="e">
        <f t="shared" si="27"/>
        <v>#REF!</v>
      </c>
      <c r="BQ49" s="27" t="e">
        <f>SUMIFS(#REF!,Table4[Installation],$B49,#REF!,BQ$1,#REF!,BQ$2)</f>
        <v>#REF!</v>
      </c>
      <c r="BR49" s="21" t="e">
        <f>SUMIFS(#REF!,Table4[Installation],$B49,Table4[Projected 
Year],BQ$1,#REF!,BQ$2)</f>
        <v>#REF!</v>
      </c>
      <c r="BS49" s="24" t="e">
        <f t="shared" si="30"/>
        <v>#REF!</v>
      </c>
      <c r="BT49" s="27" t="e">
        <f>SUMIFS(#REF!,Table4[Installation],$B49,#REF!,BT$1,#REF!,BT$2)</f>
        <v>#REF!</v>
      </c>
      <c r="BU49" s="21" t="e">
        <f>SUMIFS(#REF!,Table4[Installation],$B49,Table4[Projected 
Year],BT$1,#REF!,BT$2)</f>
        <v>#REF!</v>
      </c>
      <c r="BV49" s="24" t="e">
        <f t="shared" si="29"/>
        <v>#REF!</v>
      </c>
      <c r="BW49" s="27" t="e">
        <f>SUMIFS(#REF!,Table4[Installation],$B49,#REF!,BW$1,#REF!,BW$2)</f>
        <v>#REF!</v>
      </c>
      <c r="BX49" s="21" t="e">
        <f>SUMIFS(#REF!,Table4[Installation],$B49,Table4[Projected 
Year],BW$1,#REF!,BW$2)</f>
        <v>#REF!</v>
      </c>
      <c r="BY49" s="24" t="e">
        <f t="shared" si="25"/>
        <v>#REF!</v>
      </c>
      <c r="BZ49" s="30" t="e">
        <f t="shared" si="22"/>
        <v>#REF!</v>
      </c>
      <c r="CA49" s="30" t="e">
        <f t="shared" si="23"/>
        <v>#REF!</v>
      </c>
      <c r="CB49" s="24" t="e">
        <f t="shared" si="24"/>
        <v>#REF!</v>
      </c>
    </row>
    <row r="50" spans="1:81">
      <c r="A50" s="18"/>
      <c r="B50" s="20"/>
      <c r="C50" s="27"/>
      <c r="D50" s="23"/>
      <c r="E50" s="24"/>
      <c r="F50" s="27"/>
      <c r="G50" s="23"/>
      <c r="H50" s="24"/>
      <c r="I50" s="27"/>
      <c r="J50" s="23"/>
      <c r="K50" s="24"/>
      <c r="L50" s="27"/>
      <c r="M50" s="23"/>
      <c r="N50" s="24"/>
      <c r="O50" s="27"/>
      <c r="P50" s="23"/>
      <c r="Q50" s="24"/>
      <c r="R50" s="27"/>
      <c r="S50" s="23"/>
      <c r="T50" s="24"/>
      <c r="U50" s="27">
        <f>SUMIFS(Table4[Expected Revenue],Table4[Installation],$B50,Table4[Projected 
Year],U$1,Table4[Projected 
Month],U$2)</f>
        <v>0</v>
      </c>
      <c r="V50" s="23">
        <f>SUMPRODUCT(Table4[Probability]*Table4[Expected Revenue]*(Table4[Installation]=$B50)*(Table4[Projected 
Year]=U$1)*(Table4[Projected 
Month]=U$2))/MAX(1,SUMPRODUCT(Table4[Expected Revenue]*(Table4[Installation]=$B50)*(Table4[Projected 
Year]=U$1)*(Table4[Projected 
Month]=U$2)))</f>
        <v>0</v>
      </c>
      <c r="W50" s="24">
        <f>SUMPRODUCT(Table4[Expected Revenue]*Table4[Expected CMR]*(Table4[Projected 
Year]=U$1)*(Table4[Projected 
Month]=U$2)*(Table4[Installation]=$B50))/MAX(1,U50)</f>
        <v>0</v>
      </c>
      <c r="X50" s="27">
        <f>SUMIFS(Table4[Expected Revenue],Table4[Installation],$B50,Table4[Projected 
Year],X$1,Table4[Projected 
Month],X$2)</f>
        <v>0</v>
      </c>
      <c r="Y50" s="23">
        <f>SUMPRODUCT(Table4[Probability]*Table4[Expected Revenue]*(Table4[Installation]=$B50)*(Table4[Projected 
Year]=X$1)*(Table4[Projected 
Month]=X$2))/MAX(1,SUMPRODUCT(Table4[Expected Revenue]*(Table4[Installation]=$B50)*(Table4[Projected 
Year]=X$1)*(Table4[Projected 
Month]=X$2)))</f>
        <v>0</v>
      </c>
      <c r="Z50" s="24">
        <f>SUMPRODUCT(Table4[Expected Revenue]*Table4[Expected CMR]*(Table4[Projected 
Year]=X$1)*(Table4[Projected 
Month]=X$2)*(Table4[Installation]=$B50))/MAX(1,X50)</f>
        <v>0</v>
      </c>
      <c r="AA50" s="27">
        <f>SUMIFS(Table4[Expected Revenue],Table4[Installation],$B50,Table4[Projected 
Year],AA$1,Table4[Projected 
Month],AA$2)</f>
        <v>0</v>
      </c>
      <c r="AB50" s="23">
        <f>SUMPRODUCT(Table4[Probability]*Table4[Expected Revenue]*(Table4[Installation]=$B50)*(Table4[Projected 
Year]=AA$1)*(Table4[Projected 
Month]=AA$2))/MAX(1,SUMPRODUCT(Table4[Expected Revenue]*(Table4[Installation]=$B50)*(Table4[Projected 
Year]=AA$1)*(Table4[Projected 
Month]=AA$2)))</f>
        <v>0</v>
      </c>
      <c r="AC50" s="24">
        <f>SUMPRODUCT(Table4[Expected Revenue]*Table4[Expected CMR]*(Table4[Projected 
Year]=AA$1)*(Table4[Projected 
Month]=AA$2)*(Table4[Installation]=$B50))/MAX(1,AA50)</f>
        <v>0</v>
      </c>
      <c r="AD50" s="27">
        <f>SUMIFS(Table4[Expected Revenue],Table4[Installation],$B50,Table4[Projected 
Year],AD$1,Table4[Projected 
Month],AD$2)</f>
        <v>0</v>
      </c>
      <c r="AE50" s="23">
        <f>SUMPRODUCT(Table4[Probability]*Table4[Expected Revenue]*(Table4[Installation]=$B50)*(Table4[Projected 
Year]=AD$1)*(Table4[Projected 
Month]=AD$2))/MAX(1,SUMPRODUCT(Table4[Expected Revenue]*(Table4[Installation]=$B50)*(Table4[Projected 
Year]=AD$1)*(Table4[Projected 
Month]=AD$2)))</f>
        <v>0</v>
      </c>
      <c r="AF50" s="24">
        <f>SUMPRODUCT(Table4[Expected Revenue]*Table4[Expected CMR]*(Table4[Projected 
Year]=AD$1)*(Table4[Projected 
Month]=AD$2)*(Table4[Installation]=$B50))/MAX(1,AD50)</f>
        <v>0</v>
      </c>
      <c r="AG50" s="27">
        <f>SUMIFS(Table4[Expected Revenue],Table4[Installation],$B50,Table4[Projected 
Year],AG$1,Table4[Projected 
Month],AG$2)</f>
        <v>0</v>
      </c>
      <c r="AH50" s="23">
        <f>SUMPRODUCT(Table4[Probability]*Table4[Expected Revenue]*(Table4[Installation]=$B50)*(Table4[Projected 
Year]=AG$1)*(Table4[Projected 
Month]=AG$2))/MAX(1,SUMPRODUCT(Table4[Expected Revenue]*(Table4[Installation]=$B50)*(Table4[Projected 
Year]=AG$1)*(Table4[Projected 
Month]=AG$2)))</f>
        <v>0</v>
      </c>
      <c r="AI50" s="24">
        <f>SUMPRODUCT(Table4[Expected Revenue]*Table4[Expected CMR]*(Table4[Projected 
Year]=AG$1)*(Table4[Projected 
Month]=AG$2)*(Table4[Installation]=$B50))/MAX(1,AG50)</f>
        <v>0</v>
      </c>
      <c r="AJ50" s="27">
        <f>SUMIFS(Table4[Expected Revenue],Table4[Installation],$B50,Table4[Projected 
Year],AJ$1,Table4[Projected 
Month],AJ$2)</f>
        <v>0</v>
      </c>
      <c r="AK50" s="23">
        <f>SUMPRODUCT(Table4[Probability]*Table4[Expected Revenue]*(Table4[Installation]=$B50)*(Table4[Projected 
Year]=AJ$1)*(Table4[Projected 
Month]=AJ$2))/MAX(1,SUMPRODUCT(Table4[Expected Revenue]*(Table4[Installation]=$B50)*(Table4[Projected 
Year]=AJ$1)*(Table4[Projected 
Month]=AJ$2)))</f>
        <v>0</v>
      </c>
      <c r="AL50" s="24">
        <f>SUMPRODUCT(Table4[Expected Revenue]*Table4[Expected CMR]*(Table4[Projected 
Year]=AJ$1)*(Table4[Projected 
Month]=AJ$2)*(Table4[Installation]=$B50))/MAX(1,AJ50)</f>
        <v>0</v>
      </c>
      <c r="AM50" s="30">
        <f t="shared" si="20"/>
        <v>0</v>
      </c>
      <c r="AN50" s="52">
        <f t="shared" si="32"/>
        <v>0</v>
      </c>
      <c r="AO50" s="52">
        <f t="shared" si="32"/>
        <v>0</v>
      </c>
      <c r="AP50" s="27" t="e">
        <f>SUMIFS(#REF!,Table4[Installation],$B50,#REF!,AP$1,#REF!,AP$2)</f>
        <v>#REF!</v>
      </c>
      <c r="AQ50" s="21" t="e">
        <f>SUMIFS(#REF!,Table4[Installation],$B50,Table4[Projected 
Year],AP$1,#REF!,AP$2)</f>
        <v>#REF!</v>
      </c>
      <c r="AR50" s="24" t="e">
        <f t="shared" si="7"/>
        <v>#REF!</v>
      </c>
      <c r="AS50" s="27" t="e">
        <f>SUMIFS(#REF!,Table4[Installation],$B50,#REF!,AS$1,#REF!,AS$2)</f>
        <v>#REF!</v>
      </c>
      <c r="AT50" s="21" t="e">
        <f>SUMIFS(#REF!,Table4[Installation],$B50,Table4[Projected 
Year],AS$1,#REF!,AS$2)</f>
        <v>#REF!</v>
      </c>
      <c r="AU50" s="24" t="e">
        <f t="shared" si="8"/>
        <v>#REF!</v>
      </c>
      <c r="AV50" s="27" t="e">
        <f>SUMIFS(#REF!,Table4[Installation],$B50,#REF!,AV$1,#REF!,AV$2)</f>
        <v>#REF!</v>
      </c>
      <c r="AW50" s="21" t="e">
        <f>SUMIFS(#REF!,Table4[Installation],$B50,Table4[Projected 
Year],AV$1,#REF!,AV$2)</f>
        <v>#REF!</v>
      </c>
      <c r="AX50" s="24" t="e">
        <f t="shared" si="9"/>
        <v>#REF!</v>
      </c>
      <c r="AY50" s="27" t="e">
        <f>SUMIFS(#REF!,Table4[Installation],$B50,#REF!,AY$1,#REF!,AY$2)</f>
        <v>#REF!</v>
      </c>
      <c r="AZ50" s="21" t="e">
        <f>SUMIFS(#REF!,Table4[Installation],$B50,Table4[Projected 
Year],AY$1,#REF!,AY$2)</f>
        <v>#REF!</v>
      </c>
      <c r="BA50" s="24" t="e">
        <f t="shared" si="10"/>
        <v>#REF!</v>
      </c>
      <c r="BB50" s="27" t="e">
        <f>SUMIFS(#REF!,Table4[Installation],$B50,#REF!,BB$1,#REF!,BB$2)</f>
        <v>#REF!</v>
      </c>
      <c r="BC50" s="21" t="e">
        <f>SUMIFS(#REF!,Table4[Installation],$B50,Table4[Projected 
Year],BB$1,#REF!,BB$2)</f>
        <v>#REF!</v>
      </c>
      <c r="BD50" s="24" t="e">
        <f t="shared" si="11"/>
        <v>#REF!</v>
      </c>
      <c r="BE50" s="27" t="e">
        <f>SUMIFS(#REF!,Table4[Installation],$B50,#REF!,BE$1,#REF!,BE$2)</f>
        <v>#REF!</v>
      </c>
      <c r="BF50" s="21" t="e">
        <f>SUMIFS(#REF!,Table4[Installation],$B50,Table4[Projected 
Year],BE$1,#REF!,BE$2)</f>
        <v>#REF!</v>
      </c>
      <c r="BG50" s="24" t="e">
        <f t="shared" si="18"/>
        <v>#REF!</v>
      </c>
      <c r="BH50" s="27" t="e">
        <f>SUMIFS(#REF!,Table4[Installation],$B50,#REF!,BH$1,#REF!,BH$2)</f>
        <v>#REF!</v>
      </c>
      <c r="BI50" s="21" t="e">
        <f>SUMIFS(#REF!,Table4[Installation],$B50,Table4[Projected 
Year],BH$1,#REF!,BH$2)</f>
        <v>#REF!</v>
      </c>
      <c r="BJ50" s="24" t="e">
        <f t="shared" si="31"/>
        <v>#REF!</v>
      </c>
      <c r="BK50" s="27" t="e">
        <f>SUMIFS(#REF!,Table4[Installation],$B50,#REF!,BK$1,#REF!,BK$2)</f>
        <v>#REF!</v>
      </c>
      <c r="BL50" s="21" t="e">
        <f>SUMIFS(#REF!,Table4[Installation],$B50,Table4[Projected 
Year],BK$1,#REF!,BK$2)</f>
        <v>#REF!</v>
      </c>
      <c r="BM50" s="24" t="e">
        <f t="shared" si="28"/>
        <v>#REF!</v>
      </c>
      <c r="BN50" s="27" t="e">
        <f>SUMIFS(#REF!,Table4[Installation],$B50,#REF!,BN$1,#REF!,BN$2)</f>
        <v>#REF!</v>
      </c>
      <c r="BO50" s="21" t="e">
        <f>SUMIFS(#REF!,Table4[Installation],$B50,Table4[Projected 
Year],BN$1,#REF!,BN$2)</f>
        <v>#REF!</v>
      </c>
      <c r="BP50" s="24" t="e">
        <f t="shared" si="27"/>
        <v>#REF!</v>
      </c>
      <c r="BQ50" s="27" t="e">
        <f>SUMIFS(#REF!,Table4[Installation],$B50,#REF!,BQ$1,#REF!,BQ$2)</f>
        <v>#REF!</v>
      </c>
      <c r="BR50" s="21" t="e">
        <f>SUMIFS(#REF!,Table4[Installation],$B50,Table4[Projected 
Year],BQ$1,#REF!,BQ$2)</f>
        <v>#REF!</v>
      </c>
      <c r="BS50" s="24" t="e">
        <f t="shared" si="30"/>
        <v>#REF!</v>
      </c>
      <c r="BT50" s="27" t="e">
        <f>SUMIFS(#REF!,Table4[Installation],$B50,#REF!,BT$1,#REF!,BT$2)</f>
        <v>#REF!</v>
      </c>
      <c r="BU50" s="21" t="e">
        <f>SUMIFS(#REF!,Table4[Installation],$B50,Table4[Projected 
Year],BT$1,#REF!,BT$2)</f>
        <v>#REF!</v>
      </c>
      <c r="BV50" s="24" t="e">
        <f t="shared" si="29"/>
        <v>#REF!</v>
      </c>
      <c r="BW50" s="27" t="e">
        <f>SUMIFS(#REF!,Table4[Installation],$B50,#REF!,BW$1,#REF!,BW$2)</f>
        <v>#REF!</v>
      </c>
      <c r="BX50" s="21" t="e">
        <f>SUMIFS(#REF!,Table4[Installation],$B50,Table4[Projected 
Year],BW$1,#REF!,BW$2)</f>
        <v>#REF!</v>
      </c>
      <c r="BY50" s="24" t="e">
        <f t="shared" si="25"/>
        <v>#REF!</v>
      </c>
      <c r="BZ50" s="30" t="e">
        <f t="shared" si="22"/>
        <v>#REF!</v>
      </c>
      <c r="CA50" s="30" t="e">
        <f t="shared" si="23"/>
        <v>#REF!</v>
      </c>
      <c r="CB50" s="24" t="e">
        <f t="shared" si="24"/>
        <v>#REF!</v>
      </c>
    </row>
    <row r="51" spans="1:81">
      <c r="A51" s="10" t="s">
        <v>329</v>
      </c>
      <c r="B51" s="25" t="s">
        <v>330</v>
      </c>
      <c r="C51" s="28">
        <f>SUMIFS(Table4[Expected Revenue],Table4[Installation],$B51,Table4[Projected 
Year],C$1,Table4[Projected 
Month],C$2)</f>
        <v>0</v>
      </c>
      <c r="D51" s="47">
        <f>SUMPRODUCT(Table4[Probability]*Table4[Expected Revenue]*(Table4[Installation]=$B51)*(Table4[Projected 
Year]=C$1)*(Table4[Projected 
Month]=C$2))/MAX(1,SUMPRODUCT(Table4[Expected Revenue]*(Table4[Installation]=$B51)*(Table4[Projected 
Year]=C$1)*(Table4[Projected 
Month]=C$2)))</f>
        <v>0</v>
      </c>
      <c r="E51" s="48">
        <f>SUMPRODUCT(Table4[Expected Revenue]*Table4[Expected CMR]*(Table4[Projected 
Year]=C$1)*(Table4[Projected 
Month]=C$2)*(Table4[Installation]=$B51))/MAX(1,C51)</f>
        <v>0</v>
      </c>
      <c r="F51" s="28">
        <f>SUMIFS(Table4[Expected Revenue],Table4[Installation],$B51,Table4[Projected 
Year],F$1,Table4[Projected 
Month],F$2)</f>
        <v>0</v>
      </c>
      <c r="G51" s="47">
        <f>SUMPRODUCT(Table4[Probability]*Table4[Expected Revenue]*(Table4[Installation]=$B51)*(Table4[Projected 
Year]=F$1)*(Table4[Projected 
Month]=F$2))/MAX(1,SUMPRODUCT(Table4[Expected Revenue]*(Table4[Installation]=$B51)*(Table4[Projected 
Year]=F$1)*(Table4[Projected 
Month]=F$2)))</f>
        <v>0</v>
      </c>
      <c r="H51" s="48">
        <f>SUMPRODUCT(Table4[Expected Revenue]*Table4[Expected CMR]*(Table4[Projected 
Year]=F$1)*(Table4[Projected 
Month]=F$2)*(Table4[Installation]=$B51))/MAX(1,F51)</f>
        <v>0</v>
      </c>
      <c r="I51" s="28">
        <f>SUMIFS(Table4[Expected Revenue],Table4[Installation],$B51,Table4[Projected 
Year],I$1,Table4[Projected 
Month],I$2)</f>
        <v>0</v>
      </c>
      <c r="J51" s="47">
        <f>SUMPRODUCT(Table4[Probability]*Table4[Expected Revenue]*(Table4[Installation]=$B51)*(Table4[Projected 
Year]=I$1)*(Table4[Projected 
Month]=I$2))/MAX(1,SUMPRODUCT(Table4[Expected Revenue]*(Table4[Installation]=$B51)*(Table4[Projected 
Year]=I$1)*(Table4[Projected 
Month]=I$2)))</f>
        <v>0</v>
      </c>
      <c r="K51" s="48">
        <f>SUMPRODUCT(Table4[Expected Revenue]*Table4[Expected CMR]*(Table4[Projected 
Year]=I$1)*(Table4[Projected 
Month]=I$2)*(Table4[Installation]=$B51))/MAX(1,I51)</f>
        <v>0</v>
      </c>
      <c r="L51" s="28">
        <f>SUMIFS(Table4[Expected Revenue],Table4[Installation],$B51,Table4[Projected 
Year],L$1,Table4[Projected 
Month],L$2)</f>
        <v>0</v>
      </c>
      <c r="M51" s="47">
        <f>SUMPRODUCT(Table4[Probability]*Table4[Expected Revenue]*(Table4[Installation]=$B51)*(Table4[Projected 
Year]=L$1)*(Table4[Projected 
Month]=L$2))/MAX(1,SUMPRODUCT(Table4[Expected Revenue]*(Table4[Installation]=$B51)*(Table4[Projected 
Year]=L$1)*(Table4[Projected 
Month]=L$2)))</f>
        <v>0</v>
      </c>
      <c r="N51" s="48">
        <f>SUMPRODUCT(Table4[Expected Revenue]*Table4[Expected CMR]*(Table4[Projected 
Year]=L$1)*(Table4[Projected 
Month]=L$2)*(Table4[Installation]=$B51))/MAX(1,L51)</f>
        <v>0</v>
      </c>
      <c r="O51" s="28">
        <f>SUMIFS(Table4[Expected Revenue],Table4[Installation],$B51,Table4[Projected 
Year],O$1,Table4[Projected 
Month],O$2)</f>
        <v>0</v>
      </c>
      <c r="P51" s="47">
        <f>SUMPRODUCT(Table4[Probability]*Table4[Expected Revenue]*(Table4[Installation]=$B51)*(Table4[Projected 
Year]=O$1)*(Table4[Projected 
Month]=O$2))/MAX(1,SUMPRODUCT(Table4[Expected Revenue]*(Table4[Installation]=$B51)*(Table4[Projected 
Year]=O$1)*(Table4[Projected 
Month]=O$2)))</f>
        <v>0</v>
      </c>
      <c r="Q51" s="48">
        <f>SUMPRODUCT(Table4[Expected Revenue]*Table4[Expected CMR]*(Table4[Projected 
Year]=O$1)*(Table4[Projected 
Month]=O$2)*(Table4[Installation]=$B51))/MAX(1,O51)</f>
        <v>0</v>
      </c>
      <c r="R51" s="28">
        <f>SUMIFS(Table4[Expected Revenue],Table4[Installation],$B51,Table4[Projected 
Year],R$1,Table4[Projected 
Month],R$2)</f>
        <v>0</v>
      </c>
      <c r="S51" s="47">
        <f>SUMPRODUCT(Table4[Probability]*Table4[Expected Revenue]*(Table4[Installation]=$B51)*(Table4[Projected 
Year]=R$1)*(Table4[Projected 
Month]=R$2))/MAX(1,SUMPRODUCT(Table4[Expected Revenue]*(Table4[Installation]=$B51)*(Table4[Projected 
Year]=R$1)*(Table4[Projected 
Month]=R$2)))</f>
        <v>0</v>
      </c>
      <c r="T51" s="48">
        <f>SUMPRODUCT(Table4[Expected Revenue]*Table4[Expected CMR]*(Table4[Projected 
Year]=R$1)*(Table4[Projected 
Month]=R$2)*(Table4[Installation]=$B51))/MAX(1,R51)</f>
        <v>0</v>
      </c>
      <c r="U51" s="27">
        <f>SUMIFS(Table4[Expected Revenue],Table4[Installation],$B51,Table4[Projected 
Year],U$1,Table4[Projected 
Month],U$2)</f>
        <v>0</v>
      </c>
      <c r="V51" s="23">
        <f>SUMPRODUCT(Table4[Probability]*Table4[Expected Revenue]*(Table4[Installation]=$B51)*(Table4[Projected 
Year]=U$1)*(Table4[Projected 
Month]=U$2))/MAX(1,SUMPRODUCT(Table4[Expected Revenue]*(Table4[Installation]=$B51)*(Table4[Projected 
Year]=U$1)*(Table4[Projected 
Month]=U$2)))</f>
        <v>0</v>
      </c>
      <c r="W51" s="24">
        <f>SUMPRODUCT(Table4[Expected Revenue]*Table4[Expected CMR]*(Table4[Projected 
Year]=U$1)*(Table4[Projected 
Month]=U$2)*(Table4[Installation]=$B51))/MAX(1,U51)</f>
        <v>0</v>
      </c>
      <c r="X51" s="27">
        <f>SUMIFS(Table4[Expected Revenue],Table4[Installation],$B51,Table4[Projected 
Year],X$1,Table4[Projected 
Month],X$2)</f>
        <v>0</v>
      </c>
      <c r="Y51" s="23">
        <f>SUMPRODUCT(Table4[Probability]*Table4[Expected Revenue]*(Table4[Installation]=$B51)*(Table4[Projected 
Year]=X$1)*(Table4[Projected 
Month]=X$2))/MAX(1,SUMPRODUCT(Table4[Expected Revenue]*(Table4[Installation]=$B51)*(Table4[Projected 
Year]=X$1)*(Table4[Projected 
Month]=X$2)))</f>
        <v>0</v>
      </c>
      <c r="Z51" s="24">
        <f>SUMPRODUCT(Table4[Expected Revenue]*Table4[Expected CMR]*(Table4[Projected 
Year]=X$1)*(Table4[Projected 
Month]=X$2)*(Table4[Installation]=$B51))/MAX(1,X51)</f>
        <v>0</v>
      </c>
      <c r="AA51" s="27">
        <f>SUMIFS(Table4[Expected Revenue],Table4[Installation],$B51,Table4[Projected 
Year],AA$1,Table4[Projected 
Month],AA$2)</f>
        <v>0</v>
      </c>
      <c r="AB51" s="23">
        <f>SUMPRODUCT(Table4[Probability]*Table4[Expected Revenue]*(Table4[Installation]=$B51)*(Table4[Projected 
Year]=AA$1)*(Table4[Projected 
Month]=AA$2))/MAX(1,SUMPRODUCT(Table4[Expected Revenue]*(Table4[Installation]=$B51)*(Table4[Projected 
Year]=AA$1)*(Table4[Projected 
Month]=AA$2)))</f>
        <v>0</v>
      </c>
      <c r="AC51" s="24">
        <f>SUMPRODUCT(Table4[Expected Revenue]*Table4[Expected CMR]*(Table4[Projected 
Year]=AA$1)*(Table4[Projected 
Month]=AA$2)*(Table4[Installation]=$B51))/MAX(1,AA51)</f>
        <v>0</v>
      </c>
      <c r="AD51" s="27">
        <f>SUMIFS(Table4[Expected Revenue],Table4[Installation],$B51,Table4[Projected 
Year],AD$1,Table4[Projected 
Month],AD$2)</f>
        <v>0</v>
      </c>
      <c r="AE51" s="23">
        <f>SUMPRODUCT(Table4[Probability]*Table4[Expected Revenue]*(Table4[Installation]=$B51)*(Table4[Projected 
Year]=AD$1)*(Table4[Projected 
Month]=AD$2))/MAX(1,SUMPRODUCT(Table4[Expected Revenue]*(Table4[Installation]=$B51)*(Table4[Projected 
Year]=AD$1)*(Table4[Projected 
Month]=AD$2)))</f>
        <v>0</v>
      </c>
      <c r="AF51" s="24">
        <f>SUMPRODUCT(Table4[Expected Revenue]*Table4[Expected CMR]*(Table4[Projected 
Year]=AD$1)*(Table4[Projected 
Month]=AD$2)*(Table4[Installation]=$B51))/MAX(1,AD51)</f>
        <v>0</v>
      </c>
      <c r="AG51" s="27">
        <f>SUMIFS(Table4[Expected Revenue],Table4[Installation],$B51,Table4[Projected 
Year],AG$1,Table4[Projected 
Month],AG$2)</f>
        <v>0</v>
      </c>
      <c r="AH51" s="23">
        <f>SUMPRODUCT(Table4[Probability]*Table4[Expected Revenue]*(Table4[Installation]=$B51)*(Table4[Projected 
Year]=AG$1)*(Table4[Projected 
Month]=AG$2))/MAX(1,SUMPRODUCT(Table4[Expected Revenue]*(Table4[Installation]=$B51)*(Table4[Projected 
Year]=AG$1)*(Table4[Projected 
Month]=AG$2)))</f>
        <v>0</v>
      </c>
      <c r="AI51" s="24">
        <f>SUMPRODUCT(Table4[Expected Revenue]*Table4[Expected CMR]*(Table4[Projected 
Year]=AG$1)*(Table4[Projected 
Month]=AG$2)*(Table4[Installation]=$B51))/MAX(1,AG51)</f>
        <v>0</v>
      </c>
      <c r="AJ51" s="27">
        <f>SUMIFS(Table4[Expected Revenue],Table4[Installation],$B51,Table4[Projected 
Year],AJ$1,Table4[Projected 
Month],AJ$2)</f>
        <v>0</v>
      </c>
      <c r="AK51" s="23">
        <f>SUMPRODUCT(Table4[Probability]*Table4[Expected Revenue]*(Table4[Installation]=$B51)*(Table4[Projected 
Year]=AJ$1)*(Table4[Projected 
Month]=AJ$2))/MAX(1,SUMPRODUCT(Table4[Expected Revenue]*(Table4[Installation]=$B51)*(Table4[Projected 
Year]=AJ$1)*(Table4[Projected 
Month]=AJ$2)))</f>
        <v>0</v>
      </c>
      <c r="AL51" s="24">
        <f>SUMPRODUCT(Table4[Expected Revenue]*Table4[Expected CMR]*(Table4[Projected 
Year]=AJ$1)*(Table4[Projected 
Month]=AJ$2)*(Table4[Installation]=$B51))/MAX(1,AJ51)</f>
        <v>0</v>
      </c>
      <c r="AM51" s="30">
        <f t="shared" si="20"/>
        <v>0</v>
      </c>
      <c r="AN51" s="52">
        <f t="shared" si="32"/>
        <v>0</v>
      </c>
      <c r="AO51" s="52">
        <f t="shared" si="32"/>
        <v>0</v>
      </c>
      <c r="AP51" s="27" t="e">
        <f>SUMIFS(#REF!,Table4[Installation],$B51,#REF!,AP$1,#REF!,AP$2)</f>
        <v>#REF!</v>
      </c>
      <c r="AQ51" s="21" t="e">
        <f>SUMIFS(#REF!,Table4[Installation],$B51,Table4[Projected 
Year],AP$1,#REF!,AP$2)</f>
        <v>#REF!</v>
      </c>
      <c r="AR51" s="24" t="e">
        <f t="shared" si="7"/>
        <v>#REF!</v>
      </c>
      <c r="AS51" s="27" t="e">
        <f>SUMIFS(#REF!,Table4[Installation],$B51,#REF!,AS$1,#REF!,AS$2)</f>
        <v>#REF!</v>
      </c>
      <c r="AT51" s="21" t="e">
        <f>SUMIFS(#REF!,Table4[Installation],$B51,Table4[Projected 
Year],AS$1,#REF!,AS$2)</f>
        <v>#REF!</v>
      </c>
      <c r="AU51" s="24" t="e">
        <f t="shared" si="8"/>
        <v>#REF!</v>
      </c>
      <c r="AV51" s="27" t="e">
        <f>SUMIFS(#REF!,Table4[Installation],$B51,#REF!,AV$1,#REF!,AV$2)</f>
        <v>#REF!</v>
      </c>
      <c r="AW51" s="21" t="e">
        <f>SUMIFS(#REF!,Table4[Installation],$B51,Table4[Projected 
Year],AV$1,#REF!,AV$2)</f>
        <v>#REF!</v>
      </c>
      <c r="AX51" s="24" t="e">
        <f t="shared" si="9"/>
        <v>#REF!</v>
      </c>
      <c r="AY51" s="27" t="e">
        <f>SUMIFS(#REF!,Table4[Installation],$B51,#REF!,AY$1,#REF!,AY$2)</f>
        <v>#REF!</v>
      </c>
      <c r="AZ51" s="21" t="e">
        <f>SUMIFS(#REF!,Table4[Installation],$B51,Table4[Projected 
Year],AY$1,#REF!,AY$2)</f>
        <v>#REF!</v>
      </c>
      <c r="BA51" s="24" t="e">
        <f t="shared" si="10"/>
        <v>#REF!</v>
      </c>
      <c r="BB51" s="27" t="e">
        <f>SUMIFS(#REF!,Table4[Installation],$B51,#REF!,BB$1,#REF!,BB$2)</f>
        <v>#REF!</v>
      </c>
      <c r="BC51" s="21" t="e">
        <f>SUMIFS(#REF!,Table4[Installation],$B51,Table4[Projected 
Year],BB$1,#REF!,BB$2)</f>
        <v>#REF!</v>
      </c>
      <c r="BD51" s="24" t="e">
        <f t="shared" si="11"/>
        <v>#REF!</v>
      </c>
      <c r="BE51" s="27" t="e">
        <f>SUMIFS(#REF!,Table4[Installation],$B51,#REF!,BE$1,#REF!,BE$2)</f>
        <v>#REF!</v>
      </c>
      <c r="BF51" s="21" t="e">
        <f>SUMIFS(#REF!,Table4[Installation],$B51,Table4[Projected 
Year],BE$1,#REF!,BE$2)</f>
        <v>#REF!</v>
      </c>
      <c r="BG51" s="24" t="e">
        <f t="shared" si="18"/>
        <v>#REF!</v>
      </c>
      <c r="BH51" s="27" t="e">
        <f>SUMIFS(#REF!,Table4[Installation],$B51,#REF!,BH$1,#REF!,BH$2)</f>
        <v>#REF!</v>
      </c>
      <c r="BI51" s="114" t="e">
        <f>SUMIFS(#REF!,Table4[Installation],$B51,Table4[Projected 
Year],BH$1,#REF!,BH$2)</f>
        <v>#REF!</v>
      </c>
      <c r="BJ51" s="24" t="e">
        <f t="shared" si="31"/>
        <v>#REF!</v>
      </c>
      <c r="BK51" s="27" t="e">
        <f>SUMIFS(#REF!,Table4[Installation],$B51,#REF!,BK$1,#REF!,BK$2)</f>
        <v>#REF!</v>
      </c>
      <c r="BL51" s="114" t="e">
        <f>SUMIFS(#REF!,Table4[Installation],$B51,Table4[Projected 
Year],BK$1,#REF!,BK$2)</f>
        <v>#REF!</v>
      </c>
      <c r="BM51" s="24" t="e">
        <f t="shared" si="28"/>
        <v>#REF!</v>
      </c>
      <c r="BN51" s="27" t="e">
        <f>SUMIFS(#REF!,Table4[Installation],$B51,#REF!,BN$1,#REF!,BN$2)</f>
        <v>#REF!</v>
      </c>
      <c r="BO51" s="114" t="e">
        <f>SUMIFS(#REF!,Table4[Installation],$B51,Table4[Projected 
Year],BN$1,#REF!,BN$2)</f>
        <v>#REF!</v>
      </c>
      <c r="BP51" s="24" t="e">
        <f t="shared" si="27"/>
        <v>#REF!</v>
      </c>
      <c r="BQ51" s="27" t="e">
        <f>SUMIFS(#REF!,Table4[Installation],$B51,#REF!,BQ$1,#REF!,BQ$2)</f>
        <v>#REF!</v>
      </c>
      <c r="BR51" s="114" t="e">
        <f>SUMIFS(#REF!,Table4[Installation],$B51,Table4[Projected 
Year],BQ$1,#REF!,BQ$2)</f>
        <v>#REF!</v>
      </c>
      <c r="BS51" s="24" t="e">
        <f t="shared" si="30"/>
        <v>#REF!</v>
      </c>
      <c r="BT51" s="27" t="e">
        <f>SUMIFS(#REF!,Table4[Installation],$B51,#REF!,BT$1,#REF!,BT$2)</f>
        <v>#REF!</v>
      </c>
      <c r="BU51" s="21" t="e">
        <f>SUMIFS(#REF!,Table4[Installation],$B51,Table4[Projected 
Year],BT$1,#REF!,BT$2)</f>
        <v>#REF!</v>
      </c>
      <c r="BV51" s="24" t="e">
        <f t="shared" si="29"/>
        <v>#REF!</v>
      </c>
      <c r="BW51" s="27" t="e">
        <f>SUMIFS(#REF!,Table4[Installation],$B51,#REF!,BW$1,#REF!,BW$2)</f>
        <v>#REF!</v>
      </c>
      <c r="BX51" s="114" t="e">
        <f>SUMIFS(#REF!,Table4[Installation],$B51,Table4[Projected 
Year],BW$1,#REF!,BW$2)</f>
        <v>#REF!</v>
      </c>
      <c r="BY51" s="24" t="e">
        <f t="shared" si="25"/>
        <v>#REF!</v>
      </c>
      <c r="BZ51" s="30" t="e">
        <f t="shared" si="22"/>
        <v>#REF!</v>
      </c>
      <c r="CA51" s="30" t="e">
        <f t="shared" si="23"/>
        <v>#REF!</v>
      </c>
      <c r="CB51" s="24" t="e">
        <f t="shared" si="24"/>
        <v>#REF!</v>
      </c>
    </row>
    <row r="52" spans="1:81">
      <c r="A52" s="115"/>
      <c r="B52" s="115" t="s">
        <v>301</v>
      </c>
      <c r="C52" s="44">
        <f>SUM(C$5:C$51)</f>
        <v>0</v>
      </c>
      <c r="D52" s="45" t="e">
        <f>SUM(C5*D5,C18*D18,C19*D19,#REF!*#REF!,C20*D20,#REF!*#REF!,C6*D6,C7*D7,C8*D8,C9*D9,C21*D21,C13*D13,C14*D14,C24*D24,C15*D15,C10*D10,C25*D25,C26*D26,C28*D28,C29*D29,C51*D51)/C52</f>
        <v>#REF!</v>
      </c>
      <c r="E52" s="46" t="e">
        <f>SUM(C5*E5,C18*E18,C19*E19,#REF!*#REF!,C20*E20,#REF!*#REF!,C6*E6,C7*E7,C8*E8,C9*E9,C21*E21,C13*E13,C14*E14,C24*E24,C15*E15,C10*E10,C25*E25,C26*E26,C28*E28,C29*E29,C51*E51)/C52</f>
        <v>#REF!</v>
      </c>
      <c r="F52" s="44">
        <f>SUM(F$5:F$51)</f>
        <v>0</v>
      </c>
      <c r="G52" s="45" t="e">
        <f>SUM(F5*G5,F18*G18,F19*G19,#REF!*#REF!,F20*G20,#REF!*#REF!,F6*G6,F7*G7,F8*G8,F9*G9,F21*G21,F13*G13,F14*G14,F24*G24,F15*G15,F10*G10,F25*G25,F26*G26,F28*G28,F29*G29,F51*G51)/F52</f>
        <v>#REF!</v>
      </c>
      <c r="H52" s="46" t="e">
        <f>SUM(F5*H5,F18*H18,F19*H19,#REF!*#REF!,F20*H20,#REF!*#REF!,F6*H6,F7*H7,F8*H8,F9*H9,F21*H21,F13*H13,F14*H14,F24*H24,F15*H15,F10*H10,F25*H25,F26*H26,F28*H28,F29*H29,F51*H51)/F52</f>
        <v>#REF!</v>
      </c>
      <c r="I52" s="44">
        <f>SUM(I$5:I$51)</f>
        <v>0</v>
      </c>
      <c r="J52" s="45" t="e">
        <f>SUM(I5*J5,I18*J18,I19*J19,#REF!*#REF!,I20*J20,#REF!*#REF!,I6*J6,I7*J7,I8*J8,I9*J9,I21*J21,I13*J13,I14*J14,I24*J24,I15*J15,I10*J10,I25*J25,I26*J26,I28*J28,I29*J29,I51*J51)/I52</f>
        <v>#REF!</v>
      </c>
      <c r="K52" s="46" t="e">
        <f>SUM(I5*K5,I18*K18,I19*K19,#REF!*#REF!,I20*K20,#REF!*#REF!,I6*K6,I7*K7,I8*K8,I9*K9,I21*K21,I13*K13,I14*K14,I24*K24,I15*K15,I10*K10,I25*K25,I26*K26,I28*K28,I29*K29,I51*K51)/I52</f>
        <v>#REF!</v>
      </c>
      <c r="L52" s="44">
        <f>SUM(L$5:L$51)</f>
        <v>0</v>
      </c>
      <c r="M52" s="45" t="e">
        <f>SUM(L5*M5,L18*M18,L19*M19,#REF!*#REF!,L20*M20,#REF!*#REF!,L6*M6,L7*M7,L8*M8,L9*M9,L21*M21,L13*M13,L14*M14,L24*M24,L15*M15,L10*M10,L25*M25,L26*M26,L28*M28,L29*M29,L51*M51)/L52</f>
        <v>#REF!</v>
      </c>
      <c r="N52" s="46" t="e">
        <f>SUM(L5*N5,L18*N18,L19*N19,#REF!*#REF!,L20*N20,#REF!*#REF!,L6*N6,L7*N7,L8*N8,L9*N9,L21*N21,L13*N13,L14*N14,L24*N24,L15*N15,L10*N10,L25*N25,L26*N26,L28*N28,L29*N29,L51*N51)/L52</f>
        <v>#REF!</v>
      </c>
      <c r="O52" s="44">
        <f>SUM(O$5:O$51)</f>
        <v>0</v>
      </c>
      <c r="P52" s="45" t="e">
        <f>SUM(O5*P5,O18*P18,O19*P19,#REF!*#REF!,O20*P20,#REF!*#REF!,O6*P6,O7*P7,O8*P8,O9*P9,O21*P21,O13*P13,O14*P14,O24*P24,O15*P15,O10*P10,O25*P25,O26*P26,O28*P28,O29*P29,O51*P51)/O52</f>
        <v>#REF!</v>
      </c>
      <c r="Q52" s="46" t="e">
        <f>SUM(O5*Q5,O18*Q18,O19*Q19,#REF!*#REF!,O20*Q20,#REF!*#REF!,O6*Q6,O7*Q7,O8*Q8,O9*Q9,O21*Q21,O13*Q13,O14*Q14,O24*Q24,O15*Q15,O10*Q10,O25*Q25,O26*Q26,O28*Q28,O29*Q29,O51*Q51)/O52</f>
        <v>#REF!</v>
      </c>
      <c r="R52" s="44">
        <f>SUM(R$5:R$51)</f>
        <v>0</v>
      </c>
      <c r="S52" s="45" t="e">
        <f>SUM(R5*S5,R18*S18,R19*S19,#REF!*#REF!,R20*S20,#REF!*#REF!,R6*S6,R7*S7,R8*S8,R9*S9,R21*S21,R13*S13,R14*S14,R24*S24,R15*S15,R10*S10,R25*S25,R26*S26,R28*S28,R29*S29,R51*S51)/R52</f>
        <v>#REF!</v>
      </c>
      <c r="T52" s="46" t="e">
        <f>SUM(R5*T5,R18*T18,R19*T19,#REF!*#REF!,R20*T20,#REF!*#REF!,R6*T6,R7*T7,R8*T8,R9*T9,R21*T21,R13*T13,R14*T14,R24*T24,R15*T15,R10*T10,R25*T25,R26*T26,R28*T28,R29*T29,R51*T51)/R52</f>
        <v>#REF!</v>
      </c>
      <c r="U52" s="44">
        <f>SUM(U$5:U$51)</f>
        <v>0</v>
      </c>
      <c r="V52" s="45" t="e">
        <f>SUM(U5*V5,U18*V18,U19*V19,#REF!*#REF!,U20*V20,#REF!*#REF!,U6*V6,U7*V7,U8*V8,U9*V9,U21*V21,U13*V13,U14*V14,U24*V24,U15*V15,U10*V10,U25*V25,U26*V26,U28*V28,U29*V29,U51*V51)/U52</f>
        <v>#REF!</v>
      </c>
      <c r="W52" s="46" t="e">
        <f>SUM(U5*W5,U18*W18,U19*W19,#REF!*#REF!,U20*W20,#REF!*#REF!,U6*W6,U7*W7,U8*W8,U9*W9,U21*W21,U13*W13,U14*W14,U24*W24,U15*W15,U10*W10,U25*W25,U26*W26,U28*W28,U29*W29,U51*W51)/U52</f>
        <v>#REF!</v>
      </c>
      <c r="X52" s="44">
        <f>SUM(X$5:X$51)</f>
        <v>0</v>
      </c>
      <c r="Y52" s="45" t="e">
        <f>SUM(X5*Y5,X18*Y18,X19*Y19,#REF!*#REF!,X20*Y20,#REF!*#REF!,X6*Y6,X7*Y7,X8*Y8,X9*Y9,X21*Y21,X13*Y13,X14*Y14,X24*Y24,X15*Y15,X10*Y10,X25*Y25,X26*Y26,X28*Y28,X29*Y29,X51*Y51)/X52</f>
        <v>#REF!</v>
      </c>
      <c r="Z52" s="46" t="e">
        <f>SUM(X5*Z5,X18*Z18,X19*Z19,#REF!*#REF!,X20*Z20,#REF!*#REF!,X6*Z6,X7*Z7,X8*Z8,X9*Z9,X21*Z21,X13*Z13,X14*Z14,X24*Z24,X15*Z15,X10*Z10,X25*Z25,X26*Z26,X28*Z28,X29*Z29,X51*Z51)/X52</f>
        <v>#REF!</v>
      </c>
      <c r="AA52" s="44">
        <f>SUM(AA$5:AA$51)</f>
        <v>0</v>
      </c>
      <c r="AB52" s="45" t="e">
        <f>SUM(AA5*AB5,AA18*AB18,AA19*AB19,#REF!*#REF!,AA20*AB20,#REF!*#REF!,AA6*AB6,AA7*AB7,AA8*AB8,AA9*AB9,AA21*AB21,AA13*AB13,AA14*AB14,AA24*AB24,AA15*AB15,AA10*AB10,AA25*AB25,AA26*AB26,AA28*AB28,AA29*AB29,AA51*AB51)/AA52</f>
        <v>#REF!</v>
      </c>
      <c r="AC52" s="46" t="e">
        <f>SUM(AA5*AC5,AA18*AC18,AA19*AC19,#REF!*#REF!,AA20*AC20,#REF!*#REF!,AA6*AC6,AA7*AC7,AA8*AC8,AA9*AC9,AA21*AC21,AA13*AC13,AA14*AC14,AA24*AC24,AA15*AC15,AA10*AC10,AA25*AC25,AA26*AC26,AA28*AC28,AA29*AC29,AA51*AC51)/AA52</f>
        <v>#REF!</v>
      </c>
      <c r="AD52" s="44">
        <f>SUM(AD$5:AD$51)</f>
        <v>0</v>
      </c>
      <c r="AE52" s="45" t="e">
        <f>SUM(AD5*AE5,AD18*AE18,AD19*AE19,#REF!*#REF!,AD20*AE20,#REF!*#REF!,AD6*AE6,AD7*AE7,AD8*AE8,AD9*AE9,AD21*AE21,AD13*AE13,AD14*AE14,AD24*AE24,AD15*AE15,AD10*AE10,AD25*AE25,AD26*AE26,AD28*AE28,AD29*AE29,AD51*AE51)/AD52</f>
        <v>#REF!</v>
      </c>
      <c r="AF52" s="46" t="e">
        <f>SUM(AD5*AF5,AD18*AF18,AD19*AF19,#REF!*#REF!,AD20*AF20,#REF!*#REF!,AD6*AF6,AD7*AF7,AD8*AF8,AD9*AF9,AD21*AF21,AD13*AF13,AD14*AF14,AD24*AF24,AD15*AF15,AD10*AF10,AD25*AF25,AD26*AF26,AD28*AF28,AD29*AF29,AD51*AF51)/AD52</f>
        <v>#REF!</v>
      </c>
      <c r="AG52" s="44">
        <f>SUM(AG$5:AG$51)</f>
        <v>0</v>
      </c>
      <c r="AH52" s="45" t="e">
        <f>SUM(AG5*AH5,AG18*AH18,AG19*AH19,#REF!*#REF!,AG20*AH20,#REF!*#REF!,AG6*AH6,AG7*AH7,AG8*AH8,AG9*AH9,AG21*AH21,AG13*AH13,AG14*AH14,AG24*AH24,AG15*AH15,AG10*AH10,AG25*AH25,AG26*AH26,AG28*AH28,AG29*AH29,AG51*AH51)/AG52</f>
        <v>#REF!</v>
      </c>
      <c r="AI52" s="46" t="e">
        <f>SUM(AG5*AI5,AG18*AI18,AG19*AI19,#REF!*#REF!,AG20*AI20,#REF!*#REF!,AG6*AI6,AG7*AI7,AG8*AI8,AG9*AI9,AG21*AI21,AG13*AI13,AG14*AI14,AG24*AI24,AG15*AI15,AG10*AI10,AG25*AI25,AG26*AI26,AG28*AI28,AG29*AI29,AG51*AI51)/AG52</f>
        <v>#REF!</v>
      </c>
      <c r="AJ52" s="44">
        <f>SUM(AJ$5:AJ$51)</f>
        <v>140951.66999999998</v>
      </c>
      <c r="AK52" s="45" t="e">
        <f>SUM(AJ5*AK5,AJ18*AK18,AJ19*AK19,#REF!*#REF!,AJ20*AK20,#REF!*#REF!,AJ6*AK6,AJ7*AK7,AJ8*AK8,AJ9*AK9,AJ21*AK21,AJ13*AK13,AJ14*AK14,AJ24*AK24,AJ15*AK15,AJ10*AK10,AJ25*AK25,AJ26*AK26,AJ28*AK28,AJ29*AK29,AJ51*AK51)/AJ52</f>
        <v>#REF!</v>
      </c>
      <c r="AL52" s="46" t="e">
        <f>SUM(AJ5*AL5,AJ18*AL18,AJ19*AL19,#REF!*#REF!,AJ20*AL20,#REF!*#REF!,AJ6*AL6,AJ7*AL7,AJ8*AL8,AJ9*AL9,AJ21*AL21,AJ13*AL13,AJ14*AL14,AJ24*AL24,AJ15*AL15,AJ10*AL10,AJ25*AL25,AJ26*AL26,AJ28*AL28,AJ29*AL29,AJ51*AL51)/AJ52</f>
        <v>#REF!</v>
      </c>
      <c r="AM52" s="44">
        <f>SUM(AM$5:AM$51)</f>
        <v>140951.66999999998</v>
      </c>
      <c r="AN52" s="45" t="e">
        <f>SUM(AM5*AN5,AM18*AN18,AM19*AN19,#REF!*#REF!,AM20*AN20,#REF!*#REF!,AM6*AN6,AM7*AN7,AM8*AN8,AM9*AN9,AM21*AN21,AM13*AN13,AM14*AN14,AM24*AN24,AM15*AN15,AM10*AN10,AM25*AN25,AM26*AN26,AM28*AN28,AM29*AN29,AM51*AN51)/AM52</f>
        <v>#REF!</v>
      </c>
      <c r="AO52" s="46" t="e">
        <f>SUM(AM5*AO5,AM18*AO18,AM19*AO19,#REF!*#REF!,AM20*AO20,#REF!*#REF!,AM6*AO6,AM7*AO7,AM8*AO8,AM9*AO9,AM21*AO21,AM13*AO13,AM14*AO14,AM24*AO24,AM15*AO15,AM10*AO10,AM25*AO25,AM26*AO26,AM28*AO28,AM29*AO29,AM51*AO51)/AM52</f>
        <v>#REF!</v>
      </c>
      <c r="AP52" s="44" t="e">
        <f>SUM(AP$5:AP$51)</f>
        <v>#REF!</v>
      </c>
      <c r="AQ52" s="115" t="e">
        <f>SUM(AQ$5:AQ$51)</f>
        <v>#REF!</v>
      </c>
      <c r="AR52" s="46" t="e">
        <f>IF(AP52=0,IF(AQ52=0,"-",0),1-(AQ52/AP52))</f>
        <v>#REF!</v>
      </c>
      <c r="AS52" s="44" t="e">
        <f>SUM(AS$5:AS$51)</f>
        <v>#REF!</v>
      </c>
      <c r="AT52" s="115" t="e">
        <f>SUM(AT$5:AT$51)</f>
        <v>#REF!</v>
      </c>
      <c r="AU52" s="46" t="e">
        <f>IF(AS52=0,IF(AT52=0,"-",0),1-(AT52/AS52))</f>
        <v>#REF!</v>
      </c>
      <c r="AV52" s="44" t="e">
        <f>SUM(AV$5:AV$51)</f>
        <v>#REF!</v>
      </c>
      <c r="AW52" s="115" t="e">
        <f>SUM(AW$5:AW$51)</f>
        <v>#REF!</v>
      </c>
      <c r="AX52" s="46" t="e">
        <f>IF(AV52=0,IF(AW52=0,"-",0),1-(AW52/AV52))</f>
        <v>#REF!</v>
      </c>
      <c r="AY52" s="44" t="e">
        <f>SUM(AY$5:AY$51)</f>
        <v>#REF!</v>
      </c>
      <c r="AZ52" s="115" t="e">
        <f>SUM(AZ$5:AZ$51)</f>
        <v>#REF!</v>
      </c>
      <c r="BA52" s="46" t="e">
        <f>IF(AY52=0,IF(AZ52=0,"-",0),1-(AZ52/AY52))</f>
        <v>#REF!</v>
      </c>
      <c r="BB52" s="44" t="e">
        <f>SUM(BB$5:BB$51)</f>
        <v>#REF!</v>
      </c>
      <c r="BC52" s="115" t="e">
        <f>SUM(BC$5:BC$51)</f>
        <v>#REF!</v>
      </c>
      <c r="BD52" s="46" t="e">
        <f>IF(BB52=0,IF(BC52=0,"-",0),1-(BC52/BB52))</f>
        <v>#REF!</v>
      </c>
      <c r="BE52" s="44" t="e">
        <f>SUM(BE$5:BE$51)</f>
        <v>#REF!</v>
      </c>
      <c r="BF52" s="115" t="e">
        <f>SUM(BF$5:BF$51)</f>
        <v>#REF!</v>
      </c>
      <c r="BG52" s="46" t="e">
        <f>IF(BE52=0,IF(BF52=0,"-",0),1-(BF52/BE52))</f>
        <v>#REF!</v>
      </c>
      <c r="BH52" s="44" t="e">
        <f>SUM(BH$5:BH$51)</f>
        <v>#REF!</v>
      </c>
      <c r="BI52" s="115" t="e">
        <f>SUM(BI$5:BI$51)</f>
        <v>#REF!</v>
      </c>
      <c r="BJ52" s="46" t="e">
        <f>IF(BH52=0,IF(BI52=0,"-",0),1-(BI52/BH52))</f>
        <v>#REF!</v>
      </c>
      <c r="BK52" s="115" t="e">
        <f>SUM(BK$5:BK$51)</f>
        <v>#REF!</v>
      </c>
      <c r="BL52" s="115" t="e">
        <f>SUM(BL$5:BL$51)</f>
        <v>#REF!</v>
      </c>
      <c r="BM52" s="46" t="e">
        <f>IF(BK52=0,IF(BL52=0,"-",0),1-(BL52/BK52))</f>
        <v>#REF!</v>
      </c>
      <c r="BN52" s="44" t="e">
        <f>SUM(BN$5:BN$51)</f>
        <v>#REF!</v>
      </c>
      <c r="BO52" s="115" t="e">
        <f>SUM(BO$5:BO$51)</f>
        <v>#REF!</v>
      </c>
      <c r="BP52" s="46" t="e">
        <f>IF(BN52=0,IF(BO52=0,"-",0),1-(BO52/BN52))</f>
        <v>#REF!</v>
      </c>
      <c r="BQ52" s="44" t="e">
        <f>SUM(BQ$5:BQ$51)</f>
        <v>#REF!</v>
      </c>
      <c r="BR52" s="115" t="e">
        <f>SUM(BR$5:BR$51)</f>
        <v>#REF!</v>
      </c>
      <c r="BS52" s="46" t="e">
        <f>IF(BQ52=0,IF(BR52=0,"-",0),1-(BR52/BQ52))</f>
        <v>#REF!</v>
      </c>
      <c r="BT52" s="44" t="e">
        <f>SUM(BT$5:BT$51)</f>
        <v>#REF!</v>
      </c>
      <c r="BU52" s="115" t="e">
        <f>SUM(BU$5:BU$51)</f>
        <v>#REF!</v>
      </c>
      <c r="BV52" s="46" t="e">
        <f>IF(BT52=0,IF(BU52=0,"-",0),1-(BU52/BT52))</f>
        <v>#REF!</v>
      </c>
      <c r="BW52" s="44" t="e">
        <f>SUM(BW$5:BW$51)</f>
        <v>#REF!</v>
      </c>
      <c r="BX52" s="115" t="e">
        <f>SUM(BX$5:BX$51)</f>
        <v>#REF!</v>
      </c>
      <c r="BY52" s="46" t="e">
        <f t="shared" si="25"/>
        <v>#REF!</v>
      </c>
      <c r="BZ52" s="44" t="e">
        <f>SUM(BZ$5:BZ$51)</f>
        <v>#REF!</v>
      </c>
      <c r="CA52" s="44" t="e">
        <f>SUM(CA$5:CA$51)</f>
        <v>#REF!</v>
      </c>
      <c r="CB52" s="145" t="e">
        <f t="shared" si="24"/>
        <v>#REF!</v>
      </c>
      <c r="CC52" s="19">
        <f>SUM(CC5:CC51)</f>
        <v>5480192</v>
      </c>
    </row>
    <row r="54" spans="1:81">
      <c r="B54" t="s">
        <v>331</v>
      </c>
      <c r="C54" s="21">
        <f>SUMIFS(Table4[Expected Revenue],Table4[Projected 
Year],C1,Table4[Projected 
Month],C2)</f>
        <v>0</v>
      </c>
      <c r="F54" s="21">
        <f>SUMIFS(Table4[Expected Revenue],Table4[Projected 
Year],F1,Table4[Projected 
Month],F2)</f>
        <v>0</v>
      </c>
      <c r="I54" s="21">
        <f>SUMIFS(Table4[Expected Revenue],Table4[Projected 
Year],I1,Table4[Projected 
Month],I2)</f>
        <v>0</v>
      </c>
      <c r="L54" s="21">
        <f>SUMIFS(Table4[Expected Revenue],Table4[Projected 
Year],L1,Table4[Projected 
Month],L2)</f>
        <v>0</v>
      </c>
      <c r="O54" s="21">
        <f>SUMIFS(Table4[Expected Revenue],Table4[Projected 
Year],O1,Table4[Projected 
Month],O2)</f>
        <v>0</v>
      </c>
      <c r="R54" s="21">
        <f>SUMIFS(Table4[Expected Revenue],Table4[Projected 
Year],R1,Table4[Projected 
Month],R2)</f>
        <v>0</v>
      </c>
      <c r="U54" s="21">
        <f>SUMIFS(Table4[Expected Revenue],Table4[Projected 
Year],U1,Table4[Projected 
Month],U2)</f>
        <v>0</v>
      </c>
      <c r="X54" s="21">
        <f>SUMIFS(Table4[Expected Revenue],Table4[Projected 
Year],X1,Table4[Projected 
Month],X2)</f>
        <v>0</v>
      </c>
      <c r="AA54" s="21">
        <f>SUMIFS(Table4[Expected Revenue],Table4[Projected 
Year],AA1,Table4[Projected 
Month],AA2)</f>
        <v>0</v>
      </c>
      <c r="AD54" s="21">
        <f>SUMIFS(Table4[Expected Revenue],Table4[Projected 
Year],AD1,Table4[Projected 
Month],AD2)</f>
        <v>0</v>
      </c>
      <c r="AG54" s="21">
        <f>SUMIFS(Table4[Expected Revenue],Table4[Projected 
Year],AG1,Table4[Projected 
Month],AG2)</f>
        <v>0</v>
      </c>
      <c r="AJ54" s="21">
        <f>SUMIFS(Table4[Expected Revenue],Table4[Projected 
Year],AJ1,Table4[Projected 
Month],AJ2)</f>
        <v>140951.66999999998</v>
      </c>
      <c r="AM54" s="21">
        <f>SUMIFS(Table4[Expected Revenue],Table4[Projected 
Year],AM1)</f>
        <v>140951.66999999998</v>
      </c>
      <c r="AP54" s="21">
        <f>SUMIFS(Table4[Expected Revenue],Table4[Projected 
Year],AP1,Table4[Projected 
Month],AP2)</f>
        <v>440400</v>
      </c>
      <c r="AS54" s="21">
        <f>SUMIFS(Table4[Expected Revenue],Table4[Projected 
Year],AS1,Table4[Projected 
Month],AS2)</f>
        <v>534450.33000000007</v>
      </c>
      <c r="AV54" s="21">
        <f>SUMIFS(Table4[Expected Revenue],Table4[Projected 
Year],AV1,Table4[Projected 
Month],AV2)</f>
        <v>402579</v>
      </c>
      <c r="AY54" s="21">
        <f>SUMIFS(Table4[Expected Revenue],Table4[Projected 
Year],AY1,Table4[Projected 
Month],AY2)</f>
        <v>183000</v>
      </c>
      <c r="BB54" s="21">
        <f>SUMIFS(Table4[Expected Revenue],Table4[Projected 
Year],BB1,Table4[Projected 
Month],BB2)</f>
        <v>820533</v>
      </c>
      <c r="BE54" s="21">
        <f>SUMIFS(Table4[Expected Revenue],Table4[Projected 
Year],BE1,Table4[Projected 
Month],BE2)</f>
        <v>337251</v>
      </c>
      <c r="BH54" s="21">
        <f>SUMIFS(Table4[Expected Revenue],Table4[Projected 
Year],BH1,Table4[Projected 
Month],BH2)</f>
        <v>186693</v>
      </c>
      <c r="BK54" s="21">
        <f>SUMIFS(Table4[Expected Revenue],Table4[Projected 
Year],BK1,Table4[Projected 
Month],BK2)</f>
        <v>99020.5</v>
      </c>
      <c r="BN54" s="21">
        <f>SUMIFS(Table4[Expected Revenue],Table4[Projected 
Year],BN1,Table4[Projected 
Month],BN2)</f>
        <v>202470.5</v>
      </c>
      <c r="BQ54" s="21">
        <f>SUMIFS(Table4[Expected Revenue],Table4[Projected 
Year],BQ1,Table4[Projected 
Month],BQ2)</f>
        <v>88808.5</v>
      </c>
      <c r="BT54" s="21">
        <f>SUMIFS(Table4[Expected Revenue],Table4[Projected 
Year],BT1,Table4[Projected 
Month],BT2)</f>
        <v>52336</v>
      </c>
      <c r="BW54" s="21">
        <f>SUMIFS(Table4[Expected Revenue],Table4[Projected 
Year],BW1,Table4[Projected 
Month],BW2)</f>
        <v>692933.5</v>
      </c>
      <c r="BZ54" s="21">
        <f>SUMIFS(Table4[Expected Revenue],Table4[Projected 
Year],BZ1)</f>
        <v>4040475.33</v>
      </c>
    </row>
    <row r="55" spans="1:81">
      <c r="B55" t="s">
        <v>332</v>
      </c>
      <c r="C55" s="19">
        <f>C52-C54</f>
        <v>0</v>
      </c>
      <c r="F55" s="19">
        <f>F52-F54</f>
        <v>0</v>
      </c>
      <c r="I55" s="19">
        <f>I52-I54</f>
        <v>0</v>
      </c>
      <c r="L55" s="19">
        <f>L52-L54</f>
        <v>0</v>
      </c>
      <c r="O55" s="19">
        <f>O52-O54</f>
        <v>0</v>
      </c>
      <c r="R55" s="19">
        <f>R52-R54</f>
        <v>0</v>
      </c>
      <c r="U55" s="19">
        <f>U52-U54</f>
        <v>0</v>
      </c>
      <c r="X55" s="19">
        <f>X52-X54</f>
        <v>0</v>
      </c>
      <c r="AA55" s="19">
        <f>AA52-AA54</f>
        <v>0</v>
      </c>
      <c r="AD55" s="19">
        <f>AD52-AD54</f>
        <v>0</v>
      </c>
      <c r="AG55" s="19">
        <f>AG52-AG54</f>
        <v>0</v>
      </c>
      <c r="AJ55" s="19">
        <f>AJ52-AJ54</f>
        <v>0</v>
      </c>
      <c r="AM55" s="19">
        <f>AM52-AM54</f>
        <v>0</v>
      </c>
      <c r="AP55" s="19" t="e">
        <f>AP52-AP54</f>
        <v>#REF!</v>
      </c>
      <c r="AS55" s="19" t="e">
        <f>AS52-AS54</f>
        <v>#REF!</v>
      </c>
      <c r="AV55" s="19" t="e">
        <f>AV52-AV54</f>
        <v>#REF!</v>
      </c>
      <c r="AY55" s="19" t="e">
        <f>AY52-AY54</f>
        <v>#REF!</v>
      </c>
      <c r="BB55" s="19" t="e">
        <f>BB52-BB54</f>
        <v>#REF!</v>
      </c>
      <c r="BE55" s="19" t="e">
        <f>BE52-BE54</f>
        <v>#REF!</v>
      </c>
      <c r="BH55" s="19" t="e">
        <f>BH52-BH54</f>
        <v>#REF!</v>
      </c>
      <c r="BK55" s="19" t="e">
        <f>BK52-BK54</f>
        <v>#REF!</v>
      </c>
      <c r="BN55" s="19" t="e">
        <f>BN52-BN54</f>
        <v>#REF!</v>
      </c>
      <c r="BQ55" s="19" t="e">
        <f>BQ52-BQ54</f>
        <v>#REF!</v>
      </c>
      <c r="BT55" s="19" t="e">
        <f>BT52-BT54</f>
        <v>#REF!</v>
      </c>
      <c r="BW55" s="19" t="e">
        <f>BW52-BW54</f>
        <v>#REF!</v>
      </c>
      <c r="BZ55" s="19" t="e">
        <f>BZ52-BZ54</f>
        <v>#REF!</v>
      </c>
    </row>
  </sheetData>
  <pageMargins left="0.7" right="0.7" top="0.75" bottom="0.75" header="0.3" footer="0.3"/>
  <pageSetup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D40ECF6-1A34-4162-8085-A1CD2D14AF94}">
          <x14:formula1>
            <xm:f>Validation!$L$3:$L$39</xm:f>
          </x14:formula1>
          <xm:sqref>B35:B41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C4DA2-C837-43EE-89B9-553B5207C021}">
  <sheetPr>
    <pageSetUpPr fitToPage="1"/>
  </sheetPr>
  <dimension ref="A1:U68"/>
  <sheetViews>
    <sheetView zoomScale="130" zoomScaleNormal="130" workbookViewId="0">
      <pane xSplit="3" ySplit="5" topLeftCell="D67" activePane="bottomRight" state="frozen"/>
      <selection pane="bottomRight" activeCell="D67" sqref="D67"/>
      <selection pane="bottomLeft" activeCell="A6" sqref="A6"/>
      <selection pane="topRight" activeCell="F1" sqref="F1"/>
    </sheetView>
  </sheetViews>
  <sheetFormatPr defaultColWidth="8.5703125" defaultRowHeight="14.45"/>
  <cols>
    <col min="1" max="1" width="33.5703125" style="66" bestFit="1" customWidth="1"/>
    <col min="2" max="2" width="12.42578125" style="66" bestFit="1" customWidth="1"/>
    <col min="3" max="3" width="48" style="104" bestFit="1" customWidth="1"/>
    <col min="4" max="4" width="12.85546875" style="66" customWidth="1"/>
    <col min="5" max="5" width="11.42578125" style="66" customWidth="1"/>
    <col min="6" max="6" width="12.85546875" style="66" customWidth="1"/>
    <col min="7" max="7" width="13.42578125" style="66" customWidth="1"/>
    <col min="8" max="8" width="11.42578125" style="89" customWidth="1"/>
    <col min="9" max="9" width="11.5703125" style="66" bestFit="1" customWidth="1"/>
    <col min="10" max="10" width="20" style="66" bestFit="1" customWidth="1"/>
    <col min="11" max="11" width="24.85546875" style="105" bestFit="1" customWidth="1"/>
    <col min="12" max="12" width="12.140625" style="66" bestFit="1" customWidth="1"/>
    <col min="13" max="13" width="8.85546875" style="66" customWidth="1"/>
    <col min="14" max="14" width="7" style="66" customWidth="1"/>
    <col min="15" max="15" width="11.42578125" style="66" customWidth="1"/>
    <col min="16" max="16" width="18.42578125" style="66" bestFit="1" customWidth="1"/>
    <col min="17" max="17" width="15.140625" style="66" customWidth="1"/>
    <col min="18" max="18" width="14.140625" style="66" customWidth="1"/>
    <col min="19" max="19" width="13.5703125" style="66" customWidth="1"/>
    <col min="20" max="20" width="14.85546875" style="66" customWidth="1"/>
    <col min="21" max="21" width="11.5703125" style="66" customWidth="1"/>
    <col min="22" max="16384" width="8.5703125" style="66"/>
  </cols>
  <sheetData>
    <row r="1" spans="1:21" ht="15" customHeight="1">
      <c r="A1" s="1053" t="s">
        <v>333</v>
      </c>
      <c r="B1" s="1053"/>
      <c r="C1" s="1053"/>
      <c r="D1" s="1053"/>
      <c r="E1" s="1053"/>
      <c r="F1" s="117"/>
      <c r="G1" s="117"/>
      <c r="H1" s="117"/>
      <c r="I1" s="117"/>
      <c r="J1" s="117"/>
      <c r="L1" s="117"/>
      <c r="M1" s="117"/>
      <c r="N1" s="117"/>
      <c r="O1" s="117"/>
      <c r="P1" s="117"/>
      <c r="Q1" s="117"/>
      <c r="R1" s="117"/>
      <c r="S1" s="117"/>
      <c r="T1" s="117"/>
      <c r="U1" s="117"/>
    </row>
    <row r="2" spans="1:21" ht="15" customHeight="1">
      <c r="A2" s="1053"/>
      <c r="B2" s="1053"/>
      <c r="C2" s="1053"/>
      <c r="D2" s="1053"/>
      <c r="E2" s="1053"/>
      <c r="F2" s="117"/>
      <c r="G2" s="117"/>
      <c r="H2" s="117"/>
      <c r="I2" s="117"/>
      <c r="J2" s="117"/>
      <c r="L2" s="117"/>
      <c r="M2" s="117"/>
      <c r="N2" s="117"/>
      <c r="O2" s="117"/>
      <c r="P2" s="117"/>
      <c r="Q2" s="117"/>
      <c r="R2" s="117"/>
      <c r="S2" s="117"/>
      <c r="T2" s="117"/>
      <c r="U2" s="117"/>
    </row>
    <row r="3" spans="1:21" ht="15" customHeight="1">
      <c r="A3" s="1053"/>
      <c r="B3" s="1053"/>
      <c r="C3" s="1053"/>
      <c r="D3" s="1053"/>
      <c r="E3" s="1053"/>
      <c r="F3" s="117"/>
      <c r="G3" s="117"/>
      <c r="H3" s="117"/>
      <c r="I3" s="117"/>
      <c r="J3" s="117"/>
      <c r="L3" s="117"/>
      <c r="M3" s="117"/>
      <c r="N3" s="117"/>
      <c r="O3" s="117"/>
      <c r="P3" s="117"/>
      <c r="Q3" s="117"/>
      <c r="R3" s="117"/>
      <c r="S3" s="117"/>
      <c r="T3" s="117"/>
      <c r="U3" s="117"/>
    </row>
    <row r="5" spans="1:21" ht="20.45">
      <c r="A5" s="69" t="s">
        <v>10</v>
      </c>
      <c r="B5" s="70" t="s">
        <v>11</v>
      </c>
      <c r="C5" s="70" t="s">
        <v>15</v>
      </c>
      <c r="D5" s="70" t="s">
        <v>16</v>
      </c>
      <c r="E5" s="70" t="s">
        <v>13</v>
      </c>
      <c r="F5" s="70" t="s">
        <v>12</v>
      </c>
      <c r="G5" s="70" t="s">
        <v>334</v>
      </c>
      <c r="H5" s="70" t="s">
        <v>19</v>
      </c>
      <c r="I5" s="70" t="s">
        <v>21</v>
      </c>
      <c r="J5" s="70" t="s">
        <v>22</v>
      </c>
      <c r="K5" s="70" t="s">
        <v>23</v>
      </c>
      <c r="L5" s="70" t="s">
        <v>24</v>
      </c>
      <c r="M5" s="70" t="s">
        <v>25</v>
      </c>
      <c r="N5" s="70" t="s">
        <v>26</v>
      </c>
      <c r="O5" s="70" t="s">
        <v>27</v>
      </c>
      <c r="P5" s="70" t="s">
        <v>28</v>
      </c>
      <c r="Q5" s="70" t="s">
        <v>30</v>
      </c>
      <c r="R5" s="70" t="s">
        <v>335</v>
      </c>
      <c r="S5" s="71" t="s">
        <v>33</v>
      </c>
      <c r="T5" s="71" t="s">
        <v>34</v>
      </c>
      <c r="U5" s="71" t="s">
        <v>35</v>
      </c>
    </row>
    <row r="6" spans="1:21">
      <c r="A6" s="76" t="s">
        <v>182</v>
      </c>
      <c r="B6" s="77" t="s">
        <v>336</v>
      </c>
      <c r="C6" s="102" t="s">
        <v>337</v>
      </c>
      <c r="D6" s="77" t="s">
        <v>62</v>
      </c>
      <c r="E6" s="77" t="s">
        <v>59</v>
      </c>
      <c r="F6" s="77" t="s">
        <v>58</v>
      </c>
      <c r="G6" s="77" t="s">
        <v>217</v>
      </c>
      <c r="H6" s="77" t="s">
        <v>338</v>
      </c>
      <c r="I6" s="77">
        <v>13804</v>
      </c>
      <c r="J6" s="76" t="s">
        <v>339</v>
      </c>
      <c r="K6" s="88" t="s">
        <v>340</v>
      </c>
      <c r="L6" s="77" t="s">
        <v>231</v>
      </c>
      <c r="M6" s="77">
        <v>2018</v>
      </c>
      <c r="N6" s="99">
        <v>0.5</v>
      </c>
      <c r="O6" s="79">
        <v>10000</v>
      </c>
      <c r="P6" s="86">
        <f>Table43[[#This Row],[Expected Revenue]]*Table43[[#This Row],[Probability]]</f>
        <v>5000</v>
      </c>
      <c r="Q6" s="78">
        <v>0.3</v>
      </c>
      <c r="R6" s="86">
        <f>Table43[[#This Row],[Expected Revenue]]*Table43[[#This Row],[Expected CMR]]</f>
        <v>3000</v>
      </c>
      <c r="S6" s="77"/>
      <c r="T6" s="77"/>
      <c r="U6" s="79"/>
    </row>
    <row r="7" spans="1:21">
      <c r="A7" s="76" t="s">
        <v>341</v>
      </c>
      <c r="B7" s="77" t="s">
        <v>336</v>
      </c>
      <c r="C7" s="102" t="s">
        <v>337</v>
      </c>
      <c r="D7" s="77" t="s">
        <v>62</v>
      </c>
      <c r="E7" s="77" t="s">
        <v>59</v>
      </c>
      <c r="F7" s="77" t="s">
        <v>158</v>
      </c>
      <c r="G7" s="77" t="s">
        <v>217</v>
      </c>
      <c r="H7" s="77" t="s">
        <v>338</v>
      </c>
      <c r="I7" s="77"/>
      <c r="J7" s="76" t="s">
        <v>339</v>
      </c>
      <c r="K7" s="88" t="s">
        <v>340</v>
      </c>
      <c r="L7" s="77" t="s">
        <v>93</v>
      </c>
      <c r="M7" s="77">
        <v>2018</v>
      </c>
      <c r="N7" s="99">
        <v>0.15</v>
      </c>
      <c r="O7" s="79">
        <v>10000</v>
      </c>
      <c r="P7" s="86">
        <f>Table43[[#This Row],[Expected Revenue]]*Table43[[#This Row],[Probability]]</f>
        <v>1500</v>
      </c>
      <c r="Q7" s="78">
        <v>0.3</v>
      </c>
      <c r="R7" s="86">
        <f>Table43[[#This Row],[Expected Revenue]]*Table43[[#This Row],[Expected CMR]]</f>
        <v>3000</v>
      </c>
      <c r="S7" s="77"/>
      <c r="T7" s="77"/>
      <c r="U7" s="79"/>
    </row>
    <row r="8" spans="1:21">
      <c r="A8" s="76" t="s">
        <v>341</v>
      </c>
      <c r="B8" s="77" t="s">
        <v>336</v>
      </c>
      <c r="C8" s="102" t="s">
        <v>337</v>
      </c>
      <c r="D8" s="77" t="s">
        <v>62</v>
      </c>
      <c r="E8" s="77" t="s">
        <v>59</v>
      </c>
      <c r="F8" s="77" t="s">
        <v>158</v>
      </c>
      <c r="G8" s="77" t="s">
        <v>217</v>
      </c>
      <c r="H8" s="77" t="s">
        <v>338</v>
      </c>
      <c r="I8" s="77"/>
      <c r="J8" s="76" t="s">
        <v>339</v>
      </c>
      <c r="K8" s="88" t="s">
        <v>340</v>
      </c>
      <c r="L8" s="77" t="s">
        <v>93</v>
      </c>
      <c r="M8" s="77">
        <v>2018</v>
      </c>
      <c r="N8" s="99">
        <v>0.15</v>
      </c>
      <c r="O8" s="79">
        <v>10000</v>
      </c>
      <c r="P8" s="86">
        <f>Table43[[#This Row],[Expected Revenue]]*Table43[[#This Row],[Probability]]</f>
        <v>1500</v>
      </c>
      <c r="Q8" s="78">
        <v>0.3</v>
      </c>
      <c r="R8" s="86">
        <f>Table43[[#This Row],[Expected Revenue]]*Table43[[#This Row],[Expected CMR]]</f>
        <v>3000</v>
      </c>
      <c r="S8" s="77"/>
      <c r="T8" s="77"/>
      <c r="U8" s="79"/>
    </row>
    <row r="9" spans="1:21">
      <c r="A9" s="76" t="s">
        <v>320</v>
      </c>
      <c r="B9" s="77" t="s">
        <v>342</v>
      </c>
      <c r="C9" s="102" t="s">
        <v>343</v>
      </c>
      <c r="D9" s="77">
        <v>1</v>
      </c>
      <c r="E9" s="77" t="s">
        <v>59</v>
      </c>
      <c r="F9" s="77" t="s">
        <v>58</v>
      </c>
      <c r="G9" s="77" t="s">
        <v>344</v>
      </c>
      <c r="H9" s="77" t="s">
        <v>338</v>
      </c>
      <c r="I9" s="77"/>
      <c r="J9" s="76" t="s">
        <v>345</v>
      </c>
      <c r="K9" s="77" t="s">
        <v>345</v>
      </c>
      <c r="L9" s="77" t="s">
        <v>346</v>
      </c>
      <c r="M9" s="77">
        <v>2019</v>
      </c>
      <c r="N9" s="78">
        <v>0.4</v>
      </c>
      <c r="O9" s="79">
        <v>300000</v>
      </c>
      <c r="P9" s="86">
        <f>Table43[[#This Row],[Expected Revenue]]*Table43[[#This Row],[Probability]]</f>
        <v>120000</v>
      </c>
      <c r="Q9" s="78">
        <v>0.35</v>
      </c>
      <c r="R9" s="79">
        <f>Table43[[#This Row],[Expected Revenue]]*Table43[[#This Row],[Expected CMR]]</f>
        <v>105000</v>
      </c>
      <c r="S9" s="77"/>
      <c r="T9" s="77"/>
      <c r="U9" s="79"/>
    </row>
    <row r="10" spans="1:21">
      <c r="A10" s="76" t="s">
        <v>321</v>
      </c>
      <c r="B10" s="77" t="s">
        <v>347</v>
      </c>
      <c r="C10" s="102" t="s">
        <v>209</v>
      </c>
      <c r="D10" s="77" t="s">
        <v>209</v>
      </c>
      <c r="E10" s="77" t="s">
        <v>59</v>
      </c>
      <c r="F10" s="77" t="s">
        <v>348</v>
      </c>
      <c r="G10" s="77" t="s">
        <v>344</v>
      </c>
      <c r="H10" s="77" t="s">
        <v>338</v>
      </c>
      <c r="I10" s="76"/>
      <c r="J10" s="76" t="s">
        <v>349</v>
      </c>
      <c r="K10" s="106" t="s">
        <v>350</v>
      </c>
      <c r="L10" s="77" t="s">
        <v>346</v>
      </c>
      <c r="M10" s="77">
        <v>2019</v>
      </c>
      <c r="N10" s="78">
        <v>0.4</v>
      </c>
      <c r="O10" s="86">
        <v>300000</v>
      </c>
      <c r="P10" s="86">
        <f>Table43[[#This Row],[Expected Revenue]]*Table43[[#This Row],[Probability]]</f>
        <v>120000</v>
      </c>
      <c r="Q10" s="78">
        <v>0.35</v>
      </c>
      <c r="R10" s="86">
        <f>Table43[[#This Row],[Expected Revenue]]*Table43[[#This Row],[Expected CMR]]</f>
        <v>105000</v>
      </c>
      <c r="S10" s="77"/>
      <c r="T10" s="77"/>
      <c r="U10" s="79"/>
    </row>
    <row r="11" spans="1:21">
      <c r="A11" s="76" t="s">
        <v>260</v>
      </c>
      <c r="B11" s="77" t="s">
        <v>157</v>
      </c>
      <c r="C11" s="102" t="s">
        <v>351</v>
      </c>
      <c r="D11" s="77" t="s">
        <v>209</v>
      </c>
      <c r="E11" s="77" t="s">
        <v>59</v>
      </c>
      <c r="F11" s="77" t="s">
        <v>186</v>
      </c>
      <c r="G11" s="77" t="s">
        <v>240</v>
      </c>
      <c r="H11" s="77" t="s">
        <v>338</v>
      </c>
      <c r="I11" s="77"/>
      <c r="J11" s="76"/>
      <c r="K11" s="80"/>
      <c r="L11" s="77" t="s">
        <v>93</v>
      </c>
      <c r="M11" s="77">
        <v>2019</v>
      </c>
      <c r="N11" s="99">
        <v>0.5</v>
      </c>
      <c r="O11" s="79">
        <v>65000</v>
      </c>
      <c r="P11" s="86">
        <f>Table43[[#This Row],[Expected Revenue]]*Table43[[#This Row],[Probability]]</f>
        <v>32500</v>
      </c>
      <c r="Q11" s="78">
        <v>0.3</v>
      </c>
      <c r="R11" s="86">
        <f>Table43[[#This Row],[Expected Revenue]]*Table43[[#This Row],[Expected CMR]]</f>
        <v>19500</v>
      </c>
      <c r="S11" s="77"/>
      <c r="T11" s="77"/>
      <c r="U11" s="79"/>
    </row>
    <row r="12" spans="1:21">
      <c r="A12" s="76" t="s">
        <v>318</v>
      </c>
      <c r="B12" s="77" t="s">
        <v>352</v>
      </c>
      <c r="C12" s="102" t="s">
        <v>353</v>
      </c>
      <c r="D12" s="77" t="s">
        <v>209</v>
      </c>
      <c r="E12" s="77" t="s">
        <v>59</v>
      </c>
      <c r="F12" s="77" t="s">
        <v>348</v>
      </c>
      <c r="G12" s="77" t="s">
        <v>344</v>
      </c>
      <c r="H12" s="77" t="s">
        <v>338</v>
      </c>
      <c r="I12" s="76"/>
      <c r="J12" s="76" t="s">
        <v>354</v>
      </c>
      <c r="K12" s="106" t="s">
        <v>355</v>
      </c>
      <c r="L12" s="77" t="s">
        <v>346</v>
      </c>
      <c r="M12" s="77">
        <v>2019</v>
      </c>
      <c r="N12" s="78">
        <v>0.4</v>
      </c>
      <c r="O12" s="79">
        <v>1000000</v>
      </c>
      <c r="P12" s="86">
        <f>Table43[[#This Row],[Expected Revenue]]*Table43[[#This Row],[Probability]]</f>
        <v>400000</v>
      </c>
      <c r="Q12" s="78">
        <v>0.3</v>
      </c>
      <c r="R12" s="86">
        <f>Table43[[#This Row],[Expected Revenue]]*Table43[[#This Row],[Expected CMR]]</f>
        <v>300000</v>
      </c>
      <c r="S12" s="77"/>
      <c r="T12" s="77"/>
      <c r="U12" s="79"/>
    </row>
    <row r="13" spans="1:21">
      <c r="A13" s="76" t="s">
        <v>318</v>
      </c>
      <c r="B13" s="77" t="s">
        <v>283</v>
      </c>
      <c r="C13" s="102" t="s">
        <v>356</v>
      </c>
      <c r="D13" s="77" t="s">
        <v>209</v>
      </c>
      <c r="E13" s="77" t="s">
        <v>59</v>
      </c>
      <c r="F13" s="77" t="s">
        <v>58</v>
      </c>
      <c r="G13" s="77" t="s">
        <v>193</v>
      </c>
      <c r="H13" s="77" t="s">
        <v>338</v>
      </c>
      <c r="I13" s="77"/>
      <c r="J13" s="76" t="s">
        <v>357</v>
      </c>
      <c r="K13" s="77"/>
      <c r="L13" s="77" t="s">
        <v>346</v>
      </c>
      <c r="M13" s="77">
        <v>2019</v>
      </c>
      <c r="N13" s="78"/>
      <c r="O13" s="79"/>
      <c r="P13" s="86">
        <f>Table43[[#This Row],[Expected Revenue]]*Table43[[#This Row],[Probability]]</f>
        <v>0</v>
      </c>
      <c r="Q13" s="78"/>
      <c r="R13" s="79">
        <f>Table43[[#This Row],[Expected Revenue]]*Table43[[#This Row],[Expected CMR]]</f>
        <v>0</v>
      </c>
      <c r="S13" s="77"/>
      <c r="T13" s="77"/>
      <c r="U13" s="79"/>
    </row>
    <row r="14" spans="1:21">
      <c r="A14" s="76" t="s">
        <v>358</v>
      </c>
      <c r="B14" s="77" t="s">
        <v>57</v>
      </c>
      <c r="C14" s="102" t="s">
        <v>236</v>
      </c>
      <c r="D14" s="77" t="s">
        <v>209</v>
      </c>
      <c r="E14" s="77" t="s">
        <v>319</v>
      </c>
      <c r="F14" s="77" t="s">
        <v>58</v>
      </c>
      <c r="G14" s="77" t="s">
        <v>217</v>
      </c>
      <c r="H14" s="77" t="s">
        <v>338</v>
      </c>
      <c r="I14" s="77"/>
      <c r="J14" s="76"/>
      <c r="K14" s="77"/>
      <c r="L14" s="77" t="s">
        <v>230</v>
      </c>
      <c r="M14" s="77">
        <v>2019</v>
      </c>
      <c r="N14" s="78">
        <v>1</v>
      </c>
      <c r="O14" s="79">
        <v>250000</v>
      </c>
      <c r="P14" s="86">
        <f>Table43[[#This Row],[Expected Revenue]]*Table43[[#This Row],[Probability]]</f>
        <v>250000</v>
      </c>
      <c r="Q14" s="78">
        <v>0.25</v>
      </c>
      <c r="R14" s="79">
        <f>Table43[[#This Row],[Expected Revenue]]*Table43[[#This Row],[Expected CMR]]</f>
        <v>62500</v>
      </c>
      <c r="S14" s="77"/>
      <c r="T14" s="77"/>
      <c r="U14" s="79"/>
    </row>
    <row r="15" spans="1:21">
      <c r="A15" s="76" t="s">
        <v>328</v>
      </c>
      <c r="B15" s="77" t="s">
        <v>57</v>
      </c>
      <c r="C15" s="102" t="s">
        <v>236</v>
      </c>
      <c r="D15" s="77" t="s">
        <v>209</v>
      </c>
      <c r="E15" s="77" t="s">
        <v>319</v>
      </c>
      <c r="F15" s="77" t="s">
        <v>58</v>
      </c>
      <c r="G15" s="77" t="s">
        <v>217</v>
      </c>
      <c r="H15" s="77" t="s">
        <v>338</v>
      </c>
      <c r="I15" s="77"/>
      <c r="J15" s="76"/>
      <c r="K15" s="77"/>
      <c r="L15" s="77" t="s">
        <v>229</v>
      </c>
      <c r="M15" s="77">
        <v>2019</v>
      </c>
      <c r="N15" s="78">
        <v>1</v>
      </c>
      <c r="O15" s="79">
        <v>500000</v>
      </c>
      <c r="P15" s="86">
        <f>Table43[[#This Row],[Expected Revenue]]*Table43[[#This Row],[Probability]]</f>
        <v>500000</v>
      </c>
      <c r="Q15" s="78">
        <v>0.25</v>
      </c>
      <c r="R15" s="79">
        <f>Table43[[#This Row],[Expected Revenue]]*Table43[[#This Row],[Expected CMR]]</f>
        <v>125000</v>
      </c>
      <c r="S15" s="77"/>
      <c r="T15" s="77"/>
      <c r="U15" s="79"/>
    </row>
    <row r="16" spans="1:21">
      <c r="A16" s="76" t="s">
        <v>358</v>
      </c>
      <c r="B16" s="77" t="s">
        <v>57</v>
      </c>
      <c r="C16" s="102" t="s">
        <v>236</v>
      </c>
      <c r="D16" s="77" t="s">
        <v>209</v>
      </c>
      <c r="E16" s="77" t="s">
        <v>319</v>
      </c>
      <c r="F16" s="77" t="s">
        <v>58</v>
      </c>
      <c r="G16" s="77" t="s">
        <v>217</v>
      </c>
      <c r="H16" s="77" t="s">
        <v>338</v>
      </c>
      <c r="I16" s="77"/>
      <c r="J16" s="76"/>
      <c r="K16" s="77"/>
      <c r="L16" s="77" t="s">
        <v>139</v>
      </c>
      <c r="M16" s="77">
        <v>2019</v>
      </c>
      <c r="N16" s="78">
        <v>1</v>
      </c>
      <c r="O16" s="79">
        <v>250000</v>
      </c>
      <c r="P16" s="86">
        <f>Table43[[#This Row],[Expected Revenue]]*Table43[[#This Row],[Probability]]</f>
        <v>250000</v>
      </c>
      <c r="Q16" s="78">
        <v>0.25</v>
      </c>
      <c r="R16" s="79">
        <f>Table43[[#This Row],[Expected Revenue]]*Table43[[#This Row],[Expected CMR]]</f>
        <v>62500</v>
      </c>
      <c r="S16" s="77"/>
      <c r="T16" s="77"/>
      <c r="U16" s="79"/>
    </row>
    <row r="17" spans="1:21">
      <c r="A17" s="76" t="s">
        <v>315</v>
      </c>
      <c r="B17" s="77" t="s">
        <v>359</v>
      </c>
      <c r="C17" s="102" t="s">
        <v>360</v>
      </c>
      <c r="D17" s="77" t="s">
        <v>209</v>
      </c>
      <c r="E17" s="77" t="s">
        <v>59</v>
      </c>
      <c r="F17" s="77" t="s">
        <v>58</v>
      </c>
      <c r="G17" s="77" t="s">
        <v>361</v>
      </c>
      <c r="H17" s="77" t="s">
        <v>338</v>
      </c>
      <c r="I17" s="77"/>
      <c r="J17" s="76" t="s">
        <v>362</v>
      </c>
      <c r="K17" s="106" t="s">
        <v>363</v>
      </c>
      <c r="L17" s="77" t="s">
        <v>230</v>
      </c>
      <c r="M17" s="77">
        <v>2019</v>
      </c>
      <c r="N17" s="78">
        <v>50</v>
      </c>
      <c r="O17" s="79">
        <v>80000</v>
      </c>
      <c r="P17" s="86">
        <v>80000</v>
      </c>
      <c r="Q17" s="78">
        <v>0.3</v>
      </c>
      <c r="R17" s="86">
        <f>Table43[[#This Row],[Expected Revenue]]*Table43[[#This Row],[Expected CMR]]</f>
        <v>24000</v>
      </c>
      <c r="S17" s="77"/>
      <c r="T17" s="77"/>
      <c r="U17" s="79"/>
    </row>
    <row r="18" spans="1:21">
      <c r="A18" s="76" t="s">
        <v>315</v>
      </c>
      <c r="B18" s="77" t="s">
        <v>359</v>
      </c>
      <c r="C18" s="102" t="s">
        <v>360</v>
      </c>
      <c r="D18" s="77" t="s">
        <v>209</v>
      </c>
      <c r="E18" s="77" t="s">
        <v>59</v>
      </c>
      <c r="F18" s="77" t="s">
        <v>58</v>
      </c>
      <c r="G18" s="77" t="s">
        <v>361</v>
      </c>
      <c r="H18" s="77" t="s">
        <v>338</v>
      </c>
      <c r="I18" s="77"/>
      <c r="J18" s="76" t="s">
        <v>362</v>
      </c>
      <c r="K18" s="106" t="s">
        <v>363</v>
      </c>
      <c r="L18" s="77" t="s">
        <v>80</v>
      </c>
      <c r="M18" s="77">
        <v>2019</v>
      </c>
      <c r="N18" s="78">
        <v>50</v>
      </c>
      <c r="O18" s="79">
        <v>80000</v>
      </c>
      <c r="P18" s="86">
        <v>80000</v>
      </c>
      <c r="Q18" s="78">
        <v>0.3</v>
      </c>
      <c r="R18" s="86">
        <f>Table43[[#This Row],[Expected Revenue]]*Table43[[#This Row],[Expected CMR]]</f>
        <v>24000</v>
      </c>
      <c r="S18" s="77"/>
      <c r="T18" s="77"/>
      <c r="U18" s="79"/>
    </row>
    <row r="19" spans="1:21">
      <c r="A19" s="76" t="s">
        <v>319</v>
      </c>
      <c r="B19" s="77" t="s">
        <v>364</v>
      </c>
      <c r="C19" s="102" t="s">
        <v>365</v>
      </c>
      <c r="D19" s="77" t="s">
        <v>366</v>
      </c>
      <c r="E19" s="77" t="s">
        <v>319</v>
      </c>
      <c r="F19" s="77" t="s">
        <v>348</v>
      </c>
      <c r="G19" s="77" t="s">
        <v>344</v>
      </c>
      <c r="H19" s="77" t="s">
        <v>338</v>
      </c>
      <c r="I19" s="77"/>
      <c r="J19" s="76" t="s">
        <v>367</v>
      </c>
      <c r="K19" s="77"/>
      <c r="L19" s="77"/>
      <c r="M19" s="77"/>
      <c r="N19" s="78"/>
      <c r="O19" s="79"/>
      <c r="P19" s="86">
        <f>Table43[[#This Row],[Expected Revenue]]*Table43[[#This Row],[Probability]]</f>
        <v>0</v>
      </c>
      <c r="Q19" s="78"/>
      <c r="R19" s="79">
        <f>Table43[[#This Row],[Expected Revenue]]*Table43[[#This Row],[Expected CMR]]</f>
        <v>0</v>
      </c>
      <c r="S19" s="77"/>
      <c r="T19" s="77"/>
      <c r="U19" s="79"/>
    </row>
    <row r="20" spans="1:21">
      <c r="A20" s="76" t="s">
        <v>368</v>
      </c>
      <c r="B20" s="77" t="s">
        <v>369</v>
      </c>
      <c r="C20" s="102" t="s">
        <v>370</v>
      </c>
      <c r="D20" s="77" t="s">
        <v>366</v>
      </c>
      <c r="E20" s="77" t="s">
        <v>371</v>
      </c>
      <c r="F20" s="77" t="s">
        <v>348</v>
      </c>
      <c r="G20" s="77" t="s">
        <v>344</v>
      </c>
      <c r="H20" s="77" t="s">
        <v>338</v>
      </c>
      <c r="I20" s="77"/>
      <c r="J20" s="76" t="s">
        <v>372</v>
      </c>
      <c r="K20" s="77"/>
      <c r="L20" s="77" t="s">
        <v>346</v>
      </c>
      <c r="M20" s="77"/>
      <c r="N20" s="78">
        <v>0.4</v>
      </c>
      <c r="O20" s="79">
        <v>400000</v>
      </c>
      <c r="P20" s="86">
        <f>Table43[[#This Row],[Expected Revenue]]*Table43[[#This Row],[Probability]]</f>
        <v>160000</v>
      </c>
      <c r="Q20" s="78">
        <v>0.35</v>
      </c>
      <c r="R20" s="79">
        <f>Table43[[#This Row],[Expected Revenue]]*Table43[[#This Row],[Expected CMR]]</f>
        <v>140000</v>
      </c>
      <c r="S20" s="77"/>
      <c r="T20" s="77"/>
      <c r="U20" s="79"/>
    </row>
    <row r="21" spans="1:21">
      <c r="A21" s="76" t="s">
        <v>318</v>
      </c>
      <c r="B21" s="77" t="s">
        <v>373</v>
      </c>
      <c r="C21" s="102" t="s">
        <v>374</v>
      </c>
      <c r="D21" s="77" t="s">
        <v>291</v>
      </c>
      <c r="E21" s="77" t="s">
        <v>59</v>
      </c>
      <c r="F21" s="77" t="s">
        <v>58</v>
      </c>
      <c r="G21" s="77" t="s">
        <v>193</v>
      </c>
      <c r="H21" s="77" t="s">
        <v>338</v>
      </c>
      <c r="I21" s="77"/>
      <c r="J21" s="76"/>
      <c r="K21" s="80"/>
      <c r="L21" s="77"/>
      <c r="M21" s="77"/>
      <c r="N21" s="99"/>
      <c r="O21" s="79"/>
      <c r="P21" s="86">
        <f>Table43[[#This Row],[Expected Revenue]]*Table43[[#This Row],[Probability]]</f>
        <v>0</v>
      </c>
      <c r="Q21" s="78"/>
      <c r="R21" s="86">
        <f>Table43[[#This Row],[Expected Revenue]]*Table43[[#This Row],[Expected CMR]]</f>
        <v>0</v>
      </c>
      <c r="S21" s="77"/>
      <c r="T21" s="77"/>
      <c r="U21" s="79"/>
    </row>
    <row r="22" spans="1:21">
      <c r="A22" s="76" t="s">
        <v>260</v>
      </c>
      <c r="B22" s="77" t="s">
        <v>157</v>
      </c>
      <c r="C22" s="102" t="s">
        <v>375</v>
      </c>
      <c r="D22" s="77" t="s">
        <v>62</v>
      </c>
      <c r="E22" s="77" t="s">
        <v>59</v>
      </c>
      <c r="F22" s="77" t="s">
        <v>186</v>
      </c>
      <c r="G22" s="77" t="s">
        <v>240</v>
      </c>
      <c r="H22" s="77" t="s">
        <v>338</v>
      </c>
      <c r="I22" s="77"/>
      <c r="J22" s="76"/>
      <c r="K22" s="80"/>
      <c r="L22" s="77" t="s">
        <v>93</v>
      </c>
      <c r="M22" s="77">
        <v>2019</v>
      </c>
      <c r="N22" s="99">
        <v>0.5</v>
      </c>
      <c r="O22" s="79">
        <v>10000</v>
      </c>
      <c r="P22" s="86">
        <f>Table43[[#This Row],[Expected Revenue]]*Table43[[#This Row],[Probability]]</f>
        <v>5000</v>
      </c>
      <c r="Q22" s="78">
        <v>0.5</v>
      </c>
      <c r="R22" s="86">
        <f>Table43[[#This Row],[Expected Revenue]]*Table43[[#This Row],[Expected CMR]]</f>
        <v>5000</v>
      </c>
      <c r="S22" s="77"/>
      <c r="T22" s="77"/>
      <c r="U22" s="79"/>
    </row>
    <row r="23" spans="1:21">
      <c r="A23" s="76" t="s">
        <v>318</v>
      </c>
      <c r="B23" s="77" t="s">
        <v>347</v>
      </c>
      <c r="C23" s="102" t="s">
        <v>376</v>
      </c>
      <c r="D23" s="77" t="s">
        <v>281</v>
      </c>
      <c r="E23" s="77" t="s">
        <v>59</v>
      </c>
      <c r="F23" s="77" t="s">
        <v>348</v>
      </c>
      <c r="G23" s="77" t="s">
        <v>344</v>
      </c>
      <c r="H23" s="77" t="s">
        <v>338</v>
      </c>
      <c r="I23" s="76"/>
      <c r="J23" s="76" t="s">
        <v>349</v>
      </c>
      <c r="K23" s="106" t="s">
        <v>350</v>
      </c>
      <c r="L23" s="77" t="s">
        <v>346</v>
      </c>
      <c r="M23" s="77">
        <v>2019</v>
      </c>
      <c r="N23" s="78">
        <v>0.4</v>
      </c>
      <c r="O23" s="86">
        <v>300000</v>
      </c>
      <c r="P23" s="86">
        <f>Table43[[#This Row],[Expected Revenue]]*Table43[[#This Row],[Probability]]</f>
        <v>120000</v>
      </c>
      <c r="Q23" s="78">
        <v>0.35</v>
      </c>
      <c r="R23" s="86">
        <f>Table43[[#This Row],[Expected Revenue]]*Table43[[#This Row],[Expected CMR]]</f>
        <v>105000</v>
      </c>
      <c r="S23" s="77"/>
      <c r="T23" s="77"/>
      <c r="U23" s="79"/>
    </row>
    <row r="24" spans="1:21">
      <c r="A24" s="76" t="s">
        <v>318</v>
      </c>
      <c r="B24" s="77" t="s">
        <v>347</v>
      </c>
      <c r="C24" s="102" t="s">
        <v>377</v>
      </c>
      <c r="D24" s="77" t="s">
        <v>281</v>
      </c>
      <c r="E24" s="77" t="s">
        <v>59</v>
      </c>
      <c r="F24" s="77" t="s">
        <v>348</v>
      </c>
      <c r="G24" s="77" t="s">
        <v>378</v>
      </c>
      <c r="H24" s="77" t="s">
        <v>338</v>
      </c>
      <c r="I24" s="77"/>
      <c r="J24" s="76" t="s">
        <v>379</v>
      </c>
      <c r="K24" s="77" t="s">
        <v>380</v>
      </c>
      <c r="L24" s="77" t="s">
        <v>346</v>
      </c>
      <c r="M24" s="77">
        <v>2019</v>
      </c>
      <c r="N24" s="78">
        <v>0.5</v>
      </c>
      <c r="O24" s="79">
        <v>300000</v>
      </c>
      <c r="P24" s="86">
        <f>Table43[[#This Row],[Expected Revenue]]*Table43[[#This Row],[Probability]]</f>
        <v>150000</v>
      </c>
      <c r="Q24" s="78">
        <v>0.35</v>
      </c>
      <c r="R24" s="79">
        <f>Table43[[#This Row],[Expected Revenue]]*Table43[[#This Row],[Expected CMR]]</f>
        <v>105000</v>
      </c>
      <c r="S24" s="77"/>
      <c r="T24" s="77"/>
      <c r="U24" s="79"/>
    </row>
    <row r="25" spans="1:21">
      <c r="A25" s="76" t="s">
        <v>319</v>
      </c>
      <c r="B25" s="77" t="s">
        <v>364</v>
      </c>
      <c r="C25" s="102" t="s">
        <v>381</v>
      </c>
      <c r="D25" s="77" t="s">
        <v>281</v>
      </c>
      <c r="E25" s="77" t="s">
        <v>59</v>
      </c>
      <c r="F25" s="77" t="s">
        <v>348</v>
      </c>
      <c r="G25" s="77" t="s">
        <v>378</v>
      </c>
      <c r="H25" s="77" t="s">
        <v>338</v>
      </c>
      <c r="I25" s="77"/>
      <c r="J25" s="76" t="s">
        <v>382</v>
      </c>
      <c r="K25" s="106" t="s">
        <v>383</v>
      </c>
      <c r="L25" s="77"/>
      <c r="M25" s="77">
        <v>2019</v>
      </c>
      <c r="N25" s="99"/>
      <c r="O25" s="79"/>
      <c r="P25" s="86">
        <f>Table43[[#This Row],[Expected Revenue]]*Table43[[#This Row],[Probability]]</f>
        <v>0</v>
      </c>
      <c r="Q25" s="78"/>
      <c r="R25" s="86">
        <f>Table43[[#This Row],[Expected Revenue]]*Table43[[#This Row],[Expected CMR]]</f>
        <v>0</v>
      </c>
      <c r="S25" s="77"/>
      <c r="T25" s="77"/>
      <c r="U25" s="79"/>
    </row>
    <row r="26" spans="1:21">
      <c r="A26" s="76" t="s">
        <v>319</v>
      </c>
      <c r="B26" s="77" t="s">
        <v>384</v>
      </c>
      <c r="C26" s="102" t="s">
        <v>385</v>
      </c>
      <c r="D26" s="77" t="s">
        <v>281</v>
      </c>
      <c r="E26" s="77" t="s">
        <v>386</v>
      </c>
      <c r="F26" s="77" t="s">
        <v>348</v>
      </c>
      <c r="G26" s="77" t="s">
        <v>378</v>
      </c>
      <c r="H26" s="77" t="s">
        <v>338</v>
      </c>
      <c r="I26" s="77"/>
      <c r="J26" s="76" t="s">
        <v>387</v>
      </c>
      <c r="K26" s="106" t="s">
        <v>388</v>
      </c>
      <c r="L26" s="77" t="s">
        <v>222</v>
      </c>
      <c r="M26" s="77">
        <v>2019</v>
      </c>
      <c r="N26" s="99">
        <v>0.5</v>
      </c>
      <c r="O26" s="79">
        <v>35000</v>
      </c>
      <c r="P26" s="86">
        <f>Table43[[#This Row],[Expected Revenue]]*Table43[[#This Row],[Probability]]</f>
        <v>17500</v>
      </c>
      <c r="Q26" s="78">
        <v>0.3</v>
      </c>
      <c r="R26" s="86">
        <f>Table43[[#This Row],[Expected Revenue]]*Table43[[#This Row],[Expected CMR]]</f>
        <v>10500</v>
      </c>
      <c r="S26" s="77"/>
      <c r="T26" s="77"/>
      <c r="U26" s="79"/>
    </row>
    <row r="27" spans="1:21">
      <c r="A27" s="76" t="s">
        <v>318</v>
      </c>
      <c r="B27" s="77" t="s">
        <v>389</v>
      </c>
      <c r="C27" s="102" t="s">
        <v>390</v>
      </c>
      <c r="D27" s="77" t="s">
        <v>281</v>
      </c>
      <c r="E27" s="77" t="s">
        <v>59</v>
      </c>
      <c r="F27" s="77" t="s">
        <v>158</v>
      </c>
      <c r="G27" s="77" t="s">
        <v>378</v>
      </c>
      <c r="H27" s="77" t="s">
        <v>338</v>
      </c>
      <c r="I27" s="77"/>
      <c r="J27" s="76" t="s">
        <v>391</v>
      </c>
      <c r="K27" s="80"/>
      <c r="L27" s="77"/>
      <c r="M27" s="77"/>
      <c r="N27" s="99"/>
      <c r="O27" s="79"/>
      <c r="P27" s="86">
        <f>Table43[[#This Row],[Expected Revenue]]*Table43[[#This Row],[Probability]]</f>
        <v>0</v>
      </c>
      <c r="Q27" s="78"/>
      <c r="R27" s="86">
        <f>Table43[[#This Row],[Expected Revenue]]*Table43[[#This Row],[Expected CMR]]</f>
        <v>0</v>
      </c>
      <c r="S27" s="77"/>
      <c r="T27" s="77"/>
      <c r="U27" s="79"/>
    </row>
    <row r="28" spans="1:21">
      <c r="A28" s="76" t="s">
        <v>318</v>
      </c>
      <c r="B28" s="77" t="s">
        <v>373</v>
      </c>
      <c r="C28" s="102" t="s">
        <v>392</v>
      </c>
      <c r="D28" s="77" t="s">
        <v>281</v>
      </c>
      <c r="E28" s="77" t="s">
        <v>393</v>
      </c>
      <c r="F28" s="77" t="s">
        <v>58</v>
      </c>
      <c r="G28" s="77" t="s">
        <v>378</v>
      </c>
      <c r="H28" s="77" t="s">
        <v>338</v>
      </c>
      <c r="I28" s="77"/>
      <c r="J28" s="76" t="s">
        <v>394</v>
      </c>
      <c r="K28" s="106" t="s">
        <v>395</v>
      </c>
      <c r="L28" s="77"/>
      <c r="M28" s="77">
        <v>2019</v>
      </c>
      <c r="N28" s="99">
        <v>0.2</v>
      </c>
      <c r="O28" s="79">
        <v>35000</v>
      </c>
      <c r="P28" s="86">
        <f>Table43[[#This Row],[Expected Revenue]]*Table43[[#This Row],[Probability]]</f>
        <v>7000</v>
      </c>
      <c r="Q28" s="78">
        <v>0.25</v>
      </c>
      <c r="R28" s="86">
        <f>Table43[[#This Row],[Expected Revenue]]*Table43[[#This Row],[Expected CMR]]</f>
        <v>8750</v>
      </c>
      <c r="S28" s="77"/>
      <c r="T28" s="77"/>
      <c r="U28" s="79"/>
    </row>
    <row r="29" spans="1:21">
      <c r="A29" s="76" t="s">
        <v>327</v>
      </c>
      <c r="B29" s="77" t="s">
        <v>172</v>
      </c>
      <c r="C29" s="102" t="s">
        <v>396</v>
      </c>
      <c r="D29" s="77" t="s">
        <v>281</v>
      </c>
      <c r="E29" s="77" t="s">
        <v>59</v>
      </c>
      <c r="F29" s="77" t="s">
        <v>348</v>
      </c>
      <c r="G29" s="77" t="s">
        <v>344</v>
      </c>
      <c r="H29" s="77" t="s">
        <v>338</v>
      </c>
      <c r="I29" s="77"/>
      <c r="J29" s="76" t="s">
        <v>397</v>
      </c>
      <c r="K29" s="77"/>
      <c r="L29" s="77" t="s">
        <v>346</v>
      </c>
      <c r="M29" s="77">
        <v>2019</v>
      </c>
      <c r="N29" s="78">
        <v>0.6</v>
      </c>
      <c r="O29" s="79">
        <v>600000</v>
      </c>
      <c r="P29" s="86">
        <f>Table43[[#This Row],[Expected Revenue]]*Table43[[#This Row],[Probability]]</f>
        <v>360000</v>
      </c>
      <c r="Q29" s="78">
        <v>0.4</v>
      </c>
      <c r="R29" s="79">
        <f>Table43[[#This Row],[Expected Revenue]]*Table43[[#This Row],[Expected CMR]]</f>
        <v>240000</v>
      </c>
      <c r="S29" s="77"/>
      <c r="T29" s="77"/>
      <c r="U29" s="79"/>
    </row>
    <row r="30" spans="1:21">
      <c r="A30" s="76" t="s">
        <v>319</v>
      </c>
      <c r="B30" s="77" t="s">
        <v>398</v>
      </c>
      <c r="C30" s="102" t="s">
        <v>399</v>
      </c>
      <c r="D30" s="77" t="s">
        <v>281</v>
      </c>
      <c r="E30" s="77" t="s">
        <v>386</v>
      </c>
      <c r="F30" s="77" t="s">
        <v>348</v>
      </c>
      <c r="G30" s="77" t="s">
        <v>378</v>
      </c>
      <c r="H30" s="77" t="s">
        <v>338</v>
      </c>
      <c r="I30" s="77"/>
      <c r="J30" s="76" t="s">
        <v>400</v>
      </c>
      <c r="K30" s="77"/>
      <c r="L30" s="77"/>
      <c r="M30" s="77">
        <v>2019</v>
      </c>
      <c r="N30" s="99">
        <v>0.5</v>
      </c>
      <c r="O30" s="79">
        <v>20000</v>
      </c>
      <c r="P30" s="86">
        <f>Table43[[#This Row],[Expected Revenue]]*Table43[[#This Row],[Probability]]</f>
        <v>10000</v>
      </c>
      <c r="Q30" s="78">
        <v>0.3</v>
      </c>
      <c r="R30" s="86">
        <f>Table43[[#This Row],[Expected Revenue]]*Table43[[#This Row],[Expected CMR]]</f>
        <v>6000</v>
      </c>
      <c r="S30" s="77"/>
      <c r="T30" s="77"/>
      <c r="U30" s="79"/>
    </row>
    <row r="31" spans="1:21">
      <c r="A31" s="76" t="s">
        <v>318</v>
      </c>
      <c r="B31" s="77" t="s">
        <v>401</v>
      </c>
      <c r="C31" s="102" t="s">
        <v>390</v>
      </c>
      <c r="D31" s="77" t="s">
        <v>281</v>
      </c>
      <c r="E31" s="77" t="s">
        <v>59</v>
      </c>
      <c r="F31" s="77" t="s">
        <v>158</v>
      </c>
      <c r="G31" s="77" t="s">
        <v>378</v>
      </c>
      <c r="H31" s="77" t="s">
        <v>338</v>
      </c>
      <c r="I31" s="77"/>
      <c r="J31" s="76"/>
      <c r="K31" s="80"/>
      <c r="L31" s="77"/>
      <c r="M31" s="77"/>
      <c r="N31" s="99"/>
      <c r="O31" s="79"/>
      <c r="P31" s="86">
        <f>Table43[[#This Row],[Expected Revenue]]*Table43[[#This Row],[Probability]]</f>
        <v>0</v>
      </c>
      <c r="Q31" s="78"/>
      <c r="R31" s="86">
        <f>Table43[[#This Row],[Expected Revenue]]*Table43[[#This Row],[Expected CMR]]</f>
        <v>0</v>
      </c>
      <c r="S31" s="77"/>
      <c r="T31" s="77"/>
      <c r="U31" s="79"/>
    </row>
    <row r="32" spans="1:21">
      <c r="A32" s="76" t="s">
        <v>318</v>
      </c>
      <c r="B32" s="77" t="s">
        <v>402</v>
      </c>
      <c r="C32" s="102" t="s">
        <v>390</v>
      </c>
      <c r="D32" s="77" t="s">
        <v>281</v>
      </c>
      <c r="E32" s="77" t="s">
        <v>59</v>
      </c>
      <c r="F32" s="77" t="s">
        <v>158</v>
      </c>
      <c r="G32" s="77" t="s">
        <v>378</v>
      </c>
      <c r="H32" s="77" t="s">
        <v>338</v>
      </c>
      <c r="I32" s="77"/>
      <c r="J32" s="76" t="s">
        <v>403</v>
      </c>
      <c r="K32" s="80"/>
      <c r="L32" s="77"/>
      <c r="M32" s="77"/>
      <c r="N32" s="99"/>
      <c r="O32" s="79"/>
      <c r="P32" s="86">
        <f>Table43[[#This Row],[Expected Revenue]]*Table43[[#This Row],[Probability]]</f>
        <v>0</v>
      </c>
      <c r="Q32" s="78"/>
      <c r="R32" s="86">
        <f>Table43[[#This Row],[Expected Revenue]]*Table43[[#This Row],[Expected CMR]]</f>
        <v>0</v>
      </c>
      <c r="S32" s="77"/>
      <c r="T32" s="77"/>
      <c r="U32" s="79"/>
    </row>
    <row r="33" spans="1:21">
      <c r="A33" s="76" t="s">
        <v>319</v>
      </c>
      <c r="B33" s="77" t="s">
        <v>404</v>
      </c>
      <c r="C33" s="102" t="s">
        <v>405</v>
      </c>
      <c r="D33" s="77" t="s">
        <v>281</v>
      </c>
      <c r="E33" s="77" t="s">
        <v>59</v>
      </c>
      <c r="F33" s="77" t="s">
        <v>348</v>
      </c>
      <c r="G33" s="77" t="s">
        <v>378</v>
      </c>
      <c r="H33" s="77" t="s">
        <v>338</v>
      </c>
      <c r="I33" s="77"/>
      <c r="J33" s="76" t="s">
        <v>406</v>
      </c>
      <c r="K33" s="106" t="s">
        <v>407</v>
      </c>
      <c r="L33" s="77"/>
      <c r="M33" s="77">
        <v>2019</v>
      </c>
      <c r="N33" s="99"/>
      <c r="O33" s="79"/>
      <c r="P33" s="86">
        <f>Table43[[#This Row],[Expected Revenue]]*Table43[[#This Row],[Probability]]</f>
        <v>0</v>
      </c>
      <c r="Q33" s="78"/>
      <c r="R33" s="86">
        <f>Table43[[#This Row],[Expected Revenue]]*Table43[[#This Row],[Expected CMR]]</f>
        <v>0</v>
      </c>
      <c r="S33" s="77"/>
      <c r="T33" s="77"/>
      <c r="U33" s="79"/>
    </row>
    <row r="34" spans="1:21">
      <c r="A34" s="76" t="s">
        <v>318</v>
      </c>
      <c r="B34" s="77" t="s">
        <v>408</v>
      </c>
      <c r="C34" s="102" t="s">
        <v>390</v>
      </c>
      <c r="D34" s="77" t="s">
        <v>281</v>
      </c>
      <c r="E34" s="77" t="s">
        <v>59</v>
      </c>
      <c r="F34" s="77" t="s">
        <v>158</v>
      </c>
      <c r="G34" s="77" t="s">
        <v>378</v>
      </c>
      <c r="H34" s="77" t="s">
        <v>338</v>
      </c>
      <c r="I34" s="77"/>
      <c r="J34" s="76"/>
      <c r="K34" s="80"/>
      <c r="L34" s="77"/>
      <c r="M34" s="77"/>
      <c r="N34" s="99"/>
      <c r="O34" s="79"/>
      <c r="P34" s="86">
        <f>Table43[[#This Row],[Expected Revenue]]*Table43[[#This Row],[Probability]]</f>
        <v>0</v>
      </c>
      <c r="Q34" s="78"/>
      <c r="R34" s="86">
        <f>Table43[[#This Row],[Expected Revenue]]*Table43[[#This Row],[Expected CMR]]</f>
        <v>0</v>
      </c>
      <c r="S34" s="77"/>
      <c r="T34" s="77"/>
      <c r="U34" s="79"/>
    </row>
    <row r="35" spans="1:21">
      <c r="A35" s="76" t="s">
        <v>319</v>
      </c>
      <c r="B35" s="77" t="s">
        <v>409</v>
      </c>
      <c r="C35" s="102" t="s">
        <v>410</v>
      </c>
      <c r="D35" s="77" t="s">
        <v>281</v>
      </c>
      <c r="E35" s="77" t="s">
        <v>386</v>
      </c>
      <c r="F35" s="77" t="s">
        <v>348</v>
      </c>
      <c r="G35" s="77" t="s">
        <v>378</v>
      </c>
      <c r="H35" s="77" t="s">
        <v>338</v>
      </c>
      <c r="I35" s="77"/>
      <c r="J35" s="76" t="s">
        <v>411</v>
      </c>
      <c r="K35" s="106" t="s">
        <v>412</v>
      </c>
      <c r="L35" s="77"/>
      <c r="M35" s="77">
        <v>2019</v>
      </c>
      <c r="N35" s="99">
        <v>0.4</v>
      </c>
      <c r="O35" s="79">
        <v>20000</v>
      </c>
      <c r="P35" s="86">
        <f>Table43[[#This Row],[Expected Revenue]]*Table43[[#This Row],[Probability]]</f>
        <v>8000</v>
      </c>
      <c r="Q35" s="78">
        <v>0.35</v>
      </c>
      <c r="R35" s="86">
        <f>Table43[[#This Row],[Expected Revenue]]*Table43[[#This Row],[Expected CMR]]</f>
        <v>7000</v>
      </c>
      <c r="S35" s="77"/>
      <c r="T35" s="77"/>
      <c r="U35" s="79"/>
    </row>
    <row r="36" spans="1:21">
      <c r="A36" s="76" t="s">
        <v>413</v>
      </c>
      <c r="B36" s="77" t="s">
        <v>283</v>
      </c>
      <c r="C36" s="102" t="s">
        <v>414</v>
      </c>
      <c r="D36" s="77" t="s">
        <v>281</v>
      </c>
      <c r="E36" s="77" t="s">
        <v>59</v>
      </c>
      <c r="F36" s="77" t="s">
        <v>58</v>
      </c>
      <c r="G36" s="77" t="s">
        <v>378</v>
      </c>
      <c r="H36" s="77" t="s">
        <v>338</v>
      </c>
      <c r="I36" s="77"/>
      <c r="J36" s="76" t="s">
        <v>415</v>
      </c>
      <c r="K36" s="106" t="s">
        <v>416</v>
      </c>
      <c r="L36" s="77" t="s">
        <v>346</v>
      </c>
      <c r="M36" s="77">
        <v>2019</v>
      </c>
      <c r="N36" s="78">
        <v>0.25</v>
      </c>
      <c r="O36" s="79">
        <v>15000</v>
      </c>
      <c r="P36" s="86">
        <f>Table43[[#This Row],[Expected Revenue]]*Table43[[#This Row],[Probability]]</f>
        <v>3750</v>
      </c>
      <c r="Q36" s="78"/>
      <c r="R36" s="86">
        <f>Table43[[#This Row],[Expected Revenue]]*Table43[[#This Row],[Expected CMR]]</f>
        <v>0</v>
      </c>
      <c r="S36" s="77"/>
      <c r="T36" s="77"/>
      <c r="U36" s="79"/>
    </row>
    <row r="37" spans="1:21">
      <c r="A37" s="76" t="s">
        <v>322</v>
      </c>
      <c r="B37" s="77" t="s">
        <v>283</v>
      </c>
      <c r="C37" s="102" t="s">
        <v>414</v>
      </c>
      <c r="D37" s="77" t="s">
        <v>281</v>
      </c>
      <c r="E37" s="77" t="s">
        <v>59</v>
      </c>
      <c r="F37" s="77" t="s">
        <v>58</v>
      </c>
      <c r="G37" s="77" t="s">
        <v>378</v>
      </c>
      <c r="H37" s="77" t="s">
        <v>338</v>
      </c>
      <c r="I37" s="77"/>
      <c r="J37" s="76" t="s">
        <v>417</v>
      </c>
      <c r="K37" s="106" t="s">
        <v>418</v>
      </c>
      <c r="L37" s="77" t="s">
        <v>80</v>
      </c>
      <c r="M37" s="77">
        <v>2019</v>
      </c>
      <c r="N37" s="99">
        <v>0.5</v>
      </c>
      <c r="O37" s="79">
        <v>25000</v>
      </c>
      <c r="P37" s="86">
        <f>Table43[[#This Row],[Expected Revenue]]*Table43[[#This Row],[Probability]]</f>
        <v>12500</v>
      </c>
      <c r="Q37" s="78">
        <v>0.25</v>
      </c>
      <c r="R37" s="86">
        <f>Table43[[#This Row],[Expected Revenue]]*Table43[[#This Row],[Expected CMR]]</f>
        <v>6250</v>
      </c>
      <c r="S37" s="77"/>
      <c r="T37" s="77"/>
      <c r="U37" s="79"/>
    </row>
    <row r="38" spans="1:21">
      <c r="A38" s="76" t="s">
        <v>323</v>
      </c>
      <c r="B38" s="77" t="s">
        <v>283</v>
      </c>
      <c r="C38" s="102" t="s">
        <v>414</v>
      </c>
      <c r="D38" s="77" t="s">
        <v>281</v>
      </c>
      <c r="E38" s="77" t="s">
        <v>59</v>
      </c>
      <c r="F38" s="77" t="s">
        <v>58</v>
      </c>
      <c r="G38" s="77" t="s">
        <v>378</v>
      </c>
      <c r="H38" s="77" t="s">
        <v>338</v>
      </c>
      <c r="I38" s="77"/>
      <c r="J38" s="76" t="s">
        <v>419</v>
      </c>
      <c r="K38" s="106" t="s">
        <v>420</v>
      </c>
      <c r="L38" s="77" t="s">
        <v>230</v>
      </c>
      <c r="M38" s="77">
        <v>2019</v>
      </c>
      <c r="N38" s="99">
        <v>0.5</v>
      </c>
      <c r="O38" s="79">
        <v>25000</v>
      </c>
      <c r="P38" s="86">
        <f>Table43[[#This Row],[Expected Revenue]]*Table43[[#This Row],[Probability]]</f>
        <v>12500</v>
      </c>
      <c r="Q38" s="78">
        <v>0.25</v>
      </c>
      <c r="R38" s="86">
        <f>Table43[[#This Row],[Expected Revenue]]*Table43[[#This Row],[Expected CMR]]</f>
        <v>6250</v>
      </c>
      <c r="S38" s="77"/>
      <c r="T38" s="77"/>
      <c r="U38" s="79"/>
    </row>
    <row r="39" spans="1:21">
      <c r="A39" s="76" t="s">
        <v>318</v>
      </c>
      <c r="B39" s="77" t="s">
        <v>421</v>
      </c>
      <c r="C39" s="102" t="s">
        <v>422</v>
      </c>
      <c r="D39" s="77" t="s">
        <v>281</v>
      </c>
      <c r="E39" s="77" t="s">
        <v>386</v>
      </c>
      <c r="F39" s="77" t="s">
        <v>348</v>
      </c>
      <c r="G39" s="77" t="s">
        <v>344</v>
      </c>
      <c r="H39" s="77" t="s">
        <v>338</v>
      </c>
      <c r="I39" s="77"/>
      <c r="J39" s="76" t="s">
        <v>423</v>
      </c>
      <c r="K39" s="77"/>
      <c r="L39" s="77" t="s">
        <v>346</v>
      </c>
      <c r="M39" s="77">
        <v>2019</v>
      </c>
      <c r="N39" s="78">
        <v>0.4</v>
      </c>
      <c r="O39" s="79">
        <v>500000</v>
      </c>
      <c r="P39" s="86">
        <f>Table43[[#This Row],[Expected Revenue]]*Table43[[#This Row],[Probability]]</f>
        <v>200000</v>
      </c>
      <c r="Q39" s="78">
        <v>0.4</v>
      </c>
      <c r="R39" s="79">
        <f>Table43[[#This Row],[Expected Revenue]]*Table43[[#This Row],[Expected CMR]]</f>
        <v>200000</v>
      </c>
      <c r="S39" s="77"/>
      <c r="T39" s="77"/>
      <c r="U39" s="79"/>
    </row>
    <row r="40" spans="1:21">
      <c r="A40" s="76" t="s">
        <v>318</v>
      </c>
      <c r="B40" s="77" t="s">
        <v>424</v>
      </c>
      <c r="C40" s="102" t="s">
        <v>425</v>
      </c>
      <c r="D40" s="77" t="s">
        <v>281</v>
      </c>
      <c r="E40" s="77" t="s">
        <v>59</v>
      </c>
      <c r="F40" s="77" t="s">
        <v>426</v>
      </c>
      <c r="G40" s="77" t="s">
        <v>378</v>
      </c>
      <c r="H40" s="77" t="s">
        <v>338</v>
      </c>
      <c r="I40" s="77"/>
      <c r="J40" s="76"/>
      <c r="K40" s="80"/>
      <c r="L40" s="77"/>
      <c r="M40" s="77"/>
      <c r="N40" s="99"/>
      <c r="O40" s="79"/>
      <c r="P40" s="86">
        <f>Table43[[#This Row],[Expected Revenue]]*Table43[[#This Row],[Probability]]</f>
        <v>0</v>
      </c>
      <c r="Q40" s="78"/>
      <c r="R40" s="86">
        <f>Table43[[#This Row],[Expected Revenue]]*Table43[[#This Row],[Expected CMR]]</f>
        <v>0</v>
      </c>
      <c r="S40" s="77"/>
      <c r="T40" s="77"/>
      <c r="U40" s="79"/>
    </row>
    <row r="41" spans="1:21">
      <c r="A41" s="76" t="s">
        <v>318</v>
      </c>
      <c r="B41" s="77" t="s">
        <v>57</v>
      </c>
      <c r="C41" s="102" t="s">
        <v>427</v>
      </c>
      <c r="D41" s="77" t="s">
        <v>281</v>
      </c>
      <c r="E41" s="77" t="s">
        <v>59</v>
      </c>
      <c r="F41" s="77" t="s">
        <v>58</v>
      </c>
      <c r="G41" s="77" t="s">
        <v>378</v>
      </c>
      <c r="H41" s="77" t="s">
        <v>338</v>
      </c>
      <c r="I41" s="77"/>
      <c r="J41" s="76" t="s">
        <v>428</v>
      </c>
      <c r="K41" s="106" t="s">
        <v>429</v>
      </c>
      <c r="L41" s="77"/>
      <c r="M41" s="77">
        <v>2019</v>
      </c>
      <c r="N41" s="99">
        <v>0.75</v>
      </c>
      <c r="O41" s="79">
        <v>50000</v>
      </c>
      <c r="P41" s="86">
        <f>Table43[[#This Row],[Expected Revenue]]*Table43[[#This Row],[Probability]]</f>
        <v>37500</v>
      </c>
      <c r="Q41" s="78">
        <v>0.25</v>
      </c>
      <c r="R41" s="86">
        <f>Table43[[#This Row],[Expected Revenue]]*Table43[[#This Row],[Expected CMR]]</f>
        <v>12500</v>
      </c>
      <c r="S41" s="77"/>
      <c r="T41" s="77"/>
      <c r="U41" s="79"/>
    </row>
    <row r="42" spans="1:21">
      <c r="A42" s="76" t="s">
        <v>318</v>
      </c>
      <c r="B42" s="77" t="s">
        <v>430</v>
      </c>
      <c r="C42" s="102" t="s">
        <v>425</v>
      </c>
      <c r="D42" s="77" t="s">
        <v>281</v>
      </c>
      <c r="E42" s="77" t="s">
        <v>59</v>
      </c>
      <c r="F42" s="77" t="s">
        <v>58</v>
      </c>
      <c r="G42" s="77" t="s">
        <v>378</v>
      </c>
      <c r="H42" s="77" t="s">
        <v>338</v>
      </c>
      <c r="I42" s="77"/>
      <c r="J42" s="76" t="s">
        <v>431</v>
      </c>
      <c r="K42" s="106" t="s">
        <v>432</v>
      </c>
      <c r="L42" s="77"/>
      <c r="M42" s="77"/>
      <c r="N42" s="99"/>
      <c r="O42" s="79"/>
      <c r="P42" s="86">
        <f>Table43[[#This Row],[Expected Revenue]]*Table43[[#This Row],[Probability]]</f>
        <v>0</v>
      </c>
      <c r="Q42" s="78"/>
      <c r="R42" s="86">
        <f>Table43[[#This Row],[Expected Revenue]]*Table43[[#This Row],[Expected CMR]]</f>
        <v>0</v>
      </c>
      <c r="S42" s="77"/>
      <c r="T42" s="77"/>
      <c r="U42" s="79"/>
    </row>
    <row r="43" spans="1:21">
      <c r="A43" s="76" t="s">
        <v>319</v>
      </c>
      <c r="B43" s="77" t="s">
        <v>433</v>
      </c>
      <c r="C43" s="102" t="s">
        <v>434</v>
      </c>
      <c r="D43" s="77" t="s">
        <v>435</v>
      </c>
      <c r="E43" s="77" t="s">
        <v>371</v>
      </c>
      <c r="F43" s="77" t="s">
        <v>348</v>
      </c>
      <c r="G43" s="77" t="s">
        <v>344</v>
      </c>
      <c r="H43" s="77" t="s">
        <v>338</v>
      </c>
      <c r="I43" s="77"/>
      <c r="J43" s="76"/>
      <c r="K43" s="77"/>
      <c r="L43" s="77"/>
      <c r="M43" s="77"/>
      <c r="N43" s="78"/>
      <c r="O43" s="79"/>
      <c r="P43" s="86">
        <f>Table43[[#This Row],[Expected Revenue]]*Table43[[#This Row],[Probability]]</f>
        <v>0</v>
      </c>
      <c r="Q43" s="78"/>
      <c r="R43" s="79">
        <f>Table43[[#This Row],[Expected Revenue]]*Table43[[#This Row],[Expected CMR]]</f>
        <v>0</v>
      </c>
      <c r="S43" s="77"/>
      <c r="T43" s="77"/>
      <c r="U43" s="79"/>
    </row>
    <row r="44" spans="1:21">
      <c r="A44" s="76" t="s">
        <v>319</v>
      </c>
      <c r="B44" s="77" t="s">
        <v>436</v>
      </c>
      <c r="C44" s="102" t="s">
        <v>437</v>
      </c>
      <c r="D44" s="77" t="s">
        <v>435</v>
      </c>
      <c r="E44" s="77" t="s">
        <v>59</v>
      </c>
      <c r="F44" s="77" t="s">
        <v>261</v>
      </c>
      <c r="G44" s="77" t="s">
        <v>438</v>
      </c>
      <c r="H44" s="77" t="s">
        <v>338</v>
      </c>
      <c r="I44" s="77"/>
      <c r="J44" s="76"/>
      <c r="K44" s="80"/>
      <c r="L44" s="77"/>
      <c r="M44" s="77"/>
      <c r="N44" s="99"/>
      <c r="O44" s="79"/>
      <c r="P44" s="86">
        <f>Table43[[#This Row],[Expected Revenue]]*Table43[[#This Row],[Probability]]</f>
        <v>0</v>
      </c>
      <c r="Q44" s="78"/>
      <c r="R44" s="86">
        <f>Table43[[#This Row],[Expected Revenue]]*Table43[[#This Row],[Expected CMR]]</f>
        <v>0</v>
      </c>
      <c r="S44" s="77"/>
      <c r="T44" s="77"/>
      <c r="U44" s="79"/>
    </row>
    <row r="45" spans="1:21">
      <c r="A45" s="76" t="s">
        <v>439</v>
      </c>
      <c r="B45" s="77" t="s">
        <v>440</v>
      </c>
      <c r="C45" s="102" t="s">
        <v>441</v>
      </c>
      <c r="D45" s="77" t="s">
        <v>435</v>
      </c>
      <c r="E45" s="77" t="s">
        <v>59</v>
      </c>
      <c r="F45" s="77" t="s">
        <v>58</v>
      </c>
      <c r="G45" s="77" t="s">
        <v>344</v>
      </c>
      <c r="H45" s="77" t="s">
        <v>338</v>
      </c>
      <c r="I45" s="77"/>
      <c r="J45" s="76"/>
      <c r="K45" s="77"/>
      <c r="L45" s="77"/>
      <c r="M45" s="77"/>
      <c r="N45" s="78"/>
      <c r="O45" s="79"/>
      <c r="P45" s="86">
        <f>Table43[[#This Row],[Expected Revenue]]*Table43[[#This Row],[Probability]]</f>
        <v>0</v>
      </c>
      <c r="Q45" s="78"/>
      <c r="R45" s="79">
        <f>Table43[[#This Row],[Expected Revenue]]*Table43[[#This Row],[Expected CMR]]</f>
        <v>0</v>
      </c>
      <c r="S45" s="77"/>
      <c r="T45" s="77"/>
      <c r="U45" s="79"/>
    </row>
    <row r="46" spans="1:21">
      <c r="A46" s="76" t="s">
        <v>318</v>
      </c>
      <c r="B46" s="77" t="s">
        <v>352</v>
      </c>
      <c r="C46" s="102" t="s">
        <v>442</v>
      </c>
      <c r="D46" s="77" t="s">
        <v>435</v>
      </c>
      <c r="E46" s="77" t="s">
        <v>442</v>
      </c>
      <c r="F46" s="77" t="s">
        <v>348</v>
      </c>
      <c r="G46" s="77" t="s">
        <v>344</v>
      </c>
      <c r="H46" s="77" t="s">
        <v>338</v>
      </c>
      <c r="I46" s="76"/>
      <c r="J46" s="76" t="s">
        <v>354</v>
      </c>
      <c r="K46" s="106" t="s">
        <v>355</v>
      </c>
      <c r="L46" s="77" t="s">
        <v>346</v>
      </c>
      <c r="M46" s="77">
        <v>2019</v>
      </c>
      <c r="N46" s="78">
        <v>0.4</v>
      </c>
      <c r="O46" s="79">
        <v>1000000</v>
      </c>
      <c r="P46" s="86">
        <f>Table43[[#This Row],[Expected Revenue]]*Table43[[#This Row],[Probability]]</f>
        <v>400000</v>
      </c>
      <c r="Q46" s="78">
        <v>0.3</v>
      </c>
      <c r="R46" s="86">
        <f>Table43[[#This Row],[Expected Revenue]]*Table43[[#This Row],[Expected CMR]]</f>
        <v>300000</v>
      </c>
      <c r="S46" s="77"/>
      <c r="T46" s="77"/>
      <c r="U46" s="79"/>
    </row>
    <row r="47" spans="1:21">
      <c r="A47" s="76" t="s">
        <v>318</v>
      </c>
      <c r="B47" s="77" t="s">
        <v>443</v>
      </c>
      <c r="C47" s="102" t="s">
        <v>437</v>
      </c>
      <c r="D47" s="77" t="s">
        <v>435</v>
      </c>
      <c r="E47" s="77" t="s">
        <v>59</v>
      </c>
      <c r="F47" s="77" t="s">
        <v>158</v>
      </c>
      <c r="G47" s="77" t="s">
        <v>378</v>
      </c>
      <c r="H47" s="77" t="s">
        <v>338</v>
      </c>
      <c r="I47" s="77"/>
      <c r="J47" s="76"/>
      <c r="K47" s="80"/>
      <c r="L47" s="77"/>
      <c r="M47" s="77"/>
      <c r="N47" s="99"/>
      <c r="O47" s="79"/>
      <c r="P47" s="86">
        <f>Table43[[#This Row],[Expected Revenue]]*Table43[[#This Row],[Probability]]</f>
        <v>0</v>
      </c>
      <c r="Q47" s="78"/>
      <c r="R47" s="86">
        <f>Table43[[#This Row],[Expected Revenue]]*Table43[[#This Row],[Expected CMR]]</f>
        <v>0</v>
      </c>
      <c r="S47" s="77"/>
      <c r="T47" s="77"/>
      <c r="U47" s="79"/>
    </row>
    <row r="48" spans="1:21">
      <c r="A48" s="76" t="s">
        <v>319</v>
      </c>
      <c r="B48" s="77" t="s">
        <v>444</v>
      </c>
      <c r="C48" s="102" t="s">
        <v>437</v>
      </c>
      <c r="D48" s="77" t="s">
        <v>435</v>
      </c>
      <c r="E48" s="77" t="s">
        <v>59</v>
      </c>
      <c r="F48" s="77" t="s">
        <v>426</v>
      </c>
      <c r="G48" s="77" t="s">
        <v>438</v>
      </c>
      <c r="H48" s="77" t="s">
        <v>338</v>
      </c>
      <c r="I48" s="77"/>
      <c r="J48" s="76"/>
      <c r="K48" s="80"/>
      <c r="L48" s="77"/>
      <c r="M48" s="77"/>
      <c r="N48" s="99"/>
      <c r="O48" s="79"/>
      <c r="P48" s="86">
        <f>Table43[[#This Row],[Expected Revenue]]*Table43[[#This Row],[Probability]]</f>
        <v>0</v>
      </c>
      <c r="Q48" s="78"/>
      <c r="R48" s="86">
        <f>Table43[[#This Row],[Expected Revenue]]*Table43[[#This Row],[Expected CMR]]</f>
        <v>0</v>
      </c>
      <c r="S48" s="77"/>
      <c r="T48" s="77"/>
      <c r="U48" s="79"/>
    </row>
    <row r="49" spans="1:21">
      <c r="A49" s="76" t="s">
        <v>445</v>
      </c>
      <c r="B49" s="77" t="s">
        <v>185</v>
      </c>
      <c r="C49" s="102" t="s">
        <v>446</v>
      </c>
      <c r="D49" s="77" t="s">
        <v>435</v>
      </c>
      <c r="E49" s="77" t="s">
        <v>447</v>
      </c>
      <c r="F49" s="77" t="s">
        <v>186</v>
      </c>
      <c r="G49" s="77" t="s">
        <v>344</v>
      </c>
      <c r="H49" s="77" t="s">
        <v>338</v>
      </c>
      <c r="I49" s="77"/>
      <c r="J49" s="76"/>
      <c r="K49" s="77"/>
      <c r="L49" s="77"/>
      <c r="M49" s="77"/>
      <c r="N49" s="78"/>
      <c r="O49" s="79"/>
      <c r="P49" s="86">
        <f>Table43[[#This Row],[Expected Revenue]]*Table43[[#This Row],[Probability]]</f>
        <v>0</v>
      </c>
      <c r="Q49" s="78"/>
      <c r="R49" s="79">
        <f>Table43[[#This Row],[Expected Revenue]]*Table43[[#This Row],[Expected CMR]]</f>
        <v>0</v>
      </c>
      <c r="S49" s="77"/>
      <c r="T49" s="77"/>
      <c r="U49" s="79"/>
    </row>
    <row r="50" spans="1:21">
      <c r="A50" s="76" t="s">
        <v>448</v>
      </c>
      <c r="B50" s="77" t="s">
        <v>449</v>
      </c>
      <c r="C50" s="102" t="s">
        <v>450</v>
      </c>
      <c r="D50" s="77" t="s">
        <v>435</v>
      </c>
      <c r="E50" s="77" t="s">
        <v>262</v>
      </c>
      <c r="F50" s="77" t="s">
        <v>58</v>
      </c>
      <c r="G50" s="77" t="s">
        <v>344</v>
      </c>
      <c r="H50" s="77" t="s">
        <v>338</v>
      </c>
      <c r="I50" s="77"/>
      <c r="J50" s="76"/>
      <c r="K50" s="77"/>
      <c r="L50" s="77"/>
      <c r="M50" s="77"/>
      <c r="N50" s="78"/>
      <c r="O50" s="79"/>
      <c r="P50" s="86">
        <f>Table43[[#This Row],[Expected Revenue]]*Table43[[#This Row],[Probability]]</f>
        <v>0</v>
      </c>
      <c r="Q50" s="78"/>
      <c r="R50" s="79">
        <f>Table43[[#This Row],[Expected Revenue]]*Table43[[#This Row],[Expected CMR]]</f>
        <v>0</v>
      </c>
      <c r="S50" s="77"/>
      <c r="T50" s="77"/>
      <c r="U50" s="79"/>
    </row>
    <row r="51" spans="1:21" s="79" customFormat="1" ht="10.15">
      <c r="A51" s="76" t="s">
        <v>358</v>
      </c>
      <c r="B51" s="77" t="s">
        <v>57</v>
      </c>
      <c r="C51" s="102" t="s">
        <v>451</v>
      </c>
      <c r="D51" s="77" t="s">
        <v>435</v>
      </c>
      <c r="E51" s="77" t="s">
        <v>319</v>
      </c>
      <c r="F51" s="77" t="s">
        <v>58</v>
      </c>
      <c r="G51" s="77" t="s">
        <v>344</v>
      </c>
      <c r="H51" s="77" t="s">
        <v>338</v>
      </c>
      <c r="I51" s="77"/>
      <c r="J51" s="76"/>
      <c r="K51" s="77"/>
      <c r="L51" s="77"/>
      <c r="M51" s="77"/>
      <c r="N51" s="78"/>
      <c r="P51" s="86">
        <f>Table43[[#This Row],[Expected Revenue]]*Table43[[#This Row],[Probability]]</f>
        <v>0</v>
      </c>
      <c r="Q51" s="78"/>
      <c r="R51" s="79">
        <f>Table43[[#This Row],[Expected Revenue]]*Table43[[#This Row],[Expected CMR]]</f>
        <v>0</v>
      </c>
      <c r="S51" s="77"/>
      <c r="T51" s="77"/>
    </row>
    <row r="52" spans="1:21" s="81" customFormat="1" ht="10.15">
      <c r="A52" s="76" t="s">
        <v>319</v>
      </c>
      <c r="B52" s="77" t="s">
        <v>452</v>
      </c>
      <c r="C52" s="102" t="s">
        <v>453</v>
      </c>
      <c r="D52" s="77" t="s">
        <v>435</v>
      </c>
      <c r="E52" s="77" t="s">
        <v>454</v>
      </c>
      <c r="F52" s="77" t="s">
        <v>348</v>
      </c>
      <c r="G52" s="77" t="s">
        <v>344</v>
      </c>
      <c r="H52" s="77" t="s">
        <v>338</v>
      </c>
      <c r="I52" s="77"/>
      <c r="J52" s="76" t="s">
        <v>455</v>
      </c>
      <c r="K52" s="106" t="s">
        <v>456</v>
      </c>
      <c r="L52" s="77" t="s">
        <v>346</v>
      </c>
      <c r="M52" s="77">
        <v>2019</v>
      </c>
      <c r="N52" s="78">
        <v>0.5</v>
      </c>
      <c r="O52" s="79">
        <v>350000</v>
      </c>
      <c r="P52" s="86">
        <f>Table43[[#This Row],[Expected Revenue]]*Table43[[#This Row],[Probability]]</f>
        <v>175000</v>
      </c>
      <c r="Q52" s="78">
        <v>0.4</v>
      </c>
      <c r="R52" s="79">
        <f>Table43[[#This Row],[Expected Revenue]]*Table43[[#This Row],[Expected CMR]]</f>
        <v>140000</v>
      </c>
      <c r="S52" s="77"/>
      <c r="T52" s="77"/>
      <c r="U52" s="79"/>
    </row>
    <row r="53" spans="1:21" s="81" customFormat="1" ht="10.15">
      <c r="A53" s="76" t="s">
        <v>318</v>
      </c>
      <c r="B53" s="77" t="s">
        <v>457</v>
      </c>
      <c r="C53" s="102" t="s">
        <v>458</v>
      </c>
      <c r="D53" s="77" t="s">
        <v>251</v>
      </c>
      <c r="E53" s="77" t="s">
        <v>59</v>
      </c>
      <c r="F53" s="77" t="s">
        <v>58</v>
      </c>
      <c r="G53" s="77" t="s">
        <v>193</v>
      </c>
      <c r="H53" s="77" t="s">
        <v>338</v>
      </c>
      <c r="I53" s="77"/>
      <c r="J53" s="76"/>
      <c r="K53" s="80"/>
      <c r="L53" s="77" t="s">
        <v>93</v>
      </c>
      <c r="M53" s="77">
        <v>2019</v>
      </c>
      <c r="N53" s="99"/>
      <c r="O53" s="79"/>
      <c r="P53" s="86">
        <f>Table43[[#This Row],[Expected Revenue]]*Table43[[#This Row],[Probability]]</f>
        <v>0</v>
      </c>
      <c r="Q53" s="78"/>
      <c r="R53" s="86">
        <f>Table43[[#This Row],[Expected Revenue]]*Table43[[#This Row],[Expected CMR]]</f>
        <v>0</v>
      </c>
      <c r="S53" s="77"/>
      <c r="T53" s="77"/>
      <c r="U53" s="79"/>
    </row>
    <row r="54" spans="1:21" s="81" customFormat="1" ht="10.15">
      <c r="A54" s="76" t="s">
        <v>459</v>
      </c>
      <c r="B54" s="77" t="s">
        <v>254</v>
      </c>
      <c r="C54" s="102" t="s">
        <v>460</v>
      </c>
      <c r="D54" s="77" t="s">
        <v>461</v>
      </c>
      <c r="E54" s="77" t="s">
        <v>462</v>
      </c>
      <c r="F54" s="77" t="s">
        <v>186</v>
      </c>
      <c r="G54" s="77" t="s">
        <v>240</v>
      </c>
      <c r="H54" s="77" t="s">
        <v>463</v>
      </c>
      <c r="I54" s="77">
        <v>132204</v>
      </c>
      <c r="J54" s="76"/>
      <c r="K54" s="77"/>
      <c r="L54" s="77" t="s">
        <v>231</v>
      </c>
      <c r="M54" s="77">
        <v>2018</v>
      </c>
      <c r="N54" s="78">
        <v>1</v>
      </c>
      <c r="O54" s="79">
        <v>10000</v>
      </c>
      <c r="P54" s="79">
        <f>Table43[[#This Row],[Expected Revenue]]*Table43[[#This Row],[Probability]]</f>
        <v>10000</v>
      </c>
      <c r="Q54" s="78">
        <v>0.3</v>
      </c>
      <c r="R54" s="79">
        <f>Table43[[#This Row],[Expected Revenue]]*Table43[[#This Row],[Expected CMR]]</f>
        <v>3000</v>
      </c>
      <c r="S54" s="77" t="s">
        <v>144</v>
      </c>
      <c r="T54" s="77"/>
      <c r="U54" s="79"/>
    </row>
    <row r="55" spans="1:21">
      <c r="A55" s="76" t="s">
        <v>73</v>
      </c>
      <c r="B55" s="77" t="s">
        <v>57</v>
      </c>
      <c r="C55" s="102" t="s">
        <v>464</v>
      </c>
      <c r="D55" s="77" t="s">
        <v>71</v>
      </c>
      <c r="E55" s="77" t="s">
        <v>59</v>
      </c>
      <c r="F55" s="77" t="s">
        <v>58</v>
      </c>
      <c r="G55" s="77" t="s">
        <v>217</v>
      </c>
      <c r="H55" s="77"/>
      <c r="I55" s="77">
        <v>13459</v>
      </c>
      <c r="J55" s="76" t="s">
        <v>465</v>
      </c>
      <c r="K55" s="106" t="s">
        <v>466</v>
      </c>
      <c r="L55" s="77" t="s">
        <v>102</v>
      </c>
      <c r="M55" s="77">
        <v>2018</v>
      </c>
      <c r="N55" s="78">
        <v>0.9</v>
      </c>
      <c r="O55" s="79">
        <v>6430</v>
      </c>
      <c r="P55" s="79">
        <f>Table43[[#This Row],[Expected Revenue]]*Table43[[#This Row],[Probability]]</f>
        <v>5787</v>
      </c>
      <c r="Q55" s="78">
        <v>0.37559999999999999</v>
      </c>
      <c r="R55" s="79">
        <f>Table43[[#This Row],[Expected Revenue]]*Table43[[#This Row],[Expected CMR]]</f>
        <v>2415.1079999999997</v>
      </c>
      <c r="S55" s="77"/>
      <c r="T55" s="77"/>
      <c r="U55" s="79"/>
    </row>
    <row r="56" spans="1:21">
      <c r="A56" s="76" t="s">
        <v>104</v>
      </c>
      <c r="B56" s="77" t="s">
        <v>57</v>
      </c>
      <c r="C56" s="102" t="s">
        <v>467</v>
      </c>
      <c r="D56" s="77" t="s">
        <v>71</v>
      </c>
      <c r="E56" s="77"/>
      <c r="F56" s="77"/>
      <c r="G56" s="77"/>
      <c r="H56" s="77"/>
      <c r="I56" s="77"/>
      <c r="J56" s="76" t="s">
        <v>468</v>
      </c>
      <c r="K56" s="106" t="s">
        <v>212</v>
      </c>
      <c r="L56" s="77" t="s">
        <v>229</v>
      </c>
      <c r="M56" s="77">
        <v>2018</v>
      </c>
      <c r="N56" s="78">
        <v>0.9</v>
      </c>
      <c r="O56" s="79">
        <v>6830</v>
      </c>
      <c r="P56" s="79">
        <f>Table43[[#This Row],[Expected Revenue]]*Table43[[#This Row],[Probability]]</f>
        <v>6147</v>
      </c>
      <c r="Q56" s="78">
        <v>0.3</v>
      </c>
      <c r="R56" s="79">
        <f>Table43[[#This Row],[Expected Revenue]]*Table43[[#This Row],[Expected CMR]]</f>
        <v>2049</v>
      </c>
      <c r="S56" s="77" t="s">
        <v>100</v>
      </c>
      <c r="T56" s="77">
        <v>1848320</v>
      </c>
      <c r="U56" s="79">
        <v>5346</v>
      </c>
    </row>
    <row r="57" spans="1:21">
      <c r="A57" s="76" t="s">
        <v>330</v>
      </c>
      <c r="B57" s="77" t="s">
        <v>329</v>
      </c>
      <c r="C57" s="102" t="s">
        <v>469</v>
      </c>
      <c r="D57" s="77" t="s">
        <v>92</v>
      </c>
      <c r="E57" s="77" t="s">
        <v>59</v>
      </c>
      <c r="F57" s="77" t="s">
        <v>58</v>
      </c>
      <c r="G57" s="77" t="s">
        <v>240</v>
      </c>
      <c r="H57" s="77"/>
      <c r="I57" s="77"/>
      <c r="J57" s="76" t="s">
        <v>470</v>
      </c>
      <c r="K57" s="77"/>
      <c r="L57" s="77" t="s">
        <v>89</v>
      </c>
      <c r="M57" s="77">
        <v>2018</v>
      </c>
      <c r="N57" s="78">
        <v>1</v>
      </c>
      <c r="O57" s="79"/>
      <c r="P57" s="79"/>
      <c r="Q57" s="78">
        <v>0.1</v>
      </c>
      <c r="R57" s="79">
        <f>Table43[[#This Row],[Expected Revenue]]*Table43[[#This Row],[Expected CMR]]</f>
        <v>0</v>
      </c>
      <c r="S57" s="77" t="s">
        <v>144</v>
      </c>
      <c r="T57" s="77"/>
      <c r="U57" s="79"/>
    </row>
    <row r="58" spans="1:21">
      <c r="A58" s="76" t="s">
        <v>156</v>
      </c>
      <c r="B58" s="77" t="s">
        <v>157</v>
      </c>
      <c r="C58" s="102" t="s">
        <v>471</v>
      </c>
      <c r="D58" s="77" t="s">
        <v>71</v>
      </c>
      <c r="E58" s="77" t="s">
        <v>59</v>
      </c>
      <c r="F58" s="77" t="s">
        <v>58</v>
      </c>
      <c r="G58" s="77" t="s">
        <v>217</v>
      </c>
      <c r="H58" s="77"/>
      <c r="I58" s="77">
        <v>13469</v>
      </c>
      <c r="J58" s="76" t="s">
        <v>162</v>
      </c>
      <c r="K58" s="106" t="s">
        <v>163</v>
      </c>
      <c r="L58" s="77" t="s">
        <v>102</v>
      </c>
      <c r="M58" s="77">
        <v>2018</v>
      </c>
      <c r="N58" s="78">
        <v>0.9</v>
      </c>
      <c r="O58" s="79">
        <v>13570</v>
      </c>
      <c r="P58" s="79">
        <f>Table43[[#This Row],[Expected Revenue]]*Table43[[#This Row],[Probability]]</f>
        <v>12213</v>
      </c>
      <c r="Q58" s="78">
        <v>0.4259</v>
      </c>
      <c r="R58" s="79">
        <f>Table43[[#This Row],[Expected Revenue]]*Table43[[#This Row],[Expected CMR]]</f>
        <v>5779.4629999999997</v>
      </c>
      <c r="S58" s="77" t="s">
        <v>100</v>
      </c>
      <c r="T58" s="77">
        <v>400385</v>
      </c>
      <c r="U58" s="79">
        <v>13570</v>
      </c>
    </row>
    <row r="59" spans="1:21">
      <c r="A59" s="76" t="s">
        <v>73</v>
      </c>
      <c r="B59" s="77" t="s">
        <v>472</v>
      </c>
      <c r="C59" s="116" t="s">
        <v>473</v>
      </c>
      <c r="D59" s="77" t="s">
        <v>62</v>
      </c>
      <c r="E59" s="77" t="s">
        <v>59</v>
      </c>
      <c r="F59" s="77" t="s">
        <v>58</v>
      </c>
      <c r="G59" s="77" t="s">
        <v>217</v>
      </c>
      <c r="H59" s="77"/>
      <c r="I59" s="77">
        <v>13408</v>
      </c>
      <c r="J59" s="76" t="s">
        <v>474</v>
      </c>
      <c r="K59" s="77"/>
      <c r="L59" s="77" t="s">
        <v>102</v>
      </c>
      <c r="M59" s="77">
        <v>2018</v>
      </c>
      <c r="N59" s="78">
        <v>0.9</v>
      </c>
      <c r="O59" s="79">
        <v>20078</v>
      </c>
      <c r="P59" s="79">
        <f>Table43[[#This Row],[Expected Revenue]]*Table43[[#This Row],[Probability]]</f>
        <v>18070.2</v>
      </c>
      <c r="Q59" s="78">
        <v>0.40110000000000001</v>
      </c>
      <c r="R59" s="79">
        <f>Table43[[#This Row],[Expected Revenue]]*Table43[[#This Row],[Expected CMR]]</f>
        <v>8053.2858000000006</v>
      </c>
      <c r="S59" s="77"/>
      <c r="T59" s="77"/>
      <c r="U59" s="79"/>
    </row>
    <row r="60" spans="1:21">
      <c r="A60" s="76" t="s">
        <v>73</v>
      </c>
      <c r="B60" s="77" t="s">
        <v>472</v>
      </c>
      <c r="C60" s="116" t="s">
        <v>475</v>
      </c>
      <c r="D60" s="77" t="s">
        <v>62</v>
      </c>
      <c r="E60" s="77" t="s">
        <v>59</v>
      </c>
      <c r="F60" s="77" t="s">
        <v>58</v>
      </c>
      <c r="G60" s="77" t="s">
        <v>217</v>
      </c>
      <c r="H60" s="77"/>
      <c r="I60" s="77">
        <v>13478</v>
      </c>
      <c r="J60" s="76" t="s">
        <v>474</v>
      </c>
      <c r="K60" s="77"/>
      <c r="L60" s="77" t="s">
        <v>102</v>
      </c>
      <c r="M60" s="77">
        <v>2018</v>
      </c>
      <c r="N60" s="78">
        <v>0.9</v>
      </c>
      <c r="O60" s="79">
        <v>2560</v>
      </c>
      <c r="P60" s="79">
        <f>Table43[[#This Row],[Expected Revenue]]*Table43[[#This Row],[Probability]]</f>
        <v>2304</v>
      </c>
      <c r="Q60" s="78">
        <v>0.57030000000000003</v>
      </c>
      <c r="R60" s="79">
        <f>Table43[[#This Row],[Expected Revenue]]*Table43[[#This Row],[Expected CMR]]</f>
        <v>1459.9680000000001</v>
      </c>
      <c r="S60" s="77" t="s">
        <v>100</v>
      </c>
      <c r="T60" s="77">
        <v>41565</v>
      </c>
      <c r="U60" s="79">
        <v>2000</v>
      </c>
    </row>
    <row r="61" spans="1:21">
      <c r="A61" s="76" t="s">
        <v>146</v>
      </c>
      <c r="B61" s="77" t="s">
        <v>57</v>
      </c>
      <c r="C61" s="102" t="s">
        <v>476</v>
      </c>
      <c r="D61" s="77" t="s">
        <v>92</v>
      </c>
      <c r="E61" s="77"/>
      <c r="F61" s="77"/>
      <c r="G61" s="77"/>
      <c r="H61" s="77"/>
      <c r="I61" s="77"/>
      <c r="J61" s="76"/>
      <c r="K61" s="80"/>
      <c r="L61" s="77" t="s">
        <v>68</v>
      </c>
      <c r="M61" s="77">
        <v>2018</v>
      </c>
      <c r="N61" s="78">
        <v>1</v>
      </c>
      <c r="O61" s="79">
        <v>4000</v>
      </c>
      <c r="P61" s="79">
        <f>Table43[[#This Row],[Expected Revenue]]*Table43[[#This Row],[Probability]]</f>
        <v>4000</v>
      </c>
      <c r="Q61" s="78">
        <v>0.3</v>
      </c>
      <c r="R61" s="79">
        <f>Table43[[#This Row],[Expected Revenue]]*Table43[[#This Row],[Expected CMR]]</f>
        <v>1200</v>
      </c>
      <c r="S61" s="77"/>
      <c r="T61" s="77"/>
      <c r="U61" s="79"/>
    </row>
    <row r="62" spans="1:21">
      <c r="A62" s="76" t="s">
        <v>137</v>
      </c>
      <c r="B62" s="77" t="s">
        <v>57</v>
      </c>
      <c r="C62" s="102" t="s">
        <v>477</v>
      </c>
      <c r="D62" s="77" t="s">
        <v>209</v>
      </c>
      <c r="E62" s="77"/>
      <c r="F62" s="77"/>
      <c r="G62" s="77"/>
      <c r="H62" s="77"/>
      <c r="I62" s="77"/>
      <c r="J62" s="76"/>
      <c r="K62" s="80"/>
      <c r="L62" s="77" t="s">
        <v>68</v>
      </c>
      <c r="M62" s="77">
        <v>2018</v>
      </c>
      <c r="N62" s="78">
        <v>1</v>
      </c>
      <c r="O62" s="79">
        <v>10000</v>
      </c>
      <c r="P62" s="79">
        <f>Table43[[#This Row],[Expected Revenue]]*Table43[[#This Row],[Probability]]</f>
        <v>10000</v>
      </c>
      <c r="Q62" s="78">
        <v>0.3</v>
      </c>
      <c r="R62" s="79">
        <f>Table43[[#This Row],[Expected Revenue]]*Table43[[#This Row],[Expected CMR]]</f>
        <v>3000</v>
      </c>
      <c r="S62" s="77"/>
      <c r="T62" s="77"/>
      <c r="U62" s="79"/>
    </row>
    <row r="63" spans="1:21">
      <c r="A63" s="76" t="s">
        <v>137</v>
      </c>
      <c r="B63" s="77" t="s">
        <v>57</v>
      </c>
      <c r="C63" s="102" t="s">
        <v>478</v>
      </c>
      <c r="D63" s="77" t="s">
        <v>209</v>
      </c>
      <c r="E63" s="77"/>
      <c r="F63" s="77"/>
      <c r="G63" s="77"/>
      <c r="H63" s="77"/>
      <c r="I63" s="77"/>
      <c r="J63" s="76"/>
      <c r="K63" s="80"/>
      <c r="L63" s="77" t="s">
        <v>68</v>
      </c>
      <c r="M63" s="77">
        <v>2018</v>
      </c>
      <c r="N63" s="78">
        <v>1</v>
      </c>
      <c r="O63" s="79">
        <v>43000</v>
      </c>
      <c r="P63" s="79">
        <f>Table43[[#This Row],[Expected Revenue]]*Table43[[#This Row],[Probability]]</f>
        <v>43000</v>
      </c>
      <c r="Q63" s="78">
        <v>0.3</v>
      </c>
      <c r="R63" s="79">
        <f>Table43[[#This Row],[Expected Revenue]]*Table43[[#This Row],[Expected CMR]]</f>
        <v>12900</v>
      </c>
      <c r="S63" s="77"/>
      <c r="T63" s="77"/>
      <c r="U63" s="79"/>
    </row>
    <row r="64" spans="1:21">
      <c r="A64" s="82" t="s">
        <v>235</v>
      </c>
      <c r="B64" s="83" t="s">
        <v>57</v>
      </c>
      <c r="C64" s="103" t="s">
        <v>236</v>
      </c>
      <c r="D64" s="83" t="s">
        <v>209</v>
      </c>
      <c r="E64" s="83"/>
      <c r="F64" s="83"/>
      <c r="G64" s="83"/>
      <c r="H64" s="83"/>
      <c r="I64" s="82"/>
      <c r="J64" s="82"/>
      <c r="K64" s="83"/>
      <c r="L64" s="83" t="s">
        <v>93</v>
      </c>
      <c r="M64" s="83">
        <v>2019</v>
      </c>
      <c r="N64" s="84">
        <v>1</v>
      </c>
      <c r="O64" s="85">
        <v>50000</v>
      </c>
      <c r="P64" s="87">
        <f>Table43[[#This Row],[Expected Revenue]]*Table43[[#This Row],[Probability]]</f>
        <v>50000</v>
      </c>
      <c r="Q64" s="109">
        <v>0.3</v>
      </c>
      <c r="R64" s="87">
        <f>Table43[[#This Row],[Expected Revenue]]*Table43[[#This Row],[Expected CMR]]</f>
        <v>15000</v>
      </c>
      <c r="S64" s="83"/>
      <c r="T64" s="83"/>
      <c r="U64" s="85"/>
    </row>
    <row r="65" spans="1:21">
      <c r="A65" s="82" t="s">
        <v>319</v>
      </c>
      <c r="B65" s="83" t="s">
        <v>479</v>
      </c>
      <c r="C65" s="103" t="s">
        <v>410</v>
      </c>
      <c r="D65" s="83" t="s">
        <v>281</v>
      </c>
      <c r="E65" s="83" t="s">
        <v>59</v>
      </c>
      <c r="F65" s="83" t="s">
        <v>426</v>
      </c>
      <c r="G65" s="83" t="s">
        <v>378</v>
      </c>
      <c r="H65" s="83"/>
      <c r="I65" s="83"/>
      <c r="J65" s="82"/>
      <c r="K65" s="101"/>
      <c r="L65" s="83"/>
      <c r="M65" s="83"/>
      <c r="N65" s="84"/>
      <c r="O65" s="85"/>
      <c r="P65" s="87">
        <f>Table43[[#This Row],[Expected Revenue]]*Table43[[#This Row],[Probability]]</f>
        <v>0</v>
      </c>
      <c r="Q65" s="84"/>
      <c r="R65" s="87">
        <f>Table43[[#This Row],[Expected Revenue]]*Table43[[#This Row],[Expected CMR]]</f>
        <v>0</v>
      </c>
      <c r="S65" s="83"/>
      <c r="T65" s="83"/>
      <c r="U65" s="85"/>
    </row>
    <row r="66" spans="1:21">
      <c r="A66" s="82" t="s">
        <v>172</v>
      </c>
      <c r="B66" s="77" t="s">
        <v>172</v>
      </c>
      <c r="C66" s="103" t="s">
        <v>480</v>
      </c>
      <c r="D66" s="83" t="s">
        <v>209</v>
      </c>
      <c r="E66" s="83" t="s">
        <v>319</v>
      </c>
      <c r="F66" s="83" t="s">
        <v>158</v>
      </c>
      <c r="G66" s="83" t="s">
        <v>108</v>
      </c>
      <c r="H66" s="83" t="s">
        <v>338</v>
      </c>
      <c r="I66" s="82"/>
      <c r="J66" s="82"/>
      <c r="K66" s="83"/>
      <c r="L66" s="77" t="s">
        <v>230</v>
      </c>
      <c r="M66" s="77">
        <v>2018</v>
      </c>
      <c r="N66" s="84">
        <v>0.3</v>
      </c>
      <c r="O66" s="86">
        <f>750*3*25</f>
        <v>56250</v>
      </c>
      <c r="P66" s="87">
        <f>Table43[[#This Row],[Expected Revenue]]*Table43[[#This Row],[Probability]]</f>
        <v>16875</v>
      </c>
      <c r="Q66" s="109">
        <v>0.5</v>
      </c>
      <c r="R66" s="87">
        <f>Table43[[#This Row],[Expected Revenue]]*Table43[[#This Row],[Expected CMR]]</f>
        <v>28125</v>
      </c>
      <c r="S66" s="83"/>
      <c r="T66" s="83"/>
      <c r="U66" s="85"/>
    </row>
    <row r="67" spans="1:21">
      <c r="A67" s="82"/>
      <c r="B67" s="83" t="s">
        <v>57</v>
      </c>
      <c r="C67" s="103" t="s">
        <v>236</v>
      </c>
      <c r="D67" s="83" t="s">
        <v>209</v>
      </c>
      <c r="E67" s="83" t="s">
        <v>319</v>
      </c>
      <c r="F67" s="83" t="s">
        <v>58</v>
      </c>
      <c r="G67" s="83" t="s">
        <v>481</v>
      </c>
      <c r="H67" s="83" t="s">
        <v>338</v>
      </c>
      <c r="I67" s="82"/>
      <c r="J67" s="82"/>
      <c r="K67" s="83"/>
      <c r="L67" s="77" t="s">
        <v>222</v>
      </c>
      <c r="M67" s="77">
        <v>2018</v>
      </c>
      <c r="N67" s="84">
        <v>0.3</v>
      </c>
      <c r="O67" s="86">
        <v>1000000</v>
      </c>
      <c r="P67" s="87">
        <f>Table43[[#This Row],[Expected Revenue]]*Table43[[#This Row],[Probability]]</f>
        <v>300000</v>
      </c>
      <c r="Q67" s="109">
        <v>0.5</v>
      </c>
      <c r="R67" s="87">
        <f>Table43[[#This Row],[Expected Revenue]]*Table43[[#This Row],[Expected CMR]]</f>
        <v>500000</v>
      </c>
      <c r="S67" s="83"/>
      <c r="T67" s="83"/>
      <c r="U67" s="85"/>
    </row>
    <row r="68" spans="1:21">
      <c r="A68" s="82"/>
      <c r="B68" s="83" t="s">
        <v>57</v>
      </c>
      <c r="C68" s="103" t="s">
        <v>236</v>
      </c>
      <c r="D68" s="83" t="s">
        <v>209</v>
      </c>
      <c r="E68" s="83" t="s">
        <v>319</v>
      </c>
      <c r="F68" s="83" t="s">
        <v>58</v>
      </c>
      <c r="G68" s="83" t="s">
        <v>481</v>
      </c>
      <c r="H68" s="83" t="s">
        <v>338</v>
      </c>
      <c r="I68" s="82"/>
      <c r="J68" s="82"/>
      <c r="K68" s="83"/>
      <c r="L68" s="77" t="s">
        <v>222</v>
      </c>
      <c r="M68" s="77">
        <v>2018</v>
      </c>
      <c r="N68" s="84">
        <v>0.3</v>
      </c>
      <c r="O68" s="86">
        <v>1000000</v>
      </c>
      <c r="P68" s="87">
        <f>Table43[[#This Row],[Expected Revenue]]*Table43[[#This Row],[Probability]]</f>
        <v>300000</v>
      </c>
      <c r="Q68" s="109">
        <v>0.5</v>
      </c>
      <c r="R68" s="87">
        <f>Table43[[#This Row],[Expected Revenue]]*Table43[[#This Row],[Expected CMR]]</f>
        <v>500000</v>
      </c>
      <c r="S68" s="83"/>
      <c r="T68" s="83"/>
      <c r="U68" s="85"/>
    </row>
  </sheetData>
  <mergeCells count="1">
    <mergeCell ref="A1:E3"/>
  </mergeCells>
  <conditionalFormatting sqref="S6:S64">
    <cfRule type="containsText" dxfId="252" priority="160" operator="containsText" text="TBA">
      <formula>NOT(ISERROR(SEARCH("TBA",S6)))</formula>
    </cfRule>
    <cfRule type="containsText" dxfId="251" priority="161" operator="containsText" text="No">
      <formula>NOT(ISERROR(SEARCH("No",S6)))</formula>
    </cfRule>
    <cfRule type="containsText" dxfId="250" priority="162" operator="containsText" text="OK">
      <formula>NOT(ISERROR(SEARCH("OK",S6)))</formula>
    </cfRule>
    <cfRule type="containsText" dxfId="249" priority="163" operator="containsText" text="Canceled">
      <formula>NOT(ISERROR(SEARCH("Canceled",S6)))</formula>
    </cfRule>
    <cfRule type="containsText" dxfId="248" priority="164" operator="containsText" text="Cancelled">
      <formula>NOT(ISERROR(SEARCH("Cancelled",S6)))</formula>
    </cfRule>
    <cfRule type="containsText" dxfId="247" priority="165" operator="containsText" text="Yes">
      <formula>NOT(ISERROR(SEARCH("Yes",S6)))</formula>
    </cfRule>
  </conditionalFormatting>
  <hyperlinks>
    <hyperlink ref="K56" r:id="rId1" xr:uid="{CA7F5F57-CC83-45F5-ABE4-1F60AD210A6A}"/>
    <hyperlink ref="K58" r:id="rId2" xr:uid="{9C9B0E1F-D001-439E-B64F-B7090F554C3A}"/>
    <hyperlink ref="K10" r:id="rId3" xr:uid="{A8A9B011-3BAB-44C9-AFE7-D3FA20E87D34}"/>
    <hyperlink ref="K55" r:id="rId4" xr:uid="{86DA993D-1699-4261-913B-FA069878D7E8}"/>
    <hyperlink ref="K12" r:id="rId5" xr:uid="{842B89A2-DA15-4F49-87A5-E194377CB897}"/>
    <hyperlink ref="K46" r:id="rId6" xr:uid="{104BC0CF-BD58-4362-BE81-842AC085FE8A}"/>
    <hyperlink ref="K23" r:id="rId7" xr:uid="{5834CDDE-609A-4A48-A46A-1828155B8159}"/>
    <hyperlink ref="K52" r:id="rId8" xr:uid="{AEF8A924-0F4E-45ED-9830-07FC0113C28F}"/>
    <hyperlink ref="K17" r:id="rId9" xr:uid="{502616AC-D236-48E7-837C-C23CA54209D1}"/>
    <hyperlink ref="K18" r:id="rId10" xr:uid="{81801E5C-55F6-4343-8898-1C31E42802B7}"/>
    <hyperlink ref="K38" r:id="rId11" xr:uid="{A3B1683D-5EA8-4CD6-BAAF-7BA0B5E9F5A0}"/>
    <hyperlink ref="K37" r:id="rId12" xr:uid="{75C98E7F-1360-4BA6-A35A-E30D913AA9AF}"/>
    <hyperlink ref="K35" r:id="rId13" xr:uid="{0D5C80DD-EB7A-410B-A223-9F0EB787E76F}"/>
    <hyperlink ref="K28" r:id="rId14" xr:uid="{85A760FC-3728-40D6-819F-44670EAF630C}"/>
    <hyperlink ref="K41" r:id="rId15" xr:uid="{06030CBA-FA1E-40BD-97AD-4D59CEED71B4}"/>
    <hyperlink ref="K26" r:id="rId16" xr:uid="{3395336D-909D-4F15-BF41-23E424C0AE81}"/>
    <hyperlink ref="K25" r:id="rId17" xr:uid="{CA5D7158-0C8B-47B1-9D1C-5BB74AD62C52}"/>
    <hyperlink ref="K42" r:id="rId18" xr:uid="{4FF223AE-7D4E-4818-A919-7BE3D587E015}"/>
    <hyperlink ref="K36" r:id="rId19" xr:uid="{8AC0317B-8C39-404C-B0B9-8E1C671E5BB5}"/>
    <hyperlink ref="K33" r:id="rId20" xr:uid="{B374C52E-2253-4515-8689-28CEA17E3F3B}"/>
    <hyperlink ref="K6" r:id="rId21" xr:uid="{7741D322-6023-4BE3-8288-174132B8D52B}"/>
    <hyperlink ref="K7" r:id="rId22" xr:uid="{3AD7BE22-15F6-48C9-880B-A25F636F13A1}"/>
    <hyperlink ref="K8" r:id="rId23" xr:uid="{41FAD105-937B-4966-9AC6-788FBD1542E5}"/>
  </hyperlinks>
  <pageMargins left="0.7" right="0.7" top="0.75" bottom="0.75" header="0.3" footer="0.3"/>
  <pageSetup paperSize="5" scale="47" fitToHeight="0" orientation="landscape" r:id="rId24"/>
  <tableParts count="1">
    <tablePart r:id="rId25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739E2300-5319-4BEC-BE5F-26D239E98D65}">
          <x14:formula1>
            <xm:f>Validation!$D$3:$D$31</xm:f>
          </x14:formula1>
          <xm:sqref>B6:B64</xm:sqref>
        </x14:dataValidation>
        <x14:dataValidation type="list" allowBlank="1" showInputMessage="1" xr:uid="{4C60F416-3593-4230-9C7C-B90F22287930}">
          <x14:formula1>
            <xm:f>Validation!$C$3:$C$14</xm:f>
          </x14:formula1>
          <xm:sqref>M66:M68 M6:M64</xm:sqref>
        </x14:dataValidation>
        <x14:dataValidation type="list" allowBlank="1" showInputMessage="1" showErrorMessage="1" xr:uid="{86A4BAE0-76C0-4C74-B71B-0C692A5A9585}">
          <x14:formula1>
            <xm:f>Validation!$B$3:$B$14</xm:f>
          </x14:formula1>
          <xm:sqref>L66:L68 L6:L64</xm:sqref>
        </x14:dataValidation>
        <x14:dataValidation type="list" allowBlank="1" showInputMessage="1" xr:uid="{7BA7A4B6-B2DF-484D-BC3A-2D4D6BA85957}">
          <x14:formula1>
            <xm:f>Validation!$L$3:$L$39</xm:f>
          </x14:formula1>
          <xm:sqref>A6:A64</xm:sqref>
        </x14:dataValidation>
        <x14:dataValidation type="list" allowBlank="1" showInputMessage="1" xr:uid="{E50765AA-ACAC-40D9-A8C7-F1E623BD1241}">
          <x14:formula1>
            <xm:f>Validation!$H$3:$H$7</xm:f>
          </x14:formula1>
          <xm:sqref>E6:E64</xm:sqref>
        </x14:dataValidation>
        <x14:dataValidation type="list" allowBlank="1" showInputMessage="1" xr:uid="{82FAA738-F2FD-4D59-8203-2F2956273C89}">
          <x14:formula1>
            <xm:f>Validation!$G$3:$G$13</xm:f>
          </x14:formula1>
          <xm:sqref>H6:H64</xm:sqref>
        </x14:dataValidation>
        <x14:dataValidation type="list" allowBlank="1" showInputMessage="1" xr:uid="{9BF030DD-D5F8-4CDF-9406-830582694348}">
          <x14:formula1>
            <xm:f>Validation!$J$3:$J$11</xm:f>
          </x14:formula1>
          <xm:sqref>G6:G64</xm:sqref>
        </x14:dataValidation>
        <x14:dataValidation type="list" allowBlank="1" showInputMessage="1" xr:uid="{1CF9FCB2-9BCE-437B-88EA-50FBE3998479}">
          <x14:formula1>
            <xm:f>Validation!$I$3:$I$12</xm:f>
          </x14:formula1>
          <xm:sqref>F6:F64</xm:sqref>
        </x14:dataValidation>
        <x14:dataValidation type="list" allowBlank="1" showInputMessage="1" xr:uid="{7FA49014-20EA-4859-91F6-0E7B6056C283}">
          <x14:formula1>
            <xm:f>Validation!$N$3:$N$16</xm:f>
          </x14:formula1>
          <xm:sqref>D6:D64</xm:sqref>
        </x14:dataValidation>
        <x14:dataValidation type="list" allowBlank="1" showInputMessage="1" showErrorMessage="1" xr:uid="{2EB27CB6-BD5B-4686-8260-79D923C4169D}">
          <x14:formula1>
            <xm:f>Validation!$O$3:$O$4</xm:f>
          </x14:formula1>
          <xm:sqref>S6:S64</xm:sqref>
        </x14:dataValidation>
        <x14:dataValidation type="list" allowBlank="1" showInputMessage="1" showErrorMessage="1" xr:uid="{AEAAEC0C-8408-460E-AD49-529CE02B4C05}">
          <x14:formula1>
            <xm:f>Validation!$D$3:$D$100</xm:f>
          </x14:formula1>
          <xm:sqref>B66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Y51"/>
  <sheetViews>
    <sheetView zoomScaleNormal="100" workbookViewId="0">
      <pane xSplit="2" ySplit="3" topLeftCell="BN4" activePane="bottomRight" state="frozen"/>
      <selection pane="bottomRight" activeCell="BZ1" sqref="BZ1:CB1048576"/>
      <selection pane="bottomLeft" activeCell="A4" sqref="A4"/>
      <selection pane="topRight" activeCell="C1" sqref="C1"/>
    </sheetView>
  </sheetViews>
  <sheetFormatPr defaultColWidth="8.7109375" defaultRowHeight="14.45"/>
  <cols>
    <col min="1" max="1" width="13.5703125" customWidth="1"/>
    <col min="2" max="2" width="22.42578125" bestFit="1" customWidth="1"/>
    <col min="3" max="3" width="10.140625" hidden="1" customWidth="1"/>
    <col min="4" max="4" width="11" hidden="1" customWidth="1"/>
    <col min="5" max="5" width="11.42578125" hidden="1" customWidth="1"/>
    <col min="6" max="6" width="10.85546875" hidden="1" customWidth="1"/>
    <col min="7" max="7" width="11.5703125" hidden="1" customWidth="1"/>
    <col min="8" max="8" width="11.42578125" hidden="1" customWidth="1"/>
    <col min="9" max="9" width="9.5703125" hidden="1" customWidth="1"/>
    <col min="10" max="10" width="11.42578125" hidden="1" customWidth="1"/>
    <col min="11" max="11" width="12.140625" hidden="1" customWidth="1"/>
    <col min="12" max="12" width="9.85546875" hidden="1" customWidth="1"/>
    <col min="13" max="13" width="11.85546875" hidden="1" customWidth="1"/>
    <col min="14" max="14" width="11.42578125" hidden="1" customWidth="1"/>
    <col min="15" max="15" width="9.5703125" hidden="1" customWidth="1"/>
    <col min="16" max="16" width="12.5703125" hidden="1" customWidth="1"/>
    <col min="17" max="17" width="11" hidden="1" customWidth="1"/>
    <col min="18" max="18" width="10.42578125" hidden="1" customWidth="1"/>
    <col min="19" max="20" width="12" hidden="1" customWidth="1"/>
    <col min="21" max="21" width="10.42578125" hidden="1" customWidth="1"/>
    <col min="22" max="22" width="12.140625" hidden="1" customWidth="1"/>
    <col min="23" max="23" width="12.42578125" hidden="1" customWidth="1"/>
    <col min="24" max="24" width="10.42578125" hidden="1" customWidth="1"/>
    <col min="25" max="25" width="10.85546875" hidden="1" customWidth="1"/>
    <col min="26" max="26" width="11.5703125" hidden="1" customWidth="1"/>
    <col min="27" max="27" width="9.85546875" hidden="1" customWidth="1"/>
    <col min="28" max="28" width="14.5703125" hidden="1" customWidth="1"/>
    <col min="29" max="29" width="11.42578125" hidden="1" customWidth="1"/>
    <col min="30" max="30" width="9.42578125" hidden="1" customWidth="1"/>
    <col min="31" max="32" width="11.5703125" hidden="1" customWidth="1"/>
    <col min="33" max="33" width="10.5703125" hidden="1" customWidth="1"/>
    <col min="34" max="34" width="10.85546875" hidden="1" customWidth="1"/>
    <col min="35" max="35" width="11.140625" hidden="1" customWidth="1"/>
    <col min="36" max="36" width="10.42578125" hidden="1" customWidth="1"/>
    <col min="37" max="38" width="11.42578125" hidden="1" customWidth="1"/>
    <col min="39" max="39" width="11" hidden="1" customWidth="1"/>
    <col min="40" max="40" width="11.42578125" hidden="1" customWidth="1"/>
    <col min="41" max="41" width="15.5703125" hidden="1" customWidth="1"/>
    <col min="42" max="42" width="16" customWidth="1"/>
    <col min="43" max="43" width="11" bestFit="1" customWidth="1"/>
    <col min="44" max="44" width="11.42578125" customWidth="1"/>
    <col min="45" max="45" width="10.85546875" customWidth="1"/>
    <col min="46" max="46" width="11.5703125" customWidth="1"/>
    <col min="47" max="47" width="11.42578125" customWidth="1"/>
    <col min="48" max="48" width="14.42578125" bestFit="1" customWidth="1"/>
    <col min="49" max="49" width="11.42578125" customWidth="1"/>
    <col min="50" max="50" width="12.140625" customWidth="1"/>
    <col min="51" max="51" width="9.85546875" customWidth="1"/>
    <col min="52" max="52" width="11.85546875" customWidth="1"/>
    <col min="53" max="53" width="11.42578125" customWidth="1"/>
    <col min="54" max="54" width="9.5703125" customWidth="1"/>
    <col min="55" max="55" width="12.5703125" customWidth="1"/>
    <col min="56" max="56" width="12.5703125" bestFit="1" customWidth="1"/>
    <col min="57" max="57" width="10.42578125" customWidth="1"/>
    <col min="58" max="59" width="12" customWidth="1"/>
    <col min="60" max="60" width="10.42578125" customWidth="1"/>
    <col min="61" max="61" width="12.140625" customWidth="1"/>
    <col min="62" max="62" width="12.42578125" customWidth="1"/>
    <col min="63" max="63" width="10.42578125" customWidth="1"/>
    <col min="64" max="64" width="10.85546875" customWidth="1"/>
    <col min="65" max="65" width="11.5703125" customWidth="1"/>
    <col min="66" max="66" width="13.42578125" bestFit="1" customWidth="1"/>
    <col min="67" max="67" width="14.5703125" customWidth="1"/>
    <col min="68" max="68" width="11.42578125" customWidth="1"/>
    <col min="69" max="69" width="12.85546875" bestFit="1" customWidth="1"/>
    <col min="70" max="71" width="11.5703125" customWidth="1"/>
    <col min="72" max="72" width="12.85546875" bestFit="1" customWidth="1"/>
    <col min="73" max="73" width="10.85546875" customWidth="1"/>
    <col min="74" max="74" width="11.140625" customWidth="1"/>
    <col min="75" max="75" width="13.42578125" bestFit="1" customWidth="1"/>
    <col min="76" max="98" width="11.42578125" customWidth="1"/>
    <col min="99" max="99" width="16.5703125" bestFit="1" customWidth="1"/>
    <col min="100" max="100" width="11.42578125" customWidth="1"/>
    <col min="101" max="101" width="15.5703125" customWidth="1"/>
    <col min="102" max="102" width="13.42578125" bestFit="1" customWidth="1"/>
    <col min="103" max="103" width="9.5703125" bestFit="1" customWidth="1"/>
  </cols>
  <sheetData>
    <row r="1" spans="1:103">
      <c r="B1" s="1" t="s">
        <v>482</v>
      </c>
      <c r="C1" s="7">
        <v>2018</v>
      </c>
      <c r="D1" s="35"/>
      <c r="E1" s="36"/>
      <c r="F1" s="7">
        <v>2018</v>
      </c>
      <c r="G1" s="35"/>
      <c r="H1" s="36"/>
      <c r="I1" s="7">
        <v>2018</v>
      </c>
      <c r="J1" s="35"/>
      <c r="K1" s="36"/>
      <c r="L1" s="7">
        <v>2018</v>
      </c>
      <c r="M1" s="35"/>
      <c r="N1" s="36"/>
      <c r="O1" s="7">
        <v>2018</v>
      </c>
      <c r="P1" s="35"/>
      <c r="Q1" s="36"/>
      <c r="R1" s="7">
        <v>2018</v>
      </c>
      <c r="S1" s="35"/>
      <c r="T1" s="36"/>
      <c r="U1" s="7">
        <v>2018</v>
      </c>
      <c r="V1" s="35"/>
      <c r="W1" s="36"/>
      <c r="X1" s="7">
        <v>2018</v>
      </c>
      <c r="Y1" s="35"/>
      <c r="Z1" s="36"/>
      <c r="AA1" s="7">
        <v>2018</v>
      </c>
      <c r="AB1" s="35"/>
      <c r="AC1" s="36"/>
      <c r="AD1" s="7">
        <v>2018</v>
      </c>
      <c r="AE1" s="35"/>
      <c r="AF1" s="36"/>
      <c r="AG1" s="7">
        <v>2018</v>
      </c>
      <c r="AH1" s="35"/>
      <c r="AI1" s="36"/>
      <c r="AJ1" s="7">
        <v>2018</v>
      </c>
      <c r="AK1" s="35"/>
      <c r="AL1" s="36"/>
      <c r="AM1" s="7">
        <v>2018</v>
      </c>
      <c r="AN1" s="35"/>
      <c r="AO1" s="36"/>
      <c r="AP1" s="7">
        <v>2019</v>
      </c>
      <c r="AQ1" s="35"/>
      <c r="AR1" s="36"/>
      <c r="AS1" s="7">
        <v>2019</v>
      </c>
      <c r="AT1" s="35"/>
      <c r="AU1" s="36"/>
      <c r="AV1" s="7">
        <v>2019</v>
      </c>
      <c r="AW1" s="35"/>
      <c r="AX1" s="36"/>
      <c r="AY1" s="7">
        <v>2019</v>
      </c>
      <c r="AZ1" s="35"/>
      <c r="BA1" s="36"/>
      <c r="BB1" s="7">
        <v>2019</v>
      </c>
      <c r="BC1" s="35"/>
      <c r="BD1" s="36"/>
      <c r="BE1" s="7">
        <v>2019</v>
      </c>
      <c r="BF1" s="35"/>
      <c r="BG1" s="36"/>
      <c r="BH1" s="7">
        <v>2019</v>
      </c>
      <c r="BI1" s="35"/>
      <c r="BJ1" s="36"/>
      <c r="BK1" s="7">
        <v>2019</v>
      </c>
      <c r="BL1" s="35"/>
      <c r="BM1" s="36"/>
      <c r="BN1" s="7">
        <v>2019</v>
      </c>
      <c r="BO1" s="35"/>
      <c r="BP1" s="36"/>
      <c r="BQ1" s="7">
        <v>2019</v>
      </c>
      <c r="BR1" s="35"/>
      <c r="BS1" s="36"/>
      <c r="BT1" s="7">
        <v>2019</v>
      </c>
      <c r="BU1" s="35"/>
      <c r="BV1" s="36"/>
      <c r="BW1" s="7">
        <v>2019</v>
      </c>
      <c r="BX1" s="35"/>
      <c r="BY1" s="36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7">
        <v>2019</v>
      </c>
      <c r="CV1" s="35"/>
      <c r="CW1" s="36"/>
    </row>
    <row r="2" spans="1:103">
      <c r="B2" s="43" t="s">
        <v>483</v>
      </c>
      <c r="C2" s="7" t="s">
        <v>93</v>
      </c>
      <c r="D2" s="35"/>
      <c r="E2" s="36"/>
      <c r="F2" s="7" t="s">
        <v>80</v>
      </c>
      <c r="G2" s="35"/>
      <c r="H2" s="36"/>
      <c r="I2" s="7" t="s">
        <v>230</v>
      </c>
      <c r="J2" s="35"/>
      <c r="K2" s="36"/>
      <c r="L2" s="7" t="s">
        <v>139</v>
      </c>
      <c r="M2" s="35"/>
      <c r="N2" s="36"/>
      <c r="O2" s="7" t="s">
        <v>89</v>
      </c>
      <c r="P2" s="35"/>
      <c r="Q2" s="36"/>
      <c r="R2" s="7" t="s">
        <v>222</v>
      </c>
      <c r="S2" s="35"/>
      <c r="T2" s="36"/>
      <c r="U2" s="7" t="s">
        <v>219</v>
      </c>
      <c r="V2" s="35"/>
      <c r="W2" s="36"/>
      <c r="X2" s="7" t="s">
        <v>84</v>
      </c>
      <c r="Y2" s="35"/>
      <c r="Z2" s="36"/>
      <c r="AA2" s="7" t="s">
        <v>229</v>
      </c>
      <c r="AB2" s="35"/>
      <c r="AC2" s="36"/>
      <c r="AD2" s="7" t="s">
        <v>102</v>
      </c>
      <c r="AE2" s="35"/>
      <c r="AF2" s="36"/>
      <c r="AG2" s="7" t="s">
        <v>231</v>
      </c>
      <c r="AH2" s="35"/>
      <c r="AI2" s="36"/>
      <c r="AJ2" s="7" t="s">
        <v>68</v>
      </c>
      <c r="AK2" s="35"/>
      <c r="AL2" s="36"/>
      <c r="AM2" s="40" t="s">
        <v>301</v>
      </c>
      <c r="AN2" s="41"/>
      <c r="AO2" s="42"/>
      <c r="AP2" s="7" t="s">
        <v>93</v>
      </c>
      <c r="AQ2" s="35"/>
      <c r="AR2" s="36"/>
      <c r="AS2" s="7" t="s">
        <v>80</v>
      </c>
      <c r="AT2" s="35"/>
      <c r="AU2" s="36"/>
      <c r="AV2" s="7" t="s">
        <v>230</v>
      </c>
      <c r="AW2" s="35"/>
      <c r="AX2" s="36"/>
      <c r="AY2" s="7" t="s">
        <v>139</v>
      </c>
      <c r="AZ2" s="35"/>
      <c r="BA2" s="36"/>
      <c r="BB2" s="7" t="s">
        <v>89</v>
      </c>
      <c r="BC2" s="35"/>
      <c r="BD2" s="36"/>
      <c r="BE2" s="7" t="s">
        <v>222</v>
      </c>
      <c r="BF2" s="35"/>
      <c r="BG2" s="36"/>
      <c r="BH2" s="7" t="s">
        <v>219</v>
      </c>
      <c r="BI2" s="35"/>
      <c r="BJ2" s="36"/>
      <c r="BK2" s="7" t="s">
        <v>84</v>
      </c>
      <c r="BL2" s="35"/>
      <c r="BM2" s="36"/>
      <c r="BN2" s="7" t="s">
        <v>229</v>
      </c>
      <c r="BO2" s="35"/>
      <c r="BP2" s="36"/>
      <c r="BQ2" s="7" t="s">
        <v>102</v>
      </c>
      <c r="BR2" s="35"/>
      <c r="BS2" s="36"/>
      <c r="BT2" s="7" t="s">
        <v>231</v>
      </c>
      <c r="BU2" s="35"/>
      <c r="BV2" s="36"/>
      <c r="BW2" s="7" t="s">
        <v>68</v>
      </c>
      <c r="BX2" s="35"/>
      <c r="BY2" s="36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40" t="s">
        <v>301</v>
      </c>
      <c r="CV2" s="41"/>
      <c r="CW2" s="42"/>
      <c r="CX2" t="s">
        <v>302</v>
      </c>
      <c r="CY2" t="s">
        <v>303</v>
      </c>
    </row>
    <row r="3" spans="1:103" ht="43.15">
      <c r="A3" s="7" t="s">
        <v>11</v>
      </c>
      <c r="B3" s="34" t="s">
        <v>304</v>
      </c>
      <c r="C3" s="32" t="s">
        <v>28</v>
      </c>
      <c r="D3" s="33" t="s">
        <v>305</v>
      </c>
      <c r="E3" s="34" t="s">
        <v>306</v>
      </c>
      <c r="F3" s="32" t="s">
        <v>28</v>
      </c>
      <c r="G3" s="33" t="s">
        <v>305</v>
      </c>
      <c r="H3" s="34" t="s">
        <v>306</v>
      </c>
      <c r="I3" s="32" t="s">
        <v>28</v>
      </c>
      <c r="J3" s="33" t="s">
        <v>305</v>
      </c>
      <c r="K3" s="34" t="s">
        <v>306</v>
      </c>
      <c r="L3" s="32" t="s">
        <v>28</v>
      </c>
      <c r="M3" s="33" t="s">
        <v>305</v>
      </c>
      <c r="N3" s="34" t="s">
        <v>306</v>
      </c>
      <c r="O3" s="32" t="s">
        <v>28</v>
      </c>
      <c r="P3" s="33" t="s">
        <v>305</v>
      </c>
      <c r="Q3" s="34" t="s">
        <v>306</v>
      </c>
      <c r="R3" s="32" t="s">
        <v>28</v>
      </c>
      <c r="S3" s="33" t="s">
        <v>305</v>
      </c>
      <c r="T3" s="34" t="s">
        <v>306</v>
      </c>
      <c r="U3" s="32" t="s">
        <v>28</v>
      </c>
      <c r="V3" s="33" t="s">
        <v>305</v>
      </c>
      <c r="W3" s="34" t="s">
        <v>306</v>
      </c>
      <c r="X3" s="32" t="s">
        <v>28</v>
      </c>
      <c r="Y3" s="33" t="s">
        <v>305</v>
      </c>
      <c r="Z3" s="34" t="s">
        <v>306</v>
      </c>
      <c r="AA3" s="32" t="s">
        <v>28</v>
      </c>
      <c r="AB3" s="33" t="s">
        <v>305</v>
      </c>
      <c r="AC3" s="34" t="s">
        <v>306</v>
      </c>
      <c r="AD3" s="32" t="s">
        <v>28</v>
      </c>
      <c r="AE3" s="33" t="s">
        <v>305</v>
      </c>
      <c r="AF3" s="34" t="s">
        <v>306</v>
      </c>
      <c r="AG3" s="32" t="s">
        <v>28</v>
      </c>
      <c r="AH3" s="33" t="s">
        <v>305</v>
      </c>
      <c r="AI3" s="34" t="s">
        <v>306</v>
      </c>
      <c r="AJ3" s="32" t="s">
        <v>28</v>
      </c>
      <c r="AK3" s="33" t="s">
        <v>305</v>
      </c>
      <c r="AL3" s="34" t="s">
        <v>306</v>
      </c>
      <c r="AM3" s="37" t="s">
        <v>28</v>
      </c>
      <c r="AN3" s="38" t="s">
        <v>305</v>
      </c>
      <c r="AO3" s="39" t="s">
        <v>306</v>
      </c>
      <c r="AP3" s="32" t="s">
        <v>28</v>
      </c>
      <c r="AQ3" s="33" t="s">
        <v>305</v>
      </c>
      <c r="AR3" s="34" t="s">
        <v>306</v>
      </c>
      <c r="AS3" s="32" t="s">
        <v>28</v>
      </c>
      <c r="AT3" s="33" t="s">
        <v>305</v>
      </c>
      <c r="AU3" s="34" t="s">
        <v>306</v>
      </c>
      <c r="AV3" s="32" t="s">
        <v>28</v>
      </c>
      <c r="AW3" s="33" t="s">
        <v>305</v>
      </c>
      <c r="AX3" s="34" t="s">
        <v>306</v>
      </c>
      <c r="AY3" s="32" t="s">
        <v>28</v>
      </c>
      <c r="AZ3" s="33" t="s">
        <v>305</v>
      </c>
      <c r="BA3" s="34" t="s">
        <v>306</v>
      </c>
      <c r="BB3" s="32" t="s">
        <v>28</v>
      </c>
      <c r="BC3" s="33" t="s">
        <v>305</v>
      </c>
      <c r="BD3" s="34" t="s">
        <v>306</v>
      </c>
      <c r="BE3" s="32" t="s">
        <v>28</v>
      </c>
      <c r="BF3" s="33" t="s">
        <v>305</v>
      </c>
      <c r="BG3" s="34" t="s">
        <v>306</v>
      </c>
      <c r="BH3" s="32" t="s">
        <v>28</v>
      </c>
      <c r="BI3" s="33" t="s">
        <v>305</v>
      </c>
      <c r="BJ3" s="34" t="s">
        <v>306</v>
      </c>
      <c r="BK3" s="32" t="s">
        <v>28</v>
      </c>
      <c r="BL3" s="33" t="s">
        <v>305</v>
      </c>
      <c r="BM3" s="34" t="s">
        <v>306</v>
      </c>
      <c r="BN3" s="32" t="s">
        <v>28</v>
      </c>
      <c r="BO3" s="33" t="s">
        <v>305</v>
      </c>
      <c r="BP3" s="34" t="s">
        <v>306</v>
      </c>
      <c r="BQ3" s="32" t="s">
        <v>28</v>
      </c>
      <c r="BR3" s="33" t="s">
        <v>305</v>
      </c>
      <c r="BS3" s="34" t="s">
        <v>306</v>
      </c>
      <c r="BT3" s="32" t="s">
        <v>28</v>
      </c>
      <c r="BU3" s="33" t="s">
        <v>305</v>
      </c>
      <c r="BV3" s="34" t="s">
        <v>306</v>
      </c>
      <c r="BW3" s="32" t="s">
        <v>28</v>
      </c>
      <c r="BX3" s="33" t="s">
        <v>305</v>
      </c>
      <c r="BY3" s="34" t="s">
        <v>306</v>
      </c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7" t="s">
        <v>28</v>
      </c>
      <c r="CV3" s="38" t="s">
        <v>305</v>
      </c>
      <c r="CW3" s="39" t="s">
        <v>306</v>
      </c>
    </row>
    <row r="4" spans="1:103">
      <c r="A4" s="22" t="s">
        <v>57</v>
      </c>
      <c r="B4" s="49" t="s">
        <v>225</v>
      </c>
      <c r="C4" s="26">
        <f>SUMIFS(Table4[Rev. Based on PROB],Table4[Installation],$B4,Table4[Projected 
Year],C$1,Table4[Projected 
Month],C$2)</f>
        <v>0</v>
      </c>
      <c r="D4" s="157">
        <f>SUMPRODUCT(Table4[Probability]*Table4[Rev. Based on PROB]*(Table4[Installation]=$B4)*(Table4[Projected 
Year]=C$1)*(Table4[Projected 
Month]=C$2))/MAX(1,SUMPRODUCT(Table4[Rev. Based on PROB]*(Table4[Installation]=$B4)*(Table4[Projected 
Year]=C$1)*(Table4[Projected 
Month]=C$2)))</f>
        <v>0</v>
      </c>
      <c r="E4" s="158">
        <f>SUMPRODUCT(Table4[Rev. Based on PROB]*Table4[Expected CMR]*(Table4[Projected 
Year]=C$1)*(Table4[Projected 
Month]=C$2)*(Table4[Installation]=$B4))/MAX(1,C4)</f>
        <v>0</v>
      </c>
      <c r="F4" s="26">
        <f>SUMIFS(Table4[Rev. Based on PROB],Table4[Installation],$B4,Table4[Projected 
Year],F$1,Table4[Projected 
Month],F$2)</f>
        <v>0</v>
      </c>
      <c r="G4" s="157">
        <f>SUMPRODUCT(Table4[Probability]*Table4[Rev. Based on PROB]*(Table4[Installation]=$B4)*(Table4[Projected 
Year]=F$1)*(Table4[Projected 
Month]=F$2))/MAX(1,SUMPRODUCT(Table4[Rev. Based on PROB]*(Table4[Installation]=$B4)*(Table4[Projected 
Year]=F$1)*(Table4[Projected 
Month]=F$2)))</f>
        <v>0</v>
      </c>
      <c r="H4" s="158">
        <f>SUMPRODUCT(Table4[Rev. Based on PROB]*Table4[Expected CMR]*(Table4[Projected 
Year]=F$1)*(Table4[Projected 
Month]=F$2)*(Table4[Installation]=$B4))/MAX(1,F4)</f>
        <v>0</v>
      </c>
      <c r="I4" s="26">
        <f>SUMIFS(Table4[Rev. Based on PROB],Table4[Installation],$B4,Table4[Projected 
Year],I$1,Table4[Projected 
Month],I$2)</f>
        <v>0</v>
      </c>
      <c r="J4" s="157">
        <f>SUMPRODUCT(Table4[Probability]*Table4[Rev. Based on PROB]*(Table4[Installation]=$B4)*(Table4[Projected 
Year]=I$1)*(Table4[Projected 
Month]=I$2))/MAX(1,SUMPRODUCT(Table4[Rev. Based on PROB]*(Table4[Installation]=$B4)*(Table4[Projected 
Year]=I$1)*(Table4[Projected 
Month]=I$2)))</f>
        <v>0</v>
      </c>
      <c r="K4" s="158">
        <f>SUMPRODUCT(Table4[Rev. Based on PROB]*Table4[Expected CMR]*(Table4[Projected 
Year]=I$1)*(Table4[Projected 
Month]=I$2)*(Table4[Installation]=$B4))/MAX(1,I4)</f>
        <v>0</v>
      </c>
      <c r="L4" s="26">
        <f>SUMIFS(Table4[Rev. Based on PROB],Table4[Installation],$B4,Table4[Projected 
Year],L$1,Table4[Projected 
Month],L$2)</f>
        <v>0</v>
      </c>
      <c r="M4" s="157">
        <f>SUMPRODUCT(Table4[Probability]*Table4[Rev. Based on PROB]*(Table4[Installation]=$B4)*(Table4[Projected 
Year]=L$1)*(Table4[Projected 
Month]=L$2))/MAX(1,SUMPRODUCT(Table4[Rev. Based on PROB]*(Table4[Installation]=$B4)*(Table4[Projected 
Year]=L$1)*(Table4[Projected 
Month]=L$2)))</f>
        <v>0</v>
      </c>
      <c r="N4" s="158">
        <f>SUMPRODUCT(Table4[Rev. Based on PROB]*Table4[Expected CMR]*(Table4[Projected 
Year]=L$1)*(Table4[Projected 
Month]=L$2)*(Table4[Installation]=$B4))/MAX(1,L4)</f>
        <v>0</v>
      </c>
      <c r="O4" s="26">
        <f>SUMIFS(Table4[Rev. Based on PROB],Table4[Installation],$B4,Table4[Projected 
Year],O$1,Table4[Projected 
Month],O$2)</f>
        <v>0</v>
      </c>
      <c r="P4" s="157">
        <f>SUMPRODUCT(Table4[Probability]*Table4[Rev. Based on PROB]*(Table4[Installation]=$B4)*(Table4[Projected 
Year]=O$1)*(Table4[Projected 
Month]=O$2))/MAX(1,SUMPRODUCT(Table4[Rev. Based on PROB]*(Table4[Installation]=$B4)*(Table4[Projected 
Year]=O$1)*(Table4[Projected 
Month]=O$2)))</f>
        <v>0</v>
      </c>
      <c r="Q4" s="158">
        <f>SUMPRODUCT(Table4[Rev. Based on PROB]*Table4[Expected CMR]*(Table4[Projected 
Year]=O$1)*(Table4[Projected 
Month]=O$2)*(Table4[Installation]=$B4))/MAX(1,O4)</f>
        <v>0</v>
      </c>
      <c r="R4" s="26">
        <f>SUMIFS(Table4[Rev. Based on PROB],Table4[Installation],$B4,Table4[Projected 
Year],R$1,Table4[Projected 
Month],R$2)</f>
        <v>0</v>
      </c>
      <c r="S4" s="157">
        <f>SUMPRODUCT(Table4[Probability]*Table4[Rev. Based on PROB]*(Table4[Installation]=$B4)*(Table4[Projected 
Year]=R$1)*(Table4[Projected 
Month]=R$2))/MAX(1,SUMPRODUCT(Table4[Rev. Based on PROB]*(Table4[Installation]=$B4)*(Table4[Projected 
Year]=R$1)*(Table4[Projected 
Month]=R$2)))</f>
        <v>0</v>
      </c>
      <c r="T4" s="158">
        <f>SUMPRODUCT(Table4[Rev. Based on PROB]*Table4[Expected CMR]*(Table4[Projected 
Year]=R$1)*(Table4[Projected 
Month]=R$2)*(Table4[Installation]=$B4))/MAX(1,R4)</f>
        <v>0</v>
      </c>
      <c r="U4" s="26">
        <f>SUMIFS(Table4[Rev. Based on PROB],Table4[Installation],$B4,Table4[Projected 
Year],U$1,Table4[Projected 
Month],U$2)</f>
        <v>0</v>
      </c>
      <c r="V4" s="157">
        <f>SUMPRODUCT(Table4[Probability]*Table4[Rev. Based on PROB]*(Table4[Installation]=$B4)*(Table4[Projected 
Year]=U$1)*(Table4[Projected 
Month]=U$2))/MAX(1,SUMPRODUCT(Table4[Rev. Based on PROB]*(Table4[Installation]=$B4)*(Table4[Projected 
Year]=U$1)*(Table4[Projected 
Month]=U$2)))</f>
        <v>0</v>
      </c>
      <c r="W4" s="158">
        <f>SUMPRODUCT(Table4[Rev. Based on PROB]*Table4[Expected CMR]*(Table4[Projected 
Year]=U$1)*(Table4[Projected 
Month]=U$2)*(Table4[Installation]=$B4))/MAX(1,U4)</f>
        <v>0</v>
      </c>
      <c r="X4" s="26">
        <f>SUMIFS(Table4[Rev. Based on PROB],Table4[Installation],$B4,Table4[Projected 
Year],X$1,Table4[Projected 
Month],X$2)</f>
        <v>0</v>
      </c>
      <c r="Y4" s="157">
        <f>SUMPRODUCT(Table4[Probability]*Table4[Rev. Based on PROB]*(Table4[Installation]=$B4)*(Table4[Projected 
Year]=X$1)*(Table4[Projected 
Month]=X$2))/MAX(1,SUMPRODUCT(Table4[Rev. Based on PROB]*(Table4[Installation]=$B4)*(Table4[Projected 
Year]=X$1)*(Table4[Projected 
Month]=X$2)))</f>
        <v>0</v>
      </c>
      <c r="Z4" s="158">
        <f>SUMPRODUCT(Table4[Rev. Based on PROB]*Table4[Expected CMR]*(Table4[Projected 
Year]=X$1)*(Table4[Projected 
Month]=X$2)*(Table4[Installation]=$B4))/MAX(1,X4)</f>
        <v>0</v>
      </c>
      <c r="AA4" s="26">
        <f>SUMIFS(Table4[Rev. Based on PROB],Table4[Installation],$B4,Table4[Projected 
Year],AA$1,Table4[Projected 
Month],AA$2)</f>
        <v>0</v>
      </c>
      <c r="AB4" s="157">
        <f>SUMPRODUCT(Table4[Probability]*Table4[Rev. Based on PROB]*(Table4[Installation]=$B4)*(Table4[Projected 
Year]=AA$1)*(Table4[Projected 
Month]=AA$2))/MAX(1,SUMPRODUCT(Table4[Rev. Based on PROB]*(Table4[Installation]=$B4)*(Table4[Projected 
Year]=AA$1)*(Table4[Projected 
Month]=AA$2)))</f>
        <v>0</v>
      </c>
      <c r="AC4" s="158">
        <f>SUMPRODUCT(Table4[Rev. Based on PROB]*Table4[Expected CMR]*(Table4[Projected 
Year]=AA$1)*(Table4[Projected 
Month]=AA$2)*(Table4[Installation]=$B4))/MAX(1,AA4)</f>
        <v>0</v>
      </c>
      <c r="AD4" s="26">
        <f>SUMIFS(Table4[Rev. Based on PROB],Table4[Installation],$B4,Table4[Projected 
Year],AD$1,Table4[Projected 
Month],AD$2)</f>
        <v>0</v>
      </c>
      <c r="AE4" s="157">
        <f>SUMPRODUCT(Table4[Probability]*Table4[Rev. Based on PROB]*(Table4[Installation]=$B4)*(Table4[Projected 
Year]=AD$1)*(Table4[Projected 
Month]=AD$2))/MAX(1,SUMPRODUCT(Table4[Rev. Based on PROB]*(Table4[Installation]=$B4)*(Table4[Projected 
Year]=AD$1)*(Table4[Projected 
Month]=AD$2)))</f>
        <v>0</v>
      </c>
      <c r="AF4" s="158">
        <f>SUMPRODUCT(Table4[Rev. Based on PROB]*Table4[Expected CMR]*(Table4[Projected 
Year]=AD$1)*(Table4[Projected 
Month]=AD$2)*(Table4[Installation]=$B4))/MAX(1,AD4)</f>
        <v>0</v>
      </c>
      <c r="AG4" s="26">
        <f>SUMIFS(Table4[Rev. Based on PROB],Table4[Installation],$B4,Table4[Projected 
Year],AG$1,Table4[Projected 
Month],AG$2)</f>
        <v>0</v>
      </c>
      <c r="AH4" s="157">
        <f>SUMPRODUCT(Table4[Probability]*Table4[Rev. Based on PROB]*(Table4[Installation]=$B4)*(Table4[Projected 
Year]=AG$1)*(Table4[Projected 
Month]=AG$2))/MAX(1,SUMPRODUCT(Table4[Rev. Based on PROB]*(Table4[Installation]=$B4)*(Table4[Projected 
Year]=AG$1)*(Table4[Projected 
Month]=AG$2)))</f>
        <v>0</v>
      </c>
      <c r="AI4" s="158">
        <f>SUMPRODUCT(Table4[Rev. Based on PROB]*Table4[Expected CMR]*(Table4[Projected 
Year]=AG$1)*(Table4[Projected 
Month]=AG$2)*(Table4[Installation]=$B4))/MAX(1,AG4)</f>
        <v>0</v>
      </c>
      <c r="AJ4" s="26">
        <f>SUMIFS(Table4[Rev. Based on PROB],Table4[Installation],$B4,Table4[Projected 
Year],AJ$1,Table4[Projected 
Month],AJ$2)</f>
        <v>0</v>
      </c>
      <c r="AK4" s="157">
        <f>SUMPRODUCT(Table4[Probability]*Table4[Rev. Based on PROB]*(Table4[Installation]=$B4)*(Table4[Projected 
Year]=AJ$1)*(Table4[Projected 
Month]=AJ$2))/MAX(1,SUMPRODUCT(Table4[Rev. Based on PROB]*(Table4[Installation]=$B4)*(Table4[Projected 
Year]=AJ$1)*(Table4[Projected 
Month]=AJ$2)))</f>
        <v>0</v>
      </c>
      <c r="AL4" s="158">
        <f>SUMPRODUCT(Table4[Rev. Based on PROB]*Table4[Expected CMR]*(Table4[Projected 
Year]=AJ$1)*(Table4[Projected 
Month]=AJ$2)*(Table4[Installation]=$B4))/MAX(1,AJ4)</f>
        <v>0</v>
      </c>
      <c r="AM4" s="29">
        <f>SUM($C4,$F4,$I4,$L4,$O4,$R4,$U4,$X4,$AA4,$AD4,$AG4,$AJ4)</f>
        <v>0</v>
      </c>
      <c r="AN4" s="50">
        <f>SUM($C4*D4,$F4*G4,$I4*J4,$L4*M4,$O4*P4,$R4*S4,$U4*V4,$X4*Y4,$AA4*AB4,$AD4*AE4,$AG4*AH4,$AJ4*AK4)/MAX(1,$AM4)</f>
        <v>0</v>
      </c>
      <c r="AO4" s="51">
        <f>SUM($C4*E4,$F4*H4,$I4*K4,$L4*N4,$O4*Q4,$R4*T4,$U4*W4,$X4*Z4,$AA4*AC4,$AD4*AF4,$AG4*AI4,$AJ4*AL4)/MAX(1,$AM4)</f>
        <v>0</v>
      </c>
      <c r="AP4" s="27">
        <f>SUMIFS(Table47[Rev. Based on PROB],Table47[Installation],$B4,Table47[Projected 
Year],AP$1,Table47[Monthly revenue],AP$2)</f>
        <v>0</v>
      </c>
      <c r="AQ4" s="157">
        <f>SUMPRODUCT(Table4[Probability]*Table4[Rev. Based on PROB]*(Table4[Installation]=$B4)*(Table4[Projected 
Year]=AP$1)*(Table4[Projected 
Month]=AP$2))/MAX(1,SUMPRODUCT(Table4[Rev. Based on PROB]*(Table4[Installation]=$B4)*(Table4[Projected 
Year]=AP$1)*(Table4[Projected 
Month]=AP$2)))</f>
        <v>0</v>
      </c>
      <c r="AR4" s="158">
        <f>SUMPRODUCT(Table4[Rev. Based on PROB]*Table4[Expected CMR]*(Table4[Projected 
Year]=AP$1)*(Table4[Projected 
Month]=AP$2)*(Table4[Installation]=$B4))/MAX(1,AP4)</f>
        <v>0</v>
      </c>
      <c r="AS4" s="27">
        <f>SUMIFS(Table47[Rev. Based on PROB],Table47[Installation],$B4,Table47[Projected 
Year],AS$1,Table47[Monthly revenue],AS$2)</f>
        <v>0</v>
      </c>
      <c r="AT4" s="157">
        <f>SUMPRODUCT(Table4[Probability]*Table4[Rev. Based on PROB]*(Table4[Installation]=$B4)*(Table4[Projected 
Year]=AS$1)*(Table4[Projected 
Month]=AS$2))/MAX(1,SUMPRODUCT(Table4[Rev. Based on PROB]*(Table4[Installation]=$B4)*(Table4[Projected 
Year]=AS$1)*(Table4[Projected 
Month]=AS$2)))</f>
        <v>0</v>
      </c>
      <c r="AU4" s="158">
        <f>SUMPRODUCT(Table4[Rev. Based on PROB]*Table4[Expected CMR]*(Table4[Projected 
Year]=AS$1)*(Table4[Projected 
Month]=AS$2)*(Table4[Installation]=$B4))/MAX(1,AS4)</f>
        <v>0</v>
      </c>
      <c r="AV4" s="27">
        <f>SUMIFS(Table47[Rev. Based on PROB],Table47[Installation],$B4,Table47[Projected 
Year],AV$1,Table47[Monthly revenue],AV$2)</f>
        <v>0</v>
      </c>
      <c r="AW4" s="157">
        <f>SUMPRODUCT(Table4[Probability]*Table4[Rev. Based on PROB]*(Table4[Installation]=$B4)*(Table4[Projected 
Year]=AV$1)*(Table4[Projected 
Month]=AV$2))/MAX(1,SUMPRODUCT(Table4[Rev. Based on PROB]*(Table4[Installation]=$B4)*(Table4[Projected 
Year]=AV$1)*(Table4[Projected 
Month]=AV$2)))</f>
        <v>0.9</v>
      </c>
      <c r="AX4" s="158">
        <f>SUMPRODUCT(Table4[Rev. Based on PROB]*Table4[Expected CMR]*(Table4[Projected 
Year]=AV$1)*(Table4[Projected 
Month]=AV$2)*(Table4[Installation]=$B4))/MAX(1,AV4)</f>
        <v>14400</v>
      </c>
      <c r="AY4" s="27">
        <f>SUMIFS(Table47[Rev. Based on PROB],Table47[Installation],$B4,Table47[Projected 
Year],AY$1,Table47[Monthly revenue],AY$2)</f>
        <v>0</v>
      </c>
      <c r="AZ4" s="157">
        <f>SUMPRODUCT(Table4[Probability]*Table4[Rev. Based on PROB]*(Table4[Installation]=$B4)*(Table4[Projected 
Year]=AY$1)*(Table4[Projected 
Month]=AY$2))/MAX(1,SUMPRODUCT(Table4[Rev. Based on PROB]*(Table4[Installation]=$B4)*(Table4[Projected 
Year]=AY$1)*(Table4[Projected 
Month]=AY$2)))</f>
        <v>0</v>
      </c>
      <c r="BA4" s="158">
        <f>SUMPRODUCT(Table4[Rev. Based on PROB]*Table4[Expected CMR]*(Table4[Projected 
Year]=AY$1)*(Table4[Projected 
Month]=AY$2)*(Table4[Installation]=$B4))/MAX(1,AY4)</f>
        <v>0</v>
      </c>
      <c r="BB4" s="27">
        <f>SUMIFS(Table47[Rev. Based on PROB],Table47[Installation],$B4,Table47[Projected 
Year],BB$1,Table47[Monthly revenue],BB$2)</f>
        <v>0</v>
      </c>
      <c r="BC4" s="157">
        <f>SUMPRODUCT(Table4[Probability]*Table4[Rev. Based on PROB]*(Table4[Installation]=$B4)*(Table4[Projected 
Year]=BB$1)*(Table4[Projected 
Month]=BB$2))/MAX(1,SUMPRODUCT(Table4[Rev. Based on PROB]*(Table4[Installation]=$B4)*(Table4[Projected 
Year]=BB$1)*(Table4[Projected 
Month]=BB$2)))</f>
        <v>1</v>
      </c>
      <c r="BD4" s="158">
        <f>SUMPRODUCT(Table4[Rev. Based on PROB]*Table4[Expected CMR]*(Table4[Projected 
Year]=BB$1)*(Table4[Projected 
Month]=BB$2)*(Table4[Installation]=$B4))/MAX(1,BB4)</f>
        <v>150000</v>
      </c>
      <c r="BE4" s="27">
        <f>SUMIFS(Table47[Rev. Based on PROB],Table47[Installation],$B4,Table47[Projected 
Year],BE$1,Table47[Monthly revenue],BE$2)</f>
        <v>0</v>
      </c>
      <c r="BF4" s="157">
        <f>SUMPRODUCT(Table4[Probability]*Table4[Rev. Based on PROB]*(Table4[Installation]=$B4)*(Table4[Projected 
Year]=BE$1)*(Table4[Projected 
Month]=BE$2))/MAX(1,SUMPRODUCT(Table4[Rev. Based on PROB]*(Table4[Installation]=$B4)*(Table4[Projected 
Year]=BE$1)*(Table4[Projected 
Month]=BE$2)))</f>
        <v>0</v>
      </c>
      <c r="BG4" s="158">
        <f>SUMPRODUCT(Table4[Rev. Based on PROB]*Table4[Expected CMR]*(Table4[Projected 
Year]=BE$1)*(Table4[Projected 
Month]=BE$2)*(Table4[Installation]=$B4))/MAX(1,BE4)</f>
        <v>0</v>
      </c>
      <c r="BH4" s="27">
        <f>SUMIFS(Table47[Rev. Based on PROB],Table47[Installation],$B4,Table47[Projected 
Year],BH$1,Table47[Monthly revenue],BH$2)</f>
        <v>0</v>
      </c>
      <c r="BI4" s="157">
        <f>SUMPRODUCT(Table4[Probability]*Table4[Rev. Based on PROB]*(Table4[Installation]=$B4)*(Table4[Projected 
Year]=BH$1)*(Table4[Projected 
Month]=BH$2))/MAX(1,SUMPRODUCT(Table4[Rev. Based on PROB]*(Table4[Installation]=$B4)*(Table4[Projected 
Year]=BH$1)*(Table4[Projected 
Month]=BH$2)))</f>
        <v>0</v>
      </c>
      <c r="BJ4" s="158">
        <f>SUMPRODUCT(Table4[Rev. Based on PROB]*Table4[Expected CMR]*(Table4[Projected 
Year]=BH$1)*(Table4[Projected 
Month]=BH$2)*(Table4[Installation]=$B4))/MAX(1,BH4)</f>
        <v>0</v>
      </c>
      <c r="BK4" s="27">
        <f>SUMIFS(Table47[Rev. Based on PROB],Table47[Installation],$B4,Table47[Projected 
Year],BK$1,Table47[Monthly revenue],BK$2)</f>
        <v>0</v>
      </c>
      <c r="BL4" s="157">
        <f>SUMPRODUCT(Table4[Probability]*Table4[Rev. Based on PROB]*(Table4[Installation]=$B4)*(Table4[Projected 
Year]=BK$1)*(Table4[Projected 
Month]=BK$2))/MAX(1,SUMPRODUCT(Table4[Rev. Based on PROB]*(Table4[Installation]=$B4)*(Table4[Projected 
Year]=BK$1)*(Table4[Projected 
Month]=BK$2)))</f>
        <v>0</v>
      </c>
      <c r="BM4" s="158">
        <f>SUMPRODUCT(Table4[Rev. Based on PROB]*Table4[Expected CMR]*(Table4[Projected 
Year]=BK$1)*(Table4[Projected 
Month]=BK$2)*(Table4[Installation]=$B4))/MAX(1,BK4)</f>
        <v>0</v>
      </c>
      <c r="BN4" s="27">
        <f>SUMIFS(Table47[Rev. Based on PROB],Table47[Installation],$B4,Table47[Projected 
Year],BN$1,Table47[Monthly revenue],BN$2)</f>
        <v>0</v>
      </c>
      <c r="BO4" s="157">
        <f>SUMPRODUCT(Table4[Probability]*Table4[Rev. Based on PROB]*(Table4[Installation]=$B4)*(Table4[Projected 
Year]=BN$1)*(Table4[Projected 
Month]=BN$2))/MAX(1,SUMPRODUCT(Table4[Rev. Based on PROB]*(Table4[Installation]=$B4)*(Table4[Projected 
Year]=BN$1)*(Table4[Projected 
Month]=BN$2)))</f>
        <v>0.9</v>
      </c>
      <c r="BP4" s="158">
        <f>SUMPRODUCT(Table4[Rev. Based on PROB]*Table4[Expected CMR]*(Table4[Projected 
Year]=BN$1)*(Table4[Projected 
Month]=BN$2)*(Table4[Installation]=$B4))/MAX(1,BN4)</f>
        <v>21376.080000000002</v>
      </c>
      <c r="BQ4" s="27">
        <f>SUMIFS(Table47[Rev. Based on PROB],Table47[Installation],$B4,Table47[Projected 
Year],BQ$1,Table47[Monthly revenue],BQ$2)</f>
        <v>0</v>
      </c>
      <c r="BR4" s="157">
        <f>SUMPRODUCT(Table4[Probability]*Table4[Rev. Based on PROB]*(Table4[Installation]=$B4)*(Table4[Projected 
Year]=BQ$1)*(Table4[Projected 
Month]=BQ$2))/MAX(1,SUMPRODUCT(Table4[Rev. Based on PROB]*(Table4[Installation]=$B4)*(Table4[Projected 
Year]=BQ$1)*(Table4[Projected 
Month]=BQ$2)))</f>
        <v>0</v>
      </c>
      <c r="BS4" s="158">
        <f>SUMPRODUCT(Table4[Rev. Based on PROB]*Table4[Expected CMR]*(Table4[Projected 
Year]=BQ$1)*(Table4[Projected 
Month]=BQ$2)*(Table4[Installation]=$B4))/MAX(1,BQ4)</f>
        <v>0</v>
      </c>
      <c r="BT4" s="27">
        <f>SUMIFS(Table47[Rev. Based on PROB],Table47[Installation],$B4,Table47[Projected 
Year],BT$1,Table47[Monthly revenue],BT$2)</f>
        <v>0</v>
      </c>
      <c r="BU4" s="157">
        <f>SUMPRODUCT(Table4[Probability]*Table4[Rev. Based on PROB]*(Table4[Installation]=$B4)*(Table4[Projected 
Year]=BT$1)*(Table4[Projected 
Month]=BT$2))/MAX(1,SUMPRODUCT(Table4[Rev. Based on PROB]*(Table4[Installation]=$B4)*(Table4[Projected 
Year]=BT$1)*(Table4[Projected 
Month]=BT$2)))</f>
        <v>0</v>
      </c>
      <c r="BV4" s="158">
        <f>SUMPRODUCT(Table4[Rev. Based on PROB]*Table4[Expected CMR]*(Table4[Projected 
Year]=BT$1)*(Table4[Projected 
Month]=BT$2)*(Table4[Installation]=$B4))/MAX(1,BT4)</f>
        <v>0</v>
      </c>
      <c r="BW4" s="27">
        <f>SUMIFS(Table47[Rev. Based on PROB],Table47[Installation],$B4,Table47[Projected 
Year],BW$1,Table47[Monthly revenue],BW$2)</f>
        <v>0</v>
      </c>
      <c r="BX4" s="157">
        <f>SUMPRODUCT(Table4[Probability]*Table4[Rev. Based on PROB]*(Table4[Installation]=$B4)*(Table4[Projected 
Year]=BW$1)*(Table4[Projected 
Month]=BW$2))/MAX(1,SUMPRODUCT(Table4[Rev. Based on PROB]*(Table4[Installation]=$B4)*(Table4[Projected 
Year]=BW$1)*(Table4[Projected 
Month]=BW$2)))</f>
        <v>0</v>
      </c>
      <c r="BY4" s="158">
        <f>SUMPRODUCT(Table4[Rev. Based on PROB]*Table4[Expected CMR]*(Table4[Projected 
Year]=BW$1)*(Table4[Projected 
Month]=BW$2)*(Table4[Installation]=$B4))/MAX(1,BW4)</f>
        <v>0</v>
      </c>
      <c r="BZ4" s="157"/>
      <c r="CA4" s="157"/>
      <c r="CB4" s="157"/>
      <c r="CC4" s="157"/>
      <c r="CD4" s="157"/>
      <c r="CE4" s="157"/>
      <c r="CF4" s="157"/>
      <c r="CG4" s="157"/>
      <c r="CH4" s="157"/>
      <c r="CI4" s="157"/>
      <c r="CJ4" s="157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29">
        <f t="shared" ref="CU4:CU47" si="0">SUM($AP4,$AS4,$AV4,$AY4,$BB4,$BE4,$BH4,$BK4,$BN4,$BQ4,$BT4,$BW4)</f>
        <v>0</v>
      </c>
      <c r="CV4" s="50">
        <f>SUM($C4*AQ4,$F4*AT4,$I4*AW4,$L4*AZ4,$O4*BC4,$R4*BF4,$U4*BI4,$X4*BL4,$AA4*BO4,$AD4*BR4,$AG4*BU4,$AJ4*BX4)/MAX(1,$AM4)</f>
        <v>0</v>
      </c>
      <c r="CW4" s="51">
        <f>SUM($C4*AR4,$F4*AU4,$I4*AX4,$L4*BA4,$O4*BD4,$R4*BG4,$U4*BJ4,$X4*BM4,$AA4*BP4,$AD4*BS4,$AG4*BV4,$AJ4*BY4)/MAX(1,$AM4)</f>
        <v>0</v>
      </c>
      <c r="CX4" s="29">
        <v>500000</v>
      </c>
      <c r="CY4" s="19">
        <f>CU4-CX4</f>
        <v>-500000</v>
      </c>
    </row>
    <row r="5" spans="1:103">
      <c r="A5" s="18" t="s">
        <v>57</v>
      </c>
      <c r="B5" s="20" t="s">
        <v>104</v>
      </c>
      <c r="C5" s="27">
        <f>SUMIFS(Table4[Rev. Based on PROB],Table4[Installation],$B5,Table4[Projected 
Year],C$1,Table4[Projected 
Month],C$2)</f>
        <v>0</v>
      </c>
      <c r="D5" s="159">
        <f>SUMPRODUCT(Table4[Probability]*Table4[Rev. Based on PROB]*(Table4[Installation]=$B5)*(Table4[Projected 
Year]=C$1)*(Table4[Projected 
Month]=C$2))/MAX(1,SUMPRODUCT(Table4[Rev. Based on PROB]*(Table4[Installation]=$B5)*(Table4[Projected 
Year]=C$1)*(Table4[Projected 
Month]=C$2)))</f>
        <v>0</v>
      </c>
      <c r="E5" s="160">
        <f>SUMPRODUCT(Table4[Rev. Based on PROB]*Table4[Expected CMR]*(Table4[Projected 
Year]=C$1)*(Table4[Projected 
Month]=C$2)*(Table4[Installation]=$B5))/MAX(1,C5)</f>
        <v>0</v>
      </c>
      <c r="F5" s="27">
        <f>SUMIFS(Table4[Rev. Based on PROB],Table4[Installation],$B5,Table4[Projected 
Year],F$1,Table4[Projected 
Month],F$2)</f>
        <v>0</v>
      </c>
      <c r="G5" s="159">
        <f>SUMPRODUCT(Table4[Probability]*Table4[Rev. Based on PROB]*(Table4[Installation]=$B5)*(Table4[Projected 
Year]=F$1)*(Table4[Projected 
Month]=F$2))/MAX(1,SUMPRODUCT(Table4[Rev. Based on PROB]*(Table4[Installation]=$B5)*(Table4[Projected 
Year]=F$1)*(Table4[Projected 
Month]=F$2)))</f>
        <v>0</v>
      </c>
      <c r="H5" s="160">
        <f>SUMPRODUCT(Table4[Rev. Based on PROB]*Table4[Expected CMR]*(Table4[Projected 
Year]=F$1)*(Table4[Projected 
Month]=F$2)*(Table4[Installation]=$B5))/MAX(1,F5)</f>
        <v>0</v>
      </c>
      <c r="I5" s="27">
        <f>SUMIFS(Table4[Rev. Based on PROB],Table4[Installation],$B5,Table4[Projected 
Year],I$1,Table4[Projected 
Month],I$2)</f>
        <v>0</v>
      </c>
      <c r="J5" s="159">
        <f>SUMPRODUCT(Table4[Probability]*Table4[Rev. Based on PROB]*(Table4[Installation]=$B5)*(Table4[Projected 
Year]=I$1)*(Table4[Projected 
Month]=I$2))/MAX(1,SUMPRODUCT(Table4[Rev. Based on PROB]*(Table4[Installation]=$B5)*(Table4[Projected 
Year]=I$1)*(Table4[Projected 
Month]=I$2)))</f>
        <v>0</v>
      </c>
      <c r="K5" s="160">
        <f>SUMPRODUCT(Table4[Rev. Based on PROB]*Table4[Expected CMR]*(Table4[Projected 
Year]=I$1)*(Table4[Projected 
Month]=I$2)*(Table4[Installation]=$B5))/MAX(1,I5)</f>
        <v>0</v>
      </c>
      <c r="L5" s="27">
        <f>SUMIFS(Table4[Rev. Based on PROB],Table4[Installation],$B5,Table4[Projected 
Year],L$1,Table4[Projected 
Month],L$2)</f>
        <v>0</v>
      </c>
      <c r="M5" s="159">
        <f>SUMPRODUCT(Table4[Probability]*Table4[Rev. Based on PROB]*(Table4[Installation]=$B5)*(Table4[Projected 
Year]=L$1)*(Table4[Projected 
Month]=L$2))/MAX(1,SUMPRODUCT(Table4[Rev. Based on PROB]*(Table4[Installation]=$B5)*(Table4[Projected 
Year]=L$1)*(Table4[Projected 
Month]=L$2)))</f>
        <v>0</v>
      </c>
      <c r="N5" s="160">
        <f>SUMPRODUCT(Table4[Rev. Based on PROB]*Table4[Expected CMR]*(Table4[Projected 
Year]=L$1)*(Table4[Projected 
Month]=L$2)*(Table4[Installation]=$B5))/MAX(1,L5)</f>
        <v>0</v>
      </c>
      <c r="O5" s="27">
        <f>SUMIFS(Table4[Rev. Based on PROB],Table4[Installation],$B5,Table4[Projected 
Year],O$1,Table4[Projected 
Month],O$2)</f>
        <v>0</v>
      </c>
      <c r="P5" s="159">
        <f>SUMPRODUCT(Table4[Probability]*Table4[Rev. Based on PROB]*(Table4[Installation]=$B5)*(Table4[Projected 
Year]=O$1)*(Table4[Projected 
Month]=O$2))/MAX(1,SUMPRODUCT(Table4[Rev. Based on PROB]*(Table4[Installation]=$B5)*(Table4[Projected 
Year]=O$1)*(Table4[Projected 
Month]=O$2)))</f>
        <v>0</v>
      </c>
      <c r="Q5" s="160">
        <f>SUMPRODUCT(Table4[Rev. Based on PROB]*Table4[Expected CMR]*(Table4[Projected 
Year]=O$1)*(Table4[Projected 
Month]=O$2)*(Table4[Installation]=$B5))/MAX(1,O5)</f>
        <v>0</v>
      </c>
      <c r="R5" s="27">
        <f>SUMIFS(Table4[Rev. Based on PROB],Table4[Installation],$B5,Table4[Projected 
Year],R$1,Table4[Projected 
Month],R$2)</f>
        <v>0</v>
      </c>
      <c r="S5" s="159">
        <f>SUMPRODUCT(Table4[Probability]*Table4[Rev. Based on PROB]*(Table4[Installation]=$B5)*(Table4[Projected 
Year]=R$1)*(Table4[Projected 
Month]=R$2))/MAX(1,SUMPRODUCT(Table4[Rev. Based on PROB]*(Table4[Installation]=$B5)*(Table4[Projected 
Year]=R$1)*(Table4[Projected 
Month]=R$2)))</f>
        <v>0</v>
      </c>
      <c r="T5" s="160">
        <f>SUMPRODUCT(Table4[Rev. Based on PROB]*Table4[Expected CMR]*(Table4[Projected 
Year]=R$1)*(Table4[Projected 
Month]=R$2)*(Table4[Installation]=$B5))/MAX(1,R5)</f>
        <v>0</v>
      </c>
      <c r="U5" s="27">
        <f>SUMIFS(Table4[Rev. Based on PROB],Table4[Installation],$B5,Table4[Projected 
Year],U$1,Table4[Projected 
Month],U$2)</f>
        <v>0</v>
      </c>
      <c r="V5" s="159">
        <f>SUMPRODUCT(Table4[Probability]*Table4[Rev. Based on PROB]*(Table4[Installation]=$B5)*(Table4[Projected 
Year]=U$1)*(Table4[Projected 
Month]=U$2))/MAX(1,SUMPRODUCT(Table4[Rev. Based on PROB]*(Table4[Installation]=$B5)*(Table4[Projected 
Year]=U$1)*(Table4[Projected 
Month]=U$2)))</f>
        <v>0</v>
      </c>
      <c r="W5" s="160">
        <f>SUMPRODUCT(Table4[Rev. Based on PROB]*Table4[Expected CMR]*(Table4[Projected 
Year]=U$1)*(Table4[Projected 
Month]=U$2)*(Table4[Installation]=$B5))/MAX(1,U5)</f>
        <v>0</v>
      </c>
      <c r="X5" s="27">
        <f>SUMIFS(Table4[Rev. Based on PROB],Table4[Installation],$B5,Table4[Projected 
Year],X$1,Table4[Projected 
Month],X$2)</f>
        <v>0</v>
      </c>
      <c r="Y5" s="159">
        <f>SUMPRODUCT(Table4[Probability]*Table4[Rev. Based on PROB]*(Table4[Installation]=$B5)*(Table4[Projected 
Year]=X$1)*(Table4[Projected 
Month]=X$2))/MAX(1,SUMPRODUCT(Table4[Rev. Based on PROB]*(Table4[Installation]=$B5)*(Table4[Projected 
Year]=X$1)*(Table4[Projected 
Month]=X$2)))</f>
        <v>0</v>
      </c>
      <c r="Z5" s="160">
        <f>SUMPRODUCT(Table4[Rev. Based on PROB]*Table4[Expected CMR]*(Table4[Projected 
Year]=X$1)*(Table4[Projected 
Month]=X$2)*(Table4[Installation]=$B5))/MAX(1,X5)</f>
        <v>0</v>
      </c>
      <c r="AA5" s="27">
        <f>SUMIFS(Table4[Rev. Based on PROB],Table4[Installation],$B5,Table4[Projected 
Year],AA$1,Table4[Projected 
Month],AA$2)</f>
        <v>0</v>
      </c>
      <c r="AB5" s="159">
        <f>SUMPRODUCT(Table4[Probability]*Table4[Rev. Based on PROB]*(Table4[Installation]=$B5)*(Table4[Projected 
Year]=AA$1)*(Table4[Projected 
Month]=AA$2))/MAX(1,SUMPRODUCT(Table4[Rev. Based on PROB]*(Table4[Installation]=$B5)*(Table4[Projected 
Year]=AA$1)*(Table4[Projected 
Month]=AA$2)))</f>
        <v>0</v>
      </c>
      <c r="AC5" s="160">
        <f>SUMPRODUCT(Table4[Rev. Based on PROB]*Table4[Expected CMR]*(Table4[Projected 
Year]=AA$1)*(Table4[Projected 
Month]=AA$2)*(Table4[Installation]=$B5))/MAX(1,AA5)</f>
        <v>0</v>
      </c>
      <c r="AD5" s="27">
        <f>SUMIFS(Table4[Rev. Based on PROB],Table4[Installation],$B5,Table4[Projected 
Year],AD$1,Table4[Projected 
Month],AD$2)</f>
        <v>0</v>
      </c>
      <c r="AE5" s="159">
        <f>SUMPRODUCT(Table4[Probability]*Table4[Rev. Based on PROB]*(Table4[Installation]=$B5)*(Table4[Projected 
Year]=AD$1)*(Table4[Projected 
Month]=AD$2))/MAX(1,SUMPRODUCT(Table4[Rev. Based on PROB]*(Table4[Installation]=$B5)*(Table4[Projected 
Year]=AD$1)*(Table4[Projected 
Month]=AD$2)))</f>
        <v>0</v>
      </c>
      <c r="AF5" s="160">
        <f>SUMPRODUCT(Table4[Rev. Based on PROB]*Table4[Expected CMR]*(Table4[Projected 
Year]=AD$1)*(Table4[Projected 
Month]=AD$2)*(Table4[Installation]=$B5))/MAX(1,AD5)</f>
        <v>0</v>
      </c>
      <c r="AG5" s="27">
        <f>SUMIFS(Table4[Rev. Based on PROB],Table4[Installation],$B5,Table4[Projected 
Year],AG$1,Table4[Projected 
Month],AG$2)</f>
        <v>0</v>
      </c>
      <c r="AH5" s="159">
        <f>SUMPRODUCT(Table4[Probability]*Table4[Rev. Based on PROB]*(Table4[Installation]=$B5)*(Table4[Projected 
Year]=AG$1)*(Table4[Projected 
Month]=AG$2))/MAX(1,SUMPRODUCT(Table4[Rev. Based on PROB]*(Table4[Installation]=$B5)*(Table4[Projected 
Year]=AG$1)*(Table4[Projected 
Month]=AG$2)))</f>
        <v>0</v>
      </c>
      <c r="AI5" s="160">
        <f>SUMPRODUCT(Table4[Rev. Based on PROB]*Table4[Expected CMR]*(Table4[Projected 
Year]=AG$1)*(Table4[Projected 
Month]=AG$2)*(Table4[Installation]=$B5))/MAX(1,AG5)</f>
        <v>0</v>
      </c>
      <c r="AJ5" s="27">
        <f>SUMIFS(Table4[Rev. Based on PROB],Table4[Installation],$B5,Table4[Projected 
Year],AJ$1,Table4[Projected 
Month],AJ$2)</f>
        <v>37560</v>
      </c>
      <c r="AK5" s="159">
        <f>SUMPRODUCT(Table4[Probability]*Table4[Rev. Based on PROB]*(Table4[Installation]=$B5)*(Table4[Projected 
Year]=AJ$1)*(Table4[Projected 
Month]=AJ$2))/MAX(1,SUMPRODUCT(Table4[Rev. Based on PROB]*(Table4[Installation]=$B5)*(Table4[Projected 
Year]=AJ$1)*(Table4[Projected 
Month]=AJ$2)))</f>
        <v>1</v>
      </c>
      <c r="AL5" s="160">
        <f>SUMPRODUCT(Table4[Rev. Based on PROB]*Table4[Expected CMR]*(Table4[Projected 
Year]=AJ$1)*(Table4[Projected 
Month]=AJ$2)*(Table4[Installation]=$B5))/MAX(1,AJ5)</f>
        <v>0.3</v>
      </c>
      <c r="AM5" s="30">
        <f t="shared" ref="AM5:AM24" si="1">SUM($C5,$F5,$I5,$L5,$O5,$R5,$U5,$X5,$AA5,$AD5,$AG5,$AJ5)</f>
        <v>37560</v>
      </c>
      <c r="AN5" s="52">
        <f t="shared" ref="AN5:AN24" si="2">SUM($C5*D5,$F5*G5,$I5*J5,$L5*M5,$O5*P5,$R5*S5,$U5*V5,$X5*Y5,$AA5*AB5,$AD5*AE5,$AG5*AH5,$AJ5*AK5)/MAX(1,$AM5)</f>
        <v>1</v>
      </c>
      <c r="AO5" s="53">
        <f t="shared" ref="AO5:AO24" si="3">SUM($C5*E5,$F5*H5,$I5*K5,$L5*N5,$O5*Q5,$R5*T5,$U5*W5,$X5*Z5,$AA5*AC5,$AD5*AF5,$AG5*AI5,$AJ5*AL5)/MAX(1,$AM5)</f>
        <v>0.3</v>
      </c>
      <c r="AP5" s="27">
        <f>SUMIFS(Table47[Rev. Based on PROB],Table47[Installation],$B5,Table47[Projected 
Year],AP$1,Table47[Monthly revenue],AP$2)</f>
        <v>15738</v>
      </c>
      <c r="AQ5" s="159">
        <f>SUMPRODUCT(Table4[Probability]*Table4[Rev. Based on PROB]*(Table4[Installation]=$B5)*(Table4[Projected 
Year]=AP$1)*(Table4[Projected 
Month]=AP$2))/MAX(1,SUMPRODUCT(Table4[Rev. Based on PROB]*(Table4[Installation]=$B5)*(Table4[Projected 
Year]=AP$1)*(Table4[Projected 
Month]=AP$2)))</f>
        <v>1</v>
      </c>
      <c r="AR5" s="160">
        <f>SUMPRODUCT(Table4[Rev. Based on PROB]*Table4[Expected CMR]*(Table4[Projected 
Year]=AP$1)*(Table4[Projected 
Month]=AP$2)*(Table4[Installation]=$B5))/MAX(1,AP5)</f>
        <v>0.3</v>
      </c>
      <c r="AS5" s="27">
        <f>SUMIFS(Table47[Rev. Based on PROB],Table47[Installation],$B5,Table47[Projected 
Year],AS$1,Table47[Monthly revenue],AS$2)</f>
        <v>0</v>
      </c>
      <c r="AT5" s="159">
        <f>SUMPRODUCT(Table4[Probability]*Table4[Rev. Based on PROB]*(Table4[Installation]=$B5)*(Table4[Projected 
Year]=AS$1)*(Table4[Projected 
Month]=AS$2))/MAX(1,SUMPRODUCT(Table4[Rev. Based on PROB]*(Table4[Installation]=$B5)*(Table4[Projected 
Year]=AS$1)*(Table4[Projected 
Month]=AS$2)))</f>
        <v>1</v>
      </c>
      <c r="AU5" s="160">
        <f>SUMPRODUCT(Table4[Rev. Based on PROB]*Table4[Expected CMR]*(Table4[Projected 
Year]=AS$1)*(Table4[Projected 
Month]=AS$2)*(Table4[Installation]=$B5))/MAX(1,AS5)</f>
        <v>5643.15</v>
      </c>
      <c r="AV5" s="27">
        <f>SUMIFS(Table47[Rev. Based on PROB],Table47[Installation],$B5,Table47[Projected 
Year],AV$1,Table47[Monthly revenue],AV$2)</f>
        <v>18810.5</v>
      </c>
      <c r="AW5" s="159">
        <f>SUMPRODUCT(Table4[Probability]*Table4[Rev. Based on PROB]*(Table4[Installation]=$B5)*(Table4[Projected 
Year]=AV$1)*(Table4[Projected 
Month]=AV$2))/MAX(1,SUMPRODUCT(Table4[Rev. Based on PROB]*(Table4[Installation]=$B5)*(Table4[Projected 
Year]=AV$1)*(Table4[Projected 
Month]=AV$2)))</f>
        <v>0</v>
      </c>
      <c r="AX5" s="160">
        <f>SUMPRODUCT(Table4[Rev. Based on PROB]*Table4[Expected CMR]*(Table4[Projected 
Year]=AV$1)*(Table4[Projected 
Month]=AV$2)*(Table4[Installation]=$B5))/MAX(1,AV5)</f>
        <v>0</v>
      </c>
      <c r="AY5" s="27">
        <f>SUMIFS(Table47[Rev. Based on PROB],Table47[Installation],$B5,Table47[Projected 
Year],AY$1,Table47[Monthly revenue],AY$2)</f>
        <v>0</v>
      </c>
      <c r="AZ5" s="159">
        <f>SUMPRODUCT(Table4[Probability]*Table4[Rev. Based on PROB]*(Table4[Installation]=$B5)*(Table4[Projected 
Year]=AY$1)*(Table4[Projected 
Month]=AY$2))/MAX(1,SUMPRODUCT(Table4[Rev. Based on PROB]*(Table4[Installation]=$B5)*(Table4[Projected 
Year]=AY$1)*(Table4[Projected 
Month]=AY$2)))</f>
        <v>0</v>
      </c>
      <c r="BA5" s="160">
        <f>SUMPRODUCT(Table4[Rev. Based on PROB]*Table4[Expected CMR]*(Table4[Projected 
Year]=AY$1)*(Table4[Projected 
Month]=AY$2)*(Table4[Installation]=$B5))/MAX(1,AY5)</f>
        <v>0</v>
      </c>
      <c r="BB5" s="27">
        <f>SUMIFS(Table47[Rev. Based on PROB],Table47[Installation],$B5,Table47[Projected 
Year],BB$1,Table47[Monthly revenue],BB$2)</f>
        <v>0</v>
      </c>
      <c r="BC5" s="159">
        <f>SUMPRODUCT(Table4[Probability]*Table4[Rev. Based on PROB]*(Table4[Installation]=$B5)*(Table4[Projected 
Year]=BB$1)*(Table4[Projected 
Month]=BB$2))/MAX(1,SUMPRODUCT(Table4[Rev. Based on PROB]*(Table4[Installation]=$B5)*(Table4[Projected 
Year]=BB$1)*(Table4[Projected 
Month]=BB$2)))</f>
        <v>1</v>
      </c>
      <c r="BD5" s="160">
        <f>SUMPRODUCT(Table4[Rev. Based on PROB]*Table4[Expected CMR]*(Table4[Projected 
Year]=BB$1)*(Table4[Projected 
Month]=BB$2)*(Table4[Installation]=$B5))/MAX(1,BB5)</f>
        <v>14924.849999999999</v>
      </c>
      <c r="BE5" s="27">
        <f>SUMIFS(Table47[Rev. Based on PROB],Table47[Installation],$B5,Table47[Projected 
Year],BE$1,Table47[Monthly revenue],BE$2)</f>
        <v>18810.5</v>
      </c>
      <c r="BF5" s="159">
        <f>SUMPRODUCT(Table4[Probability]*Table4[Rev. Based on PROB]*(Table4[Installation]=$B5)*(Table4[Projected 
Year]=BE$1)*(Table4[Projected 
Month]=BE$2))/MAX(1,SUMPRODUCT(Table4[Rev. Based on PROB]*(Table4[Installation]=$B5)*(Table4[Projected 
Year]=BE$1)*(Table4[Projected 
Month]=BE$2)))</f>
        <v>0</v>
      </c>
      <c r="BG5" s="160">
        <f>SUMPRODUCT(Table4[Rev. Based on PROB]*Table4[Expected CMR]*(Table4[Projected 
Year]=BE$1)*(Table4[Projected 
Month]=BE$2)*(Table4[Installation]=$B5))/MAX(1,BE5)</f>
        <v>0</v>
      </c>
      <c r="BH5" s="27">
        <f>SUMIFS(Table47[Rev. Based on PROB],Table47[Installation],$B5,Table47[Projected 
Year],BH$1,Table47[Monthly revenue],BH$2)</f>
        <v>0</v>
      </c>
      <c r="BI5" s="159">
        <f>SUMPRODUCT(Table4[Probability]*Table4[Rev. Based on PROB]*(Table4[Installation]=$B5)*(Table4[Projected 
Year]=BH$1)*(Table4[Projected 
Month]=BH$2))/MAX(1,SUMPRODUCT(Table4[Rev. Based on PROB]*(Table4[Installation]=$B5)*(Table4[Projected 
Year]=BH$1)*(Table4[Projected 
Month]=BH$2)))</f>
        <v>1</v>
      </c>
      <c r="BJ5" s="160">
        <f>SUMPRODUCT(Table4[Rev. Based on PROB]*Table4[Expected CMR]*(Table4[Projected 
Year]=BH$1)*(Table4[Projected 
Month]=BH$2)*(Table4[Installation]=$B5))/MAX(1,BH5)</f>
        <v>17813.399999999998</v>
      </c>
      <c r="BK5" s="27">
        <f>SUMIFS(Table47[Rev. Based on PROB],Table47[Installation],$B5,Table47[Projected 
Year],BK$1,Table47[Monthly revenue],BK$2)</f>
        <v>31000</v>
      </c>
      <c r="BL5" s="159">
        <f>SUMPRODUCT(Table4[Probability]*Table4[Rev. Based on PROB]*(Table4[Installation]=$B5)*(Table4[Projected 
Year]=BK$1)*(Table4[Projected 
Month]=BK$2))/MAX(1,SUMPRODUCT(Table4[Rev. Based on PROB]*(Table4[Installation]=$B5)*(Table4[Projected 
Year]=BK$1)*(Table4[Projected 
Month]=BK$2)))</f>
        <v>1</v>
      </c>
      <c r="BM5" s="160">
        <f>SUMPRODUCT(Table4[Rev. Based on PROB]*Table4[Expected CMR]*(Table4[Projected 
Year]=BK$1)*(Table4[Projected 
Month]=BK$2)*(Table4[Installation]=$B5))/MAX(1,BK5)</f>
        <v>0.3093774193548387</v>
      </c>
      <c r="BN5" s="27">
        <f>SUMIFS(Table47[Rev. Based on PROB],Table47[Installation],$B5,Table47[Projected 
Year],BN$1,Table47[Monthly revenue],BN$2)</f>
        <v>123027.5</v>
      </c>
      <c r="BO5" s="159">
        <f>SUMPRODUCT(Table4[Probability]*Table4[Rev. Based on PROB]*(Table4[Installation]=$B5)*(Table4[Projected 
Year]=BN$1)*(Table4[Projected 
Month]=BN$2))/MAX(1,SUMPRODUCT(Table4[Rev. Based on PROB]*(Table4[Installation]=$B5)*(Table4[Projected 
Year]=BN$1)*(Table4[Projected 
Month]=BN$2)))</f>
        <v>1</v>
      </c>
      <c r="BP5" s="160">
        <f>SUMPRODUCT(Table4[Rev. Based on PROB]*Table4[Expected CMR]*(Table4[Projected 
Year]=BN$1)*(Table4[Projected 
Month]=BN$2)*(Table4[Installation]=$B5))/MAX(1,BN5)</f>
        <v>0.10566052305378879</v>
      </c>
      <c r="BQ5" s="27">
        <f>SUMIFS(Table47[Rev. Based on PROB],Table47[Installation],$B5,Table47[Projected 
Year],BQ$1,Table47[Monthly revenue],BQ$2)</f>
        <v>0</v>
      </c>
      <c r="BR5" s="159">
        <f>SUMPRODUCT(Table4[Probability]*Table4[Rev. Based on PROB]*(Table4[Installation]=$B5)*(Table4[Projected 
Year]=BQ$1)*(Table4[Projected 
Month]=BQ$2))/MAX(1,SUMPRODUCT(Table4[Rev. Based on PROB]*(Table4[Installation]=$B5)*(Table4[Projected 
Year]=BQ$1)*(Table4[Projected 
Month]=BQ$2)))</f>
        <v>0</v>
      </c>
      <c r="BS5" s="160">
        <f>SUMPRODUCT(Table4[Rev. Based on PROB]*Table4[Expected CMR]*(Table4[Projected 
Year]=BQ$1)*(Table4[Projected 
Month]=BQ$2)*(Table4[Installation]=$B5))/MAX(1,BQ5)</f>
        <v>0</v>
      </c>
      <c r="BT5" s="27">
        <f>SUMIFS(Table47[Rev. Based on PROB],Table47[Installation],$B5,Table47[Projected 
Year],BT$1,Table47[Monthly revenue],BT$2)</f>
        <v>0</v>
      </c>
      <c r="BU5" s="159">
        <f>SUMPRODUCT(Table4[Probability]*Table4[Rev. Based on PROB]*(Table4[Installation]=$B5)*(Table4[Projected 
Year]=BT$1)*(Table4[Projected 
Month]=BT$2))/MAX(1,SUMPRODUCT(Table4[Rev. Based on PROB]*(Table4[Installation]=$B5)*(Table4[Projected 
Year]=BT$1)*(Table4[Projected 
Month]=BT$2)))</f>
        <v>1</v>
      </c>
      <c r="BV5" s="160">
        <f>SUMPRODUCT(Table4[Rev. Based on PROB]*Table4[Expected CMR]*(Table4[Projected 
Year]=BT$1)*(Table4[Projected 
Month]=BT$2)*(Table4[Installation]=$B5))/MAX(1,BT5)</f>
        <v>8344.7999999999993</v>
      </c>
      <c r="BW5" s="27">
        <f>SUMIFS(Table47[Rev. Based on PROB],Table47[Installation],$B5,Table47[Projected 
Year],BW$1,Table47[Monthly revenue],BW$2)</f>
        <v>45810.5</v>
      </c>
      <c r="BX5" s="159">
        <f>SUMPRODUCT(Table4[Probability]*Table4[Rev. Based on PROB]*(Table4[Installation]=$B5)*(Table4[Projected 
Year]=BW$1)*(Table4[Projected 
Month]=BW$2))/MAX(1,SUMPRODUCT(Table4[Rev. Based on PROB]*(Table4[Installation]=$B5)*(Table4[Projected 
Year]=BW$1)*(Table4[Projected 
Month]=BW$2)))</f>
        <v>1</v>
      </c>
      <c r="BY5" s="160">
        <f>SUMPRODUCT(Table4[Rev. Based on PROB]*Table4[Expected CMR]*(Table4[Projected 
Year]=BW$1)*(Table4[Projected 
Month]=BW$2)*(Table4[Installation]=$B5))/MAX(1,BW5)</f>
        <v>0.1231846410757359</v>
      </c>
      <c r="BZ5" s="200"/>
      <c r="CA5" s="200"/>
      <c r="CB5" s="200"/>
      <c r="CC5" s="200"/>
      <c r="CD5" s="200"/>
      <c r="CE5" s="200"/>
      <c r="CF5" s="200"/>
      <c r="CG5" s="200"/>
      <c r="CH5" s="200"/>
      <c r="CI5" s="200"/>
      <c r="CJ5" s="200"/>
      <c r="CK5" s="200"/>
      <c r="CL5" s="200"/>
      <c r="CM5" s="200"/>
      <c r="CN5" s="200"/>
      <c r="CO5" s="200"/>
      <c r="CP5" s="200"/>
      <c r="CQ5" s="200"/>
      <c r="CR5" s="200"/>
      <c r="CS5" s="200"/>
      <c r="CT5" s="200"/>
      <c r="CU5" s="30">
        <f t="shared" si="0"/>
        <v>253197</v>
      </c>
      <c r="CV5" s="52">
        <f t="shared" ref="CV5:CV24" si="4">SUM($C5*AQ5,$F5*AT5,$I5*AW5,$L5*AZ5,$O5*BC5,$R5*BF5,$U5*BI5,$X5*BL5,$AA5*BO5,$AD5*BR5,$AG5*BU5,$AJ5*BX5)/MAX(1,$AM5)</f>
        <v>1</v>
      </c>
      <c r="CW5" s="53">
        <f t="shared" ref="CW5:CW24" si="5">SUM($C5*AR5,$F5*AU5,$I5*AX5,$L5*BA5,$O5*BD5,$R5*BG5,$U5*BJ5,$X5*BM5,$AA5*BP5,$AD5*BS5,$AG5*BV5,$AJ5*BY5)/MAX(1,$AM5)</f>
        <v>0.1231846410757359</v>
      </c>
      <c r="CX5">
        <v>374864</v>
      </c>
      <c r="CY5" s="19">
        <f t="shared" ref="CY5:CY18" si="6">CU5-CX5</f>
        <v>-121667</v>
      </c>
    </row>
    <row r="6" spans="1:103">
      <c r="A6" s="18" t="s">
        <v>57</v>
      </c>
      <c r="B6" s="20" t="s">
        <v>73</v>
      </c>
      <c r="C6" s="27">
        <f>SUMIFS(Table4[Rev. Based on PROB],Table4[Installation],$B6,Table4[Projected 
Year],C$1,Table4[Projected 
Month],C$2)</f>
        <v>0</v>
      </c>
      <c r="D6" s="159">
        <f>SUMPRODUCT(Table4[Probability]*Table4[Rev. Based on PROB]*(Table4[Installation]=$B6)*(Table4[Projected 
Year]=C$1)*(Table4[Projected 
Month]=C$2))/MAX(1,SUMPRODUCT(Table4[Rev. Based on PROB]*(Table4[Installation]=$B6)*(Table4[Projected 
Year]=C$1)*(Table4[Projected 
Month]=C$2)))</f>
        <v>0</v>
      </c>
      <c r="E6" s="160">
        <f>SUMPRODUCT(Table4[Rev. Based on PROB]*Table4[Expected CMR]*(Table4[Projected 
Year]=C$1)*(Table4[Projected 
Month]=C$2)*(Table4[Installation]=$B6))/MAX(1,C6)</f>
        <v>0</v>
      </c>
      <c r="F6" s="27">
        <f>SUMIFS(Table4[Rev. Based on PROB],Table4[Installation],$B6,Table4[Projected 
Year],F$1,Table4[Projected 
Month],F$2)</f>
        <v>0</v>
      </c>
      <c r="G6" s="159">
        <f>SUMPRODUCT(Table4[Probability]*Table4[Rev. Based on PROB]*(Table4[Installation]=$B6)*(Table4[Projected 
Year]=F$1)*(Table4[Projected 
Month]=F$2))/MAX(1,SUMPRODUCT(Table4[Rev. Based on PROB]*(Table4[Installation]=$B6)*(Table4[Projected 
Year]=F$1)*(Table4[Projected 
Month]=F$2)))</f>
        <v>0</v>
      </c>
      <c r="H6" s="160">
        <f>SUMPRODUCT(Table4[Rev. Based on PROB]*Table4[Expected CMR]*(Table4[Projected 
Year]=F$1)*(Table4[Projected 
Month]=F$2)*(Table4[Installation]=$B6))/MAX(1,F6)</f>
        <v>0</v>
      </c>
      <c r="I6" s="27">
        <f>SUMIFS(Table4[Rev. Based on PROB],Table4[Installation],$B6,Table4[Projected 
Year],I$1,Table4[Projected 
Month],I$2)</f>
        <v>0</v>
      </c>
      <c r="J6" s="159">
        <f>SUMPRODUCT(Table4[Probability]*Table4[Rev. Based on PROB]*(Table4[Installation]=$B6)*(Table4[Projected 
Year]=I$1)*(Table4[Projected 
Month]=I$2))/MAX(1,SUMPRODUCT(Table4[Rev. Based on PROB]*(Table4[Installation]=$B6)*(Table4[Projected 
Year]=I$1)*(Table4[Projected 
Month]=I$2)))</f>
        <v>0</v>
      </c>
      <c r="K6" s="160">
        <f>SUMPRODUCT(Table4[Rev. Based on PROB]*Table4[Expected CMR]*(Table4[Projected 
Year]=I$1)*(Table4[Projected 
Month]=I$2)*(Table4[Installation]=$B6))/MAX(1,I6)</f>
        <v>0</v>
      </c>
      <c r="L6" s="27">
        <f>SUMIFS(Table4[Rev. Based on PROB],Table4[Installation],$B6,Table4[Projected 
Year],L$1,Table4[Projected 
Month],L$2)</f>
        <v>0</v>
      </c>
      <c r="M6" s="159">
        <f>SUMPRODUCT(Table4[Probability]*Table4[Rev. Based on PROB]*(Table4[Installation]=$B6)*(Table4[Projected 
Year]=L$1)*(Table4[Projected 
Month]=L$2))/MAX(1,SUMPRODUCT(Table4[Rev. Based on PROB]*(Table4[Installation]=$B6)*(Table4[Projected 
Year]=L$1)*(Table4[Projected 
Month]=L$2)))</f>
        <v>0</v>
      </c>
      <c r="N6" s="160">
        <f>SUMPRODUCT(Table4[Rev. Based on PROB]*Table4[Expected CMR]*(Table4[Projected 
Year]=L$1)*(Table4[Projected 
Month]=L$2)*(Table4[Installation]=$B6))/MAX(1,L6)</f>
        <v>0</v>
      </c>
      <c r="O6" s="27">
        <f>SUMIFS(Table4[Rev. Based on PROB],Table4[Installation],$B6,Table4[Projected 
Year],O$1,Table4[Projected 
Month],O$2)</f>
        <v>0</v>
      </c>
      <c r="P6" s="159">
        <f>SUMPRODUCT(Table4[Probability]*Table4[Rev. Based on PROB]*(Table4[Installation]=$B6)*(Table4[Projected 
Year]=O$1)*(Table4[Projected 
Month]=O$2))/MAX(1,SUMPRODUCT(Table4[Rev. Based on PROB]*(Table4[Installation]=$B6)*(Table4[Projected 
Year]=O$1)*(Table4[Projected 
Month]=O$2)))</f>
        <v>0</v>
      </c>
      <c r="Q6" s="160">
        <f>SUMPRODUCT(Table4[Rev. Based on PROB]*Table4[Expected CMR]*(Table4[Projected 
Year]=O$1)*(Table4[Projected 
Month]=O$2)*(Table4[Installation]=$B6))/MAX(1,O6)</f>
        <v>0</v>
      </c>
      <c r="R6" s="27">
        <f>SUMIFS(Table4[Rev. Based on PROB],Table4[Installation],$B6,Table4[Projected 
Year],R$1,Table4[Projected 
Month],R$2)</f>
        <v>0</v>
      </c>
      <c r="S6" s="159">
        <f>SUMPRODUCT(Table4[Probability]*Table4[Rev. Based on PROB]*(Table4[Installation]=$B6)*(Table4[Projected 
Year]=R$1)*(Table4[Projected 
Month]=R$2))/MAX(1,SUMPRODUCT(Table4[Rev. Based on PROB]*(Table4[Installation]=$B6)*(Table4[Projected 
Year]=R$1)*(Table4[Projected 
Month]=R$2)))</f>
        <v>0</v>
      </c>
      <c r="T6" s="160">
        <f>SUMPRODUCT(Table4[Rev. Based on PROB]*Table4[Expected CMR]*(Table4[Projected 
Year]=R$1)*(Table4[Projected 
Month]=R$2)*(Table4[Installation]=$B6))/MAX(1,R6)</f>
        <v>0</v>
      </c>
      <c r="U6" s="27">
        <f>SUMIFS(Table4[Rev. Based on PROB],Table4[Installation],$B6,Table4[Projected 
Year],U$1,Table4[Projected 
Month],U$2)</f>
        <v>0</v>
      </c>
      <c r="V6" s="159">
        <f>SUMPRODUCT(Table4[Probability]*Table4[Rev. Based on PROB]*(Table4[Installation]=$B6)*(Table4[Projected 
Year]=U$1)*(Table4[Projected 
Month]=U$2))/MAX(1,SUMPRODUCT(Table4[Rev. Based on PROB]*(Table4[Installation]=$B6)*(Table4[Projected 
Year]=U$1)*(Table4[Projected 
Month]=U$2)))</f>
        <v>0</v>
      </c>
      <c r="W6" s="160">
        <f>SUMPRODUCT(Table4[Rev. Based on PROB]*Table4[Expected CMR]*(Table4[Projected 
Year]=U$1)*(Table4[Projected 
Month]=U$2)*(Table4[Installation]=$B6))/MAX(1,U6)</f>
        <v>0</v>
      </c>
      <c r="X6" s="27">
        <f>SUMIFS(Table4[Rev. Based on PROB],Table4[Installation],$B6,Table4[Projected 
Year],X$1,Table4[Projected 
Month],X$2)</f>
        <v>0</v>
      </c>
      <c r="Y6" s="159">
        <f>SUMPRODUCT(Table4[Probability]*Table4[Rev. Based on PROB]*(Table4[Installation]=$B6)*(Table4[Projected 
Year]=X$1)*(Table4[Projected 
Month]=X$2))/MAX(1,SUMPRODUCT(Table4[Rev. Based on PROB]*(Table4[Installation]=$B6)*(Table4[Projected 
Year]=X$1)*(Table4[Projected 
Month]=X$2)))</f>
        <v>0</v>
      </c>
      <c r="Z6" s="160">
        <f>SUMPRODUCT(Table4[Rev. Based on PROB]*Table4[Expected CMR]*(Table4[Projected 
Year]=X$1)*(Table4[Projected 
Month]=X$2)*(Table4[Installation]=$B6))/MAX(1,X6)</f>
        <v>0</v>
      </c>
      <c r="AA6" s="27">
        <f>SUMIFS(Table4[Rev. Based on PROB],Table4[Installation],$B6,Table4[Projected 
Year],AA$1,Table4[Projected 
Month],AA$2)</f>
        <v>0</v>
      </c>
      <c r="AB6" s="159">
        <f>SUMPRODUCT(Table4[Probability]*Table4[Rev. Based on PROB]*(Table4[Installation]=$B6)*(Table4[Projected 
Year]=AA$1)*(Table4[Projected 
Month]=AA$2))/MAX(1,SUMPRODUCT(Table4[Rev. Based on PROB]*(Table4[Installation]=$B6)*(Table4[Projected 
Year]=AA$1)*(Table4[Projected 
Month]=AA$2)))</f>
        <v>0</v>
      </c>
      <c r="AC6" s="160">
        <f>SUMPRODUCT(Table4[Rev. Based on PROB]*Table4[Expected CMR]*(Table4[Projected 
Year]=AA$1)*(Table4[Projected 
Month]=AA$2)*(Table4[Installation]=$B6))/MAX(1,AA6)</f>
        <v>0</v>
      </c>
      <c r="AD6" s="27">
        <f>SUMIFS(Table4[Rev. Based on PROB],Table4[Installation],$B6,Table4[Projected 
Year],AD$1,Table4[Projected 
Month],AD$2)</f>
        <v>0</v>
      </c>
      <c r="AE6" s="159">
        <f>SUMPRODUCT(Table4[Probability]*Table4[Rev. Based on PROB]*(Table4[Installation]=$B6)*(Table4[Projected 
Year]=AD$1)*(Table4[Projected 
Month]=AD$2))/MAX(1,SUMPRODUCT(Table4[Rev. Based on PROB]*(Table4[Installation]=$B6)*(Table4[Projected 
Year]=AD$1)*(Table4[Projected 
Month]=AD$2)))</f>
        <v>0</v>
      </c>
      <c r="AF6" s="160">
        <f>SUMPRODUCT(Table4[Rev. Based on PROB]*Table4[Expected CMR]*(Table4[Projected 
Year]=AD$1)*(Table4[Projected 
Month]=AD$2)*(Table4[Installation]=$B6))/MAX(1,AD6)</f>
        <v>0</v>
      </c>
      <c r="AG6" s="27">
        <f>SUMIFS(Table4[Rev. Based on PROB],Table4[Installation],$B6,Table4[Projected 
Year],AG$1,Table4[Projected 
Month],AG$2)</f>
        <v>0</v>
      </c>
      <c r="AH6" s="159">
        <f>SUMPRODUCT(Table4[Probability]*Table4[Rev. Based on PROB]*(Table4[Installation]=$B6)*(Table4[Projected 
Year]=AG$1)*(Table4[Projected 
Month]=AG$2))/MAX(1,SUMPRODUCT(Table4[Rev. Based on PROB]*(Table4[Installation]=$B6)*(Table4[Projected 
Year]=AG$1)*(Table4[Projected 
Month]=AG$2)))</f>
        <v>0</v>
      </c>
      <c r="AI6" s="160">
        <f>SUMPRODUCT(Table4[Rev. Based on PROB]*Table4[Expected CMR]*(Table4[Projected 
Year]=AG$1)*(Table4[Projected 
Month]=AG$2)*(Table4[Installation]=$B6))/MAX(1,AG6)</f>
        <v>0</v>
      </c>
      <c r="AJ6" s="27">
        <f>SUMIFS(Table4[Rev. Based on PROB],Table4[Installation],$B6,Table4[Projected 
Year],AJ$1,Table4[Projected 
Month],AJ$2)</f>
        <v>0</v>
      </c>
      <c r="AK6" s="159">
        <f>SUMPRODUCT(Table4[Probability]*Table4[Rev. Based on PROB]*(Table4[Installation]=$B6)*(Table4[Projected 
Year]=AJ$1)*(Table4[Projected 
Month]=AJ$2))/MAX(1,SUMPRODUCT(Table4[Rev. Based on PROB]*(Table4[Installation]=$B6)*(Table4[Projected 
Year]=AJ$1)*(Table4[Projected 
Month]=AJ$2)))</f>
        <v>0</v>
      </c>
      <c r="AL6" s="160">
        <f>SUMPRODUCT(Table4[Rev. Based on PROB]*Table4[Expected CMR]*(Table4[Projected 
Year]=AJ$1)*(Table4[Projected 
Month]=AJ$2)*(Table4[Installation]=$B6))/MAX(1,AJ6)</f>
        <v>0</v>
      </c>
      <c r="AM6" s="30">
        <f t="shared" si="1"/>
        <v>0</v>
      </c>
      <c r="AN6" s="52">
        <f t="shared" si="2"/>
        <v>0</v>
      </c>
      <c r="AO6" s="53">
        <f t="shared" si="3"/>
        <v>0</v>
      </c>
      <c r="AP6" s="27">
        <f>SUMIFS(Table47[Rev. Based on PROB],Table47[Installation],$B6,Table47[Projected 
Year],AP$1,Table47[Monthly revenue],AP$2)</f>
        <v>102387</v>
      </c>
      <c r="AQ6" s="159">
        <f>SUMPRODUCT(Table4[Probability]*Table4[Rev. Based on PROB]*(Table4[Installation]=$B6)*(Table4[Projected 
Year]=AP$1)*(Table4[Projected 
Month]=AP$2))/MAX(1,SUMPRODUCT(Table4[Rev. Based on PROB]*(Table4[Installation]=$B6)*(Table4[Projected 
Year]=AP$1)*(Table4[Projected 
Month]=AP$2)))</f>
        <v>1</v>
      </c>
      <c r="AR6" s="160">
        <f>SUMPRODUCT(Table4[Rev. Based on PROB]*Table4[Expected CMR]*(Table4[Projected 
Year]=AP$1)*(Table4[Projected 
Month]=AP$2)*(Table4[Installation]=$B6))/MAX(1,AP6)</f>
        <v>0.3</v>
      </c>
      <c r="AS6" s="27">
        <f>SUMIFS(Table47[Rev. Based on PROB],Table47[Installation],$B6,Table47[Projected 
Year],AS$1,Table47[Monthly revenue],AS$2)</f>
        <v>0</v>
      </c>
      <c r="AT6" s="159">
        <f>SUMPRODUCT(Table4[Probability]*Table4[Rev. Based on PROB]*(Table4[Installation]=$B6)*(Table4[Projected 
Year]=AS$1)*(Table4[Projected 
Month]=AS$2))/MAX(1,SUMPRODUCT(Table4[Rev. Based on PROB]*(Table4[Installation]=$B6)*(Table4[Projected 
Year]=AS$1)*(Table4[Projected 
Month]=AS$2)))</f>
        <v>1</v>
      </c>
      <c r="AU6" s="160">
        <f>SUMPRODUCT(Table4[Rev. Based on PROB]*Table4[Expected CMR]*(Table4[Projected 
Year]=AS$1)*(Table4[Projected 
Month]=AS$2)*(Table4[Installation]=$B6))/MAX(1,AS6)</f>
        <v>29937.098999999998</v>
      </c>
      <c r="AV6" s="27">
        <f>SUMIFS(Table47[Rev. Based on PROB],Table47[Installation],$B6,Table47[Projected 
Year],AV$1,Table47[Monthly revenue],AV$2)</f>
        <v>100534.5</v>
      </c>
      <c r="AW6" s="159">
        <f>SUMPRODUCT(Table4[Probability]*Table4[Rev. Based on PROB]*(Table4[Installation]=$B6)*(Table4[Projected 
Year]=AV$1)*(Table4[Projected 
Month]=AV$2))/MAX(1,SUMPRODUCT(Table4[Rev. Based on PROB]*(Table4[Installation]=$B6)*(Table4[Projected 
Year]=AV$1)*(Table4[Projected 
Month]=AV$2)))</f>
        <v>1</v>
      </c>
      <c r="AX6" s="160">
        <f>SUMPRODUCT(Table4[Rev. Based on PROB]*Table4[Expected CMR]*(Table4[Projected 
Year]=AV$1)*(Table4[Projected 
Month]=AV$2)*(Table4[Installation]=$B6))/MAX(1,AV6)</f>
        <v>0.19909135669844677</v>
      </c>
      <c r="AY6" s="27">
        <f>SUMIFS(Table47[Rev. Based on PROB],Table47[Installation],$B6,Table47[Projected 
Year],AY$1,Table47[Monthly revenue],AY$2)</f>
        <v>9000</v>
      </c>
      <c r="AZ6" s="159">
        <f>SUMPRODUCT(Table4[Probability]*Table4[Rev. Based on PROB]*(Table4[Installation]=$B6)*(Table4[Projected 
Year]=AY$1)*(Table4[Projected 
Month]=AY$2))/MAX(1,SUMPRODUCT(Table4[Rev. Based on PROB]*(Table4[Installation]=$B6)*(Table4[Projected 
Year]=AY$1)*(Table4[Projected 
Month]=AY$2)))</f>
        <v>0</v>
      </c>
      <c r="BA6" s="160">
        <f>SUMPRODUCT(Table4[Rev. Based on PROB]*Table4[Expected CMR]*(Table4[Projected 
Year]=AY$1)*(Table4[Projected 
Month]=AY$2)*(Table4[Installation]=$B6))/MAX(1,AY6)</f>
        <v>0</v>
      </c>
      <c r="BB6" s="27">
        <f>SUMIFS(Table47[Rev. Based on PROB],Table47[Installation],$B6,Table47[Projected 
Year],BB$1,Table47[Monthly revenue],BB$2)</f>
        <v>36199.5</v>
      </c>
      <c r="BC6" s="159">
        <f>SUMPRODUCT(Table4[Probability]*Table4[Rev. Based on PROB]*(Table4[Installation]=$B6)*(Table4[Projected 
Year]=BB$1)*(Table4[Projected 
Month]=BB$2))/MAX(1,SUMPRODUCT(Table4[Rev. Based on PROB]*(Table4[Installation]=$B6)*(Table4[Projected 
Year]=BB$1)*(Table4[Projected 
Month]=BB$2)))</f>
        <v>1</v>
      </c>
      <c r="BD6" s="160">
        <f>SUMPRODUCT(Table4[Rev. Based on PROB]*Table4[Expected CMR]*(Table4[Projected 
Year]=BB$1)*(Table4[Projected 
Month]=BB$2)*(Table4[Installation]=$B6))/MAX(1,BB6)</f>
        <v>0.38641279575684745</v>
      </c>
      <c r="BE6" s="27">
        <f>SUMIFS(Table47[Rev. Based on PROB],Table47[Installation],$B6,Table47[Projected 
Year],BE$1,Table47[Monthly revenue],BE$2)</f>
        <v>0</v>
      </c>
      <c r="BF6" s="159">
        <f>SUMPRODUCT(Table4[Probability]*Table4[Rev. Based on PROB]*(Table4[Installation]=$B6)*(Table4[Projected 
Year]=BE$1)*(Table4[Projected 
Month]=BE$2))/MAX(1,SUMPRODUCT(Table4[Rev. Based on PROB]*(Table4[Installation]=$B6)*(Table4[Projected 
Year]=BE$1)*(Table4[Projected 
Month]=BE$2)))</f>
        <v>0</v>
      </c>
      <c r="BG6" s="160">
        <f>SUMPRODUCT(Table4[Rev. Based on PROB]*Table4[Expected CMR]*(Table4[Projected 
Year]=BE$1)*(Table4[Projected 
Month]=BE$2)*(Table4[Installation]=$B6))/MAX(1,BE6)</f>
        <v>0</v>
      </c>
      <c r="BH6" s="27">
        <f>SUMIFS(Table47[Rev. Based on PROB],Table47[Installation],$B6,Table47[Projected 
Year],BH$1,Table47[Monthly revenue],BH$2)</f>
        <v>16500</v>
      </c>
      <c r="BI6" s="159">
        <f>SUMPRODUCT(Table4[Probability]*Table4[Rev. Based on PROB]*(Table4[Installation]=$B6)*(Table4[Projected 
Year]=BH$1)*(Table4[Projected 
Month]=BH$2))/MAX(1,SUMPRODUCT(Table4[Rev. Based on PROB]*(Table4[Installation]=$B6)*(Table4[Projected 
Year]=BH$1)*(Table4[Projected 
Month]=BH$2)))</f>
        <v>0</v>
      </c>
      <c r="BJ6" s="160">
        <f>SUMPRODUCT(Table4[Rev. Based on PROB]*Table4[Expected CMR]*(Table4[Projected 
Year]=BH$1)*(Table4[Projected 
Month]=BH$2)*(Table4[Installation]=$B6))/MAX(1,BH6)</f>
        <v>0</v>
      </c>
      <c r="BK6" s="27">
        <f>SUMIFS(Table47[Rev. Based on PROB],Table47[Installation],$B6,Table47[Projected 
Year],BK$1,Table47[Monthly revenue],BK$2)</f>
        <v>18000</v>
      </c>
      <c r="BL6" s="159">
        <f>SUMPRODUCT(Table4[Probability]*Table4[Rev. Based on PROB]*(Table4[Installation]=$B6)*(Table4[Projected 
Year]=BK$1)*(Table4[Projected 
Month]=BK$2))/MAX(1,SUMPRODUCT(Table4[Rev. Based on PROB]*(Table4[Installation]=$B6)*(Table4[Projected 
Year]=BK$1)*(Table4[Projected 
Month]=BK$2)))</f>
        <v>1</v>
      </c>
      <c r="BM6" s="160">
        <f>SUMPRODUCT(Table4[Rev. Based on PROB]*Table4[Expected CMR]*(Table4[Projected 
Year]=BK$1)*(Table4[Projected 
Month]=BK$2)*(Table4[Installation]=$B6))/MAX(1,BK6)</f>
        <v>0.49050833333333332</v>
      </c>
      <c r="BN6" s="27">
        <f>SUMIFS(Table47[Rev. Based on PROB],Table47[Installation],$B6,Table47[Projected 
Year],BN$1,Table47[Monthly revenue],BN$2)</f>
        <v>0</v>
      </c>
      <c r="BO6" s="159">
        <f>SUMPRODUCT(Table4[Probability]*Table4[Rev. Based on PROB]*(Table4[Installation]=$B6)*(Table4[Projected 
Year]=BN$1)*(Table4[Projected 
Month]=BN$2))/MAX(1,SUMPRODUCT(Table4[Rev. Based on PROB]*(Table4[Installation]=$B6)*(Table4[Projected 
Year]=BN$1)*(Table4[Projected 
Month]=BN$2)))</f>
        <v>0</v>
      </c>
      <c r="BP6" s="160">
        <f>SUMPRODUCT(Table4[Rev. Based on PROB]*Table4[Expected CMR]*(Table4[Projected 
Year]=BN$1)*(Table4[Projected 
Month]=BN$2)*(Table4[Installation]=$B6))/MAX(1,BN6)</f>
        <v>0</v>
      </c>
      <c r="BQ6" s="27">
        <f>SUMIFS(Table47[Rev. Based on PROB],Table47[Installation],$B6,Table47[Projected 
Year],BQ$1,Table47[Monthly revenue],BQ$2)</f>
        <v>0</v>
      </c>
      <c r="BR6" s="159">
        <f>SUMPRODUCT(Table4[Probability]*Table4[Rev. Based on PROB]*(Table4[Installation]=$B6)*(Table4[Projected 
Year]=BQ$1)*(Table4[Projected 
Month]=BQ$2))/MAX(1,SUMPRODUCT(Table4[Rev. Based on PROB]*(Table4[Installation]=$B6)*(Table4[Projected 
Year]=BQ$1)*(Table4[Projected 
Month]=BQ$2)))</f>
        <v>1</v>
      </c>
      <c r="BS6" s="160">
        <f>SUMPRODUCT(Table4[Rev. Based on PROB]*Table4[Expected CMR]*(Table4[Projected 
Year]=BQ$1)*(Table4[Projected 
Month]=BQ$2)*(Table4[Installation]=$B6))/MAX(1,BQ6)</f>
        <v>5643.15</v>
      </c>
      <c r="BT6" s="27">
        <f>SUMIFS(Table47[Rev. Based on PROB],Table47[Installation],$B6,Table47[Projected 
Year],BT$1,Table47[Monthly revenue],BT$2)</f>
        <v>0</v>
      </c>
      <c r="BU6" s="159">
        <f>SUMPRODUCT(Table4[Probability]*Table4[Rev. Based on PROB]*(Table4[Installation]=$B6)*(Table4[Projected 
Year]=BT$1)*(Table4[Projected 
Month]=BT$2))/MAX(1,SUMPRODUCT(Table4[Rev. Based on PROB]*(Table4[Installation]=$B6)*(Table4[Projected 
Year]=BT$1)*(Table4[Projected 
Month]=BT$2)))</f>
        <v>0</v>
      </c>
      <c r="BV6" s="160">
        <f>SUMPRODUCT(Table4[Rev. Based on PROB]*Table4[Expected CMR]*(Table4[Projected 
Year]=BT$1)*(Table4[Projected 
Month]=BT$2)*(Table4[Installation]=$B6))/MAX(1,BT6)</f>
        <v>0</v>
      </c>
      <c r="BW6" s="27">
        <f>SUMIFS(Table47[Rev. Based on PROB],Table47[Installation],$B6,Table47[Projected 
Year],BW$1,Table47[Monthly revenue],BW$2)</f>
        <v>18810.5</v>
      </c>
      <c r="BX6" s="159">
        <f>SUMPRODUCT(Table4[Probability]*Table4[Rev. Based on PROB]*(Table4[Installation]=$B6)*(Table4[Projected 
Year]=BW$1)*(Table4[Projected 
Month]=BW$2))/MAX(1,SUMPRODUCT(Table4[Rev. Based on PROB]*(Table4[Installation]=$B6)*(Table4[Projected 
Year]=BW$1)*(Table4[Projected 
Month]=BW$2)))</f>
        <v>0</v>
      </c>
      <c r="BY6" s="160">
        <f>SUMPRODUCT(Table4[Rev. Based on PROB]*Table4[Expected CMR]*(Table4[Projected 
Year]=BW$1)*(Table4[Projected 
Month]=BW$2)*(Table4[Installation]=$B6))/MAX(1,BW6)</f>
        <v>0</v>
      </c>
      <c r="BZ6" s="200"/>
      <c r="CA6" s="200"/>
      <c r="CB6" s="200"/>
      <c r="CC6" s="200"/>
      <c r="CD6" s="200"/>
      <c r="CE6" s="200"/>
      <c r="CF6" s="200"/>
      <c r="CG6" s="200"/>
      <c r="CH6" s="200"/>
      <c r="CI6" s="200"/>
      <c r="CJ6" s="200"/>
      <c r="CK6" s="200"/>
      <c r="CL6" s="200"/>
      <c r="CM6" s="200"/>
      <c r="CN6" s="200"/>
      <c r="CO6" s="200"/>
      <c r="CP6" s="200"/>
      <c r="CQ6" s="200"/>
      <c r="CR6" s="200"/>
      <c r="CS6" s="200"/>
      <c r="CT6" s="200"/>
      <c r="CU6" s="30">
        <f t="shared" si="0"/>
        <v>301431.5</v>
      </c>
      <c r="CV6" s="52">
        <f t="shared" si="4"/>
        <v>0</v>
      </c>
      <c r="CW6" s="53">
        <f t="shared" si="5"/>
        <v>0</v>
      </c>
      <c r="CX6" s="29">
        <v>324864</v>
      </c>
      <c r="CY6" s="19">
        <f t="shared" si="6"/>
        <v>-23432.5</v>
      </c>
    </row>
    <row r="7" spans="1:103">
      <c r="A7" s="18" t="s">
        <v>57</v>
      </c>
      <c r="B7" s="20" t="s">
        <v>484</v>
      </c>
      <c r="C7" s="27">
        <f>SUMIFS(Table4[Rev. Based on PROB],Table4[Installation],$B7,Table4[Projected 
Year],C$1,Table4[Projected 
Month],C$2)</f>
        <v>0</v>
      </c>
      <c r="D7" s="159">
        <f>SUMPRODUCT(Table4[Probability]*Table4[Rev. Based on PROB]*(Table4[Installation]=$B7)*(Table4[Projected 
Year]=C$1)*(Table4[Projected 
Month]=C$2))/MAX(1,SUMPRODUCT(Table4[Rev. Based on PROB]*(Table4[Installation]=$B7)*(Table4[Projected 
Year]=C$1)*(Table4[Projected 
Month]=C$2)))</f>
        <v>0</v>
      </c>
      <c r="E7" s="160">
        <f>SUMPRODUCT(Table4[Rev. Based on PROB]*Table4[Expected CMR]*(Table4[Projected 
Year]=C$1)*(Table4[Projected 
Month]=C$2)*(Table4[Installation]=$B7))/MAX(1,C7)</f>
        <v>0</v>
      </c>
      <c r="F7" s="27">
        <f>SUMIFS(Table4[Rev. Based on PROB],Table4[Installation],$B7,Table4[Projected 
Year],F$1,Table4[Projected 
Month],F$2)</f>
        <v>0</v>
      </c>
      <c r="G7" s="159">
        <f>SUMPRODUCT(Table4[Probability]*Table4[Rev. Based on PROB]*(Table4[Installation]=$B7)*(Table4[Projected 
Year]=F$1)*(Table4[Projected 
Month]=F$2))/MAX(1,SUMPRODUCT(Table4[Rev. Based on PROB]*(Table4[Installation]=$B7)*(Table4[Projected 
Year]=F$1)*(Table4[Projected 
Month]=F$2)))</f>
        <v>0</v>
      </c>
      <c r="H7" s="160">
        <f>SUMPRODUCT(Table4[Rev. Based on PROB]*Table4[Expected CMR]*(Table4[Projected 
Year]=F$1)*(Table4[Projected 
Month]=F$2)*(Table4[Installation]=$B7))/MAX(1,F7)</f>
        <v>0</v>
      </c>
      <c r="I7" s="27">
        <f>SUMIFS(Table4[Rev. Based on PROB],Table4[Installation],$B7,Table4[Projected 
Year],I$1,Table4[Projected 
Month],I$2)</f>
        <v>0</v>
      </c>
      <c r="J7" s="159">
        <f>SUMPRODUCT(Table4[Probability]*Table4[Rev. Based on PROB]*(Table4[Installation]=$B7)*(Table4[Projected 
Year]=I$1)*(Table4[Projected 
Month]=I$2))/MAX(1,SUMPRODUCT(Table4[Rev. Based on PROB]*(Table4[Installation]=$B7)*(Table4[Projected 
Year]=I$1)*(Table4[Projected 
Month]=I$2)))</f>
        <v>0</v>
      </c>
      <c r="K7" s="160">
        <f>SUMPRODUCT(Table4[Rev. Based on PROB]*Table4[Expected CMR]*(Table4[Projected 
Year]=I$1)*(Table4[Projected 
Month]=I$2)*(Table4[Installation]=$B7))/MAX(1,I7)</f>
        <v>0</v>
      </c>
      <c r="L7" s="27">
        <f>SUMIFS(Table4[Rev. Based on PROB],Table4[Installation],$B7,Table4[Projected 
Year],L$1,Table4[Projected 
Month],L$2)</f>
        <v>0</v>
      </c>
      <c r="M7" s="159">
        <f>SUMPRODUCT(Table4[Probability]*Table4[Rev. Based on PROB]*(Table4[Installation]=$B7)*(Table4[Projected 
Year]=L$1)*(Table4[Projected 
Month]=L$2))/MAX(1,SUMPRODUCT(Table4[Rev. Based on PROB]*(Table4[Installation]=$B7)*(Table4[Projected 
Year]=L$1)*(Table4[Projected 
Month]=L$2)))</f>
        <v>0</v>
      </c>
      <c r="N7" s="160">
        <f>SUMPRODUCT(Table4[Rev. Based on PROB]*Table4[Expected CMR]*(Table4[Projected 
Year]=L$1)*(Table4[Projected 
Month]=L$2)*(Table4[Installation]=$B7))/MAX(1,L7)</f>
        <v>0</v>
      </c>
      <c r="O7" s="27">
        <f>SUMIFS(Table4[Rev. Based on PROB],Table4[Installation],$B7,Table4[Projected 
Year],O$1,Table4[Projected 
Month],O$2)</f>
        <v>0</v>
      </c>
      <c r="P7" s="159">
        <f>SUMPRODUCT(Table4[Probability]*Table4[Rev. Based on PROB]*(Table4[Installation]=$B7)*(Table4[Projected 
Year]=O$1)*(Table4[Projected 
Month]=O$2))/MAX(1,SUMPRODUCT(Table4[Rev. Based on PROB]*(Table4[Installation]=$B7)*(Table4[Projected 
Year]=O$1)*(Table4[Projected 
Month]=O$2)))</f>
        <v>0</v>
      </c>
      <c r="Q7" s="160">
        <f>SUMPRODUCT(Table4[Rev. Based on PROB]*Table4[Expected CMR]*(Table4[Projected 
Year]=O$1)*(Table4[Projected 
Month]=O$2)*(Table4[Installation]=$B7))/MAX(1,O7)</f>
        <v>0</v>
      </c>
      <c r="R7" s="27">
        <f>SUMIFS(Table4[Rev. Based on PROB],Table4[Installation],$B7,Table4[Projected 
Year],R$1,Table4[Projected 
Month],R$2)</f>
        <v>0</v>
      </c>
      <c r="S7" s="159">
        <f>SUMPRODUCT(Table4[Probability]*Table4[Rev. Based on PROB]*(Table4[Installation]=$B7)*(Table4[Projected 
Year]=R$1)*(Table4[Projected 
Month]=R$2))/MAX(1,SUMPRODUCT(Table4[Rev. Based on PROB]*(Table4[Installation]=$B7)*(Table4[Projected 
Year]=R$1)*(Table4[Projected 
Month]=R$2)))</f>
        <v>0</v>
      </c>
      <c r="T7" s="160">
        <f>SUMPRODUCT(Table4[Rev. Based on PROB]*Table4[Expected CMR]*(Table4[Projected 
Year]=R$1)*(Table4[Projected 
Month]=R$2)*(Table4[Installation]=$B7))/MAX(1,R7)</f>
        <v>0</v>
      </c>
      <c r="U7" s="27">
        <f>SUMIFS(Table4[Rev. Based on PROB],Table4[Installation],$B7,Table4[Projected 
Year],U$1,Table4[Projected 
Month],U$2)</f>
        <v>0</v>
      </c>
      <c r="V7" s="159">
        <f>SUMPRODUCT(Table4[Probability]*Table4[Rev. Based on PROB]*(Table4[Installation]=$B7)*(Table4[Projected 
Year]=U$1)*(Table4[Projected 
Month]=U$2))/MAX(1,SUMPRODUCT(Table4[Rev. Based on PROB]*(Table4[Installation]=$B7)*(Table4[Projected 
Year]=U$1)*(Table4[Projected 
Month]=U$2)))</f>
        <v>0</v>
      </c>
      <c r="W7" s="160">
        <f>SUMPRODUCT(Table4[Rev. Based on PROB]*Table4[Expected CMR]*(Table4[Projected 
Year]=U$1)*(Table4[Projected 
Month]=U$2)*(Table4[Installation]=$B7))/MAX(1,U7)</f>
        <v>0</v>
      </c>
      <c r="X7" s="27">
        <f>SUMIFS(Table4[Rev. Based on PROB],Table4[Installation],$B7,Table4[Projected 
Year],X$1,Table4[Projected 
Month],X$2)</f>
        <v>0</v>
      </c>
      <c r="Y7" s="159">
        <f>SUMPRODUCT(Table4[Probability]*Table4[Rev. Based on PROB]*(Table4[Installation]=$B7)*(Table4[Projected 
Year]=X$1)*(Table4[Projected 
Month]=X$2))/MAX(1,SUMPRODUCT(Table4[Rev. Based on PROB]*(Table4[Installation]=$B7)*(Table4[Projected 
Year]=X$1)*(Table4[Projected 
Month]=X$2)))</f>
        <v>0</v>
      </c>
      <c r="Z7" s="160">
        <f>SUMPRODUCT(Table4[Rev. Based on PROB]*Table4[Expected CMR]*(Table4[Projected 
Year]=X$1)*(Table4[Projected 
Month]=X$2)*(Table4[Installation]=$B7))/MAX(1,X7)</f>
        <v>0</v>
      </c>
      <c r="AA7" s="27">
        <f>SUMIFS(Table4[Rev. Based on PROB],Table4[Installation],$B7,Table4[Projected 
Year],AA$1,Table4[Projected 
Month],AA$2)</f>
        <v>0</v>
      </c>
      <c r="AB7" s="159">
        <f>SUMPRODUCT(Table4[Probability]*Table4[Rev. Based on PROB]*(Table4[Installation]=$B7)*(Table4[Projected 
Year]=AA$1)*(Table4[Projected 
Month]=AA$2))/MAX(1,SUMPRODUCT(Table4[Rev. Based on PROB]*(Table4[Installation]=$B7)*(Table4[Projected 
Year]=AA$1)*(Table4[Projected 
Month]=AA$2)))</f>
        <v>0</v>
      </c>
      <c r="AC7" s="160">
        <f>SUMPRODUCT(Table4[Rev. Based on PROB]*Table4[Expected CMR]*(Table4[Projected 
Year]=AA$1)*(Table4[Projected 
Month]=AA$2)*(Table4[Installation]=$B7))/MAX(1,AA7)</f>
        <v>0</v>
      </c>
      <c r="AD7" s="27">
        <f>SUMIFS(Table4[Rev. Based on PROB],Table4[Installation],$B7,Table4[Projected 
Year],AD$1,Table4[Projected 
Month],AD$2)</f>
        <v>0</v>
      </c>
      <c r="AE7" s="159">
        <f>SUMPRODUCT(Table4[Probability]*Table4[Rev. Based on PROB]*(Table4[Installation]=$B7)*(Table4[Projected 
Year]=AD$1)*(Table4[Projected 
Month]=AD$2))/MAX(1,SUMPRODUCT(Table4[Rev. Based on PROB]*(Table4[Installation]=$B7)*(Table4[Projected 
Year]=AD$1)*(Table4[Projected 
Month]=AD$2)))</f>
        <v>0</v>
      </c>
      <c r="AF7" s="160">
        <f>SUMPRODUCT(Table4[Rev. Based on PROB]*Table4[Expected CMR]*(Table4[Projected 
Year]=AD$1)*(Table4[Projected 
Month]=AD$2)*(Table4[Installation]=$B7))/MAX(1,AD7)</f>
        <v>0</v>
      </c>
      <c r="AG7" s="27">
        <f>SUMIFS(Table4[Rev. Based on PROB],Table4[Installation],$B7,Table4[Projected 
Year],AG$1,Table4[Projected 
Month],AG$2)</f>
        <v>0</v>
      </c>
      <c r="AH7" s="159">
        <f>SUMPRODUCT(Table4[Probability]*Table4[Rev. Based on PROB]*(Table4[Installation]=$B7)*(Table4[Projected 
Year]=AG$1)*(Table4[Projected 
Month]=AG$2))/MAX(1,SUMPRODUCT(Table4[Rev. Based on PROB]*(Table4[Installation]=$B7)*(Table4[Projected 
Year]=AG$1)*(Table4[Projected 
Month]=AG$2)))</f>
        <v>0</v>
      </c>
      <c r="AI7" s="160">
        <f>SUMPRODUCT(Table4[Rev. Based on PROB]*Table4[Expected CMR]*(Table4[Projected 
Year]=AG$1)*(Table4[Projected 
Month]=AG$2)*(Table4[Installation]=$B7))/MAX(1,AG7)</f>
        <v>0</v>
      </c>
      <c r="AJ7" s="27">
        <f>SUMIFS(Table4[Rev. Based on PROB],Table4[Installation],$B7,Table4[Projected 
Year],AJ$1,Table4[Projected 
Month],AJ$2)</f>
        <v>0</v>
      </c>
      <c r="AK7" s="159">
        <f>SUMPRODUCT(Table4[Probability]*Table4[Rev. Based on PROB]*(Table4[Installation]=$B7)*(Table4[Projected 
Year]=AJ$1)*(Table4[Projected 
Month]=AJ$2))/MAX(1,SUMPRODUCT(Table4[Rev. Based on PROB]*(Table4[Installation]=$B7)*(Table4[Projected 
Year]=AJ$1)*(Table4[Projected 
Month]=AJ$2)))</f>
        <v>0</v>
      </c>
      <c r="AL7" s="160">
        <f>SUMPRODUCT(Table4[Rev. Based on PROB]*Table4[Expected CMR]*(Table4[Projected 
Year]=AJ$1)*(Table4[Projected 
Month]=AJ$2)*(Table4[Installation]=$B7))/MAX(1,AJ7)</f>
        <v>0</v>
      </c>
      <c r="AM7" s="30">
        <f t="shared" si="1"/>
        <v>0</v>
      </c>
      <c r="AN7" s="52">
        <f t="shared" si="2"/>
        <v>0</v>
      </c>
      <c r="AO7" s="53">
        <f t="shared" si="3"/>
        <v>0</v>
      </c>
      <c r="AP7" s="27">
        <f>SUMIFS(Table47[Rev. Based on PROB],Table47[Installation],$B7,Table47[Projected 
Year],AP$1,Table47[Monthly revenue],AP$2)</f>
        <v>0</v>
      </c>
      <c r="AQ7" s="159">
        <f>SUMPRODUCT(Table4[Probability]*Table4[Rev. Based on PROB]*(Table4[Installation]=$B7)*(Table4[Projected 
Year]=AP$1)*(Table4[Projected 
Month]=AP$2))/MAX(1,SUMPRODUCT(Table4[Rev. Based on PROB]*(Table4[Installation]=$B7)*(Table4[Projected 
Year]=AP$1)*(Table4[Projected 
Month]=AP$2)))</f>
        <v>0</v>
      </c>
      <c r="AR7" s="160">
        <f>SUMPRODUCT(Table4[Rev. Based on PROB]*Table4[Expected CMR]*(Table4[Projected 
Year]=AP$1)*(Table4[Projected 
Month]=AP$2)*(Table4[Installation]=$B7))/MAX(1,AP7)</f>
        <v>0</v>
      </c>
      <c r="AS7" s="27">
        <f>SUMIFS(Table47[Rev. Based on PROB],Table47[Installation],$B7,Table47[Projected 
Year],AS$1,Table47[Monthly revenue],AS$2)</f>
        <v>0</v>
      </c>
      <c r="AT7" s="159">
        <f>SUMPRODUCT(Table4[Probability]*Table4[Rev. Based on PROB]*(Table4[Installation]=$B7)*(Table4[Projected 
Year]=AS$1)*(Table4[Projected 
Month]=AS$2))/MAX(1,SUMPRODUCT(Table4[Rev. Based on PROB]*(Table4[Installation]=$B7)*(Table4[Projected 
Year]=AS$1)*(Table4[Projected 
Month]=AS$2)))</f>
        <v>0</v>
      </c>
      <c r="AU7" s="160">
        <f>SUMPRODUCT(Table4[Rev. Based on PROB]*Table4[Expected CMR]*(Table4[Projected 
Year]=AS$1)*(Table4[Projected 
Month]=AS$2)*(Table4[Installation]=$B7))/MAX(1,AS7)</f>
        <v>0</v>
      </c>
      <c r="AV7" s="27">
        <f>SUMIFS(Table47[Rev. Based on PROB],Table47[Installation],$B7,Table47[Projected 
Year],AV$1,Table47[Monthly revenue],AV$2)</f>
        <v>0</v>
      </c>
      <c r="AW7" s="159">
        <f>SUMPRODUCT(Table4[Probability]*Table4[Rev. Based on PROB]*(Table4[Installation]=$B7)*(Table4[Projected 
Year]=AV$1)*(Table4[Projected 
Month]=AV$2))/MAX(1,SUMPRODUCT(Table4[Rev. Based on PROB]*(Table4[Installation]=$B7)*(Table4[Projected 
Year]=AV$1)*(Table4[Projected 
Month]=AV$2)))</f>
        <v>0</v>
      </c>
      <c r="AX7" s="160">
        <f>SUMPRODUCT(Table4[Rev. Based on PROB]*Table4[Expected CMR]*(Table4[Projected 
Year]=AV$1)*(Table4[Projected 
Month]=AV$2)*(Table4[Installation]=$B7))/MAX(1,AV7)</f>
        <v>0</v>
      </c>
      <c r="AY7" s="27">
        <f>SUMIFS(Table47[Rev. Based on PROB],Table47[Installation],$B7,Table47[Projected 
Year],AY$1,Table47[Monthly revenue],AY$2)</f>
        <v>0</v>
      </c>
      <c r="AZ7" s="159">
        <f>SUMPRODUCT(Table4[Probability]*Table4[Rev. Based on PROB]*(Table4[Installation]=$B7)*(Table4[Projected 
Year]=AY$1)*(Table4[Projected 
Month]=AY$2))/MAX(1,SUMPRODUCT(Table4[Rev. Based on PROB]*(Table4[Installation]=$B7)*(Table4[Projected 
Year]=AY$1)*(Table4[Projected 
Month]=AY$2)))</f>
        <v>0</v>
      </c>
      <c r="BA7" s="160">
        <f>SUMPRODUCT(Table4[Rev. Based on PROB]*Table4[Expected CMR]*(Table4[Projected 
Year]=AY$1)*(Table4[Projected 
Month]=AY$2)*(Table4[Installation]=$B7))/MAX(1,AY7)</f>
        <v>0</v>
      </c>
      <c r="BB7" s="27">
        <f>SUMIFS(Table47[Rev. Based on PROB],Table47[Installation],$B7,Table47[Projected 
Year],BB$1,Table47[Monthly revenue],BB$2)</f>
        <v>0</v>
      </c>
      <c r="BC7" s="159">
        <f>SUMPRODUCT(Table4[Probability]*Table4[Rev. Based on PROB]*(Table4[Installation]=$B7)*(Table4[Projected 
Year]=BB$1)*(Table4[Projected 
Month]=BB$2))/MAX(1,SUMPRODUCT(Table4[Rev. Based on PROB]*(Table4[Installation]=$B7)*(Table4[Projected 
Year]=BB$1)*(Table4[Projected 
Month]=BB$2)))</f>
        <v>0</v>
      </c>
      <c r="BD7" s="160">
        <f>SUMPRODUCT(Table4[Rev. Based on PROB]*Table4[Expected CMR]*(Table4[Projected 
Year]=BB$1)*(Table4[Projected 
Month]=BB$2)*(Table4[Installation]=$B7))/MAX(1,BB7)</f>
        <v>0</v>
      </c>
      <c r="BE7" s="27">
        <f>SUMIFS(Table47[Rev. Based on PROB],Table47[Installation],$B7,Table47[Projected 
Year],BE$1,Table47[Monthly revenue],BE$2)</f>
        <v>0</v>
      </c>
      <c r="BF7" s="159">
        <f>SUMPRODUCT(Table4[Probability]*Table4[Rev. Based on PROB]*(Table4[Installation]=$B7)*(Table4[Projected 
Year]=BE$1)*(Table4[Projected 
Month]=BE$2))/MAX(1,SUMPRODUCT(Table4[Rev. Based on PROB]*(Table4[Installation]=$B7)*(Table4[Projected 
Year]=BE$1)*(Table4[Projected 
Month]=BE$2)))</f>
        <v>0</v>
      </c>
      <c r="BG7" s="160">
        <f>SUMPRODUCT(Table4[Rev. Based on PROB]*Table4[Expected CMR]*(Table4[Projected 
Year]=BE$1)*(Table4[Projected 
Month]=BE$2)*(Table4[Installation]=$B7))/MAX(1,BE7)</f>
        <v>0</v>
      </c>
      <c r="BH7" s="27">
        <f>SUMIFS(Table47[Rev. Based on PROB],Table47[Installation],$B7,Table47[Projected 
Year],BH$1,Table47[Monthly revenue],BH$2)</f>
        <v>0</v>
      </c>
      <c r="BI7" s="159">
        <f>SUMPRODUCT(Table4[Probability]*Table4[Rev. Based on PROB]*(Table4[Installation]=$B7)*(Table4[Projected 
Year]=BH$1)*(Table4[Projected 
Month]=BH$2))/MAX(1,SUMPRODUCT(Table4[Rev. Based on PROB]*(Table4[Installation]=$B7)*(Table4[Projected 
Year]=BH$1)*(Table4[Projected 
Month]=BH$2)))</f>
        <v>0</v>
      </c>
      <c r="BJ7" s="160">
        <f>SUMPRODUCT(Table4[Rev. Based on PROB]*Table4[Expected CMR]*(Table4[Projected 
Year]=BH$1)*(Table4[Projected 
Month]=BH$2)*(Table4[Installation]=$B7))/MAX(1,BH7)</f>
        <v>0</v>
      </c>
      <c r="BK7" s="27">
        <f>SUMIFS(Table47[Rev. Based on PROB],Table47[Installation],$B7,Table47[Projected 
Year],BK$1,Table47[Monthly revenue],BK$2)</f>
        <v>49000</v>
      </c>
      <c r="BL7" s="159">
        <f>SUMPRODUCT(Table4[Probability]*Table4[Rev. Based on PROB]*(Table4[Installation]=$B7)*(Table4[Projected 
Year]=BK$1)*(Table4[Projected 
Month]=BK$2))/MAX(1,SUMPRODUCT(Table4[Rev. Based on PROB]*(Table4[Installation]=$B7)*(Table4[Projected 
Year]=BK$1)*(Table4[Projected 
Month]=BK$2)))</f>
        <v>0</v>
      </c>
      <c r="BM7" s="160">
        <f>SUMPRODUCT(Table4[Rev. Based on PROB]*Table4[Expected CMR]*(Table4[Projected 
Year]=BK$1)*(Table4[Projected 
Month]=BK$2)*(Table4[Installation]=$B7))/MAX(1,BK7)</f>
        <v>0</v>
      </c>
      <c r="BN7" s="27">
        <f>SUMIFS(Table47[Rev. Based on PROB],Table47[Installation],$B7,Table47[Projected 
Year],BN$1,Table47[Monthly revenue],BN$2)</f>
        <v>0</v>
      </c>
      <c r="BO7" s="159">
        <f>SUMPRODUCT(Table4[Probability]*Table4[Rev. Based on PROB]*(Table4[Installation]=$B7)*(Table4[Projected 
Year]=BN$1)*(Table4[Projected 
Month]=BN$2))/MAX(1,SUMPRODUCT(Table4[Rev. Based on PROB]*(Table4[Installation]=$B7)*(Table4[Projected 
Year]=BN$1)*(Table4[Projected 
Month]=BN$2)))</f>
        <v>0</v>
      </c>
      <c r="BP7" s="160">
        <f>SUMPRODUCT(Table4[Rev. Based on PROB]*Table4[Expected CMR]*(Table4[Projected 
Year]=BN$1)*(Table4[Projected 
Month]=BN$2)*(Table4[Installation]=$B7))/MAX(1,BN7)</f>
        <v>0</v>
      </c>
      <c r="BQ7" s="27">
        <f>SUMIFS(Table47[Rev. Based on PROB],Table47[Installation],$B7,Table47[Projected 
Year],BQ$1,Table47[Monthly revenue],BQ$2)</f>
        <v>0</v>
      </c>
      <c r="BR7" s="159">
        <f>SUMPRODUCT(Table4[Probability]*Table4[Rev. Based on PROB]*(Table4[Installation]=$B7)*(Table4[Projected 
Year]=BQ$1)*(Table4[Projected 
Month]=BQ$2))/MAX(1,SUMPRODUCT(Table4[Rev. Based on PROB]*(Table4[Installation]=$B7)*(Table4[Projected 
Year]=BQ$1)*(Table4[Projected 
Month]=BQ$2)))</f>
        <v>0</v>
      </c>
      <c r="BS7" s="160">
        <f>SUMPRODUCT(Table4[Rev. Based on PROB]*Table4[Expected CMR]*(Table4[Projected 
Year]=BQ$1)*(Table4[Projected 
Month]=BQ$2)*(Table4[Installation]=$B7))/MAX(1,BQ7)</f>
        <v>0</v>
      </c>
      <c r="BT7" s="27">
        <f>SUMIFS(Table47[Rev. Based on PROB],Table47[Installation],$B7,Table47[Projected 
Year],BT$1,Table47[Monthly revenue],BT$2)</f>
        <v>0</v>
      </c>
      <c r="BU7" s="159">
        <f>SUMPRODUCT(Table4[Probability]*Table4[Rev. Based on PROB]*(Table4[Installation]=$B7)*(Table4[Projected 
Year]=BT$1)*(Table4[Projected 
Month]=BT$2))/MAX(1,SUMPRODUCT(Table4[Rev. Based on PROB]*(Table4[Installation]=$B7)*(Table4[Projected 
Year]=BT$1)*(Table4[Projected 
Month]=BT$2)))</f>
        <v>0</v>
      </c>
      <c r="BV7" s="160">
        <f>SUMPRODUCT(Table4[Rev. Based on PROB]*Table4[Expected CMR]*(Table4[Projected 
Year]=BT$1)*(Table4[Projected 
Month]=BT$2)*(Table4[Installation]=$B7))/MAX(1,BT7)</f>
        <v>0</v>
      </c>
      <c r="BW7" s="27">
        <f>SUMIFS(Table47[Rev. Based on PROB],Table47[Installation],$B7,Table47[Projected 
Year],BW$1,Table47[Monthly revenue],BW$2)</f>
        <v>0</v>
      </c>
      <c r="BX7" s="159">
        <f>SUMPRODUCT(Table4[Probability]*Table4[Rev. Based on PROB]*(Table4[Installation]=$B7)*(Table4[Projected 
Year]=BW$1)*(Table4[Projected 
Month]=BW$2))/MAX(1,SUMPRODUCT(Table4[Rev. Based on PROB]*(Table4[Installation]=$B7)*(Table4[Projected 
Year]=BW$1)*(Table4[Projected 
Month]=BW$2)))</f>
        <v>0</v>
      </c>
      <c r="BY7" s="160">
        <f>SUMPRODUCT(Table4[Rev. Based on PROB]*Table4[Expected CMR]*(Table4[Projected 
Year]=BW$1)*(Table4[Projected 
Month]=BW$2)*(Table4[Installation]=$B7))/MAX(1,BW7)</f>
        <v>0</v>
      </c>
      <c r="BZ7" s="200"/>
      <c r="CA7" s="200"/>
      <c r="CB7" s="200"/>
      <c r="CC7" s="200"/>
      <c r="CD7" s="200"/>
      <c r="CE7" s="200"/>
      <c r="CF7" s="200"/>
      <c r="CG7" s="200"/>
      <c r="CH7" s="200"/>
      <c r="CI7" s="200"/>
      <c r="CJ7" s="200"/>
      <c r="CK7" s="200"/>
      <c r="CL7" s="200"/>
      <c r="CM7" s="200"/>
      <c r="CN7" s="200"/>
      <c r="CO7" s="200"/>
      <c r="CP7" s="200"/>
      <c r="CQ7" s="200"/>
      <c r="CR7" s="200"/>
      <c r="CS7" s="200"/>
      <c r="CT7" s="200"/>
      <c r="CU7" s="30">
        <f t="shared" si="0"/>
        <v>49000</v>
      </c>
      <c r="CV7" s="52">
        <f t="shared" si="4"/>
        <v>0</v>
      </c>
      <c r="CW7" s="53">
        <f t="shared" si="5"/>
        <v>0</v>
      </c>
      <c r="CX7" s="29"/>
      <c r="CY7" s="19">
        <f t="shared" si="6"/>
        <v>49000</v>
      </c>
    </row>
    <row r="8" spans="1:103">
      <c r="A8" s="18" t="s">
        <v>57</v>
      </c>
      <c r="B8" s="20" t="s">
        <v>114</v>
      </c>
      <c r="C8" s="27">
        <f>SUMIFS(Table4[Rev. Based on PROB],Table4[Installation],$B8,Table4[Projected 
Year],C$1,Table4[Projected 
Month],C$2)</f>
        <v>0</v>
      </c>
      <c r="D8" s="159">
        <f>SUMPRODUCT(Table4[Probability]*Table4[Rev. Based on PROB]*(Table4[Installation]=$B8)*(Table4[Projected 
Year]=C$1)*(Table4[Projected 
Month]=C$2))/MAX(1,SUMPRODUCT(Table4[Rev. Based on PROB]*(Table4[Installation]=$B8)*(Table4[Projected 
Year]=C$1)*(Table4[Projected 
Month]=C$2)))</f>
        <v>0</v>
      </c>
      <c r="E8" s="160">
        <f>SUMPRODUCT(Table4[Rev. Based on PROB]*Table4[Expected CMR]*(Table4[Projected 
Year]=C$1)*(Table4[Projected 
Month]=C$2)*(Table4[Installation]=$B8))/MAX(1,C8)</f>
        <v>0</v>
      </c>
      <c r="F8" s="27">
        <f>SUMIFS(Table4[Rev. Based on PROB],Table4[Installation],$B8,Table4[Projected 
Year],F$1,Table4[Projected 
Month],F$2)</f>
        <v>0</v>
      </c>
      <c r="G8" s="159">
        <f>SUMPRODUCT(Table4[Probability]*Table4[Rev. Based on PROB]*(Table4[Installation]=$B8)*(Table4[Projected 
Year]=F$1)*(Table4[Projected 
Month]=F$2))/MAX(1,SUMPRODUCT(Table4[Rev. Based on PROB]*(Table4[Installation]=$B8)*(Table4[Projected 
Year]=F$1)*(Table4[Projected 
Month]=F$2)))</f>
        <v>0</v>
      </c>
      <c r="H8" s="160">
        <f>SUMPRODUCT(Table4[Rev. Based on PROB]*Table4[Expected CMR]*(Table4[Projected 
Year]=F$1)*(Table4[Projected 
Month]=F$2)*(Table4[Installation]=$B8))/MAX(1,F8)</f>
        <v>0</v>
      </c>
      <c r="I8" s="27">
        <f>SUMIFS(Table4[Rev. Based on PROB],Table4[Installation],$B8,Table4[Projected 
Year],I$1,Table4[Projected 
Month],I$2)</f>
        <v>0</v>
      </c>
      <c r="J8" s="159">
        <f>SUMPRODUCT(Table4[Probability]*Table4[Rev. Based on PROB]*(Table4[Installation]=$B8)*(Table4[Projected 
Year]=I$1)*(Table4[Projected 
Month]=I$2))/MAX(1,SUMPRODUCT(Table4[Rev. Based on PROB]*(Table4[Installation]=$B8)*(Table4[Projected 
Year]=I$1)*(Table4[Projected 
Month]=I$2)))</f>
        <v>0</v>
      </c>
      <c r="K8" s="160">
        <f>SUMPRODUCT(Table4[Rev. Based on PROB]*Table4[Expected CMR]*(Table4[Projected 
Year]=I$1)*(Table4[Projected 
Month]=I$2)*(Table4[Installation]=$B8))/MAX(1,I8)</f>
        <v>0</v>
      </c>
      <c r="L8" s="27">
        <f>SUMIFS(Table4[Rev. Based on PROB],Table4[Installation],$B8,Table4[Projected 
Year],L$1,Table4[Projected 
Month],L$2)</f>
        <v>0</v>
      </c>
      <c r="M8" s="159">
        <f>SUMPRODUCT(Table4[Probability]*Table4[Rev. Based on PROB]*(Table4[Installation]=$B8)*(Table4[Projected 
Year]=L$1)*(Table4[Projected 
Month]=L$2))/MAX(1,SUMPRODUCT(Table4[Rev. Based on PROB]*(Table4[Installation]=$B8)*(Table4[Projected 
Year]=L$1)*(Table4[Projected 
Month]=L$2)))</f>
        <v>0</v>
      </c>
      <c r="N8" s="160">
        <f>SUMPRODUCT(Table4[Rev. Based on PROB]*Table4[Expected CMR]*(Table4[Projected 
Year]=L$1)*(Table4[Projected 
Month]=L$2)*(Table4[Installation]=$B8))/MAX(1,L8)</f>
        <v>0</v>
      </c>
      <c r="O8" s="27">
        <f>SUMIFS(Table4[Rev. Based on PROB],Table4[Installation],$B8,Table4[Projected 
Year],O$1,Table4[Projected 
Month],O$2)</f>
        <v>0</v>
      </c>
      <c r="P8" s="159">
        <f>SUMPRODUCT(Table4[Probability]*Table4[Rev. Based on PROB]*(Table4[Installation]=$B8)*(Table4[Projected 
Year]=O$1)*(Table4[Projected 
Month]=O$2))/MAX(1,SUMPRODUCT(Table4[Rev. Based on PROB]*(Table4[Installation]=$B8)*(Table4[Projected 
Year]=O$1)*(Table4[Projected 
Month]=O$2)))</f>
        <v>0</v>
      </c>
      <c r="Q8" s="160">
        <f>SUMPRODUCT(Table4[Rev. Based on PROB]*Table4[Expected CMR]*(Table4[Projected 
Year]=O$1)*(Table4[Projected 
Month]=O$2)*(Table4[Installation]=$B8))/MAX(1,O8)</f>
        <v>0</v>
      </c>
      <c r="R8" s="27">
        <f>SUMIFS(Table4[Rev. Based on PROB],Table4[Installation],$B8,Table4[Projected 
Year],R$1,Table4[Projected 
Month],R$2)</f>
        <v>0</v>
      </c>
      <c r="S8" s="159">
        <f>SUMPRODUCT(Table4[Probability]*Table4[Rev. Based on PROB]*(Table4[Installation]=$B8)*(Table4[Projected 
Year]=R$1)*(Table4[Projected 
Month]=R$2))/MAX(1,SUMPRODUCT(Table4[Rev. Based on PROB]*(Table4[Installation]=$B8)*(Table4[Projected 
Year]=R$1)*(Table4[Projected 
Month]=R$2)))</f>
        <v>0</v>
      </c>
      <c r="T8" s="160">
        <f>SUMPRODUCT(Table4[Rev. Based on PROB]*Table4[Expected CMR]*(Table4[Projected 
Year]=R$1)*(Table4[Projected 
Month]=R$2)*(Table4[Installation]=$B8))/MAX(1,R8)</f>
        <v>0</v>
      </c>
      <c r="U8" s="27">
        <f>SUMIFS(Table4[Rev. Based on PROB],Table4[Installation],$B8,Table4[Projected 
Year],U$1,Table4[Projected 
Month],U$2)</f>
        <v>0</v>
      </c>
      <c r="V8" s="159">
        <f>SUMPRODUCT(Table4[Probability]*Table4[Rev. Based on PROB]*(Table4[Installation]=$B8)*(Table4[Projected 
Year]=U$1)*(Table4[Projected 
Month]=U$2))/MAX(1,SUMPRODUCT(Table4[Rev. Based on PROB]*(Table4[Installation]=$B8)*(Table4[Projected 
Year]=U$1)*(Table4[Projected 
Month]=U$2)))</f>
        <v>0</v>
      </c>
      <c r="W8" s="160">
        <f>SUMPRODUCT(Table4[Rev. Based on PROB]*Table4[Expected CMR]*(Table4[Projected 
Year]=U$1)*(Table4[Projected 
Month]=U$2)*(Table4[Installation]=$B8))/MAX(1,U8)</f>
        <v>0</v>
      </c>
      <c r="X8" s="27">
        <f>SUMIFS(Table4[Rev. Based on PROB],Table4[Installation],$B8,Table4[Projected 
Year],X$1,Table4[Projected 
Month],X$2)</f>
        <v>0</v>
      </c>
      <c r="Y8" s="159">
        <f>SUMPRODUCT(Table4[Probability]*Table4[Rev. Based on PROB]*(Table4[Installation]=$B8)*(Table4[Projected 
Year]=X$1)*(Table4[Projected 
Month]=X$2))/MAX(1,SUMPRODUCT(Table4[Rev. Based on PROB]*(Table4[Installation]=$B8)*(Table4[Projected 
Year]=X$1)*(Table4[Projected 
Month]=X$2)))</f>
        <v>0</v>
      </c>
      <c r="Z8" s="160">
        <f>SUMPRODUCT(Table4[Rev. Based on PROB]*Table4[Expected CMR]*(Table4[Projected 
Year]=X$1)*(Table4[Projected 
Month]=X$2)*(Table4[Installation]=$B8))/MAX(1,X8)</f>
        <v>0</v>
      </c>
      <c r="AA8" s="27">
        <f>SUMIFS(Table4[Rev. Based on PROB],Table4[Installation],$B8,Table4[Projected 
Year],AA$1,Table4[Projected 
Month],AA$2)</f>
        <v>0</v>
      </c>
      <c r="AB8" s="159">
        <f>SUMPRODUCT(Table4[Probability]*Table4[Rev. Based on PROB]*(Table4[Installation]=$B8)*(Table4[Projected 
Year]=AA$1)*(Table4[Projected 
Month]=AA$2))/MAX(1,SUMPRODUCT(Table4[Rev. Based on PROB]*(Table4[Installation]=$B8)*(Table4[Projected 
Year]=AA$1)*(Table4[Projected 
Month]=AA$2)))</f>
        <v>0</v>
      </c>
      <c r="AC8" s="160">
        <f>SUMPRODUCT(Table4[Rev. Based on PROB]*Table4[Expected CMR]*(Table4[Projected 
Year]=AA$1)*(Table4[Projected 
Month]=AA$2)*(Table4[Installation]=$B8))/MAX(1,AA8)</f>
        <v>0</v>
      </c>
      <c r="AD8" s="27">
        <f>SUMIFS(Table4[Rev. Based on PROB],Table4[Installation],$B8,Table4[Projected 
Year],AD$1,Table4[Projected 
Month],AD$2)</f>
        <v>0</v>
      </c>
      <c r="AE8" s="159">
        <f>SUMPRODUCT(Table4[Probability]*Table4[Rev. Based on PROB]*(Table4[Installation]=$B8)*(Table4[Projected 
Year]=AD$1)*(Table4[Projected 
Month]=AD$2))/MAX(1,SUMPRODUCT(Table4[Rev. Based on PROB]*(Table4[Installation]=$B8)*(Table4[Projected 
Year]=AD$1)*(Table4[Projected 
Month]=AD$2)))</f>
        <v>0</v>
      </c>
      <c r="AF8" s="160">
        <f>SUMPRODUCT(Table4[Rev. Based on PROB]*Table4[Expected CMR]*(Table4[Projected 
Year]=AD$1)*(Table4[Projected 
Month]=AD$2)*(Table4[Installation]=$B8))/MAX(1,AD8)</f>
        <v>0</v>
      </c>
      <c r="AG8" s="27">
        <f>SUMIFS(Table4[Rev. Based on PROB],Table4[Installation],$B8,Table4[Projected 
Year],AG$1,Table4[Projected 
Month],AG$2)</f>
        <v>0</v>
      </c>
      <c r="AH8" s="159">
        <f>SUMPRODUCT(Table4[Probability]*Table4[Rev. Based on PROB]*(Table4[Installation]=$B8)*(Table4[Projected 
Year]=AG$1)*(Table4[Projected 
Month]=AG$2))/MAX(1,SUMPRODUCT(Table4[Rev. Based on PROB]*(Table4[Installation]=$B8)*(Table4[Projected 
Year]=AG$1)*(Table4[Projected 
Month]=AG$2)))</f>
        <v>0</v>
      </c>
      <c r="AI8" s="160">
        <f>SUMPRODUCT(Table4[Rev. Based on PROB]*Table4[Expected CMR]*(Table4[Projected 
Year]=AG$1)*(Table4[Projected 
Month]=AG$2)*(Table4[Installation]=$B8))/MAX(1,AG8)</f>
        <v>0</v>
      </c>
      <c r="AJ8" s="27">
        <f>SUMIFS(Table4[Rev. Based on PROB],Table4[Installation],$B8,Table4[Projected 
Year],AJ$1,Table4[Projected 
Month],AJ$2)</f>
        <v>59915</v>
      </c>
      <c r="AK8" s="159">
        <f>SUMPRODUCT(Table4[Probability]*Table4[Rev. Based on PROB]*(Table4[Installation]=$B8)*(Table4[Projected 
Year]=AJ$1)*(Table4[Projected 
Month]=AJ$2))/MAX(1,SUMPRODUCT(Table4[Rev. Based on PROB]*(Table4[Installation]=$B8)*(Table4[Projected 
Year]=AJ$1)*(Table4[Projected 
Month]=AJ$2)))</f>
        <v>1</v>
      </c>
      <c r="AL8" s="160">
        <f>SUMPRODUCT(Table4[Rev. Based on PROB]*Table4[Expected CMR]*(Table4[Projected 
Year]=AJ$1)*(Table4[Projected 
Month]=AJ$2)*(Table4[Installation]=$B8))/MAX(1,AJ8)</f>
        <v>0.3</v>
      </c>
      <c r="AM8" s="30">
        <f t="shared" si="1"/>
        <v>59915</v>
      </c>
      <c r="AN8" s="52">
        <f t="shared" si="2"/>
        <v>1</v>
      </c>
      <c r="AO8" s="53">
        <f t="shared" si="3"/>
        <v>0.3</v>
      </c>
      <c r="AP8" s="27">
        <f>SUMIFS(Table47[Rev. Based on PROB],Table47[Installation],$B8,Table47[Projected 
Year],AP$1,Table47[Monthly revenue],AP$2)</f>
        <v>15000</v>
      </c>
      <c r="AQ8" s="159">
        <f>SUMPRODUCT(Table4[Probability]*Table4[Rev. Based on PROB]*(Table4[Installation]=$B8)*(Table4[Projected 
Year]=AP$1)*(Table4[Projected 
Month]=AP$2))/MAX(1,SUMPRODUCT(Table4[Rev. Based on PROB]*(Table4[Installation]=$B8)*(Table4[Projected 
Year]=AP$1)*(Table4[Projected 
Month]=AP$2)))</f>
        <v>1</v>
      </c>
      <c r="AR8" s="160">
        <f>SUMPRODUCT(Table4[Rev. Based on PROB]*Table4[Expected CMR]*(Table4[Projected 
Year]=AP$1)*(Table4[Projected 
Month]=AP$2)*(Table4[Installation]=$B8))/MAX(1,AP8)</f>
        <v>0.3</v>
      </c>
      <c r="AS8" s="27">
        <f>SUMIFS(Table47[Rev. Based on PROB],Table47[Installation],$B8,Table47[Projected 
Year],AS$1,Table47[Monthly revenue],AS$2)</f>
        <v>61969</v>
      </c>
      <c r="AT8" s="159">
        <f>SUMPRODUCT(Table4[Probability]*Table4[Rev. Based on PROB]*(Table4[Installation]=$B8)*(Table4[Projected 
Year]=AS$1)*(Table4[Projected 
Month]=AS$2))/MAX(1,SUMPRODUCT(Table4[Rev. Based on PROB]*(Table4[Installation]=$B8)*(Table4[Projected 
Year]=AS$1)*(Table4[Projected 
Month]=AS$2)))</f>
        <v>1</v>
      </c>
      <c r="AU8" s="160">
        <f>SUMPRODUCT(Table4[Rev. Based on PROB]*Table4[Expected CMR]*(Table4[Projected 
Year]=AS$1)*(Table4[Projected 
Month]=AS$2)*(Table4[Installation]=$B8))/MAX(1,AS8)</f>
        <v>0.3</v>
      </c>
      <c r="AV8" s="27">
        <f>SUMIFS(Table47[Rev. Based on PROB],Table47[Installation],$B8,Table47[Projected 
Year],AV$1,Table47[Monthly revenue],AV$2)</f>
        <v>18810.5</v>
      </c>
      <c r="AW8" s="159">
        <f>SUMPRODUCT(Table4[Probability]*Table4[Rev. Based on PROB]*(Table4[Installation]=$B8)*(Table4[Projected 
Year]=AV$1)*(Table4[Projected 
Month]=AV$2))/MAX(1,SUMPRODUCT(Table4[Rev. Based on PROB]*(Table4[Installation]=$B8)*(Table4[Projected 
Year]=AV$1)*(Table4[Projected 
Month]=AV$2)))</f>
        <v>1</v>
      </c>
      <c r="AX8" s="160">
        <f>SUMPRODUCT(Table4[Rev. Based on PROB]*Table4[Expected CMR]*(Table4[Projected 
Year]=AV$1)*(Table4[Projected 
Month]=AV$2)*(Table4[Installation]=$B8))/MAX(1,AV8)</f>
        <v>0.3</v>
      </c>
      <c r="AY8" s="27">
        <f>SUMIFS(Table47[Rev. Based on PROB],Table47[Installation],$B8,Table47[Projected 
Year],AY$1,Table47[Monthly revenue],AY$2)</f>
        <v>41716</v>
      </c>
      <c r="AZ8" s="159">
        <f>SUMPRODUCT(Table4[Probability]*Table4[Rev. Based on PROB]*(Table4[Installation]=$B8)*(Table4[Projected 
Year]=AY$1)*(Table4[Projected 
Month]=AY$2))/MAX(1,SUMPRODUCT(Table4[Rev. Based on PROB]*(Table4[Installation]=$B8)*(Table4[Projected 
Year]=AY$1)*(Table4[Projected 
Month]=AY$2)))</f>
        <v>0</v>
      </c>
      <c r="BA8" s="160">
        <f>SUMPRODUCT(Table4[Rev. Based on PROB]*Table4[Expected CMR]*(Table4[Projected 
Year]=AY$1)*(Table4[Projected 
Month]=AY$2)*(Table4[Installation]=$B8))/MAX(1,AY8)</f>
        <v>0</v>
      </c>
      <c r="BB8" s="27">
        <f>SUMIFS(Table47[Rev. Based on PROB],Table47[Installation],$B8,Table47[Projected 
Year],BB$1,Table47[Monthly revenue],BB$2)</f>
        <v>18810.5</v>
      </c>
      <c r="BC8" s="159">
        <f>SUMPRODUCT(Table4[Probability]*Table4[Rev. Based on PROB]*(Table4[Installation]=$B8)*(Table4[Projected 
Year]=BB$1)*(Table4[Projected 
Month]=BB$2))/MAX(1,SUMPRODUCT(Table4[Rev. Based on PROB]*(Table4[Installation]=$B8)*(Table4[Projected 
Year]=BB$1)*(Table4[Projected 
Month]=BB$2)))</f>
        <v>1</v>
      </c>
      <c r="BD8" s="160">
        <f>SUMPRODUCT(Table4[Rev. Based on PROB]*Table4[Expected CMR]*(Table4[Projected 
Year]=BB$1)*(Table4[Projected 
Month]=BB$2)*(Table4[Installation]=$B8))/MAX(1,BB8)</f>
        <v>0.22168469737646526</v>
      </c>
      <c r="BE8" s="27">
        <f>SUMIFS(Table47[Rev. Based on PROB],Table47[Installation],$B8,Table47[Projected 
Year],BE$1,Table47[Monthly revenue],BE$2)</f>
        <v>0</v>
      </c>
      <c r="BF8" s="159">
        <f>SUMPRODUCT(Table4[Probability]*Table4[Rev. Based on PROB]*(Table4[Installation]=$B8)*(Table4[Projected 
Year]=BE$1)*(Table4[Projected 
Month]=BE$2))/MAX(1,SUMPRODUCT(Table4[Rev. Based on PROB]*(Table4[Installation]=$B8)*(Table4[Projected 
Year]=BE$1)*(Table4[Projected 
Month]=BE$2)))</f>
        <v>1</v>
      </c>
      <c r="BG8" s="160">
        <f>SUMPRODUCT(Table4[Rev. Based on PROB]*Table4[Expected CMR]*(Table4[Projected 
Year]=BE$1)*(Table4[Projected 
Month]=BE$2)*(Table4[Installation]=$B8))/MAX(1,BE8)</f>
        <v>13987.949999999999</v>
      </c>
      <c r="BH8" s="27">
        <f>SUMIFS(Table47[Rev. Based on PROB],Table47[Installation],$B8,Table47[Projected 
Year],BH$1,Table47[Monthly revenue],BH$2)</f>
        <v>10000</v>
      </c>
      <c r="BI8" s="159">
        <f>SUMPRODUCT(Table4[Probability]*Table4[Rev. Based on PROB]*(Table4[Installation]=$B8)*(Table4[Projected 
Year]=BH$1)*(Table4[Projected 
Month]=BH$2))/MAX(1,SUMPRODUCT(Table4[Rev. Based on PROB]*(Table4[Installation]=$B8)*(Table4[Projected 
Year]=BH$1)*(Table4[Projected 
Month]=BH$2)))</f>
        <v>0</v>
      </c>
      <c r="BJ8" s="160">
        <f>SUMPRODUCT(Table4[Rev. Based on PROB]*Table4[Expected CMR]*(Table4[Projected 
Year]=BH$1)*(Table4[Projected 
Month]=BH$2)*(Table4[Installation]=$B8))/MAX(1,BH8)</f>
        <v>0</v>
      </c>
      <c r="BK8" s="27" t="e">
        <f>SUMIFS(Table47[Rev. Based on PROB],Table47[Installation],$B8,Table47[Projected 
Year],BK$1,Table47[Monthly revenue],BK$2)</f>
        <v>#REF!</v>
      </c>
      <c r="BL8" s="159">
        <f>SUMPRODUCT(Table4[Probability]*Table4[Rev. Based on PROB]*(Table4[Installation]=$B8)*(Table4[Projected 
Year]=BK$1)*(Table4[Projected 
Month]=BK$2))/MAX(1,SUMPRODUCT(Table4[Rev. Based on PROB]*(Table4[Installation]=$B8)*(Table4[Projected 
Year]=BK$1)*(Table4[Projected 
Month]=BK$2)))</f>
        <v>0</v>
      </c>
      <c r="BM8" s="160" t="e">
        <f>SUMPRODUCT(Table4[Rev. Based on PROB]*Table4[Expected CMR]*(Table4[Projected 
Year]=BK$1)*(Table4[Projected 
Month]=BK$2)*(Table4[Installation]=$B8))/MAX(1,BK8)</f>
        <v>#REF!</v>
      </c>
      <c r="BN8" s="27">
        <f>SUMIFS(Table47[Rev. Based on PROB],Table47[Installation],$B8,Table47[Projected 
Year],BN$1,Table47[Monthly revenue],BN$2)</f>
        <v>0</v>
      </c>
      <c r="BO8" s="159">
        <f>SUMPRODUCT(Table4[Probability]*Table4[Rev. Based on PROB]*(Table4[Installation]=$B8)*(Table4[Projected 
Year]=BN$1)*(Table4[Projected 
Month]=BN$2))/MAX(1,SUMPRODUCT(Table4[Rev. Based on PROB]*(Table4[Installation]=$B8)*(Table4[Projected 
Year]=BN$1)*(Table4[Projected 
Month]=BN$2)))</f>
        <v>1</v>
      </c>
      <c r="BP8" s="160">
        <f>SUMPRODUCT(Table4[Rev. Based on PROB]*Table4[Expected CMR]*(Table4[Projected 
Year]=BN$1)*(Table4[Projected 
Month]=BN$2)*(Table4[Installation]=$B8))/MAX(1,BN8)</f>
        <v>5643.15</v>
      </c>
      <c r="BQ8" s="27">
        <f>SUMIFS(Table47[Rev. Based on PROB],Table47[Installation],$B8,Table47[Projected 
Year],BQ$1,Table47[Monthly revenue],BQ$2)</f>
        <v>30000</v>
      </c>
      <c r="BR8" s="159">
        <f>SUMPRODUCT(Table4[Probability]*Table4[Rev. Based on PROB]*(Table4[Installation]=$B8)*(Table4[Projected 
Year]=BQ$1)*(Table4[Projected 
Month]=BQ$2))/MAX(1,SUMPRODUCT(Table4[Rev. Based on PROB]*(Table4[Installation]=$B8)*(Table4[Projected 
Year]=BQ$1)*(Table4[Projected 
Month]=BQ$2)))</f>
        <v>0</v>
      </c>
      <c r="BS8" s="160">
        <f>SUMPRODUCT(Table4[Rev. Based on PROB]*Table4[Expected CMR]*(Table4[Projected 
Year]=BQ$1)*(Table4[Projected 
Month]=BQ$2)*(Table4[Installation]=$B8))/MAX(1,BQ8)</f>
        <v>0</v>
      </c>
      <c r="BT8" s="27">
        <f>SUMIFS(Table47[Rev. Based on PROB],Table47[Installation],$B8,Table47[Projected 
Year],BT$1,Table47[Monthly revenue],BT$2)</f>
        <v>30000</v>
      </c>
      <c r="BU8" s="159">
        <f>SUMPRODUCT(Table4[Probability]*Table4[Rev. Based on PROB]*(Table4[Installation]=$B8)*(Table4[Projected 
Year]=BT$1)*(Table4[Projected 
Month]=BT$2))/MAX(1,SUMPRODUCT(Table4[Rev. Based on PROB]*(Table4[Installation]=$B8)*(Table4[Projected 
Year]=BT$1)*(Table4[Projected 
Month]=BT$2)))</f>
        <v>0</v>
      </c>
      <c r="BV8" s="160">
        <f>SUMPRODUCT(Table4[Rev. Based on PROB]*Table4[Expected CMR]*(Table4[Projected 
Year]=BT$1)*(Table4[Projected 
Month]=BT$2)*(Table4[Installation]=$B8))/MAX(1,BT8)</f>
        <v>0</v>
      </c>
      <c r="BW8" s="27">
        <f>SUMIFS(Table47[Rev. Based on PROB],Table47[Installation],$B8,Table47[Projected 
Year],BW$1,Table47[Monthly revenue],BW$2)</f>
        <v>64127.5</v>
      </c>
      <c r="BX8" s="159">
        <f>SUMPRODUCT(Table4[Probability]*Table4[Rev. Based on PROB]*(Table4[Installation]=$B8)*(Table4[Projected 
Year]=BW$1)*(Table4[Projected 
Month]=BW$2))/MAX(1,SUMPRODUCT(Table4[Rev. Based on PROB]*(Table4[Installation]=$B8)*(Table4[Projected 
Year]=BW$1)*(Table4[Projected 
Month]=BW$2)))</f>
        <v>1</v>
      </c>
      <c r="BY8" s="160">
        <f>SUMPRODUCT(Table4[Rev. Based on PROB]*Table4[Expected CMR]*(Table4[Projected 
Year]=BW$1)*(Table4[Projected 
Month]=BW$2)*(Table4[Installation]=$B8))/MAX(1,BW8)</f>
        <v>0.56020038205138201</v>
      </c>
      <c r="BZ8" s="200"/>
      <c r="CA8" s="200"/>
      <c r="CB8" s="200"/>
      <c r="CC8" s="200"/>
      <c r="CD8" s="200"/>
      <c r="CE8" s="200"/>
      <c r="CF8" s="200"/>
      <c r="CG8" s="200"/>
      <c r="CH8" s="200"/>
      <c r="CI8" s="200"/>
      <c r="CJ8" s="200"/>
      <c r="CK8" s="200"/>
      <c r="CL8" s="200"/>
      <c r="CM8" s="200"/>
      <c r="CN8" s="200"/>
      <c r="CO8" s="200"/>
      <c r="CP8" s="200"/>
      <c r="CQ8" s="200"/>
      <c r="CR8" s="200"/>
      <c r="CS8" s="200"/>
      <c r="CT8" s="200"/>
      <c r="CU8" s="30" t="e">
        <f t="shared" si="0"/>
        <v>#REF!</v>
      </c>
      <c r="CV8" s="52">
        <f t="shared" si="4"/>
        <v>1</v>
      </c>
      <c r="CW8" s="53" t="e">
        <f t="shared" si="5"/>
        <v>#REF!</v>
      </c>
      <c r="CX8" s="29">
        <v>439244</v>
      </c>
      <c r="CY8" s="19" t="e">
        <f t="shared" si="6"/>
        <v>#REF!</v>
      </c>
    </row>
    <row r="9" spans="1:103">
      <c r="A9" s="18" t="s">
        <v>57</v>
      </c>
      <c r="B9" s="20" t="s">
        <v>485</v>
      </c>
      <c r="C9" s="27">
        <f>SUMIFS(Table4[Rev. Based on PROB],Table4[Installation],$B9,Table4[Projected 
Year],C$1,Table4[Projected 
Month],C$2)</f>
        <v>0</v>
      </c>
      <c r="D9" s="159">
        <f>SUMPRODUCT(Table4[Probability]*Table4[Rev. Based on PROB]*(Table4[Installation]=$B9)*(Table4[Projected 
Year]=C$1)*(Table4[Projected 
Month]=C$2))/MAX(1,SUMPRODUCT(Table4[Rev. Based on PROB]*(Table4[Installation]=$B9)*(Table4[Projected 
Year]=C$1)*(Table4[Projected 
Month]=C$2)))</f>
        <v>0</v>
      </c>
      <c r="E9" s="160">
        <f>SUMPRODUCT(Table4[Rev. Based on PROB]*Table4[Expected CMR]*(Table4[Projected 
Year]=C$1)*(Table4[Projected 
Month]=C$2)*(Table4[Installation]=$B9))/MAX(1,C9)</f>
        <v>0</v>
      </c>
      <c r="F9" s="27">
        <f>SUMIFS(Table4[Rev. Based on PROB],Table4[Installation],$B9,Table4[Projected 
Year],F$1,Table4[Projected 
Month],F$2)</f>
        <v>0</v>
      </c>
      <c r="G9" s="159">
        <f>SUMPRODUCT(Table4[Probability]*Table4[Rev. Based on PROB]*(Table4[Installation]=$B9)*(Table4[Projected 
Year]=F$1)*(Table4[Projected 
Month]=F$2))/MAX(1,SUMPRODUCT(Table4[Rev. Based on PROB]*(Table4[Installation]=$B9)*(Table4[Projected 
Year]=F$1)*(Table4[Projected 
Month]=F$2)))</f>
        <v>0</v>
      </c>
      <c r="H9" s="160">
        <f>SUMPRODUCT(Table4[Rev. Based on PROB]*Table4[Expected CMR]*(Table4[Projected 
Year]=F$1)*(Table4[Projected 
Month]=F$2)*(Table4[Installation]=$B9))/MAX(1,F9)</f>
        <v>0</v>
      </c>
      <c r="I9" s="27">
        <f>SUMIFS(Table4[Rev. Based on PROB],Table4[Installation],$B9,Table4[Projected 
Year],I$1,Table4[Projected 
Month],I$2)</f>
        <v>0</v>
      </c>
      <c r="J9" s="159">
        <f>SUMPRODUCT(Table4[Probability]*Table4[Rev. Based on PROB]*(Table4[Installation]=$B9)*(Table4[Projected 
Year]=I$1)*(Table4[Projected 
Month]=I$2))/MAX(1,SUMPRODUCT(Table4[Rev. Based on PROB]*(Table4[Installation]=$B9)*(Table4[Projected 
Year]=I$1)*(Table4[Projected 
Month]=I$2)))</f>
        <v>0</v>
      </c>
      <c r="K9" s="160">
        <f>SUMPRODUCT(Table4[Rev. Based on PROB]*Table4[Expected CMR]*(Table4[Projected 
Year]=I$1)*(Table4[Projected 
Month]=I$2)*(Table4[Installation]=$B9))/MAX(1,I9)</f>
        <v>0</v>
      </c>
      <c r="L9" s="27">
        <f>SUMIFS(Table4[Rev. Based on PROB],Table4[Installation],$B9,Table4[Projected 
Year],L$1,Table4[Projected 
Month],L$2)</f>
        <v>0</v>
      </c>
      <c r="M9" s="159">
        <f>SUMPRODUCT(Table4[Probability]*Table4[Rev. Based on PROB]*(Table4[Installation]=$B9)*(Table4[Projected 
Year]=L$1)*(Table4[Projected 
Month]=L$2))/MAX(1,SUMPRODUCT(Table4[Rev. Based on PROB]*(Table4[Installation]=$B9)*(Table4[Projected 
Year]=L$1)*(Table4[Projected 
Month]=L$2)))</f>
        <v>0</v>
      </c>
      <c r="N9" s="160">
        <f>SUMPRODUCT(Table4[Rev. Based on PROB]*Table4[Expected CMR]*(Table4[Projected 
Year]=L$1)*(Table4[Projected 
Month]=L$2)*(Table4[Installation]=$B9))/MAX(1,L9)</f>
        <v>0</v>
      </c>
      <c r="O9" s="27">
        <f>SUMIFS(Table4[Rev. Based on PROB],Table4[Installation],$B9,Table4[Projected 
Year],O$1,Table4[Projected 
Month],O$2)</f>
        <v>0</v>
      </c>
      <c r="P9" s="159">
        <f>SUMPRODUCT(Table4[Probability]*Table4[Rev. Based on PROB]*(Table4[Installation]=$B9)*(Table4[Projected 
Year]=O$1)*(Table4[Projected 
Month]=O$2))/MAX(1,SUMPRODUCT(Table4[Rev. Based on PROB]*(Table4[Installation]=$B9)*(Table4[Projected 
Year]=O$1)*(Table4[Projected 
Month]=O$2)))</f>
        <v>0</v>
      </c>
      <c r="Q9" s="160">
        <f>SUMPRODUCT(Table4[Rev. Based on PROB]*Table4[Expected CMR]*(Table4[Projected 
Year]=O$1)*(Table4[Projected 
Month]=O$2)*(Table4[Installation]=$B9))/MAX(1,O9)</f>
        <v>0</v>
      </c>
      <c r="R9" s="27">
        <f>SUMIFS(Table4[Rev. Based on PROB],Table4[Installation],$B9,Table4[Projected 
Year],R$1,Table4[Projected 
Month],R$2)</f>
        <v>0</v>
      </c>
      <c r="S9" s="159">
        <f>SUMPRODUCT(Table4[Probability]*Table4[Rev. Based on PROB]*(Table4[Installation]=$B9)*(Table4[Projected 
Year]=R$1)*(Table4[Projected 
Month]=R$2))/MAX(1,SUMPRODUCT(Table4[Rev. Based on PROB]*(Table4[Installation]=$B9)*(Table4[Projected 
Year]=R$1)*(Table4[Projected 
Month]=R$2)))</f>
        <v>0</v>
      </c>
      <c r="T9" s="160">
        <f>SUMPRODUCT(Table4[Rev. Based on PROB]*Table4[Expected CMR]*(Table4[Projected 
Year]=R$1)*(Table4[Projected 
Month]=R$2)*(Table4[Installation]=$B9))/MAX(1,R9)</f>
        <v>0</v>
      </c>
      <c r="U9" s="27">
        <f>SUMIFS(Table4[Rev. Based on PROB],Table4[Installation],$B9,Table4[Projected 
Year],U$1,Table4[Projected 
Month],U$2)</f>
        <v>0</v>
      </c>
      <c r="V9" s="159">
        <f>SUMPRODUCT(Table4[Probability]*Table4[Rev. Based on PROB]*(Table4[Installation]=$B9)*(Table4[Projected 
Year]=U$1)*(Table4[Projected 
Month]=U$2))/MAX(1,SUMPRODUCT(Table4[Rev. Based on PROB]*(Table4[Installation]=$B9)*(Table4[Projected 
Year]=U$1)*(Table4[Projected 
Month]=U$2)))</f>
        <v>0</v>
      </c>
      <c r="W9" s="160">
        <f>SUMPRODUCT(Table4[Rev. Based on PROB]*Table4[Expected CMR]*(Table4[Projected 
Year]=U$1)*(Table4[Projected 
Month]=U$2)*(Table4[Installation]=$B9))/MAX(1,U9)</f>
        <v>0</v>
      </c>
      <c r="X9" s="27">
        <f>SUMIFS(Table4[Rev. Based on PROB],Table4[Installation],$B9,Table4[Projected 
Year],X$1,Table4[Projected 
Month],X$2)</f>
        <v>0</v>
      </c>
      <c r="Y9" s="159">
        <f>SUMPRODUCT(Table4[Probability]*Table4[Rev. Based on PROB]*(Table4[Installation]=$B9)*(Table4[Projected 
Year]=X$1)*(Table4[Projected 
Month]=X$2))/MAX(1,SUMPRODUCT(Table4[Rev. Based on PROB]*(Table4[Installation]=$B9)*(Table4[Projected 
Year]=X$1)*(Table4[Projected 
Month]=X$2)))</f>
        <v>0</v>
      </c>
      <c r="Z9" s="160">
        <f>SUMPRODUCT(Table4[Rev. Based on PROB]*Table4[Expected CMR]*(Table4[Projected 
Year]=X$1)*(Table4[Projected 
Month]=X$2)*(Table4[Installation]=$B9))/MAX(1,X9)</f>
        <v>0</v>
      </c>
      <c r="AA9" s="27">
        <f>SUMIFS(Table4[Rev. Based on PROB],Table4[Installation],$B9,Table4[Projected 
Year],AA$1,Table4[Projected 
Month],AA$2)</f>
        <v>0</v>
      </c>
      <c r="AB9" s="159">
        <f>SUMPRODUCT(Table4[Probability]*Table4[Rev. Based on PROB]*(Table4[Installation]=$B9)*(Table4[Projected 
Year]=AA$1)*(Table4[Projected 
Month]=AA$2))/MAX(1,SUMPRODUCT(Table4[Rev. Based on PROB]*(Table4[Installation]=$B9)*(Table4[Projected 
Year]=AA$1)*(Table4[Projected 
Month]=AA$2)))</f>
        <v>0</v>
      </c>
      <c r="AC9" s="160">
        <f>SUMPRODUCT(Table4[Rev. Based on PROB]*Table4[Expected CMR]*(Table4[Projected 
Year]=AA$1)*(Table4[Projected 
Month]=AA$2)*(Table4[Installation]=$B9))/MAX(1,AA9)</f>
        <v>0</v>
      </c>
      <c r="AD9" s="27">
        <f>SUMIFS(Table4[Rev. Based on PROB],Table4[Installation],$B9,Table4[Projected 
Year],AD$1,Table4[Projected 
Month],AD$2)</f>
        <v>0</v>
      </c>
      <c r="AE9" s="159">
        <f>SUMPRODUCT(Table4[Probability]*Table4[Rev. Based on PROB]*(Table4[Installation]=$B9)*(Table4[Projected 
Year]=AD$1)*(Table4[Projected 
Month]=AD$2))/MAX(1,SUMPRODUCT(Table4[Rev. Based on PROB]*(Table4[Installation]=$B9)*(Table4[Projected 
Year]=AD$1)*(Table4[Projected 
Month]=AD$2)))</f>
        <v>0</v>
      </c>
      <c r="AF9" s="160">
        <f>SUMPRODUCT(Table4[Rev. Based on PROB]*Table4[Expected CMR]*(Table4[Projected 
Year]=AD$1)*(Table4[Projected 
Month]=AD$2)*(Table4[Installation]=$B9))/MAX(1,AD9)</f>
        <v>0</v>
      </c>
      <c r="AG9" s="27">
        <f>SUMIFS(Table4[Rev. Based on PROB],Table4[Installation],$B9,Table4[Projected 
Year],AG$1,Table4[Projected 
Month],AG$2)</f>
        <v>0</v>
      </c>
      <c r="AH9" s="159">
        <f>SUMPRODUCT(Table4[Probability]*Table4[Rev. Based on PROB]*(Table4[Installation]=$B9)*(Table4[Projected 
Year]=AG$1)*(Table4[Projected 
Month]=AG$2))/MAX(1,SUMPRODUCT(Table4[Rev. Based on PROB]*(Table4[Installation]=$B9)*(Table4[Projected 
Year]=AG$1)*(Table4[Projected 
Month]=AG$2)))</f>
        <v>0</v>
      </c>
      <c r="AI9" s="160">
        <f>SUMPRODUCT(Table4[Rev. Based on PROB]*Table4[Expected CMR]*(Table4[Projected 
Year]=AG$1)*(Table4[Projected 
Month]=AG$2)*(Table4[Installation]=$B9))/MAX(1,AG9)</f>
        <v>0</v>
      </c>
      <c r="AJ9" s="27">
        <f>SUMIFS(Table4[Rev. Based on PROB],Table4[Installation],$B9,Table4[Projected 
Year],AJ$1,Table4[Projected 
Month],AJ$2)</f>
        <v>0</v>
      </c>
      <c r="AK9" s="159">
        <f>SUMPRODUCT(Table4[Probability]*Table4[Rev. Based on PROB]*(Table4[Installation]=$B9)*(Table4[Projected 
Year]=AJ$1)*(Table4[Projected 
Month]=AJ$2))/MAX(1,SUMPRODUCT(Table4[Rev. Based on PROB]*(Table4[Installation]=$B9)*(Table4[Projected 
Year]=AJ$1)*(Table4[Projected 
Month]=AJ$2)))</f>
        <v>0</v>
      </c>
      <c r="AL9" s="160">
        <f>SUMPRODUCT(Table4[Rev. Based on PROB]*Table4[Expected CMR]*(Table4[Projected 
Year]=AJ$1)*(Table4[Projected 
Month]=AJ$2)*(Table4[Installation]=$B9))/MAX(1,AJ9)</f>
        <v>0</v>
      </c>
      <c r="AM9" s="30">
        <f t="shared" si="1"/>
        <v>0</v>
      </c>
      <c r="AN9" s="52">
        <f t="shared" si="2"/>
        <v>0</v>
      </c>
      <c r="AO9" s="53">
        <f t="shared" si="3"/>
        <v>0</v>
      </c>
      <c r="AP9" s="27">
        <f>SUMIFS(Table47[Rev. Based on PROB],Table47[Installation],$B9,Table47[Projected 
Year],AP$1,Table47[Monthly revenue],AP$2)</f>
        <v>0</v>
      </c>
      <c r="AQ9" s="159">
        <f>SUMPRODUCT(Table4[Probability]*Table4[Rev. Based on PROB]*(Table4[Installation]=$B9)*(Table4[Projected 
Year]=AP$1)*(Table4[Projected 
Month]=AP$2))/MAX(1,SUMPRODUCT(Table4[Rev. Based on PROB]*(Table4[Installation]=$B9)*(Table4[Projected 
Year]=AP$1)*(Table4[Projected 
Month]=AP$2)))</f>
        <v>0</v>
      </c>
      <c r="AR9" s="160">
        <f>SUMPRODUCT(Table4[Rev. Based on PROB]*Table4[Expected CMR]*(Table4[Projected 
Year]=AP$1)*(Table4[Projected 
Month]=AP$2)*(Table4[Installation]=$B9))/MAX(1,AP9)</f>
        <v>0</v>
      </c>
      <c r="AS9" s="27">
        <f>SUMIFS(Table47[Rev. Based on PROB],Table47[Installation],$B9,Table47[Projected 
Year],AS$1,Table47[Monthly revenue],AS$2)</f>
        <v>0</v>
      </c>
      <c r="AT9" s="159">
        <f>SUMPRODUCT(Table4[Probability]*Table4[Rev. Based on PROB]*(Table4[Installation]=$B9)*(Table4[Projected 
Year]=AS$1)*(Table4[Projected 
Month]=AS$2))/MAX(1,SUMPRODUCT(Table4[Rev. Based on PROB]*(Table4[Installation]=$B9)*(Table4[Projected 
Year]=AS$1)*(Table4[Projected 
Month]=AS$2)))</f>
        <v>0</v>
      </c>
      <c r="AU9" s="160">
        <f>SUMPRODUCT(Table4[Rev. Based on PROB]*Table4[Expected CMR]*(Table4[Projected 
Year]=AS$1)*(Table4[Projected 
Month]=AS$2)*(Table4[Installation]=$B9))/MAX(1,AS9)</f>
        <v>0</v>
      </c>
      <c r="AV9" s="27">
        <f>SUMIFS(Table47[Rev. Based on PROB],Table47[Installation],$B9,Table47[Projected 
Year],AV$1,Table47[Monthly revenue],AV$2)</f>
        <v>0</v>
      </c>
      <c r="AW9" s="159">
        <f>SUMPRODUCT(Table4[Probability]*Table4[Rev. Based on PROB]*(Table4[Installation]=$B9)*(Table4[Projected 
Year]=AV$1)*(Table4[Projected 
Month]=AV$2))/MAX(1,SUMPRODUCT(Table4[Rev. Based on PROB]*(Table4[Installation]=$B9)*(Table4[Projected 
Year]=AV$1)*(Table4[Projected 
Month]=AV$2)))</f>
        <v>0</v>
      </c>
      <c r="AX9" s="160">
        <f>SUMPRODUCT(Table4[Rev. Based on PROB]*Table4[Expected CMR]*(Table4[Projected 
Year]=AV$1)*(Table4[Projected 
Month]=AV$2)*(Table4[Installation]=$B9))/MAX(1,AV9)</f>
        <v>0</v>
      </c>
      <c r="AY9" s="27">
        <f>SUMIFS(Table47[Rev. Based on PROB],Table47[Installation],$B9,Table47[Projected 
Year],AY$1,Table47[Monthly revenue],AY$2)</f>
        <v>0</v>
      </c>
      <c r="AZ9" s="159">
        <f>SUMPRODUCT(Table4[Probability]*Table4[Rev. Based on PROB]*(Table4[Installation]=$B9)*(Table4[Projected 
Year]=AY$1)*(Table4[Projected 
Month]=AY$2))/MAX(1,SUMPRODUCT(Table4[Rev. Based on PROB]*(Table4[Installation]=$B9)*(Table4[Projected 
Year]=AY$1)*(Table4[Projected 
Month]=AY$2)))</f>
        <v>0</v>
      </c>
      <c r="BA9" s="160">
        <f>SUMPRODUCT(Table4[Rev. Based on PROB]*Table4[Expected CMR]*(Table4[Projected 
Year]=AY$1)*(Table4[Projected 
Month]=AY$2)*(Table4[Installation]=$B9))/MAX(1,AY9)</f>
        <v>0</v>
      </c>
      <c r="BB9" s="27">
        <f>SUMIFS(Table47[Rev. Based on PROB],Table47[Installation],$B9,Table47[Projected 
Year],BB$1,Table47[Monthly revenue],BB$2)</f>
        <v>0</v>
      </c>
      <c r="BC9" s="159">
        <f>SUMPRODUCT(Table4[Probability]*Table4[Rev. Based on PROB]*(Table4[Installation]=$B9)*(Table4[Projected 
Year]=BB$1)*(Table4[Projected 
Month]=BB$2))/MAX(1,SUMPRODUCT(Table4[Rev. Based on PROB]*(Table4[Installation]=$B9)*(Table4[Projected 
Year]=BB$1)*(Table4[Projected 
Month]=BB$2)))</f>
        <v>0</v>
      </c>
      <c r="BD9" s="160">
        <f>SUMPRODUCT(Table4[Rev. Based on PROB]*Table4[Expected CMR]*(Table4[Projected 
Year]=BB$1)*(Table4[Projected 
Month]=BB$2)*(Table4[Installation]=$B9))/MAX(1,BB9)</f>
        <v>0</v>
      </c>
      <c r="BE9" s="27">
        <f>SUMIFS(Table47[Rev. Based on PROB],Table47[Installation],$B9,Table47[Projected 
Year],BE$1,Table47[Monthly revenue],BE$2)</f>
        <v>0</v>
      </c>
      <c r="BF9" s="159">
        <f>SUMPRODUCT(Table4[Probability]*Table4[Rev. Based on PROB]*(Table4[Installation]=$B9)*(Table4[Projected 
Year]=BE$1)*(Table4[Projected 
Month]=BE$2))/MAX(1,SUMPRODUCT(Table4[Rev. Based on PROB]*(Table4[Installation]=$B9)*(Table4[Projected 
Year]=BE$1)*(Table4[Projected 
Month]=BE$2)))</f>
        <v>0</v>
      </c>
      <c r="BG9" s="160">
        <f>SUMPRODUCT(Table4[Rev. Based on PROB]*Table4[Expected CMR]*(Table4[Projected 
Year]=BE$1)*(Table4[Projected 
Month]=BE$2)*(Table4[Installation]=$B9))/MAX(1,BE9)</f>
        <v>0</v>
      </c>
      <c r="BH9" s="27">
        <f>SUMIFS(Table47[Rev. Based on PROB],Table47[Installation],$B9,Table47[Projected 
Year],BH$1,Table47[Monthly revenue],BH$2)</f>
        <v>0</v>
      </c>
      <c r="BI9" s="159">
        <f>SUMPRODUCT(Table4[Probability]*Table4[Rev. Based on PROB]*(Table4[Installation]=$B9)*(Table4[Projected 
Year]=BH$1)*(Table4[Projected 
Month]=BH$2))/MAX(1,SUMPRODUCT(Table4[Rev. Based on PROB]*(Table4[Installation]=$B9)*(Table4[Projected 
Year]=BH$1)*(Table4[Projected 
Month]=BH$2)))</f>
        <v>0</v>
      </c>
      <c r="BJ9" s="160">
        <f>SUMPRODUCT(Table4[Rev. Based on PROB]*Table4[Expected CMR]*(Table4[Projected 
Year]=BH$1)*(Table4[Projected 
Month]=BH$2)*(Table4[Installation]=$B9))/MAX(1,BH9)</f>
        <v>0</v>
      </c>
      <c r="BK9" s="27">
        <f>SUMIFS(Table47[Rev. Based on PROB],Table47[Installation],$B9,Table47[Projected 
Year],BK$1,Table47[Monthly revenue],BK$2)</f>
        <v>0</v>
      </c>
      <c r="BL9" s="159">
        <f>SUMPRODUCT(Table4[Probability]*Table4[Rev. Based on PROB]*(Table4[Installation]=$B9)*(Table4[Projected 
Year]=BK$1)*(Table4[Projected 
Month]=BK$2))/MAX(1,SUMPRODUCT(Table4[Rev. Based on PROB]*(Table4[Installation]=$B9)*(Table4[Projected 
Year]=BK$1)*(Table4[Projected 
Month]=BK$2)))</f>
        <v>0</v>
      </c>
      <c r="BM9" s="160">
        <f>SUMPRODUCT(Table4[Rev. Based on PROB]*Table4[Expected CMR]*(Table4[Projected 
Year]=BK$1)*(Table4[Projected 
Month]=BK$2)*(Table4[Installation]=$B9))/MAX(1,BK9)</f>
        <v>0</v>
      </c>
      <c r="BN9" s="27">
        <f>SUMIFS(Table47[Rev. Based on PROB],Table47[Installation],$B9,Table47[Projected 
Year],BN$1,Table47[Monthly revenue],BN$2)</f>
        <v>0</v>
      </c>
      <c r="BO9" s="159">
        <f>SUMPRODUCT(Table4[Probability]*Table4[Rev. Based on PROB]*(Table4[Installation]=$B9)*(Table4[Projected 
Year]=BN$1)*(Table4[Projected 
Month]=BN$2))/MAX(1,SUMPRODUCT(Table4[Rev. Based on PROB]*(Table4[Installation]=$B9)*(Table4[Projected 
Year]=BN$1)*(Table4[Projected 
Month]=BN$2)))</f>
        <v>0</v>
      </c>
      <c r="BP9" s="160">
        <f>SUMPRODUCT(Table4[Rev. Based on PROB]*Table4[Expected CMR]*(Table4[Projected 
Year]=BN$1)*(Table4[Projected 
Month]=BN$2)*(Table4[Installation]=$B9))/MAX(1,BN9)</f>
        <v>0</v>
      </c>
      <c r="BQ9" s="27">
        <f>SUMIFS(Table47[Rev. Based on PROB],Table47[Installation],$B9,Table47[Projected 
Year],BQ$1,Table47[Monthly revenue],BQ$2)</f>
        <v>0</v>
      </c>
      <c r="BR9" s="159">
        <f>SUMPRODUCT(Table4[Probability]*Table4[Rev. Based on PROB]*(Table4[Installation]=$B9)*(Table4[Projected 
Year]=BQ$1)*(Table4[Projected 
Month]=BQ$2))/MAX(1,SUMPRODUCT(Table4[Rev. Based on PROB]*(Table4[Installation]=$B9)*(Table4[Projected 
Year]=BQ$1)*(Table4[Projected 
Month]=BQ$2)))</f>
        <v>0</v>
      </c>
      <c r="BS9" s="160">
        <f>SUMPRODUCT(Table4[Rev. Based on PROB]*Table4[Expected CMR]*(Table4[Projected 
Year]=BQ$1)*(Table4[Projected 
Month]=BQ$2)*(Table4[Installation]=$B9))/MAX(1,BQ9)</f>
        <v>0</v>
      </c>
      <c r="BT9" s="27">
        <f>SUMIFS(Table47[Rev. Based on PROB],Table47[Installation],$B9,Table47[Projected 
Year],BT$1,Table47[Monthly revenue],BT$2)</f>
        <v>0</v>
      </c>
      <c r="BU9" s="159">
        <f>SUMPRODUCT(Table4[Probability]*Table4[Rev. Based on PROB]*(Table4[Installation]=$B9)*(Table4[Projected 
Year]=BT$1)*(Table4[Projected 
Month]=BT$2))/MAX(1,SUMPRODUCT(Table4[Rev. Based on PROB]*(Table4[Installation]=$B9)*(Table4[Projected 
Year]=BT$1)*(Table4[Projected 
Month]=BT$2)))</f>
        <v>0</v>
      </c>
      <c r="BV9" s="160">
        <f>SUMPRODUCT(Table4[Rev. Based on PROB]*Table4[Expected CMR]*(Table4[Projected 
Year]=BT$1)*(Table4[Projected 
Month]=BT$2)*(Table4[Installation]=$B9))/MAX(1,BT9)</f>
        <v>0</v>
      </c>
      <c r="BW9" s="27">
        <f>SUMIFS(Table47[Rev. Based on PROB],Table47[Installation],$B9,Table47[Projected 
Year],BW$1,Table47[Monthly revenue],BW$2)</f>
        <v>0</v>
      </c>
      <c r="BX9" s="159">
        <f>SUMPRODUCT(Table4[Probability]*Table4[Rev. Based on PROB]*(Table4[Installation]=$B9)*(Table4[Projected 
Year]=BW$1)*(Table4[Projected 
Month]=BW$2))/MAX(1,SUMPRODUCT(Table4[Rev. Based on PROB]*(Table4[Installation]=$B9)*(Table4[Projected 
Year]=BW$1)*(Table4[Projected 
Month]=BW$2)))</f>
        <v>0</v>
      </c>
      <c r="BY9" s="160">
        <f>SUMPRODUCT(Table4[Rev. Based on PROB]*Table4[Expected CMR]*(Table4[Projected 
Year]=BW$1)*(Table4[Projected 
Month]=BW$2)*(Table4[Installation]=$B9))/MAX(1,BW9)</f>
        <v>0</v>
      </c>
      <c r="BZ9" s="200"/>
      <c r="CA9" s="200"/>
      <c r="CB9" s="200"/>
      <c r="CC9" s="200"/>
      <c r="CD9" s="200"/>
      <c r="CE9" s="200"/>
      <c r="CF9" s="200"/>
      <c r="CG9" s="200"/>
      <c r="CH9" s="200"/>
      <c r="CI9" s="200"/>
      <c r="CJ9" s="200"/>
      <c r="CK9" s="200"/>
      <c r="CL9" s="200"/>
      <c r="CM9" s="200"/>
      <c r="CN9" s="200"/>
      <c r="CO9" s="200"/>
      <c r="CP9" s="200"/>
      <c r="CQ9" s="200"/>
      <c r="CR9" s="200"/>
      <c r="CS9" s="200"/>
      <c r="CT9" s="200"/>
      <c r="CU9" s="30">
        <f t="shared" si="0"/>
        <v>0</v>
      </c>
      <c r="CV9" s="52">
        <f t="shared" si="4"/>
        <v>0</v>
      </c>
      <c r="CW9" s="53">
        <f t="shared" si="5"/>
        <v>0</v>
      </c>
      <c r="CX9" s="29"/>
      <c r="CY9" s="19">
        <f t="shared" si="6"/>
        <v>0</v>
      </c>
    </row>
    <row r="10" spans="1:103">
      <c r="A10" s="18" t="s">
        <v>57</v>
      </c>
      <c r="B10" s="20" t="s">
        <v>122</v>
      </c>
      <c r="C10" s="27">
        <f>SUMIFS(Table4[Rev. Based on PROB],Table4[Installation],$B10,Table4[Projected 
Year],C$1,Table4[Projected 
Month],C$2)</f>
        <v>0</v>
      </c>
      <c r="D10" s="159">
        <f>SUMPRODUCT(Table4[Probability]*Table4[Rev. Based on PROB]*(Table4[Installation]=$B10)*(Table4[Projected 
Year]=C$1)*(Table4[Projected 
Month]=C$2))/MAX(1,SUMPRODUCT(Table4[Rev. Based on PROB]*(Table4[Installation]=$B10)*(Table4[Projected 
Year]=C$1)*(Table4[Projected 
Month]=C$2)))</f>
        <v>0</v>
      </c>
      <c r="E10" s="160">
        <f>SUMPRODUCT(Table4[Rev. Based on PROB]*Table4[Expected CMR]*(Table4[Projected 
Year]=C$1)*(Table4[Projected 
Month]=C$2)*(Table4[Installation]=$B10))/MAX(1,C10)</f>
        <v>0</v>
      </c>
      <c r="F10" s="27">
        <f>SUMIFS(Table4[Rev. Based on PROB],Table4[Installation],$B10,Table4[Projected 
Year],F$1,Table4[Projected 
Month],F$2)</f>
        <v>0</v>
      </c>
      <c r="G10" s="159">
        <f>SUMPRODUCT(Table4[Probability]*Table4[Rev. Based on PROB]*(Table4[Installation]=$B10)*(Table4[Projected 
Year]=F$1)*(Table4[Projected 
Month]=F$2))/MAX(1,SUMPRODUCT(Table4[Rev. Based on PROB]*(Table4[Installation]=$B10)*(Table4[Projected 
Year]=F$1)*(Table4[Projected 
Month]=F$2)))</f>
        <v>0</v>
      </c>
      <c r="H10" s="160">
        <f>SUMPRODUCT(Table4[Rev. Based on PROB]*Table4[Expected CMR]*(Table4[Projected 
Year]=F$1)*(Table4[Projected 
Month]=F$2)*(Table4[Installation]=$B10))/MAX(1,F10)</f>
        <v>0</v>
      </c>
      <c r="I10" s="27">
        <f>SUMIFS(Table4[Rev. Based on PROB],Table4[Installation],$B10,Table4[Projected 
Year],I$1,Table4[Projected 
Month],I$2)</f>
        <v>0</v>
      </c>
      <c r="J10" s="159">
        <f>SUMPRODUCT(Table4[Probability]*Table4[Rev. Based on PROB]*(Table4[Installation]=$B10)*(Table4[Projected 
Year]=I$1)*(Table4[Projected 
Month]=I$2))/MAX(1,SUMPRODUCT(Table4[Rev. Based on PROB]*(Table4[Installation]=$B10)*(Table4[Projected 
Year]=I$1)*(Table4[Projected 
Month]=I$2)))</f>
        <v>0</v>
      </c>
      <c r="K10" s="160">
        <f>SUMPRODUCT(Table4[Rev. Based on PROB]*Table4[Expected CMR]*(Table4[Projected 
Year]=I$1)*(Table4[Projected 
Month]=I$2)*(Table4[Installation]=$B10))/MAX(1,I10)</f>
        <v>0</v>
      </c>
      <c r="L10" s="27">
        <f>SUMIFS(Table4[Rev. Based on PROB],Table4[Installation],$B10,Table4[Projected 
Year],L$1,Table4[Projected 
Month],L$2)</f>
        <v>0</v>
      </c>
      <c r="M10" s="159">
        <f>SUMPRODUCT(Table4[Probability]*Table4[Rev. Based on PROB]*(Table4[Installation]=$B10)*(Table4[Projected 
Year]=L$1)*(Table4[Projected 
Month]=L$2))/MAX(1,SUMPRODUCT(Table4[Rev. Based on PROB]*(Table4[Installation]=$B10)*(Table4[Projected 
Year]=L$1)*(Table4[Projected 
Month]=L$2)))</f>
        <v>0</v>
      </c>
      <c r="N10" s="160">
        <f>SUMPRODUCT(Table4[Rev. Based on PROB]*Table4[Expected CMR]*(Table4[Projected 
Year]=L$1)*(Table4[Projected 
Month]=L$2)*(Table4[Installation]=$B10))/MAX(1,L10)</f>
        <v>0</v>
      </c>
      <c r="O10" s="27">
        <f>SUMIFS(Table4[Rev. Based on PROB],Table4[Installation],$B10,Table4[Projected 
Year],O$1,Table4[Projected 
Month],O$2)</f>
        <v>0</v>
      </c>
      <c r="P10" s="159">
        <f>SUMPRODUCT(Table4[Probability]*Table4[Rev. Based on PROB]*(Table4[Installation]=$B10)*(Table4[Projected 
Year]=O$1)*(Table4[Projected 
Month]=O$2))/MAX(1,SUMPRODUCT(Table4[Rev. Based on PROB]*(Table4[Installation]=$B10)*(Table4[Projected 
Year]=O$1)*(Table4[Projected 
Month]=O$2)))</f>
        <v>0</v>
      </c>
      <c r="Q10" s="160">
        <f>SUMPRODUCT(Table4[Rev. Based on PROB]*Table4[Expected CMR]*(Table4[Projected 
Year]=O$1)*(Table4[Projected 
Month]=O$2)*(Table4[Installation]=$B10))/MAX(1,O10)</f>
        <v>0</v>
      </c>
      <c r="R10" s="27">
        <f>SUMIFS(Table4[Rev. Based on PROB],Table4[Installation],$B10,Table4[Projected 
Year],R$1,Table4[Projected 
Month],R$2)</f>
        <v>0</v>
      </c>
      <c r="S10" s="159">
        <f>SUMPRODUCT(Table4[Probability]*Table4[Rev. Based on PROB]*(Table4[Installation]=$B10)*(Table4[Projected 
Year]=R$1)*(Table4[Projected 
Month]=R$2))/MAX(1,SUMPRODUCT(Table4[Rev. Based on PROB]*(Table4[Installation]=$B10)*(Table4[Projected 
Year]=R$1)*(Table4[Projected 
Month]=R$2)))</f>
        <v>0</v>
      </c>
      <c r="T10" s="160">
        <f>SUMPRODUCT(Table4[Rev. Based on PROB]*Table4[Expected CMR]*(Table4[Projected 
Year]=R$1)*(Table4[Projected 
Month]=R$2)*(Table4[Installation]=$B10))/MAX(1,R10)</f>
        <v>0</v>
      </c>
      <c r="U10" s="27">
        <f>SUMIFS(Table4[Rev. Based on PROB],Table4[Installation],$B10,Table4[Projected 
Year],U$1,Table4[Projected 
Month],U$2)</f>
        <v>0</v>
      </c>
      <c r="V10" s="159">
        <f>SUMPRODUCT(Table4[Probability]*Table4[Rev. Based on PROB]*(Table4[Installation]=$B10)*(Table4[Projected 
Year]=U$1)*(Table4[Projected 
Month]=U$2))/MAX(1,SUMPRODUCT(Table4[Rev. Based on PROB]*(Table4[Installation]=$B10)*(Table4[Projected 
Year]=U$1)*(Table4[Projected 
Month]=U$2)))</f>
        <v>0</v>
      </c>
      <c r="W10" s="160">
        <f>SUMPRODUCT(Table4[Rev. Based on PROB]*Table4[Expected CMR]*(Table4[Projected 
Year]=U$1)*(Table4[Projected 
Month]=U$2)*(Table4[Installation]=$B10))/MAX(1,U10)</f>
        <v>0</v>
      </c>
      <c r="X10" s="27">
        <f>SUMIFS(Table4[Rev. Based on PROB],Table4[Installation],$B10,Table4[Projected 
Year],X$1,Table4[Projected 
Month],X$2)</f>
        <v>0</v>
      </c>
      <c r="Y10" s="159">
        <f>SUMPRODUCT(Table4[Probability]*Table4[Rev. Based on PROB]*(Table4[Installation]=$B10)*(Table4[Projected 
Year]=X$1)*(Table4[Projected 
Month]=X$2))/MAX(1,SUMPRODUCT(Table4[Rev. Based on PROB]*(Table4[Installation]=$B10)*(Table4[Projected 
Year]=X$1)*(Table4[Projected 
Month]=X$2)))</f>
        <v>0</v>
      </c>
      <c r="Z10" s="160">
        <f>SUMPRODUCT(Table4[Rev. Based on PROB]*Table4[Expected CMR]*(Table4[Projected 
Year]=X$1)*(Table4[Projected 
Month]=X$2)*(Table4[Installation]=$B10))/MAX(1,X10)</f>
        <v>0</v>
      </c>
      <c r="AA10" s="27">
        <f>SUMIFS(Table4[Rev. Based on PROB],Table4[Installation],$B10,Table4[Projected 
Year],AA$1,Table4[Projected 
Month],AA$2)</f>
        <v>0</v>
      </c>
      <c r="AB10" s="159">
        <f>SUMPRODUCT(Table4[Probability]*Table4[Rev. Based on PROB]*(Table4[Installation]=$B10)*(Table4[Projected 
Year]=AA$1)*(Table4[Projected 
Month]=AA$2))/MAX(1,SUMPRODUCT(Table4[Rev. Based on PROB]*(Table4[Installation]=$B10)*(Table4[Projected 
Year]=AA$1)*(Table4[Projected 
Month]=AA$2)))</f>
        <v>0</v>
      </c>
      <c r="AC10" s="160">
        <f>SUMPRODUCT(Table4[Rev. Based on PROB]*Table4[Expected CMR]*(Table4[Projected 
Year]=AA$1)*(Table4[Projected 
Month]=AA$2)*(Table4[Installation]=$B10))/MAX(1,AA10)</f>
        <v>0</v>
      </c>
      <c r="AD10" s="27">
        <f>SUMIFS(Table4[Rev. Based on PROB],Table4[Installation],$B10,Table4[Projected 
Year],AD$1,Table4[Projected 
Month],AD$2)</f>
        <v>0</v>
      </c>
      <c r="AE10" s="159">
        <f>SUMPRODUCT(Table4[Probability]*Table4[Rev. Based on PROB]*(Table4[Installation]=$B10)*(Table4[Projected 
Year]=AD$1)*(Table4[Projected 
Month]=AD$2))/MAX(1,SUMPRODUCT(Table4[Rev. Based on PROB]*(Table4[Installation]=$B10)*(Table4[Projected 
Year]=AD$1)*(Table4[Projected 
Month]=AD$2)))</f>
        <v>0</v>
      </c>
      <c r="AF10" s="160">
        <f>SUMPRODUCT(Table4[Rev. Based on PROB]*Table4[Expected CMR]*(Table4[Projected 
Year]=AD$1)*(Table4[Projected 
Month]=AD$2)*(Table4[Installation]=$B10))/MAX(1,AD10)</f>
        <v>0</v>
      </c>
      <c r="AG10" s="27">
        <f>SUMIFS(Table4[Rev. Based on PROB],Table4[Installation],$B10,Table4[Projected 
Year],AG$1,Table4[Projected 
Month],AG$2)</f>
        <v>0</v>
      </c>
      <c r="AH10" s="159">
        <f>SUMPRODUCT(Table4[Probability]*Table4[Rev. Based on PROB]*(Table4[Installation]=$B10)*(Table4[Projected 
Year]=AG$1)*(Table4[Projected 
Month]=AG$2))/MAX(1,SUMPRODUCT(Table4[Rev. Based on PROB]*(Table4[Installation]=$B10)*(Table4[Projected 
Year]=AG$1)*(Table4[Projected 
Month]=AG$2)))</f>
        <v>0</v>
      </c>
      <c r="AI10" s="160">
        <f>SUMPRODUCT(Table4[Rev. Based on PROB]*Table4[Expected CMR]*(Table4[Projected 
Year]=AG$1)*(Table4[Projected 
Month]=AG$2)*(Table4[Installation]=$B10))/MAX(1,AG10)</f>
        <v>0</v>
      </c>
      <c r="AJ10" s="27">
        <f>SUMIFS(Table4[Rev. Based on PROB],Table4[Installation],$B10,Table4[Projected 
Year],AJ$1,Table4[Projected 
Month],AJ$2)</f>
        <v>0</v>
      </c>
      <c r="AK10" s="159">
        <f>SUMPRODUCT(Table4[Probability]*Table4[Rev. Based on PROB]*(Table4[Installation]=$B10)*(Table4[Projected 
Year]=AJ$1)*(Table4[Projected 
Month]=AJ$2))/MAX(1,SUMPRODUCT(Table4[Rev. Based on PROB]*(Table4[Installation]=$B10)*(Table4[Projected 
Year]=AJ$1)*(Table4[Projected 
Month]=AJ$2)))</f>
        <v>0</v>
      </c>
      <c r="AL10" s="160">
        <f>SUMPRODUCT(Table4[Rev. Based on PROB]*Table4[Expected CMR]*(Table4[Projected 
Year]=AJ$1)*(Table4[Projected 
Month]=AJ$2)*(Table4[Installation]=$B10))/MAX(1,AJ10)</f>
        <v>0</v>
      </c>
      <c r="AM10" s="30">
        <f t="shared" si="1"/>
        <v>0</v>
      </c>
      <c r="AN10" s="52">
        <f t="shared" si="2"/>
        <v>0</v>
      </c>
      <c r="AO10" s="53">
        <f t="shared" si="3"/>
        <v>0</v>
      </c>
      <c r="AP10" s="27">
        <f>SUMIFS(Table47[Rev. Based on PROB],Table47[Installation],$B10,Table47[Projected 
Year],AP$1,Table47[Monthly revenue],AP$2)</f>
        <v>13900</v>
      </c>
      <c r="AQ10" s="159">
        <f>SUMPRODUCT(Table4[Probability]*Table4[Rev. Based on PROB]*(Table4[Installation]=$B10)*(Table4[Projected 
Year]=AP$1)*(Table4[Projected 
Month]=AP$2))/MAX(1,SUMPRODUCT(Table4[Rev. Based on PROB]*(Table4[Installation]=$B10)*(Table4[Projected 
Year]=AP$1)*(Table4[Projected 
Month]=AP$2)))</f>
        <v>1</v>
      </c>
      <c r="AR10" s="160">
        <f>SUMPRODUCT(Table4[Rev. Based on PROB]*Table4[Expected CMR]*(Table4[Projected 
Year]=AP$1)*(Table4[Projected 
Month]=AP$2)*(Table4[Installation]=$B10))/MAX(1,AP10)</f>
        <v>0.52920863309352517</v>
      </c>
      <c r="AS10" s="27">
        <f>SUMIFS(Table47[Rev. Based on PROB],Table47[Installation],$B10,Table47[Projected 
Year],AS$1,Table47[Monthly revenue],AS$2)</f>
        <v>0</v>
      </c>
      <c r="AT10" s="159">
        <f>SUMPRODUCT(Table4[Probability]*Table4[Rev. Based on PROB]*(Table4[Installation]=$B10)*(Table4[Projected 
Year]=AS$1)*(Table4[Projected 
Month]=AS$2))/MAX(1,SUMPRODUCT(Table4[Rev. Based on PROB]*(Table4[Installation]=$B10)*(Table4[Projected 
Year]=AS$1)*(Table4[Projected 
Month]=AS$2)))</f>
        <v>0</v>
      </c>
      <c r="AU10" s="160">
        <f>SUMPRODUCT(Table4[Rev. Based on PROB]*Table4[Expected CMR]*(Table4[Projected 
Year]=AS$1)*(Table4[Projected 
Month]=AS$2)*(Table4[Installation]=$B10))/MAX(1,AS10)</f>
        <v>0</v>
      </c>
      <c r="AV10" s="27">
        <f>SUMIFS(Table47[Rev. Based on PROB],Table47[Installation],$B10,Table47[Projected 
Year],AV$1,Table47[Monthly revenue],AV$2)</f>
        <v>81718.5</v>
      </c>
      <c r="AW10" s="159">
        <f>SUMPRODUCT(Table4[Probability]*Table4[Rev. Based on PROB]*(Table4[Installation]=$B10)*(Table4[Projected 
Year]=AV$1)*(Table4[Projected 
Month]=AV$2))/MAX(1,SUMPRODUCT(Table4[Rev. Based on PROB]*(Table4[Installation]=$B10)*(Table4[Projected 
Year]=AV$1)*(Table4[Projected 
Month]=AV$2)))</f>
        <v>1</v>
      </c>
      <c r="AX10" s="160">
        <f>SUMPRODUCT(Table4[Rev. Based on PROB]*Table4[Expected CMR]*(Table4[Projected 
Year]=AV$1)*(Table4[Projected 
Month]=AV$2)*(Table4[Installation]=$B10))/MAX(1,AV10)</f>
        <v>0.18641862001872278</v>
      </c>
      <c r="AY10" s="27">
        <f>SUMIFS(Table47[Rev. Based on PROB],Table47[Installation],$B10,Table47[Projected 
Year],AY$1,Table47[Monthly revenue],AY$2)</f>
        <v>78188.5</v>
      </c>
      <c r="AZ10" s="159">
        <f>SUMPRODUCT(Table4[Probability]*Table4[Rev. Based on PROB]*(Table4[Installation]=$B10)*(Table4[Projected 
Year]=AY$1)*(Table4[Projected 
Month]=AY$2))/MAX(1,SUMPRODUCT(Table4[Rev. Based on PROB]*(Table4[Installation]=$B10)*(Table4[Projected 
Year]=AY$1)*(Table4[Projected 
Month]=AY$2)))</f>
        <v>0</v>
      </c>
      <c r="BA10" s="160">
        <f>SUMPRODUCT(Table4[Rev. Based on PROB]*Table4[Expected CMR]*(Table4[Projected 
Year]=AY$1)*(Table4[Projected 
Month]=AY$2)*(Table4[Installation]=$B10))/MAX(1,AY10)</f>
        <v>0</v>
      </c>
      <c r="BB10" s="27">
        <f>SUMIFS(Table47[Rev. Based on PROB],Table47[Installation],$B10,Table47[Projected 
Year],BB$1,Table47[Monthly revenue],BB$2)</f>
        <v>0</v>
      </c>
      <c r="BC10" s="159">
        <f>SUMPRODUCT(Table4[Probability]*Table4[Rev. Based on PROB]*(Table4[Installation]=$B10)*(Table4[Projected 
Year]=BB$1)*(Table4[Projected 
Month]=BB$2))/MAX(1,SUMPRODUCT(Table4[Rev. Based on PROB]*(Table4[Installation]=$B10)*(Table4[Projected 
Year]=BB$1)*(Table4[Projected 
Month]=BB$2)))</f>
        <v>0</v>
      </c>
      <c r="BD10" s="160">
        <f>SUMPRODUCT(Table4[Rev. Based on PROB]*Table4[Expected CMR]*(Table4[Projected 
Year]=BB$1)*(Table4[Projected 
Month]=BB$2)*(Table4[Installation]=$B10))/MAX(1,BB10)</f>
        <v>0</v>
      </c>
      <c r="BE10" s="27">
        <f>SUMIFS(Table47[Rev. Based on PROB],Table47[Installation],$B10,Table47[Projected 
Year],BE$1,Table47[Monthly revenue],BE$2)</f>
        <v>0</v>
      </c>
      <c r="BF10" s="159">
        <f>SUMPRODUCT(Table4[Probability]*Table4[Rev. Based on PROB]*(Table4[Installation]=$B10)*(Table4[Projected 
Year]=BE$1)*(Table4[Projected 
Month]=BE$2))/MAX(1,SUMPRODUCT(Table4[Rev. Based on PROB]*(Table4[Installation]=$B10)*(Table4[Projected 
Year]=BE$1)*(Table4[Projected 
Month]=BE$2)))</f>
        <v>1</v>
      </c>
      <c r="BG10" s="160">
        <f>SUMPRODUCT(Table4[Rev. Based on PROB]*Table4[Expected CMR]*(Table4[Projected 
Year]=BE$1)*(Table4[Projected 
Month]=BE$2)*(Table4[Installation]=$B10))/MAX(1,BE10)</f>
        <v>23456.549999999996</v>
      </c>
      <c r="BH10" s="27">
        <f>SUMIFS(Table47[Rev. Based on PROB],Table47[Installation],$B10,Table47[Projected 
Year],BH$1,Table47[Monthly revenue],BH$2)</f>
        <v>24682.5</v>
      </c>
      <c r="BI10" s="159">
        <f>SUMPRODUCT(Table4[Probability]*Table4[Rev. Based on PROB]*(Table4[Installation]=$B10)*(Table4[Projected 
Year]=BH$1)*(Table4[Projected 
Month]=BH$2))/MAX(1,SUMPRODUCT(Table4[Rev. Based on PROB]*(Table4[Installation]=$B10)*(Table4[Projected 
Year]=BH$1)*(Table4[Projected 
Month]=BH$2)))</f>
        <v>1</v>
      </c>
      <c r="BJ10" s="160">
        <f>SUMPRODUCT(Table4[Rev. Based on PROB]*Table4[Expected CMR]*(Table4[Projected 
Year]=BH$1)*(Table4[Projected 
Month]=BH$2)*(Table4[Installation]=$B10))/MAX(1,BH10)</f>
        <v>0.71412944393801281</v>
      </c>
      <c r="BK10" s="27">
        <f>SUMIFS(Table47[Rev. Based on PROB],Table47[Installation],$B10,Table47[Projected 
Year],BK$1,Table47[Monthly revenue],BK$2)</f>
        <v>18810.5</v>
      </c>
      <c r="BL10" s="159">
        <f>SUMPRODUCT(Table4[Probability]*Table4[Rev. Based on PROB]*(Table4[Installation]=$B10)*(Table4[Projected 
Year]=BK$1)*(Table4[Projected 
Month]=BK$2))/MAX(1,SUMPRODUCT(Table4[Rev. Based on PROB]*(Table4[Installation]=$B10)*(Table4[Projected 
Year]=BK$1)*(Table4[Projected 
Month]=BK$2)))</f>
        <v>0</v>
      </c>
      <c r="BM10" s="160">
        <f>SUMPRODUCT(Table4[Rev. Based on PROB]*Table4[Expected CMR]*(Table4[Projected 
Year]=BK$1)*(Table4[Projected 
Month]=BK$2)*(Table4[Installation]=$B10))/MAX(1,BK10)</f>
        <v>0</v>
      </c>
      <c r="BN10" s="27">
        <f>SUMIFS(Table47[Rev. Based on PROB],Table47[Installation],$B10,Table47[Projected 
Year],BN$1,Table47[Monthly revenue],BN$2)</f>
        <v>0</v>
      </c>
      <c r="BO10" s="159">
        <f>SUMPRODUCT(Table4[Probability]*Table4[Rev. Based on PROB]*(Table4[Installation]=$B10)*(Table4[Projected 
Year]=BN$1)*(Table4[Projected 
Month]=BN$2))/MAX(1,SUMPRODUCT(Table4[Rev. Based on PROB]*(Table4[Installation]=$B10)*(Table4[Projected 
Year]=BN$1)*(Table4[Projected 
Month]=BN$2)))</f>
        <v>1</v>
      </c>
      <c r="BP10" s="160">
        <f>SUMPRODUCT(Table4[Rev. Based on PROB]*Table4[Expected CMR]*(Table4[Projected 
Year]=BN$1)*(Table4[Projected 
Month]=BN$2)*(Table4[Installation]=$B10))/MAX(1,BN10)</f>
        <v>5643.15</v>
      </c>
      <c r="BQ10" s="27">
        <f>SUMIFS(Table47[Rev. Based on PROB],Table47[Installation],$B10,Table47[Projected 
Year],BQ$1,Table47[Monthly revenue],BQ$2)</f>
        <v>0</v>
      </c>
      <c r="BR10" s="159">
        <f>SUMPRODUCT(Table4[Probability]*Table4[Rev. Based on PROB]*(Table4[Installation]=$B10)*(Table4[Projected 
Year]=BQ$1)*(Table4[Projected 
Month]=BQ$2))/MAX(1,SUMPRODUCT(Table4[Rev. Based on PROB]*(Table4[Installation]=$B10)*(Table4[Projected 
Year]=BQ$1)*(Table4[Projected 
Month]=BQ$2)))</f>
        <v>0</v>
      </c>
      <c r="BS10" s="160">
        <f>SUMPRODUCT(Table4[Rev. Based on PROB]*Table4[Expected CMR]*(Table4[Projected 
Year]=BQ$1)*(Table4[Projected 
Month]=BQ$2)*(Table4[Installation]=$B10))/MAX(1,BQ10)</f>
        <v>0</v>
      </c>
      <c r="BT10" s="27">
        <f>SUMIFS(Table47[Rev. Based on PROB],Table47[Installation],$B10,Table47[Projected 
Year],BT$1,Table47[Monthly revenue],BT$2)</f>
        <v>2816</v>
      </c>
      <c r="BU10" s="159">
        <f>SUMPRODUCT(Table4[Probability]*Table4[Rev. Based on PROB]*(Table4[Installation]=$B10)*(Table4[Projected 
Year]=BT$1)*(Table4[Projected 
Month]=BT$2))/MAX(1,SUMPRODUCT(Table4[Rev. Based on PROB]*(Table4[Installation]=$B10)*(Table4[Projected 
Year]=BT$1)*(Table4[Projected 
Month]=BT$2)))</f>
        <v>0</v>
      </c>
      <c r="BV10" s="160">
        <f>SUMPRODUCT(Table4[Rev. Based on PROB]*Table4[Expected CMR]*(Table4[Projected 
Year]=BT$1)*(Table4[Projected 
Month]=BT$2)*(Table4[Installation]=$B10))/MAX(1,BT10)</f>
        <v>0</v>
      </c>
      <c r="BW10" s="27">
        <f>SUMIFS(Table47[Rev. Based on PROB],Table47[Installation],$B10,Table47[Projected 
Year],BW$1,Table47[Monthly revenue],BW$2)</f>
        <v>18810.5</v>
      </c>
      <c r="BX10" s="159">
        <f>SUMPRODUCT(Table4[Probability]*Table4[Rev. Based on PROB]*(Table4[Installation]=$B10)*(Table4[Projected 
Year]=BW$1)*(Table4[Projected 
Month]=BW$2))/MAX(1,SUMPRODUCT(Table4[Rev. Based on PROB]*(Table4[Installation]=$B10)*(Table4[Projected 
Year]=BW$1)*(Table4[Projected 
Month]=BW$2)))</f>
        <v>1</v>
      </c>
      <c r="BY10" s="160">
        <f>SUMPRODUCT(Table4[Rev. Based on PROB]*Table4[Expected CMR]*(Table4[Projected 
Year]=BW$1)*(Table4[Projected 
Month]=BW$2)*(Table4[Installation]=$B10))/MAX(1,BW10)</f>
        <v>0.46937348821137131</v>
      </c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200"/>
      <c r="CL10" s="200"/>
      <c r="CM10" s="200"/>
      <c r="CN10" s="200"/>
      <c r="CO10" s="200"/>
      <c r="CP10" s="200"/>
      <c r="CQ10" s="200"/>
      <c r="CR10" s="200"/>
      <c r="CS10" s="200"/>
      <c r="CT10" s="200"/>
      <c r="CU10" s="30">
        <f t="shared" si="0"/>
        <v>238926.5</v>
      </c>
      <c r="CV10" s="52">
        <f t="shared" si="4"/>
        <v>0</v>
      </c>
      <c r="CW10" s="53">
        <f t="shared" si="5"/>
        <v>0</v>
      </c>
      <c r="CX10" s="29">
        <v>389244</v>
      </c>
      <c r="CY10" s="19">
        <f t="shared" si="6"/>
        <v>-150317.5</v>
      </c>
    </row>
    <row r="11" spans="1:103">
      <c r="A11" s="18" t="s">
        <v>57</v>
      </c>
      <c r="B11" s="20" t="s">
        <v>130</v>
      </c>
      <c r="C11" s="27">
        <f>SUMIFS(Table4[Rev. Based on PROB],Table4[Installation],$B11,Table4[Projected 
Year],C$1,Table4[Projected 
Month],C$2)</f>
        <v>0</v>
      </c>
      <c r="D11" s="159">
        <f>SUMPRODUCT(Table4[Probability]*Table4[Rev. Based on PROB]*(Table4[Installation]=$B11)*(Table4[Projected 
Year]=C$1)*(Table4[Projected 
Month]=C$2))/MAX(1,SUMPRODUCT(Table4[Rev. Based on PROB]*(Table4[Installation]=$B11)*(Table4[Projected 
Year]=C$1)*(Table4[Projected 
Month]=C$2)))</f>
        <v>0</v>
      </c>
      <c r="E11" s="160">
        <f>SUMPRODUCT(Table4[Rev. Based on PROB]*Table4[Expected CMR]*(Table4[Projected 
Year]=C$1)*(Table4[Projected 
Month]=C$2)*(Table4[Installation]=$B11))/MAX(1,C11)</f>
        <v>0</v>
      </c>
      <c r="F11" s="27">
        <f>SUMIFS(Table4[Rev. Based on PROB],Table4[Installation],$B11,Table4[Projected 
Year],F$1,Table4[Projected 
Month],F$2)</f>
        <v>0</v>
      </c>
      <c r="G11" s="159">
        <f>SUMPRODUCT(Table4[Probability]*Table4[Rev. Based on PROB]*(Table4[Installation]=$B11)*(Table4[Projected 
Year]=F$1)*(Table4[Projected 
Month]=F$2))/MAX(1,SUMPRODUCT(Table4[Rev. Based on PROB]*(Table4[Installation]=$B11)*(Table4[Projected 
Year]=F$1)*(Table4[Projected 
Month]=F$2)))</f>
        <v>0</v>
      </c>
      <c r="H11" s="160">
        <f>SUMPRODUCT(Table4[Rev. Based on PROB]*Table4[Expected CMR]*(Table4[Projected 
Year]=F$1)*(Table4[Projected 
Month]=F$2)*(Table4[Installation]=$B11))/MAX(1,F11)</f>
        <v>0</v>
      </c>
      <c r="I11" s="27">
        <f>SUMIFS(Table4[Rev. Based on PROB],Table4[Installation],$B11,Table4[Projected 
Year],I$1,Table4[Projected 
Month],I$2)</f>
        <v>0</v>
      </c>
      <c r="J11" s="159">
        <f>SUMPRODUCT(Table4[Probability]*Table4[Rev. Based on PROB]*(Table4[Installation]=$B11)*(Table4[Projected 
Year]=I$1)*(Table4[Projected 
Month]=I$2))/MAX(1,SUMPRODUCT(Table4[Rev. Based on PROB]*(Table4[Installation]=$B11)*(Table4[Projected 
Year]=I$1)*(Table4[Projected 
Month]=I$2)))</f>
        <v>0</v>
      </c>
      <c r="K11" s="160">
        <f>SUMPRODUCT(Table4[Rev. Based on PROB]*Table4[Expected CMR]*(Table4[Projected 
Year]=I$1)*(Table4[Projected 
Month]=I$2)*(Table4[Installation]=$B11))/MAX(1,I11)</f>
        <v>0</v>
      </c>
      <c r="L11" s="27">
        <f>SUMIFS(Table4[Rev. Based on PROB],Table4[Installation],$B11,Table4[Projected 
Year],L$1,Table4[Projected 
Month],L$2)</f>
        <v>0</v>
      </c>
      <c r="M11" s="159">
        <f>SUMPRODUCT(Table4[Probability]*Table4[Rev. Based on PROB]*(Table4[Installation]=$B11)*(Table4[Projected 
Year]=L$1)*(Table4[Projected 
Month]=L$2))/MAX(1,SUMPRODUCT(Table4[Rev. Based on PROB]*(Table4[Installation]=$B11)*(Table4[Projected 
Year]=L$1)*(Table4[Projected 
Month]=L$2)))</f>
        <v>0</v>
      </c>
      <c r="N11" s="160">
        <f>SUMPRODUCT(Table4[Rev. Based on PROB]*Table4[Expected CMR]*(Table4[Projected 
Year]=L$1)*(Table4[Projected 
Month]=L$2)*(Table4[Installation]=$B11))/MAX(1,L11)</f>
        <v>0</v>
      </c>
      <c r="O11" s="27">
        <f>SUMIFS(Table4[Rev. Based on PROB],Table4[Installation],$B11,Table4[Projected 
Year],O$1,Table4[Projected 
Month],O$2)</f>
        <v>0</v>
      </c>
      <c r="P11" s="159">
        <f>SUMPRODUCT(Table4[Probability]*Table4[Rev. Based on PROB]*(Table4[Installation]=$B11)*(Table4[Projected 
Year]=O$1)*(Table4[Projected 
Month]=O$2))/MAX(1,SUMPRODUCT(Table4[Rev. Based on PROB]*(Table4[Installation]=$B11)*(Table4[Projected 
Year]=O$1)*(Table4[Projected 
Month]=O$2)))</f>
        <v>0</v>
      </c>
      <c r="Q11" s="160">
        <f>SUMPRODUCT(Table4[Rev. Based on PROB]*Table4[Expected CMR]*(Table4[Projected 
Year]=O$1)*(Table4[Projected 
Month]=O$2)*(Table4[Installation]=$B11))/MAX(1,O11)</f>
        <v>0</v>
      </c>
      <c r="R11" s="27">
        <f>SUMIFS(Table4[Rev. Based on PROB],Table4[Installation],$B11,Table4[Projected 
Year],R$1,Table4[Projected 
Month],R$2)</f>
        <v>0</v>
      </c>
      <c r="S11" s="159">
        <f>SUMPRODUCT(Table4[Probability]*Table4[Rev. Based on PROB]*(Table4[Installation]=$B11)*(Table4[Projected 
Year]=R$1)*(Table4[Projected 
Month]=R$2))/MAX(1,SUMPRODUCT(Table4[Rev. Based on PROB]*(Table4[Installation]=$B11)*(Table4[Projected 
Year]=R$1)*(Table4[Projected 
Month]=R$2)))</f>
        <v>0</v>
      </c>
      <c r="T11" s="160">
        <f>SUMPRODUCT(Table4[Rev. Based on PROB]*Table4[Expected CMR]*(Table4[Projected 
Year]=R$1)*(Table4[Projected 
Month]=R$2)*(Table4[Installation]=$B11))/MAX(1,R11)</f>
        <v>0</v>
      </c>
      <c r="U11" s="27">
        <f>SUMIFS(Table4[Rev. Based on PROB],Table4[Installation],$B11,Table4[Projected 
Year],U$1,Table4[Projected 
Month],U$2)</f>
        <v>0</v>
      </c>
      <c r="V11" s="159">
        <f>SUMPRODUCT(Table4[Probability]*Table4[Rev. Based on PROB]*(Table4[Installation]=$B11)*(Table4[Projected 
Year]=U$1)*(Table4[Projected 
Month]=U$2))/MAX(1,SUMPRODUCT(Table4[Rev. Based on PROB]*(Table4[Installation]=$B11)*(Table4[Projected 
Year]=U$1)*(Table4[Projected 
Month]=U$2)))</f>
        <v>0</v>
      </c>
      <c r="W11" s="160">
        <f>SUMPRODUCT(Table4[Rev. Based on PROB]*Table4[Expected CMR]*(Table4[Projected 
Year]=U$1)*(Table4[Projected 
Month]=U$2)*(Table4[Installation]=$B11))/MAX(1,U11)</f>
        <v>0</v>
      </c>
      <c r="X11" s="27">
        <f>SUMIFS(Table4[Rev. Based on PROB],Table4[Installation],$B11,Table4[Projected 
Year],X$1,Table4[Projected 
Month],X$2)</f>
        <v>0</v>
      </c>
      <c r="Y11" s="159">
        <f>SUMPRODUCT(Table4[Probability]*Table4[Rev. Based on PROB]*(Table4[Installation]=$B11)*(Table4[Projected 
Year]=X$1)*(Table4[Projected 
Month]=X$2))/MAX(1,SUMPRODUCT(Table4[Rev. Based on PROB]*(Table4[Installation]=$B11)*(Table4[Projected 
Year]=X$1)*(Table4[Projected 
Month]=X$2)))</f>
        <v>0</v>
      </c>
      <c r="Z11" s="160">
        <f>SUMPRODUCT(Table4[Rev. Based on PROB]*Table4[Expected CMR]*(Table4[Projected 
Year]=X$1)*(Table4[Projected 
Month]=X$2)*(Table4[Installation]=$B11))/MAX(1,X11)</f>
        <v>0</v>
      </c>
      <c r="AA11" s="27">
        <f>SUMIFS(Table4[Rev. Based on PROB],Table4[Installation],$B11,Table4[Projected 
Year],AA$1,Table4[Projected 
Month],AA$2)</f>
        <v>0</v>
      </c>
      <c r="AB11" s="159">
        <f>SUMPRODUCT(Table4[Probability]*Table4[Rev. Based on PROB]*(Table4[Installation]=$B11)*(Table4[Projected 
Year]=AA$1)*(Table4[Projected 
Month]=AA$2))/MAX(1,SUMPRODUCT(Table4[Rev. Based on PROB]*(Table4[Installation]=$B11)*(Table4[Projected 
Year]=AA$1)*(Table4[Projected 
Month]=AA$2)))</f>
        <v>0</v>
      </c>
      <c r="AC11" s="160">
        <f>SUMPRODUCT(Table4[Rev. Based on PROB]*Table4[Expected CMR]*(Table4[Projected 
Year]=AA$1)*(Table4[Projected 
Month]=AA$2)*(Table4[Installation]=$B11))/MAX(1,AA11)</f>
        <v>0</v>
      </c>
      <c r="AD11" s="27">
        <f>SUMIFS(Table4[Rev. Based on PROB],Table4[Installation],$B11,Table4[Projected 
Year],AD$1,Table4[Projected 
Month],AD$2)</f>
        <v>0</v>
      </c>
      <c r="AE11" s="159">
        <f>SUMPRODUCT(Table4[Probability]*Table4[Rev. Based on PROB]*(Table4[Installation]=$B11)*(Table4[Projected 
Year]=AD$1)*(Table4[Projected 
Month]=AD$2))/MAX(1,SUMPRODUCT(Table4[Rev. Based on PROB]*(Table4[Installation]=$B11)*(Table4[Projected 
Year]=AD$1)*(Table4[Projected 
Month]=AD$2)))</f>
        <v>0</v>
      </c>
      <c r="AF11" s="160">
        <f>SUMPRODUCT(Table4[Rev. Based on PROB]*Table4[Expected CMR]*(Table4[Projected 
Year]=AD$1)*(Table4[Projected 
Month]=AD$2)*(Table4[Installation]=$B11))/MAX(1,AD11)</f>
        <v>0</v>
      </c>
      <c r="AG11" s="27">
        <f>SUMIFS(Table4[Rev. Based on PROB],Table4[Installation],$B11,Table4[Projected 
Year],AG$1,Table4[Projected 
Month],AG$2)</f>
        <v>0</v>
      </c>
      <c r="AH11" s="159">
        <f>SUMPRODUCT(Table4[Probability]*Table4[Rev. Based on PROB]*(Table4[Installation]=$B11)*(Table4[Projected 
Year]=AG$1)*(Table4[Projected 
Month]=AG$2))/MAX(1,SUMPRODUCT(Table4[Rev. Based on PROB]*(Table4[Installation]=$B11)*(Table4[Projected 
Year]=AG$1)*(Table4[Projected 
Month]=AG$2)))</f>
        <v>0</v>
      </c>
      <c r="AI11" s="160">
        <f>SUMPRODUCT(Table4[Rev. Based on PROB]*Table4[Expected CMR]*(Table4[Projected 
Year]=AG$1)*(Table4[Projected 
Month]=AG$2)*(Table4[Installation]=$B11))/MAX(1,AG11)</f>
        <v>0</v>
      </c>
      <c r="AJ11" s="27">
        <f>SUMIFS(Table4[Rev. Based on PROB],Table4[Installation],$B11,Table4[Projected 
Year],AJ$1,Table4[Projected 
Month],AJ$2)</f>
        <v>0</v>
      </c>
      <c r="AK11" s="159">
        <f>SUMPRODUCT(Table4[Probability]*Table4[Rev. Based on PROB]*(Table4[Installation]=$B11)*(Table4[Projected 
Year]=AJ$1)*(Table4[Projected 
Month]=AJ$2))/MAX(1,SUMPRODUCT(Table4[Rev. Based on PROB]*(Table4[Installation]=$B11)*(Table4[Projected 
Year]=AJ$1)*(Table4[Projected 
Month]=AJ$2)))</f>
        <v>0</v>
      </c>
      <c r="AL11" s="160">
        <f>SUMPRODUCT(Table4[Rev. Based on PROB]*Table4[Expected CMR]*(Table4[Projected 
Year]=AJ$1)*(Table4[Projected 
Month]=AJ$2)*(Table4[Installation]=$B11))/MAX(1,AJ11)</f>
        <v>0</v>
      </c>
      <c r="AM11" s="30">
        <f t="shared" si="1"/>
        <v>0</v>
      </c>
      <c r="AN11" s="52">
        <f t="shared" si="2"/>
        <v>0</v>
      </c>
      <c r="AO11" s="53">
        <f t="shared" si="3"/>
        <v>0</v>
      </c>
      <c r="AP11" s="27">
        <f>SUMIFS(Table47[Rev. Based on PROB],Table47[Installation],$B11,Table47[Projected 
Year],AP$1,Table47[Monthly revenue],AP$2)</f>
        <v>20000</v>
      </c>
      <c r="AQ11" s="159">
        <f>SUMPRODUCT(Table4[Probability]*Table4[Rev. Based on PROB]*(Table4[Installation]=$B11)*(Table4[Projected 
Year]=AP$1)*(Table4[Projected 
Month]=AP$2))/MAX(1,SUMPRODUCT(Table4[Rev. Based on PROB]*(Table4[Installation]=$B11)*(Table4[Projected 
Year]=AP$1)*(Table4[Projected 
Month]=AP$2)))</f>
        <v>1</v>
      </c>
      <c r="AR11" s="160">
        <f>SUMPRODUCT(Table4[Rev. Based on PROB]*Table4[Expected CMR]*(Table4[Projected 
Year]=AP$1)*(Table4[Projected 
Month]=AP$2)*(Table4[Installation]=$B11))/MAX(1,AP11)</f>
        <v>0.7640849999999999</v>
      </c>
      <c r="AS11" s="27">
        <f>SUMIFS(Table47[Rev. Based on PROB],Table47[Installation],$B11,Table47[Projected 
Year],AS$1,Table47[Monthly revenue],AS$2)</f>
        <v>0</v>
      </c>
      <c r="AT11" s="159">
        <f>SUMPRODUCT(Table4[Probability]*Table4[Rev. Based on PROB]*(Table4[Installation]=$B11)*(Table4[Projected 
Year]=AS$1)*(Table4[Projected 
Month]=AS$2))/MAX(1,SUMPRODUCT(Table4[Rev. Based on PROB]*(Table4[Installation]=$B11)*(Table4[Projected 
Year]=AS$1)*(Table4[Projected 
Month]=AS$2)))</f>
        <v>1</v>
      </c>
      <c r="AU11" s="160">
        <f>SUMPRODUCT(Table4[Rev. Based on PROB]*Table4[Expected CMR]*(Table4[Projected 
Year]=AS$1)*(Table4[Projected 
Month]=AS$2)*(Table4[Installation]=$B11))/MAX(1,AS11)</f>
        <v>9590.6999999999989</v>
      </c>
      <c r="AV11" s="27">
        <f>SUMIFS(Table47[Rev. Based on PROB],Table47[Installation],$B11,Table47[Projected 
Year],AV$1,Table47[Monthly revenue],AV$2)</f>
        <v>18810.5</v>
      </c>
      <c r="AW11" s="159">
        <f>SUMPRODUCT(Table4[Probability]*Table4[Rev. Based on PROB]*(Table4[Installation]=$B11)*(Table4[Projected 
Year]=AV$1)*(Table4[Projected 
Month]=AV$2))/MAX(1,SUMPRODUCT(Table4[Rev. Based on PROB]*(Table4[Installation]=$B11)*(Table4[Projected 
Year]=AV$1)*(Table4[Projected 
Month]=AV$2)))</f>
        <v>1</v>
      </c>
      <c r="AX11" s="160">
        <f>SUMPRODUCT(Table4[Rev. Based on PROB]*Table4[Expected CMR]*(Table4[Projected 
Year]=AV$1)*(Table4[Projected 
Month]=AV$2)*(Table4[Installation]=$B11))/MAX(1,AV11)</f>
        <v>0.3</v>
      </c>
      <c r="AY11" s="27">
        <f>SUMIFS(Table47[Rev. Based on PROB],Table47[Installation],$B11,Table47[Projected 
Year],AY$1,Table47[Monthly revenue],AY$2)</f>
        <v>18810.5</v>
      </c>
      <c r="AZ11" s="159">
        <f>SUMPRODUCT(Table4[Probability]*Table4[Rev. Based on PROB]*(Table4[Installation]=$B11)*(Table4[Projected 
Year]=AY$1)*(Table4[Projected 
Month]=AY$2))/MAX(1,SUMPRODUCT(Table4[Rev. Based on PROB]*(Table4[Installation]=$B11)*(Table4[Projected 
Year]=AY$1)*(Table4[Projected 
Month]=AY$2)))</f>
        <v>0</v>
      </c>
      <c r="BA11" s="160">
        <f>SUMPRODUCT(Table4[Rev. Based on PROB]*Table4[Expected CMR]*(Table4[Projected 
Year]=AY$1)*(Table4[Projected 
Month]=AY$2)*(Table4[Installation]=$B11))/MAX(1,AY11)</f>
        <v>0</v>
      </c>
      <c r="BB11" s="27">
        <f>SUMIFS(Table47[Rev. Based on PROB],Table47[Installation],$B11,Table47[Projected 
Year],BB$1,Table47[Monthly revenue],BB$2)</f>
        <v>0</v>
      </c>
      <c r="BC11" s="159">
        <f>SUMPRODUCT(Table4[Probability]*Table4[Rev. Based on PROB]*(Table4[Installation]=$B11)*(Table4[Projected 
Year]=BB$1)*(Table4[Projected 
Month]=BB$2))/MAX(1,SUMPRODUCT(Table4[Rev. Based on PROB]*(Table4[Installation]=$B11)*(Table4[Projected 
Year]=BB$1)*(Table4[Projected 
Month]=BB$2)))</f>
        <v>0</v>
      </c>
      <c r="BD11" s="160">
        <f>SUMPRODUCT(Table4[Rev. Based on PROB]*Table4[Expected CMR]*(Table4[Projected 
Year]=BB$1)*(Table4[Projected 
Month]=BB$2)*(Table4[Installation]=$B11))/MAX(1,BB11)</f>
        <v>0</v>
      </c>
      <c r="BE11" s="27">
        <f>SUMIFS(Table47[Rev. Based on PROB],Table47[Installation],$B11,Table47[Projected 
Year],BE$1,Table47[Monthly revenue],BE$2)</f>
        <v>0</v>
      </c>
      <c r="BF11" s="159">
        <f>SUMPRODUCT(Table4[Probability]*Table4[Rev. Based on PROB]*(Table4[Installation]=$B11)*(Table4[Projected 
Year]=BE$1)*(Table4[Projected 
Month]=BE$2))/MAX(1,SUMPRODUCT(Table4[Rev. Based on PROB]*(Table4[Installation]=$B11)*(Table4[Projected 
Year]=BE$1)*(Table4[Projected 
Month]=BE$2)))</f>
        <v>1</v>
      </c>
      <c r="BG11" s="160">
        <f>SUMPRODUCT(Table4[Rev. Based on PROB]*Table4[Expected CMR]*(Table4[Projected 
Year]=BE$1)*(Table4[Projected 
Month]=BE$2)*(Table4[Installation]=$B11))/MAX(1,BE11)</f>
        <v>5643.15</v>
      </c>
      <c r="BH11" s="27">
        <f>SUMIFS(Table47[Rev. Based on PROB],Table47[Installation],$B11,Table47[Projected 
Year],BH$1,Table47[Monthly revenue],BH$2)</f>
        <v>0</v>
      </c>
      <c r="BI11" s="159">
        <f>SUMPRODUCT(Table4[Probability]*Table4[Rev. Based on PROB]*(Table4[Installation]=$B11)*(Table4[Projected 
Year]=BH$1)*(Table4[Projected 
Month]=BH$2))/MAX(1,SUMPRODUCT(Table4[Rev. Based on PROB]*(Table4[Installation]=$B11)*(Table4[Projected 
Year]=BH$1)*(Table4[Projected 
Month]=BH$2)))</f>
        <v>0</v>
      </c>
      <c r="BJ11" s="160">
        <f>SUMPRODUCT(Table4[Rev. Based on PROB]*Table4[Expected CMR]*(Table4[Projected 
Year]=BH$1)*(Table4[Projected 
Month]=BH$2)*(Table4[Installation]=$B11))/MAX(1,BH11)</f>
        <v>0</v>
      </c>
      <c r="BK11" s="27">
        <f>SUMIFS(Table47[Rev. Based on PROB],Table47[Installation],$B11,Table47[Projected 
Year],BK$1,Table47[Monthly revenue],BK$2)</f>
        <v>0</v>
      </c>
      <c r="BL11" s="159">
        <f>SUMPRODUCT(Table4[Probability]*Table4[Rev. Based on PROB]*(Table4[Installation]=$B11)*(Table4[Projected 
Year]=BK$1)*(Table4[Projected 
Month]=BK$2))/MAX(1,SUMPRODUCT(Table4[Rev. Based on PROB]*(Table4[Installation]=$B11)*(Table4[Projected 
Year]=BK$1)*(Table4[Projected 
Month]=BK$2)))</f>
        <v>0</v>
      </c>
      <c r="BM11" s="160">
        <f>SUMPRODUCT(Table4[Rev. Based on PROB]*Table4[Expected CMR]*(Table4[Projected 
Year]=BK$1)*(Table4[Projected 
Month]=BK$2)*(Table4[Installation]=$B11))/MAX(1,BK11)</f>
        <v>0</v>
      </c>
      <c r="BN11" s="27">
        <f>SUMIFS(Table47[Rev. Based on PROB],Table47[Installation],$B11,Table47[Projected 
Year],BN$1,Table47[Monthly revenue],BN$2)</f>
        <v>18810.5</v>
      </c>
      <c r="BO11" s="159">
        <f>SUMPRODUCT(Table4[Probability]*Table4[Rev. Based on PROB]*(Table4[Installation]=$B11)*(Table4[Projected 
Year]=BN$1)*(Table4[Projected 
Month]=BN$2))/MAX(1,SUMPRODUCT(Table4[Rev. Based on PROB]*(Table4[Installation]=$B11)*(Table4[Projected 
Year]=BN$1)*(Table4[Projected 
Month]=BN$2)))</f>
        <v>1</v>
      </c>
      <c r="BP11" s="160">
        <f>SUMPRODUCT(Table4[Rev. Based on PROB]*Table4[Expected CMR]*(Table4[Projected 
Year]=BN$1)*(Table4[Projected 
Month]=BN$2)*(Table4[Installation]=$B11))/MAX(1,BN11)</f>
        <v>0.3</v>
      </c>
      <c r="BQ11" s="27">
        <f>SUMIFS(Table47[Rev. Based on PROB],Table47[Installation],$B11,Table47[Projected 
Year],BQ$1,Table47[Monthly revenue],BQ$2)</f>
        <v>0</v>
      </c>
      <c r="BR11" s="159">
        <f>SUMPRODUCT(Table4[Probability]*Table4[Rev. Based on PROB]*(Table4[Installation]=$B11)*(Table4[Projected 
Year]=BQ$1)*(Table4[Projected 
Month]=BQ$2))/MAX(1,SUMPRODUCT(Table4[Rev. Based on PROB]*(Table4[Installation]=$B11)*(Table4[Projected 
Year]=BQ$1)*(Table4[Projected 
Month]=BQ$2)))</f>
        <v>1</v>
      </c>
      <c r="BS11" s="160">
        <f>SUMPRODUCT(Table4[Rev. Based on PROB]*Table4[Expected CMR]*(Table4[Projected 
Year]=BQ$1)*(Table4[Projected 
Month]=BQ$2)*(Table4[Installation]=$B11))/MAX(1,BQ11)</f>
        <v>20999.399999999998</v>
      </c>
      <c r="BT11" s="27">
        <f>SUMIFS(Table47[Rev. Based on PROB],Table47[Installation],$B11,Table47[Projected 
Year],BT$1,Table47[Monthly revenue],BT$2)</f>
        <v>76050</v>
      </c>
      <c r="BU11" s="159">
        <f>SUMPRODUCT(Table4[Probability]*Table4[Rev. Based on PROB]*(Table4[Installation]=$B11)*(Table4[Projected 
Year]=BT$1)*(Table4[Projected 
Month]=BT$2))/MAX(1,SUMPRODUCT(Table4[Rev. Based on PROB]*(Table4[Installation]=$B11)*(Table4[Projected 
Year]=BT$1)*(Table4[Projected 
Month]=BT$2)))</f>
        <v>0</v>
      </c>
      <c r="BV11" s="160">
        <f>SUMPRODUCT(Table4[Rev. Based on PROB]*Table4[Expected CMR]*(Table4[Projected 
Year]=BT$1)*(Table4[Projected 
Month]=BT$2)*(Table4[Installation]=$B11))/MAX(1,BT11)</f>
        <v>0</v>
      </c>
      <c r="BW11" s="27">
        <f>SUMIFS(Table47[Rev. Based on PROB],Table47[Installation],$B11,Table47[Projected 
Year],BW$1,Table47[Monthly revenue],BW$2)</f>
        <v>73595.5</v>
      </c>
      <c r="BX11" s="159">
        <f>SUMPRODUCT(Table4[Probability]*Table4[Rev. Based on PROB]*(Table4[Installation]=$B11)*(Table4[Projected 
Year]=BW$1)*(Table4[Projected 
Month]=BW$2))/MAX(1,SUMPRODUCT(Table4[Rev. Based on PROB]*(Table4[Installation]=$B11)*(Table4[Projected 
Year]=BW$1)*(Table4[Projected 
Month]=BW$2)))</f>
        <v>1</v>
      </c>
      <c r="BY11" s="160">
        <f>SUMPRODUCT(Table4[Rev. Based on PROB]*Table4[Expected CMR]*(Table4[Projected 
Year]=BW$1)*(Table4[Projected 
Month]=BW$2)*(Table4[Installation]=$B11))/MAX(1,BW11)</f>
        <v>0.25895537091262372</v>
      </c>
      <c r="BZ11" s="200"/>
      <c r="CA11" s="200"/>
      <c r="CB11" s="200"/>
      <c r="CC11" s="200"/>
      <c r="CD11" s="200"/>
      <c r="CE11" s="200"/>
      <c r="CF11" s="200"/>
      <c r="CG11" s="200"/>
      <c r="CH11" s="200"/>
      <c r="CI11" s="200"/>
      <c r="CJ11" s="200"/>
      <c r="CK11" s="200"/>
      <c r="CL11" s="200"/>
      <c r="CM11" s="200"/>
      <c r="CN11" s="200"/>
      <c r="CO11" s="200"/>
      <c r="CP11" s="200"/>
      <c r="CQ11" s="200"/>
      <c r="CR11" s="200"/>
      <c r="CS11" s="200"/>
      <c r="CT11" s="200"/>
      <c r="CU11" s="30">
        <f t="shared" si="0"/>
        <v>226077</v>
      </c>
      <c r="CV11" s="52">
        <f t="shared" si="4"/>
        <v>0</v>
      </c>
      <c r="CW11" s="53">
        <f t="shared" si="5"/>
        <v>0</v>
      </c>
      <c r="CX11" s="29">
        <v>389244</v>
      </c>
      <c r="CY11" s="19">
        <f t="shared" si="6"/>
        <v>-163167</v>
      </c>
    </row>
    <row r="12" spans="1:103">
      <c r="A12" s="18" t="s">
        <v>57</v>
      </c>
      <c r="B12" s="20" t="s">
        <v>137</v>
      </c>
      <c r="C12" s="27">
        <f>SUMIFS(Table4[Rev. Based on PROB],Table4[Installation],$B12,Table4[Projected 
Year],C$1,Table4[Projected 
Month],C$2)</f>
        <v>0</v>
      </c>
      <c r="D12" s="159">
        <f>SUMPRODUCT(Table4[Probability]*Table4[Rev. Based on PROB]*(Table4[Installation]=$B12)*(Table4[Projected 
Year]=C$1)*(Table4[Projected 
Month]=C$2))/MAX(1,SUMPRODUCT(Table4[Rev. Based on PROB]*(Table4[Installation]=$B12)*(Table4[Projected 
Year]=C$1)*(Table4[Projected 
Month]=C$2)))</f>
        <v>0</v>
      </c>
      <c r="E12" s="160">
        <f>SUMPRODUCT(Table4[Rev. Based on PROB]*Table4[Expected CMR]*(Table4[Projected 
Year]=C$1)*(Table4[Projected 
Month]=C$2)*(Table4[Installation]=$B12))/MAX(1,C12)</f>
        <v>0</v>
      </c>
      <c r="F12" s="27">
        <f>SUMIFS(Table4[Rev. Based on PROB],Table4[Installation],$B12,Table4[Projected 
Year],F$1,Table4[Projected 
Month],F$2)</f>
        <v>0</v>
      </c>
      <c r="G12" s="159">
        <f>SUMPRODUCT(Table4[Probability]*Table4[Rev. Based on PROB]*(Table4[Installation]=$B12)*(Table4[Projected 
Year]=F$1)*(Table4[Projected 
Month]=F$2))/MAX(1,SUMPRODUCT(Table4[Rev. Based on PROB]*(Table4[Installation]=$B12)*(Table4[Projected 
Year]=F$1)*(Table4[Projected 
Month]=F$2)))</f>
        <v>0</v>
      </c>
      <c r="H12" s="160">
        <f>SUMPRODUCT(Table4[Rev. Based on PROB]*Table4[Expected CMR]*(Table4[Projected 
Year]=F$1)*(Table4[Projected 
Month]=F$2)*(Table4[Installation]=$B12))/MAX(1,F12)</f>
        <v>0</v>
      </c>
      <c r="I12" s="27">
        <f>SUMIFS(Table4[Rev. Based on PROB],Table4[Installation],$B12,Table4[Projected 
Year],I$1,Table4[Projected 
Month],I$2)</f>
        <v>0</v>
      </c>
      <c r="J12" s="159">
        <f>SUMPRODUCT(Table4[Probability]*Table4[Rev. Based on PROB]*(Table4[Installation]=$B12)*(Table4[Projected 
Year]=I$1)*(Table4[Projected 
Month]=I$2))/MAX(1,SUMPRODUCT(Table4[Rev. Based on PROB]*(Table4[Installation]=$B12)*(Table4[Projected 
Year]=I$1)*(Table4[Projected 
Month]=I$2)))</f>
        <v>0</v>
      </c>
      <c r="K12" s="160">
        <f>SUMPRODUCT(Table4[Rev. Based on PROB]*Table4[Expected CMR]*(Table4[Projected 
Year]=I$1)*(Table4[Projected 
Month]=I$2)*(Table4[Installation]=$B12))/MAX(1,I12)</f>
        <v>0</v>
      </c>
      <c r="L12" s="27">
        <f>SUMIFS(Table4[Rev. Based on PROB],Table4[Installation],$B12,Table4[Projected 
Year],L$1,Table4[Projected 
Month],L$2)</f>
        <v>0</v>
      </c>
      <c r="M12" s="159">
        <f>SUMPRODUCT(Table4[Probability]*Table4[Rev. Based on PROB]*(Table4[Installation]=$B12)*(Table4[Projected 
Year]=L$1)*(Table4[Projected 
Month]=L$2))/MAX(1,SUMPRODUCT(Table4[Rev. Based on PROB]*(Table4[Installation]=$B12)*(Table4[Projected 
Year]=L$1)*(Table4[Projected 
Month]=L$2)))</f>
        <v>0</v>
      </c>
      <c r="N12" s="160">
        <f>SUMPRODUCT(Table4[Rev. Based on PROB]*Table4[Expected CMR]*(Table4[Projected 
Year]=L$1)*(Table4[Projected 
Month]=L$2)*(Table4[Installation]=$B12))/MAX(1,L12)</f>
        <v>0</v>
      </c>
      <c r="O12" s="27">
        <f>SUMIFS(Table4[Rev. Based on PROB],Table4[Installation],$B12,Table4[Projected 
Year],O$1,Table4[Projected 
Month],O$2)</f>
        <v>0</v>
      </c>
      <c r="P12" s="159">
        <f>SUMPRODUCT(Table4[Probability]*Table4[Rev. Based on PROB]*(Table4[Installation]=$B12)*(Table4[Projected 
Year]=O$1)*(Table4[Projected 
Month]=O$2))/MAX(1,SUMPRODUCT(Table4[Rev. Based on PROB]*(Table4[Installation]=$B12)*(Table4[Projected 
Year]=O$1)*(Table4[Projected 
Month]=O$2)))</f>
        <v>0</v>
      </c>
      <c r="Q12" s="160">
        <f>SUMPRODUCT(Table4[Rev. Based on PROB]*Table4[Expected CMR]*(Table4[Projected 
Year]=O$1)*(Table4[Projected 
Month]=O$2)*(Table4[Installation]=$B12))/MAX(1,O12)</f>
        <v>0</v>
      </c>
      <c r="R12" s="27">
        <f>SUMIFS(Table4[Rev. Based on PROB],Table4[Installation],$B12,Table4[Projected 
Year],R$1,Table4[Projected 
Month],R$2)</f>
        <v>0</v>
      </c>
      <c r="S12" s="159">
        <f>SUMPRODUCT(Table4[Probability]*Table4[Rev. Based on PROB]*(Table4[Installation]=$B12)*(Table4[Projected 
Year]=R$1)*(Table4[Projected 
Month]=R$2))/MAX(1,SUMPRODUCT(Table4[Rev. Based on PROB]*(Table4[Installation]=$B12)*(Table4[Projected 
Year]=R$1)*(Table4[Projected 
Month]=R$2)))</f>
        <v>0</v>
      </c>
      <c r="T12" s="160">
        <f>SUMPRODUCT(Table4[Rev. Based on PROB]*Table4[Expected CMR]*(Table4[Projected 
Year]=R$1)*(Table4[Projected 
Month]=R$2)*(Table4[Installation]=$B12))/MAX(1,R12)</f>
        <v>0</v>
      </c>
      <c r="U12" s="27">
        <f>SUMIFS(Table4[Rev. Based on PROB],Table4[Installation],$B12,Table4[Projected 
Year],U$1,Table4[Projected 
Month],U$2)</f>
        <v>0</v>
      </c>
      <c r="V12" s="159">
        <f>SUMPRODUCT(Table4[Probability]*Table4[Rev. Based on PROB]*(Table4[Installation]=$B12)*(Table4[Projected 
Year]=U$1)*(Table4[Projected 
Month]=U$2))/MAX(1,SUMPRODUCT(Table4[Rev. Based on PROB]*(Table4[Installation]=$B12)*(Table4[Projected 
Year]=U$1)*(Table4[Projected 
Month]=U$2)))</f>
        <v>0</v>
      </c>
      <c r="W12" s="160">
        <f>SUMPRODUCT(Table4[Rev. Based on PROB]*Table4[Expected CMR]*(Table4[Projected 
Year]=U$1)*(Table4[Projected 
Month]=U$2)*(Table4[Installation]=$B12))/MAX(1,U12)</f>
        <v>0</v>
      </c>
      <c r="X12" s="27">
        <f>SUMIFS(Table4[Rev. Based on PROB],Table4[Installation],$B12,Table4[Projected 
Year],X$1,Table4[Projected 
Month],X$2)</f>
        <v>0</v>
      </c>
      <c r="Y12" s="159">
        <f>SUMPRODUCT(Table4[Probability]*Table4[Rev. Based on PROB]*(Table4[Installation]=$B12)*(Table4[Projected 
Year]=X$1)*(Table4[Projected 
Month]=X$2))/MAX(1,SUMPRODUCT(Table4[Rev. Based on PROB]*(Table4[Installation]=$B12)*(Table4[Projected 
Year]=X$1)*(Table4[Projected 
Month]=X$2)))</f>
        <v>0</v>
      </c>
      <c r="Z12" s="160">
        <f>SUMPRODUCT(Table4[Rev. Based on PROB]*Table4[Expected CMR]*(Table4[Projected 
Year]=X$1)*(Table4[Projected 
Month]=X$2)*(Table4[Installation]=$B12))/MAX(1,X12)</f>
        <v>0</v>
      </c>
      <c r="AA12" s="27">
        <f>SUMIFS(Table4[Rev. Based on PROB],Table4[Installation],$B12,Table4[Projected 
Year],AA$1,Table4[Projected 
Month],AA$2)</f>
        <v>0</v>
      </c>
      <c r="AB12" s="159">
        <f>SUMPRODUCT(Table4[Probability]*Table4[Rev. Based on PROB]*(Table4[Installation]=$B12)*(Table4[Projected 
Year]=AA$1)*(Table4[Projected 
Month]=AA$2))/MAX(1,SUMPRODUCT(Table4[Rev. Based on PROB]*(Table4[Installation]=$B12)*(Table4[Projected 
Year]=AA$1)*(Table4[Projected 
Month]=AA$2)))</f>
        <v>0</v>
      </c>
      <c r="AC12" s="160">
        <f>SUMPRODUCT(Table4[Rev. Based on PROB]*Table4[Expected CMR]*(Table4[Projected 
Year]=AA$1)*(Table4[Projected 
Month]=AA$2)*(Table4[Installation]=$B12))/MAX(1,AA12)</f>
        <v>0</v>
      </c>
      <c r="AD12" s="27">
        <f>SUMIFS(Table4[Rev. Based on PROB],Table4[Installation],$B12,Table4[Projected 
Year],AD$1,Table4[Projected 
Month],AD$2)</f>
        <v>0</v>
      </c>
      <c r="AE12" s="159">
        <f>SUMPRODUCT(Table4[Probability]*Table4[Rev. Based on PROB]*(Table4[Installation]=$B12)*(Table4[Projected 
Year]=AD$1)*(Table4[Projected 
Month]=AD$2))/MAX(1,SUMPRODUCT(Table4[Rev. Based on PROB]*(Table4[Installation]=$B12)*(Table4[Projected 
Year]=AD$1)*(Table4[Projected 
Month]=AD$2)))</f>
        <v>0</v>
      </c>
      <c r="AF12" s="160">
        <f>SUMPRODUCT(Table4[Rev. Based on PROB]*Table4[Expected CMR]*(Table4[Projected 
Year]=AD$1)*(Table4[Projected 
Month]=AD$2)*(Table4[Installation]=$B12))/MAX(1,AD12)</f>
        <v>0</v>
      </c>
      <c r="AG12" s="27">
        <f>SUMIFS(Table4[Rev. Based on PROB],Table4[Installation],$B12,Table4[Projected 
Year],AG$1,Table4[Projected 
Month],AG$2)</f>
        <v>0</v>
      </c>
      <c r="AH12" s="159">
        <f>SUMPRODUCT(Table4[Probability]*Table4[Rev. Based on PROB]*(Table4[Installation]=$B12)*(Table4[Projected 
Year]=AG$1)*(Table4[Projected 
Month]=AG$2))/MAX(1,SUMPRODUCT(Table4[Rev. Based on PROB]*(Table4[Installation]=$B12)*(Table4[Projected 
Year]=AG$1)*(Table4[Projected 
Month]=AG$2)))</f>
        <v>0</v>
      </c>
      <c r="AI12" s="160">
        <f>SUMPRODUCT(Table4[Rev. Based on PROB]*Table4[Expected CMR]*(Table4[Projected 
Year]=AG$1)*(Table4[Projected 
Month]=AG$2)*(Table4[Installation]=$B12))/MAX(1,AG12)</f>
        <v>0</v>
      </c>
      <c r="AJ12" s="27">
        <f>SUMIFS(Table4[Rev. Based on PROB],Table4[Installation],$B12,Table4[Projected 
Year],AJ$1,Table4[Projected 
Month],AJ$2)</f>
        <v>0</v>
      </c>
      <c r="AK12" s="159">
        <f>SUMPRODUCT(Table4[Probability]*Table4[Rev. Based on PROB]*(Table4[Installation]=$B12)*(Table4[Projected 
Year]=AJ$1)*(Table4[Projected 
Month]=AJ$2))/MAX(1,SUMPRODUCT(Table4[Rev. Based on PROB]*(Table4[Installation]=$B12)*(Table4[Projected 
Year]=AJ$1)*(Table4[Projected 
Month]=AJ$2)))</f>
        <v>0</v>
      </c>
      <c r="AL12" s="160">
        <f>SUMPRODUCT(Table4[Rev. Based on PROB]*Table4[Expected CMR]*(Table4[Projected 
Year]=AJ$1)*(Table4[Projected 
Month]=AJ$2)*(Table4[Installation]=$B12))/MAX(1,AJ12)</f>
        <v>0</v>
      </c>
      <c r="AM12" s="30">
        <f t="shared" si="1"/>
        <v>0</v>
      </c>
      <c r="AN12" s="52">
        <f t="shared" si="2"/>
        <v>0</v>
      </c>
      <c r="AO12" s="53">
        <f t="shared" si="3"/>
        <v>0</v>
      </c>
      <c r="AP12" s="27">
        <f>SUMIFS(Table47[Rev. Based on PROB],Table47[Installation],$B12,Table47[Projected 
Year],AP$1,Table47[Monthly revenue],AP$2)</f>
        <v>27816</v>
      </c>
      <c r="AQ12" s="159">
        <f>SUMPRODUCT(Table4[Probability]*Table4[Rev. Based on PROB]*(Table4[Installation]=$B12)*(Table4[Projected 
Year]=AP$1)*(Table4[Projected 
Month]=AP$2))/MAX(1,SUMPRODUCT(Table4[Rev. Based on PROB]*(Table4[Installation]=$B12)*(Table4[Projected 
Year]=AP$1)*(Table4[Projected 
Month]=AP$2)))</f>
        <v>1</v>
      </c>
      <c r="AR12" s="160">
        <f>SUMPRODUCT(Table4[Rev. Based on PROB]*Table4[Expected CMR]*(Table4[Projected 
Year]=AP$1)*(Table4[Projected 
Month]=AP$2)*(Table4[Installation]=$B12))/MAX(1,AP12)</f>
        <v>0.40785159620362377</v>
      </c>
      <c r="AS12" s="27">
        <f>SUMIFS(Table47[Rev. Based on PROB],Table47[Installation],$B12,Table47[Projected 
Year],AS$1,Table47[Monthly revenue],AS$2)</f>
        <v>0</v>
      </c>
      <c r="AT12" s="159">
        <f>SUMPRODUCT(Table4[Probability]*Table4[Rev. Based on PROB]*(Table4[Installation]=$B12)*(Table4[Projected 
Year]=AS$1)*(Table4[Projected 
Month]=AS$2))/MAX(1,SUMPRODUCT(Table4[Rev. Based on PROB]*(Table4[Installation]=$B12)*(Table4[Projected 
Year]=AS$1)*(Table4[Projected 
Month]=AS$2)))</f>
        <v>1</v>
      </c>
      <c r="AU12" s="160">
        <f>SUMPRODUCT(Table4[Rev. Based on PROB]*Table4[Expected CMR]*(Table4[Projected 
Year]=AS$1)*(Table4[Projected 
Month]=AS$2)*(Table4[Installation]=$B12))/MAX(1,AS12)</f>
        <v>6074.11</v>
      </c>
      <c r="AV12" s="27">
        <f>SUMIFS(Table47[Rev. Based on PROB],Table47[Installation],$B12,Table47[Projected 
Year],AV$1,Table47[Monthly revenue],AV$2)</f>
        <v>18810.5</v>
      </c>
      <c r="AW12" s="159">
        <f>SUMPRODUCT(Table4[Probability]*Table4[Rev. Based on PROB]*(Table4[Installation]=$B12)*(Table4[Projected 
Year]=AV$1)*(Table4[Projected 
Month]=AV$2))/MAX(1,SUMPRODUCT(Table4[Rev. Based on PROB]*(Table4[Installation]=$B12)*(Table4[Projected 
Year]=AV$1)*(Table4[Projected 
Month]=AV$2)))</f>
        <v>1</v>
      </c>
      <c r="AX12" s="160">
        <f>SUMPRODUCT(Table4[Rev. Based on PROB]*Table4[Expected CMR]*(Table4[Projected 
Year]=AV$1)*(Table4[Projected 
Month]=AV$2)*(Table4[Installation]=$B12))/MAX(1,AV12)</f>
        <v>0.3</v>
      </c>
      <c r="AY12" s="27">
        <f>SUMIFS(Table47[Rev. Based on PROB],Table47[Installation],$B12,Table47[Projected 
Year],AY$1,Table47[Monthly revenue],AY$2)</f>
        <v>78188.5</v>
      </c>
      <c r="AZ12" s="159">
        <f>SUMPRODUCT(Table4[Probability]*Table4[Rev. Based on PROB]*(Table4[Installation]=$B12)*(Table4[Projected 
Year]=AY$1)*(Table4[Projected 
Month]=AY$2))/MAX(1,SUMPRODUCT(Table4[Rev. Based on PROB]*(Table4[Installation]=$B12)*(Table4[Projected 
Year]=AY$1)*(Table4[Projected 
Month]=AY$2)))</f>
        <v>0</v>
      </c>
      <c r="BA12" s="160">
        <f>SUMPRODUCT(Table4[Rev. Based on PROB]*Table4[Expected CMR]*(Table4[Projected 
Year]=AY$1)*(Table4[Projected 
Month]=AY$2)*(Table4[Installation]=$B12))/MAX(1,AY12)</f>
        <v>0</v>
      </c>
      <c r="BB12" s="27">
        <f>SUMIFS(Table47[Rev. Based on PROB],Table47[Installation],$B12,Table47[Projected 
Year],BB$1,Table47[Monthly revenue],BB$2)</f>
        <v>0</v>
      </c>
      <c r="BC12" s="159">
        <f>SUMPRODUCT(Table4[Probability]*Table4[Rev. Based on PROB]*(Table4[Installation]=$B12)*(Table4[Projected 
Year]=BB$1)*(Table4[Projected 
Month]=BB$2))/MAX(1,SUMPRODUCT(Table4[Rev. Based on PROB]*(Table4[Installation]=$B12)*(Table4[Projected 
Year]=BB$1)*(Table4[Projected 
Month]=BB$2)))</f>
        <v>0</v>
      </c>
      <c r="BD12" s="160">
        <f>SUMPRODUCT(Table4[Rev. Based on PROB]*Table4[Expected CMR]*(Table4[Projected 
Year]=BB$1)*(Table4[Projected 
Month]=BB$2)*(Table4[Installation]=$B12))/MAX(1,BB12)</f>
        <v>0</v>
      </c>
      <c r="BE12" s="27">
        <f>SUMIFS(Table47[Rev. Based on PROB],Table47[Installation],$B12,Table47[Projected 
Year],BE$1,Table47[Monthly revenue],BE$2)</f>
        <v>10000</v>
      </c>
      <c r="BF12" s="159">
        <f>SUMPRODUCT(Table4[Probability]*Table4[Rev. Based on PROB]*(Table4[Installation]=$B12)*(Table4[Projected 
Year]=BE$1)*(Table4[Projected 
Month]=BE$2))/MAX(1,SUMPRODUCT(Table4[Rev. Based on PROB]*(Table4[Installation]=$B12)*(Table4[Projected 
Year]=BE$1)*(Table4[Projected 
Month]=BE$2)))</f>
        <v>1</v>
      </c>
      <c r="BG12" s="160">
        <f>SUMPRODUCT(Table4[Rev. Based on PROB]*Table4[Expected CMR]*(Table4[Projected 
Year]=BE$1)*(Table4[Projected 
Month]=BE$2)*(Table4[Installation]=$B12))/MAX(1,BE12)</f>
        <v>2.3456549999999994</v>
      </c>
      <c r="BH12" s="27">
        <f>SUMIFS(Table47[Rev. Based on PROB],Table47[Installation],$B12,Table47[Projected 
Year],BH$1,Table47[Monthly revenue],BH$2)</f>
        <v>40939</v>
      </c>
      <c r="BI12" s="159">
        <f>SUMPRODUCT(Table4[Probability]*Table4[Rev. Based on PROB]*(Table4[Installation]=$B12)*(Table4[Projected 
Year]=BH$1)*(Table4[Projected 
Month]=BH$2))/MAX(1,SUMPRODUCT(Table4[Rev. Based on PROB]*(Table4[Installation]=$B12)*(Table4[Projected 
Year]=BH$1)*(Table4[Projected 
Month]=BH$2)))</f>
        <v>1</v>
      </c>
      <c r="BJ12" s="160">
        <f>SUMPRODUCT(Table4[Rev. Based on PROB]*Table4[Expected CMR]*(Table4[Projected 
Year]=BH$1)*(Table4[Projected 
Month]=BH$2)*(Table4[Installation]=$B12))/MAX(1,BH12)</f>
        <v>0.22672024231173207</v>
      </c>
      <c r="BK12" s="27">
        <f>SUMIFS(Table47[Rev. Based on PROB],Table47[Installation],$B12,Table47[Projected 
Year],BK$1,Table47[Monthly revenue],BK$2)</f>
        <v>0</v>
      </c>
      <c r="BL12" s="159">
        <f>SUMPRODUCT(Table4[Probability]*Table4[Rev. Based on PROB]*(Table4[Installation]=$B12)*(Table4[Projected 
Year]=BK$1)*(Table4[Projected 
Month]=BK$2))/MAX(1,SUMPRODUCT(Table4[Rev. Based on PROB]*(Table4[Installation]=$B12)*(Table4[Projected 
Year]=BK$1)*(Table4[Projected 
Month]=BK$2)))</f>
        <v>1</v>
      </c>
      <c r="BM12" s="160">
        <f>SUMPRODUCT(Table4[Rev. Based on PROB]*Table4[Expected CMR]*(Table4[Projected 
Year]=BK$1)*(Table4[Projected 
Month]=BK$2)*(Table4[Installation]=$B12))/MAX(1,BK12)</f>
        <v>5643.15</v>
      </c>
      <c r="BN12" s="27">
        <f>SUMIFS(Table47[Rev. Based on PROB],Table47[Installation],$B12,Table47[Projected 
Year],BN$1,Table47[Monthly revenue],BN$2)</f>
        <v>0</v>
      </c>
      <c r="BO12" s="159">
        <f>SUMPRODUCT(Table4[Probability]*Table4[Rev. Based on PROB]*(Table4[Installation]=$B12)*(Table4[Projected 
Year]=BN$1)*(Table4[Projected 
Month]=BN$2))/MAX(1,SUMPRODUCT(Table4[Rev. Based on PROB]*(Table4[Installation]=$B12)*(Table4[Projected 
Year]=BN$1)*(Table4[Projected 
Month]=BN$2)))</f>
        <v>0</v>
      </c>
      <c r="BP12" s="160">
        <f>SUMPRODUCT(Table4[Rev. Based on PROB]*Table4[Expected CMR]*(Table4[Projected 
Year]=BN$1)*(Table4[Projected 
Month]=BN$2)*(Table4[Installation]=$B12))/MAX(1,BN12)</f>
        <v>0</v>
      </c>
      <c r="BQ12" s="27">
        <f>SUMIFS(Table47[Rev. Based on PROB],Table47[Installation],$B12,Table47[Projected 
Year],BQ$1,Table47[Monthly revenue],BQ$2)</f>
        <v>0</v>
      </c>
      <c r="BR12" s="159">
        <f>SUMPRODUCT(Table4[Probability]*Table4[Rev. Based on PROB]*(Table4[Installation]=$B12)*(Table4[Projected 
Year]=BQ$1)*(Table4[Projected 
Month]=BQ$2))/MAX(1,SUMPRODUCT(Table4[Rev. Based on PROB]*(Table4[Installation]=$B12)*(Table4[Projected 
Year]=BQ$1)*(Table4[Projected 
Month]=BQ$2)))</f>
        <v>0</v>
      </c>
      <c r="BS12" s="160">
        <f>SUMPRODUCT(Table4[Rev. Based on PROB]*Table4[Expected CMR]*(Table4[Projected 
Year]=BQ$1)*(Table4[Projected 
Month]=BQ$2)*(Table4[Installation]=$B12))/MAX(1,BQ12)</f>
        <v>0</v>
      </c>
      <c r="BT12" s="27">
        <f>SUMIFS(Table47[Rev. Based on PROB],Table47[Installation],$B12,Table47[Projected 
Year],BT$1,Table47[Monthly revenue],BT$2)</f>
        <v>2300</v>
      </c>
      <c r="BU12" s="159">
        <f>SUMPRODUCT(Table4[Probability]*Table4[Rev. Based on PROB]*(Table4[Installation]=$B12)*(Table4[Projected 
Year]=BT$1)*(Table4[Projected 
Month]=BT$2))/MAX(1,SUMPRODUCT(Table4[Rev. Based on PROB]*(Table4[Installation]=$B12)*(Table4[Projected 
Year]=BT$1)*(Table4[Projected 
Month]=BT$2)))</f>
        <v>1</v>
      </c>
      <c r="BV12" s="160">
        <f>SUMPRODUCT(Table4[Rev. Based on PROB]*Table4[Expected CMR]*(Table4[Projected 
Year]=BT$1)*(Table4[Projected 
Month]=BT$2)*(Table4[Installation]=$B12))/MAX(1,BT12)</f>
        <v>1.8130434782608695</v>
      </c>
      <c r="BW12" s="27">
        <f>SUMIFS(Table47[Rev. Based on PROB],Table47[Installation],$B12,Table47[Projected 
Year],BW$1,Table47[Monthly revenue],BW$2)</f>
        <v>3800</v>
      </c>
      <c r="BX12" s="159">
        <f>SUMPRODUCT(Table4[Probability]*Table4[Rev. Based on PROB]*(Table4[Installation]=$B12)*(Table4[Projected 
Year]=BW$1)*(Table4[Projected 
Month]=BW$2))/MAX(1,SUMPRODUCT(Table4[Rev. Based on PROB]*(Table4[Installation]=$B12)*(Table4[Projected 
Year]=BW$1)*(Table4[Projected 
Month]=BW$2)))</f>
        <v>1</v>
      </c>
      <c r="BY12" s="160">
        <f>SUMPRODUCT(Table4[Rev. Based on PROB]*Table4[Expected CMR]*(Table4[Projected 
Year]=BW$1)*(Table4[Projected 
Month]=BW$2)*(Table4[Installation]=$B12))/MAX(1,BW12)</f>
        <v>2.3234605263157895</v>
      </c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200"/>
      <c r="CK12" s="200"/>
      <c r="CL12" s="200"/>
      <c r="CM12" s="200"/>
      <c r="CN12" s="200"/>
      <c r="CO12" s="200"/>
      <c r="CP12" s="200"/>
      <c r="CQ12" s="200"/>
      <c r="CR12" s="200"/>
      <c r="CS12" s="200"/>
      <c r="CT12" s="200"/>
      <c r="CU12" s="30">
        <f t="shared" si="0"/>
        <v>181854</v>
      </c>
      <c r="CV12" s="52">
        <f t="shared" si="4"/>
        <v>0</v>
      </c>
      <c r="CW12" s="53">
        <f t="shared" si="5"/>
        <v>0</v>
      </c>
      <c r="CX12" s="29">
        <v>439244</v>
      </c>
      <c r="CY12" s="19">
        <f t="shared" si="6"/>
        <v>-257390</v>
      </c>
    </row>
    <row r="13" spans="1:103">
      <c r="A13" s="18" t="s">
        <v>57</v>
      </c>
      <c r="B13" s="20" t="s">
        <v>146</v>
      </c>
      <c r="C13" s="27">
        <f>SUMIFS(Table4[Rev. Based on PROB],Table4[Installation],$B13,Table4[Projected 
Year],C$1,Table4[Projected 
Month],C$2)</f>
        <v>0</v>
      </c>
      <c r="D13" s="159">
        <f>SUMPRODUCT(Table4[Probability]*Table4[Rev. Based on PROB]*(Table4[Installation]=$B13)*(Table4[Projected 
Year]=C$1)*(Table4[Projected 
Month]=C$2))/MAX(1,SUMPRODUCT(Table4[Rev. Based on PROB]*(Table4[Installation]=$B13)*(Table4[Projected 
Year]=C$1)*(Table4[Projected 
Month]=C$2)))</f>
        <v>0</v>
      </c>
      <c r="E13" s="160">
        <f>SUMPRODUCT(Table4[Rev. Based on PROB]*Table4[Expected CMR]*(Table4[Projected 
Year]=C$1)*(Table4[Projected 
Month]=C$2)*(Table4[Installation]=$B13))/MAX(1,C13)</f>
        <v>0</v>
      </c>
      <c r="F13" s="27">
        <f>SUMIFS(Table4[Rev. Based on PROB],Table4[Installation],$B13,Table4[Projected 
Year],F$1,Table4[Projected 
Month],F$2)</f>
        <v>0</v>
      </c>
      <c r="G13" s="159">
        <f>SUMPRODUCT(Table4[Probability]*Table4[Rev. Based on PROB]*(Table4[Installation]=$B13)*(Table4[Projected 
Year]=F$1)*(Table4[Projected 
Month]=F$2))/MAX(1,SUMPRODUCT(Table4[Rev. Based on PROB]*(Table4[Installation]=$B13)*(Table4[Projected 
Year]=F$1)*(Table4[Projected 
Month]=F$2)))</f>
        <v>0</v>
      </c>
      <c r="H13" s="160">
        <f>SUMPRODUCT(Table4[Rev. Based on PROB]*Table4[Expected CMR]*(Table4[Projected 
Year]=F$1)*(Table4[Projected 
Month]=F$2)*(Table4[Installation]=$B13))/MAX(1,F13)</f>
        <v>0</v>
      </c>
      <c r="I13" s="27">
        <f>SUMIFS(Table4[Rev. Based on PROB],Table4[Installation],$B13,Table4[Projected 
Year],I$1,Table4[Projected 
Month],I$2)</f>
        <v>0</v>
      </c>
      <c r="J13" s="159">
        <f>SUMPRODUCT(Table4[Probability]*Table4[Rev. Based on PROB]*(Table4[Installation]=$B13)*(Table4[Projected 
Year]=I$1)*(Table4[Projected 
Month]=I$2))/MAX(1,SUMPRODUCT(Table4[Rev. Based on PROB]*(Table4[Installation]=$B13)*(Table4[Projected 
Year]=I$1)*(Table4[Projected 
Month]=I$2)))</f>
        <v>0</v>
      </c>
      <c r="K13" s="160">
        <f>SUMPRODUCT(Table4[Rev. Based on PROB]*Table4[Expected CMR]*(Table4[Projected 
Year]=I$1)*(Table4[Projected 
Month]=I$2)*(Table4[Installation]=$B13))/MAX(1,I13)</f>
        <v>0</v>
      </c>
      <c r="L13" s="27">
        <f>SUMIFS(Table4[Rev. Based on PROB],Table4[Installation],$B13,Table4[Projected 
Year],L$1,Table4[Projected 
Month],L$2)</f>
        <v>0</v>
      </c>
      <c r="M13" s="159">
        <f>SUMPRODUCT(Table4[Probability]*Table4[Rev. Based on PROB]*(Table4[Installation]=$B13)*(Table4[Projected 
Year]=L$1)*(Table4[Projected 
Month]=L$2))/MAX(1,SUMPRODUCT(Table4[Rev. Based on PROB]*(Table4[Installation]=$B13)*(Table4[Projected 
Year]=L$1)*(Table4[Projected 
Month]=L$2)))</f>
        <v>0</v>
      </c>
      <c r="N13" s="160">
        <f>SUMPRODUCT(Table4[Rev. Based on PROB]*Table4[Expected CMR]*(Table4[Projected 
Year]=L$1)*(Table4[Projected 
Month]=L$2)*(Table4[Installation]=$B13))/MAX(1,L13)</f>
        <v>0</v>
      </c>
      <c r="O13" s="27">
        <f>SUMIFS(Table4[Rev. Based on PROB],Table4[Installation],$B13,Table4[Projected 
Year],O$1,Table4[Projected 
Month],O$2)</f>
        <v>0</v>
      </c>
      <c r="P13" s="159">
        <f>SUMPRODUCT(Table4[Probability]*Table4[Rev. Based on PROB]*(Table4[Installation]=$B13)*(Table4[Projected 
Year]=O$1)*(Table4[Projected 
Month]=O$2))/MAX(1,SUMPRODUCT(Table4[Rev. Based on PROB]*(Table4[Installation]=$B13)*(Table4[Projected 
Year]=O$1)*(Table4[Projected 
Month]=O$2)))</f>
        <v>0</v>
      </c>
      <c r="Q13" s="160">
        <f>SUMPRODUCT(Table4[Rev. Based on PROB]*Table4[Expected CMR]*(Table4[Projected 
Year]=O$1)*(Table4[Projected 
Month]=O$2)*(Table4[Installation]=$B13))/MAX(1,O13)</f>
        <v>0</v>
      </c>
      <c r="R13" s="27">
        <f>SUMIFS(Table4[Rev. Based on PROB],Table4[Installation],$B13,Table4[Projected 
Year],R$1,Table4[Projected 
Month],R$2)</f>
        <v>0</v>
      </c>
      <c r="S13" s="159">
        <f>SUMPRODUCT(Table4[Probability]*Table4[Rev. Based on PROB]*(Table4[Installation]=$B13)*(Table4[Projected 
Year]=R$1)*(Table4[Projected 
Month]=R$2))/MAX(1,SUMPRODUCT(Table4[Rev. Based on PROB]*(Table4[Installation]=$B13)*(Table4[Projected 
Year]=R$1)*(Table4[Projected 
Month]=R$2)))</f>
        <v>0</v>
      </c>
      <c r="T13" s="160">
        <f>SUMPRODUCT(Table4[Rev. Based on PROB]*Table4[Expected CMR]*(Table4[Projected 
Year]=R$1)*(Table4[Projected 
Month]=R$2)*(Table4[Installation]=$B13))/MAX(1,R13)</f>
        <v>0</v>
      </c>
      <c r="U13" s="27">
        <f>SUMIFS(Table4[Rev. Based on PROB],Table4[Installation],$B13,Table4[Projected 
Year],U$1,Table4[Projected 
Month],U$2)</f>
        <v>0</v>
      </c>
      <c r="V13" s="159">
        <f>SUMPRODUCT(Table4[Probability]*Table4[Rev. Based on PROB]*(Table4[Installation]=$B13)*(Table4[Projected 
Year]=U$1)*(Table4[Projected 
Month]=U$2))/MAX(1,SUMPRODUCT(Table4[Rev. Based on PROB]*(Table4[Installation]=$B13)*(Table4[Projected 
Year]=U$1)*(Table4[Projected 
Month]=U$2)))</f>
        <v>0</v>
      </c>
      <c r="W13" s="160">
        <f>SUMPRODUCT(Table4[Rev. Based on PROB]*Table4[Expected CMR]*(Table4[Projected 
Year]=U$1)*(Table4[Projected 
Month]=U$2)*(Table4[Installation]=$B13))/MAX(1,U13)</f>
        <v>0</v>
      </c>
      <c r="X13" s="27">
        <f>SUMIFS(Table4[Rev. Based on PROB],Table4[Installation],$B13,Table4[Projected 
Year],X$1,Table4[Projected 
Month],X$2)</f>
        <v>0</v>
      </c>
      <c r="Y13" s="159">
        <f>SUMPRODUCT(Table4[Probability]*Table4[Rev. Based on PROB]*(Table4[Installation]=$B13)*(Table4[Projected 
Year]=X$1)*(Table4[Projected 
Month]=X$2))/MAX(1,SUMPRODUCT(Table4[Rev. Based on PROB]*(Table4[Installation]=$B13)*(Table4[Projected 
Year]=X$1)*(Table4[Projected 
Month]=X$2)))</f>
        <v>0</v>
      </c>
      <c r="Z13" s="160">
        <f>SUMPRODUCT(Table4[Rev. Based on PROB]*Table4[Expected CMR]*(Table4[Projected 
Year]=X$1)*(Table4[Projected 
Month]=X$2)*(Table4[Installation]=$B13))/MAX(1,X13)</f>
        <v>0</v>
      </c>
      <c r="AA13" s="27">
        <f>SUMIFS(Table4[Rev. Based on PROB],Table4[Installation],$B13,Table4[Projected 
Year],AA$1,Table4[Projected 
Month],AA$2)</f>
        <v>0</v>
      </c>
      <c r="AB13" s="159">
        <f>SUMPRODUCT(Table4[Probability]*Table4[Rev. Based on PROB]*(Table4[Installation]=$B13)*(Table4[Projected 
Year]=AA$1)*(Table4[Projected 
Month]=AA$2))/MAX(1,SUMPRODUCT(Table4[Rev. Based on PROB]*(Table4[Installation]=$B13)*(Table4[Projected 
Year]=AA$1)*(Table4[Projected 
Month]=AA$2)))</f>
        <v>0</v>
      </c>
      <c r="AC13" s="160">
        <f>SUMPRODUCT(Table4[Rev. Based on PROB]*Table4[Expected CMR]*(Table4[Projected 
Year]=AA$1)*(Table4[Projected 
Month]=AA$2)*(Table4[Installation]=$B13))/MAX(1,AA13)</f>
        <v>0</v>
      </c>
      <c r="AD13" s="27">
        <f>SUMIFS(Table4[Rev. Based on PROB],Table4[Installation],$B13,Table4[Projected 
Year],AD$1,Table4[Projected 
Month],AD$2)</f>
        <v>0</v>
      </c>
      <c r="AE13" s="159">
        <f>SUMPRODUCT(Table4[Probability]*Table4[Rev. Based on PROB]*(Table4[Installation]=$B13)*(Table4[Projected 
Year]=AD$1)*(Table4[Projected 
Month]=AD$2))/MAX(1,SUMPRODUCT(Table4[Rev. Based on PROB]*(Table4[Installation]=$B13)*(Table4[Projected 
Year]=AD$1)*(Table4[Projected 
Month]=AD$2)))</f>
        <v>0</v>
      </c>
      <c r="AF13" s="160">
        <f>SUMPRODUCT(Table4[Rev. Based on PROB]*Table4[Expected CMR]*(Table4[Projected 
Year]=AD$1)*(Table4[Projected 
Month]=AD$2)*(Table4[Installation]=$B13))/MAX(1,AD13)</f>
        <v>0</v>
      </c>
      <c r="AG13" s="27">
        <f>SUMIFS(Table4[Rev. Based on PROB],Table4[Installation],$B13,Table4[Projected 
Year],AG$1,Table4[Projected 
Month],AG$2)</f>
        <v>0</v>
      </c>
      <c r="AH13" s="159">
        <f>SUMPRODUCT(Table4[Probability]*Table4[Rev. Based on PROB]*(Table4[Installation]=$B13)*(Table4[Projected 
Year]=AG$1)*(Table4[Projected 
Month]=AG$2))/MAX(1,SUMPRODUCT(Table4[Rev. Based on PROB]*(Table4[Installation]=$B13)*(Table4[Projected 
Year]=AG$1)*(Table4[Projected 
Month]=AG$2)))</f>
        <v>0</v>
      </c>
      <c r="AI13" s="160">
        <f>SUMPRODUCT(Table4[Rev. Based on PROB]*Table4[Expected CMR]*(Table4[Projected 
Year]=AG$1)*(Table4[Projected 
Month]=AG$2)*(Table4[Installation]=$B13))/MAX(1,AG13)</f>
        <v>0</v>
      </c>
      <c r="AJ13" s="27">
        <f>SUMIFS(Table4[Rev. Based on PROB],Table4[Installation],$B13,Table4[Projected 
Year],AJ$1,Table4[Projected 
Month],AJ$2)</f>
        <v>0</v>
      </c>
      <c r="AK13" s="159">
        <f>SUMPRODUCT(Table4[Probability]*Table4[Rev. Based on PROB]*(Table4[Installation]=$B13)*(Table4[Projected 
Year]=AJ$1)*(Table4[Projected 
Month]=AJ$2))/MAX(1,SUMPRODUCT(Table4[Rev. Based on PROB]*(Table4[Installation]=$B13)*(Table4[Projected 
Year]=AJ$1)*(Table4[Projected 
Month]=AJ$2)))</f>
        <v>0</v>
      </c>
      <c r="AL13" s="160">
        <f>SUMPRODUCT(Table4[Rev. Based on PROB]*Table4[Expected CMR]*(Table4[Projected 
Year]=AJ$1)*(Table4[Projected 
Month]=AJ$2)*(Table4[Installation]=$B13))/MAX(1,AJ13)</f>
        <v>0</v>
      </c>
      <c r="AM13" s="30">
        <f t="shared" si="1"/>
        <v>0</v>
      </c>
      <c r="AN13" s="52">
        <f t="shared" si="2"/>
        <v>0</v>
      </c>
      <c r="AO13" s="53">
        <f t="shared" si="3"/>
        <v>0</v>
      </c>
      <c r="AP13" s="27">
        <f>SUMIFS(Table47[Rev. Based on PROB],Table47[Installation],$B13,Table47[Projected 
Year],AP$1,Table47[Monthly revenue],AP$2)</f>
        <v>24000</v>
      </c>
      <c r="AQ13" s="159">
        <f>SUMPRODUCT(Table4[Probability]*Table4[Rev. Based on PROB]*(Table4[Installation]=$B13)*(Table4[Projected 
Year]=AP$1)*(Table4[Projected 
Month]=AP$2))/MAX(1,SUMPRODUCT(Table4[Rev. Based on PROB]*(Table4[Installation]=$B13)*(Table4[Projected 
Year]=AP$1)*(Table4[Projected 
Month]=AP$2)))</f>
        <v>1</v>
      </c>
      <c r="AR13" s="160">
        <f>SUMPRODUCT(Table4[Rev. Based on PROB]*Table4[Expected CMR]*(Table4[Projected 
Year]=AP$1)*(Table4[Projected 
Month]=AP$2)*(Table4[Installation]=$B13))/MAX(1,AP13)</f>
        <v>0.59</v>
      </c>
      <c r="AS13" s="27">
        <f>SUMIFS(Table47[Rev. Based on PROB],Table47[Installation],$B13,Table47[Projected 
Year],AS$1,Table47[Monthly revenue],AS$2)</f>
        <v>31969</v>
      </c>
      <c r="AT13" s="159">
        <f>SUMPRODUCT(Table4[Probability]*Table4[Rev. Based on PROB]*(Table4[Installation]=$B13)*(Table4[Projected 
Year]=AS$1)*(Table4[Projected 
Month]=AS$2))/MAX(1,SUMPRODUCT(Table4[Rev. Based on PROB]*(Table4[Installation]=$B13)*(Table4[Projected 
Year]=AS$1)*(Table4[Projected 
Month]=AS$2)))</f>
        <v>1</v>
      </c>
      <c r="AU13" s="160">
        <f>SUMPRODUCT(Table4[Rev. Based on PROB]*Table4[Expected CMR]*(Table4[Projected 
Year]=AS$1)*(Table4[Projected 
Month]=AS$2)*(Table4[Installation]=$B13))/MAX(1,AS13)</f>
        <v>1.2605633582533078</v>
      </c>
      <c r="AV13" s="27">
        <f>SUMIFS(Table47[Rev. Based on PROB],Table47[Installation],$B13,Table47[Projected 
Year],AV$1,Table47[Monthly revenue],AV$2)</f>
        <v>18810.5</v>
      </c>
      <c r="AW13" s="159">
        <f>SUMPRODUCT(Table4[Probability]*Table4[Rev. Based on PROB]*(Table4[Installation]=$B13)*(Table4[Projected 
Year]=AV$1)*(Table4[Projected 
Month]=AV$2))/MAX(1,SUMPRODUCT(Table4[Rev. Based on PROB]*(Table4[Installation]=$B13)*(Table4[Projected 
Year]=AV$1)*(Table4[Projected 
Month]=AV$2)))</f>
        <v>1</v>
      </c>
      <c r="AX13" s="160">
        <f>SUMPRODUCT(Table4[Rev. Based on PROB]*Table4[Expected CMR]*(Table4[Projected 
Year]=AV$1)*(Table4[Projected 
Month]=AV$2)*(Table4[Installation]=$B13))/MAX(1,AV13)</f>
        <v>0.3</v>
      </c>
      <c r="AY13" s="27">
        <f>SUMIFS(Table47[Rev. Based on PROB],Table47[Installation],$B13,Table47[Projected 
Year],AY$1,Table47[Monthly revenue],AY$2)</f>
        <v>0</v>
      </c>
      <c r="AZ13" s="159">
        <f>SUMPRODUCT(Table4[Probability]*Table4[Rev. Based on PROB]*(Table4[Installation]=$B13)*(Table4[Projected 
Year]=AY$1)*(Table4[Projected 
Month]=AY$2))/MAX(1,SUMPRODUCT(Table4[Rev. Based on PROB]*(Table4[Installation]=$B13)*(Table4[Projected 
Year]=AY$1)*(Table4[Projected 
Month]=AY$2)))</f>
        <v>0</v>
      </c>
      <c r="BA13" s="160">
        <f>SUMPRODUCT(Table4[Rev. Based on PROB]*Table4[Expected CMR]*(Table4[Projected 
Year]=AY$1)*(Table4[Projected 
Month]=AY$2)*(Table4[Installation]=$B13))/MAX(1,AY13)</f>
        <v>0</v>
      </c>
      <c r="BB13" s="27">
        <f>SUMIFS(Table47[Rev. Based on PROB],Table47[Installation],$B13,Table47[Projected 
Year],BB$1,Table47[Monthly revenue],BB$2)</f>
        <v>0</v>
      </c>
      <c r="BC13" s="159">
        <f>SUMPRODUCT(Table4[Probability]*Table4[Rev. Based on PROB]*(Table4[Installation]=$B13)*(Table4[Projected 
Year]=BB$1)*(Table4[Projected 
Month]=BB$2))/MAX(1,SUMPRODUCT(Table4[Rev. Based on PROB]*(Table4[Installation]=$B13)*(Table4[Projected 
Year]=BB$1)*(Table4[Projected 
Month]=BB$2)))</f>
        <v>1</v>
      </c>
      <c r="BD13" s="160">
        <f>SUMPRODUCT(Table4[Rev. Based on PROB]*Table4[Expected CMR]*(Table4[Projected 
Year]=BB$1)*(Table4[Projected 
Month]=BB$2)*(Table4[Installation]=$B13))/MAX(1,BB13)</f>
        <v>9281.6999999999989</v>
      </c>
      <c r="BE13" s="27">
        <f>SUMIFS(Table47[Rev. Based on PROB],Table47[Installation],$B13,Table47[Projected 
Year],BE$1,Table47[Monthly revenue],BE$2)</f>
        <v>45810.5</v>
      </c>
      <c r="BF13" s="159">
        <f>SUMPRODUCT(Table4[Probability]*Table4[Rev. Based on PROB]*(Table4[Installation]=$B13)*(Table4[Projected 
Year]=BE$1)*(Table4[Projected 
Month]=BE$2))/MAX(1,SUMPRODUCT(Table4[Rev. Based on PROB]*(Table4[Installation]=$B13)*(Table4[Projected 
Year]=BE$1)*(Table4[Projected 
Month]=BE$2)))</f>
        <v>1</v>
      </c>
      <c r="BG13" s="160">
        <f>SUMPRODUCT(Table4[Rev. Based on PROB]*Table4[Expected CMR]*(Table4[Projected 
Year]=BE$1)*(Table4[Projected 
Month]=BE$2)*(Table4[Installation]=$B13))/MAX(1,BE13)</f>
        <v>0.1231846410757359</v>
      </c>
      <c r="BH13" s="27">
        <f>SUMIFS(Table47[Rev. Based on PROB],Table47[Installation],$B13,Table47[Projected 
Year],BH$1,Table47[Monthly revenue],BH$2)</f>
        <v>56001.5</v>
      </c>
      <c r="BI13" s="159">
        <f>SUMPRODUCT(Table4[Probability]*Table4[Rev. Based on PROB]*(Table4[Installation]=$B13)*(Table4[Projected 
Year]=BH$1)*(Table4[Projected 
Month]=BH$2))/MAX(1,SUMPRODUCT(Table4[Rev. Based on PROB]*(Table4[Installation]=$B13)*(Table4[Projected 
Year]=BH$1)*(Table4[Projected 
Month]=BH$2)))</f>
        <v>1</v>
      </c>
      <c r="BJ13" s="160">
        <f>SUMPRODUCT(Table4[Rev. Based on PROB]*Table4[Expected CMR]*(Table4[Projected 
Year]=BH$1)*(Table4[Projected 
Month]=BH$2)*(Table4[Installation]=$B13))/MAX(1,BH13)</f>
        <v>0.201535673151612</v>
      </c>
      <c r="BK13" s="27">
        <f>SUMIFS(Table47[Rev. Based on PROB],Table47[Installation],$B13,Table47[Projected 
Year],BK$1,Table47[Monthly revenue],BK$2)</f>
        <v>18810.5</v>
      </c>
      <c r="BL13" s="159">
        <f>SUMPRODUCT(Table4[Probability]*Table4[Rev. Based on PROB]*(Table4[Installation]=$B13)*(Table4[Projected 
Year]=BK$1)*(Table4[Projected 
Month]=BK$2))/MAX(1,SUMPRODUCT(Table4[Rev. Based on PROB]*(Table4[Installation]=$B13)*(Table4[Projected 
Year]=BK$1)*(Table4[Projected 
Month]=BK$2)))</f>
        <v>1</v>
      </c>
      <c r="BM13" s="160">
        <f>SUMPRODUCT(Table4[Rev. Based on PROB]*Table4[Expected CMR]*(Table4[Projected 
Year]=BK$1)*(Table4[Projected 
Month]=BK$2)*(Table4[Installation]=$B13))/MAX(1,BK13)</f>
        <v>0.3</v>
      </c>
      <c r="BN13" s="27">
        <f>SUMIFS(Table47[Rev. Based on PROB],Table47[Installation],$B13,Table47[Projected 
Year],BN$1,Table47[Monthly revenue],BN$2)</f>
        <v>13900</v>
      </c>
      <c r="BO13" s="159">
        <f>SUMPRODUCT(Table4[Probability]*Table4[Rev. Based on PROB]*(Table4[Installation]=$B13)*(Table4[Projected 
Year]=BN$1)*(Table4[Projected 
Month]=BN$2))/MAX(1,SUMPRODUCT(Table4[Rev. Based on PROB]*(Table4[Installation]=$B13)*(Table4[Projected 
Year]=BN$1)*(Table4[Projected 
Month]=BN$2)))</f>
        <v>1</v>
      </c>
      <c r="BP13" s="160">
        <f>SUMPRODUCT(Table4[Rev. Based on PROB]*Table4[Expected CMR]*(Table4[Projected 
Year]=BN$1)*(Table4[Projected 
Month]=BN$2)*(Table4[Installation]=$B13))/MAX(1,BN13)</f>
        <v>0.52920863309352517</v>
      </c>
      <c r="BQ13" s="27">
        <f>SUMIFS(Table47[Rev. Based on PROB],Table47[Installation],$B13,Table47[Projected 
Year],BQ$1,Table47[Monthly revenue],BQ$2)</f>
        <v>59378</v>
      </c>
      <c r="BR13" s="159">
        <f>SUMPRODUCT(Table4[Probability]*Table4[Rev. Based on PROB]*(Table4[Installation]=$B13)*(Table4[Projected 
Year]=BQ$1)*(Table4[Projected 
Month]=BQ$2))/MAX(1,SUMPRODUCT(Table4[Rev. Based on PROB]*(Table4[Installation]=$B13)*(Table4[Projected 
Year]=BQ$1)*(Table4[Projected 
Month]=BQ$2)))</f>
        <v>0</v>
      </c>
      <c r="BS13" s="160">
        <f>SUMPRODUCT(Table4[Rev. Based on PROB]*Table4[Expected CMR]*(Table4[Projected 
Year]=BQ$1)*(Table4[Projected 
Month]=BQ$2)*(Table4[Installation]=$B13))/MAX(1,BQ13)</f>
        <v>0</v>
      </c>
      <c r="BT13" s="27">
        <f>SUMIFS(Table47[Rev. Based on PROB],Table47[Installation],$B13,Table47[Projected 
Year],BT$1,Table47[Monthly revenue],BT$2)</f>
        <v>32014.75</v>
      </c>
      <c r="BU13" s="159">
        <f>SUMPRODUCT(Table4[Probability]*Table4[Rev. Based on PROB]*(Table4[Installation]=$B13)*(Table4[Projected 
Year]=BT$1)*(Table4[Projected 
Month]=BT$2))/MAX(1,SUMPRODUCT(Table4[Rev. Based on PROB]*(Table4[Installation]=$B13)*(Table4[Projected 
Year]=BT$1)*(Table4[Projected 
Month]=BT$2)))</f>
        <v>0</v>
      </c>
      <c r="BV13" s="160">
        <f>SUMPRODUCT(Table4[Rev. Based on PROB]*Table4[Expected CMR]*(Table4[Projected 
Year]=BT$1)*(Table4[Projected 
Month]=BT$2)*(Table4[Installation]=$B13))/MAX(1,BT13)</f>
        <v>0</v>
      </c>
      <c r="BW13" s="27">
        <f>SUMIFS(Table47[Rev. Based on PROB],Table47[Installation],$B13,Table47[Projected 
Year],BW$1,Table47[Monthly revenue],BW$2)</f>
        <v>8800</v>
      </c>
      <c r="BX13" s="159">
        <f>SUMPRODUCT(Table4[Probability]*Table4[Rev. Based on PROB]*(Table4[Installation]=$B13)*(Table4[Projected 
Year]=BW$1)*(Table4[Projected 
Month]=BW$2))/MAX(1,SUMPRODUCT(Table4[Rev. Based on PROB]*(Table4[Installation]=$B13)*(Table4[Projected 
Year]=BW$1)*(Table4[Projected 
Month]=BW$2)))</f>
        <v>1</v>
      </c>
      <c r="BY13" s="160">
        <f>SUMPRODUCT(Table4[Rev. Based on PROB]*Table4[Expected CMR]*(Table4[Projected 
Year]=BW$1)*(Table4[Projected 
Month]=BW$2)*(Table4[Installation]=$B13))/MAX(1,BW13)</f>
        <v>0.64126704545454538</v>
      </c>
      <c r="BZ13" s="200"/>
      <c r="CA13" s="200"/>
      <c r="CB13" s="200"/>
      <c r="CC13" s="200"/>
      <c r="CD13" s="200"/>
      <c r="CE13" s="200"/>
      <c r="CF13" s="200"/>
      <c r="CG13" s="200"/>
      <c r="CH13" s="200"/>
      <c r="CI13" s="200"/>
      <c r="CJ13" s="200"/>
      <c r="CK13" s="200"/>
      <c r="CL13" s="200"/>
      <c r="CM13" s="200"/>
      <c r="CN13" s="200"/>
      <c r="CO13" s="200"/>
      <c r="CP13" s="200"/>
      <c r="CQ13" s="200"/>
      <c r="CR13" s="200"/>
      <c r="CS13" s="200"/>
      <c r="CT13" s="200"/>
      <c r="CU13" s="30">
        <f t="shared" si="0"/>
        <v>309494.75</v>
      </c>
      <c r="CV13" s="52">
        <f t="shared" si="4"/>
        <v>0</v>
      </c>
      <c r="CW13" s="53">
        <f t="shared" si="5"/>
        <v>0</v>
      </c>
      <c r="CX13" s="29">
        <v>339244</v>
      </c>
      <c r="CY13" s="19">
        <f t="shared" si="6"/>
        <v>-29749.25</v>
      </c>
    </row>
    <row r="14" spans="1:103">
      <c r="A14" s="18" t="s">
        <v>57</v>
      </c>
      <c r="B14" s="20" t="s">
        <v>117</v>
      </c>
      <c r="C14" s="27">
        <f>SUMIFS(Table4[Rev. Based on PROB],Table4[Installation],$B14,Table4[Projected 
Year],C$1,Table4[Projected 
Month],C$2)</f>
        <v>0</v>
      </c>
      <c r="D14" s="159">
        <f>SUMPRODUCT(Table4[Probability]*Table4[Rev. Based on PROB]*(Table4[Installation]=$B14)*(Table4[Projected 
Year]=C$1)*(Table4[Projected 
Month]=C$2))/MAX(1,SUMPRODUCT(Table4[Rev. Based on PROB]*(Table4[Installation]=$B14)*(Table4[Projected 
Year]=C$1)*(Table4[Projected 
Month]=C$2)))</f>
        <v>0</v>
      </c>
      <c r="E14" s="160">
        <f>SUMPRODUCT(Table4[Rev. Based on PROB]*Table4[Expected CMR]*(Table4[Projected 
Year]=C$1)*(Table4[Projected 
Month]=C$2)*(Table4[Installation]=$B14))/MAX(1,C14)</f>
        <v>0</v>
      </c>
      <c r="F14" s="27">
        <f>SUMIFS(Table4[Rev. Based on PROB],Table4[Installation],$B14,Table4[Projected 
Year],F$1,Table4[Projected 
Month],F$2)</f>
        <v>0</v>
      </c>
      <c r="G14" s="159">
        <f>SUMPRODUCT(Table4[Probability]*Table4[Rev. Based on PROB]*(Table4[Installation]=$B14)*(Table4[Projected 
Year]=F$1)*(Table4[Projected 
Month]=F$2))/MAX(1,SUMPRODUCT(Table4[Rev. Based on PROB]*(Table4[Installation]=$B14)*(Table4[Projected 
Year]=F$1)*(Table4[Projected 
Month]=F$2)))</f>
        <v>0</v>
      </c>
      <c r="H14" s="160">
        <f>SUMPRODUCT(Table4[Rev. Based on PROB]*Table4[Expected CMR]*(Table4[Projected 
Year]=F$1)*(Table4[Projected 
Month]=F$2)*(Table4[Installation]=$B14))/MAX(1,F14)</f>
        <v>0</v>
      </c>
      <c r="I14" s="27">
        <f>SUMIFS(Table4[Rev. Based on PROB],Table4[Installation],$B14,Table4[Projected 
Year],I$1,Table4[Projected 
Month],I$2)</f>
        <v>0</v>
      </c>
      <c r="J14" s="159">
        <f>SUMPRODUCT(Table4[Probability]*Table4[Rev. Based on PROB]*(Table4[Installation]=$B14)*(Table4[Projected 
Year]=I$1)*(Table4[Projected 
Month]=I$2))/MAX(1,SUMPRODUCT(Table4[Rev. Based on PROB]*(Table4[Installation]=$B14)*(Table4[Projected 
Year]=I$1)*(Table4[Projected 
Month]=I$2)))</f>
        <v>0</v>
      </c>
      <c r="K14" s="160">
        <f>SUMPRODUCT(Table4[Rev. Based on PROB]*Table4[Expected CMR]*(Table4[Projected 
Year]=I$1)*(Table4[Projected 
Month]=I$2)*(Table4[Installation]=$B14))/MAX(1,I14)</f>
        <v>0</v>
      </c>
      <c r="L14" s="27">
        <f>SUMIFS(Table4[Rev. Based on PROB],Table4[Installation],$B14,Table4[Projected 
Year],L$1,Table4[Projected 
Month],L$2)</f>
        <v>0</v>
      </c>
      <c r="M14" s="159">
        <f>SUMPRODUCT(Table4[Probability]*Table4[Rev. Based on PROB]*(Table4[Installation]=$B14)*(Table4[Projected 
Year]=L$1)*(Table4[Projected 
Month]=L$2))/MAX(1,SUMPRODUCT(Table4[Rev. Based on PROB]*(Table4[Installation]=$B14)*(Table4[Projected 
Year]=L$1)*(Table4[Projected 
Month]=L$2)))</f>
        <v>0</v>
      </c>
      <c r="N14" s="160">
        <f>SUMPRODUCT(Table4[Rev. Based on PROB]*Table4[Expected CMR]*(Table4[Projected 
Year]=L$1)*(Table4[Projected 
Month]=L$2)*(Table4[Installation]=$B14))/MAX(1,L14)</f>
        <v>0</v>
      </c>
      <c r="O14" s="27">
        <f>SUMIFS(Table4[Rev. Based on PROB],Table4[Installation],$B14,Table4[Projected 
Year],O$1,Table4[Projected 
Month],O$2)</f>
        <v>0</v>
      </c>
      <c r="P14" s="159">
        <f>SUMPRODUCT(Table4[Probability]*Table4[Rev. Based on PROB]*(Table4[Installation]=$B14)*(Table4[Projected 
Year]=O$1)*(Table4[Projected 
Month]=O$2))/MAX(1,SUMPRODUCT(Table4[Rev. Based on PROB]*(Table4[Installation]=$B14)*(Table4[Projected 
Year]=O$1)*(Table4[Projected 
Month]=O$2)))</f>
        <v>0</v>
      </c>
      <c r="Q14" s="160">
        <f>SUMPRODUCT(Table4[Rev. Based on PROB]*Table4[Expected CMR]*(Table4[Projected 
Year]=O$1)*(Table4[Projected 
Month]=O$2)*(Table4[Installation]=$B14))/MAX(1,O14)</f>
        <v>0</v>
      </c>
      <c r="R14" s="27">
        <f>SUMIFS(Table4[Rev. Based on PROB],Table4[Installation],$B14,Table4[Projected 
Year],R$1,Table4[Projected 
Month],R$2)</f>
        <v>0</v>
      </c>
      <c r="S14" s="159">
        <f>SUMPRODUCT(Table4[Probability]*Table4[Rev. Based on PROB]*(Table4[Installation]=$B14)*(Table4[Projected 
Year]=R$1)*(Table4[Projected 
Month]=R$2))/MAX(1,SUMPRODUCT(Table4[Rev. Based on PROB]*(Table4[Installation]=$B14)*(Table4[Projected 
Year]=R$1)*(Table4[Projected 
Month]=R$2)))</f>
        <v>0</v>
      </c>
      <c r="T14" s="160">
        <f>SUMPRODUCT(Table4[Rev. Based on PROB]*Table4[Expected CMR]*(Table4[Projected 
Year]=R$1)*(Table4[Projected 
Month]=R$2)*(Table4[Installation]=$B14))/MAX(1,R14)</f>
        <v>0</v>
      </c>
      <c r="U14" s="27">
        <f>SUMIFS(Table4[Rev. Based on PROB],Table4[Installation],$B14,Table4[Projected 
Year],U$1,Table4[Projected 
Month],U$2)</f>
        <v>0</v>
      </c>
      <c r="V14" s="159">
        <f>SUMPRODUCT(Table4[Probability]*Table4[Rev. Based on PROB]*(Table4[Installation]=$B14)*(Table4[Projected 
Year]=U$1)*(Table4[Projected 
Month]=U$2))/MAX(1,SUMPRODUCT(Table4[Rev. Based on PROB]*(Table4[Installation]=$B14)*(Table4[Projected 
Year]=U$1)*(Table4[Projected 
Month]=U$2)))</f>
        <v>0</v>
      </c>
      <c r="W14" s="160">
        <f>SUMPRODUCT(Table4[Rev. Based on PROB]*Table4[Expected CMR]*(Table4[Projected 
Year]=U$1)*(Table4[Projected 
Month]=U$2)*(Table4[Installation]=$B14))/MAX(1,U14)</f>
        <v>0</v>
      </c>
      <c r="X14" s="27">
        <f>SUMIFS(Table4[Rev. Based on PROB],Table4[Installation],$B14,Table4[Projected 
Year],X$1,Table4[Projected 
Month],X$2)</f>
        <v>0</v>
      </c>
      <c r="Y14" s="159">
        <f>SUMPRODUCT(Table4[Probability]*Table4[Rev. Based on PROB]*(Table4[Installation]=$B14)*(Table4[Projected 
Year]=X$1)*(Table4[Projected 
Month]=X$2))/MAX(1,SUMPRODUCT(Table4[Rev. Based on PROB]*(Table4[Installation]=$B14)*(Table4[Projected 
Year]=X$1)*(Table4[Projected 
Month]=X$2)))</f>
        <v>0</v>
      </c>
      <c r="Z14" s="160">
        <f>SUMPRODUCT(Table4[Rev. Based on PROB]*Table4[Expected CMR]*(Table4[Projected 
Year]=X$1)*(Table4[Projected 
Month]=X$2)*(Table4[Installation]=$B14))/MAX(1,X14)</f>
        <v>0</v>
      </c>
      <c r="AA14" s="27">
        <f>SUMIFS(Table4[Rev. Based on PROB],Table4[Installation],$B14,Table4[Projected 
Year],AA$1,Table4[Projected 
Month],AA$2)</f>
        <v>0</v>
      </c>
      <c r="AB14" s="159">
        <f>SUMPRODUCT(Table4[Probability]*Table4[Rev. Based on PROB]*(Table4[Installation]=$B14)*(Table4[Projected 
Year]=AA$1)*(Table4[Projected 
Month]=AA$2))/MAX(1,SUMPRODUCT(Table4[Rev. Based on PROB]*(Table4[Installation]=$B14)*(Table4[Projected 
Year]=AA$1)*(Table4[Projected 
Month]=AA$2)))</f>
        <v>0</v>
      </c>
      <c r="AC14" s="160">
        <f>SUMPRODUCT(Table4[Rev. Based on PROB]*Table4[Expected CMR]*(Table4[Projected 
Year]=AA$1)*(Table4[Projected 
Month]=AA$2)*(Table4[Installation]=$B14))/MAX(1,AA14)</f>
        <v>0</v>
      </c>
      <c r="AD14" s="27">
        <f>SUMIFS(Table4[Rev. Based on PROB],Table4[Installation],$B14,Table4[Projected 
Year],AD$1,Table4[Projected 
Month],AD$2)</f>
        <v>0</v>
      </c>
      <c r="AE14" s="159">
        <f>SUMPRODUCT(Table4[Probability]*Table4[Rev. Based on PROB]*(Table4[Installation]=$B14)*(Table4[Projected 
Year]=AD$1)*(Table4[Projected 
Month]=AD$2))/MAX(1,SUMPRODUCT(Table4[Rev. Based on PROB]*(Table4[Installation]=$B14)*(Table4[Projected 
Year]=AD$1)*(Table4[Projected 
Month]=AD$2)))</f>
        <v>0</v>
      </c>
      <c r="AF14" s="160">
        <f>SUMPRODUCT(Table4[Rev. Based on PROB]*Table4[Expected CMR]*(Table4[Projected 
Year]=AD$1)*(Table4[Projected 
Month]=AD$2)*(Table4[Installation]=$B14))/MAX(1,AD14)</f>
        <v>0</v>
      </c>
      <c r="AG14" s="27">
        <f>SUMIFS(Table4[Rev. Based on PROB],Table4[Installation],$B14,Table4[Projected 
Year],AG$1,Table4[Projected 
Month],AG$2)</f>
        <v>0</v>
      </c>
      <c r="AH14" s="159">
        <f>SUMPRODUCT(Table4[Probability]*Table4[Rev. Based on PROB]*(Table4[Installation]=$B14)*(Table4[Projected 
Year]=AG$1)*(Table4[Projected 
Month]=AG$2))/MAX(1,SUMPRODUCT(Table4[Rev. Based on PROB]*(Table4[Installation]=$B14)*(Table4[Projected 
Year]=AG$1)*(Table4[Projected 
Month]=AG$2)))</f>
        <v>0</v>
      </c>
      <c r="AI14" s="160">
        <f>SUMPRODUCT(Table4[Rev. Based on PROB]*Table4[Expected CMR]*(Table4[Projected 
Year]=AG$1)*(Table4[Projected 
Month]=AG$2)*(Table4[Installation]=$B14))/MAX(1,AG14)</f>
        <v>0</v>
      </c>
      <c r="AJ14" s="27">
        <f>SUMIFS(Table4[Rev. Based on PROB],Table4[Installation],$B14,Table4[Projected 
Year],AJ$1,Table4[Projected 
Month],AJ$2)</f>
        <v>43476.67</v>
      </c>
      <c r="AK14" s="159">
        <f>SUMPRODUCT(Table4[Probability]*Table4[Rev. Based on PROB]*(Table4[Installation]=$B14)*(Table4[Projected 
Year]=AJ$1)*(Table4[Projected 
Month]=AJ$2))/MAX(1,SUMPRODUCT(Table4[Rev. Based on PROB]*(Table4[Installation]=$B14)*(Table4[Projected 
Year]=AJ$1)*(Table4[Projected 
Month]=AJ$2)))</f>
        <v>1</v>
      </c>
      <c r="AL14" s="160">
        <f>SUMPRODUCT(Table4[Rev. Based on PROB]*Table4[Expected CMR]*(Table4[Projected 
Year]=AJ$1)*(Table4[Projected 
Month]=AJ$2)*(Table4[Installation]=$B14))/MAX(1,AJ14)</f>
        <v>0.56000000000000005</v>
      </c>
      <c r="AM14" s="30">
        <f t="shared" si="1"/>
        <v>43476.67</v>
      </c>
      <c r="AN14" s="52">
        <f t="shared" si="2"/>
        <v>1</v>
      </c>
      <c r="AO14" s="53">
        <f t="shared" si="3"/>
        <v>0.56000000000000005</v>
      </c>
      <c r="AP14" s="27">
        <f>SUMIFS(Table47[Rev. Based on PROB],Table47[Installation],$B14,Table47[Projected 
Year],AP$1,Table47[Monthly revenue],AP$2)</f>
        <v>0</v>
      </c>
      <c r="AQ14" s="159">
        <f>SUMPRODUCT(Table4[Probability]*Table4[Rev. Based on PROB]*(Table4[Installation]=$B14)*(Table4[Projected 
Year]=AP$1)*(Table4[Projected 
Month]=AP$2))/MAX(1,SUMPRODUCT(Table4[Rev. Based on PROB]*(Table4[Installation]=$B14)*(Table4[Projected 
Year]=AP$1)*(Table4[Projected 
Month]=AP$2)))</f>
        <v>0</v>
      </c>
      <c r="AR14" s="160">
        <f>SUMPRODUCT(Table4[Rev. Based on PROB]*Table4[Expected CMR]*(Table4[Projected 
Year]=AP$1)*(Table4[Projected 
Month]=AP$2)*(Table4[Installation]=$B14))/MAX(1,AP14)</f>
        <v>0</v>
      </c>
      <c r="AS14" s="27">
        <f>SUMIFS(Table47[Rev. Based on PROB],Table47[Installation],$B14,Table47[Projected 
Year],AS$1,Table47[Monthly revenue],AS$2)</f>
        <v>15000</v>
      </c>
      <c r="AT14" s="159">
        <f>SUMPRODUCT(Table4[Probability]*Table4[Rev. Based on PROB]*(Table4[Installation]=$B14)*(Table4[Projected 
Year]=AS$1)*(Table4[Projected 
Month]=AS$2))/MAX(1,SUMPRODUCT(Table4[Rev. Based on PROB]*(Table4[Installation]=$B14)*(Table4[Projected 
Year]=AS$1)*(Table4[Projected 
Month]=AS$2)))</f>
        <v>1</v>
      </c>
      <c r="AU14" s="160">
        <f>SUMPRODUCT(Table4[Rev. Based on PROB]*Table4[Expected CMR]*(Table4[Projected 
Year]=AS$1)*(Table4[Projected 
Month]=AS$2)*(Table4[Installation]=$B14))/MAX(1,AS14)</f>
        <v>1.3155899999999998</v>
      </c>
      <c r="AV14" s="27">
        <f>SUMIFS(Table47[Rev. Based on PROB],Table47[Installation],$B14,Table47[Projected 
Year],AV$1,Table47[Monthly revenue],AV$2)</f>
        <v>80618.5</v>
      </c>
      <c r="AW14" s="159">
        <f>SUMPRODUCT(Table4[Probability]*Table4[Rev. Based on PROB]*(Table4[Installation]=$B14)*(Table4[Projected 
Year]=AV$1)*(Table4[Projected 
Month]=AV$2))/MAX(1,SUMPRODUCT(Table4[Rev. Based on PROB]*(Table4[Installation]=$B14)*(Table4[Projected 
Year]=AV$1)*(Table4[Projected 
Month]=AV$2)))</f>
        <v>1</v>
      </c>
      <c r="AX14" s="160">
        <f>SUMPRODUCT(Table4[Rev. Based on PROB]*Table4[Expected CMR]*(Table4[Projected 
Year]=AV$1)*(Table4[Projected 
Month]=AV$2)*(Table4[Installation]=$B14))/MAX(1,AV14)</f>
        <v>0.11103778909307419</v>
      </c>
      <c r="AY14" s="27">
        <f>SUMIFS(Table47[Rev. Based on PROB],Table47[Installation],$B14,Table47[Projected 
Year],AY$1,Table47[Monthly revenue],AY$2)</f>
        <v>87000</v>
      </c>
      <c r="AZ14" s="159">
        <f>SUMPRODUCT(Table4[Probability]*Table4[Rev. Based on PROB]*(Table4[Installation]=$B14)*(Table4[Projected 
Year]=AY$1)*(Table4[Projected 
Month]=AY$2))/MAX(1,SUMPRODUCT(Table4[Rev. Based on PROB]*(Table4[Installation]=$B14)*(Table4[Projected 
Year]=AY$1)*(Table4[Projected 
Month]=AY$2)))</f>
        <v>0</v>
      </c>
      <c r="BA14" s="160">
        <f>SUMPRODUCT(Table4[Rev. Based on PROB]*Table4[Expected CMR]*(Table4[Projected 
Year]=AY$1)*(Table4[Projected 
Month]=AY$2)*(Table4[Installation]=$B14))/MAX(1,AY14)</f>
        <v>0</v>
      </c>
      <c r="BB14" s="27">
        <f>SUMIFS(Table47[Rev. Based on PROB],Table47[Installation],$B14,Table47[Projected 
Year],BB$1,Table47[Monthly revenue],BB$2)</f>
        <v>0</v>
      </c>
      <c r="BC14" s="159">
        <f>SUMPRODUCT(Table4[Probability]*Table4[Rev. Based on PROB]*(Table4[Installation]=$B14)*(Table4[Projected 
Year]=BB$1)*(Table4[Projected 
Month]=BB$2))/MAX(1,SUMPRODUCT(Table4[Rev. Based on PROB]*(Table4[Installation]=$B14)*(Table4[Projected 
Year]=BB$1)*(Table4[Projected 
Month]=BB$2)))</f>
        <v>1</v>
      </c>
      <c r="BD14" s="160">
        <f>SUMPRODUCT(Table4[Rev. Based on PROB]*Table4[Expected CMR]*(Table4[Projected 
Year]=BB$1)*(Table4[Projected 
Month]=BB$2)*(Table4[Installation]=$B14))/MAX(1,BB14)</f>
        <v>33218.080000000002</v>
      </c>
      <c r="BE14" s="27">
        <f>SUMIFS(Table47[Rev. Based on PROB],Table47[Installation],$B14,Table47[Projected 
Year],BE$1,Table47[Monthly revenue],BE$2)</f>
        <v>68810.5</v>
      </c>
      <c r="BF14" s="159">
        <f>SUMPRODUCT(Table4[Probability]*Table4[Rev. Based on PROB]*(Table4[Installation]=$B14)*(Table4[Projected 
Year]=BE$1)*(Table4[Projected 
Month]=BE$2))/MAX(1,SUMPRODUCT(Table4[Rev. Based on PROB]*(Table4[Installation]=$B14)*(Table4[Projected 
Year]=BE$1)*(Table4[Projected 
Month]=BE$2)))</f>
        <v>1</v>
      </c>
      <c r="BG14" s="160">
        <f>SUMPRODUCT(Table4[Rev. Based on PROB]*Table4[Expected CMR]*(Table4[Projected 
Year]=BE$1)*(Table4[Projected 
Month]=BE$2)*(Table4[Installation]=$B14))/MAX(1,BE14)</f>
        <v>0.32051198581611812</v>
      </c>
      <c r="BH14" s="27">
        <f>SUMIFS(Table47[Rev. Based on PROB],Table47[Installation],$B14,Table47[Projected 
Year],BH$1,Table47[Monthly revenue],BH$2)</f>
        <v>32318</v>
      </c>
      <c r="BI14" s="159">
        <f>SUMPRODUCT(Table4[Probability]*Table4[Rev. Based on PROB]*(Table4[Installation]=$B14)*(Table4[Projected 
Year]=BH$1)*(Table4[Projected 
Month]=BH$2))/MAX(1,SUMPRODUCT(Table4[Rev. Based on PROB]*(Table4[Installation]=$B14)*(Table4[Projected 
Year]=BH$1)*(Table4[Projected 
Month]=BH$2)))</f>
        <v>0</v>
      </c>
      <c r="BJ14" s="160">
        <f>SUMPRODUCT(Table4[Rev. Based on PROB]*Table4[Expected CMR]*(Table4[Projected 
Year]=BH$1)*(Table4[Projected 
Month]=BH$2)*(Table4[Installation]=$B14))/MAX(1,BH14)</f>
        <v>0</v>
      </c>
      <c r="BK14" s="27">
        <f>SUMIFS(Table47[Rev. Based on PROB],Table47[Installation],$B14,Table47[Projected 
Year],BK$1,Table47[Monthly revenue],BK$2)</f>
        <v>-12128.5</v>
      </c>
      <c r="BL14" s="159">
        <f>SUMPRODUCT(Table4[Probability]*Table4[Rev. Based on PROB]*(Table4[Installation]=$B14)*(Table4[Projected 
Year]=BK$1)*(Table4[Projected 
Month]=BK$2))/MAX(1,SUMPRODUCT(Table4[Rev. Based on PROB]*(Table4[Installation]=$B14)*(Table4[Projected 
Year]=BK$1)*(Table4[Projected 
Month]=BK$2)))</f>
        <v>0</v>
      </c>
      <c r="BM14" s="160">
        <f>SUMPRODUCT(Table4[Rev. Based on PROB]*Table4[Expected CMR]*(Table4[Projected 
Year]=BK$1)*(Table4[Projected 
Month]=BK$2)*(Table4[Installation]=$B14))/MAX(1,BK14)</f>
        <v>0</v>
      </c>
      <c r="BN14" s="27">
        <f>SUMIFS(Table47[Rev. Based on PROB],Table47[Installation],$B14,Table47[Projected 
Year],BN$1,Table47[Monthly revenue],BN$2)</f>
        <v>0</v>
      </c>
      <c r="BO14" s="159">
        <f>SUMPRODUCT(Table4[Probability]*Table4[Rev. Based on PROB]*(Table4[Installation]=$B14)*(Table4[Projected 
Year]=BN$1)*(Table4[Projected 
Month]=BN$2))/MAX(1,SUMPRODUCT(Table4[Rev. Based on PROB]*(Table4[Installation]=$B14)*(Table4[Projected 
Year]=BN$1)*(Table4[Projected 
Month]=BN$2)))</f>
        <v>1</v>
      </c>
      <c r="BP14" s="160">
        <f>SUMPRODUCT(Table4[Rev. Based on PROB]*Table4[Expected CMR]*(Table4[Projected 
Year]=BN$1)*(Table4[Projected 
Month]=BN$2)*(Table4[Installation]=$B14))/MAX(1,BN14)</f>
        <v>5643.15</v>
      </c>
      <c r="BQ14" s="27">
        <f>SUMIFS(Table47[Rev. Based on PROB],Table47[Installation],$B14,Table47[Projected 
Year],BQ$1,Table47[Monthly revenue],BQ$2)</f>
        <v>0</v>
      </c>
      <c r="BR14" s="159">
        <f>SUMPRODUCT(Table4[Probability]*Table4[Rev. Based on PROB]*(Table4[Installation]=$B14)*(Table4[Projected 
Year]=BQ$1)*(Table4[Projected 
Month]=BQ$2))/MAX(1,SUMPRODUCT(Table4[Rev. Based on PROB]*(Table4[Installation]=$B14)*(Table4[Projected 
Year]=BQ$1)*(Table4[Projected 
Month]=BQ$2)))</f>
        <v>0</v>
      </c>
      <c r="BS14" s="160">
        <f>SUMPRODUCT(Table4[Rev. Based on PROB]*Table4[Expected CMR]*(Table4[Projected 
Year]=BQ$1)*(Table4[Projected 
Month]=BQ$2)*(Table4[Installation]=$B14))/MAX(1,BQ14)</f>
        <v>0</v>
      </c>
      <c r="BT14" s="27">
        <f>SUMIFS(Table47[Rev. Based on PROB],Table47[Installation],$B14,Table47[Projected 
Year],BT$1,Table47[Monthly revenue],BT$2)</f>
        <v>0</v>
      </c>
      <c r="BU14" s="159">
        <f>SUMPRODUCT(Table4[Probability]*Table4[Rev. Based on PROB]*(Table4[Installation]=$B14)*(Table4[Projected 
Year]=BT$1)*(Table4[Projected 
Month]=BT$2))/MAX(1,SUMPRODUCT(Table4[Rev. Based on PROB]*(Table4[Installation]=$B14)*(Table4[Projected 
Year]=BT$1)*(Table4[Projected 
Month]=BT$2)))</f>
        <v>1</v>
      </c>
      <c r="BV14" s="160">
        <f>SUMPRODUCT(Table4[Rev. Based on PROB]*Table4[Expected CMR]*(Table4[Projected 
Year]=BT$1)*(Table4[Projected 
Month]=BT$2)*(Table4[Installation]=$B14))/MAX(1,BT14)</f>
        <v>3186</v>
      </c>
      <c r="BW14" s="27">
        <f>SUMIFS(Table47[Rev. Based on PROB],Table47[Installation],$B14,Table47[Projected 
Year],BW$1,Table47[Monthly revenue],BW$2)</f>
        <v>53316</v>
      </c>
      <c r="BX14" s="159">
        <f>SUMPRODUCT(Table4[Probability]*Table4[Rev. Based on PROB]*(Table4[Installation]=$B14)*(Table4[Projected 
Year]=BW$1)*(Table4[Projected 
Month]=BW$2))/MAX(1,SUMPRODUCT(Table4[Rev. Based on PROB]*(Table4[Installation]=$B14)*(Table4[Projected 
Year]=BW$1)*(Table4[Projected 
Month]=BW$2)))</f>
        <v>1</v>
      </c>
      <c r="BY14" s="160">
        <f>SUMPRODUCT(Table4[Rev. Based on PROB]*Table4[Expected CMR]*(Table4[Projected 
Year]=BW$1)*(Table4[Projected 
Month]=BW$2)*(Table4[Installation]=$B14))/MAX(1,BW14)</f>
        <v>0.10584346162502813</v>
      </c>
      <c r="BZ14" s="200"/>
      <c r="CA14" s="200"/>
      <c r="CB14" s="200"/>
      <c r="CC14" s="200"/>
      <c r="CD14" s="200"/>
      <c r="CE14" s="200"/>
      <c r="CF14" s="200"/>
      <c r="CG14" s="200"/>
      <c r="CH14" s="200"/>
      <c r="CI14" s="200"/>
      <c r="CJ14" s="200"/>
      <c r="CK14" s="200"/>
      <c r="CL14" s="200"/>
      <c r="CM14" s="200"/>
      <c r="CN14" s="200"/>
      <c r="CO14" s="200"/>
      <c r="CP14" s="200"/>
      <c r="CQ14" s="200"/>
      <c r="CR14" s="200"/>
      <c r="CS14" s="200"/>
      <c r="CT14" s="200"/>
      <c r="CU14" s="30">
        <f t="shared" si="0"/>
        <v>324934.5</v>
      </c>
      <c r="CV14" s="52">
        <f t="shared" si="4"/>
        <v>1</v>
      </c>
      <c r="CW14" s="53">
        <f t="shared" si="5"/>
        <v>0.10584346162502813</v>
      </c>
      <c r="CX14" s="29">
        <v>364244</v>
      </c>
      <c r="CY14" s="19">
        <f t="shared" si="6"/>
        <v>-39309.5</v>
      </c>
    </row>
    <row r="15" spans="1:103">
      <c r="A15" s="18" t="s">
        <v>157</v>
      </c>
      <c r="B15" s="20" t="s">
        <v>156</v>
      </c>
      <c r="C15" s="27">
        <f>SUMIFS(Table4[Rev. Based on PROB],Table4[Installation],$B15,Table4[Projected 
Year],C$1,Table4[Projected 
Month],C$2)</f>
        <v>0</v>
      </c>
      <c r="D15" s="159">
        <f>SUMPRODUCT(Table4[Probability]*Table4[Rev. Based on PROB]*(Table4[Installation]=$B15)*(Table4[Projected 
Year]=C$1)*(Table4[Projected 
Month]=C$2))/MAX(1,SUMPRODUCT(Table4[Rev. Based on PROB]*(Table4[Installation]=$B15)*(Table4[Projected 
Year]=C$1)*(Table4[Projected 
Month]=C$2)))</f>
        <v>0</v>
      </c>
      <c r="E15" s="160">
        <f>SUMPRODUCT(Table4[Rev. Based on PROB]*Table4[Expected CMR]*(Table4[Projected 
Year]=C$1)*(Table4[Projected 
Month]=C$2)*(Table4[Installation]=$B15))/MAX(1,C15)</f>
        <v>0</v>
      </c>
      <c r="F15" s="27">
        <f>SUMIFS(Table4[Rev. Based on PROB],Table4[Installation],$B15,Table4[Projected 
Year],F$1,Table4[Projected 
Month],F$2)</f>
        <v>0</v>
      </c>
      <c r="G15" s="159">
        <f>SUMPRODUCT(Table4[Probability]*Table4[Rev. Based on PROB]*(Table4[Installation]=$B15)*(Table4[Projected 
Year]=F$1)*(Table4[Projected 
Month]=F$2))/MAX(1,SUMPRODUCT(Table4[Rev. Based on PROB]*(Table4[Installation]=$B15)*(Table4[Projected 
Year]=F$1)*(Table4[Projected 
Month]=F$2)))</f>
        <v>0</v>
      </c>
      <c r="H15" s="160">
        <f>SUMPRODUCT(Table4[Rev. Based on PROB]*Table4[Expected CMR]*(Table4[Projected 
Year]=F$1)*(Table4[Projected 
Month]=F$2)*(Table4[Installation]=$B15))/MAX(1,F15)</f>
        <v>0</v>
      </c>
      <c r="I15" s="27">
        <f>SUMIFS(Table4[Rev. Based on PROB],Table4[Installation],$B15,Table4[Projected 
Year],I$1,Table4[Projected 
Month],I$2)</f>
        <v>0</v>
      </c>
      <c r="J15" s="159">
        <f>SUMPRODUCT(Table4[Probability]*Table4[Rev. Based on PROB]*(Table4[Installation]=$B15)*(Table4[Projected 
Year]=I$1)*(Table4[Projected 
Month]=I$2))/MAX(1,SUMPRODUCT(Table4[Rev. Based on PROB]*(Table4[Installation]=$B15)*(Table4[Projected 
Year]=I$1)*(Table4[Projected 
Month]=I$2)))</f>
        <v>0</v>
      </c>
      <c r="K15" s="160">
        <f>SUMPRODUCT(Table4[Rev. Based on PROB]*Table4[Expected CMR]*(Table4[Projected 
Year]=I$1)*(Table4[Projected 
Month]=I$2)*(Table4[Installation]=$B15))/MAX(1,I15)</f>
        <v>0</v>
      </c>
      <c r="L15" s="27">
        <f>SUMIFS(Table4[Rev. Based on PROB],Table4[Installation],$B15,Table4[Projected 
Year],L$1,Table4[Projected 
Month],L$2)</f>
        <v>0</v>
      </c>
      <c r="M15" s="159">
        <f>SUMPRODUCT(Table4[Probability]*Table4[Rev. Based on PROB]*(Table4[Installation]=$B15)*(Table4[Projected 
Year]=L$1)*(Table4[Projected 
Month]=L$2))/MAX(1,SUMPRODUCT(Table4[Rev. Based on PROB]*(Table4[Installation]=$B15)*(Table4[Projected 
Year]=L$1)*(Table4[Projected 
Month]=L$2)))</f>
        <v>0</v>
      </c>
      <c r="N15" s="160">
        <f>SUMPRODUCT(Table4[Rev. Based on PROB]*Table4[Expected CMR]*(Table4[Projected 
Year]=L$1)*(Table4[Projected 
Month]=L$2)*(Table4[Installation]=$B15))/MAX(1,L15)</f>
        <v>0</v>
      </c>
      <c r="O15" s="27">
        <f>SUMIFS(Table4[Rev. Based on PROB],Table4[Installation],$B15,Table4[Projected 
Year],O$1,Table4[Projected 
Month],O$2)</f>
        <v>0</v>
      </c>
      <c r="P15" s="159">
        <f>SUMPRODUCT(Table4[Probability]*Table4[Rev. Based on PROB]*(Table4[Installation]=$B15)*(Table4[Projected 
Year]=O$1)*(Table4[Projected 
Month]=O$2))/MAX(1,SUMPRODUCT(Table4[Rev. Based on PROB]*(Table4[Installation]=$B15)*(Table4[Projected 
Year]=O$1)*(Table4[Projected 
Month]=O$2)))</f>
        <v>0</v>
      </c>
      <c r="Q15" s="160">
        <f>SUMPRODUCT(Table4[Rev. Based on PROB]*Table4[Expected CMR]*(Table4[Projected 
Year]=O$1)*(Table4[Projected 
Month]=O$2)*(Table4[Installation]=$B15))/MAX(1,O15)</f>
        <v>0</v>
      </c>
      <c r="R15" s="27">
        <f>SUMIFS(Table4[Rev. Based on PROB],Table4[Installation],$B15,Table4[Projected 
Year],R$1,Table4[Projected 
Month],R$2)</f>
        <v>0</v>
      </c>
      <c r="S15" s="159">
        <f>SUMPRODUCT(Table4[Probability]*Table4[Rev. Based on PROB]*(Table4[Installation]=$B15)*(Table4[Projected 
Year]=R$1)*(Table4[Projected 
Month]=R$2))/MAX(1,SUMPRODUCT(Table4[Rev. Based on PROB]*(Table4[Installation]=$B15)*(Table4[Projected 
Year]=R$1)*(Table4[Projected 
Month]=R$2)))</f>
        <v>0</v>
      </c>
      <c r="T15" s="160">
        <f>SUMPRODUCT(Table4[Rev. Based on PROB]*Table4[Expected CMR]*(Table4[Projected 
Year]=R$1)*(Table4[Projected 
Month]=R$2)*(Table4[Installation]=$B15))/MAX(1,R15)</f>
        <v>0</v>
      </c>
      <c r="U15" s="27">
        <f>SUMIFS(Table4[Rev. Based on PROB],Table4[Installation],$B15,Table4[Projected 
Year],U$1,Table4[Projected 
Month],U$2)</f>
        <v>0</v>
      </c>
      <c r="V15" s="159">
        <f>SUMPRODUCT(Table4[Probability]*Table4[Rev. Based on PROB]*(Table4[Installation]=$B15)*(Table4[Projected 
Year]=U$1)*(Table4[Projected 
Month]=U$2))/MAX(1,SUMPRODUCT(Table4[Rev. Based on PROB]*(Table4[Installation]=$B15)*(Table4[Projected 
Year]=U$1)*(Table4[Projected 
Month]=U$2)))</f>
        <v>0</v>
      </c>
      <c r="W15" s="160">
        <f>SUMPRODUCT(Table4[Rev. Based on PROB]*Table4[Expected CMR]*(Table4[Projected 
Year]=U$1)*(Table4[Projected 
Month]=U$2)*(Table4[Installation]=$B15))/MAX(1,U15)</f>
        <v>0</v>
      </c>
      <c r="X15" s="27">
        <f>SUMIFS(Table4[Rev. Based on PROB],Table4[Installation],$B15,Table4[Projected 
Year],X$1,Table4[Projected 
Month],X$2)</f>
        <v>0</v>
      </c>
      <c r="Y15" s="159">
        <f>SUMPRODUCT(Table4[Probability]*Table4[Rev. Based on PROB]*(Table4[Installation]=$B15)*(Table4[Projected 
Year]=X$1)*(Table4[Projected 
Month]=X$2))/MAX(1,SUMPRODUCT(Table4[Rev. Based on PROB]*(Table4[Installation]=$B15)*(Table4[Projected 
Year]=X$1)*(Table4[Projected 
Month]=X$2)))</f>
        <v>0</v>
      </c>
      <c r="Z15" s="160">
        <f>SUMPRODUCT(Table4[Rev. Based on PROB]*Table4[Expected CMR]*(Table4[Projected 
Year]=X$1)*(Table4[Projected 
Month]=X$2)*(Table4[Installation]=$B15))/MAX(1,X15)</f>
        <v>0</v>
      </c>
      <c r="AA15" s="27">
        <f>SUMIFS(Table4[Rev. Based on PROB],Table4[Installation],$B15,Table4[Projected 
Year],AA$1,Table4[Projected 
Month],AA$2)</f>
        <v>0</v>
      </c>
      <c r="AB15" s="159">
        <f>SUMPRODUCT(Table4[Probability]*Table4[Rev. Based on PROB]*(Table4[Installation]=$B15)*(Table4[Projected 
Year]=AA$1)*(Table4[Projected 
Month]=AA$2))/MAX(1,SUMPRODUCT(Table4[Rev. Based on PROB]*(Table4[Installation]=$B15)*(Table4[Projected 
Year]=AA$1)*(Table4[Projected 
Month]=AA$2)))</f>
        <v>0</v>
      </c>
      <c r="AC15" s="160">
        <f>SUMPRODUCT(Table4[Rev. Based on PROB]*Table4[Expected CMR]*(Table4[Projected 
Year]=AA$1)*(Table4[Projected 
Month]=AA$2)*(Table4[Installation]=$B15))/MAX(1,AA15)</f>
        <v>0</v>
      </c>
      <c r="AD15" s="27">
        <f>SUMIFS(Table4[Rev. Based on PROB],Table4[Installation],$B15,Table4[Projected 
Year],AD$1,Table4[Projected 
Month],AD$2)</f>
        <v>0</v>
      </c>
      <c r="AE15" s="159">
        <f>SUMPRODUCT(Table4[Probability]*Table4[Rev. Based on PROB]*(Table4[Installation]=$B15)*(Table4[Projected 
Year]=AD$1)*(Table4[Projected 
Month]=AD$2))/MAX(1,SUMPRODUCT(Table4[Rev. Based on PROB]*(Table4[Installation]=$B15)*(Table4[Projected 
Year]=AD$1)*(Table4[Projected 
Month]=AD$2)))</f>
        <v>0</v>
      </c>
      <c r="AF15" s="160">
        <f>SUMPRODUCT(Table4[Rev. Based on PROB]*Table4[Expected CMR]*(Table4[Projected 
Year]=AD$1)*(Table4[Projected 
Month]=AD$2)*(Table4[Installation]=$B15))/MAX(1,AD15)</f>
        <v>0</v>
      </c>
      <c r="AG15" s="27">
        <f>SUMIFS(Table4[Rev. Based on PROB],Table4[Installation],$B15,Table4[Projected 
Year],AG$1,Table4[Projected 
Month],AG$2)</f>
        <v>0</v>
      </c>
      <c r="AH15" s="159">
        <f>SUMPRODUCT(Table4[Probability]*Table4[Rev. Based on PROB]*(Table4[Installation]=$B15)*(Table4[Projected 
Year]=AG$1)*(Table4[Projected 
Month]=AG$2))/MAX(1,SUMPRODUCT(Table4[Rev. Based on PROB]*(Table4[Installation]=$B15)*(Table4[Projected 
Year]=AG$1)*(Table4[Projected 
Month]=AG$2)))</f>
        <v>0</v>
      </c>
      <c r="AI15" s="160">
        <f>SUMPRODUCT(Table4[Rev. Based on PROB]*Table4[Expected CMR]*(Table4[Projected 
Year]=AG$1)*(Table4[Projected 
Month]=AG$2)*(Table4[Installation]=$B15))/MAX(1,AG15)</f>
        <v>0</v>
      </c>
      <c r="AJ15" s="27">
        <f>SUMIFS(Table4[Rev. Based on PROB],Table4[Installation],$B15,Table4[Projected 
Year],AJ$1,Table4[Projected 
Month],AJ$2)</f>
        <v>0</v>
      </c>
      <c r="AK15" s="159">
        <f>SUMPRODUCT(Table4[Probability]*Table4[Rev. Based on PROB]*(Table4[Installation]=$B15)*(Table4[Projected 
Year]=AJ$1)*(Table4[Projected 
Month]=AJ$2))/MAX(1,SUMPRODUCT(Table4[Rev. Based on PROB]*(Table4[Installation]=$B15)*(Table4[Projected 
Year]=AJ$1)*(Table4[Projected 
Month]=AJ$2)))</f>
        <v>0</v>
      </c>
      <c r="AL15" s="160">
        <f>SUMPRODUCT(Table4[Rev. Based on PROB]*Table4[Expected CMR]*(Table4[Projected 
Year]=AJ$1)*(Table4[Projected 
Month]=AJ$2)*(Table4[Installation]=$B15))/MAX(1,AJ15)</f>
        <v>0</v>
      </c>
      <c r="AM15" s="30">
        <f t="shared" si="1"/>
        <v>0</v>
      </c>
      <c r="AN15" s="52">
        <f t="shared" si="2"/>
        <v>0</v>
      </c>
      <c r="AO15" s="53">
        <f t="shared" si="3"/>
        <v>0</v>
      </c>
      <c r="AP15" s="27">
        <f>SUMIFS(Table47[Rev. Based on PROB],Table47[Installation],$B15,Table47[Projected 
Year],AP$1,Table47[Monthly revenue],AP$2)</f>
        <v>60000</v>
      </c>
      <c r="AQ15" s="159">
        <f>SUMPRODUCT(Table4[Probability]*Table4[Rev. Based on PROB]*(Table4[Installation]=$B15)*(Table4[Projected 
Year]=AP$1)*(Table4[Projected 
Month]=AP$2))/MAX(1,SUMPRODUCT(Table4[Rev. Based on PROB]*(Table4[Installation]=$B15)*(Table4[Projected 
Year]=AP$1)*(Table4[Projected 
Month]=AP$2)))</f>
        <v>1</v>
      </c>
      <c r="AR15" s="160">
        <f>SUMPRODUCT(Table4[Rev. Based on PROB]*Table4[Expected CMR]*(Table4[Projected 
Year]=AP$1)*(Table4[Projected 
Month]=AP$2)*(Table4[Installation]=$B15))/MAX(1,AP15)</f>
        <v>0.35</v>
      </c>
      <c r="AS15" s="27">
        <f>SUMIFS(Table47[Rev. Based on PROB],Table47[Installation],$B15,Table47[Projected 
Year],AS$1,Table47[Monthly revenue],AS$2)</f>
        <v>0</v>
      </c>
      <c r="AT15" s="159">
        <f>SUMPRODUCT(Table4[Probability]*Table4[Rev. Based on PROB]*(Table4[Installation]=$B15)*(Table4[Projected 
Year]=AS$1)*(Table4[Projected 
Month]=AS$2))/MAX(1,SUMPRODUCT(Table4[Rev. Based on PROB]*(Table4[Installation]=$B15)*(Table4[Projected 
Year]=AS$1)*(Table4[Projected 
Month]=AS$2)))</f>
        <v>0</v>
      </c>
      <c r="AU15" s="160">
        <f>SUMPRODUCT(Table4[Rev. Based on PROB]*Table4[Expected CMR]*(Table4[Projected 
Year]=AS$1)*(Table4[Projected 
Month]=AS$2)*(Table4[Installation]=$B15))/MAX(1,AS15)</f>
        <v>0</v>
      </c>
      <c r="AV15" s="27">
        <f>SUMIFS(Table47[Rev. Based on PROB],Table47[Installation],$B15,Table47[Projected 
Year],AV$1,Table47[Monthly revenue],AV$2)</f>
        <v>7500</v>
      </c>
      <c r="AW15" s="159">
        <f>SUMPRODUCT(Table4[Probability]*Table4[Rev. Based on PROB]*(Table4[Installation]=$B15)*(Table4[Projected 
Year]=AV$1)*(Table4[Projected 
Month]=AV$2))/MAX(1,SUMPRODUCT(Table4[Rev. Based on PROB]*(Table4[Installation]=$B15)*(Table4[Projected 
Year]=AV$1)*(Table4[Projected 
Month]=AV$2)))</f>
        <v>0</v>
      </c>
      <c r="AX15" s="160">
        <f>SUMPRODUCT(Table4[Rev. Based on PROB]*Table4[Expected CMR]*(Table4[Projected 
Year]=AV$1)*(Table4[Projected 
Month]=AV$2)*(Table4[Installation]=$B15))/MAX(1,AV15)</f>
        <v>0</v>
      </c>
      <c r="AY15" s="27">
        <f>SUMIFS(Table47[Rev. Based on PROB],Table47[Installation],$B15,Table47[Projected 
Year],AY$1,Table47[Monthly revenue],AY$2)</f>
        <v>7644.75</v>
      </c>
      <c r="AZ15" s="159">
        <f>SUMPRODUCT(Table4[Probability]*Table4[Rev. Based on PROB]*(Table4[Installation]=$B15)*(Table4[Projected 
Year]=AY$1)*(Table4[Projected 
Month]=AY$2))/MAX(1,SUMPRODUCT(Table4[Rev. Based on PROB]*(Table4[Installation]=$B15)*(Table4[Projected 
Year]=AY$1)*(Table4[Projected 
Month]=AY$2)))</f>
        <v>0</v>
      </c>
      <c r="BA15" s="160">
        <f>SUMPRODUCT(Table4[Rev. Based on PROB]*Table4[Expected CMR]*(Table4[Projected 
Year]=AY$1)*(Table4[Projected 
Month]=AY$2)*(Table4[Installation]=$B15))/MAX(1,AY15)</f>
        <v>0</v>
      </c>
      <c r="BB15" s="27">
        <f>SUMIFS(Table47[Rev. Based on PROB],Table47[Installation],$B15,Table47[Projected 
Year],BB$1,Table47[Monthly revenue],BB$2)</f>
        <v>0</v>
      </c>
      <c r="BC15" s="159">
        <f>SUMPRODUCT(Table4[Probability]*Table4[Rev. Based on PROB]*(Table4[Installation]=$B15)*(Table4[Projected 
Year]=BB$1)*(Table4[Projected 
Month]=BB$2))/MAX(1,SUMPRODUCT(Table4[Rev. Based on PROB]*(Table4[Installation]=$B15)*(Table4[Projected 
Year]=BB$1)*(Table4[Projected 
Month]=BB$2)))</f>
        <v>0</v>
      </c>
      <c r="BD15" s="160">
        <f>SUMPRODUCT(Table4[Rev. Based on PROB]*Table4[Expected CMR]*(Table4[Projected 
Year]=BB$1)*(Table4[Projected 
Month]=BB$2)*(Table4[Installation]=$B15))/MAX(1,BB15)</f>
        <v>0</v>
      </c>
      <c r="BE15" s="27">
        <f>SUMIFS(Table47[Rev. Based on PROB],Table47[Installation],$B15,Table47[Projected 
Year],BE$1,Table47[Monthly revenue],BE$2)</f>
        <v>0</v>
      </c>
      <c r="BF15" s="159">
        <f>SUMPRODUCT(Table4[Probability]*Table4[Rev. Based on PROB]*(Table4[Installation]=$B15)*(Table4[Projected 
Year]=BE$1)*(Table4[Projected 
Month]=BE$2))/MAX(1,SUMPRODUCT(Table4[Rev. Based on PROB]*(Table4[Installation]=$B15)*(Table4[Projected 
Year]=BE$1)*(Table4[Projected 
Month]=BE$2)))</f>
        <v>0</v>
      </c>
      <c r="BG15" s="160">
        <f>SUMPRODUCT(Table4[Rev. Based on PROB]*Table4[Expected CMR]*(Table4[Projected 
Year]=BE$1)*(Table4[Projected 
Month]=BE$2)*(Table4[Installation]=$B15))/MAX(1,BE15)</f>
        <v>0</v>
      </c>
      <c r="BH15" s="27">
        <f>SUMIFS(Table47[Rev. Based on PROB],Table47[Installation],$B15,Table47[Projected 
Year],BH$1,Table47[Monthly revenue],BH$2)</f>
        <v>0</v>
      </c>
      <c r="BI15" s="159">
        <f>SUMPRODUCT(Table4[Probability]*Table4[Rev. Based on PROB]*(Table4[Installation]=$B15)*(Table4[Projected 
Year]=BH$1)*(Table4[Projected 
Month]=BH$2))/MAX(1,SUMPRODUCT(Table4[Rev. Based on PROB]*(Table4[Installation]=$B15)*(Table4[Projected 
Year]=BH$1)*(Table4[Projected 
Month]=BH$2)))</f>
        <v>0</v>
      </c>
      <c r="BJ15" s="160">
        <f>SUMPRODUCT(Table4[Rev. Based on PROB]*Table4[Expected CMR]*(Table4[Projected 
Year]=BH$1)*(Table4[Projected 
Month]=BH$2)*(Table4[Installation]=$B15))/MAX(1,BH15)</f>
        <v>0</v>
      </c>
      <c r="BK15" s="27">
        <f>SUMIFS(Table47[Rev. Based on PROB],Table47[Installation],$B15,Table47[Projected 
Year],BK$1,Table47[Monthly revenue],BK$2)</f>
        <v>0</v>
      </c>
      <c r="BL15" s="159">
        <f>SUMPRODUCT(Table4[Probability]*Table4[Rev. Based on PROB]*(Table4[Installation]=$B15)*(Table4[Projected 
Year]=BK$1)*(Table4[Projected 
Month]=BK$2))/MAX(1,SUMPRODUCT(Table4[Rev. Based on PROB]*(Table4[Installation]=$B15)*(Table4[Projected 
Year]=BK$1)*(Table4[Projected 
Month]=BK$2)))</f>
        <v>0</v>
      </c>
      <c r="BM15" s="160">
        <f>SUMPRODUCT(Table4[Rev. Based on PROB]*Table4[Expected CMR]*(Table4[Projected 
Year]=BK$1)*(Table4[Projected 
Month]=BK$2)*(Table4[Installation]=$B15))/MAX(1,BK15)</f>
        <v>0</v>
      </c>
      <c r="BN15" s="27">
        <f>SUMIFS(Table47[Rev. Based on PROB],Table47[Installation],$B15,Table47[Projected 
Year],BN$1,Table47[Monthly revenue],BN$2)</f>
        <v>0</v>
      </c>
      <c r="BO15" s="159">
        <f>SUMPRODUCT(Table4[Probability]*Table4[Rev. Based on PROB]*(Table4[Installation]=$B15)*(Table4[Projected 
Year]=BN$1)*(Table4[Projected 
Month]=BN$2))/MAX(1,SUMPRODUCT(Table4[Rev. Based on PROB]*(Table4[Installation]=$B15)*(Table4[Projected 
Year]=BN$1)*(Table4[Projected 
Month]=BN$2)))</f>
        <v>0</v>
      </c>
      <c r="BP15" s="160">
        <f>SUMPRODUCT(Table4[Rev. Based on PROB]*Table4[Expected CMR]*(Table4[Projected 
Year]=BN$1)*(Table4[Projected 
Month]=BN$2)*(Table4[Installation]=$B15))/MAX(1,BN15)</f>
        <v>0</v>
      </c>
      <c r="BQ15" s="27">
        <f>SUMIFS(Table47[Rev. Based on PROB],Table47[Installation],$B15,Table47[Projected 
Year],BQ$1,Table47[Monthly revenue],BQ$2)</f>
        <v>0</v>
      </c>
      <c r="BR15" s="159">
        <f>SUMPRODUCT(Table4[Probability]*Table4[Rev. Based on PROB]*(Table4[Installation]=$B15)*(Table4[Projected 
Year]=BQ$1)*(Table4[Projected 
Month]=BQ$2))/MAX(1,SUMPRODUCT(Table4[Rev. Based on PROB]*(Table4[Installation]=$B15)*(Table4[Projected 
Year]=BQ$1)*(Table4[Projected 
Month]=BQ$2)))</f>
        <v>0</v>
      </c>
      <c r="BS15" s="160">
        <f>SUMPRODUCT(Table4[Rev. Based on PROB]*Table4[Expected CMR]*(Table4[Projected 
Year]=BQ$1)*(Table4[Projected 
Month]=BQ$2)*(Table4[Installation]=$B15))/MAX(1,BQ15)</f>
        <v>0</v>
      </c>
      <c r="BT15" s="27">
        <f>SUMIFS(Table47[Rev. Based on PROB],Table47[Installation],$B15,Table47[Projected 
Year],BT$1,Table47[Monthly revenue],BT$2)</f>
        <v>0</v>
      </c>
      <c r="BU15" s="159">
        <f>SUMPRODUCT(Table4[Probability]*Table4[Rev. Based on PROB]*(Table4[Installation]=$B15)*(Table4[Projected 
Year]=BT$1)*(Table4[Projected 
Month]=BT$2))/MAX(1,SUMPRODUCT(Table4[Rev. Based on PROB]*(Table4[Installation]=$B15)*(Table4[Projected 
Year]=BT$1)*(Table4[Projected 
Month]=BT$2)))</f>
        <v>0</v>
      </c>
      <c r="BV15" s="160">
        <f>SUMPRODUCT(Table4[Rev. Based on PROB]*Table4[Expected CMR]*(Table4[Projected 
Year]=BT$1)*(Table4[Projected 
Month]=BT$2)*(Table4[Installation]=$B15))/MAX(1,BT15)</f>
        <v>0</v>
      </c>
      <c r="BW15" s="27">
        <f>SUMIFS(Table47[Rev. Based on PROB],Table47[Installation],$B15,Table47[Projected 
Year],BW$1,Table47[Monthly revenue],BW$2)</f>
        <v>0</v>
      </c>
      <c r="BX15" s="159">
        <f>SUMPRODUCT(Table4[Probability]*Table4[Rev. Based on PROB]*(Table4[Installation]=$B15)*(Table4[Projected 
Year]=BW$1)*(Table4[Projected 
Month]=BW$2))/MAX(1,SUMPRODUCT(Table4[Rev. Based on PROB]*(Table4[Installation]=$B15)*(Table4[Projected 
Year]=BW$1)*(Table4[Projected 
Month]=BW$2)))</f>
        <v>0</v>
      </c>
      <c r="BY15" s="160">
        <f>SUMPRODUCT(Table4[Rev. Based on PROB]*Table4[Expected CMR]*(Table4[Projected 
Year]=BW$1)*(Table4[Projected 
Month]=BW$2)*(Table4[Installation]=$B15))/MAX(1,BW15)</f>
        <v>0</v>
      </c>
      <c r="BZ15" s="200"/>
      <c r="CA15" s="200"/>
      <c r="CB15" s="200"/>
      <c r="CC15" s="200"/>
      <c r="CD15" s="200"/>
      <c r="CE15" s="200"/>
      <c r="CF15" s="200"/>
      <c r="CG15" s="200"/>
      <c r="CH15" s="200"/>
      <c r="CI15" s="200"/>
      <c r="CJ15" s="200"/>
      <c r="CK15" s="200"/>
      <c r="CL15" s="200"/>
      <c r="CM15" s="200"/>
      <c r="CN15" s="200"/>
      <c r="CO15" s="200"/>
      <c r="CP15" s="200"/>
      <c r="CQ15" s="200"/>
      <c r="CR15" s="200"/>
      <c r="CS15" s="200"/>
      <c r="CT15" s="200"/>
      <c r="CU15" s="30">
        <f t="shared" si="0"/>
        <v>75144.75</v>
      </c>
      <c r="CV15" s="52">
        <f t="shared" si="4"/>
        <v>0</v>
      </c>
      <c r="CW15" s="53">
        <f t="shared" si="5"/>
        <v>0</v>
      </c>
      <c r="CX15" s="29">
        <v>150000</v>
      </c>
      <c r="CY15" s="19">
        <f t="shared" si="6"/>
        <v>-74855.25</v>
      </c>
    </row>
    <row r="16" spans="1:103">
      <c r="A16" s="18" t="s">
        <v>157</v>
      </c>
      <c r="B16" s="20" t="s">
        <v>309</v>
      </c>
      <c r="C16" s="27">
        <f>SUMIFS(Table4[Rev. Based on PROB],Table4[Installation],$B16,Table4[Projected 
Year],C$1,Table4[Projected 
Month],C$2)</f>
        <v>0</v>
      </c>
      <c r="D16" s="159">
        <f>SUMPRODUCT(Table4[Probability]*Table4[Rev. Based on PROB]*(Table4[Installation]=$B16)*(Table4[Projected 
Year]=C$1)*(Table4[Projected 
Month]=C$2))/MAX(1,SUMPRODUCT(Table4[Rev. Based on PROB]*(Table4[Installation]=$B16)*(Table4[Projected 
Year]=C$1)*(Table4[Projected 
Month]=C$2)))</f>
        <v>0</v>
      </c>
      <c r="E16" s="160">
        <f>SUMPRODUCT(Table4[Rev. Based on PROB]*Table4[Expected CMR]*(Table4[Projected 
Year]=C$1)*(Table4[Projected 
Month]=C$2)*(Table4[Installation]=$B16))/MAX(1,C16)</f>
        <v>0</v>
      </c>
      <c r="F16" s="27">
        <f>SUMIFS(Table4[Rev. Based on PROB],Table4[Installation],$B16,Table4[Projected 
Year],F$1,Table4[Projected 
Month],F$2)</f>
        <v>0</v>
      </c>
      <c r="G16" s="159">
        <f>SUMPRODUCT(Table4[Probability]*Table4[Rev. Based on PROB]*(Table4[Installation]=$B16)*(Table4[Projected 
Year]=F$1)*(Table4[Projected 
Month]=F$2))/MAX(1,SUMPRODUCT(Table4[Rev. Based on PROB]*(Table4[Installation]=$B16)*(Table4[Projected 
Year]=F$1)*(Table4[Projected 
Month]=F$2)))</f>
        <v>0</v>
      </c>
      <c r="H16" s="160">
        <f>SUMPRODUCT(Table4[Rev. Based on PROB]*Table4[Expected CMR]*(Table4[Projected 
Year]=F$1)*(Table4[Projected 
Month]=F$2)*(Table4[Installation]=$B16))/MAX(1,F16)</f>
        <v>0</v>
      </c>
      <c r="I16" s="27">
        <f>SUMIFS(Table4[Rev. Based on PROB],Table4[Installation],$B16,Table4[Projected 
Year],I$1,Table4[Projected 
Month],I$2)</f>
        <v>0</v>
      </c>
      <c r="J16" s="159">
        <f>SUMPRODUCT(Table4[Probability]*Table4[Rev. Based on PROB]*(Table4[Installation]=$B16)*(Table4[Projected 
Year]=I$1)*(Table4[Projected 
Month]=I$2))/MAX(1,SUMPRODUCT(Table4[Rev. Based on PROB]*(Table4[Installation]=$B16)*(Table4[Projected 
Year]=I$1)*(Table4[Projected 
Month]=I$2)))</f>
        <v>0</v>
      </c>
      <c r="K16" s="160">
        <f>SUMPRODUCT(Table4[Rev. Based on PROB]*Table4[Expected CMR]*(Table4[Projected 
Year]=I$1)*(Table4[Projected 
Month]=I$2)*(Table4[Installation]=$B16))/MAX(1,I16)</f>
        <v>0</v>
      </c>
      <c r="L16" s="27">
        <f>SUMIFS(Table4[Rev. Based on PROB],Table4[Installation],$B16,Table4[Projected 
Year],L$1,Table4[Projected 
Month],L$2)</f>
        <v>0</v>
      </c>
      <c r="M16" s="159">
        <f>SUMPRODUCT(Table4[Probability]*Table4[Rev. Based on PROB]*(Table4[Installation]=$B16)*(Table4[Projected 
Year]=L$1)*(Table4[Projected 
Month]=L$2))/MAX(1,SUMPRODUCT(Table4[Rev. Based on PROB]*(Table4[Installation]=$B16)*(Table4[Projected 
Year]=L$1)*(Table4[Projected 
Month]=L$2)))</f>
        <v>0</v>
      </c>
      <c r="N16" s="160">
        <f>SUMPRODUCT(Table4[Rev. Based on PROB]*Table4[Expected CMR]*(Table4[Projected 
Year]=L$1)*(Table4[Projected 
Month]=L$2)*(Table4[Installation]=$B16))/MAX(1,L16)</f>
        <v>0</v>
      </c>
      <c r="O16" s="27">
        <f>SUMIFS(Table4[Rev. Based on PROB],Table4[Installation],$B16,Table4[Projected 
Year],O$1,Table4[Projected 
Month],O$2)</f>
        <v>0</v>
      </c>
      <c r="P16" s="159">
        <f>SUMPRODUCT(Table4[Probability]*Table4[Rev. Based on PROB]*(Table4[Installation]=$B16)*(Table4[Projected 
Year]=O$1)*(Table4[Projected 
Month]=O$2))/MAX(1,SUMPRODUCT(Table4[Rev. Based on PROB]*(Table4[Installation]=$B16)*(Table4[Projected 
Year]=O$1)*(Table4[Projected 
Month]=O$2)))</f>
        <v>0</v>
      </c>
      <c r="Q16" s="160">
        <f>SUMPRODUCT(Table4[Rev. Based on PROB]*Table4[Expected CMR]*(Table4[Projected 
Year]=O$1)*(Table4[Projected 
Month]=O$2)*(Table4[Installation]=$B16))/MAX(1,O16)</f>
        <v>0</v>
      </c>
      <c r="R16" s="27">
        <f>SUMIFS(Table4[Rev. Based on PROB],Table4[Installation],$B16,Table4[Projected 
Year],R$1,Table4[Projected 
Month],R$2)</f>
        <v>0</v>
      </c>
      <c r="S16" s="159">
        <f>SUMPRODUCT(Table4[Probability]*Table4[Rev. Based on PROB]*(Table4[Installation]=$B16)*(Table4[Projected 
Year]=R$1)*(Table4[Projected 
Month]=R$2))/MAX(1,SUMPRODUCT(Table4[Rev. Based on PROB]*(Table4[Installation]=$B16)*(Table4[Projected 
Year]=R$1)*(Table4[Projected 
Month]=R$2)))</f>
        <v>0</v>
      </c>
      <c r="T16" s="160">
        <f>SUMPRODUCT(Table4[Rev. Based on PROB]*Table4[Expected CMR]*(Table4[Projected 
Year]=R$1)*(Table4[Projected 
Month]=R$2)*(Table4[Installation]=$B16))/MAX(1,R16)</f>
        <v>0</v>
      </c>
      <c r="U16" s="27">
        <f>SUMIFS(Table4[Rev. Based on PROB],Table4[Installation],$B16,Table4[Projected 
Year],U$1,Table4[Projected 
Month],U$2)</f>
        <v>0</v>
      </c>
      <c r="V16" s="159">
        <f>SUMPRODUCT(Table4[Probability]*Table4[Rev. Based on PROB]*(Table4[Installation]=$B16)*(Table4[Projected 
Year]=U$1)*(Table4[Projected 
Month]=U$2))/MAX(1,SUMPRODUCT(Table4[Rev. Based on PROB]*(Table4[Installation]=$B16)*(Table4[Projected 
Year]=U$1)*(Table4[Projected 
Month]=U$2)))</f>
        <v>0</v>
      </c>
      <c r="W16" s="160">
        <f>SUMPRODUCT(Table4[Rev. Based on PROB]*Table4[Expected CMR]*(Table4[Projected 
Year]=U$1)*(Table4[Projected 
Month]=U$2)*(Table4[Installation]=$B16))/MAX(1,U16)</f>
        <v>0</v>
      </c>
      <c r="X16" s="27">
        <f>SUMIFS(Table4[Rev. Based on PROB],Table4[Installation],$B16,Table4[Projected 
Year],X$1,Table4[Projected 
Month],X$2)</f>
        <v>0</v>
      </c>
      <c r="Y16" s="159">
        <f>SUMPRODUCT(Table4[Probability]*Table4[Rev. Based on PROB]*(Table4[Installation]=$B16)*(Table4[Projected 
Year]=X$1)*(Table4[Projected 
Month]=X$2))/MAX(1,SUMPRODUCT(Table4[Rev. Based on PROB]*(Table4[Installation]=$B16)*(Table4[Projected 
Year]=X$1)*(Table4[Projected 
Month]=X$2)))</f>
        <v>0</v>
      </c>
      <c r="Z16" s="160">
        <f>SUMPRODUCT(Table4[Rev. Based on PROB]*Table4[Expected CMR]*(Table4[Projected 
Year]=X$1)*(Table4[Projected 
Month]=X$2)*(Table4[Installation]=$B16))/MAX(1,X16)</f>
        <v>0</v>
      </c>
      <c r="AA16" s="27">
        <f>SUMIFS(Table4[Rev. Based on PROB],Table4[Installation],$B16,Table4[Projected 
Year],AA$1,Table4[Projected 
Month],AA$2)</f>
        <v>0</v>
      </c>
      <c r="AB16" s="159">
        <f>SUMPRODUCT(Table4[Probability]*Table4[Rev. Based on PROB]*(Table4[Installation]=$B16)*(Table4[Projected 
Year]=AA$1)*(Table4[Projected 
Month]=AA$2))/MAX(1,SUMPRODUCT(Table4[Rev. Based on PROB]*(Table4[Installation]=$B16)*(Table4[Projected 
Year]=AA$1)*(Table4[Projected 
Month]=AA$2)))</f>
        <v>0</v>
      </c>
      <c r="AC16" s="160">
        <f>SUMPRODUCT(Table4[Rev. Based on PROB]*Table4[Expected CMR]*(Table4[Projected 
Year]=AA$1)*(Table4[Projected 
Month]=AA$2)*(Table4[Installation]=$B16))/MAX(1,AA16)</f>
        <v>0</v>
      </c>
      <c r="AD16" s="27">
        <f>SUMIFS(Table4[Rev. Based on PROB],Table4[Installation],$B16,Table4[Projected 
Year],AD$1,Table4[Projected 
Month],AD$2)</f>
        <v>0</v>
      </c>
      <c r="AE16" s="159">
        <f>SUMPRODUCT(Table4[Probability]*Table4[Rev. Based on PROB]*(Table4[Installation]=$B16)*(Table4[Projected 
Year]=AD$1)*(Table4[Projected 
Month]=AD$2))/MAX(1,SUMPRODUCT(Table4[Rev. Based on PROB]*(Table4[Installation]=$B16)*(Table4[Projected 
Year]=AD$1)*(Table4[Projected 
Month]=AD$2)))</f>
        <v>0</v>
      </c>
      <c r="AF16" s="160">
        <f>SUMPRODUCT(Table4[Rev. Based on PROB]*Table4[Expected CMR]*(Table4[Projected 
Year]=AD$1)*(Table4[Projected 
Month]=AD$2)*(Table4[Installation]=$B16))/MAX(1,AD16)</f>
        <v>0</v>
      </c>
      <c r="AG16" s="27">
        <f>SUMIFS(Table4[Rev. Based on PROB],Table4[Installation],$B16,Table4[Projected 
Year],AG$1,Table4[Projected 
Month],AG$2)</f>
        <v>0</v>
      </c>
      <c r="AH16" s="159">
        <f>SUMPRODUCT(Table4[Probability]*Table4[Rev. Based on PROB]*(Table4[Installation]=$B16)*(Table4[Projected 
Year]=AG$1)*(Table4[Projected 
Month]=AG$2))/MAX(1,SUMPRODUCT(Table4[Rev. Based on PROB]*(Table4[Installation]=$B16)*(Table4[Projected 
Year]=AG$1)*(Table4[Projected 
Month]=AG$2)))</f>
        <v>0</v>
      </c>
      <c r="AI16" s="160">
        <f>SUMPRODUCT(Table4[Rev. Based on PROB]*Table4[Expected CMR]*(Table4[Projected 
Year]=AG$1)*(Table4[Projected 
Month]=AG$2)*(Table4[Installation]=$B16))/MAX(1,AG16)</f>
        <v>0</v>
      </c>
      <c r="AJ16" s="27">
        <f>SUMIFS(Table4[Rev. Based on PROB],Table4[Installation],$B16,Table4[Projected 
Year],AJ$1,Table4[Projected 
Month],AJ$2)</f>
        <v>0</v>
      </c>
      <c r="AK16" s="159">
        <f>SUMPRODUCT(Table4[Probability]*Table4[Rev. Based on PROB]*(Table4[Installation]=$B16)*(Table4[Projected 
Year]=AJ$1)*(Table4[Projected 
Month]=AJ$2))/MAX(1,SUMPRODUCT(Table4[Rev. Based on PROB]*(Table4[Installation]=$B16)*(Table4[Projected 
Year]=AJ$1)*(Table4[Projected 
Month]=AJ$2)))</f>
        <v>0</v>
      </c>
      <c r="AL16" s="160">
        <f>SUMPRODUCT(Table4[Rev. Based on PROB]*Table4[Expected CMR]*(Table4[Projected 
Year]=AJ$1)*(Table4[Projected 
Month]=AJ$2)*(Table4[Installation]=$B16))/MAX(1,AJ16)</f>
        <v>0</v>
      </c>
      <c r="AM16" s="30">
        <f t="shared" si="1"/>
        <v>0</v>
      </c>
      <c r="AN16" s="52">
        <f t="shared" si="2"/>
        <v>0</v>
      </c>
      <c r="AO16" s="53">
        <f t="shared" si="3"/>
        <v>0</v>
      </c>
      <c r="AP16" s="27">
        <f>SUMIFS(Table47[Rev. Based on PROB],Table47[Installation],$B16,Table47[Projected 
Year],AP$1,Table47[Monthly revenue],AP$2)</f>
        <v>0</v>
      </c>
      <c r="AQ16" s="159">
        <f>SUMPRODUCT(Table4[Probability]*Table4[Rev. Based on PROB]*(Table4[Installation]=$B16)*(Table4[Projected 
Year]=AP$1)*(Table4[Projected 
Month]=AP$2))/MAX(1,SUMPRODUCT(Table4[Rev. Based on PROB]*(Table4[Installation]=$B16)*(Table4[Projected 
Year]=AP$1)*(Table4[Projected 
Month]=AP$2)))</f>
        <v>0</v>
      </c>
      <c r="AR16" s="160">
        <f>SUMPRODUCT(Table4[Rev. Based on PROB]*Table4[Expected CMR]*(Table4[Projected 
Year]=AP$1)*(Table4[Projected 
Month]=AP$2)*(Table4[Installation]=$B16))/MAX(1,AP16)</f>
        <v>0</v>
      </c>
      <c r="AS16" s="27">
        <f>SUMIFS(Table47[Rev. Based on PROB],Table47[Installation],$B16,Table47[Projected 
Year],AS$1,Table47[Monthly revenue],AS$2)</f>
        <v>0</v>
      </c>
      <c r="AT16" s="159">
        <f>SUMPRODUCT(Table4[Probability]*Table4[Rev. Based on PROB]*(Table4[Installation]=$B16)*(Table4[Projected 
Year]=AS$1)*(Table4[Projected 
Month]=AS$2))/MAX(1,SUMPRODUCT(Table4[Rev. Based on PROB]*(Table4[Installation]=$B16)*(Table4[Projected 
Year]=AS$1)*(Table4[Projected 
Month]=AS$2)))</f>
        <v>0</v>
      </c>
      <c r="AU16" s="160">
        <f>SUMPRODUCT(Table4[Rev. Based on PROB]*Table4[Expected CMR]*(Table4[Projected 
Year]=AS$1)*(Table4[Projected 
Month]=AS$2)*(Table4[Installation]=$B16))/MAX(1,AS16)</f>
        <v>0</v>
      </c>
      <c r="AV16" s="27">
        <f>SUMIFS(Table47[Rev. Based on PROB],Table47[Installation],$B16,Table47[Projected 
Year],AV$1,Table47[Monthly revenue],AV$2)</f>
        <v>0</v>
      </c>
      <c r="AW16" s="159">
        <f>SUMPRODUCT(Table4[Probability]*Table4[Rev. Based on PROB]*(Table4[Installation]=$B16)*(Table4[Projected 
Year]=AV$1)*(Table4[Projected 
Month]=AV$2))/MAX(1,SUMPRODUCT(Table4[Rev. Based on PROB]*(Table4[Installation]=$B16)*(Table4[Projected 
Year]=AV$1)*(Table4[Projected 
Month]=AV$2)))</f>
        <v>0</v>
      </c>
      <c r="AX16" s="160">
        <f>SUMPRODUCT(Table4[Rev. Based on PROB]*Table4[Expected CMR]*(Table4[Projected 
Year]=AV$1)*(Table4[Projected 
Month]=AV$2)*(Table4[Installation]=$B16))/MAX(1,AV16)</f>
        <v>0</v>
      </c>
      <c r="AY16" s="27">
        <f>SUMIFS(Table47[Rev. Based on PROB],Table47[Installation],$B16,Table47[Projected 
Year],AY$1,Table47[Monthly revenue],AY$2)</f>
        <v>45000</v>
      </c>
      <c r="AZ16" s="159">
        <f>SUMPRODUCT(Table4[Probability]*Table4[Rev. Based on PROB]*(Table4[Installation]=$B16)*(Table4[Projected 
Year]=AY$1)*(Table4[Projected 
Month]=AY$2))/MAX(1,SUMPRODUCT(Table4[Rev. Based on PROB]*(Table4[Installation]=$B16)*(Table4[Projected 
Year]=AY$1)*(Table4[Projected 
Month]=AY$2)))</f>
        <v>0</v>
      </c>
      <c r="BA16" s="160">
        <f>SUMPRODUCT(Table4[Rev. Based on PROB]*Table4[Expected CMR]*(Table4[Projected 
Year]=AY$1)*(Table4[Projected 
Month]=AY$2)*(Table4[Installation]=$B16))/MAX(1,AY16)</f>
        <v>0</v>
      </c>
      <c r="BB16" s="27">
        <f>SUMIFS(Table47[Rev. Based on PROB],Table47[Installation],$B16,Table47[Projected 
Year],BB$1,Table47[Monthly revenue],BB$2)</f>
        <v>0</v>
      </c>
      <c r="BC16" s="159">
        <f>SUMPRODUCT(Table4[Probability]*Table4[Rev. Based on PROB]*(Table4[Installation]=$B16)*(Table4[Projected 
Year]=BB$1)*(Table4[Projected 
Month]=BB$2))/MAX(1,SUMPRODUCT(Table4[Rev. Based on PROB]*(Table4[Installation]=$B16)*(Table4[Projected 
Year]=BB$1)*(Table4[Projected 
Month]=BB$2)))</f>
        <v>0</v>
      </c>
      <c r="BD16" s="160">
        <f>SUMPRODUCT(Table4[Rev. Based on PROB]*Table4[Expected CMR]*(Table4[Projected 
Year]=BB$1)*(Table4[Projected 
Month]=BB$2)*(Table4[Installation]=$B16))/MAX(1,BB16)</f>
        <v>0</v>
      </c>
      <c r="BE16" s="27">
        <f>SUMIFS(Table47[Rev. Based on PROB],Table47[Installation],$B16,Table47[Projected 
Year],BE$1,Table47[Monthly revenue],BE$2)</f>
        <v>0</v>
      </c>
      <c r="BF16" s="159">
        <f>SUMPRODUCT(Table4[Probability]*Table4[Rev. Based on PROB]*(Table4[Installation]=$B16)*(Table4[Projected 
Year]=BE$1)*(Table4[Projected 
Month]=BE$2))/MAX(1,SUMPRODUCT(Table4[Rev. Based on PROB]*(Table4[Installation]=$B16)*(Table4[Projected 
Year]=BE$1)*(Table4[Projected 
Month]=BE$2)))</f>
        <v>0</v>
      </c>
      <c r="BG16" s="160">
        <f>SUMPRODUCT(Table4[Rev. Based on PROB]*Table4[Expected CMR]*(Table4[Projected 
Year]=BE$1)*(Table4[Projected 
Month]=BE$2)*(Table4[Installation]=$B16))/MAX(1,BE16)</f>
        <v>0</v>
      </c>
      <c r="BH16" s="27">
        <f>SUMIFS(Table47[Rev. Based on PROB],Table47[Installation],$B16,Table47[Projected 
Year],BH$1,Table47[Monthly revenue],BH$2)</f>
        <v>0</v>
      </c>
      <c r="BI16" s="159">
        <f>SUMPRODUCT(Table4[Probability]*Table4[Rev. Based on PROB]*(Table4[Installation]=$B16)*(Table4[Projected 
Year]=BH$1)*(Table4[Projected 
Month]=BH$2))/MAX(1,SUMPRODUCT(Table4[Rev. Based on PROB]*(Table4[Installation]=$B16)*(Table4[Projected 
Year]=BH$1)*(Table4[Projected 
Month]=BH$2)))</f>
        <v>0</v>
      </c>
      <c r="BJ16" s="160">
        <f>SUMPRODUCT(Table4[Rev. Based on PROB]*Table4[Expected CMR]*(Table4[Projected 
Year]=BH$1)*(Table4[Projected 
Month]=BH$2)*(Table4[Installation]=$B16))/MAX(1,BH16)</f>
        <v>0</v>
      </c>
      <c r="BK16" s="27">
        <f>SUMIFS(Table47[Rev. Based on PROB],Table47[Installation],$B16,Table47[Projected 
Year],BK$1,Table47[Monthly revenue],BK$2)</f>
        <v>0</v>
      </c>
      <c r="BL16" s="159">
        <f>SUMPRODUCT(Table4[Probability]*Table4[Rev. Based on PROB]*(Table4[Installation]=$B16)*(Table4[Projected 
Year]=BK$1)*(Table4[Projected 
Month]=BK$2))/MAX(1,SUMPRODUCT(Table4[Rev. Based on PROB]*(Table4[Installation]=$B16)*(Table4[Projected 
Year]=BK$1)*(Table4[Projected 
Month]=BK$2)))</f>
        <v>0</v>
      </c>
      <c r="BM16" s="160">
        <f>SUMPRODUCT(Table4[Rev. Based on PROB]*Table4[Expected CMR]*(Table4[Projected 
Year]=BK$1)*(Table4[Projected 
Month]=BK$2)*(Table4[Installation]=$B16))/MAX(1,BK16)</f>
        <v>0</v>
      </c>
      <c r="BN16" s="27">
        <f>SUMIFS(Table47[Rev. Based on PROB],Table47[Installation],$B16,Table47[Projected 
Year],BN$1,Table47[Monthly revenue],BN$2)</f>
        <v>0</v>
      </c>
      <c r="BO16" s="159">
        <f>SUMPRODUCT(Table4[Probability]*Table4[Rev. Based on PROB]*(Table4[Installation]=$B16)*(Table4[Projected 
Year]=BN$1)*(Table4[Projected 
Month]=BN$2))/MAX(1,SUMPRODUCT(Table4[Rev. Based on PROB]*(Table4[Installation]=$B16)*(Table4[Projected 
Year]=BN$1)*(Table4[Projected 
Month]=BN$2)))</f>
        <v>0</v>
      </c>
      <c r="BP16" s="160">
        <f>SUMPRODUCT(Table4[Rev. Based on PROB]*Table4[Expected CMR]*(Table4[Projected 
Year]=BN$1)*(Table4[Projected 
Month]=BN$2)*(Table4[Installation]=$B16))/MAX(1,BN16)</f>
        <v>0</v>
      </c>
      <c r="BQ16" s="27">
        <f>SUMIFS(Table47[Rev. Based on PROB],Table47[Installation],$B16,Table47[Projected 
Year],BQ$1,Table47[Monthly revenue],BQ$2)</f>
        <v>0</v>
      </c>
      <c r="BR16" s="159">
        <f>SUMPRODUCT(Table4[Probability]*Table4[Rev. Based on PROB]*(Table4[Installation]=$B16)*(Table4[Projected 
Year]=BQ$1)*(Table4[Projected 
Month]=BQ$2))/MAX(1,SUMPRODUCT(Table4[Rev. Based on PROB]*(Table4[Installation]=$B16)*(Table4[Projected 
Year]=BQ$1)*(Table4[Projected 
Month]=BQ$2)))</f>
        <v>0</v>
      </c>
      <c r="BS16" s="160">
        <f>SUMPRODUCT(Table4[Rev. Based on PROB]*Table4[Expected CMR]*(Table4[Projected 
Year]=BQ$1)*(Table4[Projected 
Month]=BQ$2)*(Table4[Installation]=$B16))/MAX(1,BQ16)</f>
        <v>0</v>
      </c>
      <c r="BT16" s="27">
        <f>SUMIFS(Table47[Rev. Based on PROB],Table47[Installation],$B16,Table47[Projected 
Year],BT$1,Table47[Monthly revenue],BT$2)</f>
        <v>0</v>
      </c>
      <c r="BU16" s="159">
        <f>SUMPRODUCT(Table4[Probability]*Table4[Rev. Based on PROB]*(Table4[Installation]=$B16)*(Table4[Projected 
Year]=BT$1)*(Table4[Projected 
Month]=BT$2))/MAX(1,SUMPRODUCT(Table4[Rev. Based on PROB]*(Table4[Installation]=$B16)*(Table4[Projected 
Year]=BT$1)*(Table4[Projected 
Month]=BT$2)))</f>
        <v>0</v>
      </c>
      <c r="BV16" s="160">
        <f>SUMPRODUCT(Table4[Rev. Based on PROB]*Table4[Expected CMR]*(Table4[Projected 
Year]=BT$1)*(Table4[Projected 
Month]=BT$2)*(Table4[Installation]=$B16))/MAX(1,BT16)</f>
        <v>0</v>
      </c>
      <c r="BW16" s="27">
        <f>SUMIFS(Table47[Rev. Based on PROB],Table47[Installation],$B16,Table47[Projected 
Year],BW$1,Table47[Monthly revenue],BW$2)</f>
        <v>0</v>
      </c>
      <c r="BX16" s="159">
        <f>SUMPRODUCT(Table4[Probability]*Table4[Rev. Based on PROB]*(Table4[Installation]=$B16)*(Table4[Projected 
Year]=BW$1)*(Table4[Projected 
Month]=BW$2))/MAX(1,SUMPRODUCT(Table4[Rev. Based on PROB]*(Table4[Installation]=$B16)*(Table4[Projected 
Year]=BW$1)*(Table4[Projected 
Month]=BW$2)))</f>
        <v>0</v>
      </c>
      <c r="BY16" s="160">
        <f>SUMPRODUCT(Table4[Rev. Based on PROB]*Table4[Expected CMR]*(Table4[Projected 
Year]=BW$1)*(Table4[Projected 
Month]=BW$2)*(Table4[Installation]=$B16))/MAX(1,BW16)</f>
        <v>0</v>
      </c>
      <c r="BZ16" s="200"/>
      <c r="CA16" s="200"/>
      <c r="CB16" s="200"/>
      <c r="CC16" s="200"/>
      <c r="CD16" s="200"/>
      <c r="CE16" s="200"/>
      <c r="CF16" s="200"/>
      <c r="CG16" s="200"/>
      <c r="CH16" s="200"/>
      <c r="CI16" s="200"/>
      <c r="CJ16" s="200"/>
      <c r="CK16" s="200"/>
      <c r="CL16" s="200"/>
      <c r="CM16" s="200"/>
      <c r="CN16" s="200"/>
      <c r="CO16" s="200"/>
      <c r="CP16" s="200"/>
      <c r="CQ16" s="200"/>
      <c r="CR16" s="200"/>
      <c r="CS16" s="200"/>
      <c r="CT16" s="200"/>
      <c r="CU16" s="30">
        <f t="shared" si="0"/>
        <v>45000</v>
      </c>
      <c r="CV16" s="52">
        <f t="shared" si="4"/>
        <v>0</v>
      </c>
      <c r="CW16" s="53">
        <f t="shared" si="5"/>
        <v>0</v>
      </c>
      <c r="CX16" s="29">
        <v>80000</v>
      </c>
      <c r="CY16" s="19">
        <f t="shared" si="6"/>
        <v>-35000</v>
      </c>
    </row>
    <row r="17" spans="1:103">
      <c r="A17" s="18" t="s">
        <v>311</v>
      </c>
      <c r="B17" s="20" t="s">
        <v>312</v>
      </c>
      <c r="C17" s="27">
        <f>SUMIFS(Table4[Rev. Based on PROB],Table4[Installation],$B17,Table4[Projected 
Year],C$1,Table4[Projected 
Month],C$2)</f>
        <v>0</v>
      </c>
      <c r="D17" s="159">
        <f>SUMPRODUCT(Table4[Probability]*Table4[Rev. Based on PROB]*(Table4[Installation]=$B17)*(Table4[Projected 
Year]=C$1)*(Table4[Projected 
Month]=C$2))/MAX(1,SUMPRODUCT(Table4[Rev. Based on PROB]*(Table4[Installation]=$B17)*(Table4[Projected 
Year]=C$1)*(Table4[Projected 
Month]=C$2)))</f>
        <v>0</v>
      </c>
      <c r="E17" s="160">
        <f>SUMPRODUCT(Table4[Rev. Based on PROB]*Table4[Expected CMR]*(Table4[Projected 
Year]=C$1)*(Table4[Projected 
Month]=C$2)*(Table4[Installation]=$B17))/MAX(1,C17)</f>
        <v>0</v>
      </c>
      <c r="F17" s="27">
        <f>SUMIFS(Table4[Rev. Based on PROB],Table4[Installation],$B17,Table4[Projected 
Year],F$1,Table4[Projected 
Month],F$2)</f>
        <v>0</v>
      </c>
      <c r="G17" s="159">
        <f>SUMPRODUCT(Table4[Probability]*Table4[Rev. Based on PROB]*(Table4[Installation]=$B17)*(Table4[Projected 
Year]=F$1)*(Table4[Projected 
Month]=F$2))/MAX(1,SUMPRODUCT(Table4[Rev. Based on PROB]*(Table4[Installation]=$B17)*(Table4[Projected 
Year]=F$1)*(Table4[Projected 
Month]=F$2)))</f>
        <v>0</v>
      </c>
      <c r="H17" s="160">
        <f>SUMPRODUCT(Table4[Rev. Based on PROB]*Table4[Expected CMR]*(Table4[Projected 
Year]=F$1)*(Table4[Projected 
Month]=F$2)*(Table4[Installation]=$B17))/MAX(1,F17)</f>
        <v>0</v>
      </c>
      <c r="I17" s="27">
        <f>SUMIFS(Table4[Rev. Based on PROB],Table4[Installation],$B17,Table4[Projected 
Year],I$1,Table4[Projected 
Month],I$2)</f>
        <v>0</v>
      </c>
      <c r="J17" s="159">
        <f>SUMPRODUCT(Table4[Probability]*Table4[Rev. Based on PROB]*(Table4[Installation]=$B17)*(Table4[Projected 
Year]=I$1)*(Table4[Projected 
Month]=I$2))/MAX(1,SUMPRODUCT(Table4[Rev. Based on PROB]*(Table4[Installation]=$B17)*(Table4[Projected 
Year]=I$1)*(Table4[Projected 
Month]=I$2)))</f>
        <v>0</v>
      </c>
      <c r="K17" s="160">
        <f>SUMPRODUCT(Table4[Rev. Based on PROB]*Table4[Expected CMR]*(Table4[Projected 
Year]=I$1)*(Table4[Projected 
Month]=I$2)*(Table4[Installation]=$B17))/MAX(1,I17)</f>
        <v>0</v>
      </c>
      <c r="L17" s="27">
        <f>SUMIFS(Table4[Rev. Based on PROB],Table4[Installation],$B17,Table4[Projected 
Year],L$1,Table4[Projected 
Month],L$2)</f>
        <v>0</v>
      </c>
      <c r="M17" s="159">
        <f>SUMPRODUCT(Table4[Probability]*Table4[Rev. Based on PROB]*(Table4[Installation]=$B17)*(Table4[Projected 
Year]=L$1)*(Table4[Projected 
Month]=L$2))/MAX(1,SUMPRODUCT(Table4[Rev. Based on PROB]*(Table4[Installation]=$B17)*(Table4[Projected 
Year]=L$1)*(Table4[Projected 
Month]=L$2)))</f>
        <v>0</v>
      </c>
      <c r="N17" s="160">
        <f>SUMPRODUCT(Table4[Rev. Based on PROB]*Table4[Expected CMR]*(Table4[Projected 
Year]=L$1)*(Table4[Projected 
Month]=L$2)*(Table4[Installation]=$B17))/MAX(1,L17)</f>
        <v>0</v>
      </c>
      <c r="O17" s="27">
        <f>SUMIFS(Table4[Rev. Based on PROB],Table4[Installation],$B17,Table4[Projected 
Year],O$1,Table4[Projected 
Month],O$2)</f>
        <v>0</v>
      </c>
      <c r="P17" s="159">
        <f>SUMPRODUCT(Table4[Probability]*Table4[Rev. Based on PROB]*(Table4[Installation]=$B17)*(Table4[Projected 
Year]=O$1)*(Table4[Projected 
Month]=O$2))/MAX(1,SUMPRODUCT(Table4[Rev. Based on PROB]*(Table4[Installation]=$B17)*(Table4[Projected 
Year]=O$1)*(Table4[Projected 
Month]=O$2)))</f>
        <v>0</v>
      </c>
      <c r="Q17" s="160">
        <f>SUMPRODUCT(Table4[Rev. Based on PROB]*Table4[Expected CMR]*(Table4[Projected 
Year]=O$1)*(Table4[Projected 
Month]=O$2)*(Table4[Installation]=$B17))/MAX(1,O17)</f>
        <v>0</v>
      </c>
      <c r="R17" s="27">
        <f>SUMIFS(Table4[Rev. Based on PROB],Table4[Installation],$B17,Table4[Projected 
Year],R$1,Table4[Projected 
Month],R$2)</f>
        <v>0</v>
      </c>
      <c r="S17" s="159">
        <f>SUMPRODUCT(Table4[Probability]*Table4[Rev. Based on PROB]*(Table4[Installation]=$B17)*(Table4[Projected 
Year]=R$1)*(Table4[Projected 
Month]=R$2))/MAX(1,SUMPRODUCT(Table4[Rev. Based on PROB]*(Table4[Installation]=$B17)*(Table4[Projected 
Year]=R$1)*(Table4[Projected 
Month]=R$2)))</f>
        <v>0</v>
      </c>
      <c r="T17" s="160">
        <f>SUMPRODUCT(Table4[Rev. Based on PROB]*Table4[Expected CMR]*(Table4[Projected 
Year]=R$1)*(Table4[Projected 
Month]=R$2)*(Table4[Installation]=$B17))/MAX(1,R17)</f>
        <v>0</v>
      </c>
      <c r="U17" s="27">
        <f>SUMIFS(Table4[Rev. Based on PROB],Table4[Installation],$B17,Table4[Projected 
Year],U$1,Table4[Projected 
Month],U$2)</f>
        <v>0</v>
      </c>
      <c r="V17" s="159">
        <f>SUMPRODUCT(Table4[Probability]*Table4[Rev. Based on PROB]*(Table4[Installation]=$B17)*(Table4[Projected 
Year]=U$1)*(Table4[Projected 
Month]=U$2))/MAX(1,SUMPRODUCT(Table4[Rev. Based on PROB]*(Table4[Installation]=$B17)*(Table4[Projected 
Year]=U$1)*(Table4[Projected 
Month]=U$2)))</f>
        <v>0</v>
      </c>
      <c r="W17" s="160">
        <f>SUMPRODUCT(Table4[Rev. Based on PROB]*Table4[Expected CMR]*(Table4[Projected 
Year]=U$1)*(Table4[Projected 
Month]=U$2)*(Table4[Installation]=$B17))/MAX(1,U17)</f>
        <v>0</v>
      </c>
      <c r="X17" s="27">
        <f>SUMIFS(Table4[Rev. Based on PROB],Table4[Installation],$B17,Table4[Projected 
Year],X$1,Table4[Projected 
Month],X$2)</f>
        <v>0</v>
      </c>
      <c r="Y17" s="159">
        <f>SUMPRODUCT(Table4[Probability]*Table4[Rev. Based on PROB]*(Table4[Installation]=$B17)*(Table4[Projected 
Year]=X$1)*(Table4[Projected 
Month]=X$2))/MAX(1,SUMPRODUCT(Table4[Rev. Based on PROB]*(Table4[Installation]=$B17)*(Table4[Projected 
Year]=X$1)*(Table4[Projected 
Month]=X$2)))</f>
        <v>0</v>
      </c>
      <c r="Z17" s="160">
        <f>SUMPRODUCT(Table4[Rev. Based on PROB]*Table4[Expected CMR]*(Table4[Projected 
Year]=X$1)*(Table4[Projected 
Month]=X$2)*(Table4[Installation]=$B17))/MAX(1,X17)</f>
        <v>0</v>
      </c>
      <c r="AA17" s="27">
        <f>SUMIFS(Table4[Rev. Based on PROB],Table4[Installation],$B17,Table4[Projected 
Year],AA$1,Table4[Projected 
Month],AA$2)</f>
        <v>0</v>
      </c>
      <c r="AB17" s="159">
        <f>SUMPRODUCT(Table4[Probability]*Table4[Rev. Based on PROB]*(Table4[Installation]=$B17)*(Table4[Projected 
Year]=AA$1)*(Table4[Projected 
Month]=AA$2))/MAX(1,SUMPRODUCT(Table4[Rev. Based on PROB]*(Table4[Installation]=$B17)*(Table4[Projected 
Year]=AA$1)*(Table4[Projected 
Month]=AA$2)))</f>
        <v>0</v>
      </c>
      <c r="AC17" s="160">
        <f>SUMPRODUCT(Table4[Rev. Based on PROB]*Table4[Expected CMR]*(Table4[Projected 
Year]=AA$1)*(Table4[Projected 
Month]=AA$2)*(Table4[Installation]=$B17))/MAX(1,AA17)</f>
        <v>0</v>
      </c>
      <c r="AD17" s="27">
        <f>SUMIFS(Table4[Rev. Based on PROB],Table4[Installation],$B17,Table4[Projected 
Year],AD$1,Table4[Projected 
Month],AD$2)</f>
        <v>0</v>
      </c>
      <c r="AE17" s="159">
        <f>SUMPRODUCT(Table4[Probability]*Table4[Rev. Based on PROB]*(Table4[Installation]=$B17)*(Table4[Projected 
Year]=AD$1)*(Table4[Projected 
Month]=AD$2))/MAX(1,SUMPRODUCT(Table4[Rev. Based on PROB]*(Table4[Installation]=$B17)*(Table4[Projected 
Year]=AD$1)*(Table4[Projected 
Month]=AD$2)))</f>
        <v>0</v>
      </c>
      <c r="AF17" s="160">
        <f>SUMPRODUCT(Table4[Rev. Based on PROB]*Table4[Expected CMR]*(Table4[Projected 
Year]=AD$1)*(Table4[Projected 
Month]=AD$2)*(Table4[Installation]=$B17))/MAX(1,AD17)</f>
        <v>0</v>
      </c>
      <c r="AG17" s="27">
        <f>SUMIFS(Table4[Rev. Based on PROB],Table4[Installation],$B17,Table4[Projected 
Year],AG$1,Table4[Projected 
Month],AG$2)</f>
        <v>0</v>
      </c>
      <c r="AH17" s="159">
        <f>SUMPRODUCT(Table4[Probability]*Table4[Rev. Based on PROB]*(Table4[Installation]=$B17)*(Table4[Projected 
Year]=AG$1)*(Table4[Projected 
Month]=AG$2))/MAX(1,SUMPRODUCT(Table4[Rev. Based on PROB]*(Table4[Installation]=$B17)*(Table4[Projected 
Year]=AG$1)*(Table4[Projected 
Month]=AG$2)))</f>
        <v>0</v>
      </c>
      <c r="AI17" s="160">
        <f>SUMPRODUCT(Table4[Rev. Based on PROB]*Table4[Expected CMR]*(Table4[Projected 
Year]=AG$1)*(Table4[Projected 
Month]=AG$2)*(Table4[Installation]=$B17))/MAX(1,AG17)</f>
        <v>0</v>
      </c>
      <c r="AJ17" s="27">
        <f>SUMIFS(Table4[Rev. Based on PROB],Table4[Installation],$B17,Table4[Projected 
Year],AJ$1,Table4[Projected 
Month],AJ$2)</f>
        <v>0</v>
      </c>
      <c r="AK17" s="159">
        <f>SUMPRODUCT(Table4[Probability]*Table4[Rev. Based on PROB]*(Table4[Installation]=$B17)*(Table4[Projected 
Year]=AJ$1)*(Table4[Projected 
Month]=AJ$2))/MAX(1,SUMPRODUCT(Table4[Rev. Based on PROB]*(Table4[Installation]=$B17)*(Table4[Projected 
Year]=AJ$1)*(Table4[Projected 
Month]=AJ$2)))</f>
        <v>0</v>
      </c>
      <c r="AL17" s="160">
        <f>SUMPRODUCT(Table4[Rev. Based on PROB]*Table4[Expected CMR]*(Table4[Projected 
Year]=AJ$1)*(Table4[Projected 
Month]=AJ$2)*(Table4[Installation]=$B17))/MAX(1,AJ17)</f>
        <v>0</v>
      </c>
      <c r="AM17" s="30">
        <f t="shared" si="1"/>
        <v>0</v>
      </c>
      <c r="AN17" s="52">
        <f t="shared" si="2"/>
        <v>0</v>
      </c>
      <c r="AO17" s="53">
        <f t="shared" si="3"/>
        <v>0</v>
      </c>
      <c r="AP17" s="27">
        <f>SUMIFS(Table47[Rev. Based on PROB],Table47[Installation],$B17,Table47[Projected 
Year],AP$1,Table47[Monthly revenue],AP$2)</f>
        <v>0</v>
      </c>
      <c r="AQ17" s="159">
        <f>SUMPRODUCT(Table4[Probability]*Table4[Rev. Based on PROB]*(Table4[Installation]=$B17)*(Table4[Projected 
Year]=AP$1)*(Table4[Projected 
Month]=AP$2))/MAX(1,SUMPRODUCT(Table4[Rev. Based on PROB]*(Table4[Installation]=$B17)*(Table4[Projected 
Year]=AP$1)*(Table4[Projected 
Month]=AP$2)))</f>
        <v>0</v>
      </c>
      <c r="AR17" s="160">
        <f>SUMPRODUCT(Table4[Rev. Based on PROB]*Table4[Expected CMR]*(Table4[Projected 
Year]=AP$1)*(Table4[Projected 
Month]=AP$2)*(Table4[Installation]=$B17))/MAX(1,AP17)</f>
        <v>0</v>
      </c>
      <c r="AS17" s="27">
        <f>SUMIFS(Table47[Rev. Based on PROB],Table47[Installation],$B17,Table47[Projected 
Year],AS$1,Table47[Monthly revenue],AS$2)</f>
        <v>0</v>
      </c>
      <c r="AT17" s="159">
        <f>SUMPRODUCT(Table4[Probability]*Table4[Rev. Based on PROB]*(Table4[Installation]=$B17)*(Table4[Projected 
Year]=AS$1)*(Table4[Projected 
Month]=AS$2))/MAX(1,SUMPRODUCT(Table4[Rev. Based on PROB]*(Table4[Installation]=$B17)*(Table4[Projected 
Year]=AS$1)*(Table4[Projected 
Month]=AS$2)))</f>
        <v>0</v>
      </c>
      <c r="AU17" s="160">
        <f>SUMPRODUCT(Table4[Rev. Based on PROB]*Table4[Expected CMR]*(Table4[Projected 
Year]=AS$1)*(Table4[Projected 
Month]=AS$2)*(Table4[Installation]=$B17))/MAX(1,AS17)</f>
        <v>0</v>
      </c>
      <c r="AV17" s="27">
        <f>SUMIFS(Table47[Rev. Based on PROB],Table47[Installation],$B17,Table47[Projected 
Year],AV$1,Table47[Monthly revenue],AV$2)</f>
        <v>0</v>
      </c>
      <c r="AW17" s="159">
        <f>SUMPRODUCT(Table4[Probability]*Table4[Rev. Based on PROB]*(Table4[Installation]=$B17)*(Table4[Projected 
Year]=AV$1)*(Table4[Projected 
Month]=AV$2))/MAX(1,SUMPRODUCT(Table4[Rev. Based on PROB]*(Table4[Installation]=$B17)*(Table4[Projected 
Year]=AV$1)*(Table4[Projected 
Month]=AV$2)))</f>
        <v>0</v>
      </c>
      <c r="AX17" s="160">
        <f>SUMPRODUCT(Table4[Rev. Based on PROB]*Table4[Expected CMR]*(Table4[Projected 
Year]=AV$1)*(Table4[Projected 
Month]=AV$2)*(Table4[Installation]=$B17))/MAX(1,AV17)</f>
        <v>0</v>
      </c>
      <c r="AY17" s="27">
        <f>SUMIFS(Table47[Rev. Based on PROB],Table47[Installation],$B17,Table47[Projected 
Year],AY$1,Table47[Monthly revenue],AY$2)</f>
        <v>0</v>
      </c>
      <c r="AZ17" s="159">
        <f>SUMPRODUCT(Table4[Probability]*Table4[Rev. Based on PROB]*(Table4[Installation]=$B17)*(Table4[Projected 
Year]=AY$1)*(Table4[Projected 
Month]=AY$2))/MAX(1,SUMPRODUCT(Table4[Rev. Based on PROB]*(Table4[Installation]=$B17)*(Table4[Projected 
Year]=AY$1)*(Table4[Projected 
Month]=AY$2)))</f>
        <v>0</v>
      </c>
      <c r="BA17" s="160">
        <f>SUMPRODUCT(Table4[Rev. Based on PROB]*Table4[Expected CMR]*(Table4[Projected 
Year]=AY$1)*(Table4[Projected 
Month]=AY$2)*(Table4[Installation]=$B17))/MAX(1,AY17)</f>
        <v>0</v>
      </c>
      <c r="BB17" s="27">
        <f>SUMIFS(Table47[Rev. Based on PROB],Table47[Installation],$B17,Table47[Projected 
Year],BB$1,Table47[Monthly revenue],BB$2)</f>
        <v>0</v>
      </c>
      <c r="BC17" s="159">
        <f>SUMPRODUCT(Table4[Probability]*Table4[Rev. Based on PROB]*(Table4[Installation]=$B17)*(Table4[Projected 
Year]=BB$1)*(Table4[Projected 
Month]=BB$2))/MAX(1,SUMPRODUCT(Table4[Rev. Based on PROB]*(Table4[Installation]=$B17)*(Table4[Projected 
Year]=BB$1)*(Table4[Projected 
Month]=BB$2)))</f>
        <v>0</v>
      </c>
      <c r="BD17" s="160">
        <f>SUMPRODUCT(Table4[Rev. Based on PROB]*Table4[Expected CMR]*(Table4[Projected 
Year]=BB$1)*(Table4[Projected 
Month]=BB$2)*(Table4[Installation]=$B17))/MAX(1,BB17)</f>
        <v>0</v>
      </c>
      <c r="BE17" s="27">
        <f>SUMIFS(Table47[Rev. Based on PROB],Table47[Installation],$B17,Table47[Projected 
Year],BE$1,Table47[Monthly revenue],BE$2)</f>
        <v>0</v>
      </c>
      <c r="BF17" s="159">
        <f>SUMPRODUCT(Table4[Probability]*Table4[Rev. Based on PROB]*(Table4[Installation]=$B17)*(Table4[Projected 
Year]=BE$1)*(Table4[Projected 
Month]=BE$2))/MAX(1,SUMPRODUCT(Table4[Rev. Based on PROB]*(Table4[Installation]=$B17)*(Table4[Projected 
Year]=BE$1)*(Table4[Projected 
Month]=BE$2)))</f>
        <v>0</v>
      </c>
      <c r="BG17" s="160">
        <f>SUMPRODUCT(Table4[Rev. Based on PROB]*Table4[Expected CMR]*(Table4[Projected 
Year]=BE$1)*(Table4[Projected 
Month]=BE$2)*(Table4[Installation]=$B17))/MAX(1,BE17)</f>
        <v>0</v>
      </c>
      <c r="BH17" s="27">
        <f>SUMIFS(Table47[Rev. Based on PROB],Table47[Installation],$B17,Table47[Projected 
Year],BH$1,Table47[Monthly revenue],BH$2)</f>
        <v>0</v>
      </c>
      <c r="BI17" s="159">
        <f>SUMPRODUCT(Table4[Probability]*Table4[Rev. Based on PROB]*(Table4[Installation]=$B17)*(Table4[Projected 
Year]=BH$1)*(Table4[Projected 
Month]=BH$2))/MAX(1,SUMPRODUCT(Table4[Rev. Based on PROB]*(Table4[Installation]=$B17)*(Table4[Projected 
Year]=BH$1)*(Table4[Projected 
Month]=BH$2)))</f>
        <v>0</v>
      </c>
      <c r="BJ17" s="160">
        <f>SUMPRODUCT(Table4[Rev. Based on PROB]*Table4[Expected CMR]*(Table4[Projected 
Year]=BH$1)*(Table4[Projected 
Month]=BH$2)*(Table4[Installation]=$B17))/MAX(1,BH17)</f>
        <v>0</v>
      </c>
      <c r="BK17" s="27">
        <f>SUMIFS(Table47[Rev. Based on PROB],Table47[Installation],$B17,Table47[Projected 
Year],BK$1,Table47[Monthly revenue],BK$2)</f>
        <v>0</v>
      </c>
      <c r="BL17" s="159">
        <f>SUMPRODUCT(Table4[Probability]*Table4[Rev. Based on PROB]*(Table4[Installation]=$B17)*(Table4[Projected 
Year]=BK$1)*(Table4[Projected 
Month]=BK$2))/MAX(1,SUMPRODUCT(Table4[Rev. Based on PROB]*(Table4[Installation]=$B17)*(Table4[Projected 
Year]=BK$1)*(Table4[Projected 
Month]=BK$2)))</f>
        <v>0</v>
      </c>
      <c r="BM17" s="160">
        <f>SUMPRODUCT(Table4[Rev. Based on PROB]*Table4[Expected CMR]*(Table4[Projected 
Year]=BK$1)*(Table4[Projected 
Month]=BK$2)*(Table4[Installation]=$B17))/MAX(1,BK17)</f>
        <v>0</v>
      </c>
      <c r="BN17" s="27">
        <f>SUMIFS(Table47[Rev. Based on PROB],Table47[Installation],$B17,Table47[Projected 
Year],BN$1,Table47[Monthly revenue],BN$2)</f>
        <v>0</v>
      </c>
      <c r="BO17" s="159">
        <f>SUMPRODUCT(Table4[Probability]*Table4[Rev. Based on PROB]*(Table4[Installation]=$B17)*(Table4[Projected 
Year]=BN$1)*(Table4[Projected 
Month]=BN$2))/MAX(1,SUMPRODUCT(Table4[Rev. Based on PROB]*(Table4[Installation]=$B17)*(Table4[Projected 
Year]=BN$1)*(Table4[Projected 
Month]=BN$2)))</f>
        <v>0</v>
      </c>
      <c r="BP17" s="160">
        <f>SUMPRODUCT(Table4[Rev. Based on PROB]*Table4[Expected CMR]*(Table4[Projected 
Year]=BN$1)*(Table4[Projected 
Month]=BN$2)*(Table4[Installation]=$B17))/MAX(1,BN17)</f>
        <v>0</v>
      </c>
      <c r="BQ17" s="27">
        <f>SUMIFS(Table47[Rev. Based on PROB],Table47[Installation],$B17,Table47[Projected 
Year],BQ$1,Table47[Monthly revenue],BQ$2)</f>
        <v>0</v>
      </c>
      <c r="BR17" s="159">
        <f>SUMPRODUCT(Table4[Probability]*Table4[Rev. Based on PROB]*(Table4[Installation]=$B17)*(Table4[Projected 
Year]=BQ$1)*(Table4[Projected 
Month]=BQ$2))/MAX(1,SUMPRODUCT(Table4[Rev. Based on PROB]*(Table4[Installation]=$B17)*(Table4[Projected 
Year]=BQ$1)*(Table4[Projected 
Month]=BQ$2)))</f>
        <v>0</v>
      </c>
      <c r="BS17" s="160">
        <f>SUMPRODUCT(Table4[Rev. Based on PROB]*Table4[Expected CMR]*(Table4[Projected 
Year]=BQ$1)*(Table4[Projected 
Month]=BQ$2)*(Table4[Installation]=$B17))/MAX(1,BQ17)</f>
        <v>0</v>
      </c>
      <c r="BT17" s="27">
        <f>SUMIFS(Table47[Rev. Based on PROB],Table47[Installation],$B17,Table47[Projected 
Year],BT$1,Table47[Monthly revenue],BT$2)</f>
        <v>0</v>
      </c>
      <c r="BU17" s="159">
        <f>SUMPRODUCT(Table4[Probability]*Table4[Rev. Based on PROB]*(Table4[Installation]=$B17)*(Table4[Projected 
Year]=BT$1)*(Table4[Projected 
Month]=BT$2))/MAX(1,SUMPRODUCT(Table4[Rev. Based on PROB]*(Table4[Installation]=$B17)*(Table4[Projected 
Year]=BT$1)*(Table4[Projected 
Month]=BT$2)))</f>
        <v>0</v>
      </c>
      <c r="BV17" s="160">
        <f>SUMPRODUCT(Table4[Rev. Based on PROB]*Table4[Expected CMR]*(Table4[Projected 
Year]=BT$1)*(Table4[Projected 
Month]=BT$2)*(Table4[Installation]=$B17))/MAX(1,BT17)</f>
        <v>0</v>
      </c>
      <c r="BW17" s="27">
        <f>SUMIFS(Table47[Rev. Based on PROB],Table47[Installation],$B17,Table47[Projected 
Year],BW$1,Table47[Monthly revenue],BW$2)</f>
        <v>0</v>
      </c>
      <c r="BX17" s="159">
        <f>SUMPRODUCT(Table4[Probability]*Table4[Rev. Based on PROB]*(Table4[Installation]=$B17)*(Table4[Projected 
Year]=BW$1)*(Table4[Projected 
Month]=BW$2))/MAX(1,SUMPRODUCT(Table4[Rev. Based on PROB]*(Table4[Installation]=$B17)*(Table4[Projected 
Year]=BW$1)*(Table4[Projected 
Month]=BW$2)))</f>
        <v>0</v>
      </c>
      <c r="BY17" s="160">
        <f>SUMPRODUCT(Table4[Rev. Based on PROB]*Table4[Expected CMR]*(Table4[Projected 
Year]=BW$1)*(Table4[Projected 
Month]=BW$2)*(Table4[Installation]=$B17))/MAX(1,BW17)</f>
        <v>0</v>
      </c>
      <c r="BZ17" s="200"/>
      <c r="CA17" s="200"/>
      <c r="CB17" s="200"/>
      <c r="CC17" s="200"/>
      <c r="CD17" s="200"/>
      <c r="CE17" s="200"/>
      <c r="CF17" s="200"/>
      <c r="CG17" s="200"/>
      <c r="CH17" s="200"/>
      <c r="CI17" s="200"/>
      <c r="CJ17" s="200"/>
      <c r="CK17" s="200"/>
      <c r="CL17" s="200"/>
      <c r="CM17" s="200"/>
      <c r="CN17" s="200"/>
      <c r="CO17" s="200"/>
      <c r="CP17" s="200"/>
      <c r="CQ17" s="200"/>
      <c r="CR17" s="200"/>
      <c r="CS17" s="200"/>
      <c r="CT17" s="200"/>
      <c r="CU17" s="30">
        <f t="shared" si="0"/>
        <v>0</v>
      </c>
      <c r="CV17" s="52">
        <f t="shared" si="4"/>
        <v>0</v>
      </c>
      <c r="CW17" s="53">
        <f t="shared" si="5"/>
        <v>0</v>
      </c>
      <c r="CX17" s="29"/>
      <c r="CY17" s="19">
        <f t="shared" si="6"/>
        <v>0</v>
      </c>
    </row>
    <row r="18" spans="1:103">
      <c r="A18" s="18" t="s">
        <v>157</v>
      </c>
      <c r="B18" s="20" t="s">
        <v>260</v>
      </c>
      <c r="C18" s="27">
        <f>SUMIFS(Table4[Rev. Based on PROB],Table4[Installation],$B18,Table4[Projected 
Year],C$1,Table4[Projected 
Month],C$2)</f>
        <v>0</v>
      </c>
      <c r="D18" s="159">
        <f>SUMPRODUCT(Table4[Probability]*Table4[Rev. Based on PROB]*(Table4[Installation]=$B18)*(Table4[Projected 
Year]=C$1)*(Table4[Projected 
Month]=C$2))/MAX(1,SUMPRODUCT(Table4[Rev. Based on PROB]*(Table4[Installation]=$B18)*(Table4[Projected 
Year]=C$1)*(Table4[Projected 
Month]=C$2)))</f>
        <v>0</v>
      </c>
      <c r="E18" s="160">
        <f>SUMPRODUCT(Table4[Rev. Based on PROB]*Table4[Expected CMR]*(Table4[Projected 
Year]=C$1)*(Table4[Projected 
Month]=C$2)*(Table4[Installation]=$B18))/MAX(1,C18)</f>
        <v>0</v>
      </c>
      <c r="F18" s="27">
        <f>SUMIFS(Table4[Rev. Based on PROB],Table4[Installation],$B18,Table4[Projected 
Year],F$1,Table4[Projected 
Month],F$2)</f>
        <v>0</v>
      </c>
      <c r="G18" s="159">
        <f>SUMPRODUCT(Table4[Probability]*Table4[Rev. Based on PROB]*(Table4[Installation]=$B18)*(Table4[Projected 
Year]=F$1)*(Table4[Projected 
Month]=F$2))/MAX(1,SUMPRODUCT(Table4[Rev. Based on PROB]*(Table4[Installation]=$B18)*(Table4[Projected 
Year]=F$1)*(Table4[Projected 
Month]=F$2)))</f>
        <v>0</v>
      </c>
      <c r="H18" s="160">
        <f>SUMPRODUCT(Table4[Rev. Based on PROB]*Table4[Expected CMR]*(Table4[Projected 
Year]=F$1)*(Table4[Projected 
Month]=F$2)*(Table4[Installation]=$B18))/MAX(1,F18)</f>
        <v>0</v>
      </c>
      <c r="I18" s="27">
        <f>SUMIFS(Table4[Rev. Based on PROB],Table4[Installation],$B18,Table4[Projected 
Year],I$1,Table4[Projected 
Month],I$2)</f>
        <v>0</v>
      </c>
      <c r="J18" s="159">
        <f>SUMPRODUCT(Table4[Probability]*Table4[Rev. Based on PROB]*(Table4[Installation]=$B18)*(Table4[Projected 
Year]=I$1)*(Table4[Projected 
Month]=I$2))/MAX(1,SUMPRODUCT(Table4[Rev. Based on PROB]*(Table4[Installation]=$B18)*(Table4[Projected 
Year]=I$1)*(Table4[Projected 
Month]=I$2)))</f>
        <v>0</v>
      </c>
      <c r="K18" s="160">
        <f>SUMPRODUCT(Table4[Rev. Based on PROB]*Table4[Expected CMR]*(Table4[Projected 
Year]=I$1)*(Table4[Projected 
Month]=I$2)*(Table4[Installation]=$B18))/MAX(1,I18)</f>
        <v>0</v>
      </c>
      <c r="L18" s="27">
        <f>SUMIFS(Table4[Rev. Based on PROB],Table4[Installation],$B18,Table4[Projected 
Year],L$1,Table4[Projected 
Month],L$2)</f>
        <v>0</v>
      </c>
      <c r="M18" s="159">
        <f>SUMPRODUCT(Table4[Probability]*Table4[Rev. Based on PROB]*(Table4[Installation]=$B18)*(Table4[Projected 
Year]=L$1)*(Table4[Projected 
Month]=L$2))/MAX(1,SUMPRODUCT(Table4[Rev. Based on PROB]*(Table4[Installation]=$B18)*(Table4[Projected 
Year]=L$1)*(Table4[Projected 
Month]=L$2)))</f>
        <v>0</v>
      </c>
      <c r="N18" s="160">
        <f>SUMPRODUCT(Table4[Rev. Based on PROB]*Table4[Expected CMR]*(Table4[Projected 
Year]=L$1)*(Table4[Projected 
Month]=L$2)*(Table4[Installation]=$B18))/MAX(1,L18)</f>
        <v>0</v>
      </c>
      <c r="O18" s="27">
        <f>SUMIFS(Table4[Rev. Based on PROB],Table4[Installation],$B18,Table4[Projected 
Year],O$1,Table4[Projected 
Month],O$2)</f>
        <v>0</v>
      </c>
      <c r="P18" s="159">
        <f>SUMPRODUCT(Table4[Probability]*Table4[Rev. Based on PROB]*(Table4[Installation]=$B18)*(Table4[Projected 
Year]=O$1)*(Table4[Projected 
Month]=O$2))/MAX(1,SUMPRODUCT(Table4[Rev. Based on PROB]*(Table4[Installation]=$B18)*(Table4[Projected 
Year]=O$1)*(Table4[Projected 
Month]=O$2)))</f>
        <v>0</v>
      </c>
      <c r="Q18" s="160">
        <f>SUMPRODUCT(Table4[Rev. Based on PROB]*Table4[Expected CMR]*(Table4[Projected 
Year]=O$1)*(Table4[Projected 
Month]=O$2)*(Table4[Installation]=$B18))/MAX(1,O18)</f>
        <v>0</v>
      </c>
      <c r="R18" s="27">
        <f>SUMIFS(Table4[Rev. Based on PROB],Table4[Installation],$B18,Table4[Projected 
Year],R$1,Table4[Projected 
Month],R$2)</f>
        <v>0</v>
      </c>
      <c r="S18" s="159">
        <f>SUMPRODUCT(Table4[Probability]*Table4[Rev. Based on PROB]*(Table4[Installation]=$B18)*(Table4[Projected 
Year]=R$1)*(Table4[Projected 
Month]=R$2))/MAX(1,SUMPRODUCT(Table4[Rev. Based on PROB]*(Table4[Installation]=$B18)*(Table4[Projected 
Year]=R$1)*(Table4[Projected 
Month]=R$2)))</f>
        <v>0</v>
      </c>
      <c r="T18" s="160">
        <f>SUMPRODUCT(Table4[Rev. Based on PROB]*Table4[Expected CMR]*(Table4[Projected 
Year]=R$1)*(Table4[Projected 
Month]=R$2)*(Table4[Installation]=$B18))/MAX(1,R18)</f>
        <v>0</v>
      </c>
      <c r="U18" s="27">
        <f>SUMIFS(Table4[Rev. Based on PROB],Table4[Installation],$B18,Table4[Projected 
Year],U$1,Table4[Projected 
Month],U$2)</f>
        <v>0</v>
      </c>
      <c r="V18" s="159">
        <f>SUMPRODUCT(Table4[Probability]*Table4[Rev. Based on PROB]*(Table4[Installation]=$B18)*(Table4[Projected 
Year]=U$1)*(Table4[Projected 
Month]=U$2))/MAX(1,SUMPRODUCT(Table4[Rev. Based on PROB]*(Table4[Installation]=$B18)*(Table4[Projected 
Year]=U$1)*(Table4[Projected 
Month]=U$2)))</f>
        <v>0</v>
      </c>
      <c r="W18" s="160">
        <f>SUMPRODUCT(Table4[Rev. Based on PROB]*Table4[Expected CMR]*(Table4[Projected 
Year]=U$1)*(Table4[Projected 
Month]=U$2)*(Table4[Installation]=$B18))/MAX(1,U18)</f>
        <v>0</v>
      </c>
      <c r="X18" s="27">
        <f>SUMIFS(Table4[Rev. Based on PROB],Table4[Installation],$B18,Table4[Projected 
Year],X$1,Table4[Projected 
Month],X$2)</f>
        <v>0</v>
      </c>
      <c r="Y18" s="159">
        <f>SUMPRODUCT(Table4[Probability]*Table4[Rev. Based on PROB]*(Table4[Installation]=$B18)*(Table4[Projected 
Year]=X$1)*(Table4[Projected 
Month]=X$2))/MAX(1,SUMPRODUCT(Table4[Rev. Based on PROB]*(Table4[Installation]=$B18)*(Table4[Projected 
Year]=X$1)*(Table4[Projected 
Month]=X$2)))</f>
        <v>0</v>
      </c>
      <c r="Z18" s="160">
        <f>SUMPRODUCT(Table4[Rev. Based on PROB]*Table4[Expected CMR]*(Table4[Projected 
Year]=X$1)*(Table4[Projected 
Month]=X$2)*(Table4[Installation]=$B18))/MAX(1,X18)</f>
        <v>0</v>
      </c>
      <c r="AA18" s="27">
        <f>SUMIFS(Table4[Rev. Based on PROB],Table4[Installation],$B18,Table4[Projected 
Year],AA$1,Table4[Projected 
Month],AA$2)</f>
        <v>0</v>
      </c>
      <c r="AB18" s="159">
        <f>SUMPRODUCT(Table4[Probability]*Table4[Rev. Based on PROB]*(Table4[Installation]=$B18)*(Table4[Projected 
Year]=AA$1)*(Table4[Projected 
Month]=AA$2))/MAX(1,SUMPRODUCT(Table4[Rev. Based on PROB]*(Table4[Installation]=$B18)*(Table4[Projected 
Year]=AA$1)*(Table4[Projected 
Month]=AA$2)))</f>
        <v>0</v>
      </c>
      <c r="AC18" s="160">
        <f>SUMPRODUCT(Table4[Rev. Based on PROB]*Table4[Expected CMR]*(Table4[Projected 
Year]=AA$1)*(Table4[Projected 
Month]=AA$2)*(Table4[Installation]=$B18))/MAX(1,AA18)</f>
        <v>0</v>
      </c>
      <c r="AD18" s="27">
        <f>SUMIFS(Table4[Rev. Based on PROB],Table4[Installation],$B18,Table4[Projected 
Year],AD$1,Table4[Projected 
Month],AD$2)</f>
        <v>0</v>
      </c>
      <c r="AE18" s="159">
        <f>SUMPRODUCT(Table4[Probability]*Table4[Rev. Based on PROB]*(Table4[Installation]=$B18)*(Table4[Projected 
Year]=AD$1)*(Table4[Projected 
Month]=AD$2))/MAX(1,SUMPRODUCT(Table4[Rev. Based on PROB]*(Table4[Installation]=$B18)*(Table4[Projected 
Year]=AD$1)*(Table4[Projected 
Month]=AD$2)))</f>
        <v>0</v>
      </c>
      <c r="AF18" s="160">
        <f>SUMPRODUCT(Table4[Rev. Based on PROB]*Table4[Expected CMR]*(Table4[Projected 
Year]=AD$1)*(Table4[Projected 
Month]=AD$2)*(Table4[Installation]=$B18))/MAX(1,AD18)</f>
        <v>0</v>
      </c>
      <c r="AG18" s="27">
        <f>SUMIFS(Table4[Rev. Based on PROB],Table4[Installation],$B18,Table4[Projected 
Year],AG$1,Table4[Projected 
Month],AG$2)</f>
        <v>0</v>
      </c>
      <c r="AH18" s="159">
        <f>SUMPRODUCT(Table4[Probability]*Table4[Rev. Based on PROB]*(Table4[Installation]=$B18)*(Table4[Projected 
Year]=AG$1)*(Table4[Projected 
Month]=AG$2))/MAX(1,SUMPRODUCT(Table4[Rev. Based on PROB]*(Table4[Installation]=$B18)*(Table4[Projected 
Year]=AG$1)*(Table4[Projected 
Month]=AG$2)))</f>
        <v>0</v>
      </c>
      <c r="AI18" s="160">
        <f>SUMPRODUCT(Table4[Rev. Based on PROB]*Table4[Expected CMR]*(Table4[Projected 
Year]=AG$1)*(Table4[Projected 
Month]=AG$2)*(Table4[Installation]=$B18))/MAX(1,AG18)</f>
        <v>0</v>
      </c>
      <c r="AJ18" s="27">
        <f>SUMIFS(Table4[Rev. Based on PROB],Table4[Installation],$B18,Table4[Projected 
Year],AJ$1,Table4[Projected 
Month],AJ$2)</f>
        <v>0</v>
      </c>
      <c r="AK18" s="159">
        <f>SUMPRODUCT(Table4[Probability]*Table4[Rev. Based on PROB]*(Table4[Installation]=$B18)*(Table4[Projected 
Year]=AJ$1)*(Table4[Projected 
Month]=AJ$2))/MAX(1,SUMPRODUCT(Table4[Rev. Based on PROB]*(Table4[Installation]=$B18)*(Table4[Projected 
Year]=AJ$1)*(Table4[Projected 
Month]=AJ$2)))</f>
        <v>0</v>
      </c>
      <c r="AL18" s="160">
        <f>SUMPRODUCT(Table4[Rev. Based on PROB]*Table4[Expected CMR]*(Table4[Projected 
Year]=AJ$1)*(Table4[Projected 
Month]=AJ$2)*(Table4[Installation]=$B18))/MAX(1,AJ18)</f>
        <v>0</v>
      </c>
      <c r="AM18" s="30">
        <f t="shared" si="1"/>
        <v>0</v>
      </c>
      <c r="AN18" s="52">
        <f t="shared" si="2"/>
        <v>0</v>
      </c>
      <c r="AO18" s="53">
        <f t="shared" si="3"/>
        <v>0</v>
      </c>
      <c r="AP18" s="27">
        <f>SUMIFS(Table47[Rev. Based on PROB],Table47[Installation],$B18,Table47[Projected 
Year],AP$1,Table47[Monthly revenue],AP$2)</f>
        <v>10000</v>
      </c>
      <c r="AQ18" s="159">
        <f>SUMPRODUCT(Table4[Probability]*Table4[Rev. Based on PROB]*(Table4[Installation]=$B18)*(Table4[Projected 
Year]=AP$1)*(Table4[Projected 
Month]=AP$2))/MAX(1,SUMPRODUCT(Table4[Rev. Based on PROB]*(Table4[Installation]=$B18)*(Table4[Projected 
Year]=AP$1)*(Table4[Projected 
Month]=AP$2)))</f>
        <v>1</v>
      </c>
      <c r="AR18" s="160">
        <f>SUMPRODUCT(Table4[Rev. Based on PROB]*Table4[Expected CMR]*(Table4[Projected 
Year]=AP$1)*(Table4[Projected 
Month]=AP$2)*(Table4[Installation]=$B18))/MAX(1,AP18)</f>
        <v>0.35</v>
      </c>
      <c r="AS18" s="27">
        <f>SUMIFS(Table47[Rev. Based on PROB],Table47[Installation],$B18,Table47[Projected 
Year],AS$1,Table47[Monthly revenue],AS$2)</f>
        <v>35000</v>
      </c>
      <c r="AT18" s="159">
        <f>SUMPRODUCT(Table4[Probability]*Table4[Rev. Based on PROB]*(Table4[Installation]=$B18)*(Table4[Projected 
Year]=AS$1)*(Table4[Projected 
Month]=AS$2))/MAX(1,SUMPRODUCT(Table4[Rev. Based on PROB]*(Table4[Installation]=$B18)*(Table4[Projected 
Year]=AS$1)*(Table4[Projected 
Month]=AS$2)))</f>
        <v>1</v>
      </c>
      <c r="AU18" s="160">
        <f>SUMPRODUCT(Table4[Rev. Based on PROB]*Table4[Expected CMR]*(Table4[Projected 
Year]=AS$1)*(Table4[Projected 
Month]=AS$2)*(Table4[Installation]=$B18))/MAX(1,AS18)</f>
        <v>0.35</v>
      </c>
      <c r="AV18" s="27">
        <f>SUMIFS(Table47[Rev. Based on PROB],Table47[Installation],$B18,Table47[Projected 
Year],AV$1,Table47[Monthly revenue],AV$2)</f>
        <v>0</v>
      </c>
      <c r="AW18" s="159">
        <f>SUMPRODUCT(Table4[Probability]*Table4[Rev. Based on PROB]*(Table4[Installation]=$B18)*(Table4[Projected 
Year]=AV$1)*(Table4[Projected 
Month]=AV$2))/MAX(1,SUMPRODUCT(Table4[Rev. Based on PROB]*(Table4[Installation]=$B18)*(Table4[Projected 
Year]=AV$1)*(Table4[Projected 
Month]=AV$2)))</f>
        <v>0</v>
      </c>
      <c r="AX18" s="160">
        <f>SUMPRODUCT(Table4[Rev. Based on PROB]*Table4[Expected CMR]*(Table4[Projected 
Year]=AV$1)*(Table4[Projected 
Month]=AV$2)*(Table4[Installation]=$B18))/MAX(1,AV18)</f>
        <v>0</v>
      </c>
      <c r="AY18" s="27">
        <f>SUMIFS(Table47[Rev. Based on PROB],Table47[Installation],$B18,Table47[Projected 
Year],AY$1,Table47[Monthly revenue],AY$2)</f>
        <v>0</v>
      </c>
      <c r="AZ18" s="159">
        <f>SUMPRODUCT(Table4[Probability]*Table4[Rev. Based on PROB]*(Table4[Installation]=$B18)*(Table4[Projected 
Year]=AY$1)*(Table4[Projected 
Month]=AY$2))/MAX(1,SUMPRODUCT(Table4[Rev. Based on PROB]*(Table4[Installation]=$B18)*(Table4[Projected 
Year]=AY$1)*(Table4[Projected 
Month]=AY$2)))</f>
        <v>1</v>
      </c>
      <c r="BA18" s="160">
        <f>SUMPRODUCT(Table4[Rev. Based on PROB]*Table4[Expected CMR]*(Table4[Projected 
Year]=AY$1)*(Table4[Projected 
Month]=AY$2)*(Table4[Installation]=$B18))/MAX(1,AY18)</f>
        <v>17500</v>
      </c>
      <c r="BB18" s="27">
        <f>SUMIFS(Table47[Rev. Based on PROB],Table47[Installation],$B18,Table47[Projected 
Year],BB$1,Table47[Monthly revenue],BB$2)</f>
        <v>0</v>
      </c>
      <c r="BC18" s="159">
        <f>SUMPRODUCT(Table4[Probability]*Table4[Rev. Based on PROB]*(Table4[Installation]=$B18)*(Table4[Projected 
Year]=BB$1)*(Table4[Projected 
Month]=BB$2))/MAX(1,SUMPRODUCT(Table4[Rev. Based on PROB]*(Table4[Installation]=$B18)*(Table4[Projected 
Year]=BB$1)*(Table4[Projected 
Month]=BB$2)))</f>
        <v>0</v>
      </c>
      <c r="BD18" s="160">
        <f>SUMPRODUCT(Table4[Rev. Based on PROB]*Table4[Expected CMR]*(Table4[Projected 
Year]=BB$1)*(Table4[Projected 
Month]=BB$2)*(Table4[Installation]=$B18))/MAX(1,BB18)</f>
        <v>0</v>
      </c>
      <c r="BE18" s="27">
        <f>SUMIFS(Table47[Rev. Based on PROB],Table47[Installation],$B18,Table47[Projected 
Year],BE$1,Table47[Monthly revenue],BE$2)</f>
        <v>0</v>
      </c>
      <c r="BF18" s="159">
        <f>SUMPRODUCT(Table4[Probability]*Table4[Rev. Based on PROB]*(Table4[Installation]=$B18)*(Table4[Projected 
Year]=BE$1)*(Table4[Projected 
Month]=BE$2))/MAX(1,SUMPRODUCT(Table4[Rev. Based on PROB]*(Table4[Installation]=$B18)*(Table4[Projected 
Year]=BE$1)*(Table4[Projected 
Month]=BE$2)))</f>
        <v>0</v>
      </c>
      <c r="BG18" s="160">
        <f>SUMPRODUCT(Table4[Rev. Based on PROB]*Table4[Expected CMR]*(Table4[Projected 
Year]=BE$1)*(Table4[Projected 
Month]=BE$2)*(Table4[Installation]=$B18))/MAX(1,BE18)</f>
        <v>0</v>
      </c>
      <c r="BH18" s="27">
        <f>SUMIFS(Table47[Rev. Based on PROB],Table47[Installation],$B18,Table47[Projected 
Year],BH$1,Table47[Monthly revenue],BH$2)</f>
        <v>0</v>
      </c>
      <c r="BI18" s="159">
        <f>SUMPRODUCT(Table4[Probability]*Table4[Rev. Based on PROB]*(Table4[Installation]=$B18)*(Table4[Projected 
Year]=BH$1)*(Table4[Projected 
Month]=BH$2))/MAX(1,SUMPRODUCT(Table4[Rev. Based on PROB]*(Table4[Installation]=$B18)*(Table4[Projected 
Year]=BH$1)*(Table4[Projected 
Month]=BH$2)))</f>
        <v>0</v>
      </c>
      <c r="BJ18" s="160">
        <f>SUMPRODUCT(Table4[Rev. Based on PROB]*Table4[Expected CMR]*(Table4[Projected 
Year]=BH$1)*(Table4[Projected 
Month]=BH$2)*(Table4[Installation]=$B18))/MAX(1,BH18)</f>
        <v>0</v>
      </c>
      <c r="BK18" s="27">
        <f>SUMIFS(Table47[Rev. Based on PROB],Table47[Installation],$B18,Table47[Projected 
Year],BK$1,Table47[Monthly revenue],BK$2)</f>
        <v>20000</v>
      </c>
      <c r="BL18" s="159">
        <f>SUMPRODUCT(Table4[Probability]*Table4[Rev. Based on PROB]*(Table4[Installation]=$B18)*(Table4[Projected 
Year]=BK$1)*(Table4[Projected 
Month]=BK$2))/MAX(1,SUMPRODUCT(Table4[Rev. Based on PROB]*(Table4[Installation]=$B18)*(Table4[Projected 
Year]=BK$1)*(Table4[Projected 
Month]=BK$2)))</f>
        <v>0</v>
      </c>
      <c r="BM18" s="160">
        <f>SUMPRODUCT(Table4[Rev. Based on PROB]*Table4[Expected CMR]*(Table4[Projected 
Year]=BK$1)*(Table4[Projected 
Month]=BK$2)*(Table4[Installation]=$B18))/MAX(1,BK18)</f>
        <v>0</v>
      </c>
      <c r="BN18" s="27">
        <f>SUMIFS(Table47[Rev. Based on PROB],Table47[Installation],$B18,Table47[Projected 
Year],BN$1,Table47[Monthly revenue],BN$2)</f>
        <v>0</v>
      </c>
      <c r="BO18" s="159">
        <f>SUMPRODUCT(Table4[Probability]*Table4[Rev. Based on PROB]*(Table4[Installation]=$B18)*(Table4[Projected 
Year]=BN$1)*(Table4[Projected 
Month]=BN$2))/MAX(1,SUMPRODUCT(Table4[Rev. Based on PROB]*(Table4[Installation]=$B18)*(Table4[Projected 
Year]=BN$1)*(Table4[Projected 
Month]=BN$2)))</f>
        <v>0</v>
      </c>
      <c r="BP18" s="160">
        <f>SUMPRODUCT(Table4[Rev. Based on PROB]*Table4[Expected CMR]*(Table4[Projected 
Year]=BN$1)*(Table4[Projected 
Month]=BN$2)*(Table4[Installation]=$B18))/MAX(1,BN18)</f>
        <v>0</v>
      </c>
      <c r="BQ18" s="27">
        <f>SUMIFS(Table47[Rev. Based on PROB],Table47[Installation],$B18,Table47[Projected 
Year],BQ$1,Table47[Monthly revenue],BQ$2)</f>
        <v>0</v>
      </c>
      <c r="BR18" s="159">
        <f>SUMPRODUCT(Table4[Probability]*Table4[Rev. Based on PROB]*(Table4[Installation]=$B18)*(Table4[Projected 
Year]=BQ$1)*(Table4[Projected 
Month]=BQ$2))/MAX(1,SUMPRODUCT(Table4[Rev. Based on PROB]*(Table4[Installation]=$B18)*(Table4[Projected 
Year]=BQ$1)*(Table4[Projected 
Month]=BQ$2)))</f>
        <v>0</v>
      </c>
      <c r="BS18" s="160">
        <f>SUMPRODUCT(Table4[Rev. Based on PROB]*Table4[Expected CMR]*(Table4[Projected 
Year]=BQ$1)*(Table4[Projected 
Month]=BQ$2)*(Table4[Installation]=$B18))/MAX(1,BQ18)</f>
        <v>0</v>
      </c>
      <c r="BT18" s="27">
        <f>SUMIFS(Table47[Rev. Based on PROB],Table47[Installation],$B18,Table47[Projected 
Year],BT$1,Table47[Monthly revenue],BT$2)</f>
        <v>42900</v>
      </c>
      <c r="BU18" s="159">
        <f>SUMPRODUCT(Table4[Probability]*Table4[Rev. Based on PROB]*(Table4[Installation]=$B18)*(Table4[Projected 
Year]=BT$1)*(Table4[Projected 
Month]=BT$2))/MAX(1,SUMPRODUCT(Table4[Rev. Based on PROB]*(Table4[Installation]=$B18)*(Table4[Projected 
Year]=BT$1)*(Table4[Projected 
Month]=BT$2)))</f>
        <v>0</v>
      </c>
      <c r="BV18" s="160">
        <f>SUMPRODUCT(Table4[Rev. Based on PROB]*Table4[Expected CMR]*(Table4[Projected 
Year]=BT$1)*(Table4[Projected 
Month]=BT$2)*(Table4[Installation]=$B18))/MAX(1,BT18)</f>
        <v>0</v>
      </c>
      <c r="BW18" s="27">
        <f>SUMIFS(Table47[Rev. Based on PROB],Table47[Installation],$B18,Table47[Projected 
Year],BW$1,Table47[Monthly revenue],BW$2)</f>
        <v>0</v>
      </c>
      <c r="BX18" s="159">
        <f>SUMPRODUCT(Table4[Probability]*Table4[Rev. Based on PROB]*(Table4[Installation]=$B18)*(Table4[Projected 
Year]=BW$1)*(Table4[Projected 
Month]=BW$2))/MAX(1,SUMPRODUCT(Table4[Rev. Based on PROB]*(Table4[Installation]=$B18)*(Table4[Projected 
Year]=BW$1)*(Table4[Projected 
Month]=BW$2)))</f>
        <v>0</v>
      </c>
      <c r="BY18" s="160">
        <f>SUMPRODUCT(Table4[Rev. Based on PROB]*Table4[Expected CMR]*(Table4[Projected 
Year]=BW$1)*(Table4[Projected 
Month]=BW$2)*(Table4[Installation]=$B18))/MAX(1,BW18)</f>
        <v>0</v>
      </c>
      <c r="BZ18" s="200"/>
      <c r="CA18" s="200"/>
      <c r="CB18" s="200"/>
      <c r="CC18" s="200"/>
      <c r="CD18" s="200"/>
      <c r="CE18" s="200"/>
      <c r="CF18" s="200"/>
      <c r="CG18" s="200"/>
      <c r="CH18" s="200"/>
      <c r="CI18" s="200"/>
      <c r="CJ18" s="200"/>
      <c r="CK18" s="200"/>
      <c r="CL18" s="200"/>
      <c r="CM18" s="200"/>
      <c r="CN18" s="200"/>
      <c r="CO18" s="200"/>
      <c r="CP18" s="200"/>
      <c r="CQ18" s="200"/>
      <c r="CR18" s="200"/>
      <c r="CS18" s="200"/>
      <c r="CT18" s="200"/>
      <c r="CU18" s="30">
        <f t="shared" si="0"/>
        <v>107900</v>
      </c>
      <c r="CV18" s="52">
        <f t="shared" si="4"/>
        <v>0</v>
      </c>
      <c r="CW18" s="53">
        <f t="shared" si="5"/>
        <v>0</v>
      </c>
      <c r="CX18" s="29">
        <v>150000</v>
      </c>
      <c r="CY18" s="19">
        <f t="shared" si="6"/>
        <v>-42100</v>
      </c>
    </row>
    <row r="19" spans="1:103">
      <c r="A19" s="18" t="s">
        <v>57</v>
      </c>
      <c r="B19" s="20" t="s">
        <v>235</v>
      </c>
      <c r="C19" s="27">
        <f>SUMIFS(Table4[Rev. Based on PROB],Table4[Installation],$B19,Table4[Projected 
Year],C$1,Table4[Projected 
Month],C$2)</f>
        <v>0</v>
      </c>
      <c r="D19" s="159">
        <f>SUMPRODUCT(Table4[Probability]*Table4[Rev. Based on PROB]*(Table4[Installation]=$B19)*(Table4[Projected 
Year]=C$1)*(Table4[Projected 
Month]=C$2))/MAX(1,SUMPRODUCT(Table4[Rev. Based on PROB]*(Table4[Installation]=$B19)*(Table4[Projected 
Year]=C$1)*(Table4[Projected 
Month]=C$2)))</f>
        <v>0</v>
      </c>
      <c r="E19" s="160">
        <f>SUMPRODUCT(Table4[Rev. Based on PROB]*Table4[Expected CMR]*(Table4[Projected 
Year]=C$1)*(Table4[Projected 
Month]=C$2)*(Table4[Installation]=$B19))/MAX(1,C19)</f>
        <v>0</v>
      </c>
      <c r="F19" s="27">
        <f>SUMIFS(Table4[Rev. Based on PROB],Table4[Installation],$B19,Table4[Projected 
Year],F$1,Table4[Projected 
Month],F$2)</f>
        <v>0</v>
      </c>
      <c r="G19" s="159">
        <f>SUMPRODUCT(Table4[Probability]*Table4[Rev. Based on PROB]*(Table4[Installation]=$B19)*(Table4[Projected 
Year]=F$1)*(Table4[Projected 
Month]=F$2))/MAX(1,SUMPRODUCT(Table4[Rev. Based on PROB]*(Table4[Installation]=$B19)*(Table4[Projected 
Year]=F$1)*(Table4[Projected 
Month]=F$2)))</f>
        <v>0</v>
      </c>
      <c r="H19" s="160">
        <f>SUMPRODUCT(Table4[Rev. Based on PROB]*Table4[Expected CMR]*(Table4[Projected 
Year]=F$1)*(Table4[Projected 
Month]=F$2)*(Table4[Installation]=$B19))/MAX(1,F19)</f>
        <v>0</v>
      </c>
      <c r="I19" s="27">
        <f>SUMIFS(Table4[Rev. Based on PROB],Table4[Installation],$B19,Table4[Projected 
Year],I$1,Table4[Projected 
Month],I$2)</f>
        <v>0</v>
      </c>
      <c r="J19" s="159">
        <f>SUMPRODUCT(Table4[Probability]*Table4[Rev. Based on PROB]*(Table4[Installation]=$B19)*(Table4[Projected 
Year]=I$1)*(Table4[Projected 
Month]=I$2))/MAX(1,SUMPRODUCT(Table4[Rev. Based on PROB]*(Table4[Installation]=$B19)*(Table4[Projected 
Year]=I$1)*(Table4[Projected 
Month]=I$2)))</f>
        <v>0</v>
      </c>
      <c r="K19" s="160">
        <f>SUMPRODUCT(Table4[Rev. Based on PROB]*Table4[Expected CMR]*(Table4[Projected 
Year]=I$1)*(Table4[Projected 
Month]=I$2)*(Table4[Installation]=$B19))/MAX(1,I19)</f>
        <v>0</v>
      </c>
      <c r="L19" s="27">
        <f>SUMIFS(Table4[Rev. Based on PROB],Table4[Installation],$B19,Table4[Projected 
Year],L$1,Table4[Projected 
Month],L$2)</f>
        <v>0</v>
      </c>
      <c r="M19" s="159">
        <f>SUMPRODUCT(Table4[Probability]*Table4[Rev. Based on PROB]*(Table4[Installation]=$B19)*(Table4[Projected 
Year]=L$1)*(Table4[Projected 
Month]=L$2))/MAX(1,SUMPRODUCT(Table4[Rev. Based on PROB]*(Table4[Installation]=$B19)*(Table4[Projected 
Year]=L$1)*(Table4[Projected 
Month]=L$2)))</f>
        <v>0</v>
      </c>
      <c r="N19" s="160">
        <f>SUMPRODUCT(Table4[Rev. Based on PROB]*Table4[Expected CMR]*(Table4[Projected 
Year]=L$1)*(Table4[Projected 
Month]=L$2)*(Table4[Installation]=$B19))/MAX(1,L19)</f>
        <v>0</v>
      </c>
      <c r="O19" s="27">
        <f>SUMIFS(Table4[Rev. Based on PROB],Table4[Installation],$B19,Table4[Projected 
Year],O$1,Table4[Projected 
Month],O$2)</f>
        <v>0</v>
      </c>
      <c r="P19" s="159">
        <f>SUMPRODUCT(Table4[Probability]*Table4[Rev. Based on PROB]*(Table4[Installation]=$B19)*(Table4[Projected 
Year]=O$1)*(Table4[Projected 
Month]=O$2))/MAX(1,SUMPRODUCT(Table4[Rev. Based on PROB]*(Table4[Installation]=$B19)*(Table4[Projected 
Year]=O$1)*(Table4[Projected 
Month]=O$2)))</f>
        <v>0</v>
      </c>
      <c r="Q19" s="160">
        <f>SUMPRODUCT(Table4[Rev. Based on PROB]*Table4[Expected CMR]*(Table4[Projected 
Year]=O$1)*(Table4[Projected 
Month]=O$2)*(Table4[Installation]=$B19))/MAX(1,O19)</f>
        <v>0</v>
      </c>
      <c r="R19" s="27">
        <f>SUMIFS(Table4[Rev. Based on PROB],Table4[Installation],$B19,Table4[Projected 
Year],R$1,Table4[Projected 
Month],R$2)</f>
        <v>0</v>
      </c>
      <c r="S19" s="159">
        <f>SUMPRODUCT(Table4[Probability]*Table4[Rev. Based on PROB]*(Table4[Installation]=$B19)*(Table4[Projected 
Year]=R$1)*(Table4[Projected 
Month]=R$2))/MAX(1,SUMPRODUCT(Table4[Rev. Based on PROB]*(Table4[Installation]=$B19)*(Table4[Projected 
Year]=R$1)*(Table4[Projected 
Month]=R$2)))</f>
        <v>0</v>
      </c>
      <c r="T19" s="160">
        <f>SUMPRODUCT(Table4[Rev. Based on PROB]*Table4[Expected CMR]*(Table4[Projected 
Year]=R$1)*(Table4[Projected 
Month]=R$2)*(Table4[Installation]=$B19))/MAX(1,R19)</f>
        <v>0</v>
      </c>
      <c r="U19" s="27">
        <f>SUMIFS(Table4[Rev. Based on PROB],Table4[Installation],$B19,Table4[Projected 
Year],U$1,Table4[Projected 
Month],U$2)</f>
        <v>0</v>
      </c>
      <c r="V19" s="159">
        <f>SUMPRODUCT(Table4[Probability]*Table4[Rev. Based on PROB]*(Table4[Installation]=$B19)*(Table4[Projected 
Year]=U$1)*(Table4[Projected 
Month]=U$2))/MAX(1,SUMPRODUCT(Table4[Rev. Based on PROB]*(Table4[Installation]=$B19)*(Table4[Projected 
Year]=U$1)*(Table4[Projected 
Month]=U$2)))</f>
        <v>0</v>
      </c>
      <c r="W19" s="160">
        <f>SUMPRODUCT(Table4[Rev. Based on PROB]*Table4[Expected CMR]*(Table4[Projected 
Year]=U$1)*(Table4[Projected 
Month]=U$2)*(Table4[Installation]=$B19))/MAX(1,U19)</f>
        <v>0</v>
      </c>
      <c r="X19" s="27">
        <f>SUMIFS(Table4[Rev. Based on PROB],Table4[Installation],$B19,Table4[Projected 
Year],X$1,Table4[Projected 
Month],X$2)</f>
        <v>0</v>
      </c>
      <c r="Y19" s="159">
        <f>SUMPRODUCT(Table4[Probability]*Table4[Rev. Based on PROB]*(Table4[Installation]=$B19)*(Table4[Projected 
Year]=X$1)*(Table4[Projected 
Month]=X$2))/MAX(1,SUMPRODUCT(Table4[Rev. Based on PROB]*(Table4[Installation]=$B19)*(Table4[Projected 
Year]=X$1)*(Table4[Projected 
Month]=X$2)))</f>
        <v>0</v>
      </c>
      <c r="Z19" s="160">
        <f>SUMPRODUCT(Table4[Rev. Based on PROB]*Table4[Expected CMR]*(Table4[Projected 
Year]=X$1)*(Table4[Projected 
Month]=X$2)*(Table4[Installation]=$B19))/MAX(1,X19)</f>
        <v>0</v>
      </c>
      <c r="AA19" s="27">
        <f>SUMIFS(Table4[Rev. Based on PROB],Table4[Installation],$B19,Table4[Projected 
Year],AA$1,Table4[Projected 
Month],AA$2)</f>
        <v>0</v>
      </c>
      <c r="AB19" s="159">
        <f>SUMPRODUCT(Table4[Probability]*Table4[Rev. Based on PROB]*(Table4[Installation]=$B19)*(Table4[Projected 
Year]=AA$1)*(Table4[Projected 
Month]=AA$2))/MAX(1,SUMPRODUCT(Table4[Rev. Based on PROB]*(Table4[Installation]=$B19)*(Table4[Projected 
Year]=AA$1)*(Table4[Projected 
Month]=AA$2)))</f>
        <v>0</v>
      </c>
      <c r="AC19" s="160">
        <f>SUMPRODUCT(Table4[Rev. Based on PROB]*Table4[Expected CMR]*(Table4[Projected 
Year]=AA$1)*(Table4[Projected 
Month]=AA$2)*(Table4[Installation]=$B19))/MAX(1,AA19)</f>
        <v>0</v>
      </c>
      <c r="AD19" s="27">
        <f>SUMIFS(Table4[Rev. Based on PROB],Table4[Installation],$B19,Table4[Projected 
Year],AD$1,Table4[Projected 
Month],AD$2)</f>
        <v>0</v>
      </c>
      <c r="AE19" s="159">
        <f>SUMPRODUCT(Table4[Probability]*Table4[Rev. Based on PROB]*(Table4[Installation]=$B19)*(Table4[Projected 
Year]=AD$1)*(Table4[Projected 
Month]=AD$2))/MAX(1,SUMPRODUCT(Table4[Rev. Based on PROB]*(Table4[Installation]=$B19)*(Table4[Projected 
Year]=AD$1)*(Table4[Projected 
Month]=AD$2)))</f>
        <v>0</v>
      </c>
      <c r="AF19" s="160">
        <f>SUMPRODUCT(Table4[Rev. Based on PROB]*Table4[Expected CMR]*(Table4[Projected 
Year]=AD$1)*(Table4[Projected 
Month]=AD$2)*(Table4[Installation]=$B19))/MAX(1,AD19)</f>
        <v>0</v>
      </c>
      <c r="AG19" s="27">
        <f>SUMIFS(Table4[Rev. Based on PROB],Table4[Installation],$B19,Table4[Projected 
Year],AG$1,Table4[Projected 
Month],AG$2)</f>
        <v>0</v>
      </c>
      <c r="AH19" s="159">
        <f>SUMPRODUCT(Table4[Probability]*Table4[Rev. Based on PROB]*(Table4[Installation]=$B19)*(Table4[Projected 
Year]=AG$1)*(Table4[Projected 
Month]=AG$2))/MAX(1,SUMPRODUCT(Table4[Rev. Based on PROB]*(Table4[Installation]=$B19)*(Table4[Projected 
Year]=AG$1)*(Table4[Projected 
Month]=AG$2)))</f>
        <v>0</v>
      </c>
      <c r="AI19" s="160">
        <f>SUMPRODUCT(Table4[Rev. Based on PROB]*Table4[Expected CMR]*(Table4[Projected 
Year]=AG$1)*(Table4[Projected 
Month]=AG$2)*(Table4[Installation]=$B19))/MAX(1,AG19)</f>
        <v>0</v>
      </c>
      <c r="AJ19" s="27">
        <f>SUMIFS(Table4[Rev. Based on PROB],Table4[Installation],$B19,Table4[Projected 
Year],AJ$1,Table4[Projected 
Month],AJ$2)</f>
        <v>0</v>
      </c>
      <c r="AK19" s="159">
        <f>SUMPRODUCT(Table4[Probability]*Table4[Rev. Based on PROB]*(Table4[Installation]=$B19)*(Table4[Projected 
Year]=AJ$1)*(Table4[Projected 
Month]=AJ$2))/MAX(1,SUMPRODUCT(Table4[Rev. Based on PROB]*(Table4[Installation]=$B19)*(Table4[Projected 
Year]=AJ$1)*(Table4[Projected 
Month]=AJ$2)))</f>
        <v>0</v>
      </c>
      <c r="AL19" s="160">
        <f>SUMPRODUCT(Table4[Rev. Based on PROB]*Table4[Expected CMR]*(Table4[Projected 
Year]=AJ$1)*(Table4[Projected 
Month]=AJ$2)*(Table4[Installation]=$B19))/MAX(1,AJ19)</f>
        <v>0</v>
      </c>
      <c r="AM19" s="30">
        <f t="shared" si="1"/>
        <v>0</v>
      </c>
      <c r="AN19" s="52">
        <f t="shared" si="2"/>
        <v>0</v>
      </c>
      <c r="AO19" s="53">
        <f t="shared" si="3"/>
        <v>0</v>
      </c>
      <c r="AP19" s="27">
        <f>SUMIFS(Table47[Rev. Based on PROB],Table47[Installation],$B19,Table47[Projected 
Year],AP$1,Table47[Monthly revenue],AP$2)</f>
        <v>50000</v>
      </c>
      <c r="AQ19" s="159">
        <f>SUMPRODUCT(Table4[Probability]*Table4[Rev. Based on PROB]*(Table4[Installation]=$B19)*(Table4[Projected 
Year]=AP$1)*(Table4[Projected 
Month]=AP$2))/MAX(1,SUMPRODUCT(Table4[Rev. Based on PROB]*(Table4[Installation]=$B19)*(Table4[Projected 
Year]=AP$1)*(Table4[Projected 
Month]=AP$2)))</f>
        <v>1</v>
      </c>
      <c r="AR19" s="160">
        <f>SUMPRODUCT(Table4[Rev. Based on PROB]*Table4[Expected CMR]*(Table4[Projected 
Year]=AP$1)*(Table4[Projected 
Month]=AP$2)*(Table4[Installation]=$B19))/MAX(1,AP19)</f>
        <v>0.3</v>
      </c>
      <c r="AS19" s="27">
        <f>SUMIFS(Table47[Rev. Based on PROB],Table47[Installation],$B19,Table47[Projected 
Year],AS$1,Table47[Monthly revenue],AS$2)</f>
        <v>0</v>
      </c>
      <c r="AT19" s="159">
        <f>SUMPRODUCT(Table4[Probability]*Table4[Rev. Based on PROB]*(Table4[Installation]=$B19)*(Table4[Projected 
Year]=AS$1)*(Table4[Projected 
Month]=AS$2))/MAX(1,SUMPRODUCT(Table4[Rev. Based on PROB]*(Table4[Installation]=$B19)*(Table4[Projected 
Year]=AS$1)*(Table4[Projected 
Month]=AS$2)))</f>
        <v>0</v>
      </c>
      <c r="AU19" s="160">
        <f>SUMPRODUCT(Table4[Rev. Based on PROB]*Table4[Expected CMR]*(Table4[Projected 
Year]=AS$1)*(Table4[Projected 
Month]=AS$2)*(Table4[Installation]=$B19))/MAX(1,AS19)</f>
        <v>0</v>
      </c>
      <c r="AV19" s="27">
        <f>SUMIFS(Table47[Rev. Based on PROB],Table47[Installation],$B19,Table47[Projected 
Year],AV$1,Table47[Monthly revenue],AV$2)</f>
        <v>0</v>
      </c>
      <c r="AW19" s="159">
        <f>SUMPRODUCT(Table4[Probability]*Table4[Rev. Based on PROB]*(Table4[Installation]=$B19)*(Table4[Projected 
Year]=AV$1)*(Table4[Projected 
Month]=AV$2))/MAX(1,SUMPRODUCT(Table4[Rev. Based on PROB]*(Table4[Installation]=$B19)*(Table4[Projected 
Year]=AV$1)*(Table4[Projected 
Month]=AV$2)))</f>
        <v>0</v>
      </c>
      <c r="AX19" s="160">
        <f>SUMPRODUCT(Table4[Rev. Based on PROB]*Table4[Expected CMR]*(Table4[Projected 
Year]=AV$1)*(Table4[Projected 
Month]=AV$2)*(Table4[Installation]=$B19))/MAX(1,AV19)</f>
        <v>0</v>
      </c>
      <c r="AY19" s="27">
        <f>SUMIFS(Table47[Rev. Based on PROB],Table47[Installation],$B19,Table47[Projected 
Year],AY$1,Table47[Monthly revenue],AY$2)</f>
        <v>0</v>
      </c>
      <c r="AZ19" s="159">
        <f>SUMPRODUCT(Table4[Probability]*Table4[Rev. Based on PROB]*(Table4[Installation]=$B19)*(Table4[Projected 
Year]=AY$1)*(Table4[Projected 
Month]=AY$2))/MAX(1,SUMPRODUCT(Table4[Rev. Based on PROB]*(Table4[Installation]=$B19)*(Table4[Projected 
Year]=AY$1)*(Table4[Projected 
Month]=AY$2)))</f>
        <v>0</v>
      </c>
      <c r="BA19" s="160">
        <f>SUMPRODUCT(Table4[Rev. Based on PROB]*Table4[Expected CMR]*(Table4[Projected 
Year]=AY$1)*(Table4[Projected 
Month]=AY$2)*(Table4[Installation]=$B19))/MAX(1,AY19)</f>
        <v>0</v>
      </c>
      <c r="BB19" s="27">
        <f>SUMIFS(Table47[Rev. Based on PROB],Table47[Installation],$B19,Table47[Projected 
Year],BB$1,Table47[Monthly revenue],BB$2)</f>
        <v>0</v>
      </c>
      <c r="BC19" s="159">
        <f>SUMPRODUCT(Table4[Probability]*Table4[Rev. Based on PROB]*(Table4[Installation]=$B19)*(Table4[Projected 
Year]=BB$1)*(Table4[Projected 
Month]=BB$2))/MAX(1,SUMPRODUCT(Table4[Rev. Based on PROB]*(Table4[Installation]=$B19)*(Table4[Projected 
Year]=BB$1)*(Table4[Projected 
Month]=BB$2)))</f>
        <v>0</v>
      </c>
      <c r="BD19" s="160">
        <f>SUMPRODUCT(Table4[Rev. Based on PROB]*Table4[Expected CMR]*(Table4[Projected 
Year]=BB$1)*(Table4[Projected 
Month]=BB$2)*(Table4[Installation]=$B19))/MAX(1,BB19)</f>
        <v>0</v>
      </c>
      <c r="BE19" s="27">
        <f>SUMIFS(Table47[Rev. Based on PROB],Table47[Installation],$B19,Table47[Projected 
Year],BE$1,Table47[Monthly revenue],BE$2)</f>
        <v>0</v>
      </c>
      <c r="BF19" s="159">
        <f>SUMPRODUCT(Table4[Probability]*Table4[Rev. Based on PROB]*(Table4[Installation]=$B19)*(Table4[Projected 
Year]=BE$1)*(Table4[Projected 
Month]=BE$2))/MAX(1,SUMPRODUCT(Table4[Rev. Based on PROB]*(Table4[Installation]=$B19)*(Table4[Projected 
Year]=BE$1)*(Table4[Projected 
Month]=BE$2)))</f>
        <v>0</v>
      </c>
      <c r="BG19" s="160">
        <f>SUMPRODUCT(Table4[Rev. Based on PROB]*Table4[Expected CMR]*(Table4[Projected 
Year]=BE$1)*(Table4[Projected 
Month]=BE$2)*(Table4[Installation]=$B19))/MAX(1,BE19)</f>
        <v>0</v>
      </c>
      <c r="BH19" s="27">
        <f>SUMIFS(Table47[Rev. Based on PROB],Table47[Installation],$B19,Table47[Projected 
Year],BH$1,Table47[Monthly revenue],BH$2)</f>
        <v>0</v>
      </c>
      <c r="BI19" s="159">
        <f>SUMPRODUCT(Table4[Probability]*Table4[Rev. Based on PROB]*(Table4[Installation]=$B19)*(Table4[Projected 
Year]=BH$1)*(Table4[Projected 
Month]=BH$2))/MAX(1,SUMPRODUCT(Table4[Rev. Based on PROB]*(Table4[Installation]=$B19)*(Table4[Projected 
Year]=BH$1)*(Table4[Projected 
Month]=BH$2)))</f>
        <v>0</v>
      </c>
      <c r="BJ19" s="160">
        <f>SUMPRODUCT(Table4[Rev. Based on PROB]*Table4[Expected CMR]*(Table4[Projected 
Year]=BH$1)*(Table4[Projected 
Month]=BH$2)*(Table4[Installation]=$B19))/MAX(1,BH19)</f>
        <v>0</v>
      </c>
      <c r="BK19" s="27">
        <f>SUMIFS(Table47[Rev. Based on PROB],Table47[Installation],$B19,Table47[Projected 
Year],BK$1,Table47[Monthly revenue],BK$2)</f>
        <v>0</v>
      </c>
      <c r="BL19" s="159">
        <f>SUMPRODUCT(Table4[Probability]*Table4[Rev. Based on PROB]*(Table4[Installation]=$B19)*(Table4[Projected 
Year]=BK$1)*(Table4[Projected 
Month]=BK$2))/MAX(1,SUMPRODUCT(Table4[Rev. Based on PROB]*(Table4[Installation]=$B19)*(Table4[Projected 
Year]=BK$1)*(Table4[Projected 
Month]=BK$2)))</f>
        <v>0</v>
      </c>
      <c r="BM19" s="160">
        <f>SUMPRODUCT(Table4[Rev. Based on PROB]*Table4[Expected CMR]*(Table4[Projected 
Year]=BK$1)*(Table4[Projected 
Month]=BK$2)*(Table4[Installation]=$B19))/MAX(1,BK19)</f>
        <v>0</v>
      </c>
      <c r="BN19" s="27">
        <f>SUMIFS(Table47[Rev. Based on PROB],Table47[Installation],$B19,Table47[Projected 
Year],BN$1,Table47[Monthly revenue],BN$2)</f>
        <v>0</v>
      </c>
      <c r="BO19" s="159">
        <f>SUMPRODUCT(Table4[Probability]*Table4[Rev. Based on PROB]*(Table4[Installation]=$B19)*(Table4[Projected 
Year]=BN$1)*(Table4[Projected 
Month]=BN$2))/MAX(1,SUMPRODUCT(Table4[Rev. Based on PROB]*(Table4[Installation]=$B19)*(Table4[Projected 
Year]=BN$1)*(Table4[Projected 
Month]=BN$2)))</f>
        <v>0</v>
      </c>
      <c r="BP19" s="160">
        <f>SUMPRODUCT(Table4[Rev. Based on PROB]*Table4[Expected CMR]*(Table4[Projected 
Year]=BN$1)*(Table4[Projected 
Month]=BN$2)*(Table4[Installation]=$B19))/MAX(1,BN19)</f>
        <v>0</v>
      </c>
      <c r="BQ19" s="27">
        <f>SUMIFS(Table47[Rev. Based on PROB],Table47[Installation],$B19,Table47[Projected 
Year],BQ$1,Table47[Monthly revenue],BQ$2)</f>
        <v>0</v>
      </c>
      <c r="BR19" s="159">
        <f>SUMPRODUCT(Table4[Probability]*Table4[Rev. Based on PROB]*(Table4[Installation]=$B19)*(Table4[Projected 
Year]=BQ$1)*(Table4[Projected 
Month]=BQ$2))/MAX(1,SUMPRODUCT(Table4[Rev. Based on PROB]*(Table4[Installation]=$B19)*(Table4[Projected 
Year]=BQ$1)*(Table4[Projected 
Month]=BQ$2)))</f>
        <v>0</v>
      </c>
      <c r="BS19" s="160">
        <f>SUMPRODUCT(Table4[Rev. Based on PROB]*Table4[Expected CMR]*(Table4[Projected 
Year]=BQ$1)*(Table4[Projected 
Month]=BQ$2)*(Table4[Installation]=$B19))/MAX(1,BQ19)</f>
        <v>0</v>
      </c>
      <c r="BT19" s="27">
        <f>SUMIFS(Table47[Rev. Based on PROB],Table47[Installation],$B19,Table47[Projected 
Year],BT$1,Table47[Monthly revenue],BT$2)</f>
        <v>0</v>
      </c>
      <c r="BU19" s="159">
        <f>SUMPRODUCT(Table4[Probability]*Table4[Rev. Based on PROB]*(Table4[Installation]=$B19)*(Table4[Projected 
Year]=BT$1)*(Table4[Projected 
Month]=BT$2))/MAX(1,SUMPRODUCT(Table4[Rev. Based on PROB]*(Table4[Installation]=$B19)*(Table4[Projected 
Year]=BT$1)*(Table4[Projected 
Month]=BT$2)))</f>
        <v>0</v>
      </c>
      <c r="BV19" s="160">
        <f>SUMPRODUCT(Table4[Rev. Based on PROB]*Table4[Expected CMR]*(Table4[Projected 
Year]=BT$1)*(Table4[Projected 
Month]=BT$2)*(Table4[Installation]=$B19))/MAX(1,BT19)</f>
        <v>0</v>
      </c>
      <c r="BW19" s="27">
        <f>SUMIFS(Table47[Rev. Based on PROB],Table47[Installation],$B19,Table47[Projected 
Year],BW$1,Table47[Monthly revenue],BW$2)</f>
        <v>0</v>
      </c>
      <c r="BX19" s="159">
        <f>SUMPRODUCT(Table4[Probability]*Table4[Rev. Based on PROB]*(Table4[Installation]=$B19)*(Table4[Projected 
Year]=BW$1)*(Table4[Projected 
Month]=BW$2))/MAX(1,SUMPRODUCT(Table4[Rev. Based on PROB]*(Table4[Installation]=$B19)*(Table4[Projected 
Year]=BW$1)*(Table4[Projected 
Month]=BW$2)))</f>
        <v>0</v>
      </c>
      <c r="BY19" s="160">
        <f>SUMPRODUCT(Table4[Rev. Based on PROB]*Table4[Expected CMR]*(Table4[Projected 
Year]=BW$1)*(Table4[Projected 
Month]=BW$2)*(Table4[Installation]=$B19))/MAX(1,BW19)</f>
        <v>0</v>
      </c>
      <c r="BZ19" s="200"/>
      <c r="CA19" s="200"/>
      <c r="CB19" s="200"/>
      <c r="CC19" s="200"/>
      <c r="CD19" s="200"/>
      <c r="CE19" s="200"/>
      <c r="CF19" s="200"/>
      <c r="CG19" s="200"/>
      <c r="CH19" s="200"/>
      <c r="CI19" s="200"/>
      <c r="CJ19" s="200"/>
      <c r="CK19" s="200"/>
      <c r="CL19" s="200"/>
      <c r="CM19" s="200"/>
      <c r="CN19" s="200"/>
      <c r="CO19" s="200"/>
      <c r="CP19" s="200"/>
      <c r="CQ19" s="200"/>
      <c r="CR19" s="200"/>
      <c r="CS19" s="200"/>
      <c r="CT19" s="200"/>
      <c r="CU19" s="30">
        <f t="shared" si="0"/>
        <v>50000</v>
      </c>
      <c r="CV19" s="52">
        <f t="shared" si="4"/>
        <v>0</v>
      </c>
      <c r="CW19" s="53">
        <f t="shared" si="5"/>
        <v>0</v>
      </c>
      <c r="CX19" s="29"/>
    </row>
    <row r="20" spans="1:103">
      <c r="A20" s="18"/>
      <c r="B20" s="20" t="s">
        <v>313</v>
      </c>
      <c r="C20" s="27">
        <f>SUMIFS(Table4[Rev. Based on PROB],Table4[Installation],$B20,Table4[Projected 
Year],C$1,Table4[Projected 
Month],C$2)</f>
        <v>0</v>
      </c>
      <c r="D20" s="159">
        <f>SUMPRODUCT(Table4[Probability]*Table4[Rev. Based on PROB]*(Table4[Installation]=$B20)*(Table4[Projected 
Year]=C$1)*(Table4[Projected 
Month]=C$2))/MAX(1,SUMPRODUCT(Table4[Rev. Based on PROB]*(Table4[Installation]=$B20)*(Table4[Projected 
Year]=C$1)*(Table4[Projected 
Month]=C$2)))</f>
        <v>0</v>
      </c>
      <c r="E20" s="160">
        <f>SUMPRODUCT(Table4[Rev. Based on PROB]*Table4[Expected CMR]*(Table4[Projected 
Year]=C$1)*(Table4[Projected 
Month]=C$2)*(Table4[Installation]=$B20))/MAX(1,C20)</f>
        <v>0</v>
      </c>
      <c r="F20" s="27">
        <f>SUMIFS(Table4[Rev. Based on PROB],Table4[Installation],$B20,Table4[Projected 
Year],F$1,Table4[Projected 
Month],F$2)</f>
        <v>0</v>
      </c>
      <c r="G20" s="159">
        <f>SUMPRODUCT(Table4[Probability]*Table4[Rev. Based on PROB]*(Table4[Installation]=$B20)*(Table4[Projected 
Year]=F$1)*(Table4[Projected 
Month]=F$2))/MAX(1,SUMPRODUCT(Table4[Rev. Based on PROB]*(Table4[Installation]=$B20)*(Table4[Projected 
Year]=F$1)*(Table4[Projected 
Month]=F$2)))</f>
        <v>0</v>
      </c>
      <c r="H20" s="160">
        <f>SUMPRODUCT(Table4[Rev. Based on PROB]*Table4[Expected CMR]*(Table4[Projected 
Year]=F$1)*(Table4[Projected 
Month]=F$2)*(Table4[Installation]=$B20))/MAX(1,F20)</f>
        <v>0</v>
      </c>
      <c r="I20" s="27">
        <f>SUMIFS(Table4[Rev. Based on PROB],Table4[Installation],$B20,Table4[Projected 
Year],I$1,Table4[Projected 
Month],I$2)</f>
        <v>0</v>
      </c>
      <c r="J20" s="159">
        <f>SUMPRODUCT(Table4[Probability]*Table4[Rev. Based on PROB]*(Table4[Installation]=$B20)*(Table4[Projected 
Year]=I$1)*(Table4[Projected 
Month]=I$2))/MAX(1,SUMPRODUCT(Table4[Rev. Based on PROB]*(Table4[Installation]=$B20)*(Table4[Projected 
Year]=I$1)*(Table4[Projected 
Month]=I$2)))</f>
        <v>0</v>
      </c>
      <c r="K20" s="160">
        <f>SUMPRODUCT(Table4[Rev. Based on PROB]*Table4[Expected CMR]*(Table4[Projected 
Year]=I$1)*(Table4[Projected 
Month]=I$2)*(Table4[Installation]=$B20))/MAX(1,I20)</f>
        <v>0</v>
      </c>
      <c r="L20" s="27">
        <f>SUMIFS(Table4[Rev. Based on PROB],Table4[Installation],$B20,Table4[Projected 
Year],L$1,Table4[Projected 
Month],L$2)</f>
        <v>0</v>
      </c>
      <c r="M20" s="159">
        <f>SUMPRODUCT(Table4[Probability]*Table4[Rev. Based on PROB]*(Table4[Installation]=$B20)*(Table4[Projected 
Year]=L$1)*(Table4[Projected 
Month]=L$2))/MAX(1,SUMPRODUCT(Table4[Rev. Based on PROB]*(Table4[Installation]=$B20)*(Table4[Projected 
Year]=L$1)*(Table4[Projected 
Month]=L$2)))</f>
        <v>0</v>
      </c>
      <c r="N20" s="160">
        <f>SUMPRODUCT(Table4[Rev. Based on PROB]*Table4[Expected CMR]*(Table4[Projected 
Year]=L$1)*(Table4[Projected 
Month]=L$2)*(Table4[Installation]=$B20))/MAX(1,L20)</f>
        <v>0</v>
      </c>
      <c r="O20" s="27">
        <f>SUMIFS(Table4[Rev. Based on PROB],Table4[Installation],$B20,Table4[Projected 
Year],O$1,Table4[Projected 
Month],O$2)</f>
        <v>0</v>
      </c>
      <c r="P20" s="159">
        <f>SUMPRODUCT(Table4[Probability]*Table4[Rev. Based on PROB]*(Table4[Installation]=$B20)*(Table4[Projected 
Year]=O$1)*(Table4[Projected 
Month]=O$2))/MAX(1,SUMPRODUCT(Table4[Rev. Based on PROB]*(Table4[Installation]=$B20)*(Table4[Projected 
Year]=O$1)*(Table4[Projected 
Month]=O$2)))</f>
        <v>0</v>
      </c>
      <c r="Q20" s="160">
        <f>SUMPRODUCT(Table4[Rev. Based on PROB]*Table4[Expected CMR]*(Table4[Projected 
Year]=O$1)*(Table4[Projected 
Month]=O$2)*(Table4[Installation]=$B20))/MAX(1,O20)</f>
        <v>0</v>
      </c>
      <c r="R20" s="27">
        <f>SUMIFS(Table4[Rev. Based on PROB],Table4[Installation],$B20,Table4[Projected 
Year],R$1,Table4[Projected 
Month],R$2)</f>
        <v>0</v>
      </c>
      <c r="S20" s="159">
        <f>SUMPRODUCT(Table4[Probability]*Table4[Rev. Based on PROB]*(Table4[Installation]=$B20)*(Table4[Projected 
Year]=R$1)*(Table4[Projected 
Month]=R$2))/MAX(1,SUMPRODUCT(Table4[Rev. Based on PROB]*(Table4[Installation]=$B20)*(Table4[Projected 
Year]=R$1)*(Table4[Projected 
Month]=R$2)))</f>
        <v>0</v>
      </c>
      <c r="T20" s="160">
        <f>SUMPRODUCT(Table4[Rev. Based on PROB]*Table4[Expected CMR]*(Table4[Projected 
Year]=R$1)*(Table4[Projected 
Month]=R$2)*(Table4[Installation]=$B20))/MAX(1,R20)</f>
        <v>0</v>
      </c>
      <c r="U20" s="27">
        <f>SUMIFS(Table4[Rev. Based on PROB],Table4[Installation],$B20,Table4[Projected 
Year],U$1,Table4[Projected 
Month],U$2)</f>
        <v>0</v>
      </c>
      <c r="V20" s="159">
        <f>SUMPRODUCT(Table4[Probability]*Table4[Rev. Based on PROB]*(Table4[Installation]=$B20)*(Table4[Projected 
Year]=U$1)*(Table4[Projected 
Month]=U$2))/MAX(1,SUMPRODUCT(Table4[Rev. Based on PROB]*(Table4[Installation]=$B20)*(Table4[Projected 
Year]=U$1)*(Table4[Projected 
Month]=U$2)))</f>
        <v>0</v>
      </c>
      <c r="W20" s="160">
        <f>SUMPRODUCT(Table4[Rev. Based on PROB]*Table4[Expected CMR]*(Table4[Projected 
Year]=U$1)*(Table4[Projected 
Month]=U$2)*(Table4[Installation]=$B20))/MAX(1,U20)</f>
        <v>0</v>
      </c>
      <c r="X20" s="27">
        <f>SUMIFS(Table4[Rev. Based on PROB],Table4[Installation],$B20,Table4[Projected 
Year],X$1,Table4[Projected 
Month],X$2)</f>
        <v>0</v>
      </c>
      <c r="Y20" s="159">
        <f>SUMPRODUCT(Table4[Probability]*Table4[Rev. Based on PROB]*(Table4[Installation]=$B20)*(Table4[Projected 
Year]=X$1)*(Table4[Projected 
Month]=X$2))/MAX(1,SUMPRODUCT(Table4[Rev. Based on PROB]*(Table4[Installation]=$B20)*(Table4[Projected 
Year]=X$1)*(Table4[Projected 
Month]=X$2)))</f>
        <v>0</v>
      </c>
      <c r="Z20" s="160">
        <f>SUMPRODUCT(Table4[Rev. Based on PROB]*Table4[Expected CMR]*(Table4[Projected 
Year]=X$1)*(Table4[Projected 
Month]=X$2)*(Table4[Installation]=$B20))/MAX(1,X20)</f>
        <v>0</v>
      </c>
      <c r="AA20" s="27">
        <f>SUMIFS(Table4[Rev. Based on PROB],Table4[Installation],$B20,Table4[Projected 
Year],AA$1,Table4[Projected 
Month],AA$2)</f>
        <v>0</v>
      </c>
      <c r="AB20" s="159">
        <f>SUMPRODUCT(Table4[Probability]*Table4[Rev. Based on PROB]*(Table4[Installation]=$B20)*(Table4[Projected 
Year]=AA$1)*(Table4[Projected 
Month]=AA$2))/MAX(1,SUMPRODUCT(Table4[Rev. Based on PROB]*(Table4[Installation]=$B20)*(Table4[Projected 
Year]=AA$1)*(Table4[Projected 
Month]=AA$2)))</f>
        <v>0</v>
      </c>
      <c r="AC20" s="160">
        <f>SUMPRODUCT(Table4[Rev. Based on PROB]*Table4[Expected CMR]*(Table4[Projected 
Year]=AA$1)*(Table4[Projected 
Month]=AA$2)*(Table4[Installation]=$B20))/MAX(1,AA20)</f>
        <v>0</v>
      </c>
      <c r="AD20" s="27">
        <f>SUMIFS(Table4[Rev. Based on PROB],Table4[Installation],$B20,Table4[Projected 
Year],AD$1,Table4[Projected 
Month],AD$2)</f>
        <v>0</v>
      </c>
      <c r="AE20" s="159">
        <f>SUMPRODUCT(Table4[Probability]*Table4[Rev. Based on PROB]*(Table4[Installation]=$B20)*(Table4[Projected 
Year]=AD$1)*(Table4[Projected 
Month]=AD$2))/MAX(1,SUMPRODUCT(Table4[Rev. Based on PROB]*(Table4[Installation]=$B20)*(Table4[Projected 
Year]=AD$1)*(Table4[Projected 
Month]=AD$2)))</f>
        <v>0</v>
      </c>
      <c r="AF20" s="160">
        <f>SUMPRODUCT(Table4[Rev. Based on PROB]*Table4[Expected CMR]*(Table4[Projected 
Year]=AD$1)*(Table4[Projected 
Month]=AD$2)*(Table4[Installation]=$B20))/MAX(1,AD20)</f>
        <v>0</v>
      </c>
      <c r="AG20" s="27">
        <f>SUMIFS(Table4[Rev. Based on PROB],Table4[Installation],$B20,Table4[Projected 
Year],AG$1,Table4[Projected 
Month],AG$2)</f>
        <v>0</v>
      </c>
      <c r="AH20" s="159">
        <f>SUMPRODUCT(Table4[Probability]*Table4[Rev. Based on PROB]*(Table4[Installation]=$B20)*(Table4[Projected 
Year]=AG$1)*(Table4[Projected 
Month]=AG$2))/MAX(1,SUMPRODUCT(Table4[Rev. Based on PROB]*(Table4[Installation]=$B20)*(Table4[Projected 
Year]=AG$1)*(Table4[Projected 
Month]=AG$2)))</f>
        <v>0</v>
      </c>
      <c r="AI20" s="160">
        <f>SUMPRODUCT(Table4[Rev. Based on PROB]*Table4[Expected CMR]*(Table4[Projected 
Year]=AG$1)*(Table4[Projected 
Month]=AG$2)*(Table4[Installation]=$B20))/MAX(1,AG20)</f>
        <v>0</v>
      </c>
      <c r="AJ20" s="27">
        <f>SUMIFS(Table4[Rev. Based on PROB],Table4[Installation],$B20,Table4[Projected 
Year],AJ$1,Table4[Projected 
Month],AJ$2)</f>
        <v>0</v>
      </c>
      <c r="AK20" s="159">
        <f>SUMPRODUCT(Table4[Probability]*Table4[Rev. Based on PROB]*(Table4[Installation]=$B20)*(Table4[Projected 
Year]=AJ$1)*(Table4[Projected 
Month]=AJ$2))/MAX(1,SUMPRODUCT(Table4[Rev. Based on PROB]*(Table4[Installation]=$B20)*(Table4[Projected 
Year]=AJ$1)*(Table4[Projected 
Month]=AJ$2)))</f>
        <v>0</v>
      </c>
      <c r="AL20" s="160">
        <f>SUMPRODUCT(Table4[Rev. Based on PROB]*Table4[Expected CMR]*(Table4[Projected 
Year]=AJ$1)*(Table4[Projected 
Month]=AJ$2)*(Table4[Installation]=$B20))/MAX(1,AJ20)</f>
        <v>0</v>
      </c>
      <c r="AM20" s="30">
        <f t="shared" si="1"/>
        <v>0</v>
      </c>
      <c r="AN20" s="52">
        <f t="shared" si="2"/>
        <v>0</v>
      </c>
      <c r="AO20" s="53">
        <f t="shared" si="3"/>
        <v>0</v>
      </c>
      <c r="AP20" s="27">
        <f>SUMIFS(Table47[Rev. Based on PROB],Table47[Installation],$B20,Table47[Projected 
Year],AP$1,Table47[Monthly revenue],AP$2)</f>
        <v>0</v>
      </c>
      <c r="AQ20" s="159">
        <f>SUMPRODUCT(Table4[Probability]*Table4[Rev. Based on PROB]*(Table4[Installation]=$B20)*(Table4[Projected 
Year]=AP$1)*(Table4[Projected 
Month]=AP$2))/MAX(1,SUMPRODUCT(Table4[Rev. Based on PROB]*(Table4[Installation]=$B20)*(Table4[Projected 
Year]=AP$1)*(Table4[Projected 
Month]=AP$2)))</f>
        <v>0</v>
      </c>
      <c r="AR20" s="160">
        <f>SUMPRODUCT(Table4[Rev. Based on PROB]*Table4[Expected CMR]*(Table4[Projected 
Year]=AP$1)*(Table4[Projected 
Month]=AP$2)*(Table4[Installation]=$B20))/MAX(1,AP20)</f>
        <v>0</v>
      </c>
      <c r="AS20" s="27">
        <f>SUMIFS(Table47[Rev. Based on PROB],Table47[Installation],$B20,Table47[Projected 
Year],AS$1,Table47[Monthly revenue],AS$2)</f>
        <v>0</v>
      </c>
      <c r="AT20" s="159">
        <f>SUMPRODUCT(Table4[Probability]*Table4[Rev. Based on PROB]*(Table4[Installation]=$B20)*(Table4[Projected 
Year]=AS$1)*(Table4[Projected 
Month]=AS$2))/MAX(1,SUMPRODUCT(Table4[Rev. Based on PROB]*(Table4[Installation]=$B20)*(Table4[Projected 
Year]=AS$1)*(Table4[Projected 
Month]=AS$2)))</f>
        <v>0</v>
      </c>
      <c r="AU20" s="160">
        <f>SUMPRODUCT(Table4[Rev. Based on PROB]*Table4[Expected CMR]*(Table4[Projected 
Year]=AS$1)*(Table4[Projected 
Month]=AS$2)*(Table4[Installation]=$B20))/MAX(1,AS20)</f>
        <v>0</v>
      </c>
      <c r="AV20" s="27">
        <f>SUMIFS(Table47[Rev. Based on PROB],Table47[Installation],$B20,Table47[Projected 
Year],AV$1,Table47[Monthly revenue],AV$2)</f>
        <v>0</v>
      </c>
      <c r="AW20" s="159">
        <f>SUMPRODUCT(Table4[Probability]*Table4[Rev. Based on PROB]*(Table4[Installation]=$B20)*(Table4[Projected 
Year]=AV$1)*(Table4[Projected 
Month]=AV$2))/MAX(1,SUMPRODUCT(Table4[Rev. Based on PROB]*(Table4[Installation]=$B20)*(Table4[Projected 
Year]=AV$1)*(Table4[Projected 
Month]=AV$2)))</f>
        <v>0</v>
      </c>
      <c r="AX20" s="160">
        <f>SUMPRODUCT(Table4[Rev. Based on PROB]*Table4[Expected CMR]*(Table4[Projected 
Year]=AV$1)*(Table4[Projected 
Month]=AV$2)*(Table4[Installation]=$B20))/MAX(1,AV20)</f>
        <v>0</v>
      </c>
      <c r="AY20" s="27">
        <f>SUMIFS(Table47[Rev. Based on PROB],Table47[Installation],$B20,Table47[Projected 
Year],AY$1,Table47[Monthly revenue],AY$2)</f>
        <v>0</v>
      </c>
      <c r="AZ20" s="159">
        <f>SUMPRODUCT(Table4[Probability]*Table4[Rev. Based on PROB]*(Table4[Installation]=$B20)*(Table4[Projected 
Year]=AY$1)*(Table4[Projected 
Month]=AY$2))/MAX(1,SUMPRODUCT(Table4[Rev. Based on PROB]*(Table4[Installation]=$B20)*(Table4[Projected 
Year]=AY$1)*(Table4[Projected 
Month]=AY$2)))</f>
        <v>0</v>
      </c>
      <c r="BA20" s="160">
        <f>SUMPRODUCT(Table4[Rev. Based on PROB]*Table4[Expected CMR]*(Table4[Projected 
Year]=AY$1)*(Table4[Projected 
Month]=AY$2)*(Table4[Installation]=$B20))/MAX(1,AY20)</f>
        <v>0</v>
      </c>
      <c r="BB20" s="27">
        <f>SUMIFS(Table47[Rev. Based on PROB],Table47[Installation],$B20,Table47[Projected 
Year],BB$1,Table47[Monthly revenue],BB$2)</f>
        <v>0</v>
      </c>
      <c r="BC20" s="159">
        <f>SUMPRODUCT(Table4[Probability]*Table4[Rev. Based on PROB]*(Table4[Installation]=$B20)*(Table4[Projected 
Year]=BB$1)*(Table4[Projected 
Month]=BB$2))/MAX(1,SUMPRODUCT(Table4[Rev. Based on PROB]*(Table4[Installation]=$B20)*(Table4[Projected 
Year]=BB$1)*(Table4[Projected 
Month]=BB$2)))</f>
        <v>0</v>
      </c>
      <c r="BD20" s="160">
        <f>SUMPRODUCT(Table4[Rev. Based on PROB]*Table4[Expected CMR]*(Table4[Projected 
Year]=BB$1)*(Table4[Projected 
Month]=BB$2)*(Table4[Installation]=$B20))/MAX(1,BB20)</f>
        <v>0</v>
      </c>
      <c r="BE20" s="27">
        <f>SUMIFS(Table47[Rev. Based on PROB],Table47[Installation],$B20,Table47[Projected 
Year],BE$1,Table47[Monthly revenue],BE$2)</f>
        <v>0</v>
      </c>
      <c r="BF20" s="159">
        <f>SUMPRODUCT(Table4[Probability]*Table4[Rev. Based on PROB]*(Table4[Installation]=$B20)*(Table4[Projected 
Year]=BE$1)*(Table4[Projected 
Month]=BE$2))/MAX(1,SUMPRODUCT(Table4[Rev. Based on PROB]*(Table4[Installation]=$B20)*(Table4[Projected 
Year]=BE$1)*(Table4[Projected 
Month]=BE$2)))</f>
        <v>0</v>
      </c>
      <c r="BG20" s="160">
        <f>SUMPRODUCT(Table4[Rev. Based on PROB]*Table4[Expected CMR]*(Table4[Projected 
Year]=BE$1)*(Table4[Projected 
Month]=BE$2)*(Table4[Installation]=$B20))/MAX(1,BE20)</f>
        <v>0</v>
      </c>
      <c r="BH20" s="27">
        <f>SUMIFS(Table47[Rev. Based on PROB],Table47[Installation],$B20,Table47[Projected 
Year],BH$1,Table47[Monthly revenue],BH$2)</f>
        <v>0</v>
      </c>
      <c r="BI20" s="159">
        <f>SUMPRODUCT(Table4[Probability]*Table4[Rev. Based on PROB]*(Table4[Installation]=$B20)*(Table4[Projected 
Year]=BH$1)*(Table4[Projected 
Month]=BH$2))/MAX(1,SUMPRODUCT(Table4[Rev. Based on PROB]*(Table4[Installation]=$B20)*(Table4[Projected 
Year]=BH$1)*(Table4[Projected 
Month]=BH$2)))</f>
        <v>0</v>
      </c>
      <c r="BJ20" s="160">
        <f>SUMPRODUCT(Table4[Rev. Based on PROB]*Table4[Expected CMR]*(Table4[Projected 
Year]=BH$1)*(Table4[Projected 
Month]=BH$2)*(Table4[Installation]=$B20))/MAX(1,BH20)</f>
        <v>0</v>
      </c>
      <c r="BK20" s="27">
        <f>SUMIFS(Table47[Rev. Based on PROB],Table47[Installation],$B20,Table47[Projected 
Year],BK$1,Table47[Monthly revenue],BK$2)</f>
        <v>0</v>
      </c>
      <c r="BL20" s="159">
        <f>SUMPRODUCT(Table4[Probability]*Table4[Rev. Based on PROB]*(Table4[Installation]=$B20)*(Table4[Projected 
Year]=BK$1)*(Table4[Projected 
Month]=BK$2))/MAX(1,SUMPRODUCT(Table4[Rev. Based on PROB]*(Table4[Installation]=$B20)*(Table4[Projected 
Year]=BK$1)*(Table4[Projected 
Month]=BK$2)))</f>
        <v>0</v>
      </c>
      <c r="BM20" s="160">
        <f>SUMPRODUCT(Table4[Rev. Based on PROB]*Table4[Expected CMR]*(Table4[Projected 
Year]=BK$1)*(Table4[Projected 
Month]=BK$2)*(Table4[Installation]=$B20))/MAX(1,BK20)</f>
        <v>0</v>
      </c>
      <c r="BN20" s="27">
        <f>SUMIFS(Table47[Rev. Based on PROB],Table47[Installation],$B20,Table47[Projected 
Year],BN$1,Table47[Monthly revenue],BN$2)</f>
        <v>0</v>
      </c>
      <c r="BO20" s="159">
        <f>SUMPRODUCT(Table4[Probability]*Table4[Rev. Based on PROB]*(Table4[Installation]=$B20)*(Table4[Projected 
Year]=BN$1)*(Table4[Projected 
Month]=BN$2))/MAX(1,SUMPRODUCT(Table4[Rev. Based on PROB]*(Table4[Installation]=$B20)*(Table4[Projected 
Year]=BN$1)*(Table4[Projected 
Month]=BN$2)))</f>
        <v>0</v>
      </c>
      <c r="BP20" s="160">
        <f>SUMPRODUCT(Table4[Rev. Based on PROB]*Table4[Expected CMR]*(Table4[Projected 
Year]=BN$1)*(Table4[Projected 
Month]=BN$2)*(Table4[Installation]=$B20))/MAX(1,BN20)</f>
        <v>0</v>
      </c>
      <c r="BQ20" s="27">
        <f>SUMIFS(Table47[Rev. Based on PROB],Table47[Installation],$B20,Table47[Projected 
Year],BQ$1,Table47[Monthly revenue],BQ$2)</f>
        <v>0</v>
      </c>
      <c r="BR20" s="159">
        <f>SUMPRODUCT(Table4[Probability]*Table4[Rev. Based on PROB]*(Table4[Installation]=$B20)*(Table4[Projected 
Year]=BQ$1)*(Table4[Projected 
Month]=BQ$2))/MAX(1,SUMPRODUCT(Table4[Rev. Based on PROB]*(Table4[Installation]=$B20)*(Table4[Projected 
Year]=BQ$1)*(Table4[Projected 
Month]=BQ$2)))</f>
        <v>0</v>
      </c>
      <c r="BS20" s="160">
        <f>SUMPRODUCT(Table4[Rev. Based on PROB]*Table4[Expected CMR]*(Table4[Projected 
Year]=BQ$1)*(Table4[Projected 
Month]=BQ$2)*(Table4[Installation]=$B20))/MAX(1,BQ20)</f>
        <v>0</v>
      </c>
      <c r="BT20" s="27">
        <f>SUMIFS(Table47[Rev. Based on PROB],Table47[Installation],$B20,Table47[Projected 
Year],BT$1,Table47[Monthly revenue],BT$2)</f>
        <v>0</v>
      </c>
      <c r="BU20" s="159">
        <f>SUMPRODUCT(Table4[Probability]*Table4[Rev. Based on PROB]*(Table4[Installation]=$B20)*(Table4[Projected 
Year]=BT$1)*(Table4[Projected 
Month]=BT$2))/MAX(1,SUMPRODUCT(Table4[Rev. Based on PROB]*(Table4[Installation]=$B20)*(Table4[Projected 
Year]=BT$1)*(Table4[Projected 
Month]=BT$2)))</f>
        <v>0</v>
      </c>
      <c r="BV20" s="160">
        <f>SUMPRODUCT(Table4[Rev. Based on PROB]*Table4[Expected CMR]*(Table4[Projected 
Year]=BT$1)*(Table4[Projected 
Month]=BT$2)*(Table4[Installation]=$B20))/MAX(1,BT20)</f>
        <v>0</v>
      </c>
      <c r="BW20" s="27">
        <f>SUMIFS(Table47[Rev. Based on PROB],Table47[Installation],$B20,Table47[Projected 
Year],BW$1,Table47[Monthly revenue],BW$2)</f>
        <v>0</v>
      </c>
      <c r="BX20" s="159">
        <f>SUMPRODUCT(Table4[Probability]*Table4[Rev. Based on PROB]*(Table4[Installation]=$B20)*(Table4[Projected 
Year]=BW$1)*(Table4[Projected 
Month]=BW$2))/MAX(1,SUMPRODUCT(Table4[Rev. Based on PROB]*(Table4[Installation]=$B20)*(Table4[Projected 
Year]=BW$1)*(Table4[Projected 
Month]=BW$2)))</f>
        <v>0</v>
      </c>
      <c r="BY20" s="160">
        <f>SUMPRODUCT(Table4[Rev. Based on PROB]*Table4[Expected CMR]*(Table4[Projected 
Year]=BW$1)*(Table4[Projected 
Month]=BW$2)*(Table4[Installation]=$B20))/MAX(1,BW20)</f>
        <v>0</v>
      </c>
      <c r="BZ20" s="200"/>
      <c r="CA20" s="200"/>
      <c r="CB20" s="200"/>
      <c r="CC20" s="200"/>
      <c r="CD20" s="200"/>
      <c r="CE20" s="200"/>
      <c r="CF20" s="200"/>
      <c r="CG20" s="200"/>
      <c r="CH20" s="200"/>
      <c r="CI20" s="200"/>
      <c r="CJ20" s="200"/>
      <c r="CK20" s="200"/>
      <c r="CL20" s="200"/>
      <c r="CM20" s="200"/>
      <c r="CN20" s="200"/>
      <c r="CO20" s="200"/>
      <c r="CP20" s="200"/>
      <c r="CQ20" s="200"/>
      <c r="CR20" s="200"/>
      <c r="CS20" s="200"/>
      <c r="CT20" s="200"/>
      <c r="CU20" s="30">
        <f t="shared" si="0"/>
        <v>0</v>
      </c>
      <c r="CV20" s="52">
        <f t="shared" si="4"/>
        <v>0</v>
      </c>
      <c r="CW20" s="53">
        <f t="shared" si="5"/>
        <v>0</v>
      </c>
      <c r="CX20" s="29"/>
    </row>
    <row r="21" spans="1:103">
      <c r="A21" s="18" t="s">
        <v>283</v>
      </c>
      <c r="B21" s="20" t="s">
        <v>189</v>
      </c>
      <c r="C21" s="27">
        <f>SUMIFS(Table4[Rev. Based on PROB],Table4[Installation],$B21,Table4[Projected 
Year],C$1,Table4[Projected 
Month],C$2)</f>
        <v>0</v>
      </c>
      <c r="D21" s="159">
        <f>SUMPRODUCT(Table4[Probability]*Table4[Rev. Based on PROB]*(Table4[Installation]=$B21)*(Table4[Projected 
Year]=C$1)*(Table4[Projected 
Month]=C$2))/MAX(1,SUMPRODUCT(Table4[Rev. Based on PROB]*(Table4[Installation]=$B21)*(Table4[Projected 
Year]=C$1)*(Table4[Projected 
Month]=C$2)))</f>
        <v>0</v>
      </c>
      <c r="E21" s="160">
        <f>SUMPRODUCT(Table4[Rev. Based on PROB]*Table4[Expected CMR]*(Table4[Projected 
Year]=C$1)*(Table4[Projected 
Month]=C$2)*(Table4[Installation]=$B21))/MAX(1,C21)</f>
        <v>0</v>
      </c>
      <c r="F21" s="27">
        <f>SUMIFS(Table4[Rev. Based on PROB],Table4[Installation],$B21,Table4[Projected 
Year],F$1,Table4[Projected 
Month],F$2)</f>
        <v>0</v>
      </c>
      <c r="G21" s="159">
        <f>SUMPRODUCT(Table4[Probability]*Table4[Rev. Based on PROB]*(Table4[Installation]=$B21)*(Table4[Projected 
Year]=F$1)*(Table4[Projected 
Month]=F$2))/MAX(1,SUMPRODUCT(Table4[Rev. Based on PROB]*(Table4[Installation]=$B21)*(Table4[Projected 
Year]=F$1)*(Table4[Projected 
Month]=F$2)))</f>
        <v>0</v>
      </c>
      <c r="H21" s="160">
        <f>SUMPRODUCT(Table4[Rev. Based on PROB]*Table4[Expected CMR]*(Table4[Projected 
Year]=F$1)*(Table4[Projected 
Month]=F$2)*(Table4[Installation]=$B21))/MAX(1,F21)</f>
        <v>0</v>
      </c>
      <c r="I21" s="27">
        <f>SUMIFS(Table4[Rev. Based on PROB],Table4[Installation],$B21,Table4[Projected 
Year],I$1,Table4[Projected 
Month],I$2)</f>
        <v>0</v>
      </c>
      <c r="J21" s="159">
        <f>SUMPRODUCT(Table4[Probability]*Table4[Rev. Based on PROB]*(Table4[Installation]=$B21)*(Table4[Projected 
Year]=I$1)*(Table4[Projected 
Month]=I$2))/MAX(1,SUMPRODUCT(Table4[Rev. Based on PROB]*(Table4[Installation]=$B21)*(Table4[Projected 
Year]=I$1)*(Table4[Projected 
Month]=I$2)))</f>
        <v>0</v>
      </c>
      <c r="K21" s="160">
        <f>SUMPRODUCT(Table4[Rev. Based on PROB]*Table4[Expected CMR]*(Table4[Projected 
Year]=I$1)*(Table4[Projected 
Month]=I$2)*(Table4[Installation]=$B21))/MAX(1,I21)</f>
        <v>0</v>
      </c>
      <c r="L21" s="27">
        <f>SUMIFS(Table4[Rev. Based on PROB],Table4[Installation],$B21,Table4[Projected 
Year],L$1,Table4[Projected 
Month],L$2)</f>
        <v>0</v>
      </c>
      <c r="M21" s="159">
        <f>SUMPRODUCT(Table4[Probability]*Table4[Rev. Based on PROB]*(Table4[Installation]=$B21)*(Table4[Projected 
Year]=L$1)*(Table4[Projected 
Month]=L$2))/MAX(1,SUMPRODUCT(Table4[Rev. Based on PROB]*(Table4[Installation]=$B21)*(Table4[Projected 
Year]=L$1)*(Table4[Projected 
Month]=L$2)))</f>
        <v>0</v>
      </c>
      <c r="N21" s="160">
        <f>SUMPRODUCT(Table4[Rev. Based on PROB]*Table4[Expected CMR]*(Table4[Projected 
Year]=L$1)*(Table4[Projected 
Month]=L$2)*(Table4[Installation]=$B21))/MAX(1,L21)</f>
        <v>0</v>
      </c>
      <c r="O21" s="27">
        <f>SUMIFS(Table4[Rev. Based on PROB],Table4[Installation],$B21,Table4[Projected 
Year],O$1,Table4[Projected 
Month],O$2)</f>
        <v>0</v>
      </c>
      <c r="P21" s="159">
        <f>SUMPRODUCT(Table4[Probability]*Table4[Rev. Based on PROB]*(Table4[Installation]=$B21)*(Table4[Projected 
Year]=O$1)*(Table4[Projected 
Month]=O$2))/MAX(1,SUMPRODUCT(Table4[Rev. Based on PROB]*(Table4[Installation]=$B21)*(Table4[Projected 
Year]=O$1)*(Table4[Projected 
Month]=O$2)))</f>
        <v>0</v>
      </c>
      <c r="Q21" s="160">
        <f>SUMPRODUCT(Table4[Rev. Based on PROB]*Table4[Expected CMR]*(Table4[Projected 
Year]=O$1)*(Table4[Projected 
Month]=O$2)*(Table4[Installation]=$B21))/MAX(1,O21)</f>
        <v>0</v>
      </c>
      <c r="R21" s="27">
        <f>SUMIFS(Table4[Rev. Based on PROB],Table4[Installation],$B21,Table4[Projected 
Year],R$1,Table4[Projected 
Month],R$2)</f>
        <v>0</v>
      </c>
      <c r="S21" s="159">
        <f>SUMPRODUCT(Table4[Probability]*Table4[Rev. Based on PROB]*(Table4[Installation]=$B21)*(Table4[Projected 
Year]=R$1)*(Table4[Projected 
Month]=R$2))/MAX(1,SUMPRODUCT(Table4[Rev. Based on PROB]*(Table4[Installation]=$B21)*(Table4[Projected 
Year]=R$1)*(Table4[Projected 
Month]=R$2)))</f>
        <v>0</v>
      </c>
      <c r="T21" s="160">
        <f>SUMPRODUCT(Table4[Rev. Based on PROB]*Table4[Expected CMR]*(Table4[Projected 
Year]=R$1)*(Table4[Projected 
Month]=R$2)*(Table4[Installation]=$B21))/MAX(1,R21)</f>
        <v>0</v>
      </c>
      <c r="U21" s="27">
        <f>SUMIFS(Table4[Rev. Based on PROB],Table4[Installation],$B21,Table4[Projected 
Year],U$1,Table4[Projected 
Month],U$2)</f>
        <v>0</v>
      </c>
      <c r="V21" s="159">
        <f>SUMPRODUCT(Table4[Probability]*Table4[Rev. Based on PROB]*(Table4[Installation]=$B21)*(Table4[Projected 
Year]=U$1)*(Table4[Projected 
Month]=U$2))/MAX(1,SUMPRODUCT(Table4[Rev. Based on PROB]*(Table4[Installation]=$B21)*(Table4[Projected 
Year]=U$1)*(Table4[Projected 
Month]=U$2)))</f>
        <v>0</v>
      </c>
      <c r="W21" s="160">
        <f>SUMPRODUCT(Table4[Rev. Based on PROB]*Table4[Expected CMR]*(Table4[Projected 
Year]=U$1)*(Table4[Projected 
Month]=U$2)*(Table4[Installation]=$B21))/MAX(1,U21)</f>
        <v>0</v>
      </c>
      <c r="X21" s="27">
        <f>SUMIFS(Table4[Rev. Based on PROB],Table4[Installation],$B21,Table4[Projected 
Year],X$1,Table4[Projected 
Month],X$2)</f>
        <v>0</v>
      </c>
      <c r="Y21" s="159">
        <f>SUMPRODUCT(Table4[Probability]*Table4[Rev. Based on PROB]*(Table4[Installation]=$B21)*(Table4[Projected 
Year]=X$1)*(Table4[Projected 
Month]=X$2))/MAX(1,SUMPRODUCT(Table4[Rev. Based on PROB]*(Table4[Installation]=$B21)*(Table4[Projected 
Year]=X$1)*(Table4[Projected 
Month]=X$2)))</f>
        <v>0</v>
      </c>
      <c r="Z21" s="160">
        <f>SUMPRODUCT(Table4[Rev. Based on PROB]*Table4[Expected CMR]*(Table4[Projected 
Year]=X$1)*(Table4[Projected 
Month]=X$2)*(Table4[Installation]=$B21))/MAX(1,X21)</f>
        <v>0</v>
      </c>
      <c r="AA21" s="27">
        <f>SUMIFS(Table4[Rev. Based on PROB],Table4[Installation],$B21,Table4[Projected 
Year],AA$1,Table4[Projected 
Month],AA$2)</f>
        <v>0</v>
      </c>
      <c r="AB21" s="159">
        <f>SUMPRODUCT(Table4[Probability]*Table4[Rev. Based on PROB]*(Table4[Installation]=$B21)*(Table4[Projected 
Year]=AA$1)*(Table4[Projected 
Month]=AA$2))/MAX(1,SUMPRODUCT(Table4[Rev. Based on PROB]*(Table4[Installation]=$B21)*(Table4[Projected 
Year]=AA$1)*(Table4[Projected 
Month]=AA$2)))</f>
        <v>0</v>
      </c>
      <c r="AC21" s="160">
        <f>SUMPRODUCT(Table4[Rev. Based on PROB]*Table4[Expected CMR]*(Table4[Projected 
Year]=AA$1)*(Table4[Projected 
Month]=AA$2)*(Table4[Installation]=$B21))/MAX(1,AA21)</f>
        <v>0</v>
      </c>
      <c r="AD21" s="27">
        <f>SUMIFS(Table4[Rev. Based on PROB],Table4[Installation],$B21,Table4[Projected 
Year],AD$1,Table4[Projected 
Month],AD$2)</f>
        <v>0</v>
      </c>
      <c r="AE21" s="159">
        <f>SUMPRODUCT(Table4[Probability]*Table4[Rev. Based on PROB]*(Table4[Installation]=$B21)*(Table4[Projected 
Year]=AD$1)*(Table4[Projected 
Month]=AD$2))/MAX(1,SUMPRODUCT(Table4[Rev. Based on PROB]*(Table4[Installation]=$B21)*(Table4[Projected 
Year]=AD$1)*(Table4[Projected 
Month]=AD$2)))</f>
        <v>0</v>
      </c>
      <c r="AF21" s="160">
        <f>SUMPRODUCT(Table4[Rev. Based on PROB]*Table4[Expected CMR]*(Table4[Projected 
Year]=AD$1)*(Table4[Projected 
Month]=AD$2)*(Table4[Installation]=$B21))/MAX(1,AD21)</f>
        <v>0</v>
      </c>
      <c r="AG21" s="27">
        <f>SUMIFS(Table4[Rev. Based on PROB],Table4[Installation],$B21,Table4[Projected 
Year],AG$1,Table4[Projected 
Month],AG$2)</f>
        <v>0</v>
      </c>
      <c r="AH21" s="159">
        <f>SUMPRODUCT(Table4[Probability]*Table4[Rev. Based on PROB]*(Table4[Installation]=$B21)*(Table4[Projected 
Year]=AG$1)*(Table4[Projected 
Month]=AG$2))/MAX(1,SUMPRODUCT(Table4[Rev. Based on PROB]*(Table4[Installation]=$B21)*(Table4[Projected 
Year]=AG$1)*(Table4[Projected 
Month]=AG$2)))</f>
        <v>0</v>
      </c>
      <c r="AI21" s="160">
        <f>SUMPRODUCT(Table4[Rev. Based on PROB]*Table4[Expected CMR]*(Table4[Projected 
Year]=AG$1)*(Table4[Projected 
Month]=AG$2)*(Table4[Installation]=$B21))/MAX(1,AG21)</f>
        <v>0</v>
      </c>
      <c r="AJ21" s="27">
        <f>SUMIFS(Table4[Rev. Based on PROB],Table4[Installation],$B21,Table4[Projected 
Year],AJ$1,Table4[Projected 
Month],AJ$2)</f>
        <v>0</v>
      </c>
      <c r="AK21" s="159">
        <f>SUMPRODUCT(Table4[Probability]*Table4[Rev. Based on PROB]*(Table4[Installation]=$B21)*(Table4[Projected 
Year]=AJ$1)*(Table4[Projected 
Month]=AJ$2))/MAX(1,SUMPRODUCT(Table4[Rev. Based on PROB]*(Table4[Installation]=$B21)*(Table4[Projected 
Year]=AJ$1)*(Table4[Projected 
Month]=AJ$2)))</f>
        <v>0</v>
      </c>
      <c r="AL21" s="160">
        <f>SUMPRODUCT(Table4[Rev. Based on PROB]*Table4[Expected CMR]*(Table4[Projected 
Year]=AJ$1)*(Table4[Projected 
Month]=AJ$2)*(Table4[Installation]=$B21))/MAX(1,AJ21)</f>
        <v>0</v>
      </c>
      <c r="AM21" s="30">
        <f t="shared" si="1"/>
        <v>0</v>
      </c>
      <c r="AN21" s="52">
        <f t="shared" si="2"/>
        <v>0</v>
      </c>
      <c r="AO21" s="53">
        <f t="shared" si="3"/>
        <v>0</v>
      </c>
      <c r="AP21" s="27">
        <f>SUMIFS(Table47[Rev. Based on PROB],Table47[Installation],$B21,Table47[Projected 
Year],AP$1,Table47[Monthly revenue],AP$2)</f>
        <v>0</v>
      </c>
      <c r="AQ21" s="159">
        <f>SUMPRODUCT(Table4[Probability]*Table4[Rev. Based on PROB]*(Table4[Installation]=$B21)*(Table4[Projected 
Year]=AP$1)*(Table4[Projected 
Month]=AP$2))/MAX(1,SUMPRODUCT(Table4[Rev. Based on PROB]*(Table4[Installation]=$B21)*(Table4[Projected 
Year]=AP$1)*(Table4[Projected 
Month]=AP$2)))</f>
        <v>0</v>
      </c>
      <c r="AR21" s="160">
        <f>SUMPRODUCT(Table4[Rev. Based on PROB]*Table4[Expected CMR]*(Table4[Projected 
Year]=AP$1)*(Table4[Projected 
Month]=AP$2)*(Table4[Installation]=$B21))/MAX(1,AP21)</f>
        <v>0</v>
      </c>
      <c r="AS21" s="27">
        <f>SUMIFS(Table47[Rev. Based on PROB],Table47[Installation],$B21,Table47[Projected 
Year],AS$1,Table47[Monthly revenue],AS$2)</f>
        <v>0</v>
      </c>
      <c r="AT21" s="159">
        <f>SUMPRODUCT(Table4[Probability]*Table4[Rev. Based on PROB]*(Table4[Installation]=$B21)*(Table4[Projected 
Year]=AS$1)*(Table4[Projected 
Month]=AS$2))/MAX(1,SUMPRODUCT(Table4[Rev. Based on PROB]*(Table4[Installation]=$B21)*(Table4[Projected 
Year]=AS$1)*(Table4[Projected 
Month]=AS$2)))</f>
        <v>0</v>
      </c>
      <c r="AU21" s="160">
        <f>SUMPRODUCT(Table4[Rev. Based on PROB]*Table4[Expected CMR]*(Table4[Projected 
Year]=AS$1)*(Table4[Projected 
Month]=AS$2)*(Table4[Installation]=$B21))/MAX(1,AS21)</f>
        <v>0</v>
      </c>
      <c r="AV21" s="27">
        <f>SUMIFS(Table47[Rev. Based on PROB],Table47[Installation],$B21,Table47[Projected 
Year],AV$1,Table47[Monthly revenue],AV$2)</f>
        <v>0</v>
      </c>
      <c r="AW21" s="159">
        <f>SUMPRODUCT(Table4[Probability]*Table4[Rev. Based on PROB]*(Table4[Installation]=$B21)*(Table4[Projected 
Year]=AV$1)*(Table4[Projected 
Month]=AV$2))/MAX(1,SUMPRODUCT(Table4[Rev. Based on PROB]*(Table4[Installation]=$B21)*(Table4[Projected 
Year]=AV$1)*(Table4[Projected 
Month]=AV$2)))</f>
        <v>0</v>
      </c>
      <c r="AX21" s="160">
        <f>SUMPRODUCT(Table4[Rev. Based on PROB]*Table4[Expected CMR]*(Table4[Projected 
Year]=AV$1)*(Table4[Projected 
Month]=AV$2)*(Table4[Installation]=$B21))/MAX(1,AV21)</f>
        <v>0</v>
      </c>
      <c r="AY21" s="27">
        <f>SUMIFS(Table47[Rev. Based on PROB],Table47[Installation],$B21,Table47[Projected 
Year],AY$1,Table47[Monthly revenue],AY$2)</f>
        <v>0</v>
      </c>
      <c r="AZ21" s="159">
        <f>SUMPRODUCT(Table4[Probability]*Table4[Rev. Based on PROB]*(Table4[Installation]=$B21)*(Table4[Projected 
Year]=AY$1)*(Table4[Projected 
Month]=AY$2))/MAX(1,SUMPRODUCT(Table4[Rev. Based on PROB]*(Table4[Installation]=$B21)*(Table4[Projected 
Year]=AY$1)*(Table4[Projected 
Month]=AY$2)))</f>
        <v>0</v>
      </c>
      <c r="BA21" s="160">
        <f>SUMPRODUCT(Table4[Rev. Based on PROB]*Table4[Expected CMR]*(Table4[Projected 
Year]=AY$1)*(Table4[Projected 
Month]=AY$2)*(Table4[Installation]=$B21))/MAX(1,AY21)</f>
        <v>0</v>
      </c>
      <c r="BB21" s="27">
        <f>SUMIFS(Table47[Rev. Based on PROB],Table47[Installation],$B21,Table47[Projected 
Year],BB$1,Table47[Monthly revenue],BB$2)</f>
        <v>0</v>
      </c>
      <c r="BC21" s="159">
        <f>SUMPRODUCT(Table4[Probability]*Table4[Rev. Based on PROB]*(Table4[Installation]=$B21)*(Table4[Projected 
Year]=BB$1)*(Table4[Projected 
Month]=BB$2))/MAX(1,SUMPRODUCT(Table4[Rev. Based on PROB]*(Table4[Installation]=$B21)*(Table4[Projected 
Year]=BB$1)*(Table4[Projected 
Month]=BB$2)))</f>
        <v>0</v>
      </c>
      <c r="BD21" s="160">
        <f>SUMPRODUCT(Table4[Rev. Based on PROB]*Table4[Expected CMR]*(Table4[Projected 
Year]=BB$1)*(Table4[Projected 
Month]=BB$2)*(Table4[Installation]=$B21))/MAX(1,BB21)</f>
        <v>0</v>
      </c>
      <c r="BE21" s="27">
        <f>SUMIFS(Table47[Rev. Based on PROB],Table47[Installation],$B21,Table47[Projected 
Year],BE$1,Table47[Monthly revenue],BE$2)</f>
        <v>0</v>
      </c>
      <c r="BF21" s="159">
        <f>SUMPRODUCT(Table4[Probability]*Table4[Rev. Based on PROB]*(Table4[Installation]=$B21)*(Table4[Projected 
Year]=BE$1)*(Table4[Projected 
Month]=BE$2))/MAX(1,SUMPRODUCT(Table4[Rev. Based on PROB]*(Table4[Installation]=$B21)*(Table4[Projected 
Year]=BE$1)*(Table4[Projected 
Month]=BE$2)))</f>
        <v>0</v>
      </c>
      <c r="BG21" s="160">
        <f>SUMPRODUCT(Table4[Rev. Based on PROB]*Table4[Expected CMR]*(Table4[Projected 
Year]=BE$1)*(Table4[Projected 
Month]=BE$2)*(Table4[Installation]=$B21))/MAX(1,BE21)</f>
        <v>0</v>
      </c>
      <c r="BH21" s="27">
        <f>SUMIFS(Table47[Rev. Based on PROB],Table47[Installation],$B21,Table47[Projected 
Year],BH$1,Table47[Monthly revenue],BH$2)</f>
        <v>0</v>
      </c>
      <c r="BI21" s="159">
        <f>SUMPRODUCT(Table4[Probability]*Table4[Rev. Based on PROB]*(Table4[Installation]=$B21)*(Table4[Projected 
Year]=BH$1)*(Table4[Projected 
Month]=BH$2))/MAX(1,SUMPRODUCT(Table4[Rev. Based on PROB]*(Table4[Installation]=$B21)*(Table4[Projected 
Year]=BH$1)*(Table4[Projected 
Month]=BH$2)))</f>
        <v>0</v>
      </c>
      <c r="BJ21" s="160">
        <f>SUMPRODUCT(Table4[Rev. Based on PROB]*Table4[Expected CMR]*(Table4[Projected 
Year]=BH$1)*(Table4[Projected 
Month]=BH$2)*(Table4[Installation]=$B21))/MAX(1,BH21)</f>
        <v>0</v>
      </c>
      <c r="BK21" s="27">
        <f>SUMIFS(Table47[Rev. Based on PROB],Table47[Installation],$B21,Table47[Projected 
Year],BK$1,Table47[Monthly revenue],BK$2)</f>
        <v>0</v>
      </c>
      <c r="BL21" s="159">
        <f>SUMPRODUCT(Table4[Probability]*Table4[Rev. Based on PROB]*(Table4[Installation]=$B21)*(Table4[Projected 
Year]=BK$1)*(Table4[Projected 
Month]=BK$2))/MAX(1,SUMPRODUCT(Table4[Rev. Based on PROB]*(Table4[Installation]=$B21)*(Table4[Projected 
Year]=BK$1)*(Table4[Projected 
Month]=BK$2)))</f>
        <v>0</v>
      </c>
      <c r="BM21" s="160">
        <f>SUMPRODUCT(Table4[Rev. Based on PROB]*Table4[Expected CMR]*(Table4[Projected 
Year]=BK$1)*(Table4[Projected 
Month]=BK$2)*(Table4[Installation]=$B21))/MAX(1,BK21)</f>
        <v>0</v>
      </c>
      <c r="BN21" s="27">
        <f>SUMIFS(Table47[Rev. Based on PROB],Table47[Installation],$B21,Table47[Projected 
Year],BN$1,Table47[Monthly revenue],BN$2)</f>
        <v>0</v>
      </c>
      <c r="BO21" s="159">
        <f>SUMPRODUCT(Table4[Probability]*Table4[Rev. Based on PROB]*(Table4[Installation]=$B21)*(Table4[Projected 
Year]=BN$1)*(Table4[Projected 
Month]=BN$2))/MAX(1,SUMPRODUCT(Table4[Rev. Based on PROB]*(Table4[Installation]=$B21)*(Table4[Projected 
Year]=BN$1)*(Table4[Projected 
Month]=BN$2)))</f>
        <v>0</v>
      </c>
      <c r="BP21" s="160">
        <f>SUMPRODUCT(Table4[Rev. Based on PROB]*Table4[Expected CMR]*(Table4[Projected 
Year]=BN$1)*(Table4[Projected 
Month]=BN$2)*(Table4[Installation]=$B21))/MAX(1,BN21)</f>
        <v>0</v>
      </c>
      <c r="BQ21" s="27">
        <f>SUMIFS(Table47[Rev. Based on PROB],Table47[Installation],$B21,Table47[Projected 
Year],BQ$1,Table47[Monthly revenue],BQ$2)</f>
        <v>0</v>
      </c>
      <c r="BR21" s="159">
        <f>SUMPRODUCT(Table4[Probability]*Table4[Rev. Based on PROB]*(Table4[Installation]=$B21)*(Table4[Projected 
Year]=BQ$1)*(Table4[Projected 
Month]=BQ$2))/MAX(1,SUMPRODUCT(Table4[Rev. Based on PROB]*(Table4[Installation]=$B21)*(Table4[Projected 
Year]=BQ$1)*(Table4[Projected 
Month]=BQ$2)))</f>
        <v>0</v>
      </c>
      <c r="BS21" s="160">
        <f>SUMPRODUCT(Table4[Rev. Based on PROB]*Table4[Expected CMR]*(Table4[Projected 
Year]=BQ$1)*(Table4[Projected 
Month]=BQ$2)*(Table4[Installation]=$B21))/MAX(1,BQ21)</f>
        <v>0</v>
      </c>
      <c r="BT21" s="27">
        <f>SUMIFS(Table47[Rev. Based on PROB],Table47[Installation],$B21,Table47[Projected 
Year],BT$1,Table47[Monthly revenue],BT$2)</f>
        <v>0</v>
      </c>
      <c r="BU21" s="159">
        <f>SUMPRODUCT(Table4[Probability]*Table4[Rev. Based on PROB]*(Table4[Installation]=$B21)*(Table4[Projected 
Year]=BT$1)*(Table4[Projected 
Month]=BT$2))/MAX(1,SUMPRODUCT(Table4[Rev. Based on PROB]*(Table4[Installation]=$B21)*(Table4[Projected 
Year]=BT$1)*(Table4[Projected 
Month]=BT$2)))</f>
        <v>0</v>
      </c>
      <c r="BV21" s="160">
        <f>SUMPRODUCT(Table4[Rev. Based on PROB]*Table4[Expected CMR]*(Table4[Projected 
Year]=BT$1)*(Table4[Projected 
Month]=BT$2)*(Table4[Installation]=$B21))/MAX(1,BT21)</f>
        <v>0</v>
      </c>
      <c r="BW21" s="27">
        <f>SUMIFS(Table47[Rev. Based on PROB],Table47[Installation],$B21,Table47[Projected 
Year],BW$1,Table47[Monthly revenue],BW$2)</f>
        <v>0</v>
      </c>
      <c r="BX21" s="159">
        <f>SUMPRODUCT(Table4[Probability]*Table4[Rev. Based on PROB]*(Table4[Installation]=$B21)*(Table4[Projected 
Year]=BW$1)*(Table4[Projected 
Month]=BW$2))/MAX(1,SUMPRODUCT(Table4[Rev. Based on PROB]*(Table4[Installation]=$B21)*(Table4[Projected 
Year]=BW$1)*(Table4[Projected 
Month]=BW$2)))</f>
        <v>0</v>
      </c>
      <c r="BY21" s="160">
        <f>SUMPRODUCT(Table4[Rev. Based on PROB]*Table4[Expected CMR]*(Table4[Projected 
Year]=BW$1)*(Table4[Projected 
Month]=BW$2)*(Table4[Installation]=$B21))/MAX(1,BW21)</f>
        <v>0</v>
      </c>
      <c r="BZ21" s="200"/>
      <c r="CA21" s="200"/>
      <c r="CB21" s="200"/>
      <c r="CC21" s="200"/>
      <c r="CD21" s="200"/>
      <c r="CE21" s="200"/>
      <c r="CF21" s="200"/>
      <c r="CG21" s="200"/>
      <c r="CH21" s="200"/>
      <c r="CI21" s="200"/>
      <c r="CJ21" s="200"/>
      <c r="CK21" s="200"/>
      <c r="CL21" s="200"/>
      <c r="CM21" s="200"/>
      <c r="CN21" s="200"/>
      <c r="CO21" s="200"/>
      <c r="CP21" s="200"/>
      <c r="CQ21" s="200"/>
      <c r="CR21" s="200"/>
      <c r="CS21" s="200"/>
      <c r="CT21" s="200"/>
      <c r="CU21" s="30">
        <f t="shared" si="0"/>
        <v>0</v>
      </c>
      <c r="CV21" s="52">
        <f t="shared" si="4"/>
        <v>0</v>
      </c>
      <c r="CW21" s="53">
        <f t="shared" si="5"/>
        <v>0</v>
      </c>
      <c r="CX21" s="29"/>
    </row>
    <row r="22" spans="1:103">
      <c r="A22" s="18"/>
      <c r="B22" s="20" t="s">
        <v>314</v>
      </c>
      <c r="C22" s="27">
        <f>SUMIFS(Table4[Rev. Based on PROB],Table4[Installation],$B22,Table4[Projected 
Year],C$1,Table4[Projected 
Month],C$2)</f>
        <v>0</v>
      </c>
      <c r="D22" s="159">
        <f>SUMPRODUCT(Table4[Probability]*Table4[Rev. Based on PROB]*(Table4[Installation]=$B22)*(Table4[Projected 
Year]=C$1)*(Table4[Projected 
Month]=C$2))/MAX(1,SUMPRODUCT(Table4[Rev. Based on PROB]*(Table4[Installation]=$B22)*(Table4[Projected 
Year]=C$1)*(Table4[Projected 
Month]=C$2)))</f>
        <v>0</v>
      </c>
      <c r="E22" s="160">
        <f>SUMPRODUCT(Table4[Rev. Based on PROB]*Table4[Expected CMR]*(Table4[Projected 
Year]=C$1)*(Table4[Projected 
Month]=C$2)*(Table4[Installation]=$B22))/MAX(1,C22)</f>
        <v>0</v>
      </c>
      <c r="F22" s="27">
        <f>SUMIFS(Table4[Rev. Based on PROB],Table4[Installation],$B22,Table4[Projected 
Year],F$1,Table4[Projected 
Month],F$2)</f>
        <v>0</v>
      </c>
      <c r="G22" s="159">
        <f>SUMPRODUCT(Table4[Probability]*Table4[Rev. Based on PROB]*(Table4[Installation]=$B22)*(Table4[Projected 
Year]=F$1)*(Table4[Projected 
Month]=F$2))/MAX(1,SUMPRODUCT(Table4[Rev. Based on PROB]*(Table4[Installation]=$B22)*(Table4[Projected 
Year]=F$1)*(Table4[Projected 
Month]=F$2)))</f>
        <v>0</v>
      </c>
      <c r="H22" s="160">
        <f>SUMPRODUCT(Table4[Rev. Based on PROB]*Table4[Expected CMR]*(Table4[Projected 
Year]=F$1)*(Table4[Projected 
Month]=F$2)*(Table4[Installation]=$B22))/MAX(1,F22)</f>
        <v>0</v>
      </c>
      <c r="I22" s="27">
        <f>SUMIFS(Table4[Rev. Based on PROB],Table4[Installation],$B22,Table4[Projected 
Year],I$1,Table4[Projected 
Month],I$2)</f>
        <v>0</v>
      </c>
      <c r="J22" s="159">
        <f>SUMPRODUCT(Table4[Probability]*Table4[Rev. Based on PROB]*(Table4[Installation]=$B22)*(Table4[Projected 
Year]=I$1)*(Table4[Projected 
Month]=I$2))/MAX(1,SUMPRODUCT(Table4[Rev. Based on PROB]*(Table4[Installation]=$B22)*(Table4[Projected 
Year]=I$1)*(Table4[Projected 
Month]=I$2)))</f>
        <v>0</v>
      </c>
      <c r="K22" s="160">
        <f>SUMPRODUCT(Table4[Rev. Based on PROB]*Table4[Expected CMR]*(Table4[Projected 
Year]=I$1)*(Table4[Projected 
Month]=I$2)*(Table4[Installation]=$B22))/MAX(1,I22)</f>
        <v>0</v>
      </c>
      <c r="L22" s="27">
        <f>SUMIFS(Table4[Rev. Based on PROB],Table4[Installation],$B22,Table4[Projected 
Year],L$1,Table4[Projected 
Month],L$2)</f>
        <v>0</v>
      </c>
      <c r="M22" s="159">
        <f>SUMPRODUCT(Table4[Probability]*Table4[Rev. Based on PROB]*(Table4[Installation]=$B22)*(Table4[Projected 
Year]=L$1)*(Table4[Projected 
Month]=L$2))/MAX(1,SUMPRODUCT(Table4[Rev. Based on PROB]*(Table4[Installation]=$B22)*(Table4[Projected 
Year]=L$1)*(Table4[Projected 
Month]=L$2)))</f>
        <v>0</v>
      </c>
      <c r="N22" s="160">
        <f>SUMPRODUCT(Table4[Rev. Based on PROB]*Table4[Expected CMR]*(Table4[Projected 
Year]=L$1)*(Table4[Projected 
Month]=L$2)*(Table4[Installation]=$B22))/MAX(1,L22)</f>
        <v>0</v>
      </c>
      <c r="O22" s="27">
        <f>SUMIFS(Table4[Rev. Based on PROB],Table4[Installation],$B22,Table4[Projected 
Year],O$1,Table4[Projected 
Month],O$2)</f>
        <v>0</v>
      </c>
      <c r="P22" s="159">
        <f>SUMPRODUCT(Table4[Probability]*Table4[Rev. Based on PROB]*(Table4[Installation]=$B22)*(Table4[Projected 
Year]=O$1)*(Table4[Projected 
Month]=O$2))/MAX(1,SUMPRODUCT(Table4[Rev. Based on PROB]*(Table4[Installation]=$B22)*(Table4[Projected 
Year]=O$1)*(Table4[Projected 
Month]=O$2)))</f>
        <v>0</v>
      </c>
      <c r="Q22" s="160">
        <f>SUMPRODUCT(Table4[Rev. Based on PROB]*Table4[Expected CMR]*(Table4[Projected 
Year]=O$1)*(Table4[Projected 
Month]=O$2)*(Table4[Installation]=$B22))/MAX(1,O22)</f>
        <v>0</v>
      </c>
      <c r="R22" s="27">
        <f>SUMIFS(Table4[Rev. Based on PROB],Table4[Installation],$B22,Table4[Projected 
Year],R$1,Table4[Projected 
Month],R$2)</f>
        <v>0</v>
      </c>
      <c r="S22" s="159">
        <f>SUMPRODUCT(Table4[Probability]*Table4[Rev. Based on PROB]*(Table4[Installation]=$B22)*(Table4[Projected 
Year]=R$1)*(Table4[Projected 
Month]=R$2))/MAX(1,SUMPRODUCT(Table4[Rev. Based on PROB]*(Table4[Installation]=$B22)*(Table4[Projected 
Year]=R$1)*(Table4[Projected 
Month]=R$2)))</f>
        <v>0</v>
      </c>
      <c r="T22" s="160">
        <f>SUMPRODUCT(Table4[Rev. Based on PROB]*Table4[Expected CMR]*(Table4[Projected 
Year]=R$1)*(Table4[Projected 
Month]=R$2)*(Table4[Installation]=$B22))/MAX(1,R22)</f>
        <v>0</v>
      </c>
      <c r="U22" s="27">
        <f>SUMIFS(Table4[Rev. Based on PROB],Table4[Installation],$B22,Table4[Projected 
Year],U$1,Table4[Projected 
Month],U$2)</f>
        <v>0</v>
      </c>
      <c r="V22" s="159">
        <f>SUMPRODUCT(Table4[Probability]*Table4[Rev. Based on PROB]*(Table4[Installation]=$B22)*(Table4[Projected 
Year]=U$1)*(Table4[Projected 
Month]=U$2))/MAX(1,SUMPRODUCT(Table4[Rev. Based on PROB]*(Table4[Installation]=$B22)*(Table4[Projected 
Year]=U$1)*(Table4[Projected 
Month]=U$2)))</f>
        <v>0</v>
      </c>
      <c r="W22" s="160">
        <f>SUMPRODUCT(Table4[Rev. Based on PROB]*Table4[Expected CMR]*(Table4[Projected 
Year]=U$1)*(Table4[Projected 
Month]=U$2)*(Table4[Installation]=$B22))/MAX(1,U22)</f>
        <v>0</v>
      </c>
      <c r="X22" s="27">
        <f>SUMIFS(Table4[Rev. Based on PROB],Table4[Installation],$B22,Table4[Projected 
Year],X$1,Table4[Projected 
Month],X$2)</f>
        <v>0</v>
      </c>
      <c r="Y22" s="159">
        <f>SUMPRODUCT(Table4[Probability]*Table4[Rev. Based on PROB]*(Table4[Installation]=$B22)*(Table4[Projected 
Year]=X$1)*(Table4[Projected 
Month]=X$2))/MAX(1,SUMPRODUCT(Table4[Rev. Based on PROB]*(Table4[Installation]=$B22)*(Table4[Projected 
Year]=X$1)*(Table4[Projected 
Month]=X$2)))</f>
        <v>0</v>
      </c>
      <c r="Z22" s="160">
        <f>SUMPRODUCT(Table4[Rev. Based on PROB]*Table4[Expected CMR]*(Table4[Projected 
Year]=X$1)*(Table4[Projected 
Month]=X$2)*(Table4[Installation]=$B22))/MAX(1,X22)</f>
        <v>0</v>
      </c>
      <c r="AA22" s="27">
        <f>SUMIFS(Table4[Rev. Based on PROB],Table4[Installation],$B22,Table4[Projected 
Year],AA$1,Table4[Projected 
Month],AA$2)</f>
        <v>0</v>
      </c>
      <c r="AB22" s="159">
        <f>SUMPRODUCT(Table4[Probability]*Table4[Rev. Based on PROB]*(Table4[Installation]=$B22)*(Table4[Projected 
Year]=AA$1)*(Table4[Projected 
Month]=AA$2))/MAX(1,SUMPRODUCT(Table4[Rev. Based on PROB]*(Table4[Installation]=$B22)*(Table4[Projected 
Year]=AA$1)*(Table4[Projected 
Month]=AA$2)))</f>
        <v>0</v>
      </c>
      <c r="AC22" s="160">
        <f>SUMPRODUCT(Table4[Rev. Based on PROB]*Table4[Expected CMR]*(Table4[Projected 
Year]=AA$1)*(Table4[Projected 
Month]=AA$2)*(Table4[Installation]=$B22))/MAX(1,AA22)</f>
        <v>0</v>
      </c>
      <c r="AD22" s="27">
        <f>SUMIFS(Table4[Rev. Based on PROB],Table4[Installation],$B22,Table4[Projected 
Year],AD$1,Table4[Projected 
Month],AD$2)</f>
        <v>0</v>
      </c>
      <c r="AE22" s="159">
        <f>SUMPRODUCT(Table4[Probability]*Table4[Rev. Based on PROB]*(Table4[Installation]=$B22)*(Table4[Projected 
Year]=AD$1)*(Table4[Projected 
Month]=AD$2))/MAX(1,SUMPRODUCT(Table4[Rev. Based on PROB]*(Table4[Installation]=$B22)*(Table4[Projected 
Year]=AD$1)*(Table4[Projected 
Month]=AD$2)))</f>
        <v>0</v>
      </c>
      <c r="AF22" s="160">
        <f>SUMPRODUCT(Table4[Rev. Based on PROB]*Table4[Expected CMR]*(Table4[Projected 
Year]=AD$1)*(Table4[Projected 
Month]=AD$2)*(Table4[Installation]=$B22))/MAX(1,AD22)</f>
        <v>0</v>
      </c>
      <c r="AG22" s="27">
        <f>SUMIFS(Table4[Rev. Based on PROB],Table4[Installation],$B22,Table4[Projected 
Year],AG$1,Table4[Projected 
Month],AG$2)</f>
        <v>0</v>
      </c>
      <c r="AH22" s="159">
        <f>SUMPRODUCT(Table4[Probability]*Table4[Rev. Based on PROB]*(Table4[Installation]=$B22)*(Table4[Projected 
Year]=AG$1)*(Table4[Projected 
Month]=AG$2))/MAX(1,SUMPRODUCT(Table4[Rev. Based on PROB]*(Table4[Installation]=$B22)*(Table4[Projected 
Year]=AG$1)*(Table4[Projected 
Month]=AG$2)))</f>
        <v>0</v>
      </c>
      <c r="AI22" s="160">
        <f>SUMPRODUCT(Table4[Rev. Based on PROB]*Table4[Expected CMR]*(Table4[Projected 
Year]=AG$1)*(Table4[Projected 
Month]=AG$2)*(Table4[Installation]=$B22))/MAX(1,AG22)</f>
        <v>0</v>
      </c>
      <c r="AJ22" s="27">
        <f>SUMIFS(Table4[Rev. Based on PROB],Table4[Installation],$B22,Table4[Projected 
Year],AJ$1,Table4[Projected 
Month],AJ$2)</f>
        <v>0</v>
      </c>
      <c r="AK22" s="159">
        <f>SUMPRODUCT(Table4[Probability]*Table4[Rev. Based on PROB]*(Table4[Installation]=$B22)*(Table4[Projected 
Year]=AJ$1)*(Table4[Projected 
Month]=AJ$2))/MAX(1,SUMPRODUCT(Table4[Rev. Based on PROB]*(Table4[Installation]=$B22)*(Table4[Projected 
Year]=AJ$1)*(Table4[Projected 
Month]=AJ$2)))</f>
        <v>0</v>
      </c>
      <c r="AL22" s="160">
        <f>SUMPRODUCT(Table4[Rev. Based on PROB]*Table4[Expected CMR]*(Table4[Projected 
Year]=AJ$1)*(Table4[Projected 
Month]=AJ$2)*(Table4[Installation]=$B22))/MAX(1,AJ22)</f>
        <v>0</v>
      </c>
      <c r="AM22" s="30">
        <f t="shared" si="1"/>
        <v>0</v>
      </c>
      <c r="AN22" s="52">
        <f>SUM($C22*D22,$F22*G22,$I22*J22,$L22*M22,$O22*P22,$R22*S22,$U22*V22,$X22*Y22,$AA22*AB22,$AD22*AE22,$AG22*AH22,$AJ22*AK22)/MAX(1,$AM22)</f>
        <v>0</v>
      </c>
      <c r="AO22" s="53">
        <f>SUM($C22*E22,$F22*H22,$I22*K22,$L22*N22,$O22*Q22,$R22*T22,$U22*W22,$X22*Z22,$AA22*AC22,$AD22*AF22,$AG22*AI22,$AJ22*AL22)/MAX(1,$AM22)</f>
        <v>0</v>
      </c>
      <c r="AP22" s="27">
        <f>SUMIFS(Table47[Rev. Based on PROB],Table47[Installation],$B22,Table47[Projected 
Year],AP$1,Table47[Monthly revenue],AP$2)</f>
        <v>0</v>
      </c>
      <c r="AQ22" s="159">
        <f>SUMPRODUCT(Table4[Probability]*Table4[Rev. Based on PROB]*(Table4[Installation]=$B22)*(Table4[Projected 
Year]=AP$1)*(Table4[Projected 
Month]=AP$2))/MAX(1,SUMPRODUCT(Table4[Rev. Based on PROB]*(Table4[Installation]=$B22)*(Table4[Projected 
Year]=AP$1)*(Table4[Projected 
Month]=AP$2)))</f>
        <v>0</v>
      </c>
      <c r="AR22" s="160">
        <f>SUMPRODUCT(Table4[Rev. Based on PROB]*Table4[Expected CMR]*(Table4[Projected 
Year]=AP$1)*(Table4[Projected 
Month]=AP$2)*(Table4[Installation]=$B22))/MAX(1,AP22)</f>
        <v>0</v>
      </c>
      <c r="AS22" s="27">
        <f>SUMIFS(Table47[Rev. Based on PROB],Table47[Installation],$B22,Table47[Projected 
Year],AS$1,Table47[Monthly revenue],AS$2)</f>
        <v>0</v>
      </c>
      <c r="AT22" s="159">
        <f>SUMPRODUCT(Table4[Probability]*Table4[Rev. Based on PROB]*(Table4[Installation]=$B22)*(Table4[Projected 
Year]=AS$1)*(Table4[Projected 
Month]=AS$2))/MAX(1,SUMPRODUCT(Table4[Rev. Based on PROB]*(Table4[Installation]=$B22)*(Table4[Projected 
Year]=AS$1)*(Table4[Projected 
Month]=AS$2)))</f>
        <v>0</v>
      </c>
      <c r="AU22" s="160">
        <f>SUMPRODUCT(Table4[Rev. Based on PROB]*Table4[Expected CMR]*(Table4[Projected 
Year]=AS$1)*(Table4[Projected 
Month]=AS$2)*(Table4[Installation]=$B22))/MAX(1,AS22)</f>
        <v>0</v>
      </c>
      <c r="AV22" s="27">
        <f>SUMIFS(Table47[Rev. Based on PROB],Table47[Installation],$B22,Table47[Projected 
Year],AV$1,Table47[Monthly revenue],AV$2)</f>
        <v>0</v>
      </c>
      <c r="AW22" s="159">
        <f>SUMPRODUCT(Table4[Probability]*Table4[Rev. Based on PROB]*(Table4[Installation]=$B22)*(Table4[Projected 
Year]=AV$1)*(Table4[Projected 
Month]=AV$2))/MAX(1,SUMPRODUCT(Table4[Rev. Based on PROB]*(Table4[Installation]=$B22)*(Table4[Projected 
Year]=AV$1)*(Table4[Projected 
Month]=AV$2)))</f>
        <v>0</v>
      </c>
      <c r="AX22" s="160">
        <f>SUMPRODUCT(Table4[Rev. Based on PROB]*Table4[Expected CMR]*(Table4[Projected 
Year]=AV$1)*(Table4[Projected 
Month]=AV$2)*(Table4[Installation]=$B22))/MAX(1,AV22)</f>
        <v>0</v>
      </c>
      <c r="AY22" s="27">
        <f>SUMIFS(Table47[Rev. Based on PROB],Table47[Installation],$B22,Table47[Projected 
Year],AY$1,Table47[Monthly revenue],AY$2)</f>
        <v>0</v>
      </c>
      <c r="AZ22" s="159">
        <f>SUMPRODUCT(Table4[Probability]*Table4[Rev. Based on PROB]*(Table4[Installation]=$B22)*(Table4[Projected 
Year]=AY$1)*(Table4[Projected 
Month]=AY$2))/MAX(1,SUMPRODUCT(Table4[Rev. Based on PROB]*(Table4[Installation]=$B22)*(Table4[Projected 
Year]=AY$1)*(Table4[Projected 
Month]=AY$2)))</f>
        <v>0</v>
      </c>
      <c r="BA22" s="160">
        <f>SUMPRODUCT(Table4[Rev. Based on PROB]*Table4[Expected CMR]*(Table4[Projected 
Year]=AY$1)*(Table4[Projected 
Month]=AY$2)*(Table4[Installation]=$B22))/MAX(1,AY22)</f>
        <v>0</v>
      </c>
      <c r="BB22" s="27">
        <f>SUMIFS(Table47[Rev. Based on PROB],Table47[Installation],$B22,Table47[Projected 
Year],BB$1,Table47[Monthly revenue],BB$2)</f>
        <v>0</v>
      </c>
      <c r="BC22" s="159">
        <f>SUMPRODUCT(Table4[Probability]*Table4[Rev. Based on PROB]*(Table4[Installation]=$B22)*(Table4[Projected 
Year]=BB$1)*(Table4[Projected 
Month]=BB$2))/MAX(1,SUMPRODUCT(Table4[Rev. Based on PROB]*(Table4[Installation]=$B22)*(Table4[Projected 
Year]=BB$1)*(Table4[Projected 
Month]=BB$2)))</f>
        <v>0</v>
      </c>
      <c r="BD22" s="160">
        <f>SUMPRODUCT(Table4[Rev. Based on PROB]*Table4[Expected CMR]*(Table4[Projected 
Year]=BB$1)*(Table4[Projected 
Month]=BB$2)*(Table4[Installation]=$B22))/MAX(1,BB22)</f>
        <v>0</v>
      </c>
      <c r="BE22" s="27">
        <f>SUMIFS(Table47[Rev. Based on PROB],Table47[Installation],$B22,Table47[Projected 
Year],BE$1,Table47[Monthly revenue],BE$2)</f>
        <v>0</v>
      </c>
      <c r="BF22" s="159">
        <f>SUMPRODUCT(Table4[Probability]*Table4[Rev. Based on PROB]*(Table4[Installation]=$B22)*(Table4[Projected 
Year]=BE$1)*(Table4[Projected 
Month]=BE$2))/MAX(1,SUMPRODUCT(Table4[Rev. Based on PROB]*(Table4[Installation]=$B22)*(Table4[Projected 
Year]=BE$1)*(Table4[Projected 
Month]=BE$2)))</f>
        <v>0</v>
      </c>
      <c r="BG22" s="160">
        <f>SUMPRODUCT(Table4[Rev. Based on PROB]*Table4[Expected CMR]*(Table4[Projected 
Year]=BE$1)*(Table4[Projected 
Month]=BE$2)*(Table4[Installation]=$B22))/MAX(1,BE22)</f>
        <v>0</v>
      </c>
      <c r="BH22" s="27">
        <f>SUMIFS(Table47[Rev. Based on PROB],Table47[Installation],$B22,Table47[Projected 
Year],BH$1,Table47[Monthly revenue],BH$2)</f>
        <v>0</v>
      </c>
      <c r="BI22" s="159">
        <f>SUMPRODUCT(Table4[Probability]*Table4[Rev. Based on PROB]*(Table4[Installation]=$B22)*(Table4[Projected 
Year]=BH$1)*(Table4[Projected 
Month]=BH$2))/MAX(1,SUMPRODUCT(Table4[Rev. Based on PROB]*(Table4[Installation]=$B22)*(Table4[Projected 
Year]=BH$1)*(Table4[Projected 
Month]=BH$2)))</f>
        <v>0</v>
      </c>
      <c r="BJ22" s="160">
        <f>SUMPRODUCT(Table4[Rev. Based on PROB]*Table4[Expected CMR]*(Table4[Projected 
Year]=BH$1)*(Table4[Projected 
Month]=BH$2)*(Table4[Installation]=$B22))/MAX(1,BH22)</f>
        <v>0</v>
      </c>
      <c r="BK22" s="27">
        <f>SUMIFS(Table47[Rev. Based on PROB],Table47[Installation],$B22,Table47[Projected 
Year],BK$1,Table47[Monthly revenue],BK$2)</f>
        <v>0</v>
      </c>
      <c r="BL22" s="159">
        <f>SUMPRODUCT(Table4[Probability]*Table4[Rev. Based on PROB]*(Table4[Installation]=$B22)*(Table4[Projected 
Year]=BK$1)*(Table4[Projected 
Month]=BK$2))/MAX(1,SUMPRODUCT(Table4[Rev. Based on PROB]*(Table4[Installation]=$B22)*(Table4[Projected 
Year]=BK$1)*(Table4[Projected 
Month]=BK$2)))</f>
        <v>0</v>
      </c>
      <c r="BM22" s="160">
        <f>SUMPRODUCT(Table4[Rev. Based on PROB]*Table4[Expected CMR]*(Table4[Projected 
Year]=BK$1)*(Table4[Projected 
Month]=BK$2)*(Table4[Installation]=$B22))/MAX(1,BK22)</f>
        <v>0</v>
      </c>
      <c r="BN22" s="27">
        <f>SUMIFS(Table47[Rev. Based on PROB],Table47[Installation],$B22,Table47[Projected 
Year],BN$1,Table47[Monthly revenue],BN$2)</f>
        <v>0</v>
      </c>
      <c r="BO22" s="159">
        <f>SUMPRODUCT(Table4[Probability]*Table4[Rev. Based on PROB]*(Table4[Installation]=$B22)*(Table4[Projected 
Year]=BN$1)*(Table4[Projected 
Month]=BN$2))/MAX(1,SUMPRODUCT(Table4[Rev. Based on PROB]*(Table4[Installation]=$B22)*(Table4[Projected 
Year]=BN$1)*(Table4[Projected 
Month]=BN$2)))</f>
        <v>0</v>
      </c>
      <c r="BP22" s="160">
        <f>SUMPRODUCT(Table4[Rev. Based on PROB]*Table4[Expected CMR]*(Table4[Projected 
Year]=BN$1)*(Table4[Projected 
Month]=BN$2)*(Table4[Installation]=$B22))/MAX(1,BN22)</f>
        <v>0</v>
      </c>
      <c r="BQ22" s="27">
        <f>SUMIFS(Table47[Rev. Based on PROB],Table47[Installation],$B22,Table47[Projected 
Year],BQ$1,Table47[Monthly revenue],BQ$2)</f>
        <v>0</v>
      </c>
      <c r="BR22" s="159">
        <f>SUMPRODUCT(Table4[Probability]*Table4[Rev. Based on PROB]*(Table4[Installation]=$B22)*(Table4[Projected 
Year]=BQ$1)*(Table4[Projected 
Month]=BQ$2))/MAX(1,SUMPRODUCT(Table4[Rev. Based on PROB]*(Table4[Installation]=$B22)*(Table4[Projected 
Year]=BQ$1)*(Table4[Projected 
Month]=BQ$2)))</f>
        <v>0</v>
      </c>
      <c r="BS22" s="160">
        <f>SUMPRODUCT(Table4[Rev. Based on PROB]*Table4[Expected CMR]*(Table4[Projected 
Year]=BQ$1)*(Table4[Projected 
Month]=BQ$2)*(Table4[Installation]=$B22))/MAX(1,BQ22)</f>
        <v>0</v>
      </c>
      <c r="BT22" s="27">
        <f>SUMIFS(Table47[Rev. Based on PROB],Table47[Installation],$B22,Table47[Projected 
Year],BT$1,Table47[Monthly revenue],BT$2)</f>
        <v>0</v>
      </c>
      <c r="BU22" s="159">
        <f>SUMPRODUCT(Table4[Probability]*Table4[Rev. Based on PROB]*(Table4[Installation]=$B22)*(Table4[Projected 
Year]=BT$1)*(Table4[Projected 
Month]=BT$2))/MAX(1,SUMPRODUCT(Table4[Rev. Based on PROB]*(Table4[Installation]=$B22)*(Table4[Projected 
Year]=BT$1)*(Table4[Projected 
Month]=BT$2)))</f>
        <v>0</v>
      </c>
      <c r="BV22" s="160">
        <f>SUMPRODUCT(Table4[Rev. Based on PROB]*Table4[Expected CMR]*(Table4[Projected 
Year]=BT$1)*(Table4[Projected 
Month]=BT$2)*(Table4[Installation]=$B22))/MAX(1,BT22)</f>
        <v>0</v>
      </c>
      <c r="BW22" s="27">
        <f>SUMIFS(Table47[Rev. Based on PROB],Table47[Installation],$B22,Table47[Projected 
Year],BW$1,Table47[Monthly revenue],BW$2)</f>
        <v>0</v>
      </c>
      <c r="BX22" s="159">
        <f>SUMPRODUCT(Table4[Probability]*Table4[Rev. Based on PROB]*(Table4[Installation]=$B22)*(Table4[Projected 
Year]=BW$1)*(Table4[Projected 
Month]=BW$2))/MAX(1,SUMPRODUCT(Table4[Rev. Based on PROB]*(Table4[Installation]=$B22)*(Table4[Projected 
Year]=BW$1)*(Table4[Projected 
Month]=BW$2)))</f>
        <v>0</v>
      </c>
      <c r="BY22" s="160">
        <f>SUMPRODUCT(Table4[Rev. Based on PROB]*Table4[Expected CMR]*(Table4[Projected 
Year]=BW$1)*(Table4[Projected 
Month]=BW$2)*(Table4[Installation]=$B22))/MAX(1,BW22)</f>
        <v>0</v>
      </c>
      <c r="BZ22" s="200"/>
      <c r="CA22" s="200"/>
      <c r="CB22" s="200"/>
      <c r="CC22" s="200"/>
      <c r="CD22" s="200"/>
      <c r="CE22" s="200"/>
      <c r="CF22" s="200"/>
      <c r="CG22" s="200"/>
      <c r="CH22" s="200"/>
      <c r="CI22" s="200"/>
      <c r="CJ22" s="200"/>
      <c r="CK22" s="200"/>
      <c r="CL22" s="200"/>
      <c r="CM22" s="200"/>
      <c r="CN22" s="200"/>
      <c r="CO22" s="200"/>
      <c r="CP22" s="200"/>
      <c r="CQ22" s="200"/>
      <c r="CR22" s="200"/>
      <c r="CS22" s="200"/>
      <c r="CT22" s="200"/>
      <c r="CU22" s="30">
        <f t="shared" si="0"/>
        <v>0</v>
      </c>
      <c r="CV22" s="52">
        <f t="shared" si="4"/>
        <v>0</v>
      </c>
      <c r="CW22" s="53">
        <f t="shared" si="5"/>
        <v>0</v>
      </c>
      <c r="CX22" s="29"/>
    </row>
    <row r="23" spans="1:103">
      <c r="A23" s="18"/>
      <c r="B23" s="20" t="s">
        <v>315</v>
      </c>
      <c r="C23" s="27">
        <f>SUMIFS(Table4[Rev. Based on PROB],Table4[Installation],$B23,Table4[Projected 
Year],C$1,Table4[Projected 
Month],C$2)</f>
        <v>0</v>
      </c>
      <c r="D23" s="159">
        <f>SUMPRODUCT(Table4[Probability]*Table4[Rev. Based on PROB]*(Table4[Installation]=$B23)*(Table4[Projected 
Year]=C$1)*(Table4[Projected 
Month]=C$2))/MAX(1,SUMPRODUCT(Table4[Rev. Based on PROB]*(Table4[Installation]=$B23)*(Table4[Projected 
Year]=C$1)*(Table4[Projected 
Month]=C$2)))</f>
        <v>0</v>
      </c>
      <c r="E23" s="160">
        <f>SUMPRODUCT(Table4[Rev. Based on PROB]*Table4[Expected CMR]*(Table4[Projected 
Year]=C$1)*(Table4[Projected 
Month]=C$2)*(Table4[Installation]=$B23))/MAX(1,C23)</f>
        <v>0</v>
      </c>
      <c r="F23" s="27">
        <f>SUMIFS(Table4[Rev. Based on PROB],Table4[Installation],$B23,Table4[Projected 
Year],F$1,Table4[Projected 
Month],F$2)</f>
        <v>0</v>
      </c>
      <c r="G23" s="159">
        <f>SUMPRODUCT(Table4[Probability]*Table4[Rev. Based on PROB]*(Table4[Installation]=$B23)*(Table4[Projected 
Year]=F$1)*(Table4[Projected 
Month]=F$2))/MAX(1,SUMPRODUCT(Table4[Rev. Based on PROB]*(Table4[Installation]=$B23)*(Table4[Projected 
Year]=F$1)*(Table4[Projected 
Month]=F$2)))</f>
        <v>0</v>
      </c>
      <c r="H23" s="160">
        <f>SUMPRODUCT(Table4[Rev. Based on PROB]*Table4[Expected CMR]*(Table4[Projected 
Year]=F$1)*(Table4[Projected 
Month]=F$2)*(Table4[Installation]=$B23))/MAX(1,F23)</f>
        <v>0</v>
      </c>
      <c r="I23" s="27">
        <f>SUMIFS(Table4[Rev. Based on PROB],Table4[Installation],$B23,Table4[Projected 
Year],I$1,Table4[Projected 
Month],I$2)</f>
        <v>0</v>
      </c>
      <c r="J23" s="159">
        <f>SUMPRODUCT(Table4[Probability]*Table4[Rev. Based on PROB]*(Table4[Installation]=$B23)*(Table4[Projected 
Year]=I$1)*(Table4[Projected 
Month]=I$2))/MAX(1,SUMPRODUCT(Table4[Rev. Based on PROB]*(Table4[Installation]=$B23)*(Table4[Projected 
Year]=I$1)*(Table4[Projected 
Month]=I$2)))</f>
        <v>0</v>
      </c>
      <c r="K23" s="160">
        <f>SUMPRODUCT(Table4[Rev. Based on PROB]*Table4[Expected CMR]*(Table4[Projected 
Year]=I$1)*(Table4[Projected 
Month]=I$2)*(Table4[Installation]=$B23))/MAX(1,I23)</f>
        <v>0</v>
      </c>
      <c r="L23" s="27">
        <f>SUMIFS(Table4[Rev. Based on PROB],Table4[Installation],$B23,Table4[Projected 
Year],L$1,Table4[Projected 
Month],L$2)</f>
        <v>0</v>
      </c>
      <c r="M23" s="159">
        <f>SUMPRODUCT(Table4[Probability]*Table4[Rev. Based on PROB]*(Table4[Installation]=$B23)*(Table4[Projected 
Year]=L$1)*(Table4[Projected 
Month]=L$2))/MAX(1,SUMPRODUCT(Table4[Rev. Based on PROB]*(Table4[Installation]=$B23)*(Table4[Projected 
Year]=L$1)*(Table4[Projected 
Month]=L$2)))</f>
        <v>0</v>
      </c>
      <c r="N23" s="160">
        <f>SUMPRODUCT(Table4[Rev. Based on PROB]*Table4[Expected CMR]*(Table4[Projected 
Year]=L$1)*(Table4[Projected 
Month]=L$2)*(Table4[Installation]=$B23))/MAX(1,L23)</f>
        <v>0</v>
      </c>
      <c r="O23" s="27">
        <f>SUMIFS(Table4[Rev. Based on PROB],Table4[Installation],$B23,Table4[Projected 
Year],O$1,Table4[Projected 
Month],O$2)</f>
        <v>0</v>
      </c>
      <c r="P23" s="159">
        <f>SUMPRODUCT(Table4[Probability]*Table4[Rev. Based on PROB]*(Table4[Installation]=$B23)*(Table4[Projected 
Year]=O$1)*(Table4[Projected 
Month]=O$2))/MAX(1,SUMPRODUCT(Table4[Rev. Based on PROB]*(Table4[Installation]=$B23)*(Table4[Projected 
Year]=O$1)*(Table4[Projected 
Month]=O$2)))</f>
        <v>0</v>
      </c>
      <c r="Q23" s="160">
        <f>SUMPRODUCT(Table4[Rev. Based on PROB]*Table4[Expected CMR]*(Table4[Projected 
Year]=O$1)*(Table4[Projected 
Month]=O$2)*(Table4[Installation]=$B23))/MAX(1,O23)</f>
        <v>0</v>
      </c>
      <c r="R23" s="27">
        <f>SUMIFS(Table4[Rev. Based on PROB],Table4[Installation],$B23,Table4[Projected 
Year],R$1,Table4[Projected 
Month],R$2)</f>
        <v>0</v>
      </c>
      <c r="S23" s="159">
        <f>SUMPRODUCT(Table4[Probability]*Table4[Rev. Based on PROB]*(Table4[Installation]=$B23)*(Table4[Projected 
Year]=R$1)*(Table4[Projected 
Month]=R$2))/MAX(1,SUMPRODUCT(Table4[Rev. Based on PROB]*(Table4[Installation]=$B23)*(Table4[Projected 
Year]=R$1)*(Table4[Projected 
Month]=R$2)))</f>
        <v>0</v>
      </c>
      <c r="T23" s="160">
        <f>SUMPRODUCT(Table4[Rev. Based on PROB]*Table4[Expected CMR]*(Table4[Projected 
Year]=R$1)*(Table4[Projected 
Month]=R$2)*(Table4[Installation]=$B23))/MAX(1,R23)</f>
        <v>0</v>
      </c>
      <c r="U23" s="27">
        <f>SUMIFS(Table4[Rev. Based on PROB],Table4[Installation],$B23,Table4[Projected 
Year],U$1,Table4[Projected 
Month],U$2)</f>
        <v>0</v>
      </c>
      <c r="V23" s="159">
        <f>SUMPRODUCT(Table4[Probability]*Table4[Rev. Based on PROB]*(Table4[Installation]=$B23)*(Table4[Projected 
Year]=U$1)*(Table4[Projected 
Month]=U$2))/MAX(1,SUMPRODUCT(Table4[Rev. Based on PROB]*(Table4[Installation]=$B23)*(Table4[Projected 
Year]=U$1)*(Table4[Projected 
Month]=U$2)))</f>
        <v>0</v>
      </c>
      <c r="W23" s="160">
        <f>SUMPRODUCT(Table4[Rev. Based on PROB]*Table4[Expected CMR]*(Table4[Projected 
Year]=U$1)*(Table4[Projected 
Month]=U$2)*(Table4[Installation]=$B23))/MAX(1,U23)</f>
        <v>0</v>
      </c>
      <c r="X23" s="27">
        <f>SUMIFS(Table4[Rev. Based on PROB],Table4[Installation],$B23,Table4[Projected 
Year],X$1,Table4[Projected 
Month],X$2)</f>
        <v>0</v>
      </c>
      <c r="Y23" s="159">
        <f>SUMPRODUCT(Table4[Probability]*Table4[Rev. Based on PROB]*(Table4[Installation]=$B23)*(Table4[Projected 
Year]=X$1)*(Table4[Projected 
Month]=X$2))/MAX(1,SUMPRODUCT(Table4[Rev. Based on PROB]*(Table4[Installation]=$B23)*(Table4[Projected 
Year]=X$1)*(Table4[Projected 
Month]=X$2)))</f>
        <v>0</v>
      </c>
      <c r="Z23" s="160">
        <f>SUMPRODUCT(Table4[Rev. Based on PROB]*Table4[Expected CMR]*(Table4[Projected 
Year]=X$1)*(Table4[Projected 
Month]=X$2)*(Table4[Installation]=$B23))/MAX(1,X23)</f>
        <v>0</v>
      </c>
      <c r="AA23" s="27">
        <f>SUMIFS(Table4[Rev. Based on PROB],Table4[Installation],$B23,Table4[Projected 
Year],AA$1,Table4[Projected 
Month],AA$2)</f>
        <v>0</v>
      </c>
      <c r="AB23" s="159">
        <f>SUMPRODUCT(Table4[Probability]*Table4[Rev. Based on PROB]*(Table4[Installation]=$B23)*(Table4[Projected 
Year]=AA$1)*(Table4[Projected 
Month]=AA$2))/MAX(1,SUMPRODUCT(Table4[Rev. Based on PROB]*(Table4[Installation]=$B23)*(Table4[Projected 
Year]=AA$1)*(Table4[Projected 
Month]=AA$2)))</f>
        <v>0</v>
      </c>
      <c r="AC23" s="160">
        <f>SUMPRODUCT(Table4[Rev. Based on PROB]*Table4[Expected CMR]*(Table4[Projected 
Year]=AA$1)*(Table4[Projected 
Month]=AA$2)*(Table4[Installation]=$B23))/MAX(1,AA23)</f>
        <v>0</v>
      </c>
      <c r="AD23" s="27">
        <f>SUMIFS(Table4[Rev. Based on PROB],Table4[Installation],$B23,Table4[Projected 
Year],AD$1,Table4[Projected 
Month],AD$2)</f>
        <v>0</v>
      </c>
      <c r="AE23" s="159">
        <f>SUMPRODUCT(Table4[Probability]*Table4[Rev. Based on PROB]*(Table4[Installation]=$B23)*(Table4[Projected 
Year]=AD$1)*(Table4[Projected 
Month]=AD$2))/MAX(1,SUMPRODUCT(Table4[Rev. Based on PROB]*(Table4[Installation]=$B23)*(Table4[Projected 
Year]=AD$1)*(Table4[Projected 
Month]=AD$2)))</f>
        <v>0</v>
      </c>
      <c r="AF23" s="160">
        <f>SUMPRODUCT(Table4[Rev. Based on PROB]*Table4[Expected CMR]*(Table4[Projected 
Year]=AD$1)*(Table4[Projected 
Month]=AD$2)*(Table4[Installation]=$B23))/MAX(1,AD23)</f>
        <v>0</v>
      </c>
      <c r="AG23" s="27">
        <f>SUMIFS(Table4[Rev. Based on PROB],Table4[Installation],$B23,Table4[Projected 
Year],AG$1,Table4[Projected 
Month],AG$2)</f>
        <v>0</v>
      </c>
      <c r="AH23" s="159">
        <f>SUMPRODUCT(Table4[Probability]*Table4[Rev. Based on PROB]*(Table4[Installation]=$B23)*(Table4[Projected 
Year]=AG$1)*(Table4[Projected 
Month]=AG$2))/MAX(1,SUMPRODUCT(Table4[Rev. Based on PROB]*(Table4[Installation]=$B23)*(Table4[Projected 
Year]=AG$1)*(Table4[Projected 
Month]=AG$2)))</f>
        <v>0</v>
      </c>
      <c r="AI23" s="160">
        <f>SUMPRODUCT(Table4[Rev. Based on PROB]*Table4[Expected CMR]*(Table4[Projected 
Year]=AG$1)*(Table4[Projected 
Month]=AG$2)*(Table4[Installation]=$B23))/MAX(1,AG23)</f>
        <v>0</v>
      </c>
      <c r="AJ23" s="27">
        <f>SUMIFS(Table4[Rev. Based on PROB],Table4[Installation],$B23,Table4[Projected 
Year],AJ$1,Table4[Projected 
Month],AJ$2)</f>
        <v>0</v>
      </c>
      <c r="AK23" s="159">
        <f>SUMPRODUCT(Table4[Probability]*Table4[Rev. Based on PROB]*(Table4[Installation]=$B23)*(Table4[Projected 
Year]=AJ$1)*(Table4[Projected 
Month]=AJ$2))/MAX(1,SUMPRODUCT(Table4[Rev. Based on PROB]*(Table4[Installation]=$B23)*(Table4[Projected 
Year]=AJ$1)*(Table4[Projected 
Month]=AJ$2)))</f>
        <v>0</v>
      </c>
      <c r="AL23" s="160">
        <f>SUMPRODUCT(Table4[Rev. Based on PROB]*Table4[Expected CMR]*(Table4[Projected 
Year]=AJ$1)*(Table4[Projected 
Month]=AJ$2)*(Table4[Installation]=$B23))/MAX(1,AJ23)</f>
        <v>0</v>
      </c>
      <c r="AM23" s="30">
        <f t="shared" si="1"/>
        <v>0</v>
      </c>
      <c r="AN23" s="52">
        <f t="shared" si="2"/>
        <v>0</v>
      </c>
      <c r="AO23" s="53">
        <f t="shared" si="3"/>
        <v>0</v>
      </c>
      <c r="AP23" s="27">
        <f>SUMIFS(Table47[Rev. Based on PROB],Table47[Installation],$B23,Table47[Projected 
Year],AP$1,Table47[Monthly revenue],AP$2)</f>
        <v>0</v>
      </c>
      <c r="AQ23" s="159">
        <f>SUMPRODUCT(Table4[Probability]*Table4[Rev. Based on PROB]*(Table4[Installation]=$B23)*(Table4[Projected 
Year]=AP$1)*(Table4[Projected 
Month]=AP$2))/MAX(1,SUMPRODUCT(Table4[Rev. Based on PROB]*(Table4[Installation]=$B23)*(Table4[Projected 
Year]=AP$1)*(Table4[Projected 
Month]=AP$2)))</f>
        <v>0</v>
      </c>
      <c r="AR23" s="160">
        <f>SUMPRODUCT(Table4[Rev. Based on PROB]*Table4[Expected CMR]*(Table4[Projected 
Year]=AP$1)*(Table4[Projected 
Month]=AP$2)*(Table4[Installation]=$B23))/MAX(1,AP23)</f>
        <v>0</v>
      </c>
      <c r="AS23" s="27">
        <f>SUMIFS(Table47[Rev. Based on PROB],Table47[Installation],$B23,Table47[Projected 
Year],AS$1,Table47[Monthly revenue],AS$2)</f>
        <v>0</v>
      </c>
      <c r="AT23" s="159">
        <f>SUMPRODUCT(Table4[Probability]*Table4[Rev. Based on PROB]*(Table4[Installation]=$B23)*(Table4[Projected 
Year]=AS$1)*(Table4[Projected 
Month]=AS$2))/MAX(1,SUMPRODUCT(Table4[Rev. Based on PROB]*(Table4[Installation]=$B23)*(Table4[Projected 
Year]=AS$1)*(Table4[Projected 
Month]=AS$2)))</f>
        <v>0</v>
      </c>
      <c r="AU23" s="160">
        <f>SUMPRODUCT(Table4[Rev. Based on PROB]*Table4[Expected CMR]*(Table4[Projected 
Year]=AS$1)*(Table4[Projected 
Month]=AS$2)*(Table4[Installation]=$B23))/MAX(1,AS23)</f>
        <v>0</v>
      </c>
      <c r="AV23" s="27">
        <f>SUMIFS(Table47[Rev. Based on PROB],Table47[Installation],$B23,Table47[Projected 
Year],AV$1,Table47[Monthly revenue],AV$2)</f>
        <v>0</v>
      </c>
      <c r="AW23" s="159">
        <f>SUMPRODUCT(Table4[Probability]*Table4[Rev. Based on PROB]*(Table4[Installation]=$B23)*(Table4[Projected 
Year]=AV$1)*(Table4[Projected 
Month]=AV$2))/MAX(1,SUMPRODUCT(Table4[Rev. Based on PROB]*(Table4[Installation]=$B23)*(Table4[Projected 
Year]=AV$1)*(Table4[Projected 
Month]=AV$2)))</f>
        <v>0</v>
      </c>
      <c r="AX23" s="160">
        <f>SUMPRODUCT(Table4[Rev. Based on PROB]*Table4[Expected CMR]*(Table4[Projected 
Year]=AV$1)*(Table4[Projected 
Month]=AV$2)*(Table4[Installation]=$B23))/MAX(1,AV23)</f>
        <v>0</v>
      </c>
      <c r="AY23" s="27">
        <f>SUMIFS(Table47[Rev. Based on PROB],Table47[Installation],$B23,Table47[Projected 
Year],AY$1,Table47[Monthly revenue],AY$2)</f>
        <v>0</v>
      </c>
      <c r="AZ23" s="159">
        <f>SUMPRODUCT(Table4[Probability]*Table4[Rev. Based on PROB]*(Table4[Installation]=$B23)*(Table4[Projected 
Year]=AY$1)*(Table4[Projected 
Month]=AY$2))/MAX(1,SUMPRODUCT(Table4[Rev. Based on PROB]*(Table4[Installation]=$B23)*(Table4[Projected 
Year]=AY$1)*(Table4[Projected 
Month]=AY$2)))</f>
        <v>0</v>
      </c>
      <c r="BA23" s="160">
        <f>SUMPRODUCT(Table4[Rev. Based on PROB]*Table4[Expected CMR]*(Table4[Projected 
Year]=AY$1)*(Table4[Projected 
Month]=AY$2)*(Table4[Installation]=$B23))/MAX(1,AY23)</f>
        <v>0</v>
      </c>
      <c r="BB23" s="27">
        <f>SUMIFS(Table47[Rev. Based on PROB],Table47[Installation],$B23,Table47[Projected 
Year],BB$1,Table47[Monthly revenue],BB$2)</f>
        <v>0</v>
      </c>
      <c r="BC23" s="159">
        <f>SUMPRODUCT(Table4[Probability]*Table4[Rev. Based on PROB]*(Table4[Installation]=$B23)*(Table4[Projected 
Year]=BB$1)*(Table4[Projected 
Month]=BB$2))/MAX(1,SUMPRODUCT(Table4[Rev. Based on PROB]*(Table4[Installation]=$B23)*(Table4[Projected 
Year]=BB$1)*(Table4[Projected 
Month]=BB$2)))</f>
        <v>0</v>
      </c>
      <c r="BD23" s="160">
        <f>SUMPRODUCT(Table4[Rev. Based on PROB]*Table4[Expected CMR]*(Table4[Projected 
Year]=BB$1)*(Table4[Projected 
Month]=BB$2)*(Table4[Installation]=$B23))/MAX(1,BB23)</f>
        <v>0</v>
      </c>
      <c r="BE23" s="27">
        <f>SUMIFS(Table47[Rev. Based on PROB],Table47[Installation],$B23,Table47[Projected 
Year],BE$1,Table47[Monthly revenue],BE$2)</f>
        <v>0</v>
      </c>
      <c r="BF23" s="159">
        <f>SUMPRODUCT(Table4[Probability]*Table4[Rev. Based on PROB]*(Table4[Installation]=$B23)*(Table4[Projected 
Year]=BE$1)*(Table4[Projected 
Month]=BE$2))/MAX(1,SUMPRODUCT(Table4[Rev. Based on PROB]*(Table4[Installation]=$B23)*(Table4[Projected 
Year]=BE$1)*(Table4[Projected 
Month]=BE$2)))</f>
        <v>0</v>
      </c>
      <c r="BG23" s="160">
        <f>SUMPRODUCT(Table4[Rev. Based on PROB]*Table4[Expected CMR]*(Table4[Projected 
Year]=BE$1)*(Table4[Projected 
Month]=BE$2)*(Table4[Installation]=$B23))/MAX(1,BE23)</f>
        <v>0</v>
      </c>
      <c r="BH23" s="27">
        <f>SUMIFS(Table47[Rev. Based on PROB],Table47[Installation],$B23,Table47[Projected 
Year],BH$1,Table47[Monthly revenue],BH$2)</f>
        <v>0</v>
      </c>
      <c r="BI23" s="159">
        <f>SUMPRODUCT(Table4[Probability]*Table4[Rev. Based on PROB]*(Table4[Installation]=$B23)*(Table4[Projected 
Year]=BH$1)*(Table4[Projected 
Month]=BH$2))/MAX(1,SUMPRODUCT(Table4[Rev. Based on PROB]*(Table4[Installation]=$B23)*(Table4[Projected 
Year]=BH$1)*(Table4[Projected 
Month]=BH$2)))</f>
        <v>0</v>
      </c>
      <c r="BJ23" s="160">
        <f>SUMPRODUCT(Table4[Rev. Based on PROB]*Table4[Expected CMR]*(Table4[Projected 
Year]=BH$1)*(Table4[Projected 
Month]=BH$2)*(Table4[Installation]=$B23))/MAX(1,BH23)</f>
        <v>0</v>
      </c>
      <c r="BK23" s="27">
        <f>SUMIFS(Table47[Rev. Based on PROB],Table47[Installation],$B23,Table47[Projected 
Year],BK$1,Table47[Monthly revenue],BK$2)</f>
        <v>0</v>
      </c>
      <c r="BL23" s="159">
        <f>SUMPRODUCT(Table4[Probability]*Table4[Rev. Based on PROB]*(Table4[Installation]=$B23)*(Table4[Projected 
Year]=BK$1)*(Table4[Projected 
Month]=BK$2))/MAX(1,SUMPRODUCT(Table4[Rev. Based on PROB]*(Table4[Installation]=$B23)*(Table4[Projected 
Year]=BK$1)*(Table4[Projected 
Month]=BK$2)))</f>
        <v>0</v>
      </c>
      <c r="BM23" s="160">
        <f>SUMPRODUCT(Table4[Rev. Based on PROB]*Table4[Expected CMR]*(Table4[Projected 
Year]=BK$1)*(Table4[Projected 
Month]=BK$2)*(Table4[Installation]=$B23))/MAX(1,BK23)</f>
        <v>0</v>
      </c>
      <c r="BN23" s="27">
        <f>SUMIFS(Table47[Rev. Based on PROB],Table47[Installation],$B23,Table47[Projected 
Year],BN$1,Table47[Monthly revenue],BN$2)</f>
        <v>0</v>
      </c>
      <c r="BO23" s="159">
        <f>SUMPRODUCT(Table4[Probability]*Table4[Rev. Based on PROB]*(Table4[Installation]=$B23)*(Table4[Projected 
Year]=BN$1)*(Table4[Projected 
Month]=BN$2))/MAX(1,SUMPRODUCT(Table4[Rev. Based on PROB]*(Table4[Installation]=$B23)*(Table4[Projected 
Year]=BN$1)*(Table4[Projected 
Month]=BN$2)))</f>
        <v>0</v>
      </c>
      <c r="BP23" s="160">
        <f>SUMPRODUCT(Table4[Rev. Based on PROB]*Table4[Expected CMR]*(Table4[Projected 
Year]=BN$1)*(Table4[Projected 
Month]=BN$2)*(Table4[Installation]=$B23))/MAX(1,BN23)</f>
        <v>0</v>
      </c>
      <c r="BQ23" s="27">
        <f>SUMIFS(Table47[Rev. Based on PROB],Table47[Installation],$B23,Table47[Projected 
Year],BQ$1,Table47[Monthly revenue],BQ$2)</f>
        <v>0</v>
      </c>
      <c r="BR23" s="159">
        <f>SUMPRODUCT(Table4[Probability]*Table4[Rev. Based on PROB]*(Table4[Installation]=$B23)*(Table4[Projected 
Year]=BQ$1)*(Table4[Projected 
Month]=BQ$2))/MAX(1,SUMPRODUCT(Table4[Rev. Based on PROB]*(Table4[Installation]=$B23)*(Table4[Projected 
Year]=BQ$1)*(Table4[Projected 
Month]=BQ$2)))</f>
        <v>0</v>
      </c>
      <c r="BS23" s="160">
        <f>SUMPRODUCT(Table4[Rev. Based on PROB]*Table4[Expected CMR]*(Table4[Projected 
Year]=BQ$1)*(Table4[Projected 
Month]=BQ$2)*(Table4[Installation]=$B23))/MAX(1,BQ23)</f>
        <v>0</v>
      </c>
      <c r="BT23" s="27">
        <f>SUMIFS(Table47[Rev. Based on PROB],Table47[Installation],$B23,Table47[Projected 
Year],BT$1,Table47[Monthly revenue],BT$2)</f>
        <v>0</v>
      </c>
      <c r="BU23" s="159">
        <f>SUMPRODUCT(Table4[Probability]*Table4[Rev. Based on PROB]*(Table4[Installation]=$B23)*(Table4[Projected 
Year]=BT$1)*(Table4[Projected 
Month]=BT$2))/MAX(1,SUMPRODUCT(Table4[Rev. Based on PROB]*(Table4[Installation]=$B23)*(Table4[Projected 
Year]=BT$1)*(Table4[Projected 
Month]=BT$2)))</f>
        <v>0</v>
      </c>
      <c r="BV23" s="160">
        <f>SUMPRODUCT(Table4[Rev. Based on PROB]*Table4[Expected CMR]*(Table4[Projected 
Year]=BT$1)*(Table4[Projected 
Month]=BT$2)*(Table4[Installation]=$B23))/MAX(1,BT23)</f>
        <v>0</v>
      </c>
      <c r="BW23" s="27">
        <f>SUMIFS(Table47[Rev. Based on PROB],Table47[Installation],$B23,Table47[Projected 
Year],BW$1,Table47[Monthly revenue],BW$2)</f>
        <v>0</v>
      </c>
      <c r="BX23" s="159">
        <f>SUMPRODUCT(Table4[Probability]*Table4[Rev. Based on PROB]*(Table4[Installation]=$B23)*(Table4[Projected 
Year]=BW$1)*(Table4[Projected 
Month]=BW$2))/MAX(1,SUMPRODUCT(Table4[Rev. Based on PROB]*(Table4[Installation]=$B23)*(Table4[Projected 
Year]=BW$1)*(Table4[Projected 
Month]=BW$2)))</f>
        <v>0</v>
      </c>
      <c r="BY23" s="160">
        <f>SUMPRODUCT(Table4[Rev. Based on PROB]*Table4[Expected CMR]*(Table4[Projected 
Year]=BW$1)*(Table4[Projected 
Month]=BW$2)*(Table4[Installation]=$B23))/MAX(1,BW23)</f>
        <v>0</v>
      </c>
      <c r="BZ23" s="200"/>
      <c r="CA23" s="200"/>
      <c r="CB23" s="200"/>
      <c r="CC23" s="200"/>
      <c r="CD23" s="200"/>
      <c r="CE23" s="200"/>
      <c r="CF23" s="200"/>
      <c r="CG23" s="200"/>
      <c r="CH23" s="200"/>
      <c r="CI23" s="200"/>
      <c r="CJ23" s="200"/>
      <c r="CK23" s="200"/>
      <c r="CL23" s="200"/>
      <c r="CM23" s="200"/>
      <c r="CN23" s="200"/>
      <c r="CO23" s="200"/>
      <c r="CP23" s="200"/>
      <c r="CQ23" s="200"/>
      <c r="CR23" s="200"/>
      <c r="CS23" s="200"/>
      <c r="CT23" s="200"/>
      <c r="CU23" s="30">
        <f t="shared" si="0"/>
        <v>0</v>
      </c>
      <c r="CV23" s="52">
        <f t="shared" si="4"/>
        <v>0</v>
      </c>
      <c r="CW23" s="53">
        <f t="shared" si="5"/>
        <v>0</v>
      </c>
      <c r="CX23" s="29"/>
    </row>
    <row r="24" spans="1:103">
      <c r="A24" s="18"/>
      <c r="B24" s="20" t="s">
        <v>486</v>
      </c>
      <c r="C24" s="27">
        <f>SUMIFS(Table4[Rev. Based on PROB],Table4[Installation],$B24,Table4[Projected 
Year],C$1,Table4[Projected 
Month],C$2)</f>
        <v>0</v>
      </c>
      <c r="D24" s="159">
        <f>SUMPRODUCT(Table4[Probability]*Table4[Rev. Based on PROB]*(Table4[Installation]=$B24)*(Table4[Projected 
Year]=C$1)*(Table4[Projected 
Month]=C$2))/MAX(1,SUMPRODUCT(Table4[Rev. Based on PROB]*(Table4[Installation]=$B24)*(Table4[Projected 
Year]=C$1)*(Table4[Projected 
Month]=C$2)))</f>
        <v>0</v>
      </c>
      <c r="E24" s="160">
        <f>SUMPRODUCT(Table4[Rev. Based on PROB]*Table4[Expected CMR]*(Table4[Projected 
Year]=C$1)*(Table4[Projected 
Month]=C$2)*(Table4[Installation]=$B24))/MAX(1,C24)</f>
        <v>0</v>
      </c>
      <c r="F24" s="27">
        <f>SUMIFS(Table4[Rev. Based on PROB],Table4[Installation],$B24,Table4[Projected 
Year],F$1,Table4[Projected 
Month],F$2)</f>
        <v>0</v>
      </c>
      <c r="G24" s="159">
        <f>SUMPRODUCT(Table4[Probability]*Table4[Rev. Based on PROB]*(Table4[Installation]=$B24)*(Table4[Projected 
Year]=F$1)*(Table4[Projected 
Month]=F$2))/MAX(1,SUMPRODUCT(Table4[Rev. Based on PROB]*(Table4[Installation]=$B24)*(Table4[Projected 
Year]=F$1)*(Table4[Projected 
Month]=F$2)))</f>
        <v>0</v>
      </c>
      <c r="H24" s="160">
        <f>SUMPRODUCT(Table4[Rev. Based on PROB]*Table4[Expected CMR]*(Table4[Projected 
Year]=F$1)*(Table4[Projected 
Month]=F$2)*(Table4[Installation]=$B24))/MAX(1,F24)</f>
        <v>0</v>
      </c>
      <c r="I24" s="27">
        <f>SUMIFS(Table4[Rev. Based on PROB],Table4[Installation],$B24,Table4[Projected 
Year],I$1,Table4[Projected 
Month],I$2)</f>
        <v>0</v>
      </c>
      <c r="J24" s="159">
        <f>SUMPRODUCT(Table4[Probability]*Table4[Rev. Based on PROB]*(Table4[Installation]=$B24)*(Table4[Projected 
Year]=I$1)*(Table4[Projected 
Month]=I$2))/MAX(1,SUMPRODUCT(Table4[Rev. Based on PROB]*(Table4[Installation]=$B24)*(Table4[Projected 
Year]=I$1)*(Table4[Projected 
Month]=I$2)))</f>
        <v>0</v>
      </c>
      <c r="K24" s="160">
        <f>SUMPRODUCT(Table4[Rev. Based on PROB]*Table4[Expected CMR]*(Table4[Projected 
Year]=I$1)*(Table4[Projected 
Month]=I$2)*(Table4[Installation]=$B24))/MAX(1,I24)</f>
        <v>0</v>
      </c>
      <c r="L24" s="27">
        <f>SUMIFS(Table4[Rev. Based on PROB],Table4[Installation],$B24,Table4[Projected 
Year],L$1,Table4[Projected 
Month],L$2)</f>
        <v>0</v>
      </c>
      <c r="M24" s="159">
        <f>SUMPRODUCT(Table4[Probability]*Table4[Rev. Based on PROB]*(Table4[Installation]=$B24)*(Table4[Projected 
Year]=L$1)*(Table4[Projected 
Month]=L$2))/MAX(1,SUMPRODUCT(Table4[Rev. Based on PROB]*(Table4[Installation]=$B24)*(Table4[Projected 
Year]=L$1)*(Table4[Projected 
Month]=L$2)))</f>
        <v>0</v>
      </c>
      <c r="N24" s="160">
        <f>SUMPRODUCT(Table4[Rev. Based on PROB]*Table4[Expected CMR]*(Table4[Projected 
Year]=L$1)*(Table4[Projected 
Month]=L$2)*(Table4[Installation]=$B24))/MAX(1,L24)</f>
        <v>0</v>
      </c>
      <c r="O24" s="27">
        <f>SUMIFS(Table4[Rev. Based on PROB],Table4[Installation],$B24,Table4[Projected 
Year],O$1,Table4[Projected 
Month],O$2)</f>
        <v>0</v>
      </c>
      <c r="P24" s="159">
        <f>SUMPRODUCT(Table4[Probability]*Table4[Rev. Based on PROB]*(Table4[Installation]=$B24)*(Table4[Projected 
Year]=O$1)*(Table4[Projected 
Month]=O$2))/MAX(1,SUMPRODUCT(Table4[Rev. Based on PROB]*(Table4[Installation]=$B24)*(Table4[Projected 
Year]=O$1)*(Table4[Projected 
Month]=O$2)))</f>
        <v>0</v>
      </c>
      <c r="Q24" s="160">
        <f>SUMPRODUCT(Table4[Rev. Based on PROB]*Table4[Expected CMR]*(Table4[Projected 
Year]=O$1)*(Table4[Projected 
Month]=O$2)*(Table4[Installation]=$B24))/MAX(1,O24)</f>
        <v>0</v>
      </c>
      <c r="R24" s="27">
        <f>SUMIFS(Table4[Rev. Based on PROB],Table4[Installation],$B24,Table4[Projected 
Year],R$1,Table4[Projected 
Month],R$2)</f>
        <v>0</v>
      </c>
      <c r="S24" s="159">
        <f>SUMPRODUCT(Table4[Probability]*Table4[Rev. Based on PROB]*(Table4[Installation]=$B24)*(Table4[Projected 
Year]=R$1)*(Table4[Projected 
Month]=R$2))/MAX(1,SUMPRODUCT(Table4[Rev. Based on PROB]*(Table4[Installation]=$B24)*(Table4[Projected 
Year]=R$1)*(Table4[Projected 
Month]=R$2)))</f>
        <v>0</v>
      </c>
      <c r="T24" s="160">
        <f>SUMPRODUCT(Table4[Rev. Based on PROB]*Table4[Expected CMR]*(Table4[Projected 
Year]=R$1)*(Table4[Projected 
Month]=R$2)*(Table4[Installation]=$B24))/MAX(1,R24)</f>
        <v>0</v>
      </c>
      <c r="U24" s="27">
        <f>SUMIFS(Table4[Rev. Based on PROB],Table4[Installation],$B24,Table4[Projected 
Year],U$1,Table4[Projected 
Month],U$2)</f>
        <v>0</v>
      </c>
      <c r="V24" s="159">
        <f>SUMPRODUCT(Table4[Probability]*Table4[Rev. Based on PROB]*(Table4[Installation]=$B24)*(Table4[Projected 
Year]=U$1)*(Table4[Projected 
Month]=U$2))/MAX(1,SUMPRODUCT(Table4[Rev. Based on PROB]*(Table4[Installation]=$B24)*(Table4[Projected 
Year]=U$1)*(Table4[Projected 
Month]=U$2)))</f>
        <v>0</v>
      </c>
      <c r="W24" s="160">
        <f>SUMPRODUCT(Table4[Rev. Based on PROB]*Table4[Expected CMR]*(Table4[Projected 
Year]=U$1)*(Table4[Projected 
Month]=U$2)*(Table4[Installation]=$B24))/MAX(1,U24)</f>
        <v>0</v>
      </c>
      <c r="X24" s="27">
        <f>SUMIFS(Table4[Rev. Based on PROB],Table4[Installation],$B24,Table4[Projected 
Year],X$1,Table4[Projected 
Month],X$2)</f>
        <v>0</v>
      </c>
      <c r="Y24" s="159">
        <f>SUMPRODUCT(Table4[Probability]*Table4[Rev. Based on PROB]*(Table4[Installation]=$B24)*(Table4[Projected 
Year]=X$1)*(Table4[Projected 
Month]=X$2))/MAX(1,SUMPRODUCT(Table4[Rev. Based on PROB]*(Table4[Installation]=$B24)*(Table4[Projected 
Year]=X$1)*(Table4[Projected 
Month]=X$2)))</f>
        <v>0</v>
      </c>
      <c r="Z24" s="160">
        <f>SUMPRODUCT(Table4[Rev. Based on PROB]*Table4[Expected CMR]*(Table4[Projected 
Year]=X$1)*(Table4[Projected 
Month]=X$2)*(Table4[Installation]=$B24))/MAX(1,X24)</f>
        <v>0</v>
      </c>
      <c r="AA24" s="27">
        <f>SUMIFS(Table4[Rev. Based on PROB],Table4[Installation],$B24,Table4[Projected 
Year],AA$1,Table4[Projected 
Month],AA$2)</f>
        <v>0</v>
      </c>
      <c r="AB24" s="159">
        <f>SUMPRODUCT(Table4[Probability]*Table4[Rev. Based on PROB]*(Table4[Installation]=$B24)*(Table4[Projected 
Year]=AA$1)*(Table4[Projected 
Month]=AA$2))/MAX(1,SUMPRODUCT(Table4[Rev. Based on PROB]*(Table4[Installation]=$B24)*(Table4[Projected 
Year]=AA$1)*(Table4[Projected 
Month]=AA$2)))</f>
        <v>0</v>
      </c>
      <c r="AC24" s="160">
        <f>SUMPRODUCT(Table4[Rev. Based on PROB]*Table4[Expected CMR]*(Table4[Projected 
Year]=AA$1)*(Table4[Projected 
Month]=AA$2)*(Table4[Installation]=$B24))/MAX(1,AA24)</f>
        <v>0</v>
      </c>
      <c r="AD24" s="27">
        <f>SUMIFS(Table4[Rev. Based on PROB],Table4[Installation],$B24,Table4[Projected 
Year],AD$1,Table4[Projected 
Month],AD$2)</f>
        <v>0</v>
      </c>
      <c r="AE24" s="159">
        <f>SUMPRODUCT(Table4[Probability]*Table4[Rev. Based on PROB]*(Table4[Installation]=$B24)*(Table4[Projected 
Year]=AD$1)*(Table4[Projected 
Month]=AD$2))/MAX(1,SUMPRODUCT(Table4[Rev. Based on PROB]*(Table4[Installation]=$B24)*(Table4[Projected 
Year]=AD$1)*(Table4[Projected 
Month]=AD$2)))</f>
        <v>0</v>
      </c>
      <c r="AF24" s="160">
        <f>SUMPRODUCT(Table4[Rev. Based on PROB]*Table4[Expected CMR]*(Table4[Projected 
Year]=AD$1)*(Table4[Projected 
Month]=AD$2)*(Table4[Installation]=$B24))/MAX(1,AD24)</f>
        <v>0</v>
      </c>
      <c r="AG24" s="27">
        <f>SUMIFS(Table4[Rev. Based on PROB],Table4[Installation],$B24,Table4[Projected 
Year],AG$1,Table4[Projected 
Month],AG$2)</f>
        <v>0</v>
      </c>
      <c r="AH24" s="159">
        <f>SUMPRODUCT(Table4[Probability]*Table4[Rev. Based on PROB]*(Table4[Installation]=$B24)*(Table4[Projected 
Year]=AG$1)*(Table4[Projected 
Month]=AG$2))/MAX(1,SUMPRODUCT(Table4[Rev. Based on PROB]*(Table4[Installation]=$B24)*(Table4[Projected 
Year]=AG$1)*(Table4[Projected 
Month]=AG$2)))</f>
        <v>0</v>
      </c>
      <c r="AI24" s="160">
        <f>SUMPRODUCT(Table4[Rev. Based on PROB]*Table4[Expected CMR]*(Table4[Projected 
Year]=AG$1)*(Table4[Projected 
Month]=AG$2)*(Table4[Installation]=$B24))/MAX(1,AG24)</f>
        <v>0</v>
      </c>
      <c r="AJ24" s="27">
        <f>SUMIFS(Table4[Rev. Based on PROB],Table4[Installation],$B24,Table4[Projected 
Year],AJ$1,Table4[Projected 
Month],AJ$2)</f>
        <v>0</v>
      </c>
      <c r="AK24" s="159">
        <f>SUMPRODUCT(Table4[Probability]*Table4[Rev. Based on PROB]*(Table4[Installation]=$B24)*(Table4[Projected 
Year]=AJ$1)*(Table4[Projected 
Month]=AJ$2))/MAX(1,SUMPRODUCT(Table4[Rev. Based on PROB]*(Table4[Installation]=$B24)*(Table4[Projected 
Year]=AJ$1)*(Table4[Projected 
Month]=AJ$2)))</f>
        <v>0</v>
      </c>
      <c r="AL24" s="160">
        <f>SUMPRODUCT(Table4[Rev. Based on PROB]*Table4[Expected CMR]*(Table4[Projected 
Year]=AJ$1)*(Table4[Projected 
Month]=AJ$2)*(Table4[Installation]=$B24))/MAX(1,AJ24)</f>
        <v>0</v>
      </c>
      <c r="AM24" s="30">
        <f t="shared" si="1"/>
        <v>0</v>
      </c>
      <c r="AN24" s="52">
        <f t="shared" si="2"/>
        <v>0</v>
      </c>
      <c r="AO24" s="53">
        <f t="shared" si="3"/>
        <v>0</v>
      </c>
      <c r="AP24" s="27">
        <f>SUMIFS(Table47[Rev. Based on PROB],Table47[Installation],$B24,Table47[Projected 
Year],AP$1,Table47[Monthly revenue],AP$2)</f>
        <v>0</v>
      </c>
      <c r="AQ24" s="159">
        <f>SUMPRODUCT(Table4[Probability]*Table4[Rev. Based on PROB]*(Table4[Installation]=$B24)*(Table4[Projected 
Year]=AP$1)*(Table4[Projected 
Month]=AP$2))/MAX(1,SUMPRODUCT(Table4[Rev. Based on PROB]*(Table4[Installation]=$B24)*(Table4[Projected 
Year]=AP$1)*(Table4[Projected 
Month]=AP$2)))</f>
        <v>0</v>
      </c>
      <c r="AR24" s="160">
        <f>SUMPRODUCT(Table4[Rev. Based on PROB]*Table4[Expected CMR]*(Table4[Projected 
Year]=AP$1)*(Table4[Projected 
Month]=AP$2)*(Table4[Installation]=$B24))/MAX(1,AP24)</f>
        <v>0</v>
      </c>
      <c r="AS24" s="27">
        <f>SUMIFS(Table47[Rev. Based on PROB],Table47[Installation],$B24,Table47[Projected 
Year],AS$1,Table47[Monthly revenue],AS$2)</f>
        <v>0</v>
      </c>
      <c r="AT24" s="159">
        <f>SUMPRODUCT(Table4[Probability]*Table4[Rev. Based on PROB]*(Table4[Installation]=$B24)*(Table4[Projected 
Year]=AS$1)*(Table4[Projected 
Month]=AS$2))/MAX(1,SUMPRODUCT(Table4[Rev. Based on PROB]*(Table4[Installation]=$B24)*(Table4[Projected 
Year]=AS$1)*(Table4[Projected 
Month]=AS$2)))</f>
        <v>0</v>
      </c>
      <c r="AU24" s="160">
        <f>SUMPRODUCT(Table4[Rev. Based on PROB]*Table4[Expected CMR]*(Table4[Projected 
Year]=AS$1)*(Table4[Projected 
Month]=AS$2)*(Table4[Installation]=$B24))/MAX(1,AS24)</f>
        <v>0</v>
      </c>
      <c r="AV24" s="27">
        <f>SUMIFS(Table47[Rev. Based on PROB],Table47[Installation],$B24,Table47[Projected 
Year],AV$1,Table47[Monthly revenue],AV$2)</f>
        <v>0</v>
      </c>
      <c r="AW24" s="159">
        <f>SUMPRODUCT(Table4[Probability]*Table4[Rev. Based on PROB]*(Table4[Installation]=$B24)*(Table4[Projected 
Year]=AV$1)*(Table4[Projected 
Month]=AV$2))/MAX(1,SUMPRODUCT(Table4[Rev. Based on PROB]*(Table4[Installation]=$B24)*(Table4[Projected 
Year]=AV$1)*(Table4[Projected 
Month]=AV$2)))</f>
        <v>0</v>
      </c>
      <c r="AX24" s="160">
        <f>SUMPRODUCT(Table4[Rev. Based on PROB]*Table4[Expected CMR]*(Table4[Projected 
Year]=AV$1)*(Table4[Projected 
Month]=AV$2)*(Table4[Installation]=$B24))/MAX(1,AV24)</f>
        <v>0</v>
      </c>
      <c r="AY24" s="27">
        <f>SUMIFS(Table47[Rev. Based on PROB],Table47[Installation],$B24,Table47[Projected 
Year],AY$1,Table47[Monthly revenue],AY$2)</f>
        <v>0</v>
      </c>
      <c r="AZ24" s="159">
        <f>SUMPRODUCT(Table4[Probability]*Table4[Rev. Based on PROB]*(Table4[Installation]=$B24)*(Table4[Projected 
Year]=AY$1)*(Table4[Projected 
Month]=AY$2))/MAX(1,SUMPRODUCT(Table4[Rev. Based on PROB]*(Table4[Installation]=$B24)*(Table4[Projected 
Year]=AY$1)*(Table4[Projected 
Month]=AY$2)))</f>
        <v>0</v>
      </c>
      <c r="BA24" s="160">
        <f>SUMPRODUCT(Table4[Rev. Based on PROB]*Table4[Expected CMR]*(Table4[Projected 
Year]=AY$1)*(Table4[Projected 
Month]=AY$2)*(Table4[Installation]=$B24))/MAX(1,AY24)</f>
        <v>0</v>
      </c>
      <c r="BB24" s="27">
        <f>SUMIFS(Table47[Rev. Based on PROB],Table47[Installation],$B24,Table47[Projected 
Year],BB$1,Table47[Monthly revenue],BB$2)</f>
        <v>0</v>
      </c>
      <c r="BC24" s="159">
        <f>SUMPRODUCT(Table4[Probability]*Table4[Rev. Based on PROB]*(Table4[Installation]=$B24)*(Table4[Projected 
Year]=BB$1)*(Table4[Projected 
Month]=BB$2))/MAX(1,SUMPRODUCT(Table4[Rev. Based on PROB]*(Table4[Installation]=$B24)*(Table4[Projected 
Year]=BB$1)*(Table4[Projected 
Month]=BB$2)))</f>
        <v>0</v>
      </c>
      <c r="BD24" s="160">
        <f>SUMPRODUCT(Table4[Rev. Based on PROB]*Table4[Expected CMR]*(Table4[Projected 
Year]=BB$1)*(Table4[Projected 
Month]=BB$2)*(Table4[Installation]=$B24))/MAX(1,BB24)</f>
        <v>0</v>
      </c>
      <c r="BE24" s="27">
        <f>SUMIFS(Table47[Rev. Based on PROB],Table47[Installation],$B24,Table47[Projected 
Year],BE$1,Table47[Monthly revenue],BE$2)</f>
        <v>0</v>
      </c>
      <c r="BF24" s="159">
        <f>SUMPRODUCT(Table4[Probability]*Table4[Rev. Based on PROB]*(Table4[Installation]=$B24)*(Table4[Projected 
Year]=BE$1)*(Table4[Projected 
Month]=BE$2))/MAX(1,SUMPRODUCT(Table4[Rev. Based on PROB]*(Table4[Installation]=$B24)*(Table4[Projected 
Year]=BE$1)*(Table4[Projected 
Month]=BE$2)))</f>
        <v>0</v>
      </c>
      <c r="BG24" s="160">
        <f>SUMPRODUCT(Table4[Rev. Based on PROB]*Table4[Expected CMR]*(Table4[Projected 
Year]=BE$1)*(Table4[Projected 
Month]=BE$2)*(Table4[Installation]=$B24))/MAX(1,BE24)</f>
        <v>0</v>
      </c>
      <c r="BH24" s="27">
        <f>SUMIFS(Table47[Rev. Based on PROB],Table47[Installation],$B24,Table47[Projected 
Year],BH$1,Table47[Monthly revenue],BH$2)</f>
        <v>0</v>
      </c>
      <c r="BI24" s="159">
        <f>SUMPRODUCT(Table4[Probability]*Table4[Rev. Based on PROB]*(Table4[Installation]=$B24)*(Table4[Projected 
Year]=BH$1)*(Table4[Projected 
Month]=BH$2))/MAX(1,SUMPRODUCT(Table4[Rev. Based on PROB]*(Table4[Installation]=$B24)*(Table4[Projected 
Year]=BH$1)*(Table4[Projected 
Month]=BH$2)))</f>
        <v>0</v>
      </c>
      <c r="BJ24" s="160">
        <f>SUMPRODUCT(Table4[Rev. Based on PROB]*Table4[Expected CMR]*(Table4[Projected 
Year]=BH$1)*(Table4[Projected 
Month]=BH$2)*(Table4[Installation]=$B24))/MAX(1,BH24)</f>
        <v>0</v>
      </c>
      <c r="BK24" s="27">
        <f>SUMIFS(Table47[Rev. Based on PROB],Table47[Installation],$B24,Table47[Projected 
Year],BK$1,Table47[Monthly revenue],BK$2)</f>
        <v>0</v>
      </c>
      <c r="BL24" s="159">
        <f>SUMPRODUCT(Table4[Probability]*Table4[Rev. Based on PROB]*(Table4[Installation]=$B24)*(Table4[Projected 
Year]=BK$1)*(Table4[Projected 
Month]=BK$2))/MAX(1,SUMPRODUCT(Table4[Rev. Based on PROB]*(Table4[Installation]=$B24)*(Table4[Projected 
Year]=BK$1)*(Table4[Projected 
Month]=BK$2)))</f>
        <v>0</v>
      </c>
      <c r="BM24" s="160">
        <f>SUMPRODUCT(Table4[Rev. Based on PROB]*Table4[Expected CMR]*(Table4[Projected 
Year]=BK$1)*(Table4[Projected 
Month]=BK$2)*(Table4[Installation]=$B24))/MAX(1,BK24)</f>
        <v>0</v>
      </c>
      <c r="BN24" s="27">
        <f>SUMIFS(Table47[Rev. Based on PROB],Table47[Installation],$B24,Table47[Projected 
Year],BN$1,Table47[Monthly revenue],BN$2)</f>
        <v>6918</v>
      </c>
      <c r="BO24" s="159">
        <f>SUMPRODUCT(Table4[Probability]*Table4[Rev. Based on PROB]*(Table4[Installation]=$B24)*(Table4[Projected 
Year]=BN$1)*(Table4[Projected 
Month]=BN$2))/MAX(1,SUMPRODUCT(Table4[Rev. Based on PROB]*(Table4[Installation]=$B24)*(Table4[Projected 
Year]=BN$1)*(Table4[Projected 
Month]=BN$2)))</f>
        <v>0</v>
      </c>
      <c r="BP24" s="160">
        <f>SUMPRODUCT(Table4[Rev. Based on PROB]*Table4[Expected CMR]*(Table4[Projected 
Year]=BN$1)*(Table4[Projected 
Month]=BN$2)*(Table4[Installation]=$B24))/MAX(1,BN24)</f>
        <v>0</v>
      </c>
      <c r="BQ24" s="27">
        <f>SUMIFS(Table47[Rev. Based on PROB],Table47[Installation],$B24,Table47[Projected 
Year],BQ$1,Table47[Monthly revenue],BQ$2)</f>
        <v>48832</v>
      </c>
      <c r="BR24" s="159">
        <f>SUMPRODUCT(Table4[Probability]*Table4[Rev. Based on PROB]*(Table4[Installation]=$B24)*(Table4[Projected 
Year]=BQ$1)*(Table4[Projected 
Month]=BQ$2))/MAX(1,SUMPRODUCT(Table4[Rev. Based on PROB]*(Table4[Installation]=$B24)*(Table4[Projected 
Year]=BQ$1)*(Table4[Projected 
Month]=BQ$2)))</f>
        <v>0</v>
      </c>
      <c r="BS24" s="160">
        <f>SUMPRODUCT(Table4[Rev. Based on PROB]*Table4[Expected CMR]*(Table4[Projected 
Year]=BQ$1)*(Table4[Projected 
Month]=BQ$2)*(Table4[Installation]=$B24))/MAX(1,BQ24)</f>
        <v>0</v>
      </c>
      <c r="BT24" s="27">
        <f>SUMIFS(Table47[Rev. Based on PROB],Table47[Installation],$B24,Table47[Projected 
Year],BT$1,Table47[Monthly revenue],BT$2)</f>
        <v>0</v>
      </c>
      <c r="BU24" s="159">
        <f>SUMPRODUCT(Table4[Probability]*Table4[Rev. Based on PROB]*(Table4[Installation]=$B24)*(Table4[Projected 
Year]=BT$1)*(Table4[Projected 
Month]=BT$2))/MAX(1,SUMPRODUCT(Table4[Rev. Based on PROB]*(Table4[Installation]=$B24)*(Table4[Projected 
Year]=BT$1)*(Table4[Projected 
Month]=BT$2)))</f>
        <v>0</v>
      </c>
      <c r="BV24" s="160">
        <f>SUMPRODUCT(Table4[Rev. Based on PROB]*Table4[Expected CMR]*(Table4[Projected 
Year]=BT$1)*(Table4[Projected 
Month]=BT$2)*(Table4[Installation]=$B24))/MAX(1,BT24)</f>
        <v>0</v>
      </c>
      <c r="BW24" s="27">
        <f>SUMIFS(Table47[Rev. Based on PROB],Table47[Installation],$B24,Table47[Projected 
Year],BW$1,Table47[Monthly revenue],BW$2)</f>
        <v>0</v>
      </c>
      <c r="BX24" s="159">
        <f>SUMPRODUCT(Table4[Probability]*Table4[Rev. Based on PROB]*(Table4[Installation]=$B24)*(Table4[Projected 
Year]=BW$1)*(Table4[Projected 
Month]=BW$2))/MAX(1,SUMPRODUCT(Table4[Rev. Based on PROB]*(Table4[Installation]=$B24)*(Table4[Projected 
Year]=BW$1)*(Table4[Projected 
Month]=BW$2)))</f>
        <v>0</v>
      </c>
      <c r="BY24" s="160">
        <f>SUMPRODUCT(Table4[Rev. Based on PROB]*Table4[Expected CMR]*(Table4[Projected 
Year]=BW$1)*(Table4[Projected 
Month]=BW$2)*(Table4[Installation]=$B24))/MAX(1,BW24)</f>
        <v>0</v>
      </c>
      <c r="BZ24" s="200"/>
      <c r="CA24" s="200"/>
      <c r="CB24" s="200"/>
      <c r="CC24" s="200"/>
      <c r="CD24" s="200"/>
      <c r="CE24" s="200"/>
      <c r="CF24" s="200"/>
      <c r="CG24" s="200"/>
      <c r="CH24" s="200"/>
      <c r="CI24" s="200"/>
      <c r="CJ24" s="200"/>
      <c r="CK24" s="200"/>
      <c r="CL24" s="200"/>
      <c r="CM24" s="200"/>
      <c r="CN24" s="200"/>
      <c r="CO24" s="200"/>
      <c r="CP24" s="200"/>
      <c r="CQ24" s="200"/>
      <c r="CR24" s="200"/>
      <c r="CS24" s="200"/>
      <c r="CT24" s="200"/>
      <c r="CU24" s="30">
        <f t="shared" si="0"/>
        <v>55750</v>
      </c>
      <c r="CV24" s="52">
        <f t="shared" si="4"/>
        <v>0</v>
      </c>
      <c r="CW24" s="53">
        <f t="shared" si="5"/>
        <v>0</v>
      </c>
      <c r="CX24" s="29"/>
    </row>
    <row r="25" spans="1:103">
      <c r="A25" s="18"/>
      <c r="B25" s="20" t="s">
        <v>317</v>
      </c>
      <c r="C25" s="27">
        <f>SUMIFS(Table4[Rev. Based on PROB],Table4[Installation],$B25,Table4[Projected 
Year],C$1,Table4[Projected 
Month],C$2)</f>
        <v>0</v>
      </c>
      <c r="D25" s="159">
        <f>SUMPRODUCT(Table4[Probability]*Table4[Rev. Based on PROB]*(Table4[Installation]=$B25)*(Table4[Projected 
Year]=C$1)*(Table4[Projected 
Month]=C$2))/MAX(1,SUMPRODUCT(Table4[Rev. Based on PROB]*(Table4[Installation]=$B25)*(Table4[Projected 
Year]=C$1)*(Table4[Projected 
Month]=C$2)))</f>
        <v>0</v>
      </c>
      <c r="E25" s="160">
        <f>SUMPRODUCT(Table4[Rev. Based on PROB]*Table4[Expected CMR]*(Table4[Projected 
Year]=C$1)*(Table4[Projected 
Month]=C$2)*(Table4[Installation]=$B25))/MAX(1,C25)</f>
        <v>0</v>
      </c>
      <c r="F25" s="27">
        <f>SUMIFS(Table4[Rev. Based on PROB],Table4[Installation],$B25,Table4[Projected 
Year],F$1,Table4[Projected 
Month],F$2)</f>
        <v>0</v>
      </c>
      <c r="G25" s="159">
        <f>SUMPRODUCT(Table4[Probability]*Table4[Rev. Based on PROB]*(Table4[Installation]=$B25)*(Table4[Projected 
Year]=F$1)*(Table4[Projected 
Month]=F$2))/MAX(1,SUMPRODUCT(Table4[Rev. Based on PROB]*(Table4[Installation]=$B25)*(Table4[Projected 
Year]=F$1)*(Table4[Projected 
Month]=F$2)))</f>
        <v>0</v>
      </c>
      <c r="H25" s="160">
        <f>SUMPRODUCT(Table4[Rev. Based on PROB]*Table4[Expected CMR]*(Table4[Projected 
Year]=F$1)*(Table4[Projected 
Month]=F$2)*(Table4[Installation]=$B25))/MAX(1,F25)</f>
        <v>0</v>
      </c>
      <c r="I25" s="27">
        <f>SUMIFS(Table4[Rev. Based on PROB],Table4[Installation],$B25,Table4[Projected 
Year],I$1,Table4[Projected 
Month],I$2)</f>
        <v>0</v>
      </c>
      <c r="J25" s="159">
        <f>SUMPRODUCT(Table4[Probability]*Table4[Rev. Based on PROB]*(Table4[Installation]=$B25)*(Table4[Projected 
Year]=I$1)*(Table4[Projected 
Month]=I$2))/MAX(1,SUMPRODUCT(Table4[Rev. Based on PROB]*(Table4[Installation]=$B25)*(Table4[Projected 
Year]=I$1)*(Table4[Projected 
Month]=I$2)))</f>
        <v>0</v>
      </c>
      <c r="K25" s="160">
        <f>SUMPRODUCT(Table4[Rev. Based on PROB]*Table4[Expected CMR]*(Table4[Projected 
Year]=I$1)*(Table4[Projected 
Month]=I$2)*(Table4[Installation]=$B25))/MAX(1,I25)</f>
        <v>0</v>
      </c>
      <c r="L25" s="27">
        <f>SUMIFS(Table4[Rev. Based on PROB],Table4[Installation],$B25,Table4[Projected 
Year],L$1,Table4[Projected 
Month],L$2)</f>
        <v>0</v>
      </c>
      <c r="M25" s="159">
        <f>SUMPRODUCT(Table4[Probability]*Table4[Rev. Based on PROB]*(Table4[Installation]=$B25)*(Table4[Projected 
Year]=L$1)*(Table4[Projected 
Month]=L$2))/MAX(1,SUMPRODUCT(Table4[Rev. Based on PROB]*(Table4[Installation]=$B25)*(Table4[Projected 
Year]=L$1)*(Table4[Projected 
Month]=L$2)))</f>
        <v>0</v>
      </c>
      <c r="N25" s="160">
        <f>SUMPRODUCT(Table4[Rev. Based on PROB]*Table4[Expected CMR]*(Table4[Projected 
Year]=L$1)*(Table4[Projected 
Month]=L$2)*(Table4[Installation]=$B25))/MAX(1,L25)</f>
        <v>0</v>
      </c>
      <c r="O25" s="27">
        <f>SUMIFS(Table4[Rev. Based on PROB],Table4[Installation],$B25,Table4[Projected 
Year],O$1,Table4[Projected 
Month],O$2)</f>
        <v>0</v>
      </c>
      <c r="P25" s="159">
        <f>SUMPRODUCT(Table4[Probability]*Table4[Rev. Based on PROB]*(Table4[Installation]=$B25)*(Table4[Projected 
Year]=O$1)*(Table4[Projected 
Month]=O$2))/MAX(1,SUMPRODUCT(Table4[Rev. Based on PROB]*(Table4[Installation]=$B25)*(Table4[Projected 
Year]=O$1)*(Table4[Projected 
Month]=O$2)))</f>
        <v>0</v>
      </c>
      <c r="Q25" s="160">
        <f>SUMPRODUCT(Table4[Rev. Based on PROB]*Table4[Expected CMR]*(Table4[Projected 
Year]=O$1)*(Table4[Projected 
Month]=O$2)*(Table4[Installation]=$B25))/MAX(1,O25)</f>
        <v>0</v>
      </c>
      <c r="R25" s="27">
        <f>SUMIFS(Table4[Rev. Based on PROB],Table4[Installation],$B25,Table4[Projected 
Year],R$1,Table4[Projected 
Month],R$2)</f>
        <v>0</v>
      </c>
      <c r="S25" s="159">
        <f>SUMPRODUCT(Table4[Probability]*Table4[Rev. Based on PROB]*(Table4[Installation]=$B25)*(Table4[Projected 
Year]=R$1)*(Table4[Projected 
Month]=R$2))/MAX(1,SUMPRODUCT(Table4[Rev. Based on PROB]*(Table4[Installation]=$B25)*(Table4[Projected 
Year]=R$1)*(Table4[Projected 
Month]=R$2)))</f>
        <v>0</v>
      </c>
      <c r="T25" s="160">
        <f>SUMPRODUCT(Table4[Rev. Based on PROB]*Table4[Expected CMR]*(Table4[Projected 
Year]=R$1)*(Table4[Projected 
Month]=R$2)*(Table4[Installation]=$B25))/MAX(1,R25)</f>
        <v>0</v>
      </c>
      <c r="U25" s="27">
        <f>SUMIFS(Table4[Rev. Based on PROB],Table4[Installation],$B25,Table4[Projected 
Year],U$1,Table4[Projected 
Month],U$2)</f>
        <v>0</v>
      </c>
      <c r="V25" s="159">
        <f>SUMPRODUCT(Table4[Probability]*Table4[Rev. Based on PROB]*(Table4[Installation]=$B25)*(Table4[Projected 
Year]=U$1)*(Table4[Projected 
Month]=U$2))/MAX(1,SUMPRODUCT(Table4[Rev. Based on PROB]*(Table4[Installation]=$B25)*(Table4[Projected 
Year]=U$1)*(Table4[Projected 
Month]=U$2)))</f>
        <v>0</v>
      </c>
      <c r="W25" s="160">
        <f>SUMPRODUCT(Table4[Rev. Based on PROB]*Table4[Expected CMR]*(Table4[Projected 
Year]=U$1)*(Table4[Projected 
Month]=U$2)*(Table4[Installation]=$B25))/MAX(1,U25)</f>
        <v>0</v>
      </c>
      <c r="X25" s="27">
        <f>SUMIFS(Table4[Rev. Based on PROB],Table4[Installation],$B25,Table4[Projected 
Year],X$1,Table4[Projected 
Month],X$2)</f>
        <v>0</v>
      </c>
      <c r="Y25" s="159">
        <f>SUMPRODUCT(Table4[Probability]*Table4[Rev. Based on PROB]*(Table4[Installation]=$B25)*(Table4[Projected 
Year]=X$1)*(Table4[Projected 
Month]=X$2))/MAX(1,SUMPRODUCT(Table4[Rev. Based on PROB]*(Table4[Installation]=$B25)*(Table4[Projected 
Year]=X$1)*(Table4[Projected 
Month]=X$2)))</f>
        <v>0</v>
      </c>
      <c r="Z25" s="160">
        <f>SUMPRODUCT(Table4[Rev. Based on PROB]*Table4[Expected CMR]*(Table4[Projected 
Year]=X$1)*(Table4[Projected 
Month]=X$2)*(Table4[Installation]=$B25))/MAX(1,X25)</f>
        <v>0</v>
      </c>
      <c r="AA25" s="27">
        <f>SUMIFS(Table4[Rev. Based on PROB],Table4[Installation],$B25,Table4[Projected 
Year],AA$1,Table4[Projected 
Month],AA$2)</f>
        <v>0</v>
      </c>
      <c r="AB25" s="159">
        <f>SUMPRODUCT(Table4[Probability]*Table4[Rev. Based on PROB]*(Table4[Installation]=$B25)*(Table4[Projected 
Year]=AA$1)*(Table4[Projected 
Month]=AA$2))/MAX(1,SUMPRODUCT(Table4[Rev. Based on PROB]*(Table4[Installation]=$B25)*(Table4[Projected 
Year]=AA$1)*(Table4[Projected 
Month]=AA$2)))</f>
        <v>0</v>
      </c>
      <c r="AC25" s="160">
        <f>SUMPRODUCT(Table4[Rev. Based on PROB]*Table4[Expected CMR]*(Table4[Projected 
Year]=AA$1)*(Table4[Projected 
Month]=AA$2)*(Table4[Installation]=$B25))/MAX(1,AA25)</f>
        <v>0</v>
      </c>
      <c r="AD25" s="27">
        <f>SUMIFS(Table4[Rev. Based on PROB],Table4[Installation],$B25,Table4[Projected 
Year],AD$1,Table4[Projected 
Month],AD$2)</f>
        <v>0</v>
      </c>
      <c r="AE25" s="159">
        <f>SUMPRODUCT(Table4[Probability]*Table4[Rev. Based on PROB]*(Table4[Installation]=$B25)*(Table4[Projected 
Year]=AD$1)*(Table4[Projected 
Month]=AD$2))/MAX(1,SUMPRODUCT(Table4[Rev. Based on PROB]*(Table4[Installation]=$B25)*(Table4[Projected 
Year]=AD$1)*(Table4[Projected 
Month]=AD$2)))</f>
        <v>0</v>
      </c>
      <c r="AF25" s="160">
        <f>SUMPRODUCT(Table4[Rev. Based on PROB]*Table4[Expected CMR]*(Table4[Projected 
Year]=AD$1)*(Table4[Projected 
Month]=AD$2)*(Table4[Installation]=$B25))/MAX(1,AD25)</f>
        <v>0</v>
      </c>
      <c r="AG25" s="27">
        <f>SUMIFS(Table4[Rev. Based on PROB],Table4[Installation],$B25,Table4[Projected 
Year],AG$1,Table4[Projected 
Month],AG$2)</f>
        <v>0</v>
      </c>
      <c r="AH25" s="159">
        <f>SUMPRODUCT(Table4[Probability]*Table4[Rev. Based on PROB]*(Table4[Installation]=$B25)*(Table4[Projected 
Year]=AG$1)*(Table4[Projected 
Month]=AG$2))/MAX(1,SUMPRODUCT(Table4[Rev. Based on PROB]*(Table4[Installation]=$B25)*(Table4[Projected 
Year]=AG$1)*(Table4[Projected 
Month]=AG$2)))</f>
        <v>0</v>
      </c>
      <c r="AI25" s="160">
        <f>SUMPRODUCT(Table4[Rev. Based on PROB]*Table4[Expected CMR]*(Table4[Projected 
Year]=AG$1)*(Table4[Projected 
Month]=AG$2)*(Table4[Installation]=$B25))/MAX(1,AG25)</f>
        <v>0</v>
      </c>
      <c r="AJ25" s="27">
        <f>SUMIFS(Table4[Rev. Based on PROB],Table4[Installation],$B25,Table4[Projected 
Year],AJ$1,Table4[Projected 
Month],AJ$2)</f>
        <v>0</v>
      </c>
      <c r="AK25" s="159">
        <f>SUMPRODUCT(Table4[Probability]*Table4[Rev. Based on PROB]*(Table4[Installation]=$B25)*(Table4[Projected 
Year]=AJ$1)*(Table4[Projected 
Month]=AJ$2))/MAX(1,SUMPRODUCT(Table4[Rev. Based on PROB]*(Table4[Installation]=$B25)*(Table4[Projected 
Year]=AJ$1)*(Table4[Projected 
Month]=AJ$2)))</f>
        <v>0</v>
      </c>
      <c r="AL25" s="160">
        <f>SUMPRODUCT(Table4[Rev. Based on PROB]*Table4[Expected CMR]*(Table4[Projected 
Year]=AJ$1)*(Table4[Projected 
Month]=AJ$2)*(Table4[Installation]=$B25))/MAX(1,AJ25)</f>
        <v>0</v>
      </c>
      <c r="AM25" s="30">
        <f t="shared" ref="AM25:AM47" si="7">SUM($C25,$F25,$I25,$L25,$O25,$R25,$U25,$X25,$AA25,$AD25,$AG25,$AJ25)</f>
        <v>0</v>
      </c>
      <c r="AN25" s="52">
        <f t="shared" ref="AN25:AO29" si="8">SUM($C25*D25,$F25*G25,$I25*J25,$L25*M25,$O25*P25,$R25*S25,$U25*V25,$X25*Y25,$AA25*AB25,$AD25*AE25,$AG25*AH25,$AJ25*AK25)/MAX(1,$AM25)</f>
        <v>0</v>
      </c>
      <c r="AO25" s="53">
        <f t="shared" si="8"/>
        <v>0</v>
      </c>
      <c r="AP25" s="27">
        <f>SUMIFS(Table47[Rev. Based on PROB],Table47[Installation],$B25,Table47[Projected 
Year],AP$1,Table47[Monthly revenue],AP$2)</f>
        <v>0</v>
      </c>
      <c r="AQ25" s="159">
        <f>SUMPRODUCT(Table4[Probability]*Table4[Rev. Based on PROB]*(Table4[Installation]=$B25)*(Table4[Projected 
Year]=AP$1)*(Table4[Projected 
Month]=AP$2))/MAX(1,SUMPRODUCT(Table4[Rev. Based on PROB]*(Table4[Installation]=$B25)*(Table4[Projected 
Year]=AP$1)*(Table4[Projected 
Month]=AP$2)))</f>
        <v>0</v>
      </c>
      <c r="AR25" s="160">
        <f>SUMPRODUCT(Table4[Rev. Based on PROB]*Table4[Expected CMR]*(Table4[Projected 
Year]=AP$1)*(Table4[Projected 
Month]=AP$2)*(Table4[Installation]=$B25))/MAX(1,AP25)</f>
        <v>0</v>
      </c>
      <c r="AS25" s="27">
        <f>SUMIFS(Table47[Rev. Based on PROB],Table47[Installation],$B25,Table47[Projected 
Year],AS$1,Table47[Monthly revenue],AS$2)</f>
        <v>0</v>
      </c>
      <c r="AT25" s="159">
        <f>SUMPRODUCT(Table4[Probability]*Table4[Rev. Based on PROB]*(Table4[Installation]=$B25)*(Table4[Projected 
Year]=AS$1)*(Table4[Projected 
Month]=AS$2))/MAX(1,SUMPRODUCT(Table4[Rev. Based on PROB]*(Table4[Installation]=$B25)*(Table4[Projected 
Year]=AS$1)*(Table4[Projected 
Month]=AS$2)))</f>
        <v>0</v>
      </c>
      <c r="AU25" s="160">
        <f>SUMPRODUCT(Table4[Rev. Based on PROB]*Table4[Expected CMR]*(Table4[Projected 
Year]=AS$1)*(Table4[Projected 
Month]=AS$2)*(Table4[Installation]=$B25))/MAX(1,AS25)</f>
        <v>0</v>
      </c>
      <c r="AV25" s="27">
        <f>SUMIFS(Table47[Rev. Based on PROB],Table47[Installation],$B25,Table47[Projected 
Year],AV$1,Table47[Monthly revenue],AV$2)</f>
        <v>0</v>
      </c>
      <c r="AW25" s="159">
        <f>SUMPRODUCT(Table4[Probability]*Table4[Rev. Based on PROB]*(Table4[Installation]=$B25)*(Table4[Projected 
Year]=AV$1)*(Table4[Projected 
Month]=AV$2))/MAX(1,SUMPRODUCT(Table4[Rev. Based on PROB]*(Table4[Installation]=$B25)*(Table4[Projected 
Year]=AV$1)*(Table4[Projected 
Month]=AV$2)))</f>
        <v>0</v>
      </c>
      <c r="AX25" s="160">
        <f>SUMPRODUCT(Table4[Rev. Based on PROB]*Table4[Expected CMR]*(Table4[Projected 
Year]=AV$1)*(Table4[Projected 
Month]=AV$2)*(Table4[Installation]=$B25))/MAX(1,AV25)</f>
        <v>0</v>
      </c>
      <c r="AY25" s="27">
        <f>SUMIFS(Table47[Rev. Based on PROB],Table47[Installation],$B25,Table47[Projected 
Year],AY$1,Table47[Monthly revenue],AY$2)</f>
        <v>0</v>
      </c>
      <c r="AZ25" s="159">
        <f>SUMPRODUCT(Table4[Probability]*Table4[Rev. Based on PROB]*(Table4[Installation]=$B25)*(Table4[Projected 
Year]=AY$1)*(Table4[Projected 
Month]=AY$2))/MAX(1,SUMPRODUCT(Table4[Rev. Based on PROB]*(Table4[Installation]=$B25)*(Table4[Projected 
Year]=AY$1)*(Table4[Projected 
Month]=AY$2)))</f>
        <v>0</v>
      </c>
      <c r="BA25" s="160">
        <f>SUMPRODUCT(Table4[Rev. Based on PROB]*Table4[Expected CMR]*(Table4[Projected 
Year]=AY$1)*(Table4[Projected 
Month]=AY$2)*(Table4[Installation]=$B25))/MAX(1,AY25)</f>
        <v>0</v>
      </c>
      <c r="BB25" s="27">
        <f>SUMIFS(Table47[Rev. Based on PROB],Table47[Installation],$B25,Table47[Projected 
Year],BB$1,Table47[Monthly revenue],BB$2)</f>
        <v>0</v>
      </c>
      <c r="BC25" s="159">
        <f>SUMPRODUCT(Table4[Probability]*Table4[Rev. Based on PROB]*(Table4[Installation]=$B25)*(Table4[Projected 
Year]=BB$1)*(Table4[Projected 
Month]=BB$2))/MAX(1,SUMPRODUCT(Table4[Rev. Based on PROB]*(Table4[Installation]=$B25)*(Table4[Projected 
Year]=BB$1)*(Table4[Projected 
Month]=BB$2)))</f>
        <v>0</v>
      </c>
      <c r="BD25" s="160">
        <f>SUMPRODUCT(Table4[Rev. Based on PROB]*Table4[Expected CMR]*(Table4[Projected 
Year]=BB$1)*(Table4[Projected 
Month]=BB$2)*(Table4[Installation]=$B25))/MAX(1,BB25)</f>
        <v>0</v>
      </c>
      <c r="BE25" s="27">
        <f>SUMIFS(Table47[Rev. Based on PROB],Table47[Installation],$B25,Table47[Projected 
Year],BE$1,Table47[Monthly revenue],BE$2)</f>
        <v>0</v>
      </c>
      <c r="BF25" s="159">
        <f>SUMPRODUCT(Table4[Probability]*Table4[Rev. Based on PROB]*(Table4[Installation]=$B25)*(Table4[Projected 
Year]=BE$1)*(Table4[Projected 
Month]=BE$2))/MAX(1,SUMPRODUCT(Table4[Rev. Based on PROB]*(Table4[Installation]=$B25)*(Table4[Projected 
Year]=BE$1)*(Table4[Projected 
Month]=BE$2)))</f>
        <v>0</v>
      </c>
      <c r="BG25" s="160">
        <f>SUMPRODUCT(Table4[Rev. Based on PROB]*Table4[Expected CMR]*(Table4[Projected 
Year]=BE$1)*(Table4[Projected 
Month]=BE$2)*(Table4[Installation]=$B25))/MAX(1,BE25)</f>
        <v>0</v>
      </c>
      <c r="BH25" s="27">
        <f>SUMIFS(Table47[Rev. Based on PROB],Table47[Installation],$B25,Table47[Projected 
Year],BH$1,Table47[Monthly revenue],BH$2)</f>
        <v>0</v>
      </c>
      <c r="BI25" s="159">
        <f>SUMPRODUCT(Table4[Probability]*Table4[Rev. Based on PROB]*(Table4[Installation]=$B25)*(Table4[Projected 
Year]=BH$1)*(Table4[Projected 
Month]=BH$2))/MAX(1,SUMPRODUCT(Table4[Rev. Based on PROB]*(Table4[Installation]=$B25)*(Table4[Projected 
Year]=BH$1)*(Table4[Projected 
Month]=BH$2)))</f>
        <v>0</v>
      </c>
      <c r="BJ25" s="160">
        <f>SUMPRODUCT(Table4[Rev. Based on PROB]*Table4[Expected CMR]*(Table4[Projected 
Year]=BH$1)*(Table4[Projected 
Month]=BH$2)*(Table4[Installation]=$B25))/MAX(1,BH25)</f>
        <v>0</v>
      </c>
      <c r="BK25" s="27">
        <f>SUMIFS(Table47[Rev. Based on PROB],Table47[Installation],$B25,Table47[Projected 
Year],BK$1,Table47[Monthly revenue],BK$2)</f>
        <v>0</v>
      </c>
      <c r="BL25" s="159">
        <f>SUMPRODUCT(Table4[Probability]*Table4[Rev. Based on PROB]*(Table4[Installation]=$B25)*(Table4[Projected 
Year]=BK$1)*(Table4[Projected 
Month]=BK$2))/MAX(1,SUMPRODUCT(Table4[Rev. Based on PROB]*(Table4[Installation]=$B25)*(Table4[Projected 
Year]=BK$1)*(Table4[Projected 
Month]=BK$2)))</f>
        <v>0</v>
      </c>
      <c r="BM25" s="160">
        <f>SUMPRODUCT(Table4[Rev. Based on PROB]*Table4[Expected CMR]*(Table4[Projected 
Year]=BK$1)*(Table4[Projected 
Month]=BK$2)*(Table4[Installation]=$B25))/MAX(1,BK25)</f>
        <v>0</v>
      </c>
      <c r="BN25" s="27">
        <f>SUMIFS(Table47[Rev. Based on PROB],Table47[Installation],$B25,Table47[Projected 
Year],BN$1,Table47[Monthly revenue],BN$2)</f>
        <v>0</v>
      </c>
      <c r="BO25" s="159">
        <f>SUMPRODUCT(Table4[Probability]*Table4[Rev. Based on PROB]*(Table4[Installation]=$B25)*(Table4[Projected 
Year]=BN$1)*(Table4[Projected 
Month]=BN$2))/MAX(1,SUMPRODUCT(Table4[Rev. Based on PROB]*(Table4[Installation]=$B25)*(Table4[Projected 
Year]=BN$1)*(Table4[Projected 
Month]=BN$2)))</f>
        <v>0</v>
      </c>
      <c r="BP25" s="160">
        <f>SUMPRODUCT(Table4[Rev. Based on PROB]*Table4[Expected CMR]*(Table4[Projected 
Year]=BN$1)*(Table4[Projected 
Month]=BN$2)*(Table4[Installation]=$B25))/MAX(1,BN25)</f>
        <v>0</v>
      </c>
      <c r="BQ25" s="27">
        <f>SUMIFS(Table47[Rev. Based on PROB],Table47[Installation],$B25,Table47[Projected 
Year],BQ$1,Table47[Monthly revenue],BQ$2)</f>
        <v>0</v>
      </c>
      <c r="BR25" s="159">
        <f>SUMPRODUCT(Table4[Probability]*Table4[Rev. Based on PROB]*(Table4[Installation]=$B25)*(Table4[Projected 
Year]=BQ$1)*(Table4[Projected 
Month]=BQ$2))/MAX(1,SUMPRODUCT(Table4[Rev. Based on PROB]*(Table4[Installation]=$B25)*(Table4[Projected 
Year]=BQ$1)*(Table4[Projected 
Month]=BQ$2)))</f>
        <v>0</v>
      </c>
      <c r="BS25" s="160">
        <f>SUMPRODUCT(Table4[Rev. Based on PROB]*Table4[Expected CMR]*(Table4[Projected 
Year]=BQ$1)*(Table4[Projected 
Month]=BQ$2)*(Table4[Installation]=$B25))/MAX(1,BQ25)</f>
        <v>0</v>
      </c>
      <c r="BT25" s="27">
        <f>SUMIFS(Table47[Rev. Based on PROB],Table47[Installation],$B25,Table47[Projected 
Year],BT$1,Table47[Monthly revenue],BT$2)</f>
        <v>0</v>
      </c>
      <c r="BU25" s="159">
        <f>SUMPRODUCT(Table4[Probability]*Table4[Rev. Based on PROB]*(Table4[Installation]=$B25)*(Table4[Projected 
Year]=BT$1)*(Table4[Projected 
Month]=BT$2))/MAX(1,SUMPRODUCT(Table4[Rev. Based on PROB]*(Table4[Installation]=$B25)*(Table4[Projected 
Year]=BT$1)*(Table4[Projected 
Month]=BT$2)))</f>
        <v>0</v>
      </c>
      <c r="BV25" s="160">
        <f>SUMPRODUCT(Table4[Rev. Based on PROB]*Table4[Expected CMR]*(Table4[Projected 
Year]=BT$1)*(Table4[Projected 
Month]=BT$2)*(Table4[Installation]=$B25))/MAX(1,BT25)</f>
        <v>0</v>
      </c>
      <c r="BW25" s="27">
        <f>SUMIFS(Table47[Rev. Based on PROB],Table47[Installation],$B25,Table47[Projected 
Year],BW$1,Table47[Monthly revenue],BW$2)</f>
        <v>0</v>
      </c>
      <c r="BX25" s="159">
        <f>SUMPRODUCT(Table4[Probability]*Table4[Rev. Based on PROB]*(Table4[Installation]=$B25)*(Table4[Projected 
Year]=BW$1)*(Table4[Projected 
Month]=BW$2))/MAX(1,SUMPRODUCT(Table4[Rev. Based on PROB]*(Table4[Installation]=$B25)*(Table4[Projected 
Year]=BW$1)*(Table4[Projected 
Month]=BW$2)))</f>
        <v>0</v>
      </c>
      <c r="BY25" s="160">
        <f>SUMPRODUCT(Table4[Rev. Based on PROB]*Table4[Expected CMR]*(Table4[Projected 
Year]=BW$1)*(Table4[Projected 
Month]=BW$2)*(Table4[Installation]=$B25))/MAX(1,BW25)</f>
        <v>0</v>
      </c>
      <c r="BZ25" s="200"/>
      <c r="CA25" s="200"/>
      <c r="CB25" s="200"/>
      <c r="CC25" s="200"/>
      <c r="CD25" s="200"/>
      <c r="CE25" s="200"/>
      <c r="CF25" s="200"/>
      <c r="CG25" s="200"/>
      <c r="CH25" s="200"/>
      <c r="CI25" s="200"/>
      <c r="CJ25" s="200"/>
      <c r="CK25" s="200"/>
      <c r="CL25" s="200"/>
      <c r="CM25" s="200"/>
      <c r="CN25" s="200"/>
      <c r="CO25" s="200"/>
      <c r="CP25" s="200"/>
      <c r="CQ25" s="200"/>
      <c r="CR25" s="200"/>
      <c r="CS25" s="200"/>
      <c r="CT25" s="200"/>
      <c r="CU25" s="30">
        <f t="shared" si="0"/>
        <v>0</v>
      </c>
      <c r="CV25" s="52">
        <f t="shared" ref="CV25:CV47" si="9">SUM($C25*AQ25,$F25*AT25,$I25*AW25,$L25*AZ25,$O25*BC25,$R25*BF25,$U25*BI25,$X25*BL25,$AA25*BO25,$AD25*BR25,$AG25*BU25,$AJ25*BX25)/MAX(1,$AM25)</f>
        <v>0</v>
      </c>
      <c r="CW25" s="53">
        <f t="shared" ref="CW25:CW47" si="10">SUM($C25*AR25,$F25*AU25,$I25*AX25,$L25*BA25,$O25*BD25,$R25*BG25,$U25*BJ25,$X25*BM25,$AA25*BP25,$AD25*BS25,$AG25*BV25,$AJ25*BY25)/MAX(1,$AM25)</f>
        <v>0</v>
      </c>
      <c r="CX25" s="29"/>
    </row>
    <row r="26" spans="1:103">
      <c r="A26" s="18"/>
      <c r="B26" s="20" t="s">
        <v>318</v>
      </c>
      <c r="C26" s="27">
        <f>SUMIFS(Table4[Rev. Based on PROB],Table4[Installation],$B26,Table4[Projected 
Year],C$1,Table4[Projected 
Month],C$2)</f>
        <v>0</v>
      </c>
      <c r="D26" s="159">
        <f>SUMPRODUCT(Table4[Probability]*Table4[Rev. Based on PROB]*(Table4[Installation]=$B26)*(Table4[Projected 
Year]=C$1)*(Table4[Projected 
Month]=C$2))/MAX(1,SUMPRODUCT(Table4[Rev. Based on PROB]*(Table4[Installation]=$B26)*(Table4[Projected 
Year]=C$1)*(Table4[Projected 
Month]=C$2)))</f>
        <v>0</v>
      </c>
      <c r="E26" s="160">
        <f>SUMPRODUCT(Table4[Rev. Based on PROB]*Table4[Expected CMR]*(Table4[Projected 
Year]=C$1)*(Table4[Projected 
Month]=C$2)*(Table4[Installation]=$B26))/MAX(1,C26)</f>
        <v>0</v>
      </c>
      <c r="F26" s="27">
        <f>SUMIFS(Table4[Rev. Based on PROB],Table4[Installation],$B26,Table4[Projected 
Year],F$1,Table4[Projected 
Month],F$2)</f>
        <v>0</v>
      </c>
      <c r="G26" s="159">
        <f>SUMPRODUCT(Table4[Probability]*Table4[Rev. Based on PROB]*(Table4[Installation]=$B26)*(Table4[Projected 
Year]=F$1)*(Table4[Projected 
Month]=F$2))/MAX(1,SUMPRODUCT(Table4[Rev. Based on PROB]*(Table4[Installation]=$B26)*(Table4[Projected 
Year]=F$1)*(Table4[Projected 
Month]=F$2)))</f>
        <v>0</v>
      </c>
      <c r="H26" s="160">
        <f>SUMPRODUCT(Table4[Rev. Based on PROB]*Table4[Expected CMR]*(Table4[Projected 
Year]=F$1)*(Table4[Projected 
Month]=F$2)*(Table4[Installation]=$B26))/MAX(1,F26)</f>
        <v>0</v>
      </c>
      <c r="I26" s="27">
        <f>SUMIFS(Table4[Rev. Based on PROB],Table4[Installation],$B26,Table4[Projected 
Year],I$1,Table4[Projected 
Month],I$2)</f>
        <v>0</v>
      </c>
      <c r="J26" s="159">
        <f>SUMPRODUCT(Table4[Probability]*Table4[Rev. Based on PROB]*(Table4[Installation]=$B26)*(Table4[Projected 
Year]=I$1)*(Table4[Projected 
Month]=I$2))/MAX(1,SUMPRODUCT(Table4[Rev. Based on PROB]*(Table4[Installation]=$B26)*(Table4[Projected 
Year]=I$1)*(Table4[Projected 
Month]=I$2)))</f>
        <v>0</v>
      </c>
      <c r="K26" s="160">
        <f>SUMPRODUCT(Table4[Rev. Based on PROB]*Table4[Expected CMR]*(Table4[Projected 
Year]=I$1)*(Table4[Projected 
Month]=I$2)*(Table4[Installation]=$B26))/MAX(1,I26)</f>
        <v>0</v>
      </c>
      <c r="L26" s="27">
        <f>SUMIFS(Table4[Rev. Based on PROB],Table4[Installation],$B26,Table4[Projected 
Year],L$1,Table4[Projected 
Month],L$2)</f>
        <v>0</v>
      </c>
      <c r="M26" s="159">
        <f>SUMPRODUCT(Table4[Probability]*Table4[Rev. Based on PROB]*(Table4[Installation]=$B26)*(Table4[Projected 
Year]=L$1)*(Table4[Projected 
Month]=L$2))/MAX(1,SUMPRODUCT(Table4[Rev. Based on PROB]*(Table4[Installation]=$B26)*(Table4[Projected 
Year]=L$1)*(Table4[Projected 
Month]=L$2)))</f>
        <v>0</v>
      </c>
      <c r="N26" s="160">
        <f>SUMPRODUCT(Table4[Rev. Based on PROB]*Table4[Expected CMR]*(Table4[Projected 
Year]=L$1)*(Table4[Projected 
Month]=L$2)*(Table4[Installation]=$B26))/MAX(1,L26)</f>
        <v>0</v>
      </c>
      <c r="O26" s="27">
        <f>SUMIFS(Table4[Rev. Based on PROB],Table4[Installation],$B26,Table4[Projected 
Year],O$1,Table4[Projected 
Month],O$2)</f>
        <v>0</v>
      </c>
      <c r="P26" s="159">
        <f>SUMPRODUCT(Table4[Probability]*Table4[Rev. Based on PROB]*(Table4[Installation]=$B26)*(Table4[Projected 
Year]=O$1)*(Table4[Projected 
Month]=O$2))/MAX(1,SUMPRODUCT(Table4[Rev. Based on PROB]*(Table4[Installation]=$B26)*(Table4[Projected 
Year]=O$1)*(Table4[Projected 
Month]=O$2)))</f>
        <v>0</v>
      </c>
      <c r="Q26" s="160">
        <f>SUMPRODUCT(Table4[Rev. Based on PROB]*Table4[Expected CMR]*(Table4[Projected 
Year]=O$1)*(Table4[Projected 
Month]=O$2)*(Table4[Installation]=$B26))/MAX(1,O26)</f>
        <v>0</v>
      </c>
      <c r="R26" s="27">
        <f>SUMIFS(Table4[Rev. Based on PROB],Table4[Installation],$B26,Table4[Projected 
Year],R$1,Table4[Projected 
Month],R$2)</f>
        <v>0</v>
      </c>
      <c r="S26" s="159">
        <f>SUMPRODUCT(Table4[Probability]*Table4[Rev. Based on PROB]*(Table4[Installation]=$B26)*(Table4[Projected 
Year]=R$1)*(Table4[Projected 
Month]=R$2))/MAX(1,SUMPRODUCT(Table4[Rev. Based on PROB]*(Table4[Installation]=$B26)*(Table4[Projected 
Year]=R$1)*(Table4[Projected 
Month]=R$2)))</f>
        <v>0</v>
      </c>
      <c r="T26" s="160">
        <f>SUMPRODUCT(Table4[Rev. Based on PROB]*Table4[Expected CMR]*(Table4[Projected 
Year]=R$1)*(Table4[Projected 
Month]=R$2)*(Table4[Installation]=$B26))/MAX(1,R26)</f>
        <v>0</v>
      </c>
      <c r="U26" s="27">
        <f>SUMIFS(Table4[Rev. Based on PROB],Table4[Installation],$B26,Table4[Projected 
Year],U$1,Table4[Projected 
Month],U$2)</f>
        <v>0</v>
      </c>
      <c r="V26" s="159">
        <f>SUMPRODUCT(Table4[Probability]*Table4[Rev. Based on PROB]*(Table4[Installation]=$B26)*(Table4[Projected 
Year]=U$1)*(Table4[Projected 
Month]=U$2))/MAX(1,SUMPRODUCT(Table4[Rev. Based on PROB]*(Table4[Installation]=$B26)*(Table4[Projected 
Year]=U$1)*(Table4[Projected 
Month]=U$2)))</f>
        <v>0</v>
      </c>
      <c r="W26" s="160">
        <f>SUMPRODUCT(Table4[Rev. Based on PROB]*Table4[Expected CMR]*(Table4[Projected 
Year]=U$1)*(Table4[Projected 
Month]=U$2)*(Table4[Installation]=$B26))/MAX(1,U26)</f>
        <v>0</v>
      </c>
      <c r="X26" s="27">
        <f>SUMIFS(Table4[Rev. Based on PROB],Table4[Installation],$B26,Table4[Projected 
Year],X$1,Table4[Projected 
Month],X$2)</f>
        <v>0</v>
      </c>
      <c r="Y26" s="159">
        <f>SUMPRODUCT(Table4[Probability]*Table4[Rev. Based on PROB]*(Table4[Installation]=$B26)*(Table4[Projected 
Year]=X$1)*(Table4[Projected 
Month]=X$2))/MAX(1,SUMPRODUCT(Table4[Rev. Based on PROB]*(Table4[Installation]=$B26)*(Table4[Projected 
Year]=X$1)*(Table4[Projected 
Month]=X$2)))</f>
        <v>0</v>
      </c>
      <c r="Z26" s="160">
        <f>SUMPRODUCT(Table4[Rev. Based on PROB]*Table4[Expected CMR]*(Table4[Projected 
Year]=X$1)*(Table4[Projected 
Month]=X$2)*(Table4[Installation]=$B26))/MAX(1,X26)</f>
        <v>0</v>
      </c>
      <c r="AA26" s="27">
        <f>SUMIFS(Table4[Rev. Based on PROB],Table4[Installation],$B26,Table4[Projected 
Year],AA$1,Table4[Projected 
Month],AA$2)</f>
        <v>0</v>
      </c>
      <c r="AB26" s="159">
        <f>SUMPRODUCT(Table4[Probability]*Table4[Rev. Based on PROB]*(Table4[Installation]=$B26)*(Table4[Projected 
Year]=AA$1)*(Table4[Projected 
Month]=AA$2))/MAX(1,SUMPRODUCT(Table4[Rev. Based on PROB]*(Table4[Installation]=$B26)*(Table4[Projected 
Year]=AA$1)*(Table4[Projected 
Month]=AA$2)))</f>
        <v>0</v>
      </c>
      <c r="AC26" s="160">
        <f>SUMPRODUCT(Table4[Rev. Based on PROB]*Table4[Expected CMR]*(Table4[Projected 
Year]=AA$1)*(Table4[Projected 
Month]=AA$2)*(Table4[Installation]=$B26))/MAX(1,AA26)</f>
        <v>0</v>
      </c>
      <c r="AD26" s="27">
        <f>SUMIFS(Table4[Rev. Based on PROB],Table4[Installation],$B26,Table4[Projected 
Year],AD$1,Table4[Projected 
Month],AD$2)</f>
        <v>0</v>
      </c>
      <c r="AE26" s="159">
        <f>SUMPRODUCT(Table4[Probability]*Table4[Rev. Based on PROB]*(Table4[Installation]=$B26)*(Table4[Projected 
Year]=AD$1)*(Table4[Projected 
Month]=AD$2))/MAX(1,SUMPRODUCT(Table4[Rev. Based on PROB]*(Table4[Installation]=$B26)*(Table4[Projected 
Year]=AD$1)*(Table4[Projected 
Month]=AD$2)))</f>
        <v>0</v>
      </c>
      <c r="AF26" s="160">
        <f>SUMPRODUCT(Table4[Rev. Based on PROB]*Table4[Expected CMR]*(Table4[Projected 
Year]=AD$1)*(Table4[Projected 
Month]=AD$2)*(Table4[Installation]=$B26))/MAX(1,AD26)</f>
        <v>0</v>
      </c>
      <c r="AG26" s="27">
        <f>SUMIFS(Table4[Rev. Based on PROB],Table4[Installation],$B26,Table4[Projected 
Year],AG$1,Table4[Projected 
Month],AG$2)</f>
        <v>0</v>
      </c>
      <c r="AH26" s="159">
        <f>SUMPRODUCT(Table4[Probability]*Table4[Rev. Based on PROB]*(Table4[Installation]=$B26)*(Table4[Projected 
Year]=AG$1)*(Table4[Projected 
Month]=AG$2))/MAX(1,SUMPRODUCT(Table4[Rev. Based on PROB]*(Table4[Installation]=$B26)*(Table4[Projected 
Year]=AG$1)*(Table4[Projected 
Month]=AG$2)))</f>
        <v>0</v>
      </c>
      <c r="AI26" s="160">
        <f>SUMPRODUCT(Table4[Rev. Based on PROB]*Table4[Expected CMR]*(Table4[Projected 
Year]=AG$1)*(Table4[Projected 
Month]=AG$2)*(Table4[Installation]=$B26))/MAX(1,AG26)</f>
        <v>0</v>
      </c>
      <c r="AJ26" s="27">
        <f>SUMIFS(Table4[Rev. Based on PROB],Table4[Installation],$B26,Table4[Projected 
Year],AJ$1,Table4[Projected 
Month],AJ$2)</f>
        <v>0</v>
      </c>
      <c r="AK26" s="159">
        <f>SUMPRODUCT(Table4[Probability]*Table4[Rev. Based on PROB]*(Table4[Installation]=$B26)*(Table4[Projected 
Year]=AJ$1)*(Table4[Projected 
Month]=AJ$2))/MAX(1,SUMPRODUCT(Table4[Rev. Based on PROB]*(Table4[Installation]=$B26)*(Table4[Projected 
Year]=AJ$1)*(Table4[Projected 
Month]=AJ$2)))</f>
        <v>0</v>
      </c>
      <c r="AL26" s="160">
        <f>SUMPRODUCT(Table4[Rev. Based on PROB]*Table4[Expected CMR]*(Table4[Projected 
Year]=AJ$1)*(Table4[Projected 
Month]=AJ$2)*(Table4[Installation]=$B26))/MAX(1,AJ26)</f>
        <v>0</v>
      </c>
      <c r="AM26" s="30">
        <f t="shared" si="7"/>
        <v>0</v>
      </c>
      <c r="AN26" s="52">
        <f t="shared" si="8"/>
        <v>0</v>
      </c>
      <c r="AO26" s="53">
        <f t="shared" si="8"/>
        <v>0</v>
      </c>
      <c r="AP26" s="27">
        <f>SUMIFS(Table47[Rev. Based on PROB],Table47[Installation],$B26,Table47[Projected 
Year],AP$1,Table47[Monthly revenue],AP$2)</f>
        <v>0</v>
      </c>
      <c r="AQ26" s="159">
        <f>SUMPRODUCT(Table4[Probability]*Table4[Rev. Based on PROB]*(Table4[Installation]=$B26)*(Table4[Projected 
Year]=AP$1)*(Table4[Projected 
Month]=AP$2))/MAX(1,SUMPRODUCT(Table4[Rev. Based on PROB]*(Table4[Installation]=$B26)*(Table4[Projected 
Year]=AP$1)*(Table4[Projected 
Month]=AP$2)))</f>
        <v>0</v>
      </c>
      <c r="AR26" s="160">
        <f>SUMPRODUCT(Table4[Rev. Based on PROB]*Table4[Expected CMR]*(Table4[Projected 
Year]=AP$1)*(Table4[Projected 
Month]=AP$2)*(Table4[Installation]=$B26))/MAX(1,AP26)</f>
        <v>0</v>
      </c>
      <c r="AS26" s="27">
        <f>SUMIFS(Table47[Rev. Based on PROB],Table47[Installation],$B26,Table47[Projected 
Year],AS$1,Table47[Monthly revenue],AS$2)</f>
        <v>0</v>
      </c>
      <c r="AT26" s="159">
        <f>SUMPRODUCT(Table4[Probability]*Table4[Rev. Based on PROB]*(Table4[Installation]=$B26)*(Table4[Projected 
Year]=AS$1)*(Table4[Projected 
Month]=AS$2))/MAX(1,SUMPRODUCT(Table4[Rev. Based on PROB]*(Table4[Installation]=$B26)*(Table4[Projected 
Year]=AS$1)*(Table4[Projected 
Month]=AS$2)))</f>
        <v>0</v>
      </c>
      <c r="AU26" s="160">
        <f>SUMPRODUCT(Table4[Rev. Based on PROB]*Table4[Expected CMR]*(Table4[Projected 
Year]=AS$1)*(Table4[Projected 
Month]=AS$2)*(Table4[Installation]=$B26))/MAX(1,AS26)</f>
        <v>0</v>
      </c>
      <c r="AV26" s="27">
        <f>SUMIFS(Table47[Rev. Based on PROB],Table47[Installation],$B26,Table47[Projected 
Year],AV$1,Table47[Monthly revenue],AV$2)</f>
        <v>0</v>
      </c>
      <c r="AW26" s="159">
        <f>SUMPRODUCT(Table4[Probability]*Table4[Rev. Based on PROB]*(Table4[Installation]=$B26)*(Table4[Projected 
Year]=AV$1)*(Table4[Projected 
Month]=AV$2))/MAX(1,SUMPRODUCT(Table4[Rev. Based on PROB]*(Table4[Installation]=$B26)*(Table4[Projected 
Year]=AV$1)*(Table4[Projected 
Month]=AV$2)))</f>
        <v>0</v>
      </c>
      <c r="AX26" s="160">
        <f>SUMPRODUCT(Table4[Rev. Based on PROB]*Table4[Expected CMR]*(Table4[Projected 
Year]=AV$1)*(Table4[Projected 
Month]=AV$2)*(Table4[Installation]=$B26))/MAX(1,AV26)</f>
        <v>0</v>
      </c>
      <c r="AY26" s="27">
        <f>SUMIFS(Table47[Rev. Based on PROB],Table47[Installation],$B26,Table47[Projected 
Year],AY$1,Table47[Monthly revenue],AY$2)</f>
        <v>0</v>
      </c>
      <c r="AZ26" s="159">
        <f>SUMPRODUCT(Table4[Probability]*Table4[Rev. Based on PROB]*(Table4[Installation]=$B26)*(Table4[Projected 
Year]=AY$1)*(Table4[Projected 
Month]=AY$2))/MAX(1,SUMPRODUCT(Table4[Rev. Based on PROB]*(Table4[Installation]=$B26)*(Table4[Projected 
Year]=AY$1)*(Table4[Projected 
Month]=AY$2)))</f>
        <v>0</v>
      </c>
      <c r="BA26" s="160">
        <f>SUMPRODUCT(Table4[Rev. Based on PROB]*Table4[Expected CMR]*(Table4[Projected 
Year]=AY$1)*(Table4[Projected 
Month]=AY$2)*(Table4[Installation]=$B26))/MAX(1,AY26)</f>
        <v>0</v>
      </c>
      <c r="BB26" s="27">
        <f>SUMIFS(Table47[Rev. Based on PROB],Table47[Installation],$B26,Table47[Projected 
Year],BB$1,Table47[Monthly revenue],BB$2)</f>
        <v>0</v>
      </c>
      <c r="BC26" s="159">
        <f>SUMPRODUCT(Table4[Probability]*Table4[Rev. Based on PROB]*(Table4[Installation]=$B26)*(Table4[Projected 
Year]=BB$1)*(Table4[Projected 
Month]=BB$2))/MAX(1,SUMPRODUCT(Table4[Rev. Based on PROB]*(Table4[Installation]=$B26)*(Table4[Projected 
Year]=BB$1)*(Table4[Projected 
Month]=BB$2)))</f>
        <v>0</v>
      </c>
      <c r="BD26" s="160">
        <f>SUMPRODUCT(Table4[Rev. Based on PROB]*Table4[Expected CMR]*(Table4[Projected 
Year]=BB$1)*(Table4[Projected 
Month]=BB$2)*(Table4[Installation]=$B26))/MAX(1,BB26)</f>
        <v>0</v>
      </c>
      <c r="BE26" s="27">
        <f>SUMIFS(Table47[Rev. Based on PROB],Table47[Installation],$B26,Table47[Projected 
Year],BE$1,Table47[Monthly revenue],BE$2)</f>
        <v>0</v>
      </c>
      <c r="BF26" s="159">
        <f>SUMPRODUCT(Table4[Probability]*Table4[Rev. Based on PROB]*(Table4[Installation]=$B26)*(Table4[Projected 
Year]=BE$1)*(Table4[Projected 
Month]=BE$2))/MAX(1,SUMPRODUCT(Table4[Rev. Based on PROB]*(Table4[Installation]=$B26)*(Table4[Projected 
Year]=BE$1)*(Table4[Projected 
Month]=BE$2)))</f>
        <v>0</v>
      </c>
      <c r="BG26" s="160">
        <f>SUMPRODUCT(Table4[Rev. Based on PROB]*Table4[Expected CMR]*(Table4[Projected 
Year]=BE$1)*(Table4[Projected 
Month]=BE$2)*(Table4[Installation]=$B26))/MAX(1,BE26)</f>
        <v>0</v>
      </c>
      <c r="BH26" s="27">
        <f>SUMIFS(Table47[Rev. Based on PROB],Table47[Installation],$B26,Table47[Projected 
Year],BH$1,Table47[Monthly revenue],BH$2)</f>
        <v>0</v>
      </c>
      <c r="BI26" s="159">
        <f>SUMPRODUCT(Table4[Probability]*Table4[Rev. Based on PROB]*(Table4[Installation]=$B26)*(Table4[Projected 
Year]=BH$1)*(Table4[Projected 
Month]=BH$2))/MAX(1,SUMPRODUCT(Table4[Rev. Based on PROB]*(Table4[Installation]=$B26)*(Table4[Projected 
Year]=BH$1)*(Table4[Projected 
Month]=BH$2)))</f>
        <v>0</v>
      </c>
      <c r="BJ26" s="160">
        <f>SUMPRODUCT(Table4[Rev. Based on PROB]*Table4[Expected CMR]*(Table4[Projected 
Year]=BH$1)*(Table4[Projected 
Month]=BH$2)*(Table4[Installation]=$B26))/MAX(1,BH26)</f>
        <v>0</v>
      </c>
      <c r="BK26" s="27">
        <f>SUMIFS(Table47[Rev. Based on PROB],Table47[Installation],$B26,Table47[Projected 
Year],BK$1,Table47[Monthly revenue],BK$2)</f>
        <v>0</v>
      </c>
      <c r="BL26" s="159">
        <f>SUMPRODUCT(Table4[Probability]*Table4[Rev. Based on PROB]*(Table4[Installation]=$B26)*(Table4[Projected 
Year]=BK$1)*(Table4[Projected 
Month]=BK$2))/MAX(1,SUMPRODUCT(Table4[Rev. Based on PROB]*(Table4[Installation]=$B26)*(Table4[Projected 
Year]=BK$1)*(Table4[Projected 
Month]=BK$2)))</f>
        <v>0</v>
      </c>
      <c r="BM26" s="160">
        <f>SUMPRODUCT(Table4[Rev. Based on PROB]*Table4[Expected CMR]*(Table4[Projected 
Year]=BK$1)*(Table4[Projected 
Month]=BK$2)*(Table4[Installation]=$B26))/MAX(1,BK26)</f>
        <v>0</v>
      </c>
      <c r="BN26" s="27">
        <f>SUMIFS(Table47[Rev. Based on PROB],Table47[Installation],$B26,Table47[Projected 
Year],BN$1,Table47[Monthly revenue],BN$2)</f>
        <v>0</v>
      </c>
      <c r="BO26" s="159">
        <f>SUMPRODUCT(Table4[Probability]*Table4[Rev. Based on PROB]*(Table4[Installation]=$B26)*(Table4[Projected 
Year]=BN$1)*(Table4[Projected 
Month]=BN$2))/MAX(1,SUMPRODUCT(Table4[Rev. Based on PROB]*(Table4[Installation]=$B26)*(Table4[Projected 
Year]=BN$1)*(Table4[Projected 
Month]=BN$2)))</f>
        <v>0</v>
      </c>
      <c r="BP26" s="160">
        <f>SUMPRODUCT(Table4[Rev. Based on PROB]*Table4[Expected CMR]*(Table4[Projected 
Year]=BN$1)*(Table4[Projected 
Month]=BN$2)*(Table4[Installation]=$B26))/MAX(1,BN26)</f>
        <v>0</v>
      </c>
      <c r="BQ26" s="27">
        <f>SUMIFS(Table47[Rev. Based on PROB],Table47[Installation],$B26,Table47[Projected 
Year],BQ$1,Table47[Monthly revenue],BQ$2)</f>
        <v>0</v>
      </c>
      <c r="BR26" s="159">
        <f>SUMPRODUCT(Table4[Probability]*Table4[Rev. Based on PROB]*(Table4[Installation]=$B26)*(Table4[Projected 
Year]=BQ$1)*(Table4[Projected 
Month]=BQ$2))/MAX(1,SUMPRODUCT(Table4[Rev. Based on PROB]*(Table4[Installation]=$B26)*(Table4[Projected 
Year]=BQ$1)*(Table4[Projected 
Month]=BQ$2)))</f>
        <v>0</v>
      </c>
      <c r="BS26" s="160">
        <f>SUMPRODUCT(Table4[Rev. Based on PROB]*Table4[Expected CMR]*(Table4[Projected 
Year]=BQ$1)*(Table4[Projected 
Month]=BQ$2)*(Table4[Installation]=$B26))/MAX(1,BQ26)</f>
        <v>0</v>
      </c>
      <c r="BT26" s="27">
        <f>SUMIFS(Table47[Rev. Based on PROB],Table47[Installation],$B26,Table47[Projected 
Year],BT$1,Table47[Monthly revenue],BT$2)</f>
        <v>0</v>
      </c>
      <c r="BU26" s="159">
        <f>SUMPRODUCT(Table4[Probability]*Table4[Rev. Based on PROB]*(Table4[Installation]=$B26)*(Table4[Projected 
Year]=BT$1)*(Table4[Projected 
Month]=BT$2))/MAX(1,SUMPRODUCT(Table4[Rev. Based on PROB]*(Table4[Installation]=$B26)*(Table4[Projected 
Year]=BT$1)*(Table4[Projected 
Month]=BT$2)))</f>
        <v>0</v>
      </c>
      <c r="BV26" s="160">
        <f>SUMPRODUCT(Table4[Rev. Based on PROB]*Table4[Expected CMR]*(Table4[Projected 
Year]=BT$1)*(Table4[Projected 
Month]=BT$2)*(Table4[Installation]=$B26))/MAX(1,BT26)</f>
        <v>0</v>
      </c>
      <c r="BW26" s="27">
        <f>SUMIFS(Table47[Rev. Based on PROB],Table47[Installation],$B26,Table47[Projected 
Year],BW$1,Table47[Monthly revenue],BW$2)</f>
        <v>0</v>
      </c>
      <c r="BX26" s="159">
        <f>SUMPRODUCT(Table4[Probability]*Table4[Rev. Based on PROB]*(Table4[Installation]=$B26)*(Table4[Projected 
Year]=BW$1)*(Table4[Projected 
Month]=BW$2))/MAX(1,SUMPRODUCT(Table4[Rev. Based on PROB]*(Table4[Installation]=$B26)*(Table4[Projected 
Year]=BW$1)*(Table4[Projected 
Month]=BW$2)))</f>
        <v>0</v>
      </c>
      <c r="BY26" s="160">
        <f>SUMPRODUCT(Table4[Rev. Based on PROB]*Table4[Expected CMR]*(Table4[Projected 
Year]=BW$1)*(Table4[Projected 
Month]=BW$2)*(Table4[Installation]=$B26))/MAX(1,BW26)</f>
        <v>0</v>
      </c>
      <c r="BZ26" s="200"/>
      <c r="CA26" s="200"/>
      <c r="CB26" s="200"/>
      <c r="CC26" s="200"/>
      <c r="CD26" s="200"/>
      <c r="CE26" s="200"/>
      <c r="CF26" s="200"/>
      <c r="CG26" s="200"/>
      <c r="CH26" s="200"/>
      <c r="CI26" s="200"/>
      <c r="CJ26" s="200"/>
      <c r="CK26" s="200"/>
      <c r="CL26" s="200"/>
      <c r="CM26" s="200"/>
      <c r="CN26" s="200"/>
      <c r="CO26" s="200"/>
      <c r="CP26" s="200"/>
      <c r="CQ26" s="200"/>
      <c r="CR26" s="200"/>
      <c r="CS26" s="200"/>
      <c r="CT26" s="200"/>
      <c r="CU26" s="30">
        <f t="shared" si="0"/>
        <v>0</v>
      </c>
      <c r="CV26" s="52">
        <f t="shared" si="9"/>
        <v>0</v>
      </c>
      <c r="CW26" s="53">
        <f t="shared" si="10"/>
        <v>0</v>
      </c>
      <c r="CX26" s="29"/>
    </row>
    <row r="27" spans="1:103">
      <c r="A27" s="18"/>
      <c r="B27" s="20" t="s">
        <v>319</v>
      </c>
      <c r="C27" s="27">
        <f>SUMIFS(Table4[Rev. Based on PROB],Table4[Installation],$B27,Table4[Projected 
Year],C$1,Table4[Projected 
Month],C$2)</f>
        <v>0</v>
      </c>
      <c r="D27" s="159">
        <f>SUMPRODUCT(Table4[Probability]*Table4[Rev. Based on PROB]*(Table4[Installation]=$B27)*(Table4[Projected 
Year]=C$1)*(Table4[Projected 
Month]=C$2))/MAX(1,SUMPRODUCT(Table4[Rev. Based on PROB]*(Table4[Installation]=$B27)*(Table4[Projected 
Year]=C$1)*(Table4[Projected 
Month]=C$2)))</f>
        <v>0</v>
      </c>
      <c r="E27" s="160">
        <f>SUMPRODUCT(Table4[Rev. Based on PROB]*Table4[Expected CMR]*(Table4[Projected 
Year]=C$1)*(Table4[Projected 
Month]=C$2)*(Table4[Installation]=$B27))/MAX(1,C27)</f>
        <v>0</v>
      </c>
      <c r="F27" s="27">
        <f>SUMIFS(Table4[Rev. Based on PROB],Table4[Installation],$B27,Table4[Projected 
Year],F$1,Table4[Projected 
Month],F$2)</f>
        <v>0</v>
      </c>
      <c r="G27" s="159">
        <f>SUMPRODUCT(Table4[Probability]*Table4[Rev. Based on PROB]*(Table4[Installation]=$B27)*(Table4[Projected 
Year]=F$1)*(Table4[Projected 
Month]=F$2))/MAX(1,SUMPRODUCT(Table4[Rev. Based on PROB]*(Table4[Installation]=$B27)*(Table4[Projected 
Year]=F$1)*(Table4[Projected 
Month]=F$2)))</f>
        <v>0</v>
      </c>
      <c r="H27" s="160">
        <f>SUMPRODUCT(Table4[Rev. Based on PROB]*Table4[Expected CMR]*(Table4[Projected 
Year]=F$1)*(Table4[Projected 
Month]=F$2)*(Table4[Installation]=$B27))/MAX(1,F27)</f>
        <v>0</v>
      </c>
      <c r="I27" s="27">
        <f>SUMIFS(Table4[Rev. Based on PROB],Table4[Installation],$B27,Table4[Projected 
Year],I$1,Table4[Projected 
Month],I$2)</f>
        <v>0</v>
      </c>
      <c r="J27" s="159">
        <f>SUMPRODUCT(Table4[Probability]*Table4[Rev. Based on PROB]*(Table4[Installation]=$B27)*(Table4[Projected 
Year]=I$1)*(Table4[Projected 
Month]=I$2))/MAX(1,SUMPRODUCT(Table4[Rev. Based on PROB]*(Table4[Installation]=$B27)*(Table4[Projected 
Year]=I$1)*(Table4[Projected 
Month]=I$2)))</f>
        <v>0</v>
      </c>
      <c r="K27" s="160">
        <f>SUMPRODUCT(Table4[Rev. Based on PROB]*Table4[Expected CMR]*(Table4[Projected 
Year]=I$1)*(Table4[Projected 
Month]=I$2)*(Table4[Installation]=$B27))/MAX(1,I27)</f>
        <v>0</v>
      </c>
      <c r="L27" s="27">
        <f>SUMIFS(Table4[Rev. Based on PROB],Table4[Installation],$B27,Table4[Projected 
Year],L$1,Table4[Projected 
Month],L$2)</f>
        <v>0</v>
      </c>
      <c r="M27" s="159">
        <f>SUMPRODUCT(Table4[Probability]*Table4[Rev. Based on PROB]*(Table4[Installation]=$B27)*(Table4[Projected 
Year]=L$1)*(Table4[Projected 
Month]=L$2))/MAX(1,SUMPRODUCT(Table4[Rev. Based on PROB]*(Table4[Installation]=$B27)*(Table4[Projected 
Year]=L$1)*(Table4[Projected 
Month]=L$2)))</f>
        <v>0</v>
      </c>
      <c r="N27" s="160">
        <f>SUMPRODUCT(Table4[Rev. Based on PROB]*Table4[Expected CMR]*(Table4[Projected 
Year]=L$1)*(Table4[Projected 
Month]=L$2)*(Table4[Installation]=$B27))/MAX(1,L27)</f>
        <v>0</v>
      </c>
      <c r="O27" s="27">
        <f>SUMIFS(Table4[Rev. Based on PROB],Table4[Installation],$B27,Table4[Projected 
Year],O$1,Table4[Projected 
Month],O$2)</f>
        <v>0</v>
      </c>
      <c r="P27" s="159">
        <f>SUMPRODUCT(Table4[Probability]*Table4[Rev. Based on PROB]*(Table4[Installation]=$B27)*(Table4[Projected 
Year]=O$1)*(Table4[Projected 
Month]=O$2))/MAX(1,SUMPRODUCT(Table4[Rev. Based on PROB]*(Table4[Installation]=$B27)*(Table4[Projected 
Year]=O$1)*(Table4[Projected 
Month]=O$2)))</f>
        <v>0</v>
      </c>
      <c r="Q27" s="160">
        <f>SUMPRODUCT(Table4[Rev. Based on PROB]*Table4[Expected CMR]*(Table4[Projected 
Year]=O$1)*(Table4[Projected 
Month]=O$2)*(Table4[Installation]=$B27))/MAX(1,O27)</f>
        <v>0</v>
      </c>
      <c r="R27" s="27">
        <f>SUMIFS(Table4[Rev. Based on PROB],Table4[Installation],$B27,Table4[Projected 
Year],R$1,Table4[Projected 
Month],R$2)</f>
        <v>0</v>
      </c>
      <c r="S27" s="159">
        <f>SUMPRODUCT(Table4[Probability]*Table4[Rev. Based on PROB]*(Table4[Installation]=$B27)*(Table4[Projected 
Year]=R$1)*(Table4[Projected 
Month]=R$2))/MAX(1,SUMPRODUCT(Table4[Rev. Based on PROB]*(Table4[Installation]=$B27)*(Table4[Projected 
Year]=R$1)*(Table4[Projected 
Month]=R$2)))</f>
        <v>0</v>
      </c>
      <c r="T27" s="160">
        <f>SUMPRODUCT(Table4[Rev. Based on PROB]*Table4[Expected CMR]*(Table4[Projected 
Year]=R$1)*(Table4[Projected 
Month]=R$2)*(Table4[Installation]=$B27))/MAX(1,R27)</f>
        <v>0</v>
      </c>
      <c r="U27" s="27">
        <f>SUMIFS(Table4[Rev. Based on PROB],Table4[Installation],$B27,Table4[Projected 
Year],U$1,Table4[Projected 
Month],U$2)</f>
        <v>0</v>
      </c>
      <c r="V27" s="159">
        <f>SUMPRODUCT(Table4[Probability]*Table4[Rev. Based on PROB]*(Table4[Installation]=$B27)*(Table4[Projected 
Year]=U$1)*(Table4[Projected 
Month]=U$2))/MAX(1,SUMPRODUCT(Table4[Rev. Based on PROB]*(Table4[Installation]=$B27)*(Table4[Projected 
Year]=U$1)*(Table4[Projected 
Month]=U$2)))</f>
        <v>0</v>
      </c>
      <c r="W27" s="160">
        <f>SUMPRODUCT(Table4[Rev. Based on PROB]*Table4[Expected CMR]*(Table4[Projected 
Year]=U$1)*(Table4[Projected 
Month]=U$2)*(Table4[Installation]=$B27))/MAX(1,U27)</f>
        <v>0</v>
      </c>
      <c r="X27" s="27">
        <f>SUMIFS(Table4[Rev. Based on PROB],Table4[Installation],$B27,Table4[Projected 
Year],X$1,Table4[Projected 
Month],X$2)</f>
        <v>0</v>
      </c>
      <c r="Y27" s="159">
        <f>SUMPRODUCT(Table4[Probability]*Table4[Rev. Based on PROB]*(Table4[Installation]=$B27)*(Table4[Projected 
Year]=X$1)*(Table4[Projected 
Month]=X$2))/MAX(1,SUMPRODUCT(Table4[Rev. Based on PROB]*(Table4[Installation]=$B27)*(Table4[Projected 
Year]=X$1)*(Table4[Projected 
Month]=X$2)))</f>
        <v>0</v>
      </c>
      <c r="Z27" s="160">
        <f>SUMPRODUCT(Table4[Rev. Based on PROB]*Table4[Expected CMR]*(Table4[Projected 
Year]=X$1)*(Table4[Projected 
Month]=X$2)*(Table4[Installation]=$B27))/MAX(1,X27)</f>
        <v>0</v>
      </c>
      <c r="AA27" s="27">
        <f>SUMIFS(Table4[Rev. Based on PROB],Table4[Installation],$B27,Table4[Projected 
Year],AA$1,Table4[Projected 
Month],AA$2)</f>
        <v>0</v>
      </c>
      <c r="AB27" s="159">
        <f>SUMPRODUCT(Table4[Probability]*Table4[Rev. Based on PROB]*(Table4[Installation]=$B27)*(Table4[Projected 
Year]=AA$1)*(Table4[Projected 
Month]=AA$2))/MAX(1,SUMPRODUCT(Table4[Rev. Based on PROB]*(Table4[Installation]=$B27)*(Table4[Projected 
Year]=AA$1)*(Table4[Projected 
Month]=AA$2)))</f>
        <v>0</v>
      </c>
      <c r="AC27" s="160">
        <f>SUMPRODUCT(Table4[Rev. Based on PROB]*Table4[Expected CMR]*(Table4[Projected 
Year]=AA$1)*(Table4[Projected 
Month]=AA$2)*(Table4[Installation]=$B27))/MAX(1,AA27)</f>
        <v>0</v>
      </c>
      <c r="AD27" s="27">
        <f>SUMIFS(Table4[Rev. Based on PROB],Table4[Installation],$B27,Table4[Projected 
Year],AD$1,Table4[Projected 
Month],AD$2)</f>
        <v>0</v>
      </c>
      <c r="AE27" s="159">
        <f>SUMPRODUCT(Table4[Probability]*Table4[Rev. Based on PROB]*(Table4[Installation]=$B27)*(Table4[Projected 
Year]=AD$1)*(Table4[Projected 
Month]=AD$2))/MAX(1,SUMPRODUCT(Table4[Rev. Based on PROB]*(Table4[Installation]=$B27)*(Table4[Projected 
Year]=AD$1)*(Table4[Projected 
Month]=AD$2)))</f>
        <v>0</v>
      </c>
      <c r="AF27" s="160">
        <f>SUMPRODUCT(Table4[Rev. Based on PROB]*Table4[Expected CMR]*(Table4[Projected 
Year]=AD$1)*(Table4[Projected 
Month]=AD$2)*(Table4[Installation]=$B27))/MAX(1,AD27)</f>
        <v>0</v>
      </c>
      <c r="AG27" s="27">
        <f>SUMIFS(Table4[Rev. Based on PROB],Table4[Installation],$B27,Table4[Projected 
Year],AG$1,Table4[Projected 
Month],AG$2)</f>
        <v>0</v>
      </c>
      <c r="AH27" s="159">
        <f>SUMPRODUCT(Table4[Probability]*Table4[Rev. Based on PROB]*(Table4[Installation]=$B27)*(Table4[Projected 
Year]=AG$1)*(Table4[Projected 
Month]=AG$2))/MAX(1,SUMPRODUCT(Table4[Rev. Based on PROB]*(Table4[Installation]=$B27)*(Table4[Projected 
Year]=AG$1)*(Table4[Projected 
Month]=AG$2)))</f>
        <v>0</v>
      </c>
      <c r="AI27" s="160">
        <f>SUMPRODUCT(Table4[Rev. Based on PROB]*Table4[Expected CMR]*(Table4[Projected 
Year]=AG$1)*(Table4[Projected 
Month]=AG$2)*(Table4[Installation]=$B27))/MAX(1,AG27)</f>
        <v>0</v>
      </c>
      <c r="AJ27" s="27">
        <f>SUMIFS(Table4[Rev. Based on PROB],Table4[Installation],$B27,Table4[Projected 
Year],AJ$1,Table4[Projected 
Month],AJ$2)</f>
        <v>0</v>
      </c>
      <c r="AK27" s="159">
        <f>SUMPRODUCT(Table4[Probability]*Table4[Rev. Based on PROB]*(Table4[Installation]=$B27)*(Table4[Projected 
Year]=AJ$1)*(Table4[Projected 
Month]=AJ$2))/MAX(1,SUMPRODUCT(Table4[Rev. Based on PROB]*(Table4[Installation]=$B27)*(Table4[Projected 
Year]=AJ$1)*(Table4[Projected 
Month]=AJ$2)))</f>
        <v>0</v>
      </c>
      <c r="AL27" s="160">
        <f>SUMPRODUCT(Table4[Rev. Based on PROB]*Table4[Expected CMR]*(Table4[Projected 
Year]=AJ$1)*(Table4[Projected 
Month]=AJ$2)*(Table4[Installation]=$B27))/MAX(1,AJ27)</f>
        <v>0</v>
      </c>
      <c r="AM27" s="30">
        <f t="shared" si="7"/>
        <v>0</v>
      </c>
      <c r="AN27" s="52">
        <f t="shared" si="8"/>
        <v>0</v>
      </c>
      <c r="AO27" s="53">
        <f t="shared" si="8"/>
        <v>0</v>
      </c>
      <c r="AP27" s="27">
        <f>SUMIFS(Table47[Rev. Based on PROB],Table47[Installation],$B27,Table47[Projected 
Year],AP$1,Table47[Monthly revenue],AP$2)</f>
        <v>0</v>
      </c>
      <c r="AQ27" s="159">
        <f>SUMPRODUCT(Table4[Probability]*Table4[Rev. Based on PROB]*(Table4[Installation]=$B27)*(Table4[Projected 
Year]=AP$1)*(Table4[Projected 
Month]=AP$2))/MAX(1,SUMPRODUCT(Table4[Rev. Based on PROB]*(Table4[Installation]=$B27)*(Table4[Projected 
Year]=AP$1)*(Table4[Projected 
Month]=AP$2)))</f>
        <v>0</v>
      </c>
      <c r="AR27" s="160">
        <f>SUMPRODUCT(Table4[Rev. Based on PROB]*Table4[Expected CMR]*(Table4[Projected 
Year]=AP$1)*(Table4[Projected 
Month]=AP$2)*(Table4[Installation]=$B27))/MAX(1,AP27)</f>
        <v>0</v>
      </c>
      <c r="AS27" s="27">
        <f>SUMIFS(Table47[Rev. Based on PROB],Table47[Installation],$B27,Table47[Projected 
Year],AS$1,Table47[Monthly revenue],AS$2)</f>
        <v>0</v>
      </c>
      <c r="AT27" s="159">
        <f>SUMPRODUCT(Table4[Probability]*Table4[Rev. Based on PROB]*(Table4[Installation]=$B27)*(Table4[Projected 
Year]=AS$1)*(Table4[Projected 
Month]=AS$2))/MAX(1,SUMPRODUCT(Table4[Rev. Based on PROB]*(Table4[Installation]=$B27)*(Table4[Projected 
Year]=AS$1)*(Table4[Projected 
Month]=AS$2)))</f>
        <v>0</v>
      </c>
      <c r="AU27" s="160">
        <f>SUMPRODUCT(Table4[Rev. Based on PROB]*Table4[Expected CMR]*(Table4[Projected 
Year]=AS$1)*(Table4[Projected 
Month]=AS$2)*(Table4[Installation]=$B27))/MAX(1,AS27)</f>
        <v>0</v>
      </c>
      <c r="AV27" s="27">
        <f>SUMIFS(Table47[Rev. Based on PROB],Table47[Installation],$B27,Table47[Projected 
Year],AV$1,Table47[Monthly revenue],AV$2)</f>
        <v>0</v>
      </c>
      <c r="AW27" s="159">
        <f>SUMPRODUCT(Table4[Probability]*Table4[Rev. Based on PROB]*(Table4[Installation]=$B27)*(Table4[Projected 
Year]=AV$1)*(Table4[Projected 
Month]=AV$2))/MAX(1,SUMPRODUCT(Table4[Rev. Based on PROB]*(Table4[Installation]=$B27)*(Table4[Projected 
Year]=AV$1)*(Table4[Projected 
Month]=AV$2)))</f>
        <v>0</v>
      </c>
      <c r="AX27" s="160">
        <f>SUMPRODUCT(Table4[Rev. Based on PROB]*Table4[Expected CMR]*(Table4[Projected 
Year]=AV$1)*(Table4[Projected 
Month]=AV$2)*(Table4[Installation]=$B27))/MAX(1,AV27)</f>
        <v>0</v>
      </c>
      <c r="AY27" s="27">
        <f>SUMIFS(Table47[Rev. Based on PROB],Table47[Installation],$B27,Table47[Projected 
Year],AY$1,Table47[Monthly revenue],AY$2)</f>
        <v>0</v>
      </c>
      <c r="AZ27" s="159">
        <f>SUMPRODUCT(Table4[Probability]*Table4[Rev. Based on PROB]*(Table4[Installation]=$B27)*(Table4[Projected 
Year]=AY$1)*(Table4[Projected 
Month]=AY$2))/MAX(1,SUMPRODUCT(Table4[Rev. Based on PROB]*(Table4[Installation]=$B27)*(Table4[Projected 
Year]=AY$1)*(Table4[Projected 
Month]=AY$2)))</f>
        <v>0</v>
      </c>
      <c r="BA27" s="160">
        <f>SUMPRODUCT(Table4[Rev. Based on PROB]*Table4[Expected CMR]*(Table4[Projected 
Year]=AY$1)*(Table4[Projected 
Month]=AY$2)*(Table4[Installation]=$B27))/MAX(1,AY27)</f>
        <v>0</v>
      </c>
      <c r="BB27" s="27">
        <f>SUMIFS(Table47[Rev. Based on PROB],Table47[Installation],$B27,Table47[Projected 
Year],BB$1,Table47[Monthly revenue],BB$2)</f>
        <v>0</v>
      </c>
      <c r="BC27" s="159">
        <f>SUMPRODUCT(Table4[Probability]*Table4[Rev. Based on PROB]*(Table4[Installation]=$B27)*(Table4[Projected 
Year]=BB$1)*(Table4[Projected 
Month]=BB$2))/MAX(1,SUMPRODUCT(Table4[Rev. Based on PROB]*(Table4[Installation]=$B27)*(Table4[Projected 
Year]=BB$1)*(Table4[Projected 
Month]=BB$2)))</f>
        <v>0</v>
      </c>
      <c r="BD27" s="160">
        <f>SUMPRODUCT(Table4[Rev. Based on PROB]*Table4[Expected CMR]*(Table4[Projected 
Year]=BB$1)*(Table4[Projected 
Month]=BB$2)*(Table4[Installation]=$B27))/MAX(1,BB27)</f>
        <v>0</v>
      </c>
      <c r="BE27" s="27">
        <f>SUMIFS(Table47[Rev. Based on PROB],Table47[Installation],$B27,Table47[Projected 
Year],BE$1,Table47[Monthly revenue],BE$2)</f>
        <v>0</v>
      </c>
      <c r="BF27" s="159">
        <f>SUMPRODUCT(Table4[Probability]*Table4[Rev. Based on PROB]*(Table4[Installation]=$B27)*(Table4[Projected 
Year]=BE$1)*(Table4[Projected 
Month]=BE$2))/MAX(1,SUMPRODUCT(Table4[Rev. Based on PROB]*(Table4[Installation]=$B27)*(Table4[Projected 
Year]=BE$1)*(Table4[Projected 
Month]=BE$2)))</f>
        <v>0</v>
      </c>
      <c r="BG27" s="160">
        <f>SUMPRODUCT(Table4[Rev. Based on PROB]*Table4[Expected CMR]*(Table4[Projected 
Year]=BE$1)*(Table4[Projected 
Month]=BE$2)*(Table4[Installation]=$B27))/MAX(1,BE27)</f>
        <v>0</v>
      </c>
      <c r="BH27" s="27">
        <f>SUMIFS(Table47[Rev. Based on PROB],Table47[Installation],$B27,Table47[Projected 
Year],BH$1,Table47[Monthly revenue],BH$2)</f>
        <v>0</v>
      </c>
      <c r="BI27" s="159">
        <f>SUMPRODUCT(Table4[Probability]*Table4[Rev. Based on PROB]*(Table4[Installation]=$B27)*(Table4[Projected 
Year]=BH$1)*(Table4[Projected 
Month]=BH$2))/MAX(1,SUMPRODUCT(Table4[Rev. Based on PROB]*(Table4[Installation]=$B27)*(Table4[Projected 
Year]=BH$1)*(Table4[Projected 
Month]=BH$2)))</f>
        <v>0</v>
      </c>
      <c r="BJ27" s="160">
        <f>SUMPRODUCT(Table4[Rev. Based on PROB]*Table4[Expected CMR]*(Table4[Projected 
Year]=BH$1)*(Table4[Projected 
Month]=BH$2)*(Table4[Installation]=$B27))/MAX(1,BH27)</f>
        <v>0</v>
      </c>
      <c r="BK27" s="27">
        <f>SUMIFS(Table47[Rev. Based on PROB],Table47[Installation],$B27,Table47[Projected 
Year],BK$1,Table47[Monthly revenue],BK$2)</f>
        <v>0</v>
      </c>
      <c r="BL27" s="159">
        <f>SUMPRODUCT(Table4[Probability]*Table4[Rev. Based on PROB]*(Table4[Installation]=$B27)*(Table4[Projected 
Year]=BK$1)*(Table4[Projected 
Month]=BK$2))/MAX(1,SUMPRODUCT(Table4[Rev. Based on PROB]*(Table4[Installation]=$B27)*(Table4[Projected 
Year]=BK$1)*(Table4[Projected 
Month]=BK$2)))</f>
        <v>0</v>
      </c>
      <c r="BM27" s="160">
        <f>SUMPRODUCT(Table4[Rev. Based on PROB]*Table4[Expected CMR]*(Table4[Projected 
Year]=BK$1)*(Table4[Projected 
Month]=BK$2)*(Table4[Installation]=$B27))/MAX(1,BK27)</f>
        <v>0</v>
      </c>
      <c r="BN27" s="27">
        <f>SUMIFS(Table47[Rev. Based on PROB],Table47[Installation],$B27,Table47[Projected 
Year],BN$1,Table47[Monthly revenue],BN$2)</f>
        <v>0</v>
      </c>
      <c r="BO27" s="159">
        <f>SUMPRODUCT(Table4[Probability]*Table4[Rev. Based on PROB]*(Table4[Installation]=$B27)*(Table4[Projected 
Year]=BN$1)*(Table4[Projected 
Month]=BN$2))/MAX(1,SUMPRODUCT(Table4[Rev. Based on PROB]*(Table4[Installation]=$B27)*(Table4[Projected 
Year]=BN$1)*(Table4[Projected 
Month]=BN$2)))</f>
        <v>0</v>
      </c>
      <c r="BP27" s="160">
        <f>SUMPRODUCT(Table4[Rev. Based on PROB]*Table4[Expected CMR]*(Table4[Projected 
Year]=BN$1)*(Table4[Projected 
Month]=BN$2)*(Table4[Installation]=$B27))/MAX(1,BN27)</f>
        <v>0</v>
      </c>
      <c r="BQ27" s="27">
        <f>SUMIFS(Table47[Rev. Based on PROB],Table47[Installation],$B27,Table47[Projected 
Year],BQ$1,Table47[Monthly revenue],BQ$2)</f>
        <v>0</v>
      </c>
      <c r="BR27" s="159">
        <f>SUMPRODUCT(Table4[Probability]*Table4[Rev. Based on PROB]*(Table4[Installation]=$B27)*(Table4[Projected 
Year]=BQ$1)*(Table4[Projected 
Month]=BQ$2))/MAX(1,SUMPRODUCT(Table4[Rev. Based on PROB]*(Table4[Installation]=$B27)*(Table4[Projected 
Year]=BQ$1)*(Table4[Projected 
Month]=BQ$2)))</f>
        <v>0</v>
      </c>
      <c r="BS27" s="160">
        <f>SUMPRODUCT(Table4[Rev. Based on PROB]*Table4[Expected CMR]*(Table4[Projected 
Year]=BQ$1)*(Table4[Projected 
Month]=BQ$2)*(Table4[Installation]=$B27))/MAX(1,BQ27)</f>
        <v>0</v>
      </c>
      <c r="BT27" s="27">
        <f>SUMIFS(Table47[Rev. Based on PROB],Table47[Installation],$B27,Table47[Projected 
Year],BT$1,Table47[Monthly revenue],BT$2)</f>
        <v>0</v>
      </c>
      <c r="BU27" s="159">
        <f>SUMPRODUCT(Table4[Probability]*Table4[Rev. Based on PROB]*(Table4[Installation]=$B27)*(Table4[Projected 
Year]=BT$1)*(Table4[Projected 
Month]=BT$2))/MAX(1,SUMPRODUCT(Table4[Rev. Based on PROB]*(Table4[Installation]=$B27)*(Table4[Projected 
Year]=BT$1)*(Table4[Projected 
Month]=BT$2)))</f>
        <v>0</v>
      </c>
      <c r="BV27" s="160">
        <f>SUMPRODUCT(Table4[Rev. Based on PROB]*Table4[Expected CMR]*(Table4[Projected 
Year]=BT$1)*(Table4[Projected 
Month]=BT$2)*(Table4[Installation]=$B27))/MAX(1,BT27)</f>
        <v>0</v>
      </c>
      <c r="BW27" s="27">
        <f>SUMIFS(Table47[Rev. Based on PROB],Table47[Installation],$B27,Table47[Projected 
Year],BW$1,Table47[Monthly revenue],BW$2)</f>
        <v>0</v>
      </c>
      <c r="BX27" s="159">
        <f>SUMPRODUCT(Table4[Probability]*Table4[Rev. Based on PROB]*(Table4[Installation]=$B27)*(Table4[Projected 
Year]=BW$1)*(Table4[Projected 
Month]=BW$2))/MAX(1,SUMPRODUCT(Table4[Rev. Based on PROB]*(Table4[Installation]=$B27)*(Table4[Projected 
Year]=BW$1)*(Table4[Projected 
Month]=BW$2)))</f>
        <v>0</v>
      </c>
      <c r="BY27" s="160">
        <f>SUMPRODUCT(Table4[Rev. Based on PROB]*Table4[Expected CMR]*(Table4[Projected 
Year]=BW$1)*(Table4[Projected 
Month]=BW$2)*(Table4[Installation]=$B27))/MAX(1,BW27)</f>
        <v>0</v>
      </c>
      <c r="BZ27" s="200"/>
      <c r="CA27" s="200"/>
      <c r="CB27" s="200"/>
      <c r="CC27" s="200"/>
      <c r="CD27" s="200"/>
      <c r="CE27" s="200"/>
      <c r="CF27" s="200"/>
      <c r="CG27" s="200"/>
      <c r="CH27" s="200"/>
      <c r="CI27" s="200"/>
      <c r="CJ27" s="200"/>
      <c r="CK27" s="200"/>
      <c r="CL27" s="200"/>
      <c r="CM27" s="200"/>
      <c r="CN27" s="200"/>
      <c r="CO27" s="200"/>
      <c r="CP27" s="200"/>
      <c r="CQ27" s="200"/>
      <c r="CR27" s="200"/>
      <c r="CS27" s="200"/>
      <c r="CT27" s="200"/>
      <c r="CU27" s="30">
        <f t="shared" si="0"/>
        <v>0</v>
      </c>
      <c r="CV27" s="52">
        <f t="shared" si="9"/>
        <v>0</v>
      </c>
      <c r="CW27" s="53">
        <f t="shared" si="10"/>
        <v>0</v>
      </c>
      <c r="CX27" s="29"/>
    </row>
    <row r="28" spans="1:103">
      <c r="A28" s="18"/>
      <c r="B28" s="20" t="s">
        <v>320</v>
      </c>
      <c r="C28" s="27">
        <f>SUMIFS(Table4[Rev. Based on PROB],Table4[Installation],$B28,Table4[Projected 
Year],C$1,Table4[Projected 
Month],C$2)</f>
        <v>0</v>
      </c>
      <c r="D28" s="159">
        <f>SUMPRODUCT(Table4[Probability]*Table4[Rev. Based on PROB]*(Table4[Installation]=$B28)*(Table4[Projected 
Year]=C$1)*(Table4[Projected 
Month]=C$2))/MAX(1,SUMPRODUCT(Table4[Rev. Based on PROB]*(Table4[Installation]=$B28)*(Table4[Projected 
Year]=C$1)*(Table4[Projected 
Month]=C$2)))</f>
        <v>0</v>
      </c>
      <c r="E28" s="160">
        <f>SUMPRODUCT(Table4[Rev. Based on PROB]*Table4[Expected CMR]*(Table4[Projected 
Year]=C$1)*(Table4[Projected 
Month]=C$2)*(Table4[Installation]=$B28))/MAX(1,C28)</f>
        <v>0</v>
      </c>
      <c r="F28" s="27">
        <f>SUMIFS(Table4[Rev. Based on PROB],Table4[Installation],$B28,Table4[Projected 
Year],F$1,Table4[Projected 
Month],F$2)</f>
        <v>0</v>
      </c>
      <c r="G28" s="159">
        <f>SUMPRODUCT(Table4[Probability]*Table4[Rev. Based on PROB]*(Table4[Installation]=$B28)*(Table4[Projected 
Year]=F$1)*(Table4[Projected 
Month]=F$2))/MAX(1,SUMPRODUCT(Table4[Rev. Based on PROB]*(Table4[Installation]=$B28)*(Table4[Projected 
Year]=F$1)*(Table4[Projected 
Month]=F$2)))</f>
        <v>0</v>
      </c>
      <c r="H28" s="160">
        <f>SUMPRODUCT(Table4[Rev. Based on PROB]*Table4[Expected CMR]*(Table4[Projected 
Year]=F$1)*(Table4[Projected 
Month]=F$2)*(Table4[Installation]=$B28))/MAX(1,F28)</f>
        <v>0</v>
      </c>
      <c r="I28" s="27">
        <f>SUMIFS(Table4[Rev. Based on PROB],Table4[Installation],$B28,Table4[Projected 
Year],I$1,Table4[Projected 
Month],I$2)</f>
        <v>0</v>
      </c>
      <c r="J28" s="159">
        <f>SUMPRODUCT(Table4[Probability]*Table4[Rev. Based on PROB]*(Table4[Installation]=$B28)*(Table4[Projected 
Year]=I$1)*(Table4[Projected 
Month]=I$2))/MAX(1,SUMPRODUCT(Table4[Rev. Based on PROB]*(Table4[Installation]=$B28)*(Table4[Projected 
Year]=I$1)*(Table4[Projected 
Month]=I$2)))</f>
        <v>0</v>
      </c>
      <c r="K28" s="160">
        <f>SUMPRODUCT(Table4[Rev. Based on PROB]*Table4[Expected CMR]*(Table4[Projected 
Year]=I$1)*(Table4[Projected 
Month]=I$2)*(Table4[Installation]=$B28))/MAX(1,I28)</f>
        <v>0</v>
      </c>
      <c r="L28" s="27">
        <f>SUMIFS(Table4[Rev. Based on PROB],Table4[Installation],$B28,Table4[Projected 
Year],L$1,Table4[Projected 
Month],L$2)</f>
        <v>0</v>
      </c>
      <c r="M28" s="159">
        <f>SUMPRODUCT(Table4[Probability]*Table4[Rev. Based on PROB]*(Table4[Installation]=$B28)*(Table4[Projected 
Year]=L$1)*(Table4[Projected 
Month]=L$2))/MAX(1,SUMPRODUCT(Table4[Rev. Based on PROB]*(Table4[Installation]=$B28)*(Table4[Projected 
Year]=L$1)*(Table4[Projected 
Month]=L$2)))</f>
        <v>0</v>
      </c>
      <c r="N28" s="160">
        <f>SUMPRODUCT(Table4[Rev. Based on PROB]*Table4[Expected CMR]*(Table4[Projected 
Year]=L$1)*(Table4[Projected 
Month]=L$2)*(Table4[Installation]=$B28))/MAX(1,L28)</f>
        <v>0</v>
      </c>
      <c r="O28" s="27">
        <f>SUMIFS(Table4[Rev. Based on PROB],Table4[Installation],$B28,Table4[Projected 
Year],O$1,Table4[Projected 
Month],O$2)</f>
        <v>0</v>
      </c>
      <c r="P28" s="159">
        <f>SUMPRODUCT(Table4[Probability]*Table4[Rev. Based on PROB]*(Table4[Installation]=$B28)*(Table4[Projected 
Year]=O$1)*(Table4[Projected 
Month]=O$2))/MAX(1,SUMPRODUCT(Table4[Rev. Based on PROB]*(Table4[Installation]=$B28)*(Table4[Projected 
Year]=O$1)*(Table4[Projected 
Month]=O$2)))</f>
        <v>0</v>
      </c>
      <c r="Q28" s="160">
        <f>SUMPRODUCT(Table4[Rev. Based on PROB]*Table4[Expected CMR]*(Table4[Projected 
Year]=O$1)*(Table4[Projected 
Month]=O$2)*(Table4[Installation]=$B28))/MAX(1,O28)</f>
        <v>0</v>
      </c>
      <c r="R28" s="27">
        <f>SUMIFS(Table4[Rev. Based on PROB],Table4[Installation],$B28,Table4[Projected 
Year],R$1,Table4[Projected 
Month],R$2)</f>
        <v>0</v>
      </c>
      <c r="S28" s="159">
        <f>SUMPRODUCT(Table4[Probability]*Table4[Rev. Based on PROB]*(Table4[Installation]=$B28)*(Table4[Projected 
Year]=R$1)*(Table4[Projected 
Month]=R$2))/MAX(1,SUMPRODUCT(Table4[Rev. Based on PROB]*(Table4[Installation]=$B28)*(Table4[Projected 
Year]=R$1)*(Table4[Projected 
Month]=R$2)))</f>
        <v>0</v>
      </c>
      <c r="T28" s="160">
        <f>SUMPRODUCT(Table4[Rev. Based on PROB]*Table4[Expected CMR]*(Table4[Projected 
Year]=R$1)*(Table4[Projected 
Month]=R$2)*(Table4[Installation]=$B28))/MAX(1,R28)</f>
        <v>0</v>
      </c>
      <c r="U28" s="27">
        <f>SUMIFS(Table4[Rev. Based on PROB],Table4[Installation],$B28,Table4[Projected 
Year],U$1,Table4[Projected 
Month],U$2)</f>
        <v>0</v>
      </c>
      <c r="V28" s="159">
        <f>SUMPRODUCT(Table4[Probability]*Table4[Rev. Based on PROB]*(Table4[Installation]=$B28)*(Table4[Projected 
Year]=U$1)*(Table4[Projected 
Month]=U$2))/MAX(1,SUMPRODUCT(Table4[Rev. Based on PROB]*(Table4[Installation]=$B28)*(Table4[Projected 
Year]=U$1)*(Table4[Projected 
Month]=U$2)))</f>
        <v>0</v>
      </c>
      <c r="W28" s="160">
        <f>SUMPRODUCT(Table4[Rev. Based on PROB]*Table4[Expected CMR]*(Table4[Projected 
Year]=U$1)*(Table4[Projected 
Month]=U$2)*(Table4[Installation]=$B28))/MAX(1,U28)</f>
        <v>0</v>
      </c>
      <c r="X28" s="27">
        <f>SUMIFS(Table4[Rev. Based on PROB],Table4[Installation],$B28,Table4[Projected 
Year],X$1,Table4[Projected 
Month],X$2)</f>
        <v>0</v>
      </c>
      <c r="Y28" s="159">
        <f>SUMPRODUCT(Table4[Probability]*Table4[Rev. Based on PROB]*(Table4[Installation]=$B28)*(Table4[Projected 
Year]=X$1)*(Table4[Projected 
Month]=X$2))/MAX(1,SUMPRODUCT(Table4[Rev. Based on PROB]*(Table4[Installation]=$B28)*(Table4[Projected 
Year]=X$1)*(Table4[Projected 
Month]=X$2)))</f>
        <v>0</v>
      </c>
      <c r="Z28" s="160">
        <f>SUMPRODUCT(Table4[Rev. Based on PROB]*Table4[Expected CMR]*(Table4[Projected 
Year]=X$1)*(Table4[Projected 
Month]=X$2)*(Table4[Installation]=$B28))/MAX(1,X28)</f>
        <v>0</v>
      </c>
      <c r="AA28" s="27">
        <f>SUMIFS(Table4[Rev. Based on PROB],Table4[Installation],$B28,Table4[Projected 
Year],AA$1,Table4[Projected 
Month],AA$2)</f>
        <v>0</v>
      </c>
      <c r="AB28" s="159">
        <f>SUMPRODUCT(Table4[Probability]*Table4[Rev. Based on PROB]*(Table4[Installation]=$B28)*(Table4[Projected 
Year]=AA$1)*(Table4[Projected 
Month]=AA$2))/MAX(1,SUMPRODUCT(Table4[Rev. Based on PROB]*(Table4[Installation]=$B28)*(Table4[Projected 
Year]=AA$1)*(Table4[Projected 
Month]=AA$2)))</f>
        <v>0</v>
      </c>
      <c r="AC28" s="160">
        <f>SUMPRODUCT(Table4[Rev. Based on PROB]*Table4[Expected CMR]*(Table4[Projected 
Year]=AA$1)*(Table4[Projected 
Month]=AA$2)*(Table4[Installation]=$B28))/MAX(1,AA28)</f>
        <v>0</v>
      </c>
      <c r="AD28" s="27">
        <f>SUMIFS(Table4[Rev. Based on PROB],Table4[Installation],$B28,Table4[Projected 
Year],AD$1,Table4[Projected 
Month],AD$2)</f>
        <v>0</v>
      </c>
      <c r="AE28" s="159">
        <f>SUMPRODUCT(Table4[Probability]*Table4[Rev. Based on PROB]*(Table4[Installation]=$B28)*(Table4[Projected 
Year]=AD$1)*(Table4[Projected 
Month]=AD$2))/MAX(1,SUMPRODUCT(Table4[Rev. Based on PROB]*(Table4[Installation]=$B28)*(Table4[Projected 
Year]=AD$1)*(Table4[Projected 
Month]=AD$2)))</f>
        <v>0</v>
      </c>
      <c r="AF28" s="160">
        <f>SUMPRODUCT(Table4[Rev. Based on PROB]*Table4[Expected CMR]*(Table4[Projected 
Year]=AD$1)*(Table4[Projected 
Month]=AD$2)*(Table4[Installation]=$B28))/MAX(1,AD28)</f>
        <v>0</v>
      </c>
      <c r="AG28" s="27">
        <f>SUMIFS(Table4[Rev. Based on PROB],Table4[Installation],$B28,Table4[Projected 
Year],AG$1,Table4[Projected 
Month],AG$2)</f>
        <v>0</v>
      </c>
      <c r="AH28" s="159">
        <f>SUMPRODUCT(Table4[Probability]*Table4[Rev. Based on PROB]*(Table4[Installation]=$B28)*(Table4[Projected 
Year]=AG$1)*(Table4[Projected 
Month]=AG$2))/MAX(1,SUMPRODUCT(Table4[Rev. Based on PROB]*(Table4[Installation]=$B28)*(Table4[Projected 
Year]=AG$1)*(Table4[Projected 
Month]=AG$2)))</f>
        <v>0</v>
      </c>
      <c r="AI28" s="160">
        <f>SUMPRODUCT(Table4[Rev. Based on PROB]*Table4[Expected CMR]*(Table4[Projected 
Year]=AG$1)*(Table4[Projected 
Month]=AG$2)*(Table4[Installation]=$B28))/MAX(1,AG28)</f>
        <v>0</v>
      </c>
      <c r="AJ28" s="27">
        <f>SUMIFS(Table4[Rev. Based on PROB],Table4[Installation],$B28,Table4[Projected 
Year],AJ$1,Table4[Projected 
Month],AJ$2)</f>
        <v>0</v>
      </c>
      <c r="AK28" s="159">
        <f>SUMPRODUCT(Table4[Probability]*Table4[Rev. Based on PROB]*(Table4[Installation]=$B28)*(Table4[Projected 
Year]=AJ$1)*(Table4[Projected 
Month]=AJ$2))/MAX(1,SUMPRODUCT(Table4[Rev. Based on PROB]*(Table4[Installation]=$B28)*(Table4[Projected 
Year]=AJ$1)*(Table4[Projected 
Month]=AJ$2)))</f>
        <v>0</v>
      </c>
      <c r="AL28" s="160">
        <f>SUMPRODUCT(Table4[Rev. Based on PROB]*Table4[Expected CMR]*(Table4[Projected 
Year]=AJ$1)*(Table4[Projected 
Month]=AJ$2)*(Table4[Installation]=$B28))/MAX(1,AJ28)</f>
        <v>0</v>
      </c>
      <c r="AM28" s="30">
        <f t="shared" si="7"/>
        <v>0</v>
      </c>
      <c r="AN28" s="52">
        <f t="shared" si="8"/>
        <v>0</v>
      </c>
      <c r="AO28" s="53">
        <f t="shared" si="8"/>
        <v>0</v>
      </c>
      <c r="AP28" s="27">
        <f>SUMIFS(Table47[Rev. Based on PROB],Table47[Installation],$B28,Table47[Projected 
Year],AP$1,Table47[Monthly revenue],AP$2)</f>
        <v>0</v>
      </c>
      <c r="AQ28" s="159">
        <f>SUMPRODUCT(Table4[Probability]*Table4[Rev. Based on PROB]*(Table4[Installation]=$B28)*(Table4[Projected 
Year]=AP$1)*(Table4[Projected 
Month]=AP$2))/MAX(1,SUMPRODUCT(Table4[Rev. Based on PROB]*(Table4[Installation]=$B28)*(Table4[Projected 
Year]=AP$1)*(Table4[Projected 
Month]=AP$2)))</f>
        <v>0</v>
      </c>
      <c r="AR28" s="160">
        <f>SUMPRODUCT(Table4[Rev. Based on PROB]*Table4[Expected CMR]*(Table4[Projected 
Year]=AP$1)*(Table4[Projected 
Month]=AP$2)*(Table4[Installation]=$B28))/MAX(1,AP28)</f>
        <v>0</v>
      </c>
      <c r="AS28" s="27">
        <f>SUMIFS(Table47[Rev. Based on PROB],Table47[Installation],$B28,Table47[Projected 
Year],AS$1,Table47[Monthly revenue],AS$2)</f>
        <v>0</v>
      </c>
      <c r="AT28" s="159">
        <f>SUMPRODUCT(Table4[Probability]*Table4[Rev. Based on PROB]*(Table4[Installation]=$B28)*(Table4[Projected 
Year]=AS$1)*(Table4[Projected 
Month]=AS$2))/MAX(1,SUMPRODUCT(Table4[Rev. Based on PROB]*(Table4[Installation]=$B28)*(Table4[Projected 
Year]=AS$1)*(Table4[Projected 
Month]=AS$2)))</f>
        <v>0</v>
      </c>
      <c r="AU28" s="160">
        <f>SUMPRODUCT(Table4[Rev. Based on PROB]*Table4[Expected CMR]*(Table4[Projected 
Year]=AS$1)*(Table4[Projected 
Month]=AS$2)*(Table4[Installation]=$B28))/MAX(1,AS28)</f>
        <v>0</v>
      </c>
      <c r="AV28" s="27">
        <f>SUMIFS(Table47[Rev. Based on PROB],Table47[Installation],$B28,Table47[Projected 
Year],AV$1,Table47[Monthly revenue],AV$2)</f>
        <v>0</v>
      </c>
      <c r="AW28" s="159">
        <f>SUMPRODUCT(Table4[Probability]*Table4[Rev. Based on PROB]*(Table4[Installation]=$B28)*(Table4[Projected 
Year]=AV$1)*(Table4[Projected 
Month]=AV$2))/MAX(1,SUMPRODUCT(Table4[Rev. Based on PROB]*(Table4[Installation]=$B28)*(Table4[Projected 
Year]=AV$1)*(Table4[Projected 
Month]=AV$2)))</f>
        <v>0</v>
      </c>
      <c r="AX28" s="160">
        <f>SUMPRODUCT(Table4[Rev. Based on PROB]*Table4[Expected CMR]*(Table4[Projected 
Year]=AV$1)*(Table4[Projected 
Month]=AV$2)*(Table4[Installation]=$B28))/MAX(1,AV28)</f>
        <v>0</v>
      </c>
      <c r="AY28" s="27">
        <f>SUMIFS(Table47[Rev. Based on PROB],Table47[Installation],$B28,Table47[Projected 
Year],AY$1,Table47[Monthly revenue],AY$2)</f>
        <v>0</v>
      </c>
      <c r="AZ28" s="159">
        <f>SUMPRODUCT(Table4[Probability]*Table4[Rev. Based on PROB]*(Table4[Installation]=$B28)*(Table4[Projected 
Year]=AY$1)*(Table4[Projected 
Month]=AY$2))/MAX(1,SUMPRODUCT(Table4[Rev. Based on PROB]*(Table4[Installation]=$B28)*(Table4[Projected 
Year]=AY$1)*(Table4[Projected 
Month]=AY$2)))</f>
        <v>0</v>
      </c>
      <c r="BA28" s="160">
        <f>SUMPRODUCT(Table4[Rev. Based on PROB]*Table4[Expected CMR]*(Table4[Projected 
Year]=AY$1)*(Table4[Projected 
Month]=AY$2)*(Table4[Installation]=$B28))/MAX(1,AY28)</f>
        <v>0</v>
      </c>
      <c r="BB28" s="27">
        <f>SUMIFS(Table47[Rev. Based on PROB],Table47[Installation],$B28,Table47[Projected 
Year],BB$1,Table47[Monthly revenue],BB$2)</f>
        <v>0</v>
      </c>
      <c r="BC28" s="159">
        <f>SUMPRODUCT(Table4[Probability]*Table4[Rev. Based on PROB]*(Table4[Installation]=$B28)*(Table4[Projected 
Year]=BB$1)*(Table4[Projected 
Month]=BB$2))/MAX(1,SUMPRODUCT(Table4[Rev. Based on PROB]*(Table4[Installation]=$B28)*(Table4[Projected 
Year]=BB$1)*(Table4[Projected 
Month]=BB$2)))</f>
        <v>0</v>
      </c>
      <c r="BD28" s="160">
        <f>SUMPRODUCT(Table4[Rev. Based on PROB]*Table4[Expected CMR]*(Table4[Projected 
Year]=BB$1)*(Table4[Projected 
Month]=BB$2)*(Table4[Installation]=$B28))/MAX(1,BB28)</f>
        <v>0</v>
      </c>
      <c r="BE28" s="27">
        <f>SUMIFS(Table47[Rev. Based on PROB],Table47[Installation],$B28,Table47[Projected 
Year],BE$1,Table47[Monthly revenue],BE$2)</f>
        <v>0</v>
      </c>
      <c r="BF28" s="159">
        <f>SUMPRODUCT(Table4[Probability]*Table4[Rev. Based on PROB]*(Table4[Installation]=$B28)*(Table4[Projected 
Year]=BE$1)*(Table4[Projected 
Month]=BE$2))/MAX(1,SUMPRODUCT(Table4[Rev. Based on PROB]*(Table4[Installation]=$B28)*(Table4[Projected 
Year]=BE$1)*(Table4[Projected 
Month]=BE$2)))</f>
        <v>0</v>
      </c>
      <c r="BG28" s="160">
        <f>SUMPRODUCT(Table4[Rev. Based on PROB]*Table4[Expected CMR]*(Table4[Projected 
Year]=BE$1)*(Table4[Projected 
Month]=BE$2)*(Table4[Installation]=$B28))/MAX(1,BE28)</f>
        <v>0</v>
      </c>
      <c r="BH28" s="27">
        <f>SUMIFS(Table47[Rev. Based on PROB],Table47[Installation],$B28,Table47[Projected 
Year],BH$1,Table47[Monthly revenue],BH$2)</f>
        <v>0</v>
      </c>
      <c r="BI28" s="159">
        <f>SUMPRODUCT(Table4[Probability]*Table4[Rev. Based on PROB]*(Table4[Installation]=$B28)*(Table4[Projected 
Year]=BH$1)*(Table4[Projected 
Month]=BH$2))/MAX(1,SUMPRODUCT(Table4[Rev. Based on PROB]*(Table4[Installation]=$B28)*(Table4[Projected 
Year]=BH$1)*(Table4[Projected 
Month]=BH$2)))</f>
        <v>0</v>
      </c>
      <c r="BJ28" s="160">
        <f>SUMPRODUCT(Table4[Rev. Based on PROB]*Table4[Expected CMR]*(Table4[Projected 
Year]=BH$1)*(Table4[Projected 
Month]=BH$2)*(Table4[Installation]=$B28))/MAX(1,BH28)</f>
        <v>0</v>
      </c>
      <c r="BK28" s="27">
        <f>SUMIFS(Table47[Rev. Based on PROB],Table47[Installation],$B28,Table47[Projected 
Year],BK$1,Table47[Monthly revenue],BK$2)</f>
        <v>0</v>
      </c>
      <c r="BL28" s="159">
        <f>SUMPRODUCT(Table4[Probability]*Table4[Rev. Based on PROB]*(Table4[Installation]=$B28)*(Table4[Projected 
Year]=BK$1)*(Table4[Projected 
Month]=BK$2))/MAX(1,SUMPRODUCT(Table4[Rev. Based on PROB]*(Table4[Installation]=$B28)*(Table4[Projected 
Year]=BK$1)*(Table4[Projected 
Month]=BK$2)))</f>
        <v>0</v>
      </c>
      <c r="BM28" s="160">
        <f>SUMPRODUCT(Table4[Rev. Based on PROB]*Table4[Expected CMR]*(Table4[Projected 
Year]=BK$1)*(Table4[Projected 
Month]=BK$2)*(Table4[Installation]=$B28))/MAX(1,BK28)</f>
        <v>0</v>
      </c>
      <c r="BN28" s="27">
        <f>SUMIFS(Table47[Rev. Based on PROB],Table47[Installation],$B28,Table47[Projected 
Year],BN$1,Table47[Monthly revenue],BN$2)</f>
        <v>0</v>
      </c>
      <c r="BO28" s="159">
        <f>SUMPRODUCT(Table4[Probability]*Table4[Rev. Based on PROB]*(Table4[Installation]=$B28)*(Table4[Projected 
Year]=BN$1)*(Table4[Projected 
Month]=BN$2))/MAX(1,SUMPRODUCT(Table4[Rev. Based on PROB]*(Table4[Installation]=$B28)*(Table4[Projected 
Year]=BN$1)*(Table4[Projected 
Month]=BN$2)))</f>
        <v>0</v>
      </c>
      <c r="BP28" s="160">
        <f>SUMPRODUCT(Table4[Rev. Based on PROB]*Table4[Expected CMR]*(Table4[Projected 
Year]=BN$1)*(Table4[Projected 
Month]=BN$2)*(Table4[Installation]=$B28))/MAX(1,BN28)</f>
        <v>0</v>
      </c>
      <c r="BQ28" s="27">
        <f>SUMIFS(Table47[Rev. Based on PROB],Table47[Installation],$B28,Table47[Projected 
Year],BQ$1,Table47[Monthly revenue],BQ$2)</f>
        <v>0</v>
      </c>
      <c r="BR28" s="159">
        <f>SUMPRODUCT(Table4[Probability]*Table4[Rev. Based on PROB]*(Table4[Installation]=$B28)*(Table4[Projected 
Year]=BQ$1)*(Table4[Projected 
Month]=BQ$2))/MAX(1,SUMPRODUCT(Table4[Rev. Based on PROB]*(Table4[Installation]=$B28)*(Table4[Projected 
Year]=BQ$1)*(Table4[Projected 
Month]=BQ$2)))</f>
        <v>0</v>
      </c>
      <c r="BS28" s="160">
        <f>SUMPRODUCT(Table4[Rev. Based on PROB]*Table4[Expected CMR]*(Table4[Projected 
Year]=BQ$1)*(Table4[Projected 
Month]=BQ$2)*(Table4[Installation]=$B28))/MAX(1,BQ28)</f>
        <v>0</v>
      </c>
      <c r="BT28" s="27">
        <f>SUMIFS(Table47[Rev. Based on PROB],Table47[Installation],$B28,Table47[Projected 
Year],BT$1,Table47[Monthly revenue],BT$2)</f>
        <v>0</v>
      </c>
      <c r="BU28" s="159">
        <f>SUMPRODUCT(Table4[Probability]*Table4[Rev. Based on PROB]*(Table4[Installation]=$B28)*(Table4[Projected 
Year]=BT$1)*(Table4[Projected 
Month]=BT$2))/MAX(1,SUMPRODUCT(Table4[Rev. Based on PROB]*(Table4[Installation]=$B28)*(Table4[Projected 
Year]=BT$1)*(Table4[Projected 
Month]=BT$2)))</f>
        <v>0</v>
      </c>
      <c r="BV28" s="160">
        <f>SUMPRODUCT(Table4[Rev. Based on PROB]*Table4[Expected CMR]*(Table4[Projected 
Year]=BT$1)*(Table4[Projected 
Month]=BT$2)*(Table4[Installation]=$B28))/MAX(1,BT28)</f>
        <v>0</v>
      </c>
      <c r="BW28" s="27">
        <f>SUMIFS(Table47[Rev. Based on PROB],Table47[Installation],$B28,Table47[Projected 
Year],BW$1,Table47[Monthly revenue],BW$2)</f>
        <v>0</v>
      </c>
      <c r="BX28" s="159">
        <f>SUMPRODUCT(Table4[Probability]*Table4[Rev. Based on PROB]*(Table4[Installation]=$B28)*(Table4[Projected 
Year]=BW$1)*(Table4[Projected 
Month]=BW$2))/MAX(1,SUMPRODUCT(Table4[Rev. Based on PROB]*(Table4[Installation]=$B28)*(Table4[Projected 
Year]=BW$1)*(Table4[Projected 
Month]=BW$2)))</f>
        <v>0</v>
      </c>
      <c r="BY28" s="160">
        <f>SUMPRODUCT(Table4[Rev. Based on PROB]*Table4[Expected CMR]*(Table4[Projected 
Year]=BW$1)*(Table4[Projected 
Month]=BW$2)*(Table4[Installation]=$B28))/MAX(1,BW28)</f>
        <v>0</v>
      </c>
      <c r="BZ28" s="200"/>
      <c r="CA28" s="200"/>
      <c r="CB28" s="200"/>
      <c r="CC28" s="200"/>
      <c r="CD28" s="200"/>
      <c r="CE28" s="200"/>
      <c r="CF28" s="200"/>
      <c r="CG28" s="200"/>
      <c r="CH28" s="200"/>
      <c r="CI28" s="200"/>
      <c r="CJ28" s="200"/>
      <c r="CK28" s="200"/>
      <c r="CL28" s="200"/>
      <c r="CM28" s="200"/>
      <c r="CN28" s="200"/>
      <c r="CO28" s="200"/>
      <c r="CP28" s="200"/>
      <c r="CQ28" s="200"/>
      <c r="CR28" s="200"/>
      <c r="CS28" s="200"/>
      <c r="CT28" s="200"/>
      <c r="CU28" s="30">
        <f t="shared" si="0"/>
        <v>0</v>
      </c>
      <c r="CV28" s="52">
        <f t="shared" si="9"/>
        <v>0</v>
      </c>
      <c r="CW28" s="53">
        <f t="shared" si="10"/>
        <v>0</v>
      </c>
      <c r="CX28" s="29"/>
    </row>
    <row r="29" spans="1:103">
      <c r="A29" s="18"/>
      <c r="B29" s="20" t="s">
        <v>321</v>
      </c>
      <c r="C29" s="27">
        <f>SUMIFS(Table4[Rev. Based on PROB],Table4[Installation],$B29,Table4[Projected 
Year],C$1,Table4[Projected 
Month],C$2)</f>
        <v>0</v>
      </c>
      <c r="D29" s="159">
        <f>SUMPRODUCT(Table4[Probability]*Table4[Rev. Based on PROB]*(Table4[Installation]=$B29)*(Table4[Projected 
Year]=C$1)*(Table4[Projected 
Month]=C$2))/MAX(1,SUMPRODUCT(Table4[Rev. Based on PROB]*(Table4[Installation]=$B29)*(Table4[Projected 
Year]=C$1)*(Table4[Projected 
Month]=C$2)))</f>
        <v>0</v>
      </c>
      <c r="E29" s="160">
        <f>SUMPRODUCT(Table4[Rev. Based on PROB]*Table4[Expected CMR]*(Table4[Projected 
Year]=C$1)*(Table4[Projected 
Month]=C$2)*(Table4[Installation]=$B29))/MAX(1,C29)</f>
        <v>0</v>
      </c>
      <c r="F29" s="27">
        <f>SUMIFS(Table4[Rev. Based on PROB],Table4[Installation],$B29,Table4[Projected 
Year],F$1,Table4[Projected 
Month],F$2)</f>
        <v>0</v>
      </c>
      <c r="G29" s="159">
        <f>SUMPRODUCT(Table4[Probability]*Table4[Rev. Based on PROB]*(Table4[Installation]=$B29)*(Table4[Projected 
Year]=F$1)*(Table4[Projected 
Month]=F$2))/MAX(1,SUMPRODUCT(Table4[Rev. Based on PROB]*(Table4[Installation]=$B29)*(Table4[Projected 
Year]=F$1)*(Table4[Projected 
Month]=F$2)))</f>
        <v>0</v>
      </c>
      <c r="H29" s="160">
        <f>SUMPRODUCT(Table4[Rev. Based on PROB]*Table4[Expected CMR]*(Table4[Projected 
Year]=F$1)*(Table4[Projected 
Month]=F$2)*(Table4[Installation]=$B29))/MAX(1,F29)</f>
        <v>0</v>
      </c>
      <c r="I29" s="27">
        <f>SUMIFS(Table4[Rev. Based on PROB],Table4[Installation],$B29,Table4[Projected 
Year],I$1,Table4[Projected 
Month],I$2)</f>
        <v>0</v>
      </c>
      <c r="J29" s="159">
        <f>SUMPRODUCT(Table4[Probability]*Table4[Rev. Based on PROB]*(Table4[Installation]=$B29)*(Table4[Projected 
Year]=I$1)*(Table4[Projected 
Month]=I$2))/MAX(1,SUMPRODUCT(Table4[Rev. Based on PROB]*(Table4[Installation]=$B29)*(Table4[Projected 
Year]=I$1)*(Table4[Projected 
Month]=I$2)))</f>
        <v>0</v>
      </c>
      <c r="K29" s="160">
        <f>SUMPRODUCT(Table4[Rev. Based on PROB]*Table4[Expected CMR]*(Table4[Projected 
Year]=I$1)*(Table4[Projected 
Month]=I$2)*(Table4[Installation]=$B29))/MAX(1,I29)</f>
        <v>0</v>
      </c>
      <c r="L29" s="27">
        <f>SUMIFS(Table4[Rev. Based on PROB],Table4[Installation],$B29,Table4[Projected 
Year],L$1,Table4[Projected 
Month],L$2)</f>
        <v>0</v>
      </c>
      <c r="M29" s="159">
        <f>SUMPRODUCT(Table4[Probability]*Table4[Rev. Based on PROB]*(Table4[Installation]=$B29)*(Table4[Projected 
Year]=L$1)*(Table4[Projected 
Month]=L$2))/MAX(1,SUMPRODUCT(Table4[Rev. Based on PROB]*(Table4[Installation]=$B29)*(Table4[Projected 
Year]=L$1)*(Table4[Projected 
Month]=L$2)))</f>
        <v>0</v>
      </c>
      <c r="N29" s="160">
        <f>SUMPRODUCT(Table4[Rev. Based on PROB]*Table4[Expected CMR]*(Table4[Projected 
Year]=L$1)*(Table4[Projected 
Month]=L$2)*(Table4[Installation]=$B29))/MAX(1,L29)</f>
        <v>0</v>
      </c>
      <c r="O29" s="27">
        <f>SUMIFS(Table4[Rev. Based on PROB],Table4[Installation],$B29,Table4[Projected 
Year],O$1,Table4[Projected 
Month],O$2)</f>
        <v>0</v>
      </c>
      <c r="P29" s="159">
        <f>SUMPRODUCT(Table4[Probability]*Table4[Rev. Based on PROB]*(Table4[Installation]=$B29)*(Table4[Projected 
Year]=O$1)*(Table4[Projected 
Month]=O$2))/MAX(1,SUMPRODUCT(Table4[Rev. Based on PROB]*(Table4[Installation]=$B29)*(Table4[Projected 
Year]=O$1)*(Table4[Projected 
Month]=O$2)))</f>
        <v>0</v>
      </c>
      <c r="Q29" s="160">
        <f>SUMPRODUCT(Table4[Rev. Based on PROB]*Table4[Expected CMR]*(Table4[Projected 
Year]=O$1)*(Table4[Projected 
Month]=O$2)*(Table4[Installation]=$B29))/MAX(1,O29)</f>
        <v>0</v>
      </c>
      <c r="R29" s="27">
        <f>SUMIFS(Table4[Rev. Based on PROB],Table4[Installation],$B29,Table4[Projected 
Year],R$1,Table4[Projected 
Month],R$2)</f>
        <v>0</v>
      </c>
      <c r="S29" s="159">
        <f>SUMPRODUCT(Table4[Probability]*Table4[Rev. Based on PROB]*(Table4[Installation]=$B29)*(Table4[Projected 
Year]=R$1)*(Table4[Projected 
Month]=R$2))/MAX(1,SUMPRODUCT(Table4[Rev. Based on PROB]*(Table4[Installation]=$B29)*(Table4[Projected 
Year]=R$1)*(Table4[Projected 
Month]=R$2)))</f>
        <v>0</v>
      </c>
      <c r="T29" s="160">
        <f>SUMPRODUCT(Table4[Rev. Based on PROB]*Table4[Expected CMR]*(Table4[Projected 
Year]=R$1)*(Table4[Projected 
Month]=R$2)*(Table4[Installation]=$B29))/MAX(1,R29)</f>
        <v>0</v>
      </c>
      <c r="U29" s="27">
        <f>SUMIFS(Table4[Rev. Based on PROB],Table4[Installation],$B29,Table4[Projected 
Year],U$1,Table4[Projected 
Month],U$2)</f>
        <v>0</v>
      </c>
      <c r="V29" s="159">
        <f>SUMPRODUCT(Table4[Probability]*Table4[Rev. Based on PROB]*(Table4[Installation]=$B29)*(Table4[Projected 
Year]=U$1)*(Table4[Projected 
Month]=U$2))/MAX(1,SUMPRODUCT(Table4[Rev. Based on PROB]*(Table4[Installation]=$B29)*(Table4[Projected 
Year]=U$1)*(Table4[Projected 
Month]=U$2)))</f>
        <v>0</v>
      </c>
      <c r="W29" s="160">
        <f>SUMPRODUCT(Table4[Rev. Based on PROB]*Table4[Expected CMR]*(Table4[Projected 
Year]=U$1)*(Table4[Projected 
Month]=U$2)*(Table4[Installation]=$B29))/MAX(1,U29)</f>
        <v>0</v>
      </c>
      <c r="X29" s="27">
        <f>SUMIFS(Table4[Rev. Based on PROB],Table4[Installation],$B29,Table4[Projected 
Year],X$1,Table4[Projected 
Month],X$2)</f>
        <v>0</v>
      </c>
      <c r="Y29" s="159">
        <f>SUMPRODUCT(Table4[Probability]*Table4[Rev. Based on PROB]*(Table4[Installation]=$B29)*(Table4[Projected 
Year]=X$1)*(Table4[Projected 
Month]=X$2))/MAX(1,SUMPRODUCT(Table4[Rev. Based on PROB]*(Table4[Installation]=$B29)*(Table4[Projected 
Year]=X$1)*(Table4[Projected 
Month]=X$2)))</f>
        <v>0</v>
      </c>
      <c r="Z29" s="160">
        <f>SUMPRODUCT(Table4[Rev. Based on PROB]*Table4[Expected CMR]*(Table4[Projected 
Year]=X$1)*(Table4[Projected 
Month]=X$2)*(Table4[Installation]=$B29))/MAX(1,X29)</f>
        <v>0</v>
      </c>
      <c r="AA29" s="27">
        <f>SUMIFS(Table4[Rev. Based on PROB],Table4[Installation],$B29,Table4[Projected 
Year],AA$1,Table4[Projected 
Month],AA$2)</f>
        <v>0</v>
      </c>
      <c r="AB29" s="159">
        <f>SUMPRODUCT(Table4[Probability]*Table4[Rev. Based on PROB]*(Table4[Installation]=$B29)*(Table4[Projected 
Year]=AA$1)*(Table4[Projected 
Month]=AA$2))/MAX(1,SUMPRODUCT(Table4[Rev. Based on PROB]*(Table4[Installation]=$B29)*(Table4[Projected 
Year]=AA$1)*(Table4[Projected 
Month]=AA$2)))</f>
        <v>0</v>
      </c>
      <c r="AC29" s="160">
        <f>SUMPRODUCT(Table4[Rev. Based on PROB]*Table4[Expected CMR]*(Table4[Projected 
Year]=AA$1)*(Table4[Projected 
Month]=AA$2)*(Table4[Installation]=$B29))/MAX(1,AA29)</f>
        <v>0</v>
      </c>
      <c r="AD29" s="27">
        <f>SUMIFS(Table4[Rev. Based on PROB],Table4[Installation],$B29,Table4[Projected 
Year],AD$1,Table4[Projected 
Month],AD$2)</f>
        <v>0</v>
      </c>
      <c r="AE29" s="159">
        <f>SUMPRODUCT(Table4[Probability]*Table4[Rev. Based on PROB]*(Table4[Installation]=$B29)*(Table4[Projected 
Year]=AD$1)*(Table4[Projected 
Month]=AD$2))/MAX(1,SUMPRODUCT(Table4[Rev. Based on PROB]*(Table4[Installation]=$B29)*(Table4[Projected 
Year]=AD$1)*(Table4[Projected 
Month]=AD$2)))</f>
        <v>0</v>
      </c>
      <c r="AF29" s="160">
        <f>SUMPRODUCT(Table4[Rev. Based on PROB]*Table4[Expected CMR]*(Table4[Projected 
Year]=AD$1)*(Table4[Projected 
Month]=AD$2)*(Table4[Installation]=$B29))/MAX(1,AD29)</f>
        <v>0</v>
      </c>
      <c r="AG29" s="27">
        <f>SUMIFS(Table4[Rev. Based on PROB],Table4[Installation],$B29,Table4[Projected 
Year],AG$1,Table4[Projected 
Month],AG$2)</f>
        <v>0</v>
      </c>
      <c r="AH29" s="159">
        <f>SUMPRODUCT(Table4[Probability]*Table4[Rev. Based on PROB]*(Table4[Installation]=$B29)*(Table4[Projected 
Year]=AG$1)*(Table4[Projected 
Month]=AG$2))/MAX(1,SUMPRODUCT(Table4[Rev. Based on PROB]*(Table4[Installation]=$B29)*(Table4[Projected 
Year]=AG$1)*(Table4[Projected 
Month]=AG$2)))</f>
        <v>0</v>
      </c>
      <c r="AI29" s="160">
        <f>SUMPRODUCT(Table4[Rev. Based on PROB]*Table4[Expected CMR]*(Table4[Projected 
Year]=AG$1)*(Table4[Projected 
Month]=AG$2)*(Table4[Installation]=$B29))/MAX(1,AG29)</f>
        <v>0</v>
      </c>
      <c r="AJ29" s="27">
        <f>SUMIFS(Table4[Rev. Based on PROB],Table4[Installation],$B29,Table4[Projected 
Year],AJ$1,Table4[Projected 
Month],AJ$2)</f>
        <v>0</v>
      </c>
      <c r="AK29" s="159">
        <f>SUMPRODUCT(Table4[Probability]*Table4[Rev. Based on PROB]*(Table4[Installation]=$B29)*(Table4[Projected 
Year]=AJ$1)*(Table4[Projected 
Month]=AJ$2))/MAX(1,SUMPRODUCT(Table4[Rev. Based on PROB]*(Table4[Installation]=$B29)*(Table4[Projected 
Year]=AJ$1)*(Table4[Projected 
Month]=AJ$2)))</f>
        <v>0</v>
      </c>
      <c r="AL29" s="160">
        <f>SUMPRODUCT(Table4[Rev. Based on PROB]*Table4[Expected CMR]*(Table4[Projected 
Year]=AJ$1)*(Table4[Projected 
Month]=AJ$2)*(Table4[Installation]=$B29))/MAX(1,AJ29)</f>
        <v>0</v>
      </c>
      <c r="AM29" s="30">
        <f t="shared" si="7"/>
        <v>0</v>
      </c>
      <c r="AN29" s="52">
        <f t="shared" si="8"/>
        <v>0</v>
      </c>
      <c r="AO29" s="53">
        <f t="shared" si="8"/>
        <v>0</v>
      </c>
      <c r="AP29" s="27">
        <f>SUMIFS(Table47[Rev. Based on PROB],Table47[Installation],$B29,Table47[Projected 
Year],AP$1,Table47[Monthly revenue],AP$2)</f>
        <v>0</v>
      </c>
      <c r="AQ29" s="159">
        <f>SUMPRODUCT(Table4[Probability]*Table4[Rev. Based on PROB]*(Table4[Installation]=$B29)*(Table4[Projected 
Year]=AP$1)*(Table4[Projected 
Month]=AP$2))/MAX(1,SUMPRODUCT(Table4[Rev. Based on PROB]*(Table4[Installation]=$B29)*(Table4[Projected 
Year]=AP$1)*(Table4[Projected 
Month]=AP$2)))</f>
        <v>0</v>
      </c>
      <c r="AR29" s="160">
        <f>SUMPRODUCT(Table4[Rev. Based on PROB]*Table4[Expected CMR]*(Table4[Projected 
Year]=AP$1)*(Table4[Projected 
Month]=AP$2)*(Table4[Installation]=$B29))/MAX(1,AP29)</f>
        <v>0</v>
      </c>
      <c r="AS29" s="27">
        <f>SUMIFS(Table47[Rev. Based on PROB],Table47[Installation],$B29,Table47[Projected 
Year],AS$1,Table47[Monthly revenue],AS$2)</f>
        <v>0</v>
      </c>
      <c r="AT29" s="159">
        <f>SUMPRODUCT(Table4[Probability]*Table4[Rev. Based on PROB]*(Table4[Installation]=$B29)*(Table4[Projected 
Year]=AS$1)*(Table4[Projected 
Month]=AS$2))/MAX(1,SUMPRODUCT(Table4[Rev. Based on PROB]*(Table4[Installation]=$B29)*(Table4[Projected 
Year]=AS$1)*(Table4[Projected 
Month]=AS$2)))</f>
        <v>0</v>
      </c>
      <c r="AU29" s="160">
        <f>SUMPRODUCT(Table4[Rev. Based on PROB]*Table4[Expected CMR]*(Table4[Projected 
Year]=AS$1)*(Table4[Projected 
Month]=AS$2)*(Table4[Installation]=$B29))/MAX(1,AS29)</f>
        <v>0</v>
      </c>
      <c r="AV29" s="27">
        <f>SUMIFS(Table47[Rev. Based on PROB],Table47[Installation],$B29,Table47[Projected 
Year],AV$1,Table47[Monthly revenue],AV$2)</f>
        <v>0</v>
      </c>
      <c r="AW29" s="159">
        <f>SUMPRODUCT(Table4[Probability]*Table4[Rev. Based on PROB]*(Table4[Installation]=$B29)*(Table4[Projected 
Year]=AV$1)*(Table4[Projected 
Month]=AV$2))/MAX(1,SUMPRODUCT(Table4[Rev. Based on PROB]*(Table4[Installation]=$B29)*(Table4[Projected 
Year]=AV$1)*(Table4[Projected 
Month]=AV$2)))</f>
        <v>0</v>
      </c>
      <c r="AX29" s="160">
        <f>SUMPRODUCT(Table4[Rev. Based on PROB]*Table4[Expected CMR]*(Table4[Projected 
Year]=AV$1)*(Table4[Projected 
Month]=AV$2)*(Table4[Installation]=$B29))/MAX(1,AV29)</f>
        <v>0</v>
      </c>
      <c r="AY29" s="27">
        <f>SUMIFS(Table47[Rev. Based on PROB],Table47[Installation],$B29,Table47[Projected 
Year],AY$1,Table47[Monthly revenue],AY$2)</f>
        <v>0</v>
      </c>
      <c r="AZ29" s="159">
        <f>SUMPRODUCT(Table4[Probability]*Table4[Rev. Based on PROB]*(Table4[Installation]=$B29)*(Table4[Projected 
Year]=AY$1)*(Table4[Projected 
Month]=AY$2))/MAX(1,SUMPRODUCT(Table4[Rev. Based on PROB]*(Table4[Installation]=$B29)*(Table4[Projected 
Year]=AY$1)*(Table4[Projected 
Month]=AY$2)))</f>
        <v>0</v>
      </c>
      <c r="BA29" s="160">
        <f>SUMPRODUCT(Table4[Rev. Based on PROB]*Table4[Expected CMR]*(Table4[Projected 
Year]=AY$1)*(Table4[Projected 
Month]=AY$2)*(Table4[Installation]=$B29))/MAX(1,AY29)</f>
        <v>0</v>
      </c>
      <c r="BB29" s="27">
        <f>SUMIFS(Table47[Rev. Based on PROB],Table47[Installation],$B29,Table47[Projected 
Year],BB$1,Table47[Monthly revenue],BB$2)</f>
        <v>0</v>
      </c>
      <c r="BC29" s="159">
        <f>SUMPRODUCT(Table4[Probability]*Table4[Rev. Based on PROB]*(Table4[Installation]=$B29)*(Table4[Projected 
Year]=BB$1)*(Table4[Projected 
Month]=BB$2))/MAX(1,SUMPRODUCT(Table4[Rev. Based on PROB]*(Table4[Installation]=$B29)*(Table4[Projected 
Year]=BB$1)*(Table4[Projected 
Month]=BB$2)))</f>
        <v>0</v>
      </c>
      <c r="BD29" s="160">
        <f>SUMPRODUCT(Table4[Rev. Based on PROB]*Table4[Expected CMR]*(Table4[Projected 
Year]=BB$1)*(Table4[Projected 
Month]=BB$2)*(Table4[Installation]=$B29))/MAX(1,BB29)</f>
        <v>0</v>
      </c>
      <c r="BE29" s="27">
        <f>SUMIFS(Table47[Rev. Based on PROB],Table47[Installation],$B29,Table47[Projected 
Year],BE$1,Table47[Monthly revenue],BE$2)</f>
        <v>0</v>
      </c>
      <c r="BF29" s="159">
        <f>SUMPRODUCT(Table4[Probability]*Table4[Rev. Based on PROB]*(Table4[Installation]=$B29)*(Table4[Projected 
Year]=BE$1)*(Table4[Projected 
Month]=BE$2))/MAX(1,SUMPRODUCT(Table4[Rev. Based on PROB]*(Table4[Installation]=$B29)*(Table4[Projected 
Year]=BE$1)*(Table4[Projected 
Month]=BE$2)))</f>
        <v>0</v>
      </c>
      <c r="BG29" s="160">
        <f>SUMPRODUCT(Table4[Rev. Based on PROB]*Table4[Expected CMR]*(Table4[Projected 
Year]=BE$1)*(Table4[Projected 
Month]=BE$2)*(Table4[Installation]=$B29))/MAX(1,BE29)</f>
        <v>0</v>
      </c>
      <c r="BH29" s="27">
        <f>SUMIFS(Table47[Rev. Based on PROB],Table47[Installation],$B29,Table47[Projected 
Year],BH$1,Table47[Monthly revenue],BH$2)</f>
        <v>0</v>
      </c>
      <c r="BI29" s="159">
        <f>SUMPRODUCT(Table4[Probability]*Table4[Rev. Based on PROB]*(Table4[Installation]=$B29)*(Table4[Projected 
Year]=BH$1)*(Table4[Projected 
Month]=BH$2))/MAX(1,SUMPRODUCT(Table4[Rev. Based on PROB]*(Table4[Installation]=$B29)*(Table4[Projected 
Year]=BH$1)*(Table4[Projected 
Month]=BH$2)))</f>
        <v>0</v>
      </c>
      <c r="BJ29" s="160">
        <f>SUMPRODUCT(Table4[Rev. Based on PROB]*Table4[Expected CMR]*(Table4[Projected 
Year]=BH$1)*(Table4[Projected 
Month]=BH$2)*(Table4[Installation]=$B29))/MAX(1,BH29)</f>
        <v>0</v>
      </c>
      <c r="BK29" s="27">
        <f>SUMIFS(Table47[Rev. Based on PROB],Table47[Installation],$B29,Table47[Projected 
Year],BK$1,Table47[Monthly revenue],BK$2)</f>
        <v>0</v>
      </c>
      <c r="BL29" s="159">
        <f>SUMPRODUCT(Table4[Probability]*Table4[Rev. Based on PROB]*(Table4[Installation]=$B29)*(Table4[Projected 
Year]=BK$1)*(Table4[Projected 
Month]=BK$2))/MAX(1,SUMPRODUCT(Table4[Rev. Based on PROB]*(Table4[Installation]=$B29)*(Table4[Projected 
Year]=BK$1)*(Table4[Projected 
Month]=BK$2)))</f>
        <v>0</v>
      </c>
      <c r="BM29" s="160">
        <f>SUMPRODUCT(Table4[Rev. Based on PROB]*Table4[Expected CMR]*(Table4[Projected 
Year]=BK$1)*(Table4[Projected 
Month]=BK$2)*(Table4[Installation]=$B29))/MAX(1,BK29)</f>
        <v>0</v>
      </c>
      <c r="BN29" s="27">
        <f>SUMIFS(Table47[Rev. Based on PROB],Table47[Installation],$B29,Table47[Projected 
Year],BN$1,Table47[Monthly revenue],BN$2)</f>
        <v>0</v>
      </c>
      <c r="BO29" s="159">
        <f>SUMPRODUCT(Table4[Probability]*Table4[Rev. Based on PROB]*(Table4[Installation]=$B29)*(Table4[Projected 
Year]=BN$1)*(Table4[Projected 
Month]=BN$2))/MAX(1,SUMPRODUCT(Table4[Rev. Based on PROB]*(Table4[Installation]=$B29)*(Table4[Projected 
Year]=BN$1)*(Table4[Projected 
Month]=BN$2)))</f>
        <v>0</v>
      </c>
      <c r="BP29" s="160">
        <f>SUMPRODUCT(Table4[Rev. Based on PROB]*Table4[Expected CMR]*(Table4[Projected 
Year]=BN$1)*(Table4[Projected 
Month]=BN$2)*(Table4[Installation]=$B29))/MAX(1,BN29)</f>
        <v>0</v>
      </c>
      <c r="BQ29" s="27">
        <f>SUMIFS(Table47[Rev. Based on PROB],Table47[Installation],$B29,Table47[Projected 
Year],BQ$1,Table47[Monthly revenue],BQ$2)</f>
        <v>0</v>
      </c>
      <c r="BR29" s="159">
        <f>SUMPRODUCT(Table4[Probability]*Table4[Rev. Based on PROB]*(Table4[Installation]=$B29)*(Table4[Projected 
Year]=BQ$1)*(Table4[Projected 
Month]=BQ$2))/MAX(1,SUMPRODUCT(Table4[Rev. Based on PROB]*(Table4[Installation]=$B29)*(Table4[Projected 
Year]=BQ$1)*(Table4[Projected 
Month]=BQ$2)))</f>
        <v>0</v>
      </c>
      <c r="BS29" s="160">
        <f>SUMPRODUCT(Table4[Rev. Based on PROB]*Table4[Expected CMR]*(Table4[Projected 
Year]=BQ$1)*(Table4[Projected 
Month]=BQ$2)*(Table4[Installation]=$B29))/MAX(1,BQ29)</f>
        <v>0</v>
      </c>
      <c r="BT29" s="27">
        <f>SUMIFS(Table47[Rev. Based on PROB],Table47[Installation],$B29,Table47[Projected 
Year],BT$1,Table47[Monthly revenue],BT$2)</f>
        <v>0</v>
      </c>
      <c r="BU29" s="159">
        <f>SUMPRODUCT(Table4[Probability]*Table4[Rev. Based on PROB]*(Table4[Installation]=$B29)*(Table4[Projected 
Year]=BT$1)*(Table4[Projected 
Month]=BT$2))/MAX(1,SUMPRODUCT(Table4[Rev. Based on PROB]*(Table4[Installation]=$B29)*(Table4[Projected 
Year]=BT$1)*(Table4[Projected 
Month]=BT$2)))</f>
        <v>0</v>
      </c>
      <c r="BV29" s="160">
        <f>SUMPRODUCT(Table4[Rev. Based on PROB]*Table4[Expected CMR]*(Table4[Projected 
Year]=BT$1)*(Table4[Projected 
Month]=BT$2)*(Table4[Installation]=$B29))/MAX(1,BT29)</f>
        <v>0</v>
      </c>
      <c r="BW29" s="27">
        <f>SUMIFS(Table47[Rev. Based on PROB],Table47[Installation],$B29,Table47[Projected 
Year],BW$1,Table47[Monthly revenue],BW$2)</f>
        <v>0</v>
      </c>
      <c r="BX29" s="159">
        <f>SUMPRODUCT(Table4[Probability]*Table4[Rev. Based on PROB]*(Table4[Installation]=$B29)*(Table4[Projected 
Year]=BW$1)*(Table4[Projected 
Month]=BW$2))/MAX(1,SUMPRODUCT(Table4[Rev. Based on PROB]*(Table4[Installation]=$B29)*(Table4[Projected 
Year]=BW$1)*(Table4[Projected 
Month]=BW$2)))</f>
        <v>0</v>
      </c>
      <c r="BY29" s="160">
        <f>SUMPRODUCT(Table4[Rev. Based on PROB]*Table4[Expected CMR]*(Table4[Projected 
Year]=BW$1)*(Table4[Projected 
Month]=BW$2)*(Table4[Installation]=$B29))/MAX(1,BW29)</f>
        <v>0</v>
      </c>
      <c r="BZ29" s="200"/>
      <c r="CA29" s="200"/>
      <c r="CB29" s="200"/>
      <c r="CC29" s="200"/>
      <c r="CD29" s="200"/>
      <c r="CE29" s="200"/>
      <c r="CF29" s="200"/>
      <c r="CG29" s="200"/>
      <c r="CH29" s="200"/>
      <c r="CI29" s="200"/>
      <c r="CJ29" s="200"/>
      <c r="CK29" s="200"/>
      <c r="CL29" s="200"/>
      <c r="CM29" s="200"/>
      <c r="CN29" s="200"/>
      <c r="CO29" s="200"/>
      <c r="CP29" s="200"/>
      <c r="CQ29" s="200"/>
      <c r="CR29" s="200"/>
      <c r="CS29" s="200"/>
      <c r="CT29" s="200"/>
      <c r="CU29" s="30">
        <f t="shared" si="0"/>
        <v>0</v>
      </c>
      <c r="CV29" s="52">
        <f t="shared" si="9"/>
        <v>0</v>
      </c>
      <c r="CW29" s="53">
        <f t="shared" si="10"/>
        <v>0</v>
      </c>
      <c r="CX29" s="29"/>
    </row>
    <row r="30" spans="1:103">
      <c r="A30" s="18"/>
      <c r="B30" s="20" t="s">
        <v>322</v>
      </c>
      <c r="C30" s="27">
        <f>SUMIFS(Table4[Rev. Based on PROB],Table4[Installation],$B30,Table4[Projected 
Year],C$1,Table4[Projected 
Month],C$2)</f>
        <v>0</v>
      </c>
      <c r="D30" s="159">
        <f>SUMPRODUCT(Table4[Probability]*Table4[Rev. Based on PROB]*(Table4[Installation]=$B30)*(Table4[Projected 
Year]=C$1)*(Table4[Projected 
Month]=C$2))/MAX(1,SUMPRODUCT(Table4[Rev. Based on PROB]*(Table4[Installation]=$B30)*(Table4[Projected 
Year]=C$1)*(Table4[Projected 
Month]=C$2)))</f>
        <v>0</v>
      </c>
      <c r="E30" s="160">
        <f>SUMPRODUCT(Table4[Rev. Based on PROB]*Table4[Expected CMR]*(Table4[Projected 
Year]=C$1)*(Table4[Projected 
Month]=C$2)*(Table4[Installation]=$B30))/MAX(1,C30)</f>
        <v>0</v>
      </c>
      <c r="F30" s="27">
        <f>SUMIFS(Table4[Rev. Based on PROB],Table4[Installation],$B30,Table4[Projected 
Year],F$1,Table4[Projected 
Month],F$2)</f>
        <v>0</v>
      </c>
      <c r="G30" s="159">
        <f>SUMPRODUCT(Table4[Probability]*Table4[Rev. Based on PROB]*(Table4[Installation]=$B30)*(Table4[Projected 
Year]=F$1)*(Table4[Projected 
Month]=F$2))/MAX(1,SUMPRODUCT(Table4[Rev. Based on PROB]*(Table4[Installation]=$B30)*(Table4[Projected 
Year]=F$1)*(Table4[Projected 
Month]=F$2)))</f>
        <v>0</v>
      </c>
      <c r="H30" s="160">
        <f>SUMPRODUCT(Table4[Rev. Based on PROB]*Table4[Expected CMR]*(Table4[Projected 
Year]=F$1)*(Table4[Projected 
Month]=F$2)*(Table4[Installation]=$B30))/MAX(1,F30)</f>
        <v>0</v>
      </c>
      <c r="I30" s="27">
        <f>SUMIFS(Table4[Rev. Based on PROB],Table4[Installation],$B30,Table4[Projected 
Year],I$1,Table4[Projected 
Month],I$2)</f>
        <v>0</v>
      </c>
      <c r="J30" s="159">
        <f>SUMPRODUCT(Table4[Probability]*Table4[Rev. Based on PROB]*(Table4[Installation]=$B30)*(Table4[Projected 
Year]=I$1)*(Table4[Projected 
Month]=I$2))/MAX(1,SUMPRODUCT(Table4[Rev. Based on PROB]*(Table4[Installation]=$B30)*(Table4[Projected 
Year]=I$1)*(Table4[Projected 
Month]=I$2)))</f>
        <v>0</v>
      </c>
      <c r="K30" s="160">
        <f>SUMPRODUCT(Table4[Rev. Based on PROB]*Table4[Expected CMR]*(Table4[Projected 
Year]=I$1)*(Table4[Projected 
Month]=I$2)*(Table4[Installation]=$B30))/MAX(1,I30)</f>
        <v>0</v>
      </c>
      <c r="L30" s="27">
        <f>SUMIFS(Table4[Rev. Based on PROB],Table4[Installation],$B30,Table4[Projected 
Year],L$1,Table4[Projected 
Month],L$2)</f>
        <v>0</v>
      </c>
      <c r="M30" s="159">
        <f>SUMPRODUCT(Table4[Probability]*Table4[Rev. Based on PROB]*(Table4[Installation]=$B30)*(Table4[Projected 
Year]=L$1)*(Table4[Projected 
Month]=L$2))/MAX(1,SUMPRODUCT(Table4[Rev. Based on PROB]*(Table4[Installation]=$B30)*(Table4[Projected 
Year]=L$1)*(Table4[Projected 
Month]=L$2)))</f>
        <v>0</v>
      </c>
      <c r="N30" s="160">
        <f>SUMPRODUCT(Table4[Rev. Based on PROB]*Table4[Expected CMR]*(Table4[Projected 
Year]=L$1)*(Table4[Projected 
Month]=L$2)*(Table4[Installation]=$B30))/MAX(1,L30)</f>
        <v>0</v>
      </c>
      <c r="O30" s="27">
        <f>SUMIFS(Table4[Rev. Based on PROB],Table4[Installation],$B30,Table4[Projected 
Year],O$1,Table4[Projected 
Month],O$2)</f>
        <v>0</v>
      </c>
      <c r="P30" s="159">
        <f>SUMPRODUCT(Table4[Probability]*Table4[Rev. Based on PROB]*(Table4[Installation]=$B30)*(Table4[Projected 
Year]=O$1)*(Table4[Projected 
Month]=O$2))/MAX(1,SUMPRODUCT(Table4[Rev. Based on PROB]*(Table4[Installation]=$B30)*(Table4[Projected 
Year]=O$1)*(Table4[Projected 
Month]=O$2)))</f>
        <v>0</v>
      </c>
      <c r="Q30" s="160">
        <f>SUMPRODUCT(Table4[Rev. Based on PROB]*Table4[Expected CMR]*(Table4[Projected 
Year]=O$1)*(Table4[Projected 
Month]=O$2)*(Table4[Installation]=$B30))/MAX(1,O30)</f>
        <v>0</v>
      </c>
      <c r="R30" s="27">
        <f>SUMIFS(Table4[Rev. Based on PROB],Table4[Installation],$B30,Table4[Projected 
Year],R$1,Table4[Projected 
Month],R$2)</f>
        <v>0</v>
      </c>
      <c r="S30" s="159">
        <f>SUMPRODUCT(Table4[Probability]*Table4[Rev. Based on PROB]*(Table4[Installation]=$B30)*(Table4[Projected 
Year]=R$1)*(Table4[Projected 
Month]=R$2))/MAX(1,SUMPRODUCT(Table4[Rev. Based on PROB]*(Table4[Installation]=$B30)*(Table4[Projected 
Year]=R$1)*(Table4[Projected 
Month]=R$2)))</f>
        <v>0</v>
      </c>
      <c r="T30" s="160">
        <f>SUMPRODUCT(Table4[Rev. Based on PROB]*Table4[Expected CMR]*(Table4[Projected 
Year]=R$1)*(Table4[Projected 
Month]=R$2)*(Table4[Installation]=$B30))/MAX(1,R30)</f>
        <v>0</v>
      </c>
      <c r="U30" s="27">
        <f>SUMIFS(Table4[Rev. Based on PROB],Table4[Installation],$B30,Table4[Projected 
Year],U$1,Table4[Projected 
Month],U$2)</f>
        <v>0</v>
      </c>
      <c r="V30" s="159">
        <f>SUMPRODUCT(Table4[Probability]*Table4[Rev. Based on PROB]*(Table4[Installation]=$B30)*(Table4[Projected 
Year]=U$1)*(Table4[Projected 
Month]=U$2))/MAX(1,SUMPRODUCT(Table4[Rev. Based on PROB]*(Table4[Installation]=$B30)*(Table4[Projected 
Year]=U$1)*(Table4[Projected 
Month]=U$2)))</f>
        <v>0</v>
      </c>
      <c r="W30" s="160">
        <f>SUMPRODUCT(Table4[Rev. Based on PROB]*Table4[Expected CMR]*(Table4[Projected 
Year]=U$1)*(Table4[Projected 
Month]=U$2)*(Table4[Installation]=$B30))/MAX(1,U30)</f>
        <v>0</v>
      </c>
      <c r="X30" s="27">
        <f>SUMIFS(Table4[Rev. Based on PROB],Table4[Installation],$B30,Table4[Projected 
Year],X$1,Table4[Projected 
Month],X$2)</f>
        <v>0</v>
      </c>
      <c r="Y30" s="159">
        <f>SUMPRODUCT(Table4[Probability]*Table4[Rev. Based on PROB]*(Table4[Installation]=$B30)*(Table4[Projected 
Year]=X$1)*(Table4[Projected 
Month]=X$2))/MAX(1,SUMPRODUCT(Table4[Rev. Based on PROB]*(Table4[Installation]=$B30)*(Table4[Projected 
Year]=X$1)*(Table4[Projected 
Month]=X$2)))</f>
        <v>0</v>
      </c>
      <c r="Z30" s="160">
        <f>SUMPRODUCT(Table4[Rev. Based on PROB]*Table4[Expected CMR]*(Table4[Projected 
Year]=X$1)*(Table4[Projected 
Month]=X$2)*(Table4[Installation]=$B30))/MAX(1,X30)</f>
        <v>0</v>
      </c>
      <c r="AA30" s="27">
        <f>SUMIFS(Table4[Rev. Based on PROB],Table4[Installation],$B30,Table4[Projected 
Year],AA$1,Table4[Projected 
Month],AA$2)</f>
        <v>0</v>
      </c>
      <c r="AB30" s="159">
        <f>SUMPRODUCT(Table4[Probability]*Table4[Rev. Based on PROB]*(Table4[Installation]=$B30)*(Table4[Projected 
Year]=AA$1)*(Table4[Projected 
Month]=AA$2))/MAX(1,SUMPRODUCT(Table4[Rev. Based on PROB]*(Table4[Installation]=$B30)*(Table4[Projected 
Year]=AA$1)*(Table4[Projected 
Month]=AA$2)))</f>
        <v>0</v>
      </c>
      <c r="AC30" s="160">
        <f>SUMPRODUCT(Table4[Rev. Based on PROB]*Table4[Expected CMR]*(Table4[Projected 
Year]=AA$1)*(Table4[Projected 
Month]=AA$2)*(Table4[Installation]=$B30))/MAX(1,AA30)</f>
        <v>0</v>
      </c>
      <c r="AD30" s="27">
        <f>SUMIFS(Table4[Rev. Based on PROB],Table4[Installation],$B30,Table4[Projected 
Year],AD$1,Table4[Projected 
Month],AD$2)</f>
        <v>0</v>
      </c>
      <c r="AE30" s="159">
        <f>SUMPRODUCT(Table4[Probability]*Table4[Rev. Based on PROB]*(Table4[Installation]=$B30)*(Table4[Projected 
Year]=AD$1)*(Table4[Projected 
Month]=AD$2))/MAX(1,SUMPRODUCT(Table4[Rev. Based on PROB]*(Table4[Installation]=$B30)*(Table4[Projected 
Year]=AD$1)*(Table4[Projected 
Month]=AD$2)))</f>
        <v>0</v>
      </c>
      <c r="AF30" s="160">
        <f>SUMPRODUCT(Table4[Rev. Based on PROB]*Table4[Expected CMR]*(Table4[Projected 
Year]=AD$1)*(Table4[Projected 
Month]=AD$2)*(Table4[Installation]=$B30))/MAX(1,AD30)</f>
        <v>0</v>
      </c>
      <c r="AG30" s="27">
        <f>SUMIFS(Table4[Rev. Based on PROB],Table4[Installation],$B30,Table4[Projected 
Year],AG$1,Table4[Projected 
Month],AG$2)</f>
        <v>0</v>
      </c>
      <c r="AH30" s="159">
        <f>SUMPRODUCT(Table4[Probability]*Table4[Rev. Based on PROB]*(Table4[Installation]=$B30)*(Table4[Projected 
Year]=AG$1)*(Table4[Projected 
Month]=AG$2))/MAX(1,SUMPRODUCT(Table4[Rev. Based on PROB]*(Table4[Installation]=$B30)*(Table4[Projected 
Year]=AG$1)*(Table4[Projected 
Month]=AG$2)))</f>
        <v>0</v>
      </c>
      <c r="AI30" s="160">
        <f>SUMPRODUCT(Table4[Rev. Based on PROB]*Table4[Expected CMR]*(Table4[Projected 
Year]=AG$1)*(Table4[Projected 
Month]=AG$2)*(Table4[Installation]=$B30))/MAX(1,AG30)</f>
        <v>0</v>
      </c>
      <c r="AJ30" s="27">
        <f>SUMIFS(Table4[Rev. Based on PROB],Table4[Installation],$B30,Table4[Projected 
Year],AJ$1,Table4[Projected 
Month],AJ$2)</f>
        <v>0</v>
      </c>
      <c r="AK30" s="159">
        <f>SUMPRODUCT(Table4[Probability]*Table4[Rev. Based on PROB]*(Table4[Installation]=$B30)*(Table4[Projected 
Year]=AJ$1)*(Table4[Projected 
Month]=AJ$2))/MAX(1,SUMPRODUCT(Table4[Rev. Based on PROB]*(Table4[Installation]=$B30)*(Table4[Projected 
Year]=AJ$1)*(Table4[Projected 
Month]=AJ$2)))</f>
        <v>0</v>
      </c>
      <c r="AL30" s="160">
        <f>SUMPRODUCT(Table4[Rev. Based on PROB]*Table4[Expected CMR]*(Table4[Projected 
Year]=AJ$1)*(Table4[Projected 
Month]=AJ$2)*(Table4[Installation]=$B30))/MAX(1,AJ30)</f>
        <v>0</v>
      </c>
      <c r="AM30" s="30">
        <f t="shared" si="7"/>
        <v>0</v>
      </c>
      <c r="AN30" s="52">
        <f t="shared" ref="AN30:AN47" si="11">SUM($C30*D30,$F30*G30,$I30*J30,$L30*M30,$O30*P30,$R30*S30,$U30*V30,$X30*Y30,$AA30*AB30,$AD30*AE30,$AG30*AH30,$AJ30*AK30)/MAX(1,$AM30)</f>
        <v>0</v>
      </c>
      <c r="AO30" s="53">
        <f t="shared" ref="AO30:AO47" si="12">SUM($C30*E30,$F30*H30,$I30*K30,$L30*N30,$O30*Q30,$R30*T30,$U30*W30,$X30*Z30,$AA30*AC30,$AD30*AF30,$AG30*AI30,$AJ30*AL30)/MAX(1,$AM30)</f>
        <v>0</v>
      </c>
      <c r="AP30" s="27">
        <f>SUMIFS(Table47[Rev. Based on PROB],Table47[Installation],$B30,Table47[Projected 
Year],AP$1,Table47[Monthly revenue],AP$2)</f>
        <v>0</v>
      </c>
      <c r="AQ30" s="159">
        <f>SUMPRODUCT(Table4[Probability]*Table4[Rev. Based on PROB]*(Table4[Installation]=$B30)*(Table4[Projected 
Year]=AP$1)*(Table4[Projected 
Month]=AP$2))/MAX(1,SUMPRODUCT(Table4[Rev. Based on PROB]*(Table4[Installation]=$B30)*(Table4[Projected 
Year]=AP$1)*(Table4[Projected 
Month]=AP$2)))</f>
        <v>0</v>
      </c>
      <c r="AR30" s="160">
        <f>SUMPRODUCT(Table4[Rev. Based on PROB]*Table4[Expected CMR]*(Table4[Projected 
Year]=AP$1)*(Table4[Projected 
Month]=AP$2)*(Table4[Installation]=$B30))/MAX(1,AP30)</f>
        <v>0</v>
      </c>
      <c r="AS30" s="27">
        <f>SUMIFS(Table47[Rev. Based on PROB],Table47[Installation],$B30,Table47[Projected 
Year],AS$1,Table47[Monthly revenue],AS$2)</f>
        <v>0</v>
      </c>
      <c r="AT30" s="159">
        <f>SUMPRODUCT(Table4[Probability]*Table4[Rev. Based on PROB]*(Table4[Installation]=$B30)*(Table4[Projected 
Year]=AS$1)*(Table4[Projected 
Month]=AS$2))/MAX(1,SUMPRODUCT(Table4[Rev. Based on PROB]*(Table4[Installation]=$B30)*(Table4[Projected 
Year]=AS$1)*(Table4[Projected 
Month]=AS$2)))</f>
        <v>0</v>
      </c>
      <c r="AU30" s="160">
        <f>SUMPRODUCT(Table4[Rev. Based on PROB]*Table4[Expected CMR]*(Table4[Projected 
Year]=AS$1)*(Table4[Projected 
Month]=AS$2)*(Table4[Installation]=$B30))/MAX(1,AS30)</f>
        <v>0</v>
      </c>
      <c r="AV30" s="27">
        <f>SUMIFS(Table47[Rev. Based on PROB],Table47[Installation],$B30,Table47[Projected 
Year],AV$1,Table47[Monthly revenue],AV$2)</f>
        <v>0</v>
      </c>
      <c r="AW30" s="159">
        <f>SUMPRODUCT(Table4[Probability]*Table4[Rev. Based on PROB]*(Table4[Installation]=$B30)*(Table4[Projected 
Year]=AV$1)*(Table4[Projected 
Month]=AV$2))/MAX(1,SUMPRODUCT(Table4[Rev. Based on PROB]*(Table4[Installation]=$B30)*(Table4[Projected 
Year]=AV$1)*(Table4[Projected 
Month]=AV$2)))</f>
        <v>0</v>
      </c>
      <c r="AX30" s="160">
        <f>SUMPRODUCT(Table4[Rev. Based on PROB]*Table4[Expected CMR]*(Table4[Projected 
Year]=AV$1)*(Table4[Projected 
Month]=AV$2)*(Table4[Installation]=$B30))/MAX(1,AV30)</f>
        <v>0</v>
      </c>
      <c r="AY30" s="27">
        <f>SUMIFS(Table47[Rev. Based on PROB],Table47[Installation],$B30,Table47[Projected 
Year],AY$1,Table47[Monthly revenue],AY$2)</f>
        <v>0</v>
      </c>
      <c r="AZ30" s="159">
        <f>SUMPRODUCT(Table4[Probability]*Table4[Rev. Based on PROB]*(Table4[Installation]=$B30)*(Table4[Projected 
Year]=AY$1)*(Table4[Projected 
Month]=AY$2))/MAX(1,SUMPRODUCT(Table4[Rev. Based on PROB]*(Table4[Installation]=$B30)*(Table4[Projected 
Year]=AY$1)*(Table4[Projected 
Month]=AY$2)))</f>
        <v>0</v>
      </c>
      <c r="BA30" s="160">
        <f>SUMPRODUCT(Table4[Rev. Based on PROB]*Table4[Expected CMR]*(Table4[Projected 
Year]=AY$1)*(Table4[Projected 
Month]=AY$2)*(Table4[Installation]=$B30))/MAX(1,AY30)</f>
        <v>0</v>
      </c>
      <c r="BB30" s="27">
        <f>SUMIFS(Table47[Rev. Based on PROB],Table47[Installation],$B30,Table47[Projected 
Year],BB$1,Table47[Monthly revenue],BB$2)</f>
        <v>0</v>
      </c>
      <c r="BC30" s="159">
        <f>SUMPRODUCT(Table4[Probability]*Table4[Rev. Based on PROB]*(Table4[Installation]=$B30)*(Table4[Projected 
Year]=BB$1)*(Table4[Projected 
Month]=BB$2))/MAX(1,SUMPRODUCT(Table4[Rev. Based on PROB]*(Table4[Installation]=$B30)*(Table4[Projected 
Year]=BB$1)*(Table4[Projected 
Month]=BB$2)))</f>
        <v>0</v>
      </c>
      <c r="BD30" s="160">
        <f>SUMPRODUCT(Table4[Rev. Based on PROB]*Table4[Expected CMR]*(Table4[Projected 
Year]=BB$1)*(Table4[Projected 
Month]=BB$2)*(Table4[Installation]=$B30))/MAX(1,BB30)</f>
        <v>0</v>
      </c>
      <c r="BE30" s="27">
        <f>SUMIFS(Table47[Rev. Based on PROB],Table47[Installation],$B30,Table47[Projected 
Year],BE$1,Table47[Monthly revenue],BE$2)</f>
        <v>0</v>
      </c>
      <c r="BF30" s="159">
        <f>SUMPRODUCT(Table4[Probability]*Table4[Rev. Based on PROB]*(Table4[Installation]=$B30)*(Table4[Projected 
Year]=BE$1)*(Table4[Projected 
Month]=BE$2))/MAX(1,SUMPRODUCT(Table4[Rev. Based on PROB]*(Table4[Installation]=$B30)*(Table4[Projected 
Year]=BE$1)*(Table4[Projected 
Month]=BE$2)))</f>
        <v>0</v>
      </c>
      <c r="BG30" s="160">
        <f>SUMPRODUCT(Table4[Rev. Based on PROB]*Table4[Expected CMR]*(Table4[Projected 
Year]=BE$1)*(Table4[Projected 
Month]=BE$2)*(Table4[Installation]=$B30))/MAX(1,BE30)</f>
        <v>0</v>
      </c>
      <c r="BH30" s="27">
        <f>SUMIFS(Table47[Rev. Based on PROB],Table47[Installation],$B30,Table47[Projected 
Year],BH$1,Table47[Monthly revenue],BH$2)</f>
        <v>0</v>
      </c>
      <c r="BI30" s="159">
        <f>SUMPRODUCT(Table4[Probability]*Table4[Rev. Based on PROB]*(Table4[Installation]=$B30)*(Table4[Projected 
Year]=BH$1)*(Table4[Projected 
Month]=BH$2))/MAX(1,SUMPRODUCT(Table4[Rev. Based on PROB]*(Table4[Installation]=$B30)*(Table4[Projected 
Year]=BH$1)*(Table4[Projected 
Month]=BH$2)))</f>
        <v>0</v>
      </c>
      <c r="BJ30" s="160">
        <f>SUMPRODUCT(Table4[Rev. Based on PROB]*Table4[Expected CMR]*(Table4[Projected 
Year]=BH$1)*(Table4[Projected 
Month]=BH$2)*(Table4[Installation]=$B30))/MAX(1,BH30)</f>
        <v>0</v>
      </c>
      <c r="BK30" s="27">
        <f>SUMIFS(Table47[Rev. Based on PROB],Table47[Installation],$B30,Table47[Projected 
Year],BK$1,Table47[Monthly revenue],BK$2)</f>
        <v>0</v>
      </c>
      <c r="BL30" s="159">
        <f>SUMPRODUCT(Table4[Probability]*Table4[Rev. Based on PROB]*(Table4[Installation]=$B30)*(Table4[Projected 
Year]=BK$1)*(Table4[Projected 
Month]=BK$2))/MAX(1,SUMPRODUCT(Table4[Rev. Based on PROB]*(Table4[Installation]=$B30)*(Table4[Projected 
Year]=BK$1)*(Table4[Projected 
Month]=BK$2)))</f>
        <v>0</v>
      </c>
      <c r="BM30" s="160">
        <f>SUMPRODUCT(Table4[Rev. Based on PROB]*Table4[Expected CMR]*(Table4[Projected 
Year]=BK$1)*(Table4[Projected 
Month]=BK$2)*(Table4[Installation]=$B30))/MAX(1,BK30)</f>
        <v>0</v>
      </c>
      <c r="BN30" s="27">
        <f>SUMIFS(Table47[Rev. Based on PROB],Table47[Installation],$B30,Table47[Projected 
Year],BN$1,Table47[Monthly revenue],BN$2)</f>
        <v>0</v>
      </c>
      <c r="BO30" s="159">
        <f>SUMPRODUCT(Table4[Probability]*Table4[Rev. Based on PROB]*(Table4[Installation]=$B30)*(Table4[Projected 
Year]=BN$1)*(Table4[Projected 
Month]=BN$2))/MAX(1,SUMPRODUCT(Table4[Rev. Based on PROB]*(Table4[Installation]=$B30)*(Table4[Projected 
Year]=BN$1)*(Table4[Projected 
Month]=BN$2)))</f>
        <v>0</v>
      </c>
      <c r="BP30" s="160">
        <f>SUMPRODUCT(Table4[Rev. Based on PROB]*Table4[Expected CMR]*(Table4[Projected 
Year]=BN$1)*(Table4[Projected 
Month]=BN$2)*(Table4[Installation]=$B30))/MAX(1,BN30)</f>
        <v>0</v>
      </c>
      <c r="BQ30" s="27">
        <f>SUMIFS(Table47[Rev. Based on PROB],Table47[Installation],$B30,Table47[Projected 
Year],BQ$1,Table47[Monthly revenue],BQ$2)</f>
        <v>0</v>
      </c>
      <c r="BR30" s="159">
        <f>SUMPRODUCT(Table4[Probability]*Table4[Rev. Based on PROB]*(Table4[Installation]=$B30)*(Table4[Projected 
Year]=BQ$1)*(Table4[Projected 
Month]=BQ$2))/MAX(1,SUMPRODUCT(Table4[Rev. Based on PROB]*(Table4[Installation]=$B30)*(Table4[Projected 
Year]=BQ$1)*(Table4[Projected 
Month]=BQ$2)))</f>
        <v>0</v>
      </c>
      <c r="BS30" s="160">
        <f>SUMPRODUCT(Table4[Rev. Based on PROB]*Table4[Expected CMR]*(Table4[Projected 
Year]=BQ$1)*(Table4[Projected 
Month]=BQ$2)*(Table4[Installation]=$B30))/MAX(1,BQ30)</f>
        <v>0</v>
      </c>
      <c r="BT30" s="27">
        <f>SUMIFS(Table47[Rev. Based on PROB],Table47[Installation],$B30,Table47[Projected 
Year],BT$1,Table47[Monthly revenue],BT$2)</f>
        <v>0</v>
      </c>
      <c r="BU30" s="159">
        <f>SUMPRODUCT(Table4[Probability]*Table4[Rev. Based on PROB]*(Table4[Installation]=$B30)*(Table4[Projected 
Year]=BT$1)*(Table4[Projected 
Month]=BT$2))/MAX(1,SUMPRODUCT(Table4[Rev. Based on PROB]*(Table4[Installation]=$B30)*(Table4[Projected 
Year]=BT$1)*(Table4[Projected 
Month]=BT$2)))</f>
        <v>0</v>
      </c>
      <c r="BV30" s="160">
        <f>SUMPRODUCT(Table4[Rev. Based on PROB]*Table4[Expected CMR]*(Table4[Projected 
Year]=BT$1)*(Table4[Projected 
Month]=BT$2)*(Table4[Installation]=$B30))/MAX(1,BT30)</f>
        <v>0</v>
      </c>
      <c r="BW30" s="27">
        <f>SUMIFS(Table47[Rev. Based on PROB],Table47[Installation],$B30,Table47[Projected 
Year],BW$1,Table47[Monthly revenue],BW$2)</f>
        <v>0</v>
      </c>
      <c r="BX30" s="159">
        <f>SUMPRODUCT(Table4[Probability]*Table4[Rev. Based on PROB]*(Table4[Installation]=$B30)*(Table4[Projected 
Year]=BW$1)*(Table4[Projected 
Month]=BW$2))/MAX(1,SUMPRODUCT(Table4[Rev. Based on PROB]*(Table4[Installation]=$B30)*(Table4[Projected 
Year]=BW$1)*(Table4[Projected 
Month]=BW$2)))</f>
        <v>0</v>
      </c>
      <c r="BY30" s="160">
        <f>SUMPRODUCT(Table4[Rev. Based on PROB]*Table4[Expected CMR]*(Table4[Projected 
Year]=BW$1)*(Table4[Projected 
Month]=BW$2)*(Table4[Installation]=$B30))/MAX(1,BW30)</f>
        <v>0</v>
      </c>
      <c r="BZ30" s="200"/>
      <c r="CA30" s="200"/>
      <c r="CB30" s="200"/>
      <c r="CC30" s="200"/>
      <c r="CD30" s="200"/>
      <c r="CE30" s="200"/>
      <c r="CF30" s="200"/>
      <c r="CG30" s="200"/>
      <c r="CH30" s="200"/>
      <c r="CI30" s="200"/>
      <c r="CJ30" s="200"/>
      <c r="CK30" s="200"/>
      <c r="CL30" s="200"/>
      <c r="CM30" s="200"/>
      <c r="CN30" s="200"/>
      <c r="CO30" s="200"/>
      <c r="CP30" s="200"/>
      <c r="CQ30" s="200"/>
      <c r="CR30" s="200"/>
      <c r="CS30" s="200"/>
      <c r="CT30" s="200"/>
      <c r="CU30" s="30">
        <f t="shared" si="0"/>
        <v>0</v>
      </c>
      <c r="CV30" s="52">
        <f t="shared" si="9"/>
        <v>0</v>
      </c>
      <c r="CW30" s="53">
        <f t="shared" si="10"/>
        <v>0</v>
      </c>
      <c r="CX30" s="29"/>
    </row>
    <row r="31" spans="1:103">
      <c r="A31" s="18"/>
      <c r="B31" s="20" t="s">
        <v>323</v>
      </c>
      <c r="C31" s="27">
        <f>SUMIFS(Table4[Rev. Based on PROB],Table4[Installation],$B31,Table4[Projected 
Year],C$1,Table4[Projected 
Month],C$2)</f>
        <v>0</v>
      </c>
      <c r="D31" s="159">
        <f>SUMPRODUCT(Table4[Probability]*Table4[Rev. Based on PROB]*(Table4[Installation]=$B31)*(Table4[Projected 
Year]=C$1)*(Table4[Projected 
Month]=C$2))/MAX(1,SUMPRODUCT(Table4[Rev. Based on PROB]*(Table4[Installation]=$B31)*(Table4[Projected 
Year]=C$1)*(Table4[Projected 
Month]=C$2)))</f>
        <v>0</v>
      </c>
      <c r="E31" s="160">
        <f>SUMPRODUCT(Table4[Rev. Based on PROB]*Table4[Expected CMR]*(Table4[Projected 
Year]=C$1)*(Table4[Projected 
Month]=C$2)*(Table4[Installation]=$B31))/MAX(1,C31)</f>
        <v>0</v>
      </c>
      <c r="F31" s="27">
        <f>SUMIFS(Table4[Rev. Based on PROB],Table4[Installation],$B31,Table4[Projected 
Year],F$1,Table4[Projected 
Month],F$2)</f>
        <v>0</v>
      </c>
      <c r="G31" s="159">
        <f>SUMPRODUCT(Table4[Probability]*Table4[Rev. Based on PROB]*(Table4[Installation]=$B31)*(Table4[Projected 
Year]=F$1)*(Table4[Projected 
Month]=F$2))/MAX(1,SUMPRODUCT(Table4[Rev. Based on PROB]*(Table4[Installation]=$B31)*(Table4[Projected 
Year]=F$1)*(Table4[Projected 
Month]=F$2)))</f>
        <v>0</v>
      </c>
      <c r="H31" s="160">
        <f>SUMPRODUCT(Table4[Rev. Based on PROB]*Table4[Expected CMR]*(Table4[Projected 
Year]=F$1)*(Table4[Projected 
Month]=F$2)*(Table4[Installation]=$B31))/MAX(1,F31)</f>
        <v>0</v>
      </c>
      <c r="I31" s="27">
        <f>SUMIFS(Table4[Rev. Based on PROB],Table4[Installation],$B31,Table4[Projected 
Year],I$1,Table4[Projected 
Month],I$2)</f>
        <v>0</v>
      </c>
      <c r="J31" s="159">
        <f>SUMPRODUCT(Table4[Probability]*Table4[Rev. Based on PROB]*(Table4[Installation]=$B31)*(Table4[Projected 
Year]=I$1)*(Table4[Projected 
Month]=I$2))/MAX(1,SUMPRODUCT(Table4[Rev. Based on PROB]*(Table4[Installation]=$B31)*(Table4[Projected 
Year]=I$1)*(Table4[Projected 
Month]=I$2)))</f>
        <v>0</v>
      </c>
      <c r="K31" s="160">
        <f>SUMPRODUCT(Table4[Rev. Based on PROB]*Table4[Expected CMR]*(Table4[Projected 
Year]=I$1)*(Table4[Projected 
Month]=I$2)*(Table4[Installation]=$B31))/MAX(1,I31)</f>
        <v>0</v>
      </c>
      <c r="L31" s="27">
        <f>SUMIFS(Table4[Rev. Based on PROB],Table4[Installation],$B31,Table4[Projected 
Year],L$1,Table4[Projected 
Month],L$2)</f>
        <v>0</v>
      </c>
      <c r="M31" s="159">
        <f>SUMPRODUCT(Table4[Probability]*Table4[Rev. Based on PROB]*(Table4[Installation]=$B31)*(Table4[Projected 
Year]=L$1)*(Table4[Projected 
Month]=L$2))/MAX(1,SUMPRODUCT(Table4[Rev. Based on PROB]*(Table4[Installation]=$B31)*(Table4[Projected 
Year]=L$1)*(Table4[Projected 
Month]=L$2)))</f>
        <v>0</v>
      </c>
      <c r="N31" s="160">
        <f>SUMPRODUCT(Table4[Rev. Based on PROB]*Table4[Expected CMR]*(Table4[Projected 
Year]=L$1)*(Table4[Projected 
Month]=L$2)*(Table4[Installation]=$B31))/MAX(1,L31)</f>
        <v>0</v>
      </c>
      <c r="O31" s="27">
        <f>SUMIFS(Table4[Rev. Based on PROB],Table4[Installation],$B31,Table4[Projected 
Year],O$1,Table4[Projected 
Month],O$2)</f>
        <v>0</v>
      </c>
      <c r="P31" s="159">
        <f>SUMPRODUCT(Table4[Probability]*Table4[Rev. Based on PROB]*(Table4[Installation]=$B31)*(Table4[Projected 
Year]=O$1)*(Table4[Projected 
Month]=O$2))/MAX(1,SUMPRODUCT(Table4[Rev. Based on PROB]*(Table4[Installation]=$B31)*(Table4[Projected 
Year]=O$1)*(Table4[Projected 
Month]=O$2)))</f>
        <v>0</v>
      </c>
      <c r="Q31" s="160">
        <f>SUMPRODUCT(Table4[Rev. Based on PROB]*Table4[Expected CMR]*(Table4[Projected 
Year]=O$1)*(Table4[Projected 
Month]=O$2)*(Table4[Installation]=$B31))/MAX(1,O31)</f>
        <v>0</v>
      </c>
      <c r="R31" s="27">
        <f>SUMIFS(Table4[Rev. Based on PROB],Table4[Installation],$B31,Table4[Projected 
Year],R$1,Table4[Projected 
Month],R$2)</f>
        <v>0</v>
      </c>
      <c r="S31" s="159">
        <f>SUMPRODUCT(Table4[Probability]*Table4[Rev. Based on PROB]*(Table4[Installation]=$B31)*(Table4[Projected 
Year]=R$1)*(Table4[Projected 
Month]=R$2))/MAX(1,SUMPRODUCT(Table4[Rev. Based on PROB]*(Table4[Installation]=$B31)*(Table4[Projected 
Year]=R$1)*(Table4[Projected 
Month]=R$2)))</f>
        <v>0</v>
      </c>
      <c r="T31" s="160">
        <f>SUMPRODUCT(Table4[Rev. Based on PROB]*Table4[Expected CMR]*(Table4[Projected 
Year]=R$1)*(Table4[Projected 
Month]=R$2)*(Table4[Installation]=$B31))/MAX(1,R31)</f>
        <v>0</v>
      </c>
      <c r="U31" s="27">
        <f>SUMIFS(Table4[Rev. Based on PROB],Table4[Installation],$B31,Table4[Projected 
Year],U$1,Table4[Projected 
Month],U$2)</f>
        <v>0</v>
      </c>
      <c r="V31" s="159">
        <f>SUMPRODUCT(Table4[Probability]*Table4[Rev. Based on PROB]*(Table4[Installation]=$B31)*(Table4[Projected 
Year]=U$1)*(Table4[Projected 
Month]=U$2))/MAX(1,SUMPRODUCT(Table4[Rev. Based on PROB]*(Table4[Installation]=$B31)*(Table4[Projected 
Year]=U$1)*(Table4[Projected 
Month]=U$2)))</f>
        <v>0</v>
      </c>
      <c r="W31" s="160">
        <f>SUMPRODUCT(Table4[Rev. Based on PROB]*Table4[Expected CMR]*(Table4[Projected 
Year]=U$1)*(Table4[Projected 
Month]=U$2)*(Table4[Installation]=$B31))/MAX(1,U31)</f>
        <v>0</v>
      </c>
      <c r="X31" s="27">
        <f>SUMIFS(Table4[Rev. Based on PROB],Table4[Installation],$B31,Table4[Projected 
Year],X$1,Table4[Projected 
Month],X$2)</f>
        <v>0</v>
      </c>
      <c r="Y31" s="159">
        <f>SUMPRODUCT(Table4[Probability]*Table4[Rev. Based on PROB]*(Table4[Installation]=$B31)*(Table4[Projected 
Year]=X$1)*(Table4[Projected 
Month]=X$2))/MAX(1,SUMPRODUCT(Table4[Rev. Based on PROB]*(Table4[Installation]=$B31)*(Table4[Projected 
Year]=X$1)*(Table4[Projected 
Month]=X$2)))</f>
        <v>0</v>
      </c>
      <c r="Z31" s="160">
        <f>SUMPRODUCT(Table4[Rev. Based on PROB]*Table4[Expected CMR]*(Table4[Projected 
Year]=X$1)*(Table4[Projected 
Month]=X$2)*(Table4[Installation]=$B31))/MAX(1,X31)</f>
        <v>0</v>
      </c>
      <c r="AA31" s="27">
        <f>SUMIFS(Table4[Rev. Based on PROB],Table4[Installation],$B31,Table4[Projected 
Year],AA$1,Table4[Projected 
Month],AA$2)</f>
        <v>0</v>
      </c>
      <c r="AB31" s="159">
        <f>SUMPRODUCT(Table4[Probability]*Table4[Rev. Based on PROB]*(Table4[Installation]=$B31)*(Table4[Projected 
Year]=AA$1)*(Table4[Projected 
Month]=AA$2))/MAX(1,SUMPRODUCT(Table4[Rev. Based on PROB]*(Table4[Installation]=$B31)*(Table4[Projected 
Year]=AA$1)*(Table4[Projected 
Month]=AA$2)))</f>
        <v>0</v>
      </c>
      <c r="AC31" s="160">
        <f>SUMPRODUCT(Table4[Rev. Based on PROB]*Table4[Expected CMR]*(Table4[Projected 
Year]=AA$1)*(Table4[Projected 
Month]=AA$2)*(Table4[Installation]=$B31))/MAX(1,AA31)</f>
        <v>0</v>
      </c>
      <c r="AD31" s="27">
        <f>SUMIFS(Table4[Rev. Based on PROB],Table4[Installation],$B31,Table4[Projected 
Year],AD$1,Table4[Projected 
Month],AD$2)</f>
        <v>0</v>
      </c>
      <c r="AE31" s="159">
        <f>SUMPRODUCT(Table4[Probability]*Table4[Rev. Based on PROB]*(Table4[Installation]=$B31)*(Table4[Projected 
Year]=AD$1)*(Table4[Projected 
Month]=AD$2))/MAX(1,SUMPRODUCT(Table4[Rev. Based on PROB]*(Table4[Installation]=$B31)*(Table4[Projected 
Year]=AD$1)*(Table4[Projected 
Month]=AD$2)))</f>
        <v>0</v>
      </c>
      <c r="AF31" s="160">
        <f>SUMPRODUCT(Table4[Rev. Based on PROB]*Table4[Expected CMR]*(Table4[Projected 
Year]=AD$1)*(Table4[Projected 
Month]=AD$2)*(Table4[Installation]=$B31))/MAX(1,AD31)</f>
        <v>0</v>
      </c>
      <c r="AG31" s="27">
        <f>SUMIFS(Table4[Rev. Based on PROB],Table4[Installation],$B31,Table4[Projected 
Year],AG$1,Table4[Projected 
Month],AG$2)</f>
        <v>0</v>
      </c>
      <c r="AH31" s="159">
        <f>SUMPRODUCT(Table4[Probability]*Table4[Rev. Based on PROB]*(Table4[Installation]=$B31)*(Table4[Projected 
Year]=AG$1)*(Table4[Projected 
Month]=AG$2))/MAX(1,SUMPRODUCT(Table4[Rev. Based on PROB]*(Table4[Installation]=$B31)*(Table4[Projected 
Year]=AG$1)*(Table4[Projected 
Month]=AG$2)))</f>
        <v>0</v>
      </c>
      <c r="AI31" s="160">
        <f>SUMPRODUCT(Table4[Rev. Based on PROB]*Table4[Expected CMR]*(Table4[Projected 
Year]=AG$1)*(Table4[Projected 
Month]=AG$2)*(Table4[Installation]=$B31))/MAX(1,AG31)</f>
        <v>0</v>
      </c>
      <c r="AJ31" s="27">
        <f>SUMIFS(Table4[Rev. Based on PROB],Table4[Installation],$B31,Table4[Projected 
Year],AJ$1,Table4[Projected 
Month],AJ$2)</f>
        <v>0</v>
      </c>
      <c r="AK31" s="159">
        <f>SUMPRODUCT(Table4[Probability]*Table4[Rev. Based on PROB]*(Table4[Installation]=$B31)*(Table4[Projected 
Year]=AJ$1)*(Table4[Projected 
Month]=AJ$2))/MAX(1,SUMPRODUCT(Table4[Rev. Based on PROB]*(Table4[Installation]=$B31)*(Table4[Projected 
Year]=AJ$1)*(Table4[Projected 
Month]=AJ$2)))</f>
        <v>0</v>
      </c>
      <c r="AL31" s="160">
        <f>SUMPRODUCT(Table4[Rev. Based on PROB]*Table4[Expected CMR]*(Table4[Projected 
Year]=AJ$1)*(Table4[Projected 
Month]=AJ$2)*(Table4[Installation]=$B31))/MAX(1,AJ31)</f>
        <v>0</v>
      </c>
      <c r="AM31" s="30">
        <f t="shared" si="7"/>
        <v>0</v>
      </c>
      <c r="AN31" s="52">
        <f t="shared" si="11"/>
        <v>0</v>
      </c>
      <c r="AO31" s="53">
        <f t="shared" si="12"/>
        <v>0</v>
      </c>
      <c r="AP31" s="27">
        <f>SUMIFS(Table47[Rev. Based on PROB],Table47[Installation],$B31,Table47[Projected 
Year],AP$1,Table47[Monthly revenue],AP$2)</f>
        <v>0</v>
      </c>
      <c r="AQ31" s="159">
        <f>SUMPRODUCT(Table4[Probability]*Table4[Rev. Based on PROB]*(Table4[Installation]=$B31)*(Table4[Projected 
Year]=AP$1)*(Table4[Projected 
Month]=AP$2))/MAX(1,SUMPRODUCT(Table4[Rev. Based on PROB]*(Table4[Installation]=$B31)*(Table4[Projected 
Year]=AP$1)*(Table4[Projected 
Month]=AP$2)))</f>
        <v>0</v>
      </c>
      <c r="AR31" s="160">
        <f>SUMPRODUCT(Table4[Rev. Based on PROB]*Table4[Expected CMR]*(Table4[Projected 
Year]=AP$1)*(Table4[Projected 
Month]=AP$2)*(Table4[Installation]=$B31))/MAX(1,AP31)</f>
        <v>0</v>
      </c>
      <c r="AS31" s="27">
        <f>SUMIFS(Table47[Rev. Based on PROB],Table47[Installation],$B31,Table47[Projected 
Year],AS$1,Table47[Monthly revenue],AS$2)</f>
        <v>0</v>
      </c>
      <c r="AT31" s="159">
        <f>SUMPRODUCT(Table4[Probability]*Table4[Rev. Based on PROB]*(Table4[Installation]=$B31)*(Table4[Projected 
Year]=AS$1)*(Table4[Projected 
Month]=AS$2))/MAX(1,SUMPRODUCT(Table4[Rev. Based on PROB]*(Table4[Installation]=$B31)*(Table4[Projected 
Year]=AS$1)*(Table4[Projected 
Month]=AS$2)))</f>
        <v>0</v>
      </c>
      <c r="AU31" s="160">
        <f>SUMPRODUCT(Table4[Rev. Based on PROB]*Table4[Expected CMR]*(Table4[Projected 
Year]=AS$1)*(Table4[Projected 
Month]=AS$2)*(Table4[Installation]=$B31))/MAX(1,AS31)</f>
        <v>0</v>
      </c>
      <c r="AV31" s="27">
        <f>SUMIFS(Table47[Rev. Based on PROB],Table47[Installation],$B31,Table47[Projected 
Year],AV$1,Table47[Monthly revenue],AV$2)</f>
        <v>0</v>
      </c>
      <c r="AW31" s="159">
        <f>SUMPRODUCT(Table4[Probability]*Table4[Rev. Based on PROB]*(Table4[Installation]=$B31)*(Table4[Projected 
Year]=AV$1)*(Table4[Projected 
Month]=AV$2))/MAX(1,SUMPRODUCT(Table4[Rev. Based on PROB]*(Table4[Installation]=$B31)*(Table4[Projected 
Year]=AV$1)*(Table4[Projected 
Month]=AV$2)))</f>
        <v>0</v>
      </c>
      <c r="AX31" s="160">
        <f>SUMPRODUCT(Table4[Rev. Based on PROB]*Table4[Expected CMR]*(Table4[Projected 
Year]=AV$1)*(Table4[Projected 
Month]=AV$2)*(Table4[Installation]=$B31))/MAX(1,AV31)</f>
        <v>0</v>
      </c>
      <c r="AY31" s="27">
        <f>SUMIFS(Table47[Rev. Based on PROB],Table47[Installation],$B31,Table47[Projected 
Year],AY$1,Table47[Monthly revenue],AY$2)</f>
        <v>0</v>
      </c>
      <c r="AZ31" s="159">
        <f>SUMPRODUCT(Table4[Probability]*Table4[Rev. Based on PROB]*(Table4[Installation]=$B31)*(Table4[Projected 
Year]=AY$1)*(Table4[Projected 
Month]=AY$2))/MAX(1,SUMPRODUCT(Table4[Rev. Based on PROB]*(Table4[Installation]=$B31)*(Table4[Projected 
Year]=AY$1)*(Table4[Projected 
Month]=AY$2)))</f>
        <v>0</v>
      </c>
      <c r="BA31" s="160">
        <f>SUMPRODUCT(Table4[Rev. Based on PROB]*Table4[Expected CMR]*(Table4[Projected 
Year]=AY$1)*(Table4[Projected 
Month]=AY$2)*(Table4[Installation]=$B31))/MAX(1,AY31)</f>
        <v>0</v>
      </c>
      <c r="BB31" s="27">
        <f>SUMIFS(Table47[Rev. Based on PROB],Table47[Installation],$B31,Table47[Projected 
Year],BB$1,Table47[Monthly revenue],BB$2)</f>
        <v>0</v>
      </c>
      <c r="BC31" s="159">
        <f>SUMPRODUCT(Table4[Probability]*Table4[Rev. Based on PROB]*(Table4[Installation]=$B31)*(Table4[Projected 
Year]=BB$1)*(Table4[Projected 
Month]=BB$2))/MAX(1,SUMPRODUCT(Table4[Rev. Based on PROB]*(Table4[Installation]=$B31)*(Table4[Projected 
Year]=BB$1)*(Table4[Projected 
Month]=BB$2)))</f>
        <v>0</v>
      </c>
      <c r="BD31" s="160">
        <f>SUMPRODUCT(Table4[Rev. Based on PROB]*Table4[Expected CMR]*(Table4[Projected 
Year]=BB$1)*(Table4[Projected 
Month]=BB$2)*(Table4[Installation]=$B31))/MAX(1,BB31)</f>
        <v>0</v>
      </c>
      <c r="BE31" s="27">
        <f>SUMIFS(Table47[Rev. Based on PROB],Table47[Installation],$B31,Table47[Projected 
Year],BE$1,Table47[Monthly revenue],BE$2)</f>
        <v>0</v>
      </c>
      <c r="BF31" s="159">
        <f>SUMPRODUCT(Table4[Probability]*Table4[Rev. Based on PROB]*(Table4[Installation]=$B31)*(Table4[Projected 
Year]=BE$1)*(Table4[Projected 
Month]=BE$2))/MAX(1,SUMPRODUCT(Table4[Rev. Based on PROB]*(Table4[Installation]=$B31)*(Table4[Projected 
Year]=BE$1)*(Table4[Projected 
Month]=BE$2)))</f>
        <v>0</v>
      </c>
      <c r="BG31" s="160">
        <f>SUMPRODUCT(Table4[Rev. Based on PROB]*Table4[Expected CMR]*(Table4[Projected 
Year]=BE$1)*(Table4[Projected 
Month]=BE$2)*(Table4[Installation]=$B31))/MAX(1,BE31)</f>
        <v>0</v>
      </c>
      <c r="BH31" s="27">
        <f>SUMIFS(Table47[Rev. Based on PROB],Table47[Installation],$B31,Table47[Projected 
Year],BH$1,Table47[Monthly revenue],BH$2)</f>
        <v>0</v>
      </c>
      <c r="BI31" s="159">
        <f>SUMPRODUCT(Table4[Probability]*Table4[Rev. Based on PROB]*(Table4[Installation]=$B31)*(Table4[Projected 
Year]=BH$1)*(Table4[Projected 
Month]=BH$2))/MAX(1,SUMPRODUCT(Table4[Rev. Based on PROB]*(Table4[Installation]=$B31)*(Table4[Projected 
Year]=BH$1)*(Table4[Projected 
Month]=BH$2)))</f>
        <v>0</v>
      </c>
      <c r="BJ31" s="160">
        <f>SUMPRODUCT(Table4[Rev. Based on PROB]*Table4[Expected CMR]*(Table4[Projected 
Year]=BH$1)*(Table4[Projected 
Month]=BH$2)*(Table4[Installation]=$B31))/MAX(1,BH31)</f>
        <v>0</v>
      </c>
      <c r="BK31" s="27">
        <f>SUMIFS(Table47[Rev. Based on PROB],Table47[Installation],$B31,Table47[Projected 
Year],BK$1,Table47[Monthly revenue],BK$2)</f>
        <v>0</v>
      </c>
      <c r="BL31" s="159">
        <f>SUMPRODUCT(Table4[Probability]*Table4[Rev. Based on PROB]*(Table4[Installation]=$B31)*(Table4[Projected 
Year]=BK$1)*(Table4[Projected 
Month]=BK$2))/MAX(1,SUMPRODUCT(Table4[Rev. Based on PROB]*(Table4[Installation]=$B31)*(Table4[Projected 
Year]=BK$1)*(Table4[Projected 
Month]=BK$2)))</f>
        <v>0</v>
      </c>
      <c r="BM31" s="160">
        <f>SUMPRODUCT(Table4[Rev. Based on PROB]*Table4[Expected CMR]*(Table4[Projected 
Year]=BK$1)*(Table4[Projected 
Month]=BK$2)*(Table4[Installation]=$B31))/MAX(1,BK31)</f>
        <v>0</v>
      </c>
      <c r="BN31" s="27">
        <f>SUMIFS(Table47[Rev. Based on PROB],Table47[Installation],$B31,Table47[Projected 
Year],BN$1,Table47[Monthly revenue],BN$2)</f>
        <v>0</v>
      </c>
      <c r="BO31" s="159">
        <f>SUMPRODUCT(Table4[Probability]*Table4[Rev. Based on PROB]*(Table4[Installation]=$B31)*(Table4[Projected 
Year]=BN$1)*(Table4[Projected 
Month]=BN$2))/MAX(1,SUMPRODUCT(Table4[Rev. Based on PROB]*(Table4[Installation]=$B31)*(Table4[Projected 
Year]=BN$1)*(Table4[Projected 
Month]=BN$2)))</f>
        <v>0</v>
      </c>
      <c r="BP31" s="160">
        <f>SUMPRODUCT(Table4[Rev. Based on PROB]*Table4[Expected CMR]*(Table4[Projected 
Year]=BN$1)*(Table4[Projected 
Month]=BN$2)*(Table4[Installation]=$B31))/MAX(1,BN31)</f>
        <v>0</v>
      </c>
      <c r="BQ31" s="27">
        <f>SUMIFS(Table47[Rev. Based on PROB],Table47[Installation],$B31,Table47[Projected 
Year],BQ$1,Table47[Monthly revenue],BQ$2)</f>
        <v>0</v>
      </c>
      <c r="BR31" s="159">
        <f>SUMPRODUCT(Table4[Probability]*Table4[Rev. Based on PROB]*(Table4[Installation]=$B31)*(Table4[Projected 
Year]=BQ$1)*(Table4[Projected 
Month]=BQ$2))/MAX(1,SUMPRODUCT(Table4[Rev. Based on PROB]*(Table4[Installation]=$B31)*(Table4[Projected 
Year]=BQ$1)*(Table4[Projected 
Month]=BQ$2)))</f>
        <v>0</v>
      </c>
      <c r="BS31" s="160">
        <f>SUMPRODUCT(Table4[Rev. Based on PROB]*Table4[Expected CMR]*(Table4[Projected 
Year]=BQ$1)*(Table4[Projected 
Month]=BQ$2)*(Table4[Installation]=$B31))/MAX(1,BQ31)</f>
        <v>0</v>
      </c>
      <c r="BT31" s="27">
        <f>SUMIFS(Table47[Rev. Based on PROB],Table47[Installation],$B31,Table47[Projected 
Year],BT$1,Table47[Monthly revenue],BT$2)</f>
        <v>0</v>
      </c>
      <c r="BU31" s="159">
        <f>SUMPRODUCT(Table4[Probability]*Table4[Rev. Based on PROB]*(Table4[Installation]=$B31)*(Table4[Projected 
Year]=BT$1)*(Table4[Projected 
Month]=BT$2))/MAX(1,SUMPRODUCT(Table4[Rev. Based on PROB]*(Table4[Installation]=$B31)*(Table4[Projected 
Year]=BT$1)*(Table4[Projected 
Month]=BT$2)))</f>
        <v>0</v>
      </c>
      <c r="BV31" s="160">
        <f>SUMPRODUCT(Table4[Rev. Based on PROB]*Table4[Expected CMR]*(Table4[Projected 
Year]=BT$1)*(Table4[Projected 
Month]=BT$2)*(Table4[Installation]=$B31))/MAX(1,BT31)</f>
        <v>0</v>
      </c>
      <c r="BW31" s="27">
        <f>SUMIFS(Table47[Rev. Based on PROB],Table47[Installation],$B31,Table47[Projected 
Year],BW$1,Table47[Monthly revenue],BW$2)</f>
        <v>0</v>
      </c>
      <c r="BX31" s="159">
        <f>SUMPRODUCT(Table4[Probability]*Table4[Rev. Based on PROB]*(Table4[Installation]=$B31)*(Table4[Projected 
Year]=BW$1)*(Table4[Projected 
Month]=BW$2))/MAX(1,SUMPRODUCT(Table4[Rev. Based on PROB]*(Table4[Installation]=$B31)*(Table4[Projected 
Year]=BW$1)*(Table4[Projected 
Month]=BW$2)))</f>
        <v>0</v>
      </c>
      <c r="BY31" s="160">
        <f>SUMPRODUCT(Table4[Rev. Based on PROB]*Table4[Expected CMR]*(Table4[Projected 
Year]=BW$1)*(Table4[Projected 
Month]=BW$2)*(Table4[Installation]=$B31))/MAX(1,BW31)</f>
        <v>0</v>
      </c>
      <c r="BZ31" s="200"/>
      <c r="CA31" s="200"/>
      <c r="CB31" s="200"/>
      <c r="CC31" s="200"/>
      <c r="CD31" s="200"/>
      <c r="CE31" s="200"/>
      <c r="CF31" s="200"/>
      <c r="CG31" s="200"/>
      <c r="CH31" s="200"/>
      <c r="CI31" s="200"/>
      <c r="CJ31" s="200"/>
      <c r="CK31" s="200"/>
      <c r="CL31" s="200"/>
      <c r="CM31" s="200"/>
      <c r="CN31" s="200"/>
      <c r="CO31" s="200"/>
      <c r="CP31" s="200"/>
      <c r="CQ31" s="200"/>
      <c r="CR31" s="200"/>
      <c r="CS31" s="200"/>
      <c r="CT31" s="200"/>
      <c r="CU31" s="30">
        <f t="shared" si="0"/>
        <v>0</v>
      </c>
      <c r="CV31" s="52">
        <f t="shared" si="9"/>
        <v>0</v>
      </c>
      <c r="CW31" s="53">
        <f t="shared" si="10"/>
        <v>0</v>
      </c>
      <c r="CX31" s="29"/>
    </row>
    <row r="32" spans="1:103">
      <c r="A32" s="18"/>
      <c r="B32" s="20" t="s">
        <v>324</v>
      </c>
      <c r="C32" s="27">
        <f>SUMIFS(Table4[Rev. Based on PROB],Table4[Installation],$B32,Table4[Projected 
Year],C$1,Table4[Projected 
Month],C$2)</f>
        <v>0</v>
      </c>
      <c r="D32" s="159">
        <f>SUMPRODUCT(Table4[Probability]*Table4[Rev. Based on PROB]*(Table4[Installation]=$B32)*(Table4[Projected 
Year]=C$1)*(Table4[Projected 
Month]=C$2))/MAX(1,SUMPRODUCT(Table4[Rev. Based on PROB]*(Table4[Installation]=$B32)*(Table4[Projected 
Year]=C$1)*(Table4[Projected 
Month]=C$2)))</f>
        <v>0</v>
      </c>
      <c r="E32" s="160">
        <f>SUMPRODUCT(Table4[Rev. Based on PROB]*Table4[Expected CMR]*(Table4[Projected 
Year]=C$1)*(Table4[Projected 
Month]=C$2)*(Table4[Installation]=$B32))/MAX(1,C32)</f>
        <v>0</v>
      </c>
      <c r="F32" s="27">
        <f>SUMIFS(Table4[Rev. Based on PROB],Table4[Installation],$B32,Table4[Projected 
Year],F$1,Table4[Projected 
Month],F$2)</f>
        <v>0</v>
      </c>
      <c r="G32" s="159">
        <f>SUMPRODUCT(Table4[Probability]*Table4[Rev. Based on PROB]*(Table4[Installation]=$B32)*(Table4[Projected 
Year]=F$1)*(Table4[Projected 
Month]=F$2))/MAX(1,SUMPRODUCT(Table4[Rev. Based on PROB]*(Table4[Installation]=$B32)*(Table4[Projected 
Year]=F$1)*(Table4[Projected 
Month]=F$2)))</f>
        <v>0</v>
      </c>
      <c r="H32" s="160">
        <f>SUMPRODUCT(Table4[Rev. Based on PROB]*Table4[Expected CMR]*(Table4[Projected 
Year]=F$1)*(Table4[Projected 
Month]=F$2)*(Table4[Installation]=$B32))/MAX(1,F32)</f>
        <v>0</v>
      </c>
      <c r="I32" s="27">
        <f>SUMIFS(Table4[Rev. Based on PROB],Table4[Installation],$B32,Table4[Projected 
Year],I$1,Table4[Projected 
Month],I$2)</f>
        <v>0</v>
      </c>
      <c r="J32" s="159">
        <f>SUMPRODUCT(Table4[Probability]*Table4[Rev. Based on PROB]*(Table4[Installation]=$B32)*(Table4[Projected 
Year]=I$1)*(Table4[Projected 
Month]=I$2))/MAX(1,SUMPRODUCT(Table4[Rev. Based on PROB]*(Table4[Installation]=$B32)*(Table4[Projected 
Year]=I$1)*(Table4[Projected 
Month]=I$2)))</f>
        <v>0</v>
      </c>
      <c r="K32" s="160">
        <f>SUMPRODUCT(Table4[Rev. Based on PROB]*Table4[Expected CMR]*(Table4[Projected 
Year]=I$1)*(Table4[Projected 
Month]=I$2)*(Table4[Installation]=$B32))/MAX(1,I32)</f>
        <v>0</v>
      </c>
      <c r="L32" s="27">
        <f>SUMIFS(Table4[Rev. Based on PROB],Table4[Installation],$B32,Table4[Projected 
Year],L$1,Table4[Projected 
Month],L$2)</f>
        <v>0</v>
      </c>
      <c r="M32" s="159">
        <f>SUMPRODUCT(Table4[Probability]*Table4[Rev. Based on PROB]*(Table4[Installation]=$B32)*(Table4[Projected 
Year]=L$1)*(Table4[Projected 
Month]=L$2))/MAX(1,SUMPRODUCT(Table4[Rev. Based on PROB]*(Table4[Installation]=$B32)*(Table4[Projected 
Year]=L$1)*(Table4[Projected 
Month]=L$2)))</f>
        <v>0</v>
      </c>
      <c r="N32" s="160">
        <f>SUMPRODUCT(Table4[Rev. Based on PROB]*Table4[Expected CMR]*(Table4[Projected 
Year]=L$1)*(Table4[Projected 
Month]=L$2)*(Table4[Installation]=$B32))/MAX(1,L32)</f>
        <v>0</v>
      </c>
      <c r="O32" s="27">
        <f>SUMIFS(Table4[Rev. Based on PROB],Table4[Installation],$B32,Table4[Projected 
Year],O$1,Table4[Projected 
Month],O$2)</f>
        <v>0</v>
      </c>
      <c r="P32" s="159">
        <f>SUMPRODUCT(Table4[Probability]*Table4[Rev. Based on PROB]*(Table4[Installation]=$B32)*(Table4[Projected 
Year]=O$1)*(Table4[Projected 
Month]=O$2))/MAX(1,SUMPRODUCT(Table4[Rev. Based on PROB]*(Table4[Installation]=$B32)*(Table4[Projected 
Year]=O$1)*(Table4[Projected 
Month]=O$2)))</f>
        <v>0</v>
      </c>
      <c r="Q32" s="160">
        <f>SUMPRODUCT(Table4[Rev. Based on PROB]*Table4[Expected CMR]*(Table4[Projected 
Year]=O$1)*(Table4[Projected 
Month]=O$2)*(Table4[Installation]=$B32))/MAX(1,O32)</f>
        <v>0</v>
      </c>
      <c r="R32" s="27">
        <f>SUMIFS(Table4[Rev. Based on PROB],Table4[Installation],$B32,Table4[Projected 
Year],R$1,Table4[Projected 
Month],R$2)</f>
        <v>0</v>
      </c>
      <c r="S32" s="159">
        <f>SUMPRODUCT(Table4[Probability]*Table4[Rev. Based on PROB]*(Table4[Installation]=$B32)*(Table4[Projected 
Year]=R$1)*(Table4[Projected 
Month]=R$2))/MAX(1,SUMPRODUCT(Table4[Rev. Based on PROB]*(Table4[Installation]=$B32)*(Table4[Projected 
Year]=R$1)*(Table4[Projected 
Month]=R$2)))</f>
        <v>0</v>
      </c>
      <c r="T32" s="160">
        <f>SUMPRODUCT(Table4[Rev. Based on PROB]*Table4[Expected CMR]*(Table4[Projected 
Year]=R$1)*(Table4[Projected 
Month]=R$2)*(Table4[Installation]=$B32))/MAX(1,R32)</f>
        <v>0</v>
      </c>
      <c r="U32" s="27">
        <f>SUMIFS(Table4[Rev. Based on PROB],Table4[Installation],$B32,Table4[Projected 
Year],U$1,Table4[Projected 
Month],U$2)</f>
        <v>0</v>
      </c>
      <c r="V32" s="159">
        <f>SUMPRODUCT(Table4[Probability]*Table4[Rev. Based on PROB]*(Table4[Installation]=$B32)*(Table4[Projected 
Year]=U$1)*(Table4[Projected 
Month]=U$2))/MAX(1,SUMPRODUCT(Table4[Rev. Based on PROB]*(Table4[Installation]=$B32)*(Table4[Projected 
Year]=U$1)*(Table4[Projected 
Month]=U$2)))</f>
        <v>0</v>
      </c>
      <c r="W32" s="160">
        <f>SUMPRODUCT(Table4[Rev. Based on PROB]*Table4[Expected CMR]*(Table4[Projected 
Year]=U$1)*(Table4[Projected 
Month]=U$2)*(Table4[Installation]=$B32))/MAX(1,U32)</f>
        <v>0</v>
      </c>
      <c r="X32" s="27">
        <f>SUMIFS(Table4[Rev. Based on PROB],Table4[Installation],$B32,Table4[Projected 
Year],X$1,Table4[Projected 
Month],X$2)</f>
        <v>0</v>
      </c>
      <c r="Y32" s="159">
        <f>SUMPRODUCT(Table4[Probability]*Table4[Rev. Based on PROB]*(Table4[Installation]=$B32)*(Table4[Projected 
Year]=X$1)*(Table4[Projected 
Month]=X$2))/MAX(1,SUMPRODUCT(Table4[Rev. Based on PROB]*(Table4[Installation]=$B32)*(Table4[Projected 
Year]=X$1)*(Table4[Projected 
Month]=X$2)))</f>
        <v>0</v>
      </c>
      <c r="Z32" s="160">
        <f>SUMPRODUCT(Table4[Rev. Based on PROB]*Table4[Expected CMR]*(Table4[Projected 
Year]=X$1)*(Table4[Projected 
Month]=X$2)*(Table4[Installation]=$B32))/MAX(1,X32)</f>
        <v>0</v>
      </c>
      <c r="AA32" s="27">
        <f>SUMIFS(Table4[Rev. Based on PROB],Table4[Installation],$B32,Table4[Projected 
Year],AA$1,Table4[Projected 
Month],AA$2)</f>
        <v>0</v>
      </c>
      <c r="AB32" s="159">
        <f>SUMPRODUCT(Table4[Probability]*Table4[Rev. Based on PROB]*(Table4[Installation]=$B32)*(Table4[Projected 
Year]=AA$1)*(Table4[Projected 
Month]=AA$2))/MAX(1,SUMPRODUCT(Table4[Rev. Based on PROB]*(Table4[Installation]=$B32)*(Table4[Projected 
Year]=AA$1)*(Table4[Projected 
Month]=AA$2)))</f>
        <v>0</v>
      </c>
      <c r="AC32" s="160">
        <f>SUMPRODUCT(Table4[Rev. Based on PROB]*Table4[Expected CMR]*(Table4[Projected 
Year]=AA$1)*(Table4[Projected 
Month]=AA$2)*(Table4[Installation]=$B32))/MAX(1,AA32)</f>
        <v>0</v>
      </c>
      <c r="AD32" s="27">
        <f>SUMIFS(Table4[Rev. Based on PROB],Table4[Installation],$B32,Table4[Projected 
Year],AD$1,Table4[Projected 
Month],AD$2)</f>
        <v>0</v>
      </c>
      <c r="AE32" s="159">
        <f>SUMPRODUCT(Table4[Probability]*Table4[Rev. Based on PROB]*(Table4[Installation]=$B32)*(Table4[Projected 
Year]=AD$1)*(Table4[Projected 
Month]=AD$2))/MAX(1,SUMPRODUCT(Table4[Rev. Based on PROB]*(Table4[Installation]=$B32)*(Table4[Projected 
Year]=AD$1)*(Table4[Projected 
Month]=AD$2)))</f>
        <v>0</v>
      </c>
      <c r="AF32" s="160">
        <f>SUMPRODUCT(Table4[Rev. Based on PROB]*Table4[Expected CMR]*(Table4[Projected 
Year]=AD$1)*(Table4[Projected 
Month]=AD$2)*(Table4[Installation]=$B32))/MAX(1,AD32)</f>
        <v>0</v>
      </c>
      <c r="AG32" s="27">
        <f>SUMIFS(Table4[Rev. Based on PROB],Table4[Installation],$B32,Table4[Projected 
Year],AG$1,Table4[Projected 
Month],AG$2)</f>
        <v>0</v>
      </c>
      <c r="AH32" s="159">
        <f>SUMPRODUCT(Table4[Probability]*Table4[Rev. Based on PROB]*(Table4[Installation]=$B32)*(Table4[Projected 
Year]=AG$1)*(Table4[Projected 
Month]=AG$2))/MAX(1,SUMPRODUCT(Table4[Rev. Based on PROB]*(Table4[Installation]=$B32)*(Table4[Projected 
Year]=AG$1)*(Table4[Projected 
Month]=AG$2)))</f>
        <v>0</v>
      </c>
      <c r="AI32" s="160">
        <f>SUMPRODUCT(Table4[Rev. Based on PROB]*Table4[Expected CMR]*(Table4[Projected 
Year]=AG$1)*(Table4[Projected 
Month]=AG$2)*(Table4[Installation]=$B32))/MAX(1,AG32)</f>
        <v>0</v>
      </c>
      <c r="AJ32" s="27">
        <f>SUMIFS(Table4[Rev. Based on PROB],Table4[Installation],$B32,Table4[Projected 
Year],AJ$1,Table4[Projected 
Month],AJ$2)</f>
        <v>0</v>
      </c>
      <c r="AK32" s="159">
        <f>SUMPRODUCT(Table4[Probability]*Table4[Rev. Based on PROB]*(Table4[Installation]=$B32)*(Table4[Projected 
Year]=AJ$1)*(Table4[Projected 
Month]=AJ$2))/MAX(1,SUMPRODUCT(Table4[Rev. Based on PROB]*(Table4[Installation]=$B32)*(Table4[Projected 
Year]=AJ$1)*(Table4[Projected 
Month]=AJ$2)))</f>
        <v>0</v>
      </c>
      <c r="AL32" s="160">
        <f>SUMPRODUCT(Table4[Rev. Based on PROB]*Table4[Expected CMR]*(Table4[Projected 
Year]=AJ$1)*(Table4[Projected 
Month]=AJ$2)*(Table4[Installation]=$B32))/MAX(1,AJ32)</f>
        <v>0</v>
      </c>
      <c r="AM32" s="30">
        <f t="shared" si="7"/>
        <v>0</v>
      </c>
      <c r="AN32" s="52">
        <f t="shared" si="11"/>
        <v>0</v>
      </c>
      <c r="AO32" s="53">
        <f t="shared" si="12"/>
        <v>0</v>
      </c>
      <c r="AP32" s="27">
        <f>SUMIFS(Table47[Rev. Based on PROB],Table47[Installation],$B32,Table47[Projected 
Year],AP$1,Table47[Monthly revenue],AP$2)</f>
        <v>0</v>
      </c>
      <c r="AQ32" s="159">
        <f>SUMPRODUCT(Table4[Probability]*Table4[Rev. Based on PROB]*(Table4[Installation]=$B32)*(Table4[Projected 
Year]=AP$1)*(Table4[Projected 
Month]=AP$2))/MAX(1,SUMPRODUCT(Table4[Rev. Based on PROB]*(Table4[Installation]=$B32)*(Table4[Projected 
Year]=AP$1)*(Table4[Projected 
Month]=AP$2)))</f>
        <v>0</v>
      </c>
      <c r="AR32" s="160">
        <f>SUMPRODUCT(Table4[Rev. Based on PROB]*Table4[Expected CMR]*(Table4[Projected 
Year]=AP$1)*(Table4[Projected 
Month]=AP$2)*(Table4[Installation]=$B32))/MAX(1,AP32)</f>
        <v>0</v>
      </c>
      <c r="AS32" s="27">
        <f>SUMIFS(Table47[Rev. Based on PROB],Table47[Installation],$B32,Table47[Projected 
Year],AS$1,Table47[Monthly revenue],AS$2)</f>
        <v>0</v>
      </c>
      <c r="AT32" s="159">
        <f>SUMPRODUCT(Table4[Probability]*Table4[Rev. Based on PROB]*(Table4[Installation]=$B32)*(Table4[Projected 
Year]=AS$1)*(Table4[Projected 
Month]=AS$2))/MAX(1,SUMPRODUCT(Table4[Rev. Based on PROB]*(Table4[Installation]=$B32)*(Table4[Projected 
Year]=AS$1)*(Table4[Projected 
Month]=AS$2)))</f>
        <v>0</v>
      </c>
      <c r="AU32" s="160">
        <f>SUMPRODUCT(Table4[Rev. Based on PROB]*Table4[Expected CMR]*(Table4[Projected 
Year]=AS$1)*(Table4[Projected 
Month]=AS$2)*(Table4[Installation]=$B32))/MAX(1,AS32)</f>
        <v>0</v>
      </c>
      <c r="AV32" s="27">
        <f>SUMIFS(Table47[Rev. Based on PROB],Table47[Installation],$B32,Table47[Projected 
Year],AV$1,Table47[Monthly revenue],AV$2)</f>
        <v>0</v>
      </c>
      <c r="AW32" s="159">
        <f>SUMPRODUCT(Table4[Probability]*Table4[Rev. Based on PROB]*(Table4[Installation]=$B32)*(Table4[Projected 
Year]=AV$1)*(Table4[Projected 
Month]=AV$2))/MAX(1,SUMPRODUCT(Table4[Rev. Based on PROB]*(Table4[Installation]=$B32)*(Table4[Projected 
Year]=AV$1)*(Table4[Projected 
Month]=AV$2)))</f>
        <v>0</v>
      </c>
      <c r="AX32" s="160">
        <f>SUMPRODUCT(Table4[Rev. Based on PROB]*Table4[Expected CMR]*(Table4[Projected 
Year]=AV$1)*(Table4[Projected 
Month]=AV$2)*(Table4[Installation]=$B32))/MAX(1,AV32)</f>
        <v>0</v>
      </c>
      <c r="AY32" s="27">
        <f>SUMIFS(Table47[Rev. Based on PROB],Table47[Installation],$B32,Table47[Projected 
Year],AY$1,Table47[Monthly revenue],AY$2)</f>
        <v>0</v>
      </c>
      <c r="AZ32" s="159">
        <f>SUMPRODUCT(Table4[Probability]*Table4[Rev. Based on PROB]*(Table4[Installation]=$B32)*(Table4[Projected 
Year]=AY$1)*(Table4[Projected 
Month]=AY$2))/MAX(1,SUMPRODUCT(Table4[Rev. Based on PROB]*(Table4[Installation]=$B32)*(Table4[Projected 
Year]=AY$1)*(Table4[Projected 
Month]=AY$2)))</f>
        <v>0</v>
      </c>
      <c r="BA32" s="160">
        <f>SUMPRODUCT(Table4[Rev. Based on PROB]*Table4[Expected CMR]*(Table4[Projected 
Year]=AY$1)*(Table4[Projected 
Month]=AY$2)*(Table4[Installation]=$B32))/MAX(1,AY32)</f>
        <v>0</v>
      </c>
      <c r="BB32" s="27">
        <f>SUMIFS(Table47[Rev. Based on PROB],Table47[Installation],$B32,Table47[Projected 
Year],BB$1,Table47[Monthly revenue],BB$2)</f>
        <v>0</v>
      </c>
      <c r="BC32" s="159">
        <f>SUMPRODUCT(Table4[Probability]*Table4[Rev. Based on PROB]*(Table4[Installation]=$B32)*(Table4[Projected 
Year]=BB$1)*(Table4[Projected 
Month]=BB$2))/MAX(1,SUMPRODUCT(Table4[Rev. Based on PROB]*(Table4[Installation]=$B32)*(Table4[Projected 
Year]=BB$1)*(Table4[Projected 
Month]=BB$2)))</f>
        <v>0</v>
      </c>
      <c r="BD32" s="160">
        <f>SUMPRODUCT(Table4[Rev. Based on PROB]*Table4[Expected CMR]*(Table4[Projected 
Year]=BB$1)*(Table4[Projected 
Month]=BB$2)*(Table4[Installation]=$B32))/MAX(1,BB32)</f>
        <v>0</v>
      </c>
      <c r="BE32" s="27">
        <f>SUMIFS(Table47[Rev. Based on PROB],Table47[Installation],$B32,Table47[Projected 
Year],BE$1,Table47[Monthly revenue],BE$2)</f>
        <v>0</v>
      </c>
      <c r="BF32" s="159">
        <f>SUMPRODUCT(Table4[Probability]*Table4[Rev. Based on PROB]*(Table4[Installation]=$B32)*(Table4[Projected 
Year]=BE$1)*(Table4[Projected 
Month]=BE$2))/MAX(1,SUMPRODUCT(Table4[Rev. Based on PROB]*(Table4[Installation]=$B32)*(Table4[Projected 
Year]=BE$1)*(Table4[Projected 
Month]=BE$2)))</f>
        <v>0</v>
      </c>
      <c r="BG32" s="160">
        <f>SUMPRODUCT(Table4[Rev. Based on PROB]*Table4[Expected CMR]*(Table4[Projected 
Year]=BE$1)*(Table4[Projected 
Month]=BE$2)*(Table4[Installation]=$B32))/MAX(1,BE32)</f>
        <v>0</v>
      </c>
      <c r="BH32" s="27">
        <f>SUMIFS(Table47[Rev. Based on PROB],Table47[Installation],$B32,Table47[Projected 
Year],BH$1,Table47[Monthly revenue],BH$2)</f>
        <v>0</v>
      </c>
      <c r="BI32" s="159">
        <f>SUMPRODUCT(Table4[Probability]*Table4[Rev. Based on PROB]*(Table4[Installation]=$B32)*(Table4[Projected 
Year]=BH$1)*(Table4[Projected 
Month]=BH$2))/MAX(1,SUMPRODUCT(Table4[Rev. Based on PROB]*(Table4[Installation]=$B32)*(Table4[Projected 
Year]=BH$1)*(Table4[Projected 
Month]=BH$2)))</f>
        <v>0</v>
      </c>
      <c r="BJ32" s="160">
        <f>SUMPRODUCT(Table4[Rev. Based on PROB]*Table4[Expected CMR]*(Table4[Projected 
Year]=BH$1)*(Table4[Projected 
Month]=BH$2)*(Table4[Installation]=$B32))/MAX(1,BH32)</f>
        <v>0</v>
      </c>
      <c r="BK32" s="27">
        <f>SUMIFS(Table47[Rev. Based on PROB],Table47[Installation],$B32,Table47[Projected 
Year],BK$1,Table47[Monthly revenue],BK$2)</f>
        <v>0</v>
      </c>
      <c r="BL32" s="159">
        <f>SUMPRODUCT(Table4[Probability]*Table4[Rev. Based on PROB]*(Table4[Installation]=$B32)*(Table4[Projected 
Year]=BK$1)*(Table4[Projected 
Month]=BK$2))/MAX(1,SUMPRODUCT(Table4[Rev. Based on PROB]*(Table4[Installation]=$B32)*(Table4[Projected 
Year]=BK$1)*(Table4[Projected 
Month]=BK$2)))</f>
        <v>0</v>
      </c>
      <c r="BM32" s="160">
        <f>SUMPRODUCT(Table4[Rev. Based on PROB]*Table4[Expected CMR]*(Table4[Projected 
Year]=BK$1)*(Table4[Projected 
Month]=BK$2)*(Table4[Installation]=$B32))/MAX(1,BK32)</f>
        <v>0</v>
      </c>
      <c r="BN32" s="27">
        <f>SUMIFS(Table47[Rev. Based on PROB],Table47[Installation],$B32,Table47[Projected 
Year],BN$1,Table47[Monthly revenue],BN$2)</f>
        <v>0</v>
      </c>
      <c r="BO32" s="159">
        <f>SUMPRODUCT(Table4[Probability]*Table4[Rev. Based on PROB]*(Table4[Installation]=$B32)*(Table4[Projected 
Year]=BN$1)*(Table4[Projected 
Month]=BN$2))/MAX(1,SUMPRODUCT(Table4[Rev. Based on PROB]*(Table4[Installation]=$B32)*(Table4[Projected 
Year]=BN$1)*(Table4[Projected 
Month]=BN$2)))</f>
        <v>0</v>
      </c>
      <c r="BP32" s="160">
        <f>SUMPRODUCT(Table4[Rev. Based on PROB]*Table4[Expected CMR]*(Table4[Projected 
Year]=BN$1)*(Table4[Projected 
Month]=BN$2)*(Table4[Installation]=$B32))/MAX(1,BN32)</f>
        <v>0</v>
      </c>
      <c r="BQ32" s="27">
        <f>SUMIFS(Table47[Rev. Based on PROB],Table47[Installation],$B32,Table47[Projected 
Year],BQ$1,Table47[Monthly revenue],BQ$2)</f>
        <v>0</v>
      </c>
      <c r="BR32" s="159">
        <f>SUMPRODUCT(Table4[Probability]*Table4[Rev. Based on PROB]*(Table4[Installation]=$B32)*(Table4[Projected 
Year]=BQ$1)*(Table4[Projected 
Month]=BQ$2))/MAX(1,SUMPRODUCT(Table4[Rev. Based on PROB]*(Table4[Installation]=$B32)*(Table4[Projected 
Year]=BQ$1)*(Table4[Projected 
Month]=BQ$2)))</f>
        <v>0</v>
      </c>
      <c r="BS32" s="160">
        <f>SUMPRODUCT(Table4[Rev. Based on PROB]*Table4[Expected CMR]*(Table4[Projected 
Year]=BQ$1)*(Table4[Projected 
Month]=BQ$2)*(Table4[Installation]=$B32))/MAX(1,BQ32)</f>
        <v>0</v>
      </c>
      <c r="BT32" s="27">
        <f>SUMIFS(Table47[Rev. Based on PROB],Table47[Installation],$B32,Table47[Projected 
Year],BT$1,Table47[Monthly revenue],BT$2)</f>
        <v>0</v>
      </c>
      <c r="BU32" s="159">
        <f>SUMPRODUCT(Table4[Probability]*Table4[Rev. Based on PROB]*(Table4[Installation]=$B32)*(Table4[Projected 
Year]=BT$1)*(Table4[Projected 
Month]=BT$2))/MAX(1,SUMPRODUCT(Table4[Rev. Based on PROB]*(Table4[Installation]=$B32)*(Table4[Projected 
Year]=BT$1)*(Table4[Projected 
Month]=BT$2)))</f>
        <v>0</v>
      </c>
      <c r="BV32" s="160">
        <f>SUMPRODUCT(Table4[Rev. Based on PROB]*Table4[Expected CMR]*(Table4[Projected 
Year]=BT$1)*(Table4[Projected 
Month]=BT$2)*(Table4[Installation]=$B32))/MAX(1,BT32)</f>
        <v>0</v>
      </c>
      <c r="BW32" s="27">
        <f>SUMIFS(Table47[Rev. Based on PROB],Table47[Installation],$B32,Table47[Projected 
Year],BW$1,Table47[Monthly revenue],BW$2)</f>
        <v>0</v>
      </c>
      <c r="BX32" s="159">
        <f>SUMPRODUCT(Table4[Probability]*Table4[Rev. Based on PROB]*(Table4[Installation]=$B32)*(Table4[Projected 
Year]=BW$1)*(Table4[Projected 
Month]=BW$2))/MAX(1,SUMPRODUCT(Table4[Rev. Based on PROB]*(Table4[Installation]=$B32)*(Table4[Projected 
Year]=BW$1)*(Table4[Projected 
Month]=BW$2)))</f>
        <v>0</v>
      </c>
      <c r="BY32" s="160">
        <f>SUMPRODUCT(Table4[Rev. Based on PROB]*Table4[Expected CMR]*(Table4[Projected 
Year]=BW$1)*(Table4[Projected 
Month]=BW$2)*(Table4[Installation]=$B32))/MAX(1,BW32)</f>
        <v>0</v>
      </c>
      <c r="BZ32" s="200"/>
      <c r="CA32" s="200"/>
      <c r="CB32" s="200"/>
      <c r="CC32" s="200"/>
      <c r="CD32" s="200"/>
      <c r="CE32" s="200"/>
      <c r="CF32" s="200"/>
      <c r="CG32" s="200"/>
      <c r="CH32" s="200"/>
      <c r="CI32" s="200"/>
      <c r="CJ32" s="200"/>
      <c r="CK32" s="200"/>
      <c r="CL32" s="200"/>
      <c r="CM32" s="200"/>
      <c r="CN32" s="200"/>
      <c r="CO32" s="200"/>
      <c r="CP32" s="200"/>
      <c r="CQ32" s="200"/>
      <c r="CR32" s="200"/>
      <c r="CS32" s="200"/>
      <c r="CT32" s="200"/>
      <c r="CU32" s="30">
        <f t="shared" si="0"/>
        <v>0</v>
      </c>
      <c r="CV32" s="52">
        <f t="shared" si="9"/>
        <v>0</v>
      </c>
      <c r="CW32" s="53">
        <f t="shared" si="10"/>
        <v>0</v>
      </c>
      <c r="CX32" s="29"/>
    </row>
    <row r="33" spans="1:102">
      <c r="A33" s="18"/>
      <c r="B33" s="20" t="s">
        <v>282</v>
      </c>
      <c r="C33" s="27">
        <f>SUMIFS(Table4[Rev. Based on PROB],Table4[Installation],$B33,Table4[Projected 
Year],C$1,Table4[Projected 
Month],C$2)</f>
        <v>0</v>
      </c>
      <c r="D33" s="159">
        <f>SUMPRODUCT(Table4[Probability]*Table4[Rev. Based on PROB]*(Table4[Installation]=$B33)*(Table4[Projected 
Year]=C$1)*(Table4[Projected 
Month]=C$2))/MAX(1,SUMPRODUCT(Table4[Rev. Based on PROB]*(Table4[Installation]=$B33)*(Table4[Projected 
Year]=C$1)*(Table4[Projected 
Month]=C$2)))</f>
        <v>0</v>
      </c>
      <c r="E33" s="160">
        <f>SUMPRODUCT(Table4[Rev. Based on PROB]*Table4[Expected CMR]*(Table4[Projected 
Year]=C$1)*(Table4[Projected 
Month]=C$2)*(Table4[Installation]=$B33))/MAX(1,C33)</f>
        <v>0</v>
      </c>
      <c r="F33" s="27">
        <f>SUMIFS(Table4[Rev. Based on PROB],Table4[Installation],$B33,Table4[Projected 
Year],F$1,Table4[Projected 
Month],F$2)</f>
        <v>0</v>
      </c>
      <c r="G33" s="159">
        <f>SUMPRODUCT(Table4[Probability]*Table4[Rev. Based on PROB]*(Table4[Installation]=$B33)*(Table4[Projected 
Year]=F$1)*(Table4[Projected 
Month]=F$2))/MAX(1,SUMPRODUCT(Table4[Rev. Based on PROB]*(Table4[Installation]=$B33)*(Table4[Projected 
Year]=F$1)*(Table4[Projected 
Month]=F$2)))</f>
        <v>0</v>
      </c>
      <c r="H33" s="160">
        <f>SUMPRODUCT(Table4[Rev. Based on PROB]*Table4[Expected CMR]*(Table4[Projected 
Year]=F$1)*(Table4[Projected 
Month]=F$2)*(Table4[Installation]=$B33))/MAX(1,F33)</f>
        <v>0</v>
      </c>
      <c r="I33" s="27">
        <f>SUMIFS(Table4[Rev. Based on PROB],Table4[Installation],$B33,Table4[Projected 
Year],I$1,Table4[Projected 
Month],I$2)</f>
        <v>0</v>
      </c>
      <c r="J33" s="159">
        <f>SUMPRODUCT(Table4[Probability]*Table4[Rev. Based on PROB]*(Table4[Installation]=$B33)*(Table4[Projected 
Year]=I$1)*(Table4[Projected 
Month]=I$2))/MAX(1,SUMPRODUCT(Table4[Rev. Based on PROB]*(Table4[Installation]=$B33)*(Table4[Projected 
Year]=I$1)*(Table4[Projected 
Month]=I$2)))</f>
        <v>0</v>
      </c>
      <c r="K33" s="160">
        <f>SUMPRODUCT(Table4[Rev. Based on PROB]*Table4[Expected CMR]*(Table4[Projected 
Year]=I$1)*(Table4[Projected 
Month]=I$2)*(Table4[Installation]=$B33))/MAX(1,I33)</f>
        <v>0</v>
      </c>
      <c r="L33" s="27">
        <f>SUMIFS(Table4[Rev. Based on PROB],Table4[Installation],$B33,Table4[Projected 
Year],L$1,Table4[Projected 
Month],L$2)</f>
        <v>0</v>
      </c>
      <c r="M33" s="159">
        <f>SUMPRODUCT(Table4[Probability]*Table4[Rev. Based on PROB]*(Table4[Installation]=$B33)*(Table4[Projected 
Year]=L$1)*(Table4[Projected 
Month]=L$2))/MAX(1,SUMPRODUCT(Table4[Rev. Based on PROB]*(Table4[Installation]=$B33)*(Table4[Projected 
Year]=L$1)*(Table4[Projected 
Month]=L$2)))</f>
        <v>0</v>
      </c>
      <c r="N33" s="160">
        <f>SUMPRODUCT(Table4[Rev. Based on PROB]*Table4[Expected CMR]*(Table4[Projected 
Year]=L$1)*(Table4[Projected 
Month]=L$2)*(Table4[Installation]=$B33))/MAX(1,L33)</f>
        <v>0</v>
      </c>
      <c r="O33" s="27">
        <f>SUMIFS(Table4[Rev. Based on PROB],Table4[Installation],$B33,Table4[Projected 
Year],O$1,Table4[Projected 
Month],O$2)</f>
        <v>0</v>
      </c>
      <c r="P33" s="159">
        <f>SUMPRODUCT(Table4[Probability]*Table4[Rev. Based on PROB]*(Table4[Installation]=$B33)*(Table4[Projected 
Year]=O$1)*(Table4[Projected 
Month]=O$2))/MAX(1,SUMPRODUCT(Table4[Rev. Based on PROB]*(Table4[Installation]=$B33)*(Table4[Projected 
Year]=O$1)*(Table4[Projected 
Month]=O$2)))</f>
        <v>0</v>
      </c>
      <c r="Q33" s="160">
        <f>SUMPRODUCT(Table4[Rev. Based on PROB]*Table4[Expected CMR]*(Table4[Projected 
Year]=O$1)*(Table4[Projected 
Month]=O$2)*(Table4[Installation]=$B33))/MAX(1,O33)</f>
        <v>0</v>
      </c>
      <c r="R33" s="27">
        <f>SUMIFS(Table4[Rev. Based on PROB],Table4[Installation],$B33,Table4[Projected 
Year],R$1,Table4[Projected 
Month],R$2)</f>
        <v>0</v>
      </c>
      <c r="S33" s="159">
        <f>SUMPRODUCT(Table4[Probability]*Table4[Rev. Based on PROB]*(Table4[Installation]=$B33)*(Table4[Projected 
Year]=R$1)*(Table4[Projected 
Month]=R$2))/MAX(1,SUMPRODUCT(Table4[Rev. Based on PROB]*(Table4[Installation]=$B33)*(Table4[Projected 
Year]=R$1)*(Table4[Projected 
Month]=R$2)))</f>
        <v>0</v>
      </c>
      <c r="T33" s="160">
        <f>SUMPRODUCT(Table4[Rev. Based on PROB]*Table4[Expected CMR]*(Table4[Projected 
Year]=R$1)*(Table4[Projected 
Month]=R$2)*(Table4[Installation]=$B33))/MAX(1,R33)</f>
        <v>0</v>
      </c>
      <c r="U33" s="27">
        <f>SUMIFS(Table4[Rev. Based on PROB],Table4[Installation],$B33,Table4[Projected 
Year],U$1,Table4[Projected 
Month],U$2)</f>
        <v>0</v>
      </c>
      <c r="V33" s="159">
        <f>SUMPRODUCT(Table4[Probability]*Table4[Rev. Based on PROB]*(Table4[Installation]=$B33)*(Table4[Projected 
Year]=U$1)*(Table4[Projected 
Month]=U$2))/MAX(1,SUMPRODUCT(Table4[Rev. Based on PROB]*(Table4[Installation]=$B33)*(Table4[Projected 
Year]=U$1)*(Table4[Projected 
Month]=U$2)))</f>
        <v>0</v>
      </c>
      <c r="W33" s="160">
        <f>SUMPRODUCT(Table4[Rev. Based on PROB]*Table4[Expected CMR]*(Table4[Projected 
Year]=U$1)*(Table4[Projected 
Month]=U$2)*(Table4[Installation]=$B33))/MAX(1,U33)</f>
        <v>0</v>
      </c>
      <c r="X33" s="27">
        <f>SUMIFS(Table4[Rev. Based on PROB],Table4[Installation],$B33,Table4[Projected 
Year],X$1,Table4[Projected 
Month],X$2)</f>
        <v>0</v>
      </c>
      <c r="Y33" s="159">
        <f>SUMPRODUCT(Table4[Probability]*Table4[Rev. Based on PROB]*(Table4[Installation]=$B33)*(Table4[Projected 
Year]=X$1)*(Table4[Projected 
Month]=X$2))/MAX(1,SUMPRODUCT(Table4[Rev. Based on PROB]*(Table4[Installation]=$B33)*(Table4[Projected 
Year]=X$1)*(Table4[Projected 
Month]=X$2)))</f>
        <v>0</v>
      </c>
      <c r="Z33" s="160">
        <f>SUMPRODUCT(Table4[Rev. Based on PROB]*Table4[Expected CMR]*(Table4[Projected 
Year]=X$1)*(Table4[Projected 
Month]=X$2)*(Table4[Installation]=$B33))/MAX(1,X33)</f>
        <v>0</v>
      </c>
      <c r="AA33" s="27">
        <f>SUMIFS(Table4[Rev. Based on PROB],Table4[Installation],$B33,Table4[Projected 
Year],AA$1,Table4[Projected 
Month],AA$2)</f>
        <v>0</v>
      </c>
      <c r="AB33" s="159">
        <f>SUMPRODUCT(Table4[Probability]*Table4[Rev. Based on PROB]*(Table4[Installation]=$B33)*(Table4[Projected 
Year]=AA$1)*(Table4[Projected 
Month]=AA$2))/MAX(1,SUMPRODUCT(Table4[Rev. Based on PROB]*(Table4[Installation]=$B33)*(Table4[Projected 
Year]=AA$1)*(Table4[Projected 
Month]=AA$2)))</f>
        <v>0</v>
      </c>
      <c r="AC33" s="160">
        <f>SUMPRODUCT(Table4[Rev. Based on PROB]*Table4[Expected CMR]*(Table4[Projected 
Year]=AA$1)*(Table4[Projected 
Month]=AA$2)*(Table4[Installation]=$B33))/MAX(1,AA33)</f>
        <v>0</v>
      </c>
      <c r="AD33" s="27">
        <f>SUMIFS(Table4[Rev. Based on PROB],Table4[Installation],$B33,Table4[Projected 
Year],AD$1,Table4[Projected 
Month],AD$2)</f>
        <v>0</v>
      </c>
      <c r="AE33" s="159">
        <f>SUMPRODUCT(Table4[Probability]*Table4[Rev. Based on PROB]*(Table4[Installation]=$B33)*(Table4[Projected 
Year]=AD$1)*(Table4[Projected 
Month]=AD$2))/MAX(1,SUMPRODUCT(Table4[Rev. Based on PROB]*(Table4[Installation]=$B33)*(Table4[Projected 
Year]=AD$1)*(Table4[Projected 
Month]=AD$2)))</f>
        <v>0</v>
      </c>
      <c r="AF33" s="160">
        <f>SUMPRODUCT(Table4[Rev. Based on PROB]*Table4[Expected CMR]*(Table4[Projected 
Year]=AD$1)*(Table4[Projected 
Month]=AD$2)*(Table4[Installation]=$B33))/MAX(1,AD33)</f>
        <v>0</v>
      </c>
      <c r="AG33" s="27">
        <f>SUMIFS(Table4[Rev. Based on PROB],Table4[Installation],$B33,Table4[Projected 
Year],AG$1,Table4[Projected 
Month],AG$2)</f>
        <v>0</v>
      </c>
      <c r="AH33" s="159">
        <f>SUMPRODUCT(Table4[Probability]*Table4[Rev. Based on PROB]*(Table4[Installation]=$B33)*(Table4[Projected 
Year]=AG$1)*(Table4[Projected 
Month]=AG$2))/MAX(1,SUMPRODUCT(Table4[Rev. Based on PROB]*(Table4[Installation]=$B33)*(Table4[Projected 
Year]=AG$1)*(Table4[Projected 
Month]=AG$2)))</f>
        <v>0</v>
      </c>
      <c r="AI33" s="160">
        <f>SUMPRODUCT(Table4[Rev. Based on PROB]*Table4[Expected CMR]*(Table4[Projected 
Year]=AG$1)*(Table4[Projected 
Month]=AG$2)*(Table4[Installation]=$B33))/MAX(1,AG33)</f>
        <v>0</v>
      </c>
      <c r="AJ33" s="27">
        <f>SUMIFS(Table4[Rev. Based on PROB],Table4[Installation],$B33,Table4[Projected 
Year],AJ$1,Table4[Projected 
Month],AJ$2)</f>
        <v>0</v>
      </c>
      <c r="AK33" s="159">
        <f>SUMPRODUCT(Table4[Probability]*Table4[Rev. Based on PROB]*(Table4[Installation]=$B33)*(Table4[Projected 
Year]=AJ$1)*(Table4[Projected 
Month]=AJ$2))/MAX(1,SUMPRODUCT(Table4[Rev. Based on PROB]*(Table4[Installation]=$B33)*(Table4[Projected 
Year]=AJ$1)*(Table4[Projected 
Month]=AJ$2)))</f>
        <v>0</v>
      </c>
      <c r="AL33" s="160">
        <f>SUMPRODUCT(Table4[Rev. Based on PROB]*Table4[Expected CMR]*(Table4[Projected 
Year]=AJ$1)*(Table4[Projected 
Month]=AJ$2)*(Table4[Installation]=$B33))/MAX(1,AJ33)</f>
        <v>0</v>
      </c>
      <c r="AM33" s="30">
        <f t="shared" si="7"/>
        <v>0</v>
      </c>
      <c r="AN33" s="52">
        <f t="shared" si="11"/>
        <v>0</v>
      </c>
      <c r="AO33" s="53">
        <f t="shared" si="12"/>
        <v>0</v>
      </c>
      <c r="AP33" s="27">
        <f>SUMIFS(Table47[Rev. Based on PROB],Table47[Installation],$B33,Table47[Projected 
Year],AP$1,Table47[Monthly revenue],AP$2)</f>
        <v>0</v>
      </c>
      <c r="AQ33" s="159">
        <f>SUMPRODUCT(Table4[Probability]*Table4[Rev. Based on PROB]*(Table4[Installation]=$B33)*(Table4[Projected 
Year]=AP$1)*(Table4[Projected 
Month]=AP$2))/MAX(1,SUMPRODUCT(Table4[Rev. Based on PROB]*(Table4[Installation]=$B33)*(Table4[Projected 
Year]=AP$1)*(Table4[Projected 
Month]=AP$2)))</f>
        <v>0</v>
      </c>
      <c r="AR33" s="160">
        <f>SUMPRODUCT(Table4[Rev. Based on PROB]*Table4[Expected CMR]*(Table4[Projected 
Year]=AP$1)*(Table4[Projected 
Month]=AP$2)*(Table4[Installation]=$B33))/MAX(1,AP33)</f>
        <v>0</v>
      </c>
      <c r="AS33" s="27">
        <f>SUMIFS(Table47[Rev. Based on PROB],Table47[Installation],$B33,Table47[Projected 
Year],AS$1,Table47[Monthly revenue],AS$2)</f>
        <v>0</v>
      </c>
      <c r="AT33" s="159">
        <f>SUMPRODUCT(Table4[Probability]*Table4[Rev. Based on PROB]*(Table4[Installation]=$B33)*(Table4[Projected 
Year]=AS$1)*(Table4[Projected 
Month]=AS$2))/MAX(1,SUMPRODUCT(Table4[Rev. Based on PROB]*(Table4[Installation]=$B33)*(Table4[Projected 
Year]=AS$1)*(Table4[Projected 
Month]=AS$2)))</f>
        <v>0</v>
      </c>
      <c r="AU33" s="160">
        <f>SUMPRODUCT(Table4[Rev. Based on PROB]*Table4[Expected CMR]*(Table4[Projected 
Year]=AS$1)*(Table4[Projected 
Month]=AS$2)*(Table4[Installation]=$B33))/MAX(1,AS33)</f>
        <v>0</v>
      </c>
      <c r="AV33" s="27">
        <f>SUMIFS(Table47[Rev. Based on PROB],Table47[Installation],$B33,Table47[Projected 
Year],AV$1,Table47[Monthly revenue],AV$2)</f>
        <v>0</v>
      </c>
      <c r="AW33" s="159">
        <f>SUMPRODUCT(Table4[Probability]*Table4[Rev. Based on PROB]*(Table4[Installation]=$B33)*(Table4[Projected 
Year]=AV$1)*(Table4[Projected 
Month]=AV$2))/MAX(1,SUMPRODUCT(Table4[Rev. Based on PROB]*(Table4[Installation]=$B33)*(Table4[Projected 
Year]=AV$1)*(Table4[Projected 
Month]=AV$2)))</f>
        <v>0</v>
      </c>
      <c r="AX33" s="160">
        <f>SUMPRODUCT(Table4[Rev. Based on PROB]*Table4[Expected CMR]*(Table4[Projected 
Year]=AV$1)*(Table4[Projected 
Month]=AV$2)*(Table4[Installation]=$B33))/MAX(1,AV33)</f>
        <v>0</v>
      </c>
      <c r="AY33" s="27">
        <f>SUMIFS(Table47[Rev. Based on PROB],Table47[Installation],$B33,Table47[Projected 
Year],AY$1,Table47[Monthly revenue],AY$2)</f>
        <v>0</v>
      </c>
      <c r="AZ33" s="159">
        <f>SUMPRODUCT(Table4[Probability]*Table4[Rev. Based on PROB]*(Table4[Installation]=$B33)*(Table4[Projected 
Year]=AY$1)*(Table4[Projected 
Month]=AY$2))/MAX(1,SUMPRODUCT(Table4[Rev. Based on PROB]*(Table4[Installation]=$B33)*(Table4[Projected 
Year]=AY$1)*(Table4[Projected 
Month]=AY$2)))</f>
        <v>0</v>
      </c>
      <c r="BA33" s="160">
        <f>SUMPRODUCT(Table4[Rev. Based on PROB]*Table4[Expected CMR]*(Table4[Projected 
Year]=AY$1)*(Table4[Projected 
Month]=AY$2)*(Table4[Installation]=$B33))/MAX(1,AY33)</f>
        <v>0</v>
      </c>
      <c r="BB33" s="27">
        <f>SUMIFS(Table47[Rev. Based on PROB],Table47[Installation],$B33,Table47[Projected 
Year],BB$1,Table47[Monthly revenue],BB$2)</f>
        <v>0</v>
      </c>
      <c r="BC33" s="159">
        <f>SUMPRODUCT(Table4[Probability]*Table4[Rev. Based on PROB]*(Table4[Installation]=$B33)*(Table4[Projected 
Year]=BB$1)*(Table4[Projected 
Month]=BB$2))/MAX(1,SUMPRODUCT(Table4[Rev. Based on PROB]*(Table4[Installation]=$B33)*(Table4[Projected 
Year]=BB$1)*(Table4[Projected 
Month]=BB$2)))</f>
        <v>0</v>
      </c>
      <c r="BD33" s="160">
        <f>SUMPRODUCT(Table4[Rev. Based on PROB]*Table4[Expected CMR]*(Table4[Projected 
Year]=BB$1)*(Table4[Projected 
Month]=BB$2)*(Table4[Installation]=$B33))/MAX(1,BB33)</f>
        <v>0</v>
      </c>
      <c r="BE33" s="27">
        <f>SUMIFS(Table47[Rev. Based on PROB],Table47[Installation],$B33,Table47[Projected 
Year],BE$1,Table47[Monthly revenue],BE$2)</f>
        <v>0</v>
      </c>
      <c r="BF33" s="159">
        <f>SUMPRODUCT(Table4[Probability]*Table4[Rev. Based on PROB]*(Table4[Installation]=$B33)*(Table4[Projected 
Year]=BE$1)*(Table4[Projected 
Month]=BE$2))/MAX(1,SUMPRODUCT(Table4[Rev. Based on PROB]*(Table4[Installation]=$B33)*(Table4[Projected 
Year]=BE$1)*(Table4[Projected 
Month]=BE$2)))</f>
        <v>0</v>
      </c>
      <c r="BG33" s="160">
        <f>SUMPRODUCT(Table4[Rev. Based on PROB]*Table4[Expected CMR]*(Table4[Projected 
Year]=BE$1)*(Table4[Projected 
Month]=BE$2)*(Table4[Installation]=$B33))/MAX(1,BE33)</f>
        <v>0</v>
      </c>
      <c r="BH33" s="27">
        <f>SUMIFS(Table47[Rev. Based on PROB],Table47[Installation],$B33,Table47[Projected 
Year],BH$1,Table47[Monthly revenue],BH$2)</f>
        <v>0</v>
      </c>
      <c r="BI33" s="159">
        <f>SUMPRODUCT(Table4[Probability]*Table4[Rev. Based on PROB]*(Table4[Installation]=$B33)*(Table4[Projected 
Year]=BH$1)*(Table4[Projected 
Month]=BH$2))/MAX(1,SUMPRODUCT(Table4[Rev. Based on PROB]*(Table4[Installation]=$B33)*(Table4[Projected 
Year]=BH$1)*(Table4[Projected 
Month]=BH$2)))</f>
        <v>0</v>
      </c>
      <c r="BJ33" s="160">
        <f>SUMPRODUCT(Table4[Rev. Based on PROB]*Table4[Expected CMR]*(Table4[Projected 
Year]=BH$1)*(Table4[Projected 
Month]=BH$2)*(Table4[Installation]=$B33))/MAX(1,BH33)</f>
        <v>0</v>
      </c>
      <c r="BK33" s="27">
        <f>SUMIFS(Table47[Rev. Based on PROB],Table47[Installation],$B33,Table47[Projected 
Year],BK$1,Table47[Monthly revenue],BK$2)</f>
        <v>0</v>
      </c>
      <c r="BL33" s="159">
        <f>SUMPRODUCT(Table4[Probability]*Table4[Rev. Based on PROB]*(Table4[Installation]=$B33)*(Table4[Projected 
Year]=BK$1)*(Table4[Projected 
Month]=BK$2))/MAX(1,SUMPRODUCT(Table4[Rev. Based on PROB]*(Table4[Installation]=$B33)*(Table4[Projected 
Year]=BK$1)*(Table4[Projected 
Month]=BK$2)))</f>
        <v>0</v>
      </c>
      <c r="BM33" s="160">
        <f>SUMPRODUCT(Table4[Rev. Based on PROB]*Table4[Expected CMR]*(Table4[Projected 
Year]=BK$1)*(Table4[Projected 
Month]=BK$2)*(Table4[Installation]=$B33))/MAX(1,BK33)</f>
        <v>0</v>
      </c>
      <c r="BN33" s="27">
        <f>SUMIFS(Table47[Rev. Based on PROB],Table47[Installation],$B33,Table47[Projected 
Year],BN$1,Table47[Monthly revenue],BN$2)</f>
        <v>0</v>
      </c>
      <c r="BO33" s="159">
        <f>SUMPRODUCT(Table4[Probability]*Table4[Rev. Based on PROB]*(Table4[Installation]=$B33)*(Table4[Projected 
Year]=BN$1)*(Table4[Projected 
Month]=BN$2))/MAX(1,SUMPRODUCT(Table4[Rev. Based on PROB]*(Table4[Installation]=$B33)*(Table4[Projected 
Year]=BN$1)*(Table4[Projected 
Month]=BN$2)))</f>
        <v>0</v>
      </c>
      <c r="BP33" s="160">
        <f>SUMPRODUCT(Table4[Rev. Based on PROB]*Table4[Expected CMR]*(Table4[Projected 
Year]=BN$1)*(Table4[Projected 
Month]=BN$2)*(Table4[Installation]=$B33))/MAX(1,BN33)</f>
        <v>0</v>
      </c>
      <c r="BQ33" s="27">
        <f>SUMIFS(Table47[Rev. Based on PROB],Table47[Installation],$B33,Table47[Projected 
Year],BQ$1,Table47[Monthly revenue],BQ$2)</f>
        <v>0</v>
      </c>
      <c r="BR33" s="159">
        <f>SUMPRODUCT(Table4[Probability]*Table4[Rev. Based on PROB]*(Table4[Installation]=$B33)*(Table4[Projected 
Year]=BQ$1)*(Table4[Projected 
Month]=BQ$2))/MAX(1,SUMPRODUCT(Table4[Rev. Based on PROB]*(Table4[Installation]=$B33)*(Table4[Projected 
Year]=BQ$1)*(Table4[Projected 
Month]=BQ$2)))</f>
        <v>0</v>
      </c>
      <c r="BS33" s="160">
        <f>SUMPRODUCT(Table4[Rev. Based on PROB]*Table4[Expected CMR]*(Table4[Projected 
Year]=BQ$1)*(Table4[Projected 
Month]=BQ$2)*(Table4[Installation]=$B33))/MAX(1,BQ33)</f>
        <v>0</v>
      </c>
      <c r="BT33" s="27">
        <f>SUMIFS(Table47[Rev. Based on PROB],Table47[Installation],$B33,Table47[Projected 
Year],BT$1,Table47[Monthly revenue],BT$2)</f>
        <v>0</v>
      </c>
      <c r="BU33" s="159">
        <f>SUMPRODUCT(Table4[Probability]*Table4[Rev. Based on PROB]*(Table4[Installation]=$B33)*(Table4[Projected 
Year]=BT$1)*(Table4[Projected 
Month]=BT$2))/MAX(1,SUMPRODUCT(Table4[Rev. Based on PROB]*(Table4[Installation]=$B33)*(Table4[Projected 
Year]=BT$1)*(Table4[Projected 
Month]=BT$2)))</f>
        <v>0</v>
      </c>
      <c r="BV33" s="160">
        <f>SUMPRODUCT(Table4[Rev. Based on PROB]*Table4[Expected CMR]*(Table4[Projected 
Year]=BT$1)*(Table4[Projected 
Month]=BT$2)*(Table4[Installation]=$B33))/MAX(1,BT33)</f>
        <v>0</v>
      </c>
      <c r="BW33" s="27">
        <f>SUMIFS(Table47[Rev. Based on PROB],Table47[Installation],$B33,Table47[Projected 
Year],BW$1,Table47[Monthly revenue],BW$2)</f>
        <v>0</v>
      </c>
      <c r="BX33" s="159">
        <f>SUMPRODUCT(Table4[Probability]*Table4[Rev. Based on PROB]*(Table4[Installation]=$B33)*(Table4[Projected 
Year]=BW$1)*(Table4[Projected 
Month]=BW$2))/MAX(1,SUMPRODUCT(Table4[Rev. Based on PROB]*(Table4[Installation]=$B33)*(Table4[Projected 
Year]=BW$1)*(Table4[Projected 
Month]=BW$2)))</f>
        <v>0</v>
      </c>
      <c r="BY33" s="160">
        <f>SUMPRODUCT(Table4[Rev. Based on PROB]*Table4[Expected CMR]*(Table4[Projected 
Year]=BW$1)*(Table4[Projected 
Month]=BW$2)*(Table4[Installation]=$B33))/MAX(1,BW33)</f>
        <v>0</v>
      </c>
      <c r="BZ33" s="200"/>
      <c r="CA33" s="200"/>
      <c r="CB33" s="200"/>
      <c r="CC33" s="200"/>
      <c r="CD33" s="200"/>
      <c r="CE33" s="200"/>
      <c r="CF33" s="200"/>
      <c r="CG33" s="200"/>
      <c r="CH33" s="200"/>
      <c r="CI33" s="200"/>
      <c r="CJ33" s="200"/>
      <c r="CK33" s="200"/>
      <c r="CL33" s="200"/>
      <c r="CM33" s="200"/>
      <c r="CN33" s="200"/>
      <c r="CO33" s="200"/>
      <c r="CP33" s="200"/>
      <c r="CQ33" s="200"/>
      <c r="CR33" s="200"/>
      <c r="CS33" s="200"/>
      <c r="CT33" s="200"/>
      <c r="CU33" s="30">
        <f t="shared" si="0"/>
        <v>0</v>
      </c>
      <c r="CV33" s="52">
        <f t="shared" si="9"/>
        <v>0</v>
      </c>
      <c r="CW33" s="53">
        <f t="shared" si="10"/>
        <v>0</v>
      </c>
      <c r="CX33" s="29"/>
    </row>
    <row r="34" spans="1:102">
      <c r="A34" s="18"/>
      <c r="B34" s="20" t="s">
        <v>487</v>
      </c>
      <c r="C34" s="27">
        <f>SUMIFS(Table4[Rev. Based on PROB],Table4[Installation],$B34,Table4[Projected 
Year],C$1,Table4[Projected 
Month],C$2)</f>
        <v>0</v>
      </c>
      <c r="D34" s="159">
        <f>SUMPRODUCT(Table4[Probability]*Table4[Rev. Based on PROB]*(Table4[Installation]=$B34)*(Table4[Projected 
Year]=C$1)*(Table4[Projected 
Month]=C$2))/MAX(1,SUMPRODUCT(Table4[Rev. Based on PROB]*(Table4[Installation]=$B34)*(Table4[Projected 
Year]=C$1)*(Table4[Projected 
Month]=C$2)))</f>
        <v>0</v>
      </c>
      <c r="E34" s="160">
        <f>SUMPRODUCT(Table4[Rev. Based on PROB]*Table4[Expected CMR]*(Table4[Projected 
Year]=C$1)*(Table4[Projected 
Month]=C$2)*(Table4[Installation]=$B34))/MAX(1,C34)</f>
        <v>0</v>
      </c>
      <c r="F34" s="27">
        <f>SUMIFS(Table4[Rev. Based on PROB],Table4[Installation],$B34,Table4[Projected 
Year],F$1,Table4[Projected 
Month],F$2)</f>
        <v>0</v>
      </c>
      <c r="G34" s="159">
        <f>SUMPRODUCT(Table4[Probability]*Table4[Rev. Based on PROB]*(Table4[Installation]=$B34)*(Table4[Projected 
Year]=F$1)*(Table4[Projected 
Month]=F$2))/MAX(1,SUMPRODUCT(Table4[Rev. Based on PROB]*(Table4[Installation]=$B34)*(Table4[Projected 
Year]=F$1)*(Table4[Projected 
Month]=F$2)))</f>
        <v>0</v>
      </c>
      <c r="H34" s="160">
        <f>SUMPRODUCT(Table4[Rev. Based on PROB]*Table4[Expected CMR]*(Table4[Projected 
Year]=F$1)*(Table4[Projected 
Month]=F$2)*(Table4[Installation]=$B34))/MAX(1,F34)</f>
        <v>0</v>
      </c>
      <c r="I34" s="27">
        <f>SUMIFS(Table4[Rev. Based on PROB],Table4[Installation],$B34,Table4[Projected 
Year],I$1,Table4[Projected 
Month],I$2)</f>
        <v>0</v>
      </c>
      <c r="J34" s="159">
        <f>SUMPRODUCT(Table4[Probability]*Table4[Rev. Based on PROB]*(Table4[Installation]=$B34)*(Table4[Projected 
Year]=I$1)*(Table4[Projected 
Month]=I$2))/MAX(1,SUMPRODUCT(Table4[Rev. Based on PROB]*(Table4[Installation]=$B34)*(Table4[Projected 
Year]=I$1)*(Table4[Projected 
Month]=I$2)))</f>
        <v>0</v>
      </c>
      <c r="K34" s="160">
        <f>SUMPRODUCT(Table4[Rev. Based on PROB]*Table4[Expected CMR]*(Table4[Projected 
Year]=I$1)*(Table4[Projected 
Month]=I$2)*(Table4[Installation]=$B34))/MAX(1,I34)</f>
        <v>0</v>
      </c>
      <c r="L34" s="27">
        <f>SUMIFS(Table4[Rev. Based on PROB],Table4[Installation],$B34,Table4[Projected 
Year],L$1,Table4[Projected 
Month],L$2)</f>
        <v>0</v>
      </c>
      <c r="M34" s="159">
        <f>SUMPRODUCT(Table4[Probability]*Table4[Rev. Based on PROB]*(Table4[Installation]=$B34)*(Table4[Projected 
Year]=L$1)*(Table4[Projected 
Month]=L$2))/MAX(1,SUMPRODUCT(Table4[Rev. Based on PROB]*(Table4[Installation]=$B34)*(Table4[Projected 
Year]=L$1)*(Table4[Projected 
Month]=L$2)))</f>
        <v>0</v>
      </c>
      <c r="N34" s="160">
        <f>SUMPRODUCT(Table4[Rev. Based on PROB]*Table4[Expected CMR]*(Table4[Projected 
Year]=L$1)*(Table4[Projected 
Month]=L$2)*(Table4[Installation]=$B34))/MAX(1,L34)</f>
        <v>0</v>
      </c>
      <c r="O34" s="27">
        <f>SUMIFS(Table4[Rev. Based on PROB],Table4[Installation],$B34,Table4[Projected 
Year],O$1,Table4[Projected 
Month],O$2)</f>
        <v>0</v>
      </c>
      <c r="P34" s="159">
        <f>SUMPRODUCT(Table4[Probability]*Table4[Rev. Based on PROB]*(Table4[Installation]=$B34)*(Table4[Projected 
Year]=O$1)*(Table4[Projected 
Month]=O$2))/MAX(1,SUMPRODUCT(Table4[Rev. Based on PROB]*(Table4[Installation]=$B34)*(Table4[Projected 
Year]=O$1)*(Table4[Projected 
Month]=O$2)))</f>
        <v>0</v>
      </c>
      <c r="Q34" s="160">
        <f>SUMPRODUCT(Table4[Rev. Based on PROB]*Table4[Expected CMR]*(Table4[Projected 
Year]=O$1)*(Table4[Projected 
Month]=O$2)*(Table4[Installation]=$B34))/MAX(1,O34)</f>
        <v>0</v>
      </c>
      <c r="R34" s="27">
        <f>SUMIFS(Table4[Rev. Based on PROB],Table4[Installation],$B34,Table4[Projected 
Year],R$1,Table4[Projected 
Month],R$2)</f>
        <v>0</v>
      </c>
      <c r="S34" s="159">
        <f>SUMPRODUCT(Table4[Probability]*Table4[Rev. Based on PROB]*(Table4[Installation]=$B34)*(Table4[Projected 
Year]=R$1)*(Table4[Projected 
Month]=R$2))/MAX(1,SUMPRODUCT(Table4[Rev. Based on PROB]*(Table4[Installation]=$B34)*(Table4[Projected 
Year]=R$1)*(Table4[Projected 
Month]=R$2)))</f>
        <v>0</v>
      </c>
      <c r="T34" s="160">
        <f>SUMPRODUCT(Table4[Rev. Based on PROB]*Table4[Expected CMR]*(Table4[Projected 
Year]=R$1)*(Table4[Projected 
Month]=R$2)*(Table4[Installation]=$B34))/MAX(1,R34)</f>
        <v>0</v>
      </c>
      <c r="U34" s="27">
        <f>SUMIFS(Table4[Rev. Based on PROB],Table4[Installation],$B34,Table4[Projected 
Year],U$1,Table4[Projected 
Month],U$2)</f>
        <v>0</v>
      </c>
      <c r="V34" s="159">
        <f>SUMPRODUCT(Table4[Probability]*Table4[Rev. Based on PROB]*(Table4[Installation]=$B34)*(Table4[Projected 
Year]=U$1)*(Table4[Projected 
Month]=U$2))/MAX(1,SUMPRODUCT(Table4[Rev. Based on PROB]*(Table4[Installation]=$B34)*(Table4[Projected 
Year]=U$1)*(Table4[Projected 
Month]=U$2)))</f>
        <v>0</v>
      </c>
      <c r="W34" s="160">
        <f>SUMPRODUCT(Table4[Rev. Based on PROB]*Table4[Expected CMR]*(Table4[Projected 
Year]=U$1)*(Table4[Projected 
Month]=U$2)*(Table4[Installation]=$B34))/MAX(1,U34)</f>
        <v>0</v>
      </c>
      <c r="X34" s="27">
        <f>SUMIFS(Table4[Rev. Based on PROB],Table4[Installation],$B34,Table4[Projected 
Year],X$1,Table4[Projected 
Month],X$2)</f>
        <v>0</v>
      </c>
      <c r="Y34" s="159">
        <f>SUMPRODUCT(Table4[Probability]*Table4[Rev. Based on PROB]*(Table4[Installation]=$B34)*(Table4[Projected 
Year]=X$1)*(Table4[Projected 
Month]=X$2))/MAX(1,SUMPRODUCT(Table4[Rev. Based on PROB]*(Table4[Installation]=$B34)*(Table4[Projected 
Year]=X$1)*(Table4[Projected 
Month]=X$2)))</f>
        <v>0</v>
      </c>
      <c r="Z34" s="160">
        <f>SUMPRODUCT(Table4[Rev. Based on PROB]*Table4[Expected CMR]*(Table4[Projected 
Year]=X$1)*(Table4[Projected 
Month]=X$2)*(Table4[Installation]=$B34))/MAX(1,X34)</f>
        <v>0</v>
      </c>
      <c r="AA34" s="27">
        <f>SUMIFS(Table4[Rev. Based on PROB],Table4[Installation],$B34,Table4[Projected 
Year],AA$1,Table4[Projected 
Month],AA$2)</f>
        <v>0</v>
      </c>
      <c r="AB34" s="159">
        <f>SUMPRODUCT(Table4[Probability]*Table4[Rev. Based on PROB]*(Table4[Installation]=$B34)*(Table4[Projected 
Year]=AA$1)*(Table4[Projected 
Month]=AA$2))/MAX(1,SUMPRODUCT(Table4[Rev. Based on PROB]*(Table4[Installation]=$B34)*(Table4[Projected 
Year]=AA$1)*(Table4[Projected 
Month]=AA$2)))</f>
        <v>0</v>
      </c>
      <c r="AC34" s="160">
        <f>SUMPRODUCT(Table4[Rev. Based on PROB]*Table4[Expected CMR]*(Table4[Projected 
Year]=AA$1)*(Table4[Projected 
Month]=AA$2)*(Table4[Installation]=$B34))/MAX(1,AA34)</f>
        <v>0</v>
      </c>
      <c r="AD34" s="27">
        <f>SUMIFS(Table4[Rev. Based on PROB],Table4[Installation],$B34,Table4[Projected 
Year],AD$1,Table4[Projected 
Month],AD$2)</f>
        <v>0</v>
      </c>
      <c r="AE34" s="159">
        <f>SUMPRODUCT(Table4[Probability]*Table4[Rev. Based on PROB]*(Table4[Installation]=$B34)*(Table4[Projected 
Year]=AD$1)*(Table4[Projected 
Month]=AD$2))/MAX(1,SUMPRODUCT(Table4[Rev. Based on PROB]*(Table4[Installation]=$B34)*(Table4[Projected 
Year]=AD$1)*(Table4[Projected 
Month]=AD$2)))</f>
        <v>0</v>
      </c>
      <c r="AF34" s="160">
        <f>SUMPRODUCT(Table4[Rev. Based on PROB]*Table4[Expected CMR]*(Table4[Projected 
Year]=AD$1)*(Table4[Projected 
Month]=AD$2)*(Table4[Installation]=$B34))/MAX(1,AD34)</f>
        <v>0</v>
      </c>
      <c r="AG34" s="27">
        <f>SUMIFS(Table4[Rev. Based on PROB],Table4[Installation],$B34,Table4[Projected 
Year],AG$1,Table4[Projected 
Month],AG$2)</f>
        <v>0</v>
      </c>
      <c r="AH34" s="159">
        <f>SUMPRODUCT(Table4[Probability]*Table4[Rev. Based on PROB]*(Table4[Installation]=$B34)*(Table4[Projected 
Year]=AG$1)*(Table4[Projected 
Month]=AG$2))/MAX(1,SUMPRODUCT(Table4[Rev. Based on PROB]*(Table4[Installation]=$B34)*(Table4[Projected 
Year]=AG$1)*(Table4[Projected 
Month]=AG$2)))</f>
        <v>0</v>
      </c>
      <c r="AI34" s="160">
        <f>SUMPRODUCT(Table4[Rev. Based on PROB]*Table4[Expected CMR]*(Table4[Projected 
Year]=AG$1)*(Table4[Projected 
Month]=AG$2)*(Table4[Installation]=$B34))/MAX(1,AG34)</f>
        <v>0</v>
      </c>
      <c r="AJ34" s="27">
        <f>SUMIFS(Table4[Rev. Based on PROB],Table4[Installation],$B34,Table4[Projected 
Year],AJ$1,Table4[Projected 
Month],AJ$2)</f>
        <v>0</v>
      </c>
      <c r="AK34" s="159">
        <f>SUMPRODUCT(Table4[Probability]*Table4[Rev. Based on PROB]*(Table4[Installation]=$B34)*(Table4[Projected 
Year]=AJ$1)*(Table4[Projected 
Month]=AJ$2))/MAX(1,SUMPRODUCT(Table4[Rev. Based on PROB]*(Table4[Installation]=$B34)*(Table4[Projected 
Year]=AJ$1)*(Table4[Projected 
Month]=AJ$2)))</f>
        <v>0</v>
      </c>
      <c r="AL34" s="160">
        <f>SUMPRODUCT(Table4[Rev. Based on PROB]*Table4[Expected CMR]*(Table4[Projected 
Year]=AJ$1)*(Table4[Projected 
Month]=AJ$2)*(Table4[Installation]=$B34))/MAX(1,AJ34)</f>
        <v>0</v>
      </c>
      <c r="AM34" s="30">
        <f t="shared" si="7"/>
        <v>0</v>
      </c>
      <c r="AN34" s="52">
        <f t="shared" si="11"/>
        <v>0</v>
      </c>
      <c r="AO34" s="53">
        <f t="shared" si="12"/>
        <v>0</v>
      </c>
      <c r="AP34" s="27">
        <f>SUMIFS(Table47[Rev. Based on PROB],Table47[Installation],$B34,Table47[Projected 
Year],AP$1,Table47[Monthly revenue],AP$2)</f>
        <v>0</v>
      </c>
      <c r="AQ34" s="159">
        <f>SUMPRODUCT(Table4[Probability]*Table4[Rev. Based on PROB]*(Table4[Installation]=$B34)*(Table4[Projected 
Year]=AP$1)*(Table4[Projected 
Month]=AP$2))/MAX(1,SUMPRODUCT(Table4[Rev. Based on PROB]*(Table4[Installation]=$B34)*(Table4[Projected 
Year]=AP$1)*(Table4[Projected 
Month]=AP$2)))</f>
        <v>0</v>
      </c>
      <c r="AR34" s="160">
        <f>SUMPRODUCT(Table4[Rev. Based on PROB]*Table4[Expected CMR]*(Table4[Projected 
Year]=AP$1)*(Table4[Projected 
Month]=AP$2)*(Table4[Installation]=$B34))/MAX(1,AP34)</f>
        <v>0</v>
      </c>
      <c r="AS34" s="27">
        <f>SUMIFS(Table47[Rev. Based on PROB],Table47[Installation],$B34,Table47[Projected 
Year],AS$1,Table47[Monthly revenue],AS$2)</f>
        <v>0</v>
      </c>
      <c r="AT34" s="159">
        <f>SUMPRODUCT(Table4[Probability]*Table4[Rev. Based on PROB]*(Table4[Installation]=$B34)*(Table4[Projected 
Year]=AS$1)*(Table4[Projected 
Month]=AS$2))/MAX(1,SUMPRODUCT(Table4[Rev. Based on PROB]*(Table4[Installation]=$B34)*(Table4[Projected 
Year]=AS$1)*(Table4[Projected 
Month]=AS$2)))</f>
        <v>0</v>
      </c>
      <c r="AU34" s="160">
        <f>SUMPRODUCT(Table4[Rev. Based on PROB]*Table4[Expected CMR]*(Table4[Projected 
Year]=AS$1)*(Table4[Projected 
Month]=AS$2)*(Table4[Installation]=$B34))/MAX(1,AS34)</f>
        <v>0</v>
      </c>
      <c r="AV34" s="27">
        <f>SUMIFS(Table47[Rev. Based on PROB],Table47[Installation],$B34,Table47[Projected 
Year],AV$1,Table47[Monthly revenue],AV$2)</f>
        <v>0</v>
      </c>
      <c r="AW34" s="159">
        <f>SUMPRODUCT(Table4[Probability]*Table4[Rev. Based on PROB]*(Table4[Installation]=$B34)*(Table4[Projected 
Year]=AV$1)*(Table4[Projected 
Month]=AV$2))/MAX(1,SUMPRODUCT(Table4[Rev. Based on PROB]*(Table4[Installation]=$B34)*(Table4[Projected 
Year]=AV$1)*(Table4[Projected 
Month]=AV$2)))</f>
        <v>0</v>
      </c>
      <c r="AX34" s="160">
        <f>SUMPRODUCT(Table4[Rev. Based on PROB]*Table4[Expected CMR]*(Table4[Projected 
Year]=AV$1)*(Table4[Projected 
Month]=AV$2)*(Table4[Installation]=$B34))/MAX(1,AV34)</f>
        <v>0</v>
      </c>
      <c r="AY34" s="27">
        <f>SUMIFS(Table47[Rev. Based on PROB],Table47[Installation],$B34,Table47[Projected 
Year],AY$1,Table47[Monthly revenue],AY$2)</f>
        <v>0</v>
      </c>
      <c r="AZ34" s="159">
        <f>SUMPRODUCT(Table4[Probability]*Table4[Rev. Based on PROB]*(Table4[Installation]=$B34)*(Table4[Projected 
Year]=AY$1)*(Table4[Projected 
Month]=AY$2))/MAX(1,SUMPRODUCT(Table4[Rev. Based on PROB]*(Table4[Installation]=$B34)*(Table4[Projected 
Year]=AY$1)*(Table4[Projected 
Month]=AY$2)))</f>
        <v>0</v>
      </c>
      <c r="BA34" s="160">
        <f>SUMPRODUCT(Table4[Rev. Based on PROB]*Table4[Expected CMR]*(Table4[Projected 
Year]=AY$1)*(Table4[Projected 
Month]=AY$2)*(Table4[Installation]=$B34))/MAX(1,AY34)</f>
        <v>0</v>
      </c>
      <c r="BB34" s="27">
        <f>SUMIFS(Table47[Rev. Based on PROB],Table47[Installation],$B34,Table47[Projected 
Year],BB$1,Table47[Monthly revenue],BB$2)</f>
        <v>0</v>
      </c>
      <c r="BC34" s="159">
        <f>SUMPRODUCT(Table4[Probability]*Table4[Rev. Based on PROB]*(Table4[Installation]=$B34)*(Table4[Projected 
Year]=BB$1)*(Table4[Projected 
Month]=BB$2))/MAX(1,SUMPRODUCT(Table4[Rev. Based on PROB]*(Table4[Installation]=$B34)*(Table4[Projected 
Year]=BB$1)*(Table4[Projected 
Month]=BB$2)))</f>
        <v>0</v>
      </c>
      <c r="BD34" s="160">
        <f>SUMPRODUCT(Table4[Rev. Based on PROB]*Table4[Expected CMR]*(Table4[Projected 
Year]=BB$1)*(Table4[Projected 
Month]=BB$2)*(Table4[Installation]=$B34))/MAX(1,BB34)</f>
        <v>0</v>
      </c>
      <c r="BE34" s="27">
        <f>SUMIFS(Table47[Rev. Based on PROB],Table47[Installation],$B34,Table47[Projected 
Year],BE$1,Table47[Monthly revenue],BE$2)</f>
        <v>0</v>
      </c>
      <c r="BF34" s="159">
        <f>SUMPRODUCT(Table4[Probability]*Table4[Rev. Based on PROB]*(Table4[Installation]=$B34)*(Table4[Projected 
Year]=BE$1)*(Table4[Projected 
Month]=BE$2))/MAX(1,SUMPRODUCT(Table4[Rev. Based on PROB]*(Table4[Installation]=$B34)*(Table4[Projected 
Year]=BE$1)*(Table4[Projected 
Month]=BE$2)))</f>
        <v>0</v>
      </c>
      <c r="BG34" s="160">
        <f>SUMPRODUCT(Table4[Rev. Based on PROB]*Table4[Expected CMR]*(Table4[Projected 
Year]=BE$1)*(Table4[Projected 
Month]=BE$2)*(Table4[Installation]=$B34))/MAX(1,BE34)</f>
        <v>0</v>
      </c>
      <c r="BH34" s="27">
        <f>SUMIFS(Table47[Rev. Based on PROB],Table47[Installation],$B34,Table47[Projected 
Year],BH$1,Table47[Monthly revenue],BH$2)</f>
        <v>78128</v>
      </c>
      <c r="BI34" s="159">
        <f>SUMPRODUCT(Table4[Probability]*Table4[Rev. Based on PROB]*(Table4[Installation]=$B34)*(Table4[Projected 
Year]=BH$1)*(Table4[Projected 
Month]=BH$2))/MAX(1,SUMPRODUCT(Table4[Rev. Based on PROB]*(Table4[Installation]=$B34)*(Table4[Projected 
Year]=BH$1)*(Table4[Projected 
Month]=BH$2)))</f>
        <v>0</v>
      </c>
      <c r="BJ34" s="160">
        <f>SUMPRODUCT(Table4[Rev. Based on PROB]*Table4[Expected CMR]*(Table4[Projected 
Year]=BH$1)*(Table4[Projected 
Month]=BH$2)*(Table4[Installation]=$B34))/MAX(1,BH34)</f>
        <v>0</v>
      </c>
      <c r="BK34" s="27">
        <f>SUMIFS(Table47[Rev. Based on PROB],Table47[Installation],$B34,Table47[Projected 
Year],BK$1,Table47[Monthly revenue],BK$2)</f>
        <v>0</v>
      </c>
      <c r="BL34" s="159">
        <f>SUMPRODUCT(Table4[Probability]*Table4[Rev. Based on PROB]*(Table4[Installation]=$B34)*(Table4[Projected 
Year]=BK$1)*(Table4[Projected 
Month]=BK$2))/MAX(1,SUMPRODUCT(Table4[Rev. Based on PROB]*(Table4[Installation]=$B34)*(Table4[Projected 
Year]=BK$1)*(Table4[Projected 
Month]=BK$2)))</f>
        <v>0</v>
      </c>
      <c r="BM34" s="160">
        <f>SUMPRODUCT(Table4[Rev. Based on PROB]*Table4[Expected CMR]*(Table4[Projected 
Year]=BK$1)*(Table4[Projected 
Month]=BK$2)*(Table4[Installation]=$B34))/MAX(1,BK34)</f>
        <v>0</v>
      </c>
      <c r="BN34" s="27">
        <f>SUMIFS(Table47[Rev. Based on PROB],Table47[Installation],$B34,Table47[Projected 
Year],BN$1,Table47[Monthly revenue],BN$2)</f>
        <v>0</v>
      </c>
      <c r="BO34" s="159">
        <f>SUMPRODUCT(Table4[Probability]*Table4[Rev. Based on PROB]*(Table4[Installation]=$B34)*(Table4[Projected 
Year]=BN$1)*(Table4[Projected 
Month]=BN$2))/MAX(1,SUMPRODUCT(Table4[Rev. Based on PROB]*(Table4[Installation]=$B34)*(Table4[Projected 
Year]=BN$1)*(Table4[Projected 
Month]=BN$2)))</f>
        <v>0</v>
      </c>
      <c r="BP34" s="160">
        <f>SUMPRODUCT(Table4[Rev. Based on PROB]*Table4[Expected CMR]*(Table4[Projected 
Year]=BN$1)*(Table4[Projected 
Month]=BN$2)*(Table4[Installation]=$B34))/MAX(1,BN34)</f>
        <v>0</v>
      </c>
      <c r="BQ34" s="27">
        <f>SUMIFS(Table47[Rev. Based on PROB],Table47[Installation],$B34,Table47[Projected 
Year],BQ$1,Table47[Monthly revenue],BQ$2)</f>
        <v>0</v>
      </c>
      <c r="BR34" s="159">
        <f>SUMPRODUCT(Table4[Probability]*Table4[Rev. Based on PROB]*(Table4[Installation]=$B34)*(Table4[Projected 
Year]=BQ$1)*(Table4[Projected 
Month]=BQ$2))/MAX(1,SUMPRODUCT(Table4[Rev. Based on PROB]*(Table4[Installation]=$B34)*(Table4[Projected 
Year]=BQ$1)*(Table4[Projected 
Month]=BQ$2)))</f>
        <v>0</v>
      </c>
      <c r="BS34" s="160">
        <f>SUMPRODUCT(Table4[Rev. Based on PROB]*Table4[Expected CMR]*(Table4[Projected 
Year]=BQ$1)*(Table4[Projected 
Month]=BQ$2)*(Table4[Installation]=$B34))/MAX(1,BQ34)</f>
        <v>0</v>
      </c>
      <c r="BT34" s="27">
        <f>SUMIFS(Table47[Rev. Based on PROB],Table47[Installation],$B34,Table47[Projected 
Year],BT$1,Table47[Monthly revenue],BT$2)</f>
        <v>0</v>
      </c>
      <c r="BU34" s="159">
        <f>SUMPRODUCT(Table4[Probability]*Table4[Rev. Based on PROB]*(Table4[Installation]=$B34)*(Table4[Projected 
Year]=BT$1)*(Table4[Projected 
Month]=BT$2))/MAX(1,SUMPRODUCT(Table4[Rev. Based on PROB]*(Table4[Installation]=$B34)*(Table4[Projected 
Year]=BT$1)*(Table4[Projected 
Month]=BT$2)))</f>
        <v>0</v>
      </c>
      <c r="BV34" s="160">
        <f>SUMPRODUCT(Table4[Rev. Based on PROB]*Table4[Expected CMR]*(Table4[Projected 
Year]=BT$1)*(Table4[Projected 
Month]=BT$2)*(Table4[Installation]=$B34))/MAX(1,BT34)</f>
        <v>0</v>
      </c>
      <c r="BW34" s="27">
        <f>SUMIFS(Table47[Rev. Based on PROB],Table47[Installation],$B34,Table47[Projected 
Year],BW$1,Table47[Monthly revenue],BW$2)</f>
        <v>0</v>
      </c>
      <c r="BX34" s="159">
        <f>SUMPRODUCT(Table4[Probability]*Table4[Rev. Based on PROB]*(Table4[Installation]=$B34)*(Table4[Projected 
Year]=BW$1)*(Table4[Projected 
Month]=BW$2))/MAX(1,SUMPRODUCT(Table4[Rev. Based on PROB]*(Table4[Installation]=$B34)*(Table4[Projected 
Year]=BW$1)*(Table4[Projected 
Month]=BW$2)))</f>
        <v>0</v>
      </c>
      <c r="BY34" s="160">
        <f>SUMPRODUCT(Table4[Rev. Based on PROB]*Table4[Expected CMR]*(Table4[Projected 
Year]=BW$1)*(Table4[Projected 
Month]=BW$2)*(Table4[Installation]=$B34))/MAX(1,BW34)</f>
        <v>0</v>
      </c>
      <c r="BZ34" s="200"/>
      <c r="CA34" s="200"/>
      <c r="CB34" s="200"/>
      <c r="CC34" s="200"/>
      <c r="CD34" s="200"/>
      <c r="CE34" s="200"/>
      <c r="CF34" s="200"/>
      <c r="CG34" s="200"/>
      <c r="CH34" s="200"/>
      <c r="CI34" s="200"/>
      <c r="CJ34" s="200"/>
      <c r="CK34" s="200"/>
      <c r="CL34" s="200"/>
      <c r="CM34" s="200"/>
      <c r="CN34" s="200"/>
      <c r="CO34" s="200"/>
      <c r="CP34" s="200"/>
      <c r="CQ34" s="200"/>
      <c r="CR34" s="200"/>
      <c r="CS34" s="200"/>
      <c r="CT34" s="200"/>
      <c r="CU34" s="30">
        <f t="shared" si="0"/>
        <v>78128</v>
      </c>
      <c r="CV34" s="52">
        <f t="shared" si="9"/>
        <v>0</v>
      </c>
      <c r="CW34" s="53">
        <f t="shared" si="10"/>
        <v>0</v>
      </c>
      <c r="CX34" s="29"/>
    </row>
    <row r="35" spans="1:102">
      <c r="A35" s="18"/>
      <c r="B35" s="20" t="s">
        <v>488</v>
      </c>
      <c r="C35" s="27"/>
      <c r="D35" s="159"/>
      <c r="E35" s="160"/>
      <c r="F35" s="27"/>
      <c r="G35" s="159"/>
      <c r="H35" s="160"/>
      <c r="I35" s="27"/>
      <c r="J35" s="159"/>
      <c r="K35" s="160"/>
      <c r="L35" s="27"/>
      <c r="M35" s="159"/>
      <c r="N35" s="160"/>
      <c r="O35" s="27"/>
      <c r="P35" s="159"/>
      <c r="Q35" s="160"/>
      <c r="R35" s="27"/>
      <c r="S35" s="159"/>
      <c r="T35" s="160"/>
      <c r="U35" s="27"/>
      <c r="V35" s="159"/>
      <c r="W35" s="160"/>
      <c r="X35" s="27"/>
      <c r="Y35" s="159"/>
      <c r="Z35" s="160"/>
      <c r="AA35" s="27"/>
      <c r="AB35" s="159"/>
      <c r="AC35" s="160"/>
      <c r="AD35" s="27"/>
      <c r="AE35" s="159"/>
      <c r="AF35" s="160"/>
      <c r="AG35" s="27"/>
      <c r="AH35" s="159"/>
      <c r="AI35" s="160"/>
      <c r="AJ35" s="27"/>
      <c r="AK35" s="159"/>
      <c r="AL35" s="160"/>
      <c r="AM35" s="30"/>
      <c r="AN35" s="52"/>
      <c r="AO35" s="53"/>
      <c r="AP35" s="27">
        <f>SUMIFS(Table47[Rev. Based on PROB],Table47[Installation],$B35,Table47[Projected 
Year],AP$1,Table47[Monthly revenue],AP$2)</f>
        <v>0</v>
      </c>
      <c r="AQ35" s="159">
        <f>SUMPRODUCT(Table4[Probability]*Table4[Rev. Based on PROB]*(Table4[Installation]=$B35)*(Table4[Projected 
Year]=AP$1)*(Table4[Projected 
Month]=AP$2))/MAX(1,SUMPRODUCT(Table4[Rev. Based on PROB]*(Table4[Installation]=$B35)*(Table4[Projected 
Year]=AP$1)*(Table4[Projected 
Month]=AP$2)))</f>
        <v>0</v>
      </c>
      <c r="AR35" s="160">
        <f>SUMPRODUCT(Table4[Rev. Based on PROB]*Table4[Expected CMR]*(Table4[Projected 
Year]=AP$1)*(Table4[Projected 
Month]=AP$2)*(Table4[Installation]=$B35))/MAX(1,AP35)</f>
        <v>0</v>
      </c>
      <c r="AS35" s="27">
        <f>SUMIFS(Table47[Rev. Based on PROB],Table47[Installation],$B35,Table47[Projected 
Year],AS$1,Table47[Monthly revenue],AS$2)</f>
        <v>0</v>
      </c>
      <c r="AT35" s="159">
        <f>SUMPRODUCT(Table4[Probability]*Table4[Rev. Based on PROB]*(Table4[Installation]=$B35)*(Table4[Projected 
Year]=AS$1)*(Table4[Projected 
Month]=AS$2))/MAX(1,SUMPRODUCT(Table4[Rev. Based on PROB]*(Table4[Installation]=$B35)*(Table4[Projected 
Year]=AS$1)*(Table4[Projected 
Month]=AS$2)))</f>
        <v>0</v>
      </c>
      <c r="AU35" s="160">
        <f>SUMPRODUCT(Table4[Rev. Based on PROB]*Table4[Expected CMR]*(Table4[Projected 
Year]=AS$1)*(Table4[Projected 
Month]=AS$2)*(Table4[Installation]=$B35))/MAX(1,AS35)</f>
        <v>0</v>
      </c>
      <c r="AV35" s="27">
        <f>SUMIFS(Table47[Rev. Based on PROB],Table47[Installation],$B35,Table47[Projected 
Year],AV$1,Table47[Monthly revenue],AV$2)</f>
        <v>0</v>
      </c>
      <c r="AW35" s="159">
        <f>SUMPRODUCT(Table4[Probability]*Table4[Rev. Based on PROB]*(Table4[Installation]=$B35)*(Table4[Projected 
Year]=AV$1)*(Table4[Projected 
Month]=AV$2))/MAX(1,SUMPRODUCT(Table4[Rev. Based on PROB]*(Table4[Installation]=$B35)*(Table4[Projected 
Year]=AV$1)*(Table4[Projected 
Month]=AV$2)))</f>
        <v>0</v>
      </c>
      <c r="AX35" s="160">
        <f>SUMPRODUCT(Table4[Rev. Based on PROB]*Table4[Expected CMR]*(Table4[Projected 
Year]=AV$1)*(Table4[Projected 
Month]=AV$2)*(Table4[Installation]=$B35))/MAX(1,AV35)</f>
        <v>0</v>
      </c>
      <c r="AY35" s="27">
        <f>SUMIFS(Table47[Rev. Based on PROB],Table47[Installation],$B35,Table47[Projected 
Year],AY$1,Table47[Monthly revenue],AY$2)</f>
        <v>0</v>
      </c>
      <c r="AZ35" s="159">
        <f>SUMPRODUCT(Table4[Probability]*Table4[Rev. Based on PROB]*(Table4[Installation]=$B35)*(Table4[Projected 
Year]=AY$1)*(Table4[Projected 
Month]=AY$2))/MAX(1,SUMPRODUCT(Table4[Rev. Based on PROB]*(Table4[Installation]=$B35)*(Table4[Projected 
Year]=AY$1)*(Table4[Projected 
Month]=AY$2)))</f>
        <v>0</v>
      </c>
      <c r="BA35" s="160">
        <f>SUMPRODUCT(Table4[Rev. Based on PROB]*Table4[Expected CMR]*(Table4[Projected 
Year]=AY$1)*(Table4[Projected 
Month]=AY$2)*(Table4[Installation]=$B35))/MAX(1,AY35)</f>
        <v>0</v>
      </c>
      <c r="BB35" s="27">
        <f>SUMIFS(Table47[Rev. Based on PROB],Table47[Installation],$B35,Table47[Projected 
Year],BB$1,Table47[Monthly revenue],BB$2)</f>
        <v>0</v>
      </c>
      <c r="BC35" s="159">
        <f>SUMPRODUCT(Table4[Probability]*Table4[Rev. Based on PROB]*(Table4[Installation]=$B35)*(Table4[Projected 
Year]=BB$1)*(Table4[Projected 
Month]=BB$2))/MAX(1,SUMPRODUCT(Table4[Rev. Based on PROB]*(Table4[Installation]=$B35)*(Table4[Projected 
Year]=BB$1)*(Table4[Projected 
Month]=BB$2)))</f>
        <v>0</v>
      </c>
      <c r="BD35" s="160">
        <f>SUMPRODUCT(Table4[Rev. Based on PROB]*Table4[Expected CMR]*(Table4[Projected 
Year]=BB$1)*(Table4[Projected 
Month]=BB$2)*(Table4[Installation]=$B35))/MAX(1,BB35)</f>
        <v>0</v>
      </c>
      <c r="BE35" s="27">
        <f>SUMIFS(Table47[Rev. Based on PROB],Table47[Installation],$B35,Table47[Projected 
Year],BE$1,Table47[Monthly revenue],BE$2)</f>
        <v>0</v>
      </c>
      <c r="BF35" s="159">
        <f>SUMPRODUCT(Table4[Probability]*Table4[Rev. Based on PROB]*(Table4[Installation]=$B35)*(Table4[Projected 
Year]=BE$1)*(Table4[Projected 
Month]=BE$2))/MAX(1,SUMPRODUCT(Table4[Rev. Based on PROB]*(Table4[Installation]=$B35)*(Table4[Projected 
Year]=BE$1)*(Table4[Projected 
Month]=BE$2)))</f>
        <v>0</v>
      </c>
      <c r="BG35" s="160">
        <f>SUMPRODUCT(Table4[Rev. Based on PROB]*Table4[Expected CMR]*(Table4[Projected 
Year]=BE$1)*(Table4[Projected 
Month]=BE$2)*(Table4[Installation]=$B35))/MAX(1,BE35)</f>
        <v>0</v>
      </c>
      <c r="BH35" s="27">
        <f>SUMIFS(Table47[Rev. Based on PROB],Table47[Installation],$B35,Table47[Projected 
Year],BH$1,Table47[Monthly revenue],BH$2)</f>
        <v>0</v>
      </c>
      <c r="BI35" s="159">
        <f>SUMPRODUCT(Table4[Probability]*Table4[Rev. Based on PROB]*(Table4[Installation]=$B35)*(Table4[Projected 
Year]=BH$1)*(Table4[Projected 
Month]=BH$2))/MAX(1,SUMPRODUCT(Table4[Rev. Based on PROB]*(Table4[Installation]=$B35)*(Table4[Projected 
Year]=BH$1)*(Table4[Projected 
Month]=BH$2)))</f>
        <v>0</v>
      </c>
      <c r="BJ35" s="160">
        <f>SUMPRODUCT(Table4[Rev. Based on PROB]*Table4[Expected CMR]*(Table4[Projected 
Year]=BH$1)*(Table4[Projected 
Month]=BH$2)*(Table4[Installation]=$B35))/MAX(1,BH35)</f>
        <v>0</v>
      </c>
      <c r="BK35" s="27">
        <f>SUMIFS(Table47[Rev. Based on PROB],Table47[Installation],$B35,Table47[Projected 
Year],BK$1,Table47[Monthly revenue],BK$2)</f>
        <v>7500</v>
      </c>
      <c r="BL35" s="159">
        <f>SUMPRODUCT(Table4[Probability]*Table4[Rev. Based on PROB]*(Table4[Installation]=$B35)*(Table4[Projected 
Year]=BK$1)*(Table4[Projected 
Month]=BK$2))/MAX(1,SUMPRODUCT(Table4[Rev. Based on PROB]*(Table4[Installation]=$B35)*(Table4[Projected 
Year]=BK$1)*(Table4[Projected 
Month]=BK$2)))</f>
        <v>0</v>
      </c>
      <c r="BM35" s="160">
        <f>SUMPRODUCT(Table4[Rev. Based on PROB]*Table4[Expected CMR]*(Table4[Projected 
Year]=BK$1)*(Table4[Projected 
Month]=BK$2)*(Table4[Installation]=$B35))/MAX(1,BK35)</f>
        <v>0</v>
      </c>
      <c r="BN35" s="27">
        <f>SUMIFS(Table47[Rev. Based on PROB],Table47[Installation],$B35,Table47[Projected 
Year],BN$1,Table47[Monthly revenue],BN$2)</f>
        <v>0</v>
      </c>
      <c r="BO35" s="159">
        <f>SUMPRODUCT(Table4[Probability]*Table4[Rev. Based on PROB]*(Table4[Installation]=$B35)*(Table4[Projected 
Year]=BN$1)*(Table4[Projected 
Month]=BN$2))/MAX(1,SUMPRODUCT(Table4[Rev. Based on PROB]*(Table4[Installation]=$B35)*(Table4[Projected 
Year]=BN$1)*(Table4[Projected 
Month]=BN$2)))</f>
        <v>0</v>
      </c>
      <c r="BP35" s="160">
        <f>SUMPRODUCT(Table4[Rev. Based on PROB]*Table4[Expected CMR]*(Table4[Projected 
Year]=BN$1)*(Table4[Projected 
Month]=BN$2)*(Table4[Installation]=$B35))/MAX(1,BN35)</f>
        <v>0</v>
      </c>
      <c r="BQ35" s="27">
        <f>SUMIFS(Table47[Rev. Based on PROB],Table47[Installation],$B35,Table47[Projected 
Year],BQ$1,Table47[Monthly revenue],BQ$2)</f>
        <v>0</v>
      </c>
      <c r="BR35" s="159">
        <f>SUMPRODUCT(Table4[Probability]*Table4[Rev. Based on PROB]*(Table4[Installation]=$B35)*(Table4[Projected 
Year]=BQ$1)*(Table4[Projected 
Month]=BQ$2))/MAX(1,SUMPRODUCT(Table4[Rev. Based on PROB]*(Table4[Installation]=$B35)*(Table4[Projected 
Year]=BQ$1)*(Table4[Projected 
Month]=BQ$2)))</f>
        <v>0</v>
      </c>
      <c r="BS35" s="160">
        <f>SUMPRODUCT(Table4[Rev. Based on PROB]*Table4[Expected CMR]*(Table4[Projected 
Year]=BQ$1)*(Table4[Projected 
Month]=BQ$2)*(Table4[Installation]=$B35))/MAX(1,BQ35)</f>
        <v>0</v>
      </c>
      <c r="BT35" s="27">
        <f>SUMIFS(Table47[Rev. Based on PROB],Table47[Installation],$B35,Table47[Projected 
Year],BT$1,Table47[Monthly revenue],BT$2)</f>
        <v>0</v>
      </c>
      <c r="BU35" s="159">
        <f>SUMPRODUCT(Table4[Probability]*Table4[Rev. Based on PROB]*(Table4[Installation]=$B35)*(Table4[Projected 
Year]=BT$1)*(Table4[Projected 
Month]=BT$2))/MAX(1,SUMPRODUCT(Table4[Rev. Based on PROB]*(Table4[Installation]=$B35)*(Table4[Projected 
Year]=BT$1)*(Table4[Projected 
Month]=BT$2)))</f>
        <v>0</v>
      </c>
      <c r="BV35" s="160">
        <f>SUMPRODUCT(Table4[Rev. Based on PROB]*Table4[Expected CMR]*(Table4[Projected 
Year]=BT$1)*(Table4[Projected 
Month]=BT$2)*(Table4[Installation]=$B35))/MAX(1,BT35)</f>
        <v>0</v>
      </c>
      <c r="BW35" s="27">
        <f>SUMIFS(Table47[Rev. Based on PROB],Table47[Installation],$B35,Table47[Projected 
Year],BW$1,Table47[Monthly revenue],BW$2)</f>
        <v>0</v>
      </c>
      <c r="BX35" s="159">
        <f>SUMPRODUCT(Table4[Probability]*Table4[Rev. Based on PROB]*(Table4[Installation]=$B35)*(Table4[Projected 
Year]=BW$1)*(Table4[Projected 
Month]=BW$2))/MAX(1,SUMPRODUCT(Table4[Rev. Based on PROB]*(Table4[Installation]=$B35)*(Table4[Projected 
Year]=BW$1)*(Table4[Projected 
Month]=BW$2)))</f>
        <v>0</v>
      </c>
      <c r="BY35" s="160">
        <f>SUMPRODUCT(Table4[Rev. Based on PROB]*Table4[Expected CMR]*(Table4[Projected 
Year]=BW$1)*(Table4[Projected 
Month]=BW$2)*(Table4[Installation]=$B35))/MAX(1,BW35)</f>
        <v>0</v>
      </c>
      <c r="BZ35" s="200"/>
      <c r="CA35" s="200"/>
      <c r="CB35" s="200"/>
      <c r="CC35" s="200"/>
      <c r="CD35" s="200"/>
      <c r="CE35" s="200"/>
      <c r="CF35" s="200"/>
      <c r="CG35" s="200"/>
      <c r="CH35" s="200"/>
      <c r="CI35" s="200"/>
      <c r="CJ35" s="200"/>
      <c r="CK35" s="200"/>
      <c r="CL35" s="200"/>
      <c r="CM35" s="200"/>
      <c r="CN35" s="200"/>
      <c r="CO35" s="200"/>
      <c r="CP35" s="200"/>
      <c r="CQ35" s="200"/>
      <c r="CR35" s="200"/>
      <c r="CS35" s="200"/>
      <c r="CT35" s="200"/>
      <c r="CU35" s="30"/>
      <c r="CV35" s="52"/>
      <c r="CW35" s="53"/>
      <c r="CX35" s="29"/>
    </row>
    <row r="36" spans="1:102">
      <c r="A36" s="18"/>
      <c r="B36" s="20" t="s">
        <v>326</v>
      </c>
      <c r="C36" s="27">
        <f>SUMIFS(Table4[Rev. Based on PROB],Table4[Installation],$B36,Table4[Projected 
Year],C$1,Table4[Projected 
Month],C$2)</f>
        <v>0</v>
      </c>
      <c r="D36" s="159">
        <f>SUMPRODUCT(Table4[Probability]*Table4[Rev. Based on PROB]*(Table4[Installation]=$B36)*(Table4[Projected 
Year]=C$1)*(Table4[Projected 
Month]=C$2))/MAX(1,SUMPRODUCT(Table4[Rev. Based on PROB]*(Table4[Installation]=$B36)*(Table4[Projected 
Year]=C$1)*(Table4[Projected 
Month]=C$2)))</f>
        <v>0</v>
      </c>
      <c r="E36" s="160">
        <f>SUMPRODUCT(Table4[Rev. Based on PROB]*Table4[Expected CMR]*(Table4[Projected 
Year]=C$1)*(Table4[Projected 
Month]=C$2)*(Table4[Installation]=$B36))/MAX(1,C36)</f>
        <v>0</v>
      </c>
      <c r="F36" s="27">
        <f>SUMIFS(Table4[Rev. Based on PROB],Table4[Installation],$B36,Table4[Projected 
Year],F$1,Table4[Projected 
Month],F$2)</f>
        <v>0</v>
      </c>
      <c r="G36" s="159">
        <f>SUMPRODUCT(Table4[Probability]*Table4[Rev. Based on PROB]*(Table4[Installation]=$B36)*(Table4[Projected 
Year]=F$1)*(Table4[Projected 
Month]=F$2))/MAX(1,SUMPRODUCT(Table4[Rev. Based on PROB]*(Table4[Installation]=$B36)*(Table4[Projected 
Year]=F$1)*(Table4[Projected 
Month]=F$2)))</f>
        <v>0</v>
      </c>
      <c r="H36" s="160">
        <f>SUMPRODUCT(Table4[Rev. Based on PROB]*Table4[Expected CMR]*(Table4[Projected 
Year]=F$1)*(Table4[Projected 
Month]=F$2)*(Table4[Installation]=$B36))/MAX(1,F36)</f>
        <v>0</v>
      </c>
      <c r="I36" s="27">
        <f>SUMIFS(Table4[Rev. Based on PROB],Table4[Installation],$B36,Table4[Projected 
Year],I$1,Table4[Projected 
Month],I$2)</f>
        <v>0</v>
      </c>
      <c r="J36" s="159">
        <f>SUMPRODUCT(Table4[Probability]*Table4[Rev. Based on PROB]*(Table4[Installation]=$B36)*(Table4[Projected 
Year]=I$1)*(Table4[Projected 
Month]=I$2))/MAX(1,SUMPRODUCT(Table4[Rev. Based on PROB]*(Table4[Installation]=$B36)*(Table4[Projected 
Year]=I$1)*(Table4[Projected 
Month]=I$2)))</f>
        <v>0</v>
      </c>
      <c r="K36" s="160">
        <f>SUMPRODUCT(Table4[Rev. Based on PROB]*Table4[Expected CMR]*(Table4[Projected 
Year]=I$1)*(Table4[Projected 
Month]=I$2)*(Table4[Installation]=$B36))/MAX(1,I36)</f>
        <v>0</v>
      </c>
      <c r="L36" s="27">
        <f>SUMIFS(Table4[Rev. Based on PROB],Table4[Installation],$B36,Table4[Projected 
Year],L$1,Table4[Projected 
Month],L$2)</f>
        <v>0</v>
      </c>
      <c r="M36" s="159">
        <f>SUMPRODUCT(Table4[Probability]*Table4[Rev. Based on PROB]*(Table4[Installation]=$B36)*(Table4[Projected 
Year]=L$1)*(Table4[Projected 
Month]=L$2))/MAX(1,SUMPRODUCT(Table4[Rev. Based on PROB]*(Table4[Installation]=$B36)*(Table4[Projected 
Year]=L$1)*(Table4[Projected 
Month]=L$2)))</f>
        <v>0</v>
      </c>
      <c r="N36" s="160">
        <f>SUMPRODUCT(Table4[Rev. Based on PROB]*Table4[Expected CMR]*(Table4[Projected 
Year]=L$1)*(Table4[Projected 
Month]=L$2)*(Table4[Installation]=$B36))/MAX(1,L36)</f>
        <v>0</v>
      </c>
      <c r="O36" s="27">
        <f>SUMIFS(Table4[Rev. Based on PROB],Table4[Installation],$B36,Table4[Projected 
Year],O$1,Table4[Projected 
Month],O$2)</f>
        <v>0</v>
      </c>
      <c r="P36" s="159">
        <f>SUMPRODUCT(Table4[Probability]*Table4[Rev. Based on PROB]*(Table4[Installation]=$B36)*(Table4[Projected 
Year]=O$1)*(Table4[Projected 
Month]=O$2))/MAX(1,SUMPRODUCT(Table4[Rev. Based on PROB]*(Table4[Installation]=$B36)*(Table4[Projected 
Year]=O$1)*(Table4[Projected 
Month]=O$2)))</f>
        <v>0</v>
      </c>
      <c r="Q36" s="160">
        <f>SUMPRODUCT(Table4[Rev. Based on PROB]*Table4[Expected CMR]*(Table4[Projected 
Year]=O$1)*(Table4[Projected 
Month]=O$2)*(Table4[Installation]=$B36))/MAX(1,O36)</f>
        <v>0</v>
      </c>
      <c r="R36" s="27">
        <f>SUMIFS(Table4[Rev. Based on PROB],Table4[Installation],$B36,Table4[Projected 
Year],R$1,Table4[Projected 
Month],R$2)</f>
        <v>0</v>
      </c>
      <c r="S36" s="159">
        <f>SUMPRODUCT(Table4[Probability]*Table4[Rev. Based on PROB]*(Table4[Installation]=$B36)*(Table4[Projected 
Year]=R$1)*(Table4[Projected 
Month]=R$2))/MAX(1,SUMPRODUCT(Table4[Rev. Based on PROB]*(Table4[Installation]=$B36)*(Table4[Projected 
Year]=R$1)*(Table4[Projected 
Month]=R$2)))</f>
        <v>0</v>
      </c>
      <c r="T36" s="160">
        <f>SUMPRODUCT(Table4[Rev. Based on PROB]*Table4[Expected CMR]*(Table4[Projected 
Year]=R$1)*(Table4[Projected 
Month]=R$2)*(Table4[Installation]=$B36))/MAX(1,R36)</f>
        <v>0</v>
      </c>
      <c r="U36" s="27">
        <f>SUMIFS(Table4[Rev. Based on PROB],Table4[Installation],$B36,Table4[Projected 
Year],U$1,Table4[Projected 
Month],U$2)</f>
        <v>0</v>
      </c>
      <c r="V36" s="159">
        <f>SUMPRODUCT(Table4[Probability]*Table4[Rev. Based on PROB]*(Table4[Installation]=$B36)*(Table4[Projected 
Year]=U$1)*(Table4[Projected 
Month]=U$2))/MAX(1,SUMPRODUCT(Table4[Rev. Based on PROB]*(Table4[Installation]=$B36)*(Table4[Projected 
Year]=U$1)*(Table4[Projected 
Month]=U$2)))</f>
        <v>0</v>
      </c>
      <c r="W36" s="160">
        <f>SUMPRODUCT(Table4[Rev. Based on PROB]*Table4[Expected CMR]*(Table4[Projected 
Year]=U$1)*(Table4[Projected 
Month]=U$2)*(Table4[Installation]=$B36))/MAX(1,U36)</f>
        <v>0</v>
      </c>
      <c r="X36" s="27">
        <f>SUMIFS(Table4[Rev. Based on PROB],Table4[Installation],$B36,Table4[Projected 
Year],X$1,Table4[Projected 
Month],X$2)</f>
        <v>0</v>
      </c>
      <c r="Y36" s="159">
        <f>SUMPRODUCT(Table4[Probability]*Table4[Rev. Based on PROB]*(Table4[Installation]=$B36)*(Table4[Projected 
Year]=X$1)*(Table4[Projected 
Month]=X$2))/MAX(1,SUMPRODUCT(Table4[Rev. Based on PROB]*(Table4[Installation]=$B36)*(Table4[Projected 
Year]=X$1)*(Table4[Projected 
Month]=X$2)))</f>
        <v>0</v>
      </c>
      <c r="Z36" s="160">
        <f>SUMPRODUCT(Table4[Rev. Based on PROB]*Table4[Expected CMR]*(Table4[Projected 
Year]=X$1)*(Table4[Projected 
Month]=X$2)*(Table4[Installation]=$B36))/MAX(1,X36)</f>
        <v>0</v>
      </c>
      <c r="AA36" s="27">
        <f>SUMIFS(Table4[Rev. Based on PROB],Table4[Installation],$B36,Table4[Projected 
Year],AA$1,Table4[Projected 
Month],AA$2)</f>
        <v>0</v>
      </c>
      <c r="AB36" s="159">
        <f>SUMPRODUCT(Table4[Probability]*Table4[Rev. Based on PROB]*(Table4[Installation]=$B36)*(Table4[Projected 
Year]=AA$1)*(Table4[Projected 
Month]=AA$2))/MAX(1,SUMPRODUCT(Table4[Rev. Based on PROB]*(Table4[Installation]=$B36)*(Table4[Projected 
Year]=AA$1)*(Table4[Projected 
Month]=AA$2)))</f>
        <v>0</v>
      </c>
      <c r="AC36" s="160">
        <f>SUMPRODUCT(Table4[Rev. Based on PROB]*Table4[Expected CMR]*(Table4[Projected 
Year]=AA$1)*(Table4[Projected 
Month]=AA$2)*(Table4[Installation]=$B36))/MAX(1,AA36)</f>
        <v>0</v>
      </c>
      <c r="AD36" s="27">
        <f>SUMIFS(Table4[Rev. Based on PROB],Table4[Installation],$B36,Table4[Projected 
Year],AD$1,Table4[Projected 
Month],AD$2)</f>
        <v>0</v>
      </c>
      <c r="AE36" s="159">
        <f>SUMPRODUCT(Table4[Probability]*Table4[Rev. Based on PROB]*(Table4[Installation]=$B36)*(Table4[Projected 
Year]=AD$1)*(Table4[Projected 
Month]=AD$2))/MAX(1,SUMPRODUCT(Table4[Rev. Based on PROB]*(Table4[Installation]=$B36)*(Table4[Projected 
Year]=AD$1)*(Table4[Projected 
Month]=AD$2)))</f>
        <v>0</v>
      </c>
      <c r="AF36" s="160">
        <f>SUMPRODUCT(Table4[Rev. Based on PROB]*Table4[Expected CMR]*(Table4[Projected 
Year]=AD$1)*(Table4[Projected 
Month]=AD$2)*(Table4[Installation]=$B36))/MAX(1,AD36)</f>
        <v>0</v>
      </c>
      <c r="AG36" s="27">
        <f>SUMIFS(Table4[Rev. Based on PROB],Table4[Installation],$B36,Table4[Projected 
Year],AG$1,Table4[Projected 
Month],AG$2)</f>
        <v>0</v>
      </c>
      <c r="AH36" s="159">
        <f>SUMPRODUCT(Table4[Probability]*Table4[Rev. Based on PROB]*(Table4[Installation]=$B36)*(Table4[Projected 
Year]=AG$1)*(Table4[Projected 
Month]=AG$2))/MAX(1,SUMPRODUCT(Table4[Rev. Based on PROB]*(Table4[Installation]=$B36)*(Table4[Projected 
Year]=AG$1)*(Table4[Projected 
Month]=AG$2)))</f>
        <v>0</v>
      </c>
      <c r="AI36" s="160">
        <f>SUMPRODUCT(Table4[Rev. Based on PROB]*Table4[Expected CMR]*(Table4[Projected 
Year]=AG$1)*(Table4[Projected 
Month]=AG$2)*(Table4[Installation]=$B36))/MAX(1,AG36)</f>
        <v>0</v>
      </c>
      <c r="AJ36" s="27">
        <f>SUMIFS(Table4[Rev. Based on PROB],Table4[Installation],$B36,Table4[Projected 
Year],AJ$1,Table4[Projected 
Month],AJ$2)</f>
        <v>0</v>
      </c>
      <c r="AK36" s="159">
        <f>SUMPRODUCT(Table4[Probability]*Table4[Rev. Based on PROB]*(Table4[Installation]=$B36)*(Table4[Projected 
Year]=AJ$1)*(Table4[Projected 
Month]=AJ$2))/MAX(1,SUMPRODUCT(Table4[Rev. Based on PROB]*(Table4[Installation]=$B36)*(Table4[Projected 
Year]=AJ$1)*(Table4[Projected 
Month]=AJ$2)))</f>
        <v>0</v>
      </c>
      <c r="AL36" s="160">
        <f>SUMPRODUCT(Table4[Rev. Based on PROB]*Table4[Expected CMR]*(Table4[Projected 
Year]=AJ$1)*(Table4[Projected 
Month]=AJ$2)*(Table4[Installation]=$B36))/MAX(1,AJ36)</f>
        <v>0</v>
      </c>
      <c r="AM36" s="30">
        <f t="shared" si="7"/>
        <v>0</v>
      </c>
      <c r="AN36" s="52">
        <f t="shared" si="11"/>
        <v>0</v>
      </c>
      <c r="AO36" s="53">
        <f t="shared" si="12"/>
        <v>0</v>
      </c>
      <c r="AP36" s="27">
        <f>SUMIFS(Table47[Rev. Based on PROB],Table47[Installation],$B36,Table47[Projected 
Year],AP$1,Table47[Monthly revenue],AP$2)</f>
        <v>0</v>
      </c>
      <c r="AQ36" s="159">
        <f>SUMPRODUCT(Table4[Probability]*Table4[Rev. Based on PROB]*(Table4[Installation]=$B36)*(Table4[Projected 
Year]=AP$1)*(Table4[Projected 
Month]=AP$2))/MAX(1,SUMPRODUCT(Table4[Rev. Based on PROB]*(Table4[Installation]=$B36)*(Table4[Projected 
Year]=AP$1)*(Table4[Projected 
Month]=AP$2)))</f>
        <v>0</v>
      </c>
      <c r="AR36" s="160">
        <f>SUMPRODUCT(Table4[Rev. Based on PROB]*Table4[Expected CMR]*(Table4[Projected 
Year]=AP$1)*(Table4[Projected 
Month]=AP$2)*(Table4[Installation]=$B36))/MAX(1,AP36)</f>
        <v>0</v>
      </c>
      <c r="AS36" s="27">
        <f>SUMIFS(Table47[Rev. Based on PROB],Table47[Installation],$B36,Table47[Projected 
Year],AS$1,Table47[Monthly revenue],AS$2)</f>
        <v>0</v>
      </c>
      <c r="AT36" s="159">
        <f>SUMPRODUCT(Table4[Probability]*Table4[Rev. Based on PROB]*(Table4[Installation]=$B36)*(Table4[Projected 
Year]=AS$1)*(Table4[Projected 
Month]=AS$2))/MAX(1,SUMPRODUCT(Table4[Rev. Based on PROB]*(Table4[Installation]=$B36)*(Table4[Projected 
Year]=AS$1)*(Table4[Projected 
Month]=AS$2)))</f>
        <v>0</v>
      </c>
      <c r="AU36" s="160">
        <f>SUMPRODUCT(Table4[Rev. Based on PROB]*Table4[Expected CMR]*(Table4[Projected 
Year]=AS$1)*(Table4[Projected 
Month]=AS$2)*(Table4[Installation]=$B36))/MAX(1,AS36)</f>
        <v>0</v>
      </c>
      <c r="AV36" s="27">
        <f>SUMIFS(Table47[Rev. Based on PROB],Table47[Installation],$B36,Table47[Projected 
Year],AV$1,Table47[Monthly revenue],AV$2)</f>
        <v>0</v>
      </c>
      <c r="AW36" s="159">
        <f>SUMPRODUCT(Table4[Probability]*Table4[Rev. Based on PROB]*(Table4[Installation]=$B36)*(Table4[Projected 
Year]=AV$1)*(Table4[Projected 
Month]=AV$2))/MAX(1,SUMPRODUCT(Table4[Rev. Based on PROB]*(Table4[Installation]=$B36)*(Table4[Projected 
Year]=AV$1)*(Table4[Projected 
Month]=AV$2)))</f>
        <v>0</v>
      </c>
      <c r="AX36" s="160">
        <f>SUMPRODUCT(Table4[Rev. Based on PROB]*Table4[Expected CMR]*(Table4[Projected 
Year]=AV$1)*(Table4[Projected 
Month]=AV$2)*(Table4[Installation]=$B36))/MAX(1,AV36)</f>
        <v>0</v>
      </c>
      <c r="AY36" s="27">
        <f>SUMIFS(Table47[Rev. Based on PROB],Table47[Installation],$B36,Table47[Projected 
Year],AY$1,Table47[Monthly revenue],AY$2)</f>
        <v>0</v>
      </c>
      <c r="AZ36" s="159">
        <f>SUMPRODUCT(Table4[Probability]*Table4[Rev. Based on PROB]*(Table4[Installation]=$B36)*(Table4[Projected 
Year]=AY$1)*(Table4[Projected 
Month]=AY$2))/MAX(1,SUMPRODUCT(Table4[Rev. Based on PROB]*(Table4[Installation]=$B36)*(Table4[Projected 
Year]=AY$1)*(Table4[Projected 
Month]=AY$2)))</f>
        <v>0</v>
      </c>
      <c r="BA36" s="160">
        <f>SUMPRODUCT(Table4[Rev. Based on PROB]*Table4[Expected CMR]*(Table4[Projected 
Year]=AY$1)*(Table4[Projected 
Month]=AY$2)*(Table4[Installation]=$B36))/MAX(1,AY36)</f>
        <v>0</v>
      </c>
      <c r="BB36" s="27">
        <f>SUMIFS(Table47[Rev. Based on PROB],Table47[Installation],$B36,Table47[Projected 
Year],BB$1,Table47[Monthly revenue],BB$2)</f>
        <v>0</v>
      </c>
      <c r="BC36" s="159">
        <f>SUMPRODUCT(Table4[Probability]*Table4[Rev. Based on PROB]*(Table4[Installation]=$B36)*(Table4[Projected 
Year]=BB$1)*(Table4[Projected 
Month]=BB$2))/MAX(1,SUMPRODUCT(Table4[Rev. Based on PROB]*(Table4[Installation]=$B36)*(Table4[Projected 
Year]=BB$1)*(Table4[Projected 
Month]=BB$2)))</f>
        <v>0</v>
      </c>
      <c r="BD36" s="160">
        <f>SUMPRODUCT(Table4[Rev. Based on PROB]*Table4[Expected CMR]*(Table4[Projected 
Year]=BB$1)*(Table4[Projected 
Month]=BB$2)*(Table4[Installation]=$B36))/MAX(1,BB36)</f>
        <v>0</v>
      </c>
      <c r="BE36" s="27">
        <f>SUMIFS(Table47[Rev. Based on PROB],Table47[Installation],$B36,Table47[Projected 
Year],BE$1,Table47[Monthly revenue],BE$2)</f>
        <v>0</v>
      </c>
      <c r="BF36" s="159">
        <f>SUMPRODUCT(Table4[Probability]*Table4[Rev. Based on PROB]*(Table4[Installation]=$B36)*(Table4[Projected 
Year]=BE$1)*(Table4[Projected 
Month]=BE$2))/MAX(1,SUMPRODUCT(Table4[Rev. Based on PROB]*(Table4[Installation]=$B36)*(Table4[Projected 
Year]=BE$1)*(Table4[Projected 
Month]=BE$2)))</f>
        <v>0</v>
      </c>
      <c r="BG36" s="160">
        <f>SUMPRODUCT(Table4[Rev. Based on PROB]*Table4[Expected CMR]*(Table4[Projected 
Year]=BE$1)*(Table4[Projected 
Month]=BE$2)*(Table4[Installation]=$B36))/MAX(1,BE36)</f>
        <v>0</v>
      </c>
      <c r="BH36" s="27">
        <f>SUMIFS(Table47[Rev. Based on PROB],Table47[Installation],$B36,Table47[Projected 
Year],BH$1,Table47[Monthly revenue],BH$2)</f>
        <v>0</v>
      </c>
      <c r="BI36" s="159">
        <f>SUMPRODUCT(Table4[Probability]*Table4[Rev. Based on PROB]*(Table4[Installation]=$B36)*(Table4[Projected 
Year]=BH$1)*(Table4[Projected 
Month]=BH$2))/MAX(1,SUMPRODUCT(Table4[Rev. Based on PROB]*(Table4[Installation]=$B36)*(Table4[Projected 
Year]=BH$1)*(Table4[Projected 
Month]=BH$2)))</f>
        <v>0</v>
      </c>
      <c r="BJ36" s="160">
        <f>SUMPRODUCT(Table4[Rev. Based on PROB]*Table4[Expected CMR]*(Table4[Projected 
Year]=BH$1)*(Table4[Projected 
Month]=BH$2)*(Table4[Installation]=$B36))/MAX(1,BH36)</f>
        <v>0</v>
      </c>
      <c r="BK36" s="27">
        <f>SUMIFS(Table47[Rev. Based on PROB],Table47[Installation],$B36,Table47[Projected 
Year],BK$1,Table47[Monthly revenue],BK$2)</f>
        <v>0</v>
      </c>
      <c r="BL36" s="159">
        <f>SUMPRODUCT(Table4[Probability]*Table4[Rev. Based on PROB]*(Table4[Installation]=$B36)*(Table4[Projected 
Year]=BK$1)*(Table4[Projected 
Month]=BK$2))/MAX(1,SUMPRODUCT(Table4[Rev. Based on PROB]*(Table4[Installation]=$B36)*(Table4[Projected 
Year]=BK$1)*(Table4[Projected 
Month]=BK$2)))</f>
        <v>0</v>
      </c>
      <c r="BM36" s="160">
        <f>SUMPRODUCT(Table4[Rev. Based on PROB]*Table4[Expected CMR]*(Table4[Projected 
Year]=BK$1)*(Table4[Projected 
Month]=BK$2)*(Table4[Installation]=$B36))/MAX(1,BK36)</f>
        <v>0</v>
      </c>
      <c r="BN36" s="27">
        <f>SUMIFS(Table47[Rev. Based on PROB],Table47[Installation],$B36,Table47[Projected 
Year],BN$1,Table47[Monthly revenue],BN$2)</f>
        <v>0</v>
      </c>
      <c r="BO36" s="159">
        <f>SUMPRODUCT(Table4[Probability]*Table4[Rev. Based on PROB]*(Table4[Installation]=$B36)*(Table4[Projected 
Year]=BN$1)*(Table4[Projected 
Month]=BN$2))/MAX(1,SUMPRODUCT(Table4[Rev. Based on PROB]*(Table4[Installation]=$B36)*(Table4[Projected 
Year]=BN$1)*(Table4[Projected 
Month]=BN$2)))</f>
        <v>0</v>
      </c>
      <c r="BP36" s="160">
        <f>SUMPRODUCT(Table4[Rev. Based on PROB]*Table4[Expected CMR]*(Table4[Projected 
Year]=BN$1)*(Table4[Projected 
Month]=BN$2)*(Table4[Installation]=$B36))/MAX(1,BN36)</f>
        <v>0</v>
      </c>
      <c r="BQ36" s="27">
        <f>SUMIFS(Table47[Rev. Based on PROB],Table47[Installation],$B36,Table47[Projected 
Year],BQ$1,Table47[Monthly revenue],BQ$2)</f>
        <v>0</v>
      </c>
      <c r="BR36" s="159">
        <f>SUMPRODUCT(Table4[Probability]*Table4[Rev. Based on PROB]*(Table4[Installation]=$B36)*(Table4[Projected 
Year]=BQ$1)*(Table4[Projected 
Month]=BQ$2))/MAX(1,SUMPRODUCT(Table4[Rev. Based on PROB]*(Table4[Installation]=$B36)*(Table4[Projected 
Year]=BQ$1)*(Table4[Projected 
Month]=BQ$2)))</f>
        <v>0</v>
      </c>
      <c r="BS36" s="160">
        <f>SUMPRODUCT(Table4[Rev. Based on PROB]*Table4[Expected CMR]*(Table4[Projected 
Year]=BQ$1)*(Table4[Projected 
Month]=BQ$2)*(Table4[Installation]=$B36))/MAX(1,BQ36)</f>
        <v>0</v>
      </c>
      <c r="BT36" s="27">
        <f>SUMIFS(Table47[Rev. Based on PROB],Table47[Installation],$B36,Table47[Projected 
Year],BT$1,Table47[Monthly revenue],BT$2)</f>
        <v>0</v>
      </c>
      <c r="BU36" s="159">
        <f>SUMPRODUCT(Table4[Probability]*Table4[Rev. Based on PROB]*(Table4[Installation]=$B36)*(Table4[Projected 
Year]=BT$1)*(Table4[Projected 
Month]=BT$2))/MAX(1,SUMPRODUCT(Table4[Rev. Based on PROB]*(Table4[Installation]=$B36)*(Table4[Projected 
Year]=BT$1)*(Table4[Projected 
Month]=BT$2)))</f>
        <v>0</v>
      </c>
      <c r="BV36" s="160">
        <f>SUMPRODUCT(Table4[Rev. Based on PROB]*Table4[Expected CMR]*(Table4[Projected 
Year]=BT$1)*(Table4[Projected 
Month]=BT$2)*(Table4[Installation]=$B36))/MAX(1,BT36)</f>
        <v>0</v>
      </c>
      <c r="BW36" s="27">
        <f>SUMIFS(Table47[Rev. Based on PROB],Table47[Installation],$B36,Table47[Projected 
Year],BW$1,Table47[Monthly revenue],BW$2)</f>
        <v>0</v>
      </c>
      <c r="BX36" s="159">
        <f>SUMPRODUCT(Table4[Probability]*Table4[Rev. Based on PROB]*(Table4[Installation]=$B36)*(Table4[Projected 
Year]=BW$1)*(Table4[Projected 
Month]=BW$2))/MAX(1,SUMPRODUCT(Table4[Rev. Based on PROB]*(Table4[Installation]=$B36)*(Table4[Projected 
Year]=BW$1)*(Table4[Projected 
Month]=BW$2)))</f>
        <v>0</v>
      </c>
      <c r="BY36" s="160">
        <f>SUMPRODUCT(Table4[Rev. Based on PROB]*Table4[Expected CMR]*(Table4[Projected 
Year]=BW$1)*(Table4[Projected 
Month]=BW$2)*(Table4[Installation]=$B36))/MAX(1,BW36)</f>
        <v>0</v>
      </c>
      <c r="BZ36" s="200"/>
      <c r="CA36" s="200"/>
      <c r="CB36" s="200"/>
      <c r="CC36" s="200"/>
      <c r="CD36" s="200"/>
      <c r="CE36" s="200"/>
      <c r="CF36" s="200"/>
      <c r="CG36" s="200"/>
      <c r="CH36" s="200"/>
      <c r="CI36" s="200"/>
      <c r="CJ36" s="200"/>
      <c r="CK36" s="200"/>
      <c r="CL36" s="200"/>
      <c r="CM36" s="200"/>
      <c r="CN36" s="200"/>
      <c r="CO36" s="200"/>
      <c r="CP36" s="200"/>
      <c r="CQ36" s="200"/>
      <c r="CR36" s="200"/>
      <c r="CS36" s="200"/>
      <c r="CT36" s="200"/>
      <c r="CU36" s="30">
        <f t="shared" si="0"/>
        <v>0</v>
      </c>
      <c r="CV36" s="52">
        <f t="shared" si="9"/>
        <v>0</v>
      </c>
      <c r="CW36" s="53">
        <f t="shared" si="10"/>
        <v>0</v>
      </c>
      <c r="CX36" s="29"/>
    </row>
    <row r="37" spans="1:102">
      <c r="A37" s="18"/>
      <c r="B37" s="20" t="s">
        <v>327</v>
      </c>
      <c r="C37" s="27">
        <f>SUMIFS(Table4[Rev. Based on PROB],Table4[Installation],$B37,Table4[Projected 
Year],C$1,Table4[Projected 
Month],C$2)</f>
        <v>0</v>
      </c>
      <c r="D37" s="159">
        <f>SUMPRODUCT(Table4[Probability]*Table4[Rev. Based on PROB]*(Table4[Installation]=$B37)*(Table4[Projected 
Year]=C$1)*(Table4[Projected 
Month]=C$2))/MAX(1,SUMPRODUCT(Table4[Rev. Based on PROB]*(Table4[Installation]=$B37)*(Table4[Projected 
Year]=C$1)*(Table4[Projected 
Month]=C$2)))</f>
        <v>0</v>
      </c>
      <c r="E37" s="160">
        <f>SUMPRODUCT(Table4[Rev. Based on PROB]*Table4[Expected CMR]*(Table4[Projected 
Year]=C$1)*(Table4[Projected 
Month]=C$2)*(Table4[Installation]=$B37))/MAX(1,C37)</f>
        <v>0</v>
      </c>
      <c r="F37" s="27">
        <f>SUMIFS(Table4[Rev. Based on PROB],Table4[Installation],$B37,Table4[Projected 
Year],F$1,Table4[Projected 
Month],F$2)</f>
        <v>0</v>
      </c>
      <c r="G37" s="159">
        <f>SUMPRODUCT(Table4[Probability]*Table4[Rev. Based on PROB]*(Table4[Installation]=$B37)*(Table4[Projected 
Year]=F$1)*(Table4[Projected 
Month]=F$2))/MAX(1,SUMPRODUCT(Table4[Rev. Based on PROB]*(Table4[Installation]=$B37)*(Table4[Projected 
Year]=F$1)*(Table4[Projected 
Month]=F$2)))</f>
        <v>0</v>
      </c>
      <c r="H37" s="160">
        <f>SUMPRODUCT(Table4[Rev. Based on PROB]*Table4[Expected CMR]*(Table4[Projected 
Year]=F$1)*(Table4[Projected 
Month]=F$2)*(Table4[Installation]=$B37))/MAX(1,F37)</f>
        <v>0</v>
      </c>
      <c r="I37" s="27">
        <f>SUMIFS(Table4[Rev. Based on PROB],Table4[Installation],$B37,Table4[Projected 
Year],I$1,Table4[Projected 
Month],I$2)</f>
        <v>0</v>
      </c>
      <c r="J37" s="159">
        <f>SUMPRODUCT(Table4[Probability]*Table4[Rev. Based on PROB]*(Table4[Installation]=$B37)*(Table4[Projected 
Year]=I$1)*(Table4[Projected 
Month]=I$2))/MAX(1,SUMPRODUCT(Table4[Rev. Based on PROB]*(Table4[Installation]=$B37)*(Table4[Projected 
Year]=I$1)*(Table4[Projected 
Month]=I$2)))</f>
        <v>0</v>
      </c>
      <c r="K37" s="160">
        <f>SUMPRODUCT(Table4[Rev. Based on PROB]*Table4[Expected CMR]*(Table4[Projected 
Year]=I$1)*(Table4[Projected 
Month]=I$2)*(Table4[Installation]=$B37))/MAX(1,I37)</f>
        <v>0</v>
      </c>
      <c r="L37" s="27">
        <f>SUMIFS(Table4[Rev. Based on PROB],Table4[Installation],$B37,Table4[Projected 
Year],L$1,Table4[Projected 
Month],L$2)</f>
        <v>0</v>
      </c>
      <c r="M37" s="159">
        <f>SUMPRODUCT(Table4[Probability]*Table4[Rev. Based on PROB]*(Table4[Installation]=$B37)*(Table4[Projected 
Year]=L$1)*(Table4[Projected 
Month]=L$2))/MAX(1,SUMPRODUCT(Table4[Rev. Based on PROB]*(Table4[Installation]=$B37)*(Table4[Projected 
Year]=L$1)*(Table4[Projected 
Month]=L$2)))</f>
        <v>0</v>
      </c>
      <c r="N37" s="160">
        <f>SUMPRODUCT(Table4[Rev. Based on PROB]*Table4[Expected CMR]*(Table4[Projected 
Year]=L$1)*(Table4[Projected 
Month]=L$2)*(Table4[Installation]=$B37))/MAX(1,L37)</f>
        <v>0</v>
      </c>
      <c r="O37" s="27">
        <f>SUMIFS(Table4[Rev. Based on PROB],Table4[Installation],$B37,Table4[Projected 
Year],O$1,Table4[Projected 
Month],O$2)</f>
        <v>0</v>
      </c>
      <c r="P37" s="159">
        <f>SUMPRODUCT(Table4[Probability]*Table4[Rev. Based on PROB]*(Table4[Installation]=$B37)*(Table4[Projected 
Year]=O$1)*(Table4[Projected 
Month]=O$2))/MAX(1,SUMPRODUCT(Table4[Rev. Based on PROB]*(Table4[Installation]=$B37)*(Table4[Projected 
Year]=O$1)*(Table4[Projected 
Month]=O$2)))</f>
        <v>0</v>
      </c>
      <c r="Q37" s="160">
        <f>SUMPRODUCT(Table4[Rev. Based on PROB]*Table4[Expected CMR]*(Table4[Projected 
Year]=O$1)*(Table4[Projected 
Month]=O$2)*(Table4[Installation]=$B37))/MAX(1,O37)</f>
        <v>0</v>
      </c>
      <c r="R37" s="27">
        <f>SUMIFS(Table4[Rev. Based on PROB],Table4[Installation],$B37,Table4[Projected 
Year],R$1,Table4[Projected 
Month],R$2)</f>
        <v>0</v>
      </c>
      <c r="S37" s="159">
        <f>SUMPRODUCT(Table4[Probability]*Table4[Rev. Based on PROB]*(Table4[Installation]=$B37)*(Table4[Projected 
Year]=R$1)*(Table4[Projected 
Month]=R$2))/MAX(1,SUMPRODUCT(Table4[Rev. Based on PROB]*(Table4[Installation]=$B37)*(Table4[Projected 
Year]=R$1)*(Table4[Projected 
Month]=R$2)))</f>
        <v>0</v>
      </c>
      <c r="T37" s="160">
        <f>SUMPRODUCT(Table4[Rev. Based on PROB]*Table4[Expected CMR]*(Table4[Projected 
Year]=R$1)*(Table4[Projected 
Month]=R$2)*(Table4[Installation]=$B37))/MAX(1,R37)</f>
        <v>0</v>
      </c>
      <c r="U37" s="27">
        <f>SUMIFS(Table4[Rev. Based on PROB],Table4[Installation],$B37,Table4[Projected 
Year],U$1,Table4[Projected 
Month],U$2)</f>
        <v>0</v>
      </c>
      <c r="V37" s="159">
        <f>SUMPRODUCT(Table4[Probability]*Table4[Rev. Based on PROB]*(Table4[Installation]=$B37)*(Table4[Projected 
Year]=U$1)*(Table4[Projected 
Month]=U$2))/MAX(1,SUMPRODUCT(Table4[Rev. Based on PROB]*(Table4[Installation]=$B37)*(Table4[Projected 
Year]=U$1)*(Table4[Projected 
Month]=U$2)))</f>
        <v>0</v>
      </c>
      <c r="W37" s="160">
        <f>SUMPRODUCT(Table4[Rev. Based on PROB]*Table4[Expected CMR]*(Table4[Projected 
Year]=U$1)*(Table4[Projected 
Month]=U$2)*(Table4[Installation]=$B37))/MAX(1,U37)</f>
        <v>0</v>
      </c>
      <c r="X37" s="27">
        <f>SUMIFS(Table4[Rev. Based on PROB],Table4[Installation],$B37,Table4[Projected 
Year],X$1,Table4[Projected 
Month],X$2)</f>
        <v>0</v>
      </c>
      <c r="Y37" s="159">
        <f>SUMPRODUCT(Table4[Probability]*Table4[Rev. Based on PROB]*(Table4[Installation]=$B37)*(Table4[Projected 
Year]=X$1)*(Table4[Projected 
Month]=X$2))/MAX(1,SUMPRODUCT(Table4[Rev. Based on PROB]*(Table4[Installation]=$B37)*(Table4[Projected 
Year]=X$1)*(Table4[Projected 
Month]=X$2)))</f>
        <v>0</v>
      </c>
      <c r="Z37" s="160">
        <f>SUMPRODUCT(Table4[Rev. Based on PROB]*Table4[Expected CMR]*(Table4[Projected 
Year]=X$1)*(Table4[Projected 
Month]=X$2)*(Table4[Installation]=$B37))/MAX(1,X37)</f>
        <v>0</v>
      </c>
      <c r="AA37" s="27">
        <f>SUMIFS(Table4[Rev. Based on PROB],Table4[Installation],$B37,Table4[Projected 
Year],AA$1,Table4[Projected 
Month],AA$2)</f>
        <v>0</v>
      </c>
      <c r="AB37" s="159">
        <f>SUMPRODUCT(Table4[Probability]*Table4[Rev. Based on PROB]*(Table4[Installation]=$B37)*(Table4[Projected 
Year]=AA$1)*(Table4[Projected 
Month]=AA$2))/MAX(1,SUMPRODUCT(Table4[Rev. Based on PROB]*(Table4[Installation]=$B37)*(Table4[Projected 
Year]=AA$1)*(Table4[Projected 
Month]=AA$2)))</f>
        <v>0</v>
      </c>
      <c r="AC37" s="160">
        <f>SUMPRODUCT(Table4[Rev. Based on PROB]*Table4[Expected CMR]*(Table4[Projected 
Year]=AA$1)*(Table4[Projected 
Month]=AA$2)*(Table4[Installation]=$B37))/MAX(1,AA37)</f>
        <v>0</v>
      </c>
      <c r="AD37" s="27">
        <f>SUMIFS(Table4[Rev. Based on PROB],Table4[Installation],$B37,Table4[Projected 
Year],AD$1,Table4[Projected 
Month],AD$2)</f>
        <v>0</v>
      </c>
      <c r="AE37" s="159">
        <f>SUMPRODUCT(Table4[Probability]*Table4[Rev. Based on PROB]*(Table4[Installation]=$B37)*(Table4[Projected 
Year]=AD$1)*(Table4[Projected 
Month]=AD$2))/MAX(1,SUMPRODUCT(Table4[Rev. Based on PROB]*(Table4[Installation]=$B37)*(Table4[Projected 
Year]=AD$1)*(Table4[Projected 
Month]=AD$2)))</f>
        <v>0</v>
      </c>
      <c r="AF37" s="160">
        <f>SUMPRODUCT(Table4[Rev. Based on PROB]*Table4[Expected CMR]*(Table4[Projected 
Year]=AD$1)*(Table4[Projected 
Month]=AD$2)*(Table4[Installation]=$B37))/MAX(1,AD37)</f>
        <v>0</v>
      </c>
      <c r="AG37" s="27">
        <f>SUMIFS(Table4[Rev. Based on PROB],Table4[Installation],$B37,Table4[Projected 
Year],AG$1,Table4[Projected 
Month],AG$2)</f>
        <v>0</v>
      </c>
      <c r="AH37" s="159">
        <f>SUMPRODUCT(Table4[Probability]*Table4[Rev. Based on PROB]*(Table4[Installation]=$B37)*(Table4[Projected 
Year]=AG$1)*(Table4[Projected 
Month]=AG$2))/MAX(1,SUMPRODUCT(Table4[Rev. Based on PROB]*(Table4[Installation]=$B37)*(Table4[Projected 
Year]=AG$1)*(Table4[Projected 
Month]=AG$2)))</f>
        <v>0</v>
      </c>
      <c r="AI37" s="160">
        <f>SUMPRODUCT(Table4[Rev. Based on PROB]*Table4[Expected CMR]*(Table4[Projected 
Year]=AG$1)*(Table4[Projected 
Month]=AG$2)*(Table4[Installation]=$B37))/MAX(1,AG37)</f>
        <v>0</v>
      </c>
      <c r="AJ37" s="27">
        <f>SUMIFS(Table4[Rev. Based on PROB],Table4[Installation],$B37,Table4[Projected 
Year],AJ$1,Table4[Projected 
Month],AJ$2)</f>
        <v>0</v>
      </c>
      <c r="AK37" s="159">
        <f>SUMPRODUCT(Table4[Probability]*Table4[Rev. Based on PROB]*(Table4[Installation]=$B37)*(Table4[Projected 
Year]=AJ$1)*(Table4[Projected 
Month]=AJ$2))/MAX(1,SUMPRODUCT(Table4[Rev. Based on PROB]*(Table4[Installation]=$B37)*(Table4[Projected 
Year]=AJ$1)*(Table4[Projected 
Month]=AJ$2)))</f>
        <v>0</v>
      </c>
      <c r="AL37" s="160">
        <f>SUMPRODUCT(Table4[Rev. Based on PROB]*Table4[Expected CMR]*(Table4[Projected 
Year]=AJ$1)*(Table4[Projected 
Month]=AJ$2)*(Table4[Installation]=$B37))/MAX(1,AJ37)</f>
        <v>0</v>
      </c>
      <c r="AM37" s="30">
        <f t="shared" si="7"/>
        <v>0</v>
      </c>
      <c r="AN37" s="52">
        <f t="shared" si="11"/>
        <v>0</v>
      </c>
      <c r="AO37" s="53">
        <f t="shared" si="12"/>
        <v>0</v>
      </c>
      <c r="AP37" s="27">
        <f>SUMIFS(Table47[Rev. Based on PROB],Table47[Installation],$B37,Table47[Projected 
Year],AP$1,Table47[Monthly revenue],AP$2)</f>
        <v>0</v>
      </c>
      <c r="AQ37" s="159">
        <f>SUMPRODUCT(Table4[Probability]*Table4[Rev. Based on PROB]*(Table4[Installation]=$B37)*(Table4[Projected 
Year]=AP$1)*(Table4[Projected 
Month]=AP$2))/MAX(1,SUMPRODUCT(Table4[Rev. Based on PROB]*(Table4[Installation]=$B37)*(Table4[Projected 
Year]=AP$1)*(Table4[Projected 
Month]=AP$2)))</f>
        <v>0</v>
      </c>
      <c r="AR37" s="160">
        <f>SUMPRODUCT(Table4[Rev. Based on PROB]*Table4[Expected CMR]*(Table4[Projected 
Year]=AP$1)*(Table4[Projected 
Month]=AP$2)*(Table4[Installation]=$B37))/MAX(1,AP37)</f>
        <v>0</v>
      </c>
      <c r="AS37" s="27">
        <f>SUMIFS(Table47[Rev. Based on PROB],Table47[Installation],$B37,Table47[Projected 
Year],AS$1,Table47[Monthly revenue],AS$2)</f>
        <v>0</v>
      </c>
      <c r="AT37" s="159">
        <f>SUMPRODUCT(Table4[Probability]*Table4[Rev. Based on PROB]*(Table4[Installation]=$B37)*(Table4[Projected 
Year]=AS$1)*(Table4[Projected 
Month]=AS$2))/MAX(1,SUMPRODUCT(Table4[Rev. Based on PROB]*(Table4[Installation]=$B37)*(Table4[Projected 
Year]=AS$1)*(Table4[Projected 
Month]=AS$2)))</f>
        <v>0</v>
      </c>
      <c r="AU37" s="160">
        <f>SUMPRODUCT(Table4[Rev. Based on PROB]*Table4[Expected CMR]*(Table4[Projected 
Year]=AS$1)*(Table4[Projected 
Month]=AS$2)*(Table4[Installation]=$B37))/MAX(1,AS37)</f>
        <v>0</v>
      </c>
      <c r="AV37" s="27">
        <f>SUMIFS(Table47[Rev. Based on PROB],Table47[Installation],$B37,Table47[Projected 
Year],AV$1,Table47[Monthly revenue],AV$2)</f>
        <v>0</v>
      </c>
      <c r="AW37" s="159">
        <f>SUMPRODUCT(Table4[Probability]*Table4[Rev. Based on PROB]*(Table4[Installation]=$B37)*(Table4[Projected 
Year]=AV$1)*(Table4[Projected 
Month]=AV$2))/MAX(1,SUMPRODUCT(Table4[Rev. Based on PROB]*(Table4[Installation]=$B37)*(Table4[Projected 
Year]=AV$1)*(Table4[Projected 
Month]=AV$2)))</f>
        <v>0</v>
      </c>
      <c r="AX37" s="160">
        <f>SUMPRODUCT(Table4[Rev. Based on PROB]*Table4[Expected CMR]*(Table4[Projected 
Year]=AV$1)*(Table4[Projected 
Month]=AV$2)*(Table4[Installation]=$B37))/MAX(1,AV37)</f>
        <v>0</v>
      </c>
      <c r="AY37" s="27">
        <f>SUMIFS(Table47[Rev. Based on PROB],Table47[Installation],$B37,Table47[Projected 
Year],AY$1,Table47[Monthly revenue],AY$2)</f>
        <v>0</v>
      </c>
      <c r="AZ37" s="159">
        <f>SUMPRODUCT(Table4[Probability]*Table4[Rev. Based on PROB]*(Table4[Installation]=$B37)*(Table4[Projected 
Year]=AY$1)*(Table4[Projected 
Month]=AY$2))/MAX(1,SUMPRODUCT(Table4[Rev. Based on PROB]*(Table4[Installation]=$B37)*(Table4[Projected 
Year]=AY$1)*(Table4[Projected 
Month]=AY$2)))</f>
        <v>0</v>
      </c>
      <c r="BA37" s="160">
        <f>SUMPRODUCT(Table4[Rev. Based on PROB]*Table4[Expected CMR]*(Table4[Projected 
Year]=AY$1)*(Table4[Projected 
Month]=AY$2)*(Table4[Installation]=$B37))/MAX(1,AY37)</f>
        <v>0</v>
      </c>
      <c r="BB37" s="27">
        <f>SUMIFS(Table47[Rev. Based on PROB],Table47[Installation],$B37,Table47[Projected 
Year],BB$1,Table47[Monthly revenue],BB$2)</f>
        <v>0</v>
      </c>
      <c r="BC37" s="159">
        <f>SUMPRODUCT(Table4[Probability]*Table4[Rev. Based on PROB]*(Table4[Installation]=$B37)*(Table4[Projected 
Year]=BB$1)*(Table4[Projected 
Month]=BB$2))/MAX(1,SUMPRODUCT(Table4[Rev. Based on PROB]*(Table4[Installation]=$B37)*(Table4[Projected 
Year]=BB$1)*(Table4[Projected 
Month]=BB$2)))</f>
        <v>0</v>
      </c>
      <c r="BD37" s="160">
        <f>SUMPRODUCT(Table4[Rev. Based on PROB]*Table4[Expected CMR]*(Table4[Projected 
Year]=BB$1)*(Table4[Projected 
Month]=BB$2)*(Table4[Installation]=$B37))/MAX(1,BB37)</f>
        <v>0</v>
      </c>
      <c r="BE37" s="27">
        <f>SUMIFS(Table47[Rev. Based on PROB],Table47[Installation],$B37,Table47[Projected 
Year],BE$1,Table47[Monthly revenue],BE$2)</f>
        <v>0</v>
      </c>
      <c r="BF37" s="159">
        <f>SUMPRODUCT(Table4[Probability]*Table4[Rev. Based on PROB]*(Table4[Installation]=$B37)*(Table4[Projected 
Year]=BE$1)*(Table4[Projected 
Month]=BE$2))/MAX(1,SUMPRODUCT(Table4[Rev. Based on PROB]*(Table4[Installation]=$B37)*(Table4[Projected 
Year]=BE$1)*(Table4[Projected 
Month]=BE$2)))</f>
        <v>0</v>
      </c>
      <c r="BG37" s="160">
        <f>SUMPRODUCT(Table4[Rev. Based on PROB]*Table4[Expected CMR]*(Table4[Projected 
Year]=BE$1)*(Table4[Projected 
Month]=BE$2)*(Table4[Installation]=$B37))/MAX(1,BE37)</f>
        <v>0</v>
      </c>
      <c r="BH37" s="27">
        <f>SUMIFS(Table47[Rev. Based on PROB],Table47[Installation],$B37,Table47[Projected 
Year],BH$1,Table47[Monthly revenue],BH$2)</f>
        <v>0</v>
      </c>
      <c r="BI37" s="159">
        <f>SUMPRODUCT(Table4[Probability]*Table4[Rev. Based on PROB]*(Table4[Installation]=$B37)*(Table4[Projected 
Year]=BH$1)*(Table4[Projected 
Month]=BH$2))/MAX(1,SUMPRODUCT(Table4[Rev. Based on PROB]*(Table4[Installation]=$B37)*(Table4[Projected 
Year]=BH$1)*(Table4[Projected 
Month]=BH$2)))</f>
        <v>0</v>
      </c>
      <c r="BJ37" s="160">
        <f>SUMPRODUCT(Table4[Rev. Based on PROB]*Table4[Expected CMR]*(Table4[Projected 
Year]=BH$1)*(Table4[Projected 
Month]=BH$2)*(Table4[Installation]=$B37))/MAX(1,BH37)</f>
        <v>0</v>
      </c>
      <c r="BK37" s="27">
        <f>SUMIFS(Table47[Rev. Based on PROB],Table47[Installation],$B37,Table47[Projected 
Year],BK$1,Table47[Monthly revenue],BK$2)</f>
        <v>0</v>
      </c>
      <c r="BL37" s="159">
        <f>SUMPRODUCT(Table4[Probability]*Table4[Rev. Based on PROB]*(Table4[Installation]=$B37)*(Table4[Projected 
Year]=BK$1)*(Table4[Projected 
Month]=BK$2))/MAX(1,SUMPRODUCT(Table4[Rev. Based on PROB]*(Table4[Installation]=$B37)*(Table4[Projected 
Year]=BK$1)*(Table4[Projected 
Month]=BK$2)))</f>
        <v>0</v>
      </c>
      <c r="BM37" s="160">
        <f>SUMPRODUCT(Table4[Rev. Based on PROB]*Table4[Expected CMR]*(Table4[Projected 
Year]=BK$1)*(Table4[Projected 
Month]=BK$2)*(Table4[Installation]=$B37))/MAX(1,BK37)</f>
        <v>0</v>
      </c>
      <c r="BN37" s="27">
        <f>SUMIFS(Table47[Rev. Based on PROB],Table47[Installation],$B37,Table47[Projected 
Year],BN$1,Table47[Monthly revenue],BN$2)</f>
        <v>0</v>
      </c>
      <c r="BO37" s="159">
        <f>SUMPRODUCT(Table4[Probability]*Table4[Rev. Based on PROB]*(Table4[Installation]=$B37)*(Table4[Projected 
Year]=BN$1)*(Table4[Projected 
Month]=BN$2))/MAX(1,SUMPRODUCT(Table4[Rev. Based on PROB]*(Table4[Installation]=$B37)*(Table4[Projected 
Year]=BN$1)*(Table4[Projected 
Month]=BN$2)))</f>
        <v>0</v>
      </c>
      <c r="BP37" s="160">
        <f>SUMPRODUCT(Table4[Rev. Based on PROB]*Table4[Expected CMR]*(Table4[Projected 
Year]=BN$1)*(Table4[Projected 
Month]=BN$2)*(Table4[Installation]=$B37))/MAX(1,BN37)</f>
        <v>0</v>
      </c>
      <c r="BQ37" s="27">
        <f>SUMIFS(Table47[Rev. Based on PROB],Table47[Installation],$B37,Table47[Projected 
Year],BQ$1,Table47[Monthly revenue],BQ$2)</f>
        <v>0</v>
      </c>
      <c r="BR37" s="159">
        <f>SUMPRODUCT(Table4[Probability]*Table4[Rev. Based on PROB]*(Table4[Installation]=$B37)*(Table4[Projected 
Year]=BQ$1)*(Table4[Projected 
Month]=BQ$2))/MAX(1,SUMPRODUCT(Table4[Rev. Based on PROB]*(Table4[Installation]=$B37)*(Table4[Projected 
Year]=BQ$1)*(Table4[Projected 
Month]=BQ$2)))</f>
        <v>0</v>
      </c>
      <c r="BS37" s="160">
        <f>SUMPRODUCT(Table4[Rev. Based on PROB]*Table4[Expected CMR]*(Table4[Projected 
Year]=BQ$1)*(Table4[Projected 
Month]=BQ$2)*(Table4[Installation]=$B37))/MAX(1,BQ37)</f>
        <v>0</v>
      </c>
      <c r="BT37" s="27">
        <f>SUMIFS(Table47[Rev. Based on PROB],Table47[Installation],$B37,Table47[Projected 
Year],BT$1,Table47[Monthly revenue],BT$2)</f>
        <v>0</v>
      </c>
      <c r="BU37" s="159">
        <f>SUMPRODUCT(Table4[Probability]*Table4[Rev. Based on PROB]*(Table4[Installation]=$B37)*(Table4[Projected 
Year]=BT$1)*(Table4[Projected 
Month]=BT$2))/MAX(1,SUMPRODUCT(Table4[Rev. Based on PROB]*(Table4[Installation]=$B37)*(Table4[Projected 
Year]=BT$1)*(Table4[Projected 
Month]=BT$2)))</f>
        <v>0</v>
      </c>
      <c r="BV37" s="160">
        <f>SUMPRODUCT(Table4[Rev. Based on PROB]*Table4[Expected CMR]*(Table4[Projected 
Year]=BT$1)*(Table4[Projected 
Month]=BT$2)*(Table4[Installation]=$B37))/MAX(1,BT37)</f>
        <v>0</v>
      </c>
      <c r="BW37" s="27">
        <f>SUMIFS(Table47[Rev. Based on PROB],Table47[Installation],$B37,Table47[Projected 
Year],BW$1,Table47[Monthly revenue],BW$2)</f>
        <v>0</v>
      </c>
      <c r="BX37" s="159">
        <f>SUMPRODUCT(Table4[Probability]*Table4[Rev. Based on PROB]*(Table4[Installation]=$B37)*(Table4[Projected 
Year]=BW$1)*(Table4[Projected 
Month]=BW$2))/MAX(1,SUMPRODUCT(Table4[Rev. Based on PROB]*(Table4[Installation]=$B37)*(Table4[Projected 
Year]=BW$1)*(Table4[Projected 
Month]=BW$2)))</f>
        <v>0</v>
      </c>
      <c r="BY37" s="160">
        <f>SUMPRODUCT(Table4[Rev. Based on PROB]*Table4[Expected CMR]*(Table4[Projected 
Year]=BW$1)*(Table4[Projected 
Month]=BW$2)*(Table4[Installation]=$B37))/MAX(1,BW37)</f>
        <v>0</v>
      </c>
      <c r="BZ37" s="200"/>
      <c r="CA37" s="200"/>
      <c r="CB37" s="200"/>
      <c r="CC37" s="200"/>
      <c r="CD37" s="200"/>
      <c r="CE37" s="200"/>
      <c r="CF37" s="200"/>
      <c r="CG37" s="200"/>
      <c r="CH37" s="200"/>
      <c r="CI37" s="200"/>
      <c r="CJ37" s="200"/>
      <c r="CK37" s="200"/>
      <c r="CL37" s="200"/>
      <c r="CM37" s="200"/>
      <c r="CN37" s="200"/>
      <c r="CO37" s="200"/>
      <c r="CP37" s="200"/>
      <c r="CQ37" s="200"/>
      <c r="CR37" s="200"/>
      <c r="CS37" s="200"/>
      <c r="CT37" s="200"/>
      <c r="CU37" s="30">
        <f t="shared" si="0"/>
        <v>0</v>
      </c>
      <c r="CV37" s="52">
        <f t="shared" si="9"/>
        <v>0</v>
      </c>
      <c r="CW37" s="53">
        <f t="shared" si="10"/>
        <v>0</v>
      </c>
      <c r="CX37" s="29"/>
    </row>
    <row r="38" spans="1:102">
      <c r="A38" s="18"/>
      <c r="B38" s="20" t="s">
        <v>328</v>
      </c>
      <c r="C38" s="27"/>
      <c r="D38" s="23"/>
      <c r="E38" s="24"/>
      <c r="F38" s="27"/>
      <c r="G38" s="23"/>
      <c r="H38" s="24"/>
      <c r="I38" s="27"/>
      <c r="J38" s="23"/>
      <c r="K38" s="24"/>
      <c r="L38" s="27"/>
      <c r="M38" s="23"/>
      <c r="N38" s="24"/>
      <c r="O38" s="27"/>
      <c r="P38" s="23"/>
      <c r="Q38" s="24"/>
      <c r="R38" s="27"/>
      <c r="S38" s="23"/>
      <c r="T38" s="24"/>
      <c r="U38" s="27">
        <f>SUMIFS(Table4[Rev. Based on PROB],Table4[Installation],$B38,Table4[Projected 
Year],U$1,Table4[Projected 
Month],U$2)</f>
        <v>0</v>
      </c>
      <c r="V38" s="159">
        <f>SUMPRODUCT(Table4[Probability]*Table4[Rev. Based on PROB]*(Table4[Installation]=$B38)*(Table4[Projected 
Year]=U$1)*(Table4[Projected 
Month]=U$2))/MAX(1,SUMPRODUCT(Table4[Rev. Based on PROB]*(Table4[Installation]=$B38)*(Table4[Projected 
Year]=U$1)*(Table4[Projected 
Month]=U$2)))</f>
        <v>0</v>
      </c>
      <c r="W38" s="160">
        <f>SUMPRODUCT(Table4[Rev. Based on PROB]*Table4[Expected CMR]*(Table4[Projected 
Year]=U$1)*(Table4[Projected 
Month]=U$2)*(Table4[Installation]=$B38))/MAX(1,U38)</f>
        <v>0</v>
      </c>
      <c r="X38" s="27">
        <f>SUMIFS(Table4[Rev. Based on PROB],Table4[Installation],$B38,Table4[Projected 
Year],X$1,Table4[Projected 
Month],X$2)</f>
        <v>0</v>
      </c>
      <c r="Y38" s="159">
        <f>SUMPRODUCT(Table4[Probability]*Table4[Rev. Based on PROB]*(Table4[Installation]=$B38)*(Table4[Projected 
Year]=X$1)*(Table4[Projected 
Month]=X$2))/MAX(1,SUMPRODUCT(Table4[Rev. Based on PROB]*(Table4[Installation]=$B38)*(Table4[Projected 
Year]=X$1)*(Table4[Projected 
Month]=X$2)))</f>
        <v>0</v>
      </c>
      <c r="Z38" s="160">
        <f>SUMPRODUCT(Table4[Rev. Based on PROB]*Table4[Expected CMR]*(Table4[Projected 
Year]=X$1)*(Table4[Projected 
Month]=X$2)*(Table4[Installation]=$B38))/MAX(1,X38)</f>
        <v>0</v>
      </c>
      <c r="AA38" s="27">
        <f>SUMIFS(Table4[Rev. Based on PROB],Table4[Installation],$B38,Table4[Projected 
Year],AA$1,Table4[Projected 
Month],AA$2)</f>
        <v>0</v>
      </c>
      <c r="AB38" s="159">
        <f>SUMPRODUCT(Table4[Probability]*Table4[Rev. Based on PROB]*(Table4[Installation]=$B38)*(Table4[Projected 
Year]=AA$1)*(Table4[Projected 
Month]=AA$2))/MAX(1,SUMPRODUCT(Table4[Rev. Based on PROB]*(Table4[Installation]=$B38)*(Table4[Projected 
Year]=AA$1)*(Table4[Projected 
Month]=AA$2)))</f>
        <v>0</v>
      </c>
      <c r="AC38" s="160">
        <f>SUMPRODUCT(Table4[Rev. Based on PROB]*Table4[Expected CMR]*(Table4[Projected 
Year]=AA$1)*(Table4[Projected 
Month]=AA$2)*(Table4[Installation]=$B38))/MAX(1,AA38)</f>
        <v>0</v>
      </c>
      <c r="AD38" s="27">
        <f>SUMIFS(Table4[Rev. Based on PROB],Table4[Installation],$B38,Table4[Projected 
Year],AD$1,Table4[Projected 
Month],AD$2)</f>
        <v>0</v>
      </c>
      <c r="AE38" s="159">
        <f>SUMPRODUCT(Table4[Probability]*Table4[Rev. Based on PROB]*(Table4[Installation]=$B38)*(Table4[Projected 
Year]=AD$1)*(Table4[Projected 
Month]=AD$2))/MAX(1,SUMPRODUCT(Table4[Rev. Based on PROB]*(Table4[Installation]=$B38)*(Table4[Projected 
Year]=AD$1)*(Table4[Projected 
Month]=AD$2)))</f>
        <v>0</v>
      </c>
      <c r="AF38" s="160">
        <f>SUMPRODUCT(Table4[Rev. Based on PROB]*Table4[Expected CMR]*(Table4[Projected 
Year]=AD$1)*(Table4[Projected 
Month]=AD$2)*(Table4[Installation]=$B38))/MAX(1,AD38)</f>
        <v>0</v>
      </c>
      <c r="AG38" s="27">
        <f>SUMIFS(Table4[Rev. Based on PROB],Table4[Installation],$B38,Table4[Projected 
Year],AG$1,Table4[Projected 
Month],AG$2)</f>
        <v>0</v>
      </c>
      <c r="AH38" s="159">
        <f>SUMPRODUCT(Table4[Probability]*Table4[Rev. Based on PROB]*(Table4[Installation]=$B38)*(Table4[Projected 
Year]=AG$1)*(Table4[Projected 
Month]=AG$2))/MAX(1,SUMPRODUCT(Table4[Rev. Based on PROB]*(Table4[Installation]=$B38)*(Table4[Projected 
Year]=AG$1)*(Table4[Projected 
Month]=AG$2)))</f>
        <v>0</v>
      </c>
      <c r="AI38" s="160">
        <f>SUMPRODUCT(Table4[Rev. Based on PROB]*Table4[Expected CMR]*(Table4[Projected 
Year]=AG$1)*(Table4[Projected 
Month]=AG$2)*(Table4[Installation]=$B38))/MAX(1,AG38)</f>
        <v>0</v>
      </c>
      <c r="AJ38" s="27">
        <f>SUMIFS(Table4[Rev. Based on PROB],Table4[Installation],$B38,Table4[Projected 
Year],AJ$1,Table4[Projected 
Month],AJ$2)</f>
        <v>0</v>
      </c>
      <c r="AK38" s="159">
        <f>SUMPRODUCT(Table4[Probability]*Table4[Rev. Based on PROB]*(Table4[Installation]=$B38)*(Table4[Projected 
Year]=AJ$1)*(Table4[Projected 
Month]=AJ$2))/MAX(1,SUMPRODUCT(Table4[Rev. Based on PROB]*(Table4[Installation]=$B38)*(Table4[Projected 
Year]=AJ$1)*(Table4[Projected 
Month]=AJ$2)))</f>
        <v>0</v>
      </c>
      <c r="AL38" s="160">
        <f>SUMPRODUCT(Table4[Rev. Based on PROB]*Table4[Expected CMR]*(Table4[Projected 
Year]=AJ$1)*(Table4[Projected 
Month]=AJ$2)*(Table4[Installation]=$B38))/MAX(1,AJ38)</f>
        <v>0</v>
      </c>
      <c r="AM38" s="30">
        <f t="shared" si="7"/>
        <v>0</v>
      </c>
      <c r="AN38" s="52">
        <f t="shared" si="11"/>
        <v>0</v>
      </c>
      <c r="AO38" s="53">
        <f t="shared" si="12"/>
        <v>0</v>
      </c>
      <c r="AP38" s="27">
        <f>SUMIFS(Table47[Rev. Based on PROB],Table47[Installation],$B38,Table47[Projected 
Year],AP$1,Table47[Monthly revenue],AP$2)</f>
        <v>0</v>
      </c>
      <c r="AQ38" s="159">
        <f>SUMPRODUCT(Table4[Probability]*Table4[Rev. Based on PROB]*(Table4[Installation]=$B38)*(Table4[Projected 
Year]=AP$1)*(Table4[Projected 
Month]=AP$2))/MAX(1,SUMPRODUCT(Table4[Rev. Based on PROB]*(Table4[Installation]=$B38)*(Table4[Projected 
Year]=AP$1)*(Table4[Projected 
Month]=AP$2)))</f>
        <v>0</v>
      </c>
      <c r="AR38" s="160">
        <f>SUMPRODUCT(Table4[Rev. Based on PROB]*Table4[Expected CMR]*(Table4[Projected 
Year]=AP$1)*(Table4[Projected 
Month]=AP$2)*(Table4[Installation]=$B38))/MAX(1,AP38)</f>
        <v>0</v>
      </c>
      <c r="AS38" s="27">
        <f>SUMIFS(Table47[Rev. Based on PROB],Table47[Installation],$B38,Table47[Projected 
Year],AS$1,Table47[Monthly revenue],AS$2)</f>
        <v>0</v>
      </c>
      <c r="AT38" s="159">
        <f>SUMPRODUCT(Table4[Probability]*Table4[Rev. Based on PROB]*(Table4[Installation]=$B38)*(Table4[Projected 
Year]=AS$1)*(Table4[Projected 
Month]=AS$2))/MAX(1,SUMPRODUCT(Table4[Rev. Based on PROB]*(Table4[Installation]=$B38)*(Table4[Projected 
Year]=AS$1)*(Table4[Projected 
Month]=AS$2)))</f>
        <v>0</v>
      </c>
      <c r="AU38" s="160">
        <f>SUMPRODUCT(Table4[Rev. Based on PROB]*Table4[Expected CMR]*(Table4[Projected 
Year]=AS$1)*(Table4[Projected 
Month]=AS$2)*(Table4[Installation]=$B38))/MAX(1,AS38)</f>
        <v>0</v>
      </c>
      <c r="AV38" s="27">
        <f>SUMIFS(Table47[Rev. Based on PROB],Table47[Installation],$B38,Table47[Projected 
Year],AV$1,Table47[Monthly revenue],AV$2)</f>
        <v>0</v>
      </c>
      <c r="AW38" s="159">
        <f>SUMPRODUCT(Table4[Probability]*Table4[Rev. Based on PROB]*(Table4[Installation]=$B38)*(Table4[Projected 
Year]=AV$1)*(Table4[Projected 
Month]=AV$2))/MAX(1,SUMPRODUCT(Table4[Rev. Based on PROB]*(Table4[Installation]=$B38)*(Table4[Projected 
Year]=AV$1)*(Table4[Projected 
Month]=AV$2)))</f>
        <v>0</v>
      </c>
      <c r="AX38" s="160">
        <f>SUMPRODUCT(Table4[Rev. Based on PROB]*Table4[Expected CMR]*(Table4[Projected 
Year]=AV$1)*(Table4[Projected 
Month]=AV$2)*(Table4[Installation]=$B38))/MAX(1,AV38)</f>
        <v>0</v>
      </c>
      <c r="AY38" s="27">
        <f>SUMIFS(Table47[Rev. Based on PROB],Table47[Installation],$B38,Table47[Projected 
Year],AY$1,Table47[Monthly revenue],AY$2)</f>
        <v>0</v>
      </c>
      <c r="AZ38" s="159">
        <f>SUMPRODUCT(Table4[Probability]*Table4[Rev. Based on PROB]*(Table4[Installation]=$B38)*(Table4[Projected 
Year]=AY$1)*(Table4[Projected 
Month]=AY$2))/MAX(1,SUMPRODUCT(Table4[Rev. Based on PROB]*(Table4[Installation]=$B38)*(Table4[Projected 
Year]=AY$1)*(Table4[Projected 
Month]=AY$2)))</f>
        <v>0</v>
      </c>
      <c r="BA38" s="160">
        <f>SUMPRODUCT(Table4[Rev. Based on PROB]*Table4[Expected CMR]*(Table4[Projected 
Year]=AY$1)*(Table4[Projected 
Month]=AY$2)*(Table4[Installation]=$B38))/MAX(1,AY38)</f>
        <v>0</v>
      </c>
      <c r="BB38" s="27">
        <f>SUMIFS(Table47[Rev. Based on PROB],Table47[Installation],$B38,Table47[Projected 
Year],BB$1,Table47[Monthly revenue],BB$2)</f>
        <v>0</v>
      </c>
      <c r="BC38" s="159">
        <f>SUMPRODUCT(Table4[Probability]*Table4[Rev. Based on PROB]*(Table4[Installation]=$B38)*(Table4[Projected 
Year]=BB$1)*(Table4[Projected 
Month]=BB$2))/MAX(1,SUMPRODUCT(Table4[Rev. Based on PROB]*(Table4[Installation]=$B38)*(Table4[Projected 
Year]=BB$1)*(Table4[Projected 
Month]=BB$2)))</f>
        <v>0</v>
      </c>
      <c r="BD38" s="160">
        <f>SUMPRODUCT(Table4[Rev. Based on PROB]*Table4[Expected CMR]*(Table4[Projected 
Year]=BB$1)*(Table4[Projected 
Month]=BB$2)*(Table4[Installation]=$B38))/MAX(1,BB38)</f>
        <v>0</v>
      </c>
      <c r="BE38" s="27">
        <f>SUMIFS(Table47[Rev. Based on PROB],Table47[Installation],$B38,Table47[Projected 
Year],BE$1,Table47[Monthly revenue],BE$2)</f>
        <v>0</v>
      </c>
      <c r="BF38" s="159">
        <f>SUMPRODUCT(Table4[Probability]*Table4[Rev. Based on PROB]*(Table4[Installation]=$B38)*(Table4[Projected 
Year]=BE$1)*(Table4[Projected 
Month]=BE$2))/MAX(1,SUMPRODUCT(Table4[Rev. Based on PROB]*(Table4[Installation]=$B38)*(Table4[Projected 
Year]=BE$1)*(Table4[Projected 
Month]=BE$2)))</f>
        <v>0</v>
      </c>
      <c r="BG38" s="160">
        <f>SUMPRODUCT(Table4[Rev. Based on PROB]*Table4[Expected CMR]*(Table4[Projected 
Year]=BE$1)*(Table4[Projected 
Month]=BE$2)*(Table4[Installation]=$B38))/MAX(1,BE38)</f>
        <v>0</v>
      </c>
      <c r="BH38" s="27">
        <f>SUMIFS(Table47[Rev. Based on PROB],Table47[Installation],$B38,Table47[Projected 
Year],BH$1,Table47[Monthly revenue],BH$2)</f>
        <v>0</v>
      </c>
      <c r="BI38" s="159">
        <f>SUMPRODUCT(Table4[Probability]*Table4[Rev. Based on PROB]*(Table4[Installation]=$B38)*(Table4[Projected 
Year]=BH$1)*(Table4[Projected 
Month]=BH$2))/MAX(1,SUMPRODUCT(Table4[Rev. Based on PROB]*(Table4[Installation]=$B38)*(Table4[Projected 
Year]=BH$1)*(Table4[Projected 
Month]=BH$2)))</f>
        <v>0</v>
      </c>
      <c r="BJ38" s="160">
        <f>SUMPRODUCT(Table4[Rev. Based on PROB]*Table4[Expected CMR]*(Table4[Projected 
Year]=BH$1)*(Table4[Projected 
Month]=BH$2)*(Table4[Installation]=$B38))/MAX(1,BH38)</f>
        <v>0</v>
      </c>
      <c r="BK38" s="27">
        <f>SUMIFS(Table47[Rev. Based on PROB],Table47[Installation],$B38,Table47[Projected 
Year],BK$1,Table47[Monthly revenue],BK$2)</f>
        <v>0</v>
      </c>
      <c r="BL38" s="159">
        <f>SUMPRODUCT(Table4[Probability]*Table4[Rev. Based on PROB]*(Table4[Installation]=$B38)*(Table4[Projected 
Year]=BK$1)*(Table4[Projected 
Month]=BK$2))/MAX(1,SUMPRODUCT(Table4[Rev. Based on PROB]*(Table4[Installation]=$B38)*(Table4[Projected 
Year]=BK$1)*(Table4[Projected 
Month]=BK$2)))</f>
        <v>0</v>
      </c>
      <c r="BM38" s="160">
        <f>SUMPRODUCT(Table4[Rev. Based on PROB]*Table4[Expected CMR]*(Table4[Projected 
Year]=BK$1)*(Table4[Projected 
Month]=BK$2)*(Table4[Installation]=$B38))/MAX(1,BK38)</f>
        <v>0</v>
      </c>
      <c r="BN38" s="27">
        <f>SUMIFS(Table47[Rev. Based on PROB],Table47[Installation],$B38,Table47[Projected 
Year],BN$1,Table47[Monthly revenue],BN$2)</f>
        <v>0</v>
      </c>
      <c r="BO38" s="159">
        <f>SUMPRODUCT(Table4[Probability]*Table4[Rev. Based on PROB]*(Table4[Installation]=$B38)*(Table4[Projected 
Year]=BN$1)*(Table4[Projected 
Month]=BN$2))/MAX(1,SUMPRODUCT(Table4[Rev. Based on PROB]*(Table4[Installation]=$B38)*(Table4[Projected 
Year]=BN$1)*(Table4[Projected 
Month]=BN$2)))</f>
        <v>0</v>
      </c>
      <c r="BP38" s="160">
        <f>SUMPRODUCT(Table4[Rev. Based on PROB]*Table4[Expected CMR]*(Table4[Projected 
Year]=BN$1)*(Table4[Projected 
Month]=BN$2)*(Table4[Installation]=$B38))/MAX(1,BN38)</f>
        <v>0</v>
      </c>
      <c r="BQ38" s="27">
        <f>SUMIFS(Table47[Rev. Based on PROB],Table47[Installation],$B38,Table47[Projected 
Year],BQ$1,Table47[Monthly revenue],BQ$2)</f>
        <v>0</v>
      </c>
      <c r="BR38" s="159">
        <f>SUMPRODUCT(Table4[Probability]*Table4[Rev. Based on PROB]*(Table4[Installation]=$B38)*(Table4[Projected 
Year]=BQ$1)*(Table4[Projected 
Month]=BQ$2))/MAX(1,SUMPRODUCT(Table4[Rev. Based on PROB]*(Table4[Installation]=$B38)*(Table4[Projected 
Year]=BQ$1)*(Table4[Projected 
Month]=BQ$2)))</f>
        <v>0</v>
      </c>
      <c r="BS38" s="160">
        <f>SUMPRODUCT(Table4[Rev. Based on PROB]*Table4[Expected CMR]*(Table4[Projected 
Year]=BQ$1)*(Table4[Projected 
Month]=BQ$2)*(Table4[Installation]=$B38))/MAX(1,BQ38)</f>
        <v>0</v>
      </c>
      <c r="BT38" s="27">
        <f>SUMIFS(Table47[Rev. Based on PROB],Table47[Installation],$B38,Table47[Projected 
Year],BT$1,Table47[Monthly revenue],BT$2)</f>
        <v>0</v>
      </c>
      <c r="BU38" s="159">
        <f>SUMPRODUCT(Table4[Probability]*Table4[Rev. Based on PROB]*(Table4[Installation]=$B38)*(Table4[Projected 
Year]=BT$1)*(Table4[Projected 
Month]=BT$2))/MAX(1,SUMPRODUCT(Table4[Rev. Based on PROB]*(Table4[Installation]=$B38)*(Table4[Projected 
Year]=BT$1)*(Table4[Projected 
Month]=BT$2)))</f>
        <v>0</v>
      </c>
      <c r="BV38" s="160">
        <f>SUMPRODUCT(Table4[Rev. Based on PROB]*Table4[Expected CMR]*(Table4[Projected 
Year]=BT$1)*(Table4[Projected 
Month]=BT$2)*(Table4[Installation]=$B38))/MAX(1,BT38)</f>
        <v>0</v>
      </c>
      <c r="BW38" s="27">
        <f>SUMIFS(Table47[Rev. Based on PROB],Table47[Installation],$B38,Table47[Projected 
Year],BW$1,Table47[Monthly revenue],BW$2)</f>
        <v>0</v>
      </c>
      <c r="BX38" s="159">
        <f>SUMPRODUCT(Table4[Probability]*Table4[Rev. Based on PROB]*(Table4[Installation]=$B38)*(Table4[Projected 
Year]=BW$1)*(Table4[Projected 
Month]=BW$2))/MAX(1,SUMPRODUCT(Table4[Rev. Based on PROB]*(Table4[Installation]=$B38)*(Table4[Projected 
Year]=BW$1)*(Table4[Projected 
Month]=BW$2)))</f>
        <v>0</v>
      </c>
      <c r="BY38" s="160">
        <f>SUMPRODUCT(Table4[Rev. Based on PROB]*Table4[Expected CMR]*(Table4[Projected 
Year]=BW$1)*(Table4[Projected 
Month]=BW$2)*(Table4[Installation]=$B38))/MAX(1,BW38)</f>
        <v>0</v>
      </c>
      <c r="BZ38" s="200"/>
      <c r="CA38" s="200"/>
      <c r="CB38" s="200"/>
      <c r="CC38" s="200"/>
      <c r="CD38" s="200"/>
      <c r="CE38" s="200"/>
      <c r="CF38" s="200"/>
      <c r="CG38" s="200"/>
      <c r="CH38" s="200"/>
      <c r="CI38" s="200"/>
      <c r="CJ38" s="200"/>
      <c r="CK38" s="200"/>
      <c r="CL38" s="200"/>
      <c r="CM38" s="200"/>
      <c r="CN38" s="200"/>
      <c r="CO38" s="200"/>
      <c r="CP38" s="200"/>
      <c r="CQ38" s="200"/>
      <c r="CR38" s="200"/>
      <c r="CS38" s="200"/>
      <c r="CT38" s="200"/>
      <c r="CU38" s="30">
        <f t="shared" si="0"/>
        <v>0</v>
      </c>
      <c r="CV38" s="52">
        <f t="shared" si="9"/>
        <v>0</v>
      </c>
      <c r="CW38" s="53">
        <f t="shared" si="10"/>
        <v>0</v>
      </c>
      <c r="CX38" s="29"/>
    </row>
    <row r="39" spans="1:102">
      <c r="A39" s="18"/>
      <c r="B39" s="20" t="s">
        <v>253</v>
      </c>
      <c r="C39" s="27"/>
      <c r="D39" s="23"/>
      <c r="E39" s="24"/>
      <c r="F39" s="27"/>
      <c r="G39" s="23"/>
      <c r="H39" s="24"/>
      <c r="I39" s="27"/>
      <c r="J39" s="23"/>
      <c r="K39" s="24"/>
      <c r="L39" s="27"/>
      <c r="M39" s="23"/>
      <c r="N39" s="24"/>
      <c r="O39" s="27"/>
      <c r="P39" s="23"/>
      <c r="Q39" s="24"/>
      <c r="R39" s="27"/>
      <c r="S39" s="23"/>
      <c r="T39" s="24"/>
      <c r="U39" s="27">
        <f>SUMIFS(Table4[Rev. Based on PROB],Table4[Installation],$B39,Table4[Projected 
Year],U$1,Table4[Projected 
Month],U$2)</f>
        <v>0</v>
      </c>
      <c r="V39" s="159">
        <f>SUMPRODUCT(Table4[Probability]*Table4[Rev. Based on PROB]*(Table4[Installation]=$B39)*(Table4[Projected 
Year]=U$1)*(Table4[Projected 
Month]=U$2))/MAX(1,SUMPRODUCT(Table4[Rev. Based on PROB]*(Table4[Installation]=$B39)*(Table4[Projected 
Year]=U$1)*(Table4[Projected 
Month]=U$2)))</f>
        <v>0</v>
      </c>
      <c r="W39" s="160">
        <f>SUMPRODUCT(Table4[Rev. Based on PROB]*Table4[Expected CMR]*(Table4[Projected 
Year]=U$1)*(Table4[Projected 
Month]=U$2)*(Table4[Installation]=$B39))/MAX(1,U39)</f>
        <v>0</v>
      </c>
      <c r="X39" s="27">
        <f>SUMIFS(Table4[Rev. Based on PROB],Table4[Installation],$B39,Table4[Projected 
Year],X$1,Table4[Projected 
Month],X$2)</f>
        <v>0</v>
      </c>
      <c r="Y39" s="159">
        <f>SUMPRODUCT(Table4[Probability]*Table4[Rev. Based on PROB]*(Table4[Installation]=$B39)*(Table4[Projected 
Year]=X$1)*(Table4[Projected 
Month]=X$2))/MAX(1,SUMPRODUCT(Table4[Rev. Based on PROB]*(Table4[Installation]=$B39)*(Table4[Projected 
Year]=X$1)*(Table4[Projected 
Month]=X$2)))</f>
        <v>0</v>
      </c>
      <c r="Z39" s="160">
        <f>SUMPRODUCT(Table4[Rev. Based on PROB]*Table4[Expected CMR]*(Table4[Projected 
Year]=X$1)*(Table4[Projected 
Month]=X$2)*(Table4[Installation]=$B39))/MAX(1,X39)</f>
        <v>0</v>
      </c>
      <c r="AA39" s="27">
        <f>SUMIFS(Table4[Rev. Based on PROB],Table4[Installation],$B39,Table4[Projected 
Year],AA$1,Table4[Projected 
Month],AA$2)</f>
        <v>0</v>
      </c>
      <c r="AB39" s="159">
        <f>SUMPRODUCT(Table4[Probability]*Table4[Rev. Based on PROB]*(Table4[Installation]=$B39)*(Table4[Projected 
Year]=AA$1)*(Table4[Projected 
Month]=AA$2))/MAX(1,SUMPRODUCT(Table4[Rev. Based on PROB]*(Table4[Installation]=$B39)*(Table4[Projected 
Year]=AA$1)*(Table4[Projected 
Month]=AA$2)))</f>
        <v>0</v>
      </c>
      <c r="AC39" s="160">
        <f>SUMPRODUCT(Table4[Rev. Based on PROB]*Table4[Expected CMR]*(Table4[Projected 
Year]=AA$1)*(Table4[Projected 
Month]=AA$2)*(Table4[Installation]=$B39))/MAX(1,AA39)</f>
        <v>0</v>
      </c>
      <c r="AD39" s="27">
        <f>SUMIFS(Table4[Rev. Based on PROB],Table4[Installation],$B39,Table4[Projected 
Year],AD$1,Table4[Projected 
Month],AD$2)</f>
        <v>0</v>
      </c>
      <c r="AE39" s="159">
        <f>SUMPRODUCT(Table4[Probability]*Table4[Rev. Based on PROB]*(Table4[Installation]=$B39)*(Table4[Projected 
Year]=AD$1)*(Table4[Projected 
Month]=AD$2))/MAX(1,SUMPRODUCT(Table4[Rev. Based on PROB]*(Table4[Installation]=$B39)*(Table4[Projected 
Year]=AD$1)*(Table4[Projected 
Month]=AD$2)))</f>
        <v>0</v>
      </c>
      <c r="AF39" s="160">
        <f>SUMPRODUCT(Table4[Rev. Based on PROB]*Table4[Expected CMR]*(Table4[Projected 
Year]=AD$1)*(Table4[Projected 
Month]=AD$2)*(Table4[Installation]=$B39))/MAX(1,AD39)</f>
        <v>0</v>
      </c>
      <c r="AG39" s="27">
        <f>SUMIFS(Table4[Rev. Based on PROB],Table4[Installation],$B39,Table4[Projected 
Year],AG$1,Table4[Projected 
Month],AG$2)</f>
        <v>0</v>
      </c>
      <c r="AH39" s="159">
        <f>SUMPRODUCT(Table4[Probability]*Table4[Rev. Based on PROB]*(Table4[Installation]=$B39)*(Table4[Projected 
Year]=AG$1)*(Table4[Projected 
Month]=AG$2))/MAX(1,SUMPRODUCT(Table4[Rev. Based on PROB]*(Table4[Installation]=$B39)*(Table4[Projected 
Year]=AG$1)*(Table4[Projected 
Month]=AG$2)))</f>
        <v>0</v>
      </c>
      <c r="AI39" s="160">
        <f>SUMPRODUCT(Table4[Rev. Based on PROB]*Table4[Expected CMR]*(Table4[Projected 
Year]=AG$1)*(Table4[Projected 
Month]=AG$2)*(Table4[Installation]=$B39))/MAX(1,AG39)</f>
        <v>0</v>
      </c>
      <c r="AJ39" s="27">
        <f>SUMIFS(Table4[Rev. Based on PROB],Table4[Installation],$B39,Table4[Projected 
Year],AJ$1,Table4[Projected 
Month],AJ$2)</f>
        <v>0</v>
      </c>
      <c r="AK39" s="159">
        <f>SUMPRODUCT(Table4[Probability]*Table4[Rev. Based on PROB]*(Table4[Installation]=$B39)*(Table4[Projected 
Year]=AJ$1)*(Table4[Projected 
Month]=AJ$2))/MAX(1,SUMPRODUCT(Table4[Rev. Based on PROB]*(Table4[Installation]=$B39)*(Table4[Projected 
Year]=AJ$1)*(Table4[Projected 
Month]=AJ$2)))</f>
        <v>0</v>
      </c>
      <c r="AL39" s="160">
        <f>SUMPRODUCT(Table4[Rev. Based on PROB]*Table4[Expected CMR]*(Table4[Projected 
Year]=AJ$1)*(Table4[Projected 
Month]=AJ$2)*(Table4[Installation]=$B39))/MAX(1,AJ39)</f>
        <v>0</v>
      </c>
      <c r="AM39" s="30">
        <f t="shared" si="7"/>
        <v>0</v>
      </c>
      <c r="AN39" s="52">
        <f t="shared" si="11"/>
        <v>0</v>
      </c>
      <c r="AO39" s="53">
        <f t="shared" si="12"/>
        <v>0</v>
      </c>
      <c r="AP39" s="27">
        <f>SUMIFS(Table47[Rev. Based on PROB],Table47[Installation],$B39,Table47[Projected 
Year],AP$1,Table47[Monthly revenue],AP$2)</f>
        <v>50000</v>
      </c>
      <c r="AQ39" s="159">
        <f>SUMPRODUCT(Table4[Probability]*Table4[Rev. Based on PROB]*(Table4[Installation]=$B39)*(Table4[Projected 
Year]=AP$1)*(Table4[Projected 
Month]=AP$2))/MAX(1,SUMPRODUCT(Table4[Rev. Based on PROB]*(Table4[Installation]=$B39)*(Table4[Projected 
Year]=AP$1)*(Table4[Projected 
Month]=AP$2)))</f>
        <v>1</v>
      </c>
      <c r="AR39" s="160">
        <f>SUMPRODUCT(Table4[Rev. Based on PROB]*Table4[Expected CMR]*(Table4[Projected 
Year]=AP$1)*(Table4[Projected 
Month]=AP$2)*(Table4[Installation]=$B39))/MAX(1,AP39)</f>
        <v>0.3</v>
      </c>
      <c r="AS39" s="27">
        <f>SUMIFS(Table47[Rev. Based on PROB],Table47[Installation],$B39,Table47[Projected 
Year],AS$1,Table47[Monthly revenue],AS$2)</f>
        <v>70000</v>
      </c>
      <c r="AT39" s="159">
        <f>SUMPRODUCT(Table4[Probability]*Table4[Rev. Based on PROB]*(Table4[Installation]=$B39)*(Table4[Projected 
Year]=AS$1)*(Table4[Projected 
Month]=AS$2))/MAX(1,SUMPRODUCT(Table4[Rev. Based on PROB]*(Table4[Installation]=$B39)*(Table4[Projected 
Year]=AS$1)*(Table4[Projected 
Month]=AS$2)))</f>
        <v>1</v>
      </c>
      <c r="AU39" s="160">
        <f>SUMPRODUCT(Table4[Rev. Based on PROB]*Table4[Expected CMR]*(Table4[Projected 
Year]=AS$1)*(Table4[Projected 
Month]=AS$2)*(Table4[Installation]=$B39))/MAX(1,AS39)</f>
        <v>0.3</v>
      </c>
      <c r="AV39" s="27">
        <f>SUMIFS(Table47[Rev. Based on PROB],Table47[Installation],$B39,Table47[Projected 
Year],AV$1,Table47[Monthly revenue],AV$2)</f>
        <v>185000</v>
      </c>
      <c r="AW39" s="159">
        <f>SUMPRODUCT(Table4[Probability]*Table4[Rev. Based on PROB]*(Table4[Installation]=$B39)*(Table4[Projected 
Year]=AV$1)*(Table4[Projected 
Month]=AV$2))/MAX(1,SUMPRODUCT(Table4[Rev. Based on PROB]*(Table4[Installation]=$B39)*(Table4[Projected 
Year]=AV$1)*(Table4[Projected 
Month]=AV$2)))</f>
        <v>1</v>
      </c>
      <c r="AX39" s="160">
        <f>SUMPRODUCT(Table4[Rev. Based on PROB]*Table4[Expected CMR]*(Table4[Projected 
Year]=AV$1)*(Table4[Projected 
Month]=AV$2)*(Table4[Installation]=$B39))/MAX(1,AV39)</f>
        <v>0.19459459459459461</v>
      </c>
      <c r="AY39" s="27">
        <f>SUMIFS(Table47[Rev. Based on PROB],Table47[Installation],$B39,Table47[Projected 
Year],AY$1,Table47[Monthly revenue],AY$2)</f>
        <v>117000</v>
      </c>
      <c r="AZ39" s="159">
        <f>SUMPRODUCT(Table4[Probability]*Table4[Rev. Based on PROB]*(Table4[Installation]=$B39)*(Table4[Projected 
Year]=AY$1)*(Table4[Projected 
Month]=AY$2))/MAX(1,SUMPRODUCT(Table4[Rev. Based on PROB]*(Table4[Installation]=$B39)*(Table4[Projected 
Year]=AY$1)*(Table4[Projected 
Month]=AY$2)))</f>
        <v>1</v>
      </c>
      <c r="BA39" s="160">
        <f>SUMPRODUCT(Table4[Rev. Based on PROB]*Table4[Expected CMR]*(Table4[Projected 
Year]=AY$1)*(Table4[Projected 
Month]=AY$2)*(Table4[Installation]=$B39))/MAX(1,AY39)</f>
        <v>0.30769230769230771</v>
      </c>
      <c r="BB39" s="27">
        <f>SUMIFS(Table47[Rev. Based on PROB],Table47[Installation],$B39,Table47[Projected 
Year],BB$1,Table47[Monthly revenue],BB$2)</f>
        <v>111000</v>
      </c>
      <c r="BC39" s="159">
        <f>SUMPRODUCT(Table4[Probability]*Table4[Rev. Based on PROB]*(Table4[Installation]=$B39)*(Table4[Projected 
Year]=BB$1)*(Table4[Projected 
Month]=BB$2))/MAX(1,SUMPRODUCT(Table4[Rev. Based on PROB]*(Table4[Installation]=$B39)*(Table4[Projected 
Year]=BB$1)*(Table4[Projected 
Month]=BB$2)))</f>
        <v>1</v>
      </c>
      <c r="BD39" s="160">
        <f>SUMPRODUCT(Table4[Rev. Based on PROB]*Table4[Expected CMR]*(Table4[Projected 
Year]=BB$1)*(Table4[Projected 
Month]=BB$2)*(Table4[Installation]=$B39))/MAX(1,BB39)</f>
        <v>0.32432432432432434</v>
      </c>
      <c r="BE39" s="27">
        <f>SUMIFS(Table47[Rev. Based on PROB],Table47[Installation],$B39,Table47[Projected 
Year],BE$1,Table47[Monthly revenue],BE$2)</f>
        <v>15000</v>
      </c>
      <c r="BF39" s="159">
        <f>SUMPRODUCT(Table4[Probability]*Table4[Rev. Based on PROB]*(Table4[Installation]=$B39)*(Table4[Projected 
Year]=BE$1)*(Table4[Projected 
Month]=BE$2))/MAX(1,SUMPRODUCT(Table4[Rev. Based on PROB]*(Table4[Installation]=$B39)*(Table4[Projected 
Year]=BE$1)*(Table4[Projected 
Month]=BE$2)))</f>
        <v>1</v>
      </c>
      <c r="BG39" s="160">
        <f>SUMPRODUCT(Table4[Rev. Based on PROB]*Table4[Expected CMR]*(Table4[Projected 
Year]=BE$1)*(Table4[Projected 
Month]=BE$2)*(Table4[Installation]=$B39))/MAX(1,BE39)</f>
        <v>1</v>
      </c>
      <c r="BH39" s="27">
        <f>SUMIFS(Table47[Rev. Based on PROB],Table47[Installation],$B39,Table47[Projected 
Year],BH$1,Table47[Monthly revenue],BH$2)</f>
        <v>0</v>
      </c>
      <c r="BI39" s="159">
        <f>SUMPRODUCT(Table4[Probability]*Table4[Rev. Based on PROB]*(Table4[Installation]=$B39)*(Table4[Projected 
Year]=BH$1)*(Table4[Projected 
Month]=BH$2))/MAX(1,SUMPRODUCT(Table4[Rev. Based on PROB]*(Table4[Installation]=$B39)*(Table4[Projected 
Year]=BH$1)*(Table4[Projected 
Month]=BH$2)))</f>
        <v>0</v>
      </c>
      <c r="BJ39" s="160">
        <f>SUMPRODUCT(Table4[Rev. Based on PROB]*Table4[Expected CMR]*(Table4[Projected 
Year]=BH$1)*(Table4[Projected 
Month]=BH$2)*(Table4[Installation]=$B39))/MAX(1,BH39)</f>
        <v>0</v>
      </c>
      <c r="BK39" s="27">
        <f>SUMIFS(Table47[Rev. Based on PROB],Table47[Installation],$B39,Table47[Projected 
Year],BK$1,Table47[Monthly revenue],BK$2)</f>
        <v>0</v>
      </c>
      <c r="BL39" s="159">
        <f>SUMPRODUCT(Table4[Probability]*Table4[Rev. Based on PROB]*(Table4[Installation]=$B39)*(Table4[Projected 
Year]=BK$1)*(Table4[Projected 
Month]=BK$2))/MAX(1,SUMPRODUCT(Table4[Rev. Based on PROB]*(Table4[Installation]=$B39)*(Table4[Projected 
Year]=BK$1)*(Table4[Projected 
Month]=BK$2)))</f>
        <v>0</v>
      </c>
      <c r="BM39" s="160">
        <f>SUMPRODUCT(Table4[Rev. Based on PROB]*Table4[Expected CMR]*(Table4[Projected 
Year]=BK$1)*(Table4[Projected 
Month]=BK$2)*(Table4[Installation]=$B39))/MAX(1,BK39)</f>
        <v>0</v>
      </c>
      <c r="BN39" s="27">
        <f>SUMIFS(Table47[Rev. Based on PROB],Table47[Installation],$B39,Table47[Projected 
Year],BN$1,Table47[Monthly revenue],BN$2)</f>
        <v>0</v>
      </c>
      <c r="BO39" s="159">
        <f>SUMPRODUCT(Table4[Probability]*Table4[Rev. Based on PROB]*(Table4[Installation]=$B39)*(Table4[Projected 
Year]=BN$1)*(Table4[Projected 
Month]=BN$2))/MAX(1,SUMPRODUCT(Table4[Rev. Based on PROB]*(Table4[Installation]=$B39)*(Table4[Projected 
Year]=BN$1)*(Table4[Projected 
Month]=BN$2)))</f>
        <v>0</v>
      </c>
      <c r="BP39" s="160">
        <f>SUMPRODUCT(Table4[Rev. Based on PROB]*Table4[Expected CMR]*(Table4[Projected 
Year]=BN$1)*(Table4[Projected 
Month]=BN$2)*(Table4[Installation]=$B39))/MAX(1,BN39)</f>
        <v>0</v>
      </c>
      <c r="BQ39" s="27">
        <f>SUMIFS(Table47[Rev. Based on PROB],Table47[Installation],$B39,Table47[Projected 
Year],BQ$1,Table47[Monthly revenue],BQ$2)</f>
        <v>42000</v>
      </c>
      <c r="BR39" s="159">
        <f>SUMPRODUCT(Table4[Probability]*Table4[Rev. Based on PROB]*(Table4[Installation]=$B39)*(Table4[Projected 
Year]=BQ$1)*(Table4[Projected 
Month]=BQ$2))/MAX(1,SUMPRODUCT(Table4[Rev. Based on PROB]*(Table4[Installation]=$B39)*(Table4[Projected 
Year]=BQ$1)*(Table4[Projected 
Month]=BQ$2)))</f>
        <v>0</v>
      </c>
      <c r="BS39" s="160">
        <f>SUMPRODUCT(Table4[Rev. Based on PROB]*Table4[Expected CMR]*(Table4[Projected 
Year]=BQ$1)*(Table4[Projected 
Month]=BQ$2)*(Table4[Installation]=$B39))/MAX(1,BQ39)</f>
        <v>0</v>
      </c>
      <c r="BT39" s="27">
        <f>SUMIFS(Table47[Rev. Based on PROB],Table47[Installation],$B39,Table47[Projected 
Year],BT$1,Table47[Monthly revenue],BT$2)</f>
        <v>65000</v>
      </c>
      <c r="BU39" s="159">
        <f>SUMPRODUCT(Table4[Probability]*Table4[Rev. Based on PROB]*(Table4[Installation]=$B39)*(Table4[Projected 
Year]=BT$1)*(Table4[Projected 
Month]=BT$2))/MAX(1,SUMPRODUCT(Table4[Rev. Based on PROB]*(Table4[Installation]=$B39)*(Table4[Projected 
Year]=BT$1)*(Table4[Projected 
Month]=BT$2)))</f>
        <v>0</v>
      </c>
      <c r="BV39" s="160">
        <f>SUMPRODUCT(Table4[Rev. Based on PROB]*Table4[Expected CMR]*(Table4[Projected 
Year]=BT$1)*(Table4[Projected 
Month]=BT$2)*(Table4[Installation]=$B39))/MAX(1,BT39)</f>
        <v>0</v>
      </c>
      <c r="BW39" s="27">
        <f>SUMIFS(Table47[Rev. Based on PROB],Table47[Installation],$B39,Table47[Projected 
Year],BW$1,Table47[Monthly revenue],BW$2)</f>
        <v>0</v>
      </c>
      <c r="BX39" s="159">
        <f>SUMPRODUCT(Table4[Probability]*Table4[Rev. Based on PROB]*(Table4[Installation]=$B39)*(Table4[Projected 
Year]=BW$1)*(Table4[Projected 
Month]=BW$2))/MAX(1,SUMPRODUCT(Table4[Rev. Based on PROB]*(Table4[Installation]=$B39)*(Table4[Projected 
Year]=BW$1)*(Table4[Projected 
Month]=BW$2)))</f>
        <v>0</v>
      </c>
      <c r="BY39" s="160">
        <f>SUMPRODUCT(Table4[Rev. Based on PROB]*Table4[Expected CMR]*(Table4[Projected 
Year]=BW$1)*(Table4[Projected 
Month]=BW$2)*(Table4[Installation]=$B39))/MAX(1,BW39)</f>
        <v>0</v>
      </c>
      <c r="BZ39" s="200"/>
      <c r="CA39" s="200"/>
      <c r="CB39" s="200"/>
      <c r="CC39" s="200"/>
      <c r="CD39" s="200"/>
      <c r="CE39" s="200"/>
      <c r="CF39" s="200"/>
      <c r="CG39" s="200"/>
      <c r="CH39" s="200"/>
      <c r="CI39" s="200"/>
      <c r="CJ39" s="200"/>
      <c r="CK39" s="200"/>
      <c r="CL39" s="200"/>
      <c r="CM39" s="200"/>
      <c r="CN39" s="200"/>
      <c r="CO39" s="200"/>
      <c r="CP39" s="200"/>
      <c r="CQ39" s="200"/>
      <c r="CR39" s="200"/>
      <c r="CS39" s="200"/>
      <c r="CT39" s="200"/>
      <c r="CU39" s="30">
        <f t="shared" si="0"/>
        <v>655000</v>
      </c>
      <c r="CV39" s="52">
        <f t="shared" si="9"/>
        <v>0</v>
      </c>
      <c r="CW39" s="53">
        <f t="shared" si="10"/>
        <v>0</v>
      </c>
    </row>
    <row r="40" spans="1:102">
      <c r="A40" s="18"/>
      <c r="B40" s="20" t="s">
        <v>172</v>
      </c>
      <c r="C40" s="27"/>
      <c r="D40" s="23"/>
      <c r="E40" s="24"/>
      <c r="F40" s="27"/>
      <c r="G40" s="23"/>
      <c r="H40" s="24"/>
      <c r="I40" s="27"/>
      <c r="J40" s="23"/>
      <c r="K40" s="24"/>
      <c r="L40" s="27"/>
      <c r="M40" s="23"/>
      <c r="N40" s="24"/>
      <c r="O40" s="27"/>
      <c r="P40" s="23"/>
      <c r="Q40" s="24"/>
      <c r="R40" s="27"/>
      <c r="S40" s="23"/>
      <c r="T40" s="24"/>
      <c r="U40" s="27">
        <f>SUMIFS(Table4[Rev. Based on PROB],Table4[Installation],$B40,Table4[Projected 
Year],U$1,Table4[Projected 
Month],U$2)</f>
        <v>0</v>
      </c>
      <c r="V40" s="159">
        <f>SUMPRODUCT(Table4[Probability]*Table4[Rev. Based on PROB]*(Table4[Installation]=$B40)*(Table4[Projected 
Year]=U$1)*(Table4[Projected 
Month]=U$2))/MAX(1,SUMPRODUCT(Table4[Rev. Based on PROB]*(Table4[Installation]=$B40)*(Table4[Projected 
Year]=U$1)*(Table4[Projected 
Month]=U$2)))</f>
        <v>0</v>
      </c>
      <c r="W40" s="160">
        <f>SUMPRODUCT(Table4[Rev. Based on PROB]*Table4[Expected CMR]*(Table4[Projected 
Year]=U$1)*(Table4[Projected 
Month]=U$2)*(Table4[Installation]=$B40))/MAX(1,U40)</f>
        <v>0</v>
      </c>
      <c r="X40" s="27">
        <f>SUMIFS(Table4[Rev. Based on PROB],Table4[Installation],$B40,Table4[Projected 
Year],X$1,Table4[Projected 
Month],X$2)</f>
        <v>0</v>
      </c>
      <c r="Y40" s="159">
        <f>SUMPRODUCT(Table4[Probability]*Table4[Rev. Based on PROB]*(Table4[Installation]=$B40)*(Table4[Projected 
Year]=X$1)*(Table4[Projected 
Month]=X$2))/MAX(1,SUMPRODUCT(Table4[Rev. Based on PROB]*(Table4[Installation]=$B40)*(Table4[Projected 
Year]=X$1)*(Table4[Projected 
Month]=X$2)))</f>
        <v>0</v>
      </c>
      <c r="Z40" s="160">
        <f>SUMPRODUCT(Table4[Rev. Based on PROB]*Table4[Expected CMR]*(Table4[Projected 
Year]=X$1)*(Table4[Projected 
Month]=X$2)*(Table4[Installation]=$B40))/MAX(1,X40)</f>
        <v>0</v>
      </c>
      <c r="AA40" s="27">
        <f>SUMIFS(Table4[Rev. Based on PROB],Table4[Installation],$B40,Table4[Projected 
Year],AA$1,Table4[Projected 
Month],AA$2)</f>
        <v>0</v>
      </c>
      <c r="AB40" s="159">
        <f>SUMPRODUCT(Table4[Probability]*Table4[Rev. Based on PROB]*(Table4[Installation]=$B40)*(Table4[Projected 
Year]=AA$1)*(Table4[Projected 
Month]=AA$2))/MAX(1,SUMPRODUCT(Table4[Rev. Based on PROB]*(Table4[Installation]=$B40)*(Table4[Projected 
Year]=AA$1)*(Table4[Projected 
Month]=AA$2)))</f>
        <v>0</v>
      </c>
      <c r="AC40" s="160">
        <f>SUMPRODUCT(Table4[Rev. Based on PROB]*Table4[Expected CMR]*(Table4[Projected 
Year]=AA$1)*(Table4[Projected 
Month]=AA$2)*(Table4[Installation]=$B40))/MAX(1,AA40)</f>
        <v>0</v>
      </c>
      <c r="AD40" s="27">
        <f>SUMIFS(Table4[Rev. Based on PROB],Table4[Installation],$B40,Table4[Projected 
Year],AD$1,Table4[Projected 
Month],AD$2)</f>
        <v>0</v>
      </c>
      <c r="AE40" s="159">
        <f>SUMPRODUCT(Table4[Probability]*Table4[Rev. Based on PROB]*(Table4[Installation]=$B40)*(Table4[Projected 
Year]=AD$1)*(Table4[Projected 
Month]=AD$2))/MAX(1,SUMPRODUCT(Table4[Rev. Based on PROB]*(Table4[Installation]=$B40)*(Table4[Projected 
Year]=AD$1)*(Table4[Projected 
Month]=AD$2)))</f>
        <v>0</v>
      </c>
      <c r="AF40" s="160">
        <f>SUMPRODUCT(Table4[Rev. Based on PROB]*Table4[Expected CMR]*(Table4[Projected 
Year]=AD$1)*(Table4[Projected 
Month]=AD$2)*(Table4[Installation]=$B40))/MAX(1,AD40)</f>
        <v>0</v>
      </c>
      <c r="AG40" s="27">
        <f>SUMIFS(Table4[Rev. Based on PROB],Table4[Installation],$B40,Table4[Projected 
Year],AG$1,Table4[Projected 
Month],AG$2)</f>
        <v>0</v>
      </c>
      <c r="AH40" s="159">
        <f>SUMPRODUCT(Table4[Probability]*Table4[Rev. Based on PROB]*(Table4[Installation]=$B40)*(Table4[Projected 
Year]=AG$1)*(Table4[Projected 
Month]=AG$2))/MAX(1,SUMPRODUCT(Table4[Rev. Based on PROB]*(Table4[Installation]=$B40)*(Table4[Projected 
Year]=AG$1)*(Table4[Projected 
Month]=AG$2)))</f>
        <v>0</v>
      </c>
      <c r="AI40" s="160">
        <f>SUMPRODUCT(Table4[Rev. Based on PROB]*Table4[Expected CMR]*(Table4[Projected 
Year]=AG$1)*(Table4[Projected 
Month]=AG$2)*(Table4[Installation]=$B40))/MAX(1,AG40)</f>
        <v>0</v>
      </c>
      <c r="AJ40" s="27">
        <f>SUMIFS(Table4[Rev. Based on PROB],Table4[Installation],$B40,Table4[Projected 
Year],AJ$1,Table4[Projected 
Month],AJ$2)</f>
        <v>0</v>
      </c>
      <c r="AK40" s="159">
        <f>SUMPRODUCT(Table4[Probability]*Table4[Rev. Based on PROB]*(Table4[Installation]=$B40)*(Table4[Projected 
Year]=AJ$1)*(Table4[Projected 
Month]=AJ$2))/MAX(1,SUMPRODUCT(Table4[Rev. Based on PROB]*(Table4[Installation]=$B40)*(Table4[Projected 
Year]=AJ$1)*(Table4[Projected 
Month]=AJ$2)))</f>
        <v>0</v>
      </c>
      <c r="AL40" s="160">
        <f>SUMPRODUCT(Table4[Rev. Based on PROB]*Table4[Expected CMR]*(Table4[Projected 
Year]=AJ$1)*(Table4[Projected 
Month]=AJ$2)*(Table4[Installation]=$B40))/MAX(1,AJ40)</f>
        <v>0</v>
      </c>
      <c r="AM40" s="30">
        <f t="shared" si="7"/>
        <v>0</v>
      </c>
      <c r="AN40" s="52">
        <f t="shared" si="11"/>
        <v>0</v>
      </c>
      <c r="AO40" s="53">
        <f t="shared" si="12"/>
        <v>0</v>
      </c>
      <c r="AP40" s="27">
        <f>SUMIFS(Table47[Rev. Based on PROB],Table47[Installation],$B40,Table47[Projected 
Year],AP$1,Table47[Monthly revenue],AP$2)</f>
        <v>0</v>
      </c>
      <c r="AQ40" s="159">
        <f>SUMPRODUCT(Table4[Probability]*Table4[Rev. Based on PROB]*(Table4[Installation]=$B40)*(Table4[Projected 
Year]=AP$1)*(Table4[Projected 
Month]=AP$2))/MAX(1,SUMPRODUCT(Table4[Rev. Based on PROB]*(Table4[Installation]=$B40)*(Table4[Projected 
Year]=AP$1)*(Table4[Projected 
Month]=AP$2)))</f>
        <v>0</v>
      </c>
      <c r="AR40" s="160">
        <f>SUMPRODUCT(Table4[Rev. Based on PROB]*Table4[Expected CMR]*(Table4[Projected 
Year]=AP$1)*(Table4[Projected 
Month]=AP$2)*(Table4[Installation]=$B40))/MAX(1,AP40)</f>
        <v>0</v>
      </c>
      <c r="AS40" s="27">
        <f>SUMIFS(Table47[Rev. Based on PROB],Table47[Installation],$B40,Table47[Projected 
Year],AS$1,Table47[Monthly revenue],AS$2)</f>
        <v>0</v>
      </c>
      <c r="AT40" s="159">
        <f>SUMPRODUCT(Table4[Probability]*Table4[Rev. Based on PROB]*(Table4[Installation]=$B40)*(Table4[Projected 
Year]=AS$1)*(Table4[Projected 
Month]=AS$2))/MAX(1,SUMPRODUCT(Table4[Rev. Based on PROB]*(Table4[Installation]=$B40)*(Table4[Projected 
Year]=AS$1)*(Table4[Projected 
Month]=AS$2)))</f>
        <v>0</v>
      </c>
      <c r="AU40" s="160">
        <f>SUMPRODUCT(Table4[Rev. Based on PROB]*Table4[Expected CMR]*(Table4[Projected 
Year]=AS$1)*(Table4[Projected 
Month]=AS$2)*(Table4[Installation]=$B40))/MAX(1,AS40)</f>
        <v>0</v>
      </c>
      <c r="AV40" s="27">
        <f>SUMIFS(Table47[Rev. Based on PROB],Table47[Installation],$B40,Table47[Projected 
Year],AV$1,Table47[Monthly revenue],AV$2)</f>
        <v>0</v>
      </c>
      <c r="AW40" s="159">
        <f>SUMPRODUCT(Table4[Probability]*Table4[Rev. Based on PROB]*(Table4[Installation]=$B40)*(Table4[Projected 
Year]=AV$1)*(Table4[Projected 
Month]=AV$2))/MAX(1,SUMPRODUCT(Table4[Rev. Based on PROB]*(Table4[Installation]=$B40)*(Table4[Projected 
Year]=AV$1)*(Table4[Projected 
Month]=AV$2)))</f>
        <v>0.5</v>
      </c>
      <c r="AX40" s="160">
        <f>SUMPRODUCT(Table4[Rev. Based on PROB]*Table4[Expected CMR]*(Table4[Projected 
Year]=AV$1)*(Table4[Projected 
Month]=AV$2)*(Table4[Installation]=$B40))/MAX(1,AV40)</f>
        <v>3000</v>
      </c>
      <c r="AY40" s="27">
        <f>SUMIFS(Table47[Rev. Based on PROB],Table47[Installation],$B40,Table47[Projected 
Year],AY$1,Table47[Monthly revenue],AY$2)</f>
        <v>100000</v>
      </c>
      <c r="AZ40" s="159">
        <f>SUMPRODUCT(Table4[Probability]*Table4[Rev. Based on PROB]*(Table4[Installation]=$B40)*(Table4[Projected 
Year]=AY$1)*(Table4[Projected 
Month]=AY$2))/MAX(1,SUMPRODUCT(Table4[Rev. Based on PROB]*(Table4[Installation]=$B40)*(Table4[Projected 
Year]=AY$1)*(Table4[Projected 
Month]=AY$2)))</f>
        <v>0.5</v>
      </c>
      <c r="BA40" s="160">
        <f>SUMPRODUCT(Table4[Rev. Based on PROB]*Table4[Expected CMR]*(Table4[Projected 
Year]=AY$1)*(Table4[Projected 
Month]=AY$2)*(Table4[Installation]=$B40))/MAX(1,AY40)</f>
        <v>1.95E-2</v>
      </c>
      <c r="BB40" s="27">
        <f>SUMIFS(Table47[Rev. Based on PROB],Table47[Installation],$B40,Table47[Projected 
Year],BB$1,Table47[Monthly revenue],BB$2)</f>
        <v>85000</v>
      </c>
      <c r="BC40" s="159">
        <f>SUMPRODUCT(Table4[Probability]*Table4[Rev. Based on PROB]*(Table4[Installation]=$B40)*(Table4[Projected 
Year]=BB$1)*(Table4[Projected 
Month]=BB$2))/MAX(1,SUMPRODUCT(Table4[Rev. Based on PROB]*(Table4[Installation]=$B40)*(Table4[Projected 
Year]=BB$1)*(Table4[Projected 
Month]=BB$2)))</f>
        <v>0</v>
      </c>
      <c r="BD40" s="160">
        <f>SUMPRODUCT(Table4[Rev. Based on PROB]*Table4[Expected CMR]*(Table4[Projected 
Year]=BB$1)*(Table4[Projected 
Month]=BB$2)*(Table4[Installation]=$B40))/MAX(1,BB40)</f>
        <v>0</v>
      </c>
      <c r="BE40" s="27">
        <f>SUMIFS(Table47[Rev. Based on PROB],Table47[Installation],$B40,Table47[Projected 
Year],BE$1,Table47[Monthly revenue],BE$2)</f>
        <v>70000</v>
      </c>
      <c r="BF40" s="159">
        <f>SUMPRODUCT(Table4[Probability]*Table4[Rev. Based on PROB]*(Table4[Installation]=$B40)*(Table4[Projected 
Year]=BE$1)*(Table4[Projected 
Month]=BE$2))/MAX(1,SUMPRODUCT(Table4[Rev. Based on PROB]*(Table4[Installation]=$B40)*(Table4[Projected 
Year]=BE$1)*(Table4[Projected 
Month]=BE$2)))</f>
        <v>0</v>
      </c>
      <c r="BG40" s="160">
        <f>SUMPRODUCT(Table4[Rev. Based on PROB]*Table4[Expected CMR]*(Table4[Projected 
Year]=BE$1)*(Table4[Projected 
Month]=BE$2)*(Table4[Installation]=$B40))/MAX(1,BE40)</f>
        <v>0</v>
      </c>
      <c r="BH40" s="27">
        <f>SUMIFS(Table47[Rev. Based on PROB],Table47[Installation],$B40,Table47[Projected 
Year],BH$1,Table47[Monthly revenue],BH$2)</f>
        <v>0</v>
      </c>
      <c r="BI40" s="159">
        <f>SUMPRODUCT(Table4[Probability]*Table4[Rev. Based on PROB]*(Table4[Installation]=$B40)*(Table4[Projected 
Year]=BH$1)*(Table4[Projected 
Month]=BH$2))/MAX(1,SUMPRODUCT(Table4[Rev. Based on PROB]*(Table4[Installation]=$B40)*(Table4[Projected 
Year]=BH$1)*(Table4[Projected 
Month]=BH$2)))</f>
        <v>0</v>
      </c>
      <c r="BJ40" s="160">
        <f>SUMPRODUCT(Table4[Rev. Based on PROB]*Table4[Expected CMR]*(Table4[Projected 
Year]=BH$1)*(Table4[Projected 
Month]=BH$2)*(Table4[Installation]=$B40))/MAX(1,BH40)</f>
        <v>0</v>
      </c>
      <c r="BK40" s="27">
        <f>SUMIFS(Table47[Rev. Based on PROB],Table47[Installation],$B40,Table47[Projected 
Year],BK$1,Table47[Monthly revenue],BK$2)</f>
        <v>70000</v>
      </c>
      <c r="BL40" s="159">
        <f>SUMPRODUCT(Table4[Probability]*Table4[Rev. Based on PROB]*(Table4[Installation]=$B40)*(Table4[Projected 
Year]=BK$1)*(Table4[Projected 
Month]=BK$2))/MAX(1,SUMPRODUCT(Table4[Rev. Based on PROB]*(Table4[Installation]=$B40)*(Table4[Projected 
Year]=BK$1)*(Table4[Projected 
Month]=BK$2)))</f>
        <v>0</v>
      </c>
      <c r="BM40" s="160">
        <f>SUMPRODUCT(Table4[Rev. Based on PROB]*Table4[Expected CMR]*(Table4[Projected 
Year]=BK$1)*(Table4[Projected 
Month]=BK$2)*(Table4[Installation]=$B40))/MAX(1,BK40)</f>
        <v>0</v>
      </c>
      <c r="BN40" s="27">
        <f>SUMIFS(Table47[Rev. Based on PROB],Table47[Installation],$B40,Table47[Projected 
Year],BN$1,Table47[Monthly revenue],BN$2)</f>
        <v>0</v>
      </c>
      <c r="BO40" s="159">
        <f>SUMPRODUCT(Table4[Probability]*Table4[Rev. Based on PROB]*(Table4[Installation]=$B40)*(Table4[Projected 
Year]=BN$1)*(Table4[Projected 
Month]=BN$2))/MAX(1,SUMPRODUCT(Table4[Rev. Based on PROB]*(Table4[Installation]=$B40)*(Table4[Projected 
Year]=BN$1)*(Table4[Projected 
Month]=BN$2)))</f>
        <v>0</v>
      </c>
      <c r="BP40" s="160">
        <f>SUMPRODUCT(Table4[Rev. Based on PROB]*Table4[Expected CMR]*(Table4[Projected 
Year]=BN$1)*(Table4[Projected 
Month]=BN$2)*(Table4[Installation]=$B40))/MAX(1,BN40)</f>
        <v>0</v>
      </c>
      <c r="BQ40" s="27">
        <f>SUMIFS(Table47[Rev. Based on PROB],Table47[Installation],$B40,Table47[Projected 
Year],BQ$1,Table47[Monthly revenue],BQ$2)</f>
        <v>30000</v>
      </c>
      <c r="BR40" s="159">
        <f>SUMPRODUCT(Table4[Probability]*Table4[Rev. Based on PROB]*(Table4[Installation]=$B40)*(Table4[Projected 
Year]=BQ$1)*(Table4[Projected 
Month]=BQ$2))/MAX(1,SUMPRODUCT(Table4[Rev. Based on PROB]*(Table4[Installation]=$B40)*(Table4[Projected 
Year]=BQ$1)*(Table4[Projected 
Month]=BQ$2)))</f>
        <v>0</v>
      </c>
      <c r="BS40" s="160">
        <f>SUMPRODUCT(Table4[Rev. Based on PROB]*Table4[Expected CMR]*(Table4[Projected 
Year]=BQ$1)*(Table4[Projected 
Month]=BQ$2)*(Table4[Installation]=$B40))/MAX(1,BQ40)</f>
        <v>0</v>
      </c>
      <c r="BT40" s="27">
        <f>SUMIFS(Table47[Rev. Based on PROB],Table47[Installation],$B40,Table47[Projected 
Year],BT$1,Table47[Monthly revenue],BT$2)</f>
        <v>20625</v>
      </c>
      <c r="BU40" s="159">
        <f>SUMPRODUCT(Table4[Probability]*Table4[Rev. Based on PROB]*(Table4[Installation]=$B40)*(Table4[Projected 
Year]=BT$1)*(Table4[Projected 
Month]=BT$2))/MAX(1,SUMPRODUCT(Table4[Rev. Based on PROB]*(Table4[Installation]=$B40)*(Table4[Projected 
Year]=BT$1)*(Table4[Projected 
Month]=BT$2)))</f>
        <v>0</v>
      </c>
      <c r="BV40" s="160">
        <f>SUMPRODUCT(Table4[Rev. Based on PROB]*Table4[Expected CMR]*(Table4[Projected 
Year]=BT$1)*(Table4[Projected 
Month]=BT$2)*(Table4[Installation]=$B40))/MAX(1,BT40)</f>
        <v>0</v>
      </c>
      <c r="BW40" s="27">
        <f>SUMIFS(Table47[Rev. Based on PROB],Table47[Installation],$B40,Table47[Projected 
Year],BW$1,Table47[Monthly revenue],BW$2)</f>
        <v>0</v>
      </c>
      <c r="BX40" s="159">
        <f>SUMPRODUCT(Table4[Probability]*Table4[Rev. Based on PROB]*(Table4[Installation]=$B40)*(Table4[Projected 
Year]=BW$1)*(Table4[Projected 
Month]=BW$2))/MAX(1,SUMPRODUCT(Table4[Rev. Based on PROB]*(Table4[Installation]=$B40)*(Table4[Projected 
Year]=BW$1)*(Table4[Projected 
Month]=BW$2)))</f>
        <v>0</v>
      </c>
      <c r="BY40" s="160">
        <f>SUMPRODUCT(Table4[Rev. Based on PROB]*Table4[Expected CMR]*(Table4[Projected 
Year]=BW$1)*(Table4[Projected 
Month]=BW$2)*(Table4[Installation]=$B40))/MAX(1,BW40)</f>
        <v>0</v>
      </c>
      <c r="BZ40" s="200"/>
      <c r="CA40" s="200"/>
      <c r="CB40" s="200"/>
      <c r="CC40" s="200"/>
      <c r="CD40" s="200"/>
      <c r="CE40" s="200"/>
      <c r="CF40" s="200"/>
      <c r="CG40" s="200"/>
      <c r="CH40" s="200"/>
      <c r="CI40" s="200"/>
      <c r="CJ40" s="200"/>
      <c r="CK40" s="200"/>
      <c r="CL40" s="200"/>
      <c r="CM40" s="200"/>
      <c r="CN40" s="200"/>
      <c r="CO40" s="200"/>
      <c r="CP40" s="200"/>
      <c r="CQ40" s="200"/>
      <c r="CR40" s="200"/>
      <c r="CS40" s="200"/>
      <c r="CT40" s="200"/>
      <c r="CU40" s="30">
        <f t="shared" si="0"/>
        <v>375625</v>
      </c>
      <c r="CV40" s="52">
        <f t="shared" si="9"/>
        <v>0</v>
      </c>
      <c r="CW40" s="53">
        <f t="shared" si="10"/>
        <v>0</v>
      </c>
    </row>
    <row r="41" spans="1:102">
      <c r="A41" s="18"/>
      <c r="B41" s="20" t="s">
        <v>56</v>
      </c>
      <c r="C41" s="27"/>
      <c r="D41" s="23"/>
      <c r="E41" s="24"/>
      <c r="F41" s="27"/>
      <c r="G41" s="23"/>
      <c r="H41" s="24"/>
      <c r="I41" s="27"/>
      <c r="J41" s="23"/>
      <c r="K41" s="24"/>
      <c r="L41" s="27"/>
      <c r="M41" s="23"/>
      <c r="N41" s="24"/>
      <c r="O41" s="27"/>
      <c r="P41" s="23"/>
      <c r="Q41" s="24"/>
      <c r="R41" s="27"/>
      <c r="S41" s="23"/>
      <c r="T41" s="24"/>
      <c r="U41" s="27">
        <f>SUMIFS(Table4[Rev. Based on PROB],Table4[Installation],$B41,Table4[Projected 
Year],U$1,Table4[Projected 
Month],U$2)</f>
        <v>0</v>
      </c>
      <c r="V41" s="159">
        <f>SUMPRODUCT(Table4[Probability]*Table4[Rev. Based on PROB]*(Table4[Installation]=$B41)*(Table4[Projected 
Year]=U$1)*(Table4[Projected 
Month]=U$2))/MAX(1,SUMPRODUCT(Table4[Rev. Based on PROB]*(Table4[Installation]=$B41)*(Table4[Projected 
Year]=U$1)*(Table4[Projected 
Month]=U$2)))</f>
        <v>0</v>
      </c>
      <c r="W41" s="160">
        <f>SUMPRODUCT(Table4[Rev. Based on PROB]*Table4[Expected CMR]*(Table4[Projected 
Year]=U$1)*(Table4[Projected 
Month]=U$2)*(Table4[Installation]=$B41))/MAX(1,U41)</f>
        <v>0</v>
      </c>
      <c r="X41" s="27">
        <f>SUMIFS(Table4[Rev. Based on PROB],Table4[Installation],$B41,Table4[Projected 
Year],X$1,Table4[Projected 
Month],X$2)</f>
        <v>0</v>
      </c>
      <c r="Y41" s="159">
        <f>SUMPRODUCT(Table4[Probability]*Table4[Rev. Based on PROB]*(Table4[Installation]=$B41)*(Table4[Projected 
Year]=X$1)*(Table4[Projected 
Month]=X$2))/MAX(1,SUMPRODUCT(Table4[Rev. Based on PROB]*(Table4[Installation]=$B41)*(Table4[Projected 
Year]=X$1)*(Table4[Projected 
Month]=X$2)))</f>
        <v>0</v>
      </c>
      <c r="Z41" s="160">
        <f>SUMPRODUCT(Table4[Rev. Based on PROB]*Table4[Expected CMR]*(Table4[Projected 
Year]=X$1)*(Table4[Projected 
Month]=X$2)*(Table4[Installation]=$B41))/MAX(1,X41)</f>
        <v>0</v>
      </c>
      <c r="AA41" s="27">
        <f>SUMIFS(Table4[Rev. Based on PROB],Table4[Installation],$B41,Table4[Projected 
Year],AA$1,Table4[Projected 
Month],AA$2)</f>
        <v>0</v>
      </c>
      <c r="AB41" s="159">
        <f>SUMPRODUCT(Table4[Probability]*Table4[Rev. Based on PROB]*(Table4[Installation]=$B41)*(Table4[Projected 
Year]=AA$1)*(Table4[Projected 
Month]=AA$2))/MAX(1,SUMPRODUCT(Table4[Rev. Based on PROB]*(Table4[Installation]=$B41)*(Table4[Projected 
Year]=AA$1)*(Table4[Projected 
Month]=AA$2)))</f>
        <v>0</v>
      </c>
      <c r="AC41" s="160">
        <f>SUMPRODUCT(Table4[Rev. Based on PROB]*Table4[Expected CMR]*(Table4[Projected 
Year]=AA$1)*(Table4[Projected 
Month]=AA$2)*(Table4[Installation]=$B41))/MAX(1,AA41)</f>
        <v>0</v>
      </c>
      <c r="AD41" s="27">
        <f>SUMIFS(Table4[Rev. Based on PROB],Table4[Installation],$B41,Table4[Projected 
Year],AD$1,Table4[Projected 
Month],AD$2)</f>
        <v>0</v>
      </c>
      <c r="AE41" s="159">
        <f>SUMPRODUCT(Table4[Probability]*Table4[Rev. Based on PROB]*(Table4[Installation]=$B41)*(Table4[Projected 
Year]=AD$1)*(Table4[Projected 
Month]=AD$2))/MAX(1,SUMPRODUCT(Table4[Rev. Based on PROB]*(Table4[Installation]=$B41)*(Table4[Projected 
Year]=AD$1)*(Table4[Projected 
Month]=AD$2)))</f>
        <v>0</v>
      </c>
      <c r="AF41" s="160">
        <f>SUMPRODUCT(Table4[Rev. Based on PROB]*Table4[Expected CMR]*(Table4[Projected 
Year]=AD$1)*(Table4[Projected 
Month]=AD$2)*(Table4[Installation]=$B41))/MAX(1,AD41)</f>
        <v>0</v>
      </c>
      <c r="AG41" s="27">
        <f>SUMIFS(Table4[Rev. Based on PROB],Table4[Installation],$B41,Table4[Projected 
Year],AG$1,Table4[Projected 
Month],AG$2)</f>
        <v>0</v>
      </c>
      <c r="AH41" s="159">
        <f>SUMPRODUCT(Table4[Probability]*Table4[Rev. Based on PROB]*(Table4[Installation]=$B41)*(Table4[Projected 
Year]=AG$1)*(Table4[Projected 
Month]=AG$2))/MAX(1,SUMPRODUCT(Table4[Rev. Based on PROB]*(Table4[Installation]=$B41)*(Table4[Projected 
Year]=AG$1)*(Table4[Projected 
Month]=AG$2)))</f>
        <v>0</v>
      </c>
      <c r="AI41" s="160">
        <f>SUMPRODUCT(Table4[Rev. Based on PROB]*Table4[Expected CMR]*(Table4[Projected 
Year]=AG$1)*(Table4[Projected 
Month]=AG$2)*(Table4[Installation]=$B41))/MAX(1,AG41)</f>
        <v>0</v>
      </c>
      <c r="AJ41" s="27">
        <f>SUMIFS(Table4[Rev. Based on PROB],Table4[Installation],$B41,Table4[Projected 
Year],AJ$1,Table4[Projected 
Month],AJ$2)</f>
        <v>0</v>
      </c>
      <c r="AK41" s="159">
        <f>SUMPRODUCT(Table4[Probability]*Table4[Rev. Based on PROB]*(Table4[Installation]=$B41)*(Table4[Projected 
Year]=AJ$1)*(Table4[Projected 
Month]=AJ$2))/MAX(1,SUMPRODUCT(Table4[Rev. Based on PROB]*(Table4[Installation]=$B41)*(Table4[Projected 
Year]=AJ$1)*(Table4[Projected 
Month]=AJ$2)))</f>
        <v>0</v>
      </c>
      <c r="AL41" s="160">
        <f>SUMPRODUCT(Table4[Rev. Based on PROB]*Table4[Expected CMR]*(Table4[Projected 
Year]=AJ$1)*(Table4[Projected 
Month]=AJ$2)*(Table4[Installation]=$B41))/MAX(1,AJ41)</f>
        <v>0</v>
      </c>
      <c r="AM41" s="30">
        <f t="shared" si="7"/>
        <v>0</v>
      </c>
      <c r="AN41" s="52">
        <f t="shared" si="11"/>
        <v>0</v>
      </c>
      <c r="AO41" s="53">
        <f t="shared" si="12"/>
        <v>0</v>
      </c>
      <c r="AP41" s="27">
        <f>SUMIFS(Table47[Rev. Based on PROB],Table47[Installation],$B41,Table47[Projected 
Year],AP$1,Table47[Monthly revenue],AP$2)</f>
        <v>0</v>
      </c>
      <c r="AQ41" s="159">
        <f>SUMPRODUCT(Table4[Probability]*Table4[Rev. Based on PROB]*(Table4[Installation]=$B41)*(Table4[Projected 
Year]=AP$1)*(Table4[Projected 
Month]=AP$2))/MAX(1,SUMPRODUCT(Table4[Rev. Based on PROB]*(Table4[Installation]=$B41)*(Table4[Projected 
Year]=AP$1)*(Table4[Projected 
Month]=AP$2)))</f>
        <v>0</v>
      </c>
      <c r="AR41" s="160">
        <f>SUMPRODUCT(Table4[Rev. Based on PROB]*Table4[Expected CMR]*(Table4[Projected 
Year]=AP$1)*(Table4[Projected 
Month]=AP$2)*(Table4[Installation]=$B41))/MAX(1,AP41)</f>
        <v>0</v>
      </c>
      <c r="AS41" s="27">
        <f>SUMIFS(Table47[Rev. Based on PROB],Table47[Installation],$B41,Table47[Projected 
Year],AS$1,Table47[Monthly revenue],AS$2)</f>
        <v>0</v>
      </c>
      <c r="AT41" s="159">
        <f>SUMPRODUCT(Table4[Probability]*Table4[Rev. Based on PROB]*(Table4[Installation]=$B41)*(Table4[Projected 
Year]=AS$1)*(Table4[Projected 
Month]=AS$2))/MAX(1,SUMPRODUCT(Table4[Rev. Based on PROB]*(Table4[Installation]=$B41)*(Table4[Projected 
Year]=AS$1)*(Table4[Projected 
Month]=AS$2)))</f>
        <v>0</v>
      </c>
      <c r="AU41" s="160">
        <f>SUMPRODUCT(Table4[Rev. Based on PROB]*Table4[Expected CMR]*(Table4[Projected 
Year]=AS$1)*(Table4[Projected 
Month]=AS$2)*(Table4[Installation]=$B41))/MAX(1,AS41)</f>
        <v>0</v>
      </c>
      <c r="AV41" s="27">
        <f>SUMIFS(Table47[Rev. Based on PROB],Table47[Installation],$B41,Table47[Projected 
Year],AV$1,Table47[Monthly revenue],AV$2)</f>
        <v>0</v>
      </c>
      <c r="AW41" s="159">
        <f>SUMPRODUCT(Table4[Probability]*Table4[Rev. Based on PROB]*(Table4[Installation]=$B41)*(Table4[Projected 
Year]=AV$1)*(Table4[Projected 
Month]=AV$2))/MAX(1,SUMPRODUCT(Table4[Rev. Based on PROB]*(Table4[Installation]=$B41)*(Table4[Projected 
Year]=AV$1)*(Table4[Projected 
Month]=AV$2)))</f>
        <v>0</v>
      </c>
      <c r="AX41" s="160">
        <f>SUMPRODUCT(Table4[Rev. Based on PROB]*Table4[Expected CMR]*(Table4[Projected 
Year]=AV$1)*(Table4[Projected 
Month]=AV$2)*(Table4[Installation]=$B41))/MAX(1,AV41)</f>
        <v>0</v>
      </c>
      <c r="AY41" s="27">
        <f>SUMIFS(Table47[Rev. Based on PROB],Table47[Installation],$B41,Table47[Projected 
Year],AY$1,Table47[Monthly revenue],AY$2)</f>
        <v>0</v>
      </c>
      <c r="AZ41" s="159">
        <f>SUMPRODUCT(Table4[Probability]*Table4[Rev. Based on PROB]*(Table4[Installation]=$B41)*(Table4[Projected 
Year]=AY$1)*(Table4[Projected 
Month]=AY$2))/MAX(1,SUMPRODUCT(Table4[Rev. Based on PROB]*(Table4[Installation]=$B41)*(Table4[Projected 
Year]=AY$1)*(Table4[Projected 
Month]=AY$2)))</f>
        <v>0</v>
      </c>
      <c r="BA41" s="160">
        <f>SUMPRODUCT(Table4[Rev. Based on PROB]*Table4[Expected CMR]*(Table4[Projected 
Year]=AY$1)*(Table4[Projected 
Month]=AY$2)*(Table4[Installation]=$B41))/MAX(1,AY41)</f>
        <v>0</v>
      </c>
      <c r="BB41" s="27">
        <f>SUMIFS(Table47[Rev. Based on PROB],Table47[Installation],$B41,Table47[Projected 
Year],BB$1,Table47[Monthly revenue],BB$2)</f>
        <v>0</v>
      </c>
      <c r="BC41" s="159">
        <f>SUMPRODUCT(Table4[Probability]*Table4[Rev. Based on PROB]*(Table4[Installation]=$B41)*(Table4[Projected 
Year]=BB$1)*(Table4[Projected 
Month]=BB$2))/MAX(1,SUMPRODUCT(Table4[Rev. Based on PROB]*(Table4[Installation]=$B41)*(Table4[Projected 
Year]=BB$1)*(Table4[Projected 
Month]=BB$2)))</f>
        <v>0</v>
      </c>
      <c r="BD41" s="160">
        <f>SUMPRODUCT(Table4[Rev. Based on PROB]*Table4[Expected CMR]*(Table4[Projected 
Year]=BB$1)*(Table4[Projected 
Month]=BB$2)*(Table4[Installation]=$B41))/MAX(1,BB41)</f>
        <v>0</v>
      </c>
      <c r="BE41" s="27">
        <f>SUMIFS(Table47[Rev. Based on PROB],Table47[Installation],$B41,Table47[Projected 
Year],BE$1,Table47[Monthly revenue],BE$2)</f>
        <v>0</v>
      </c>
      <c r="BF41" s="159">
        <f>SUMPRODUCT(Table4[Probability]*Table4[Rev. Based on PROB]*(Table4[Installation]=$B41)*(Table4[Projected 
Year]=BE$1)*(Table4[Projected 
Month]=BE$2))/MAX(1,SUMPRODUCT(Table4[Rev. Based on PROB]*(Table4[Installation]=$B41)*(Table4[Projected 
Year]=BE$1)*(Table4[Projected 
Month]=BE$2)))</f>
        <v>0</v>
      </c>
      <c r="BG41" s="160">
        <f>SUMPRODUCT(Table4[Rev. Based on PROB]*Table4[Expected CMR]*(Table4[Projected 
Year]=BE$1)*(Table4[Projected 
Month]=BE$2)*(Table4[Installation]=$B41))/MAX(1,BE41)</f>
        <v>0</v>
      </c>
      <c r="BH41" s="27">
        <f>SUMIFS(Table47[Rev. Based on PROB],Table47[Installation],$B41,Table47[Projected 
Year],BH$1,Table47[Monthly revenue],BH$2)</f>
        <v>65000</v>
      </c>
      <c r="BI41" s="159">
        <f>SUMPRODUCT(Table4[Probability]*Table4[Rev. Based on PROB]*(Table4[Installation]=$B41)*(Table4[Projected 
Year]=BH$1)*(Table4[Projected 
Month]=BH$2))/MAX(1,SUMPRODUCT(Table4[Rev. Based on PROB]*(Table4[Installation]=$B41)*(Table4[Projected 
Year]=BH$1)*(Table4[Projected 
Month]=BH$2)))</f>
        <v>0</v>
      </c>
      <c r="BJ41" s="160">
        <f>SUMPRODUCT(Table4[Rev. Based on PROB]*Table4[Expected CMR]*(Table4[Projected 
Year]=BH$1)*(Table4[Projected 
Month]=BH$2)*(Table4[Installation]=$B41))/MAX(1,BH41)</f>
        <v>0</v>
      </c>
      <c r="BK41" s="27">
        <f>SUMIFS(Table47[Rev. Based on PROB],Table47[Installation],$B41,Table47[Projected 
Year],BK$1,Table47[Monthly revenue],BK$2)</f>
        <v>29000</v>
      </c>
      <c r="BL41" s="159">
        <f>SUMPRODUCT(Table4[Probability]*Table4[Rev. Based on PROB]*(Table4[Installation]=$B41)*(Table4[Projected 
Year]=BK$1)*(Table4[Projected 
Month]=BK$2))/MAX(1,SUMPRODUCT(Table4[Rev. Based on PROB]*(Table4[Installation]=$B41)*(Table4[Projected 
Year]=BK$1)*(Table4[Projected 
Month]=BK$2)))</f>
        <v>0</v>
      </c>
      <c r="BM41" s="160">
        <f>SUMPRODUCT(Table4[Rev. Based on PROB]*Table4[Expected CMR]*(Table4[Projected 
Year]=BK$1)*(Table4[Projected 
Month]=BK$2)*(Table4[Installation]=$B41))/MAX(1,BK41)</f>
        <v>0</v>
      </c>
      <c r="BN41" s="27">
        <f>SUMIFS(Table47[Rev. Based on PROB],Table47[Installation],$B41,Table47[Projected 
Year],BN$1,Table47[Monthly revenue],BN$2)</f>
        <v>70000</v>
      </c>
      <c r="BO41" s="159">
        <f>SUMPRODUCT(Table4[Probability]*Table4[Rev. Based on PROB]*(Table4[Installation]=$B41)*(Table4[Projected 
Year]=BN$1)*(Table4[Projected 
Month]=BN$2))/MAX(1,SUMPRODUCT(Table4[Rev. Based on PROB]*(Table4[Installation]=$B41)*(Table4[Projected 
Year]=BN$1)*(Table4[Projected 
Month]=BN$2)))</f>
        <v>0</v>
      </c>
      <c r="BP41" s="160">
        <f>SUMPRODUCT(Table4[Rev. Based on PROB]*Table4[Expected CMR]*(Table4[Projected 
Year]=BN$1)*(Table4[Projected 
Month]=BN$2)*(Table4[Installation]=$B41))/MAX(1,BN41)</f>
        <v>0</v>
      </c>
      <c r="BQ41" s="27">
        <f>SUMIFS(Table47[Rev. Based on PROB],Table47[Installation],$B41,Table47[Projected 
Year],BQ$1,Table47[Monthly revenue],BQ$2)</f>
        <v>95000</v>
      </c>
      <c r="BR41" s="159">
        <f>SUMPRODUCT(Table4[Probability]*Table4[Rev. Based on PROB]*(Table4[Installation]=$B41)*(Table4[Projected 
Year]=BQ$1)*(Table4[Projected 
Month]=BQ$2))/MAX(1,SUMPRODUCT(Table4[Rev. Based on PROB]*(Table4[Installation]=$B41)*(Table4[Projected 
Year]=BQ$1)*(Table4[Projected 
Month]=BQ$2)))</f>
        <v>0</v>
      </c>
      <c r="BS41" s="160">
        <f>SUMPRODUCT(Table4[Rev. Based on PROB]*Table4[Expected CMR]*(Table4[Projected 
Year]=BQ$1)*(Table4[Projected 
Month]=BQ$2)*(Table4[Installation]=$B41))/MAX(1,BQ41)</f>
        <v>0</v>
      </c>
      <c r="BT41" s="27">
        <f>SUMIFS(Table47[Rev. Based on PROB],Table47[Installation],$B41,Table47[Projected 
Year],BT$1,Table47[Monthly revenue],BT$2)</f>
        <v>30000</v>
      </c>
      <c r="BU41" s="159">
        <f>SUMPRODUCT(Table4[Probability]*Table4[Rev. Based on PROB]*(Table4[Installation]=$B41)*(Table4[Projected 
Year]=BT$1)*(Table4[Projected 
Month]=BT$2))/MAX(1,SUMPRODUCT(Table4[Rev. Based on PROB]*(Table4[Installation]=$B41)*(Table4[Projected 
Year]=BT$1)*(Table4[Projected 
Month]=BT$2)))</f>
        <v>0</v>
      </c>
      <c r="BV41" s="160">
        <f>SUMPRODUCT(Table4[Rev. Based on PROB]*Table4[Expected CMR]*(Table4[Projected 
Year]=BT$1)*(Table4[Projected 
Month]=BT$2)*(Table4[Installation]=$B41))/MAX(1,BT41)</f>
        <v>0</v>
      </c>
      <c r="BW41" s="27">
        <f>SUMIFS(Table47[Rev. Based on PROB],Table47[Installation],$B41,Table47[Projected 
Year],BW$1,Table47[Monthly revenue],BW$2)</f>
        <v>0</v>
      </c>
      <c r="BX41" s="159">
        <f>SUMPRODUCT(Table4[Probability]*Table4[Rev. Based on PROB]*(Table4[Installation]=$B41)*(Table4[Projected 
Year]=BW$1)*(Table4[Projected 
Month]=BW$2))/MAX(1,SUMPRODUCT(Table4[Rev. Based on PROB]*(Table4[Installation]=$B41)*(Table4[Projected 
Year]=BW$1)*(Table4[Projected 
Month]=BW$2)))</f>
        <v>1</v>
      </c>
      <c r="BY41" s="160">
        <f>SUMPRODUCT(Table4[Rev. Based on PROB]*Table4[Expected CMR]*(Table4[Projected 
Year]=BW$1)*(Table4[Projected 
Month]=BW$2)*(Table4[Installation]=$B41))/MAX(1,BW41)</f>
        <v>52500</v>
      </c>
      <c r="BZ41" s="200"/>
      <c r="CA41" s="200"/>
      <c r="CB41" s="200"/>
      <c r="CC41" s="200"/>
      <c r="CD41" s="200"/>
      <c r="CE41" s="200"/>
      <c r="CF41" s="200"/>
      <c r="CG41" s="200"/>
      <c r="CH41" s="200"/>
      <c r="CI41" s="200"/>
      <c r="CJ41" s="200"/>
      <c r="CK41" s="200"/>
      <c r="CL41" s="200"/>
      <c r="CM41" s="200"/>
      <c r="CN41" s="200"/>
      <c r="CO41" s="200"/>
      <c r="CP41" s="200"/>
      <c r="CQ41" s="200"/>
      <c r="CR41" s="200"/>
      <c r="CS41" s="200"/>
      <c r="CT41" s="200"/>
      <c r="CU41" s="30">
        <f t="shared" si="0"/>
        <v>289000</v>
      </c>
      <c r="CV41" s="52">
        <f t="shared" si="9"/>
        <v>0</v>
      </c>
      <c r="CW41" s="53">
        <f t="shared" si="10"/>
        <v>0</v>
      </c>
    </row>
    <row r="42" spans="1:102">
      <c r="A42" s="18"/>
      <c r="B42" s="20" t="s">
        <v>85</v>
      </c>
      <c r="C42" s="27"/>
      <c r="D42" s="23"/>
      <c r="E42" s="24"/>
      <c r="F42" s="27"/>
      <c r="G42" s="23"/>
      <c r="H42" s="24"/>
      <c r="I42" s="27"/>
      <c r="J42" s="23"/>
      <c r="K42" s="24"/>
      <c r="L42" s="27"/>
      <c r="M42" s="23"/>
      <c r="N42" s="24"/>
      <c r="O42" s="27"/>
      <c r="P42" s="23"/>
      <c r="Q42" s="24"/>
      <c r="R42" s="27"/>
      <c r="S42" s="23"/>
      <c r="T42" s="24"/>
      <c r="U42" s="27">
        <f>SUMIFS(Table4[Rev. Based on PROB],Table4[Installation],$B42,Table4[Projected 
Year],U$1,Table4[Projected 
Month],U$2)</f>
        <v>0</v>
      </c>
      <c r="V42" s="159">
        <f>SUMPRODUCT(Table4[Probability]*Table4[Rev. Based on PROB]*(Table4[Installation]=$B42)*(Table4[Projected 
Year]=U$1)*(Table4[Projected 
Month]=U$2))/MAX(1,SUMPRODUCT(Table4[Rev. Based on PROB]*(Table4[Installation]=$B42)*(Table4[Projected 
Year]=U$1)*(Table4[Projected 
Month]=U$2)))</f>
        <v>0</v>
      </c>
      <c r="W42" s="160">
        <f>SUMPRODUCT(Table4[Rev. Based on PROB]*Table4[Expected CMR]*(Table4[Projected 
Year]=U$1)*(Table4[Projected 
Month]=U$2)*(Table4[Installation]=$B42))/MAX(1,U42)</f>
        <v>0</v>
      </c>
      <c r="X42" s="27">
        <f>SUMIFS(Table4[Rev. Based on PROB],Table4[Installation],$B42,Table4[Projected 
Year],X$1,Table4[Projected 
Month],X$2)</f>
        <v>0</v>
      </c>
      <c r="Y42" s="159">
        <f>SUMPRODUCT(Table4[Probability]*Table4[Rev. Based on PROB]*(Table4[Installation]=$B42)*(Table4[Projected 
Year]=X$1)*(Table4[Projected 
Month]=X$2))/MAX(1,SUMPRODUCT(Table4[Rev. Based on PROB]*(Table4[Installation]=$B42)*(Table4[Projected 
Year]=X$1)*(Table4[Projected 
Month]=X$2)))</f>
        <v>0</v>
      </c>
      <c r="Z42" s="160">
        <f>SUMPRODUCT(Table4[Rev. Based on PROB]*Table4[Expected CMR]*(Table4[Projected 
Year]=X$1)*(Table4[Projected 
Month]=X$2)*(Table4[Installation]=$B42))/MAX(1,X42)</f>
        <v>0</v>
      </c>
      <c r="AA42" s="27">
        <f>SUMIFS(Table4[Rev. Based on PROB],Table4[Installation],$B42,Table4[Projected 
Year],AA$1,Table4[Projected 
Month],AA$2)</f>
        <v>0</v>
      </c>
      <c r="AB42" s="159">
        <f>SUMPRODUCT(Table4[Probability]*Table4[Rev. Based on PROB]*(Table4[Installation]=$B42)*(Table4[Projected 
Year]=AA$1)*(Table4[Projected 
Month]=AA$2))/MAX(1,SUMPRODUCT(Table4[Rev. Based on PROB]*(Table4[Installation]=$B42)*(Table4[Projected 
Year]=AA$1)*(Table4[Projected 
Month]=AA$2)))</f>
        <v>0</v>
      </c>
      <c r="AC42" s="160">
        <f>SUMPRODUCT(Table4[Rev. Based on PROB]*Table4[Expected CMR]*(Table4[Projected 
Year]=AA$1)*(Table4[Projected 
Month]=AA$2)*(Table4[Installation]=$B42))/MAX(1,AA42)</f>
        <v>0</v>
      </c>
      <c r="AD42" s="27">
        <f>SUMIFS(Table4[Rev. Based on PROB],Table4[Installation],$B42,Table4[Projected 
Year],AD$1,Table4[Projected 
Month],AD$2)</f>
        <v>0</v>
      </c>
      <c r="AE42" s="159">
        <f>SUMPRODUCT(Table4[Probability]*Table4[Rev. Based on PROB]*(Table4[Installation]=$B42)*(Table4[Projected 
Year]=AD$1)*(Table4[Projected 
Month]=AD$2))/MAX(1,SUMPRODUCT(Table4[Rev. Based on PROB]*(Table4[Installation]=$B42)*(Table4[Projected 
Year]=AD$1)*(Table4[Projected 
Month]=AD$2)))</f>
        <v>0</v>
      </c>
      <c r="AF42" s="160">
        <f>SUMPRODUCT(Table4[Rev. Based on PROB]*Table4[Expected CMR]*(Table4[Projected 
Year]=AD$1)*(Table4[Projected 
Month]=AD$2)*(Table4[Installation]=$B42))/MAX(1,AD42)</f>
        <v>0</v>
      </c>
      <c r="AG42" s="27">
        <f>SUMIFS(Table4[Rev. Based on PROB],Table4[Installation],$B42,Table4[Projected 
Year],AG$1,Table4[Projected 
Month],AG$2)</f>
        <v>0</v>
      </c>
      <c r="AH42" s="159">
        <f>SUMPRODUCT(Table4[Probability]*Table4[Rev. Based on PROB]*(Table4[Installation]=$B42)*(Table4[Projected 
Year]=AG$1)*(Table4[Projected 
Month]=AG$2))/MAX(1,SUMPRODUCT(Table4[Rev. Based on PROB]*(Table4[Installation]=$B42)*(Table4[Projected 
Year]=AG$1)*(Table4[Projected 
Month]=AG$2)))</f>
        <v>0</v>
      </c>
      <c r="AI42" s="160">
        <f>SUMPRODUCT(Table4[Rev. Based on PROB]*Table4[Expected CMR]*(Table4[Projected 
Year]=AG$1)*(Table4[Projected 
Month]=AG$2)*(Table4[Installation]=$B42))/MAX(1,AG42)</f>
        <v>0</v>
      </c>
      <c r="AJ42" s="27">
        <f>SUMIFS(Table4[Rev. Based on PROB],Table4[Installation],$B42,Table4[Projected 
Year],AJ$1,Table4[Projected 
Month],AJ$2)</f>
        <v>0</v>
      </c>
      <c r="AK42" s="159">
        <f>SUMPRODUCT(Table4[Probability]*Table4[Rev. Based on PROB]*(Table4[Installation]=$B42)*(Table4[Projected 
Year]=AJ$1)*(Table4[Projected 
Month]=AJ$2))/MAX(1,SUMPRODUCT(Table4[Rev. Based on PROB]*(Table4[Installation]=$B42)*(Table4[Projected 
Year]=AJ$1)*(Table4[Projected 
Month]=AJ$2)))</f>
        <v>0</v>
      </c>
      <c r="AL42" s="160">
        <f>SUMPRODUCT(Table4[Rev. Based on PROB]*Table4[Expected CMR]*(Table4[Projected 
Year]=AJ$1)*(Table4[Projected 
Month]=AJ$2)*(Table4[Installation]=$B42))/MAX(1,AJ42)</f>
        <v>0</v>
      </c>
      <c r="AM42" s="30">
        <f t="shared" si="7"/>
        <v>0</v>
      </c>
      <c r="AN42" s="52">
        <f t="shared" si="11"/>
        <v>0</v>
      </c>
      <c r="AO42" s="53">
        <f t="shared" si="12"/>
        <v>0</v>
      </c>
      <c r="AP42" s="27">
        <f>SUMIFS(Table47[Rev. Based on PROB],Table47[Installation],$B42,Table47[Projected 
Year],AP$1,Table47[Monthly revenue],AP$2)</f>
        <v>0</v>
      </c>
      <c r="AQ42" s="159">
        <f>SUMPRODUCT(Table4[Probability]*Table4[Rev. Based on PROB]*(Table4[Installation]=$B42)*(Table4[Projected 
Year]=AP$1)*(Table4[Projected 
Month]=AP$2))/MAX(1,SUMPRODUCT(Table4[Rev. Based on PROB]*(Table4[Installation]=$B42)*(Table4[Projected 
Year]=AP$1)*(Table4[Projected 
Month]=AP$2)))</f>
        <v>0</v>
      </c>
      <c r="AR42" s="160">
        <f>SUMPRODUCT(Table4[Rev. Based on PROB]*Table4[Expected CMR]*(Table4[Projected 
Year]=AP$1)*(Table4[Projected 
Month]=AP$2)*(Table4[Installation]=$B42))/MAX(1,AP42)</f>
        <v>0</v>
      </c>
      <c r="AS42" s="27">
        <f>SUMIFS(Table47[Rev. Based on PROB],Table47[Installation],$B42,Table47[Projected 
Year],AS$1,Table47[Monthly revenue],AS$2)</f>
        <v>0</v>
      </c>
      <c r="AT42" s="159">
        <f>SUMPRODUCT(Table4[Probability]*Table4[Rev. Based on PROB]*(Table4[Installation]=$B42)*(Table4[Projected 
Year]=AS$1)*(Table4[Projected 
Month]=AS$2))/MAX(1,SUMPRODUCT(Table4[Rev. Based on PROB]*(Table4[Installation]=$B42)*(Table4[Projected 
Year]=AS$1)*(Table4[Projected 
Month]=AS$2)))</f>
        <v>0</v>
      </c>
      <c r="AU42" s="160">
        <f>SUMPRODUCT(Table4[Rev. Based on PROB]*Table4[Expected CMR]*(Table4[Projected 
Year]=AS$1)*(Table4[Projected 
Month]=AS$2)*(Table4[Installation]=$B42))/MAX(1,AS42)</f>
        <v>0</v>
      </c>
      <c r="AV42" s="27">
        <f>SUMIFS(Table47[Rev. Based on PROB],Table47[Installation],$B42,Table47[Projected 
Year],AV$1,Table47[Monthly revenue],AV$2)</f>
        <v>0</v>
      </c>
      <c r="AW42" s="159">
        <f>SUMPRODUCT(Table4[Probability]*Table4[Rev. Based on PROB]*(Table4[Installation]=$B42)*(Table4[Projected 
Year]=AV$1)*(Table4[Projected 
Month]=AV$2))/MAX(1,SUMPRODUCT(Table4[Rev. Based on PROB]*(Table4[Installation]=$B42)*(Table4[Projected 
Year]=AV$1)*(Table4[Projected 
Month]=AV$2)))</f>
        <v>0</v>
      </c>
      <c r="AX42" s="160">
        <f>SUMPRODUCT(Table4[Rev. Based on PROB]*Table4[Expected CMR]*(Table4[Projected 
Year]=AV$1)*(Table4[Projected 
Month]=AV$2)*(Table4[Installation]=$B42))/MAX(1,AV42)</f>
        <v>0</v>
      </c>
      <c r="AY42" s="27">
        <f>SUMIFS(Table47[Rev. Based on PROB],Table47[Installation],$B42,Table47[Projected 
Year],AY$1,Table47[Monthly revenue],AY$2)</f>
        <v>0</v>
      </c>
      <c r="AZ42" s="159">
        <f>SUMPRODUCT(Table4[Probability]*Table4[Rev. Based on PROB]*(Table4[Installation]=$B42)*(Table4[Projected 
Year]=AY$1)*(Table4[Projected 
Month]=AY$2))/MAX(1,SUMPRODUCT(Table4[Rev. Based on PROB]*(Table4[Installation]=$B42)*(Table4[Projected 
Year]=AY$1)*(Table4[Projected 
Month]=AY$2)))</f>
        <v>0</v>
      </c>
      <c r="BA42" s="160">
        <f>SUMPRODUCT(Table4[Rev. Based on PROB]*Table4[Expected CMR]*(Table4[Projected 
Year]=AY$1)*(Table4[Projected 
Month]=AY$2)*(Table4[Installation]=$B42))/MAX(1,AY42)</f>
        <v>0</v>
      </c>
      <c r="BB42" s="27">
        <f>SUMIFS(Table47[Rev. Based on PROB],Table47[Installation],$B42,Table47[Projected 
Year],BB$1,Table47[Monthly revenue],BB$2)</f>
        <v>0</v>
      </c>
      <c r="BC42" s="159">
        <f>SUMPRODUCT(Table4[Probability]*Table4[Rev. Based on PROB]*(Table4[Installation]=$B42)*(Table4[Projected 
Year]=BB$1)*(Table4[Projected 
Month]=BB$2))/MAX(1,SUMPRODUCT(Table4[Rev. Based on PROB]*(Table4[Installation]=$B42)*(Table4[Projected 
Year]=BB$1)*(Table4[Projected 
Month]=BB$2)))</f>
        <v>0</v>
      </c>
      <c r="BD42" s="160">
        <f>SUMPRODUCT(Table4[Rev. Based on PROB]*Table4[Expected CMR]*(Table4[Projected 
Year]=BB$1)*(Table4[Projected 
Month]=BB$2)*(Table4[Installation]=$B42))/MAX(1,BB42)</f>
        <v>0</v>
      </c>
      <c r="BE42" s="27">
        <f>SUMIFS(Table47[Rev. Based on PROB],Table47[Installation],$B42,Table47[Projected 
Year],BE$1,Table47[Monthly revenue],BE$2)</f>
        <v>0</v>
      </c>
      <c r="BF42" s="159">
        <f>SUMPRODUCT(Table4[Probability]*Table4[Rev. Based on PROB]*(Table4[Installation]=$B42)*(Table4[Projected 
Year]=BE$1)*(Table4[Projected 
Month]=BE$2))/MAX(1,SUMPRODUCT(Table4[Rev. Based on PROB]*(Table4[Installation]=$B42)*(Table4[Projected 
Year]=BE$1)*(Table4[Projected 
Month]=BE$2)))</f>
        <v>0</v>
      </c>
      <c r="BG42" s="160">
        <f>SUMPRODUCT(Table4[Rev. Based on PROB]*Table4[Expected CMR]*(Table4[Projected 
Year]=BE$1)*(Table4[Projected 
Month]=BE$2)*(Table4[Installation]=$B42))/MAX(1,BE42)</f>
        <v>0</v>
      </c>
      <c r="BH42" s="27">
        <f>SUMIFS(Table47[Rev. Based on PROB],Table47[Installation],$B42,Table47[Projected 
Year],BH$1,Table47[Monthly revenue],BH$2)</f>
        <v>70324</v>
      </c>
      <c r="BI42" s="159">
        <f>SUMPRODUCT(Table4[Probability]*Table4[Rev. Based on PROB]*(Table4[Installation]=$B42)*(Table4[Projected 
Year]=BH$1)*(Table4[Projected 
Month]=BH$2))/MAX(1,SUMPRODUCT(Table4[Rev. Based on PROB]*(Table4[Installation]=$B42)*(Table4[Projected 
Year]=BH$1)*(Table4[Projected 
Month]=BH$2)))</f>
        <v>0</v>
      </c>
      <c r="BJ42" s="160">
        <f>SUMPRODUCT(Table4[Rev. Based on PROB]*Table4[Expected CMR]*(Table4[Projected 
Year]=BH$1)*(Table4[Projected 
Month]=BH$2)*(Table4[Installation]=$B42))/MAX(1,BH42)</f>
        <v>0</v>
      </c>
      <c r="BK42" s="27">
        <f>SUMIFS(Table47[Rev. Based on PROB],Table47[Installation],$B42,Table47[Projected 
Year],BK$1,Table47[Monthly revenue],BK$2)</f>
        <v>50000</v>
      </c>
      <c r="BL42" s="159">
        <f>SUMPRODUCT(Table4[Probability]*Table4[Rev. Based on PROB]*(Table4[Installation]=$B42)*(Table4[Projected 
Year]=BK$1)*(Table4[Projected 
Month]=BK$2))/MAX(1,SUMPRODUCT(Table4[Rev. Based on PROB]*(Table4[Installation]=$B42)*(Table4[Projected 
Year]=BK$1)*(Table4[Projected 
Month]=BK$2)))</f>
        <v>0</v>
      </c>
      <c r="BM42" s="160">
        <f>SUMPRODUCT(Table4[Rev. Based on PROB]*Table4[Expected CMR]*(Table4[Projected 
Year]=BK$1)*(Table4[Projected 
Month]=BK$2)*(Table4[Installation]=$B42))/MAX(1,BK42)</f>
        <v>0</v>
      </c>
      <c r="BN42" s="27">
        <f>SUMIFS(Table47[Rev. Based on PROB],Table47[Installation],$B42,Table47[Projected 
Year],BN$1,Table47[Monthly revenue],BN$2)</f>
        <v>17500</v>
      </c>
      <c r="BO42" s="159">
        <f>SUMPRODUCT(Table4[Probability]*Table4[Rev. Based on PROB]*(Table4[Installation]=$B42)*(Table4[Projected 
Year]=BN$1)*(Table4[Projected 
Month]=BN$2))/MAX(1,SUMPRODUCT(Table4[Rev. Based on PROB]*(Table4[Installation]=$B42)*(Table4[Projected 
Year]=BN$1)*(Table4[Projected 
Month]=BN$2)))</f>
        <v>0</v>
      </c>
      <c r="BP42" s="160">
        <f>SUMPRODUCT(Table4[Rev. Based on PROB]*Table4[Expected CMR]*(Table4[Projected 
Year]=BN$1)*(Table4[Projected 
Month]=BN$2)*(Table4[Installation]=$B42))/MAX(1,BN42)</f>
        <v>0</v>
      </c>
      <c r="BQ42" s="27">
        <f>SUMIFS(Table47[Rev. Based on PROB],Table47[Installation],$B42,Table47[Projected 
Year],BQ$1,Table47[Monthly revenue],BQ$2)</f>
        <v>0</v>
      </c>
      <c r="BR42" s="159">
        <f>SUMPRODUCT(Table4[Probability]*Table4[Rev. Based on PROB]*(Table4[Installation]=$B42)*(Table4[Projected 
Year]=BQ$1)*(Table4[Projected 
Month]=BQ$2))/MAX(1,SUMPRODUCT(Table4[Rev. Based on PROB]*(Table4[Installation]=$B42)*(Table4[Projected 
Year]=BQ$1)*(Table4[Projected 
Month]=BQ$2)))</f>
        <v>0</v>
      </c>
      <c r="BS42" s="160">
        <f>SUMPRODUCT(Table4[Rev. Based on PROB]*Table4[Expected CMR]*(Table4[Projected 
Year]=BQ$1)*(Table4[Projected 
Month]=BQ$2)*(Table4[Installation]=$B42))/MAX(1,BQ42)</f>
        <v>0</v>
      </c>
      <c r="BT42" s="27">
        <f>SUMIFS(Table47[Rev. Based on PROB],Table47[Installation],$B42,Table47[Projected 
Year],BT$1,Table47[Monthly revenue],BT$2)</f>
        <v>30000</v>
      </c>
      <c r="BU42" s="159">
        <f>SUMPRODUCT(Table4[Probability]*Table4[Rev. Based on PROB]*(Table4[Installation]=$B42)*(Table4[Projected 
Year]=BT$1)*(Table4[Projected 
Month]=BT$2))/MAX(1,SUMPRODUCT(Table4[Rev. Based on PROB]*(Table4[Installation]=$B42)*(Table4[Projected 
Year]=BT$1)*(Table4[Projected 
Month]=BT$2)))</f>
        <v>0</v>
      </c>
      <c r="BV42" s="160">
        <f>SUMPRODUCT(Table4[Rev. Based on PROB]*Table4[Expected CMR]*(Table4[Projected 
Year]=BT$1)*(Table4[Projected 
Month]=BT$2)*(Table4[Installation]=$B42))/MAX(1,BT42)</f>
        <v>0</v>
      </c>
      <c r="BW42" s="27">
        <f>SUMIFS(Table47[Rev. Based on PROB],Table47[Installation],$B42,Table47[Projected 
Year],BW$1,Table47[Monthly revenue],BW$2)</f>
        <v>0</v>
      </c>
      <c r="BX42" s="159">
        <f>SUMPRODUCT(Table4[Probability]*Table4[Rev. Based on PROB]*(Table4[Installation]=$B42)*(Table4[Projected 
Year]=BW$1)*(Table4[Projected 
Month]=BW$2))/MAX(1,SUMPRODUCT(Table4[Rev. Based on PROB]*(Table4[Installation]=$B42)*(Table4[Projected 
Year]=BW$1)*(Table4[Projected 
Month]=BW$2)))</f>
        <v>1</v>
      </c>
      <c r="BY42" s="160">
        <f>SUMPRODUCT(Table4[Rev. Based on PROB]*Table4[Expected CMR]*(Table4[Projected 
Year]=BW$1)*(Table4[Projected 
Month]=BW$2)*(Table4[Installation]=$B42))/MAX(1,BW42)</f>
        <v>39900</v>
      </c>
      <c r="BZ42" s="200"/>
      <c r="CA42" s="200"/>
      <c r="CB42" s="200"/>
      <c r="CC42" s="200"/>
      <c r="CD42" s="200"/>
      <c r="CE42" s="200"/>
      <c r="CF42" s="200"/>
      <c r="CG42" s="200"/>
      <c r="CH42" s="200"/>
      <c r="CI42" s="200"/>
      <c r="CJ42" s="200"/>
      <c r="CK42" s="200"/>
      <c r="CL42" s="200"/>
      <c r="CM42" s="200"/>
      <c r="CN42" s="200"/>
      <c r="CO42" s="200"/>
      <c r="CP42" s="200"/>
      <c r="CQ42" s="200"/>
      <c r="CR42" s="200"/>
      <c r="CS42" s="200"/>
      <c r="CT42" s="200"/>
      <c r="CU42" s="30">
        <f t="shared" si="0"/>
        <v>167824</v>
      </c>
      <c r="CV42" s="52">
        <f t="shared" si="9"/>
        <v>0</v>
      </c>
      <c r="CW42" s="53">
        <f t="shared" si="10"/>
        <v>0</v>
      </c>
    </row>
    <row r="43" spans="1:102">
      <c r="A43" s="18"/>
      <c r="B43" s="20" t="s">
        <v>296</v>
      </c>
      <c r="C43" s="27"/>
      <c r="D43" s="23"/>
      <c r="E43" s="24"/>
      <c r="F43" s="27"/>
      <c r="G43" s="23"/>
      <c r="H43" s="24"/>
      <c r="I43" s="27"/>
      <c r="J43" s="23"/>
      <c r="K43" s="24"/>
      <c r="L43" s="27"/>
      <c r="M43" s="23"/>
      <c r="N43" s="24"/>
      <c r="O43" s="27"/>
      <c r="P43" s="23"/>
      <c r="Q43" s="24"/>
      <c r="R43" s="27"/>
      <c r="S43" s="23"/>
      <c r="T43" s="24"/>
      <c r="U43" s="27">
        <f>SUMIFS(Table4[Rev. Based on PROB],Table4[Installation],$B43,Table4[Projected 
Year],U$1,Table4[Projected 
Month],U$2)</f>
        <v>0</v>
      </c>
      <c r="V43" s="159">
        <f>SUMPRODUCT(Table4[Probability]*Table4[Rev. Based on PROB]*(Table4[Installation]=$B43)*(Table4[Projected 
Year]=U$1)*(Table4[Projected 
Month]=U$2))/MAX(1,SUMPRODUCT(Table4[Rev. Based on PROB]*(Table4[Installation]=$B43)*(Table4[Projected 
Year]=U$1)*(Table4[Projected 
Month]=U$2)))</f>
        <v>0</v>
      </c>
      <c r="W43" s="160">
        <f>SUMPRODUCT(Table4[Rev. Based on PROB]*Table4[Expected CMR]*(Table4[Projected 
Year]=U$1)*(Table4[Projected 
Month]=U$2)*(Table4[Installation]=$B43))/MAX(1,U43)</f>
        <v>0</v>
      </c>
      <c r="X43" s="27">
        <f>SUMIFS(Table4[Rev. Based on PROB],Table4[Installation],$B43,Table4[Projected 
Year],X$1,Table4[Projected 
Month],X$2)</f>
        <v>0</v>
      </c>
      <c r="Y43" s="159">
        <f>SUMPRODUCT(Table4[Probability]*Table4[Rev. Based on PROB]*(Table4[Installation]=$B43)*(Table4[Projected 
Year]=X$1)*(Table4[Projected 
Month]=X$2))/MAX(1,SUMPRODUCT(Table4[Rev. Based on PROB]*(Table4[Installation]=$B43)*(Table4[Projected 
Year]=X$1)*(Table4[Projected 
Month]=X$2)))</f>
        <v>0</v>
      </c>
      <c r="Z43" s="160">
        <f>SUMPRODUCT(Table4[Rev. Based on PROB]*Table4[Expected CMR]*(Table4[Projected 
Year]=X$1)*(Table4[Projected 
Month]=X$2)*(Table4[Installation]=$B43))/MAX(1,X43)</f>
        <v>0</v>
      </c>
      <c r="AA43" s="27">
        <f>SUMIFS(Table4[Rev. Based on PROB],Table4[Installation],$B43,Table4[Projected 
Year],AA$1,Table4[Projected 
Month],AA$2)</f>
        <v>0</v>
      </c>
      <c r="AB43" s="159">
        <f>SUMPRODUCT(Table4[Probability]*Table4[Rev. Based on PROB]*(Table4[Installation]=$B43)*(Table4[Projected 
Year]=AA$1)*(Table4[Projected 
Month]=AA$2))/MAX(1,SUMPRODUCT(Table4[Rev. Based on PROB]*(Table4[Installation]=$B43)*(Table4[Projected 
Year]=AA$1)*(Table4[Projected 
Month]=AA$2)))</f>
        <v>0</v>
      </c>
      <c r="AC43" s="160">
        <f>SUMPRODUCT(Table4[Rev. Based on PROB]*Table4[Expected CMR]*(Table4[Projected 
Year]=AA$1)*(Table4[Projected 
Month]=AA$2)*(Table4[Installation]=$B43))/MAX(1,AA43)</f>
        <v>0</v>
      </c>
      <c r="AD43" s="27">
        <f>SUMIFS(Table4[Rev. Based on PROB],Table4[Installation],$B43,Table4[Projected 
Year],AD$1,Table4[Projected 
Month],AD$2)</f>
        <v>0</v>
      </c>
      <c r="AE43" s="159">
        <f>SUMPRODUCT(Table4[Probability]*Table4[Rev. Based on PROB]*(Table4[Installation]=$B43)*(Table4[Projected 
Year]=AD$1)*(Table4[Projected 
Month]=AD$2))/MAX(1,SUMPRODUCT(Table4[Rev. Based on PROB]*(Table4[Installation]=$B43)*(Table4[Projected 
Year]=AD$1)*(Table4[Projected 
Month]=AD$2)))</f>
        <v>0</v>
      </c>
      <c r="AF43" s="160">
        <f>SUMPRODUCT(Table4[Rev. Based on PROB]*Table4[Expected CMR]*(Table4[Projected 
Year]=AD$1)*(Table4[Projected 
Month]=AD$2)*(Table4[Installation]=$B43))/MAX(1,AD43)</f>
        <v>0</v>
      </c>
      <c r="AG43" s="27">
        <f>SUMIFS(Table4[Rev. Based on PROB],Table4[Installation],$B43,Table4[Projected 
Year],AG$1,Table4[Projected 
Month],AG$2)</f>
        <v>0</v>
      </c>
      <c r="AH43" s="159">
        <f>SUMPRODUCT(Table4[Probability]*Table4[Rev. Based on PROB]*(Table4[Installation]=$B43)*(Table4[Projected 
Year]=AG$1)*(Table4[Projected 
Month]=AG$2))/MAX(1,SUMPRODUCT(Table4[Rev. Based on PROB]*(Table4[Installation]=$B43)*(Table4[Projected 
Year]=AG$1)*(Table4[Projected 
Month]=AG$2)))</f>
        <v>0</v>
      </c>
      <c r="AI43" s="160">
        <f>SUMPRODUCT(Table4[Rev. Based on PROB]*Table4[Expected CMR]*(Table4[Projected 
Year]=AG$1)*(Table4[Projected 
Month]=AG$2)*(Table4[Installation]=$B43))/MAX(1,AG43)</f>
        <v>0</v>
      </c>
      <c r="AJ43" s="27">
        <f>SUMIFS(Table4[Rev. Based on PROB],Table4[Installation],$B43,Table4[Projected 
Year],AJ$1,Table4[Projected 
Month],AJ$2)</f>
        <v>0</v>
      </c>
      <c r="AK43" s="159">
        <f>SUMPRODUCT(Table4[Probability]*Table4[Rev. Based on PROB]*(Table4[Installation]=$B43)*(Table4[Projected 
Year]=AJ$1)*(Table4[Projected 
Month]=AJ$2))/MAX(1,SUMPRODUCT(Table4[Rev. Based on PROB]*(Table4[Installation]=$B43)*(Table4[Projected 
Year]=AJ$1)*(Table4[Projected 
Month]=AJ$2)))</f>
        <v>0</v>
      </c>
      <c r="AL43" s="160">
        <f>SUMPRODUCT(Table4[Rev. Based on PROB]*Table4[Expected CMR]*(Table4[Projected 
Year]=AJ$1)*(Table4[Projected 
Month]=AJ$2)*(Table4[Installation]=$B43))/MAX(1,AJ43)</f>
        <v>0</v>
      </c>
      <c r="AM43" s="30">
        <f t="shared" si="7"/>
        <v>0</v>
      </c>
      <c r="AN43" s="52">
        <f t="shared" si="11"/>
        <v>0</v>
      </c>
      <c r="AO43" s="53">
        <f t="shared" si="12"/>
        <v>0</v>
      </c>
      <c r="AP43" s="27">
        <f>SUMIFS(Table47[Rev. Based on PROB],Table47[Installation],$B43,Table47[Projected 
Year],AP$1,Table47[Monthly revenue],AP$2)</f>
        <v>100000</v>
      </c>
      <c r="AQ43" s="159">
        <f>SUMPRODUCT(Table4[Probability]*Table4[Rev. Based on PROB]*(Table4[Installation]=$B43)*(Table4[Projected 
Year]=AP$1)*(Table4[Projected 
Month]=AP$2))/MAX(1,SUMPRODUCT(Table4[Rev. Based on PROB]*(Table4[Installation]=$B43)*(Table4[Projected 
Year]=AP$1)*(Table4[Projected 
Month]=AP$2)))</f>
        <v>0</v>
      </c>
      <c r="AR43" s="160">
        <f>SUMPRODUCT(Table4[Rev. Based on PROB]*Table4[Expected CMR]*(Table4[Projected 
Year]=AP$1)*(Table4[Projected 
Month]=AP$2)*(Table4[Installation]=$B43))/MAX(1,AP43)</f>
        <v>0</v>
      </c>
      <c r="AS43" s="27">
        <f>SUMIFS(Table47[Rev. Based on PROB],Table47[Installation],$B43,Table47[Projected 
Year],AS$1,Table47[Monthly revenue],AS$2)</f>
        <v>100000</v>
      </c>
      <c r="AT43" s="159">
        <f>SUMPRODUCT(Table4[Probability]*Table4[Rev. Based on PROB]*(Table4[Installation]=$B43)*(Table4[Projected 
Year]=AS$1)*(Table4[Projected 
Month]=AS$2))/MAX(1,SUMPRODUCT(Table4[Rev. Based on PROB]*(Table4[Installation]=$B43)*(Table4[Projected 
Year]=AS$1)*(Table4[Projected 
Month]=AS$2)))</f>
        <v>0</v>
      </c>
      <c r="AU43" s="160">
        <f>SUMPRODUCT(Table4[Rev. Based on PROB]*Table4[Expected CMR]*(Table4[Projected 
Year]=AS$1)*(Table4[Projected 
Month]=AS$2)*(Table4[Installation]=$B43))/MAX(1,AS43)</f>
        <v>0</v>
      </c>
      <c r="AV43" s="27">
        <f>SUMIFS(Table47[Rev. Based on PROB],Table47[Installation],$B43,Table47[Projected 
Year],AV$1,Table47[Monthly revenue],AV$2)</f>
        <v>100000</v>
      </c>
      <c r="AW43" s="159">
        <f>SUMPRODUCT(Table4[Probability]*Table4[Rev. Based on PROB]*(Table4[Installation]=$B43)*(Table4[Projected 
Year]=AV$1)*(Table4[Projected 
Month]=AV$2))/MAX(1,SUMPRODUCT(Table4[Rev. Based on PROB]*(Table4[Installation]=$B43)*(Table4[Projected 
Year]=AV$1)*(Table4[Projected 
Month]=AV$2)))</f>
        <v>0</v>
      </c>
      <c r="AX43" s="160">
        <f>SUMPRODUCT(Table4[Rev. Based on PROB]*Table4[Expected CMR]*(Table4[Projected 
Year]=AV$1)*(Table4[Projected 
Month]=AV$2)*(Table4[Installation]=$B43))/MAX(1,AV43)</f>
        <v>0</v>
      </c>
      <c r="AY43" s="27">
        <f>SUMIFS(Table47[Rev. Based on PROB],Table47[Installation],$B43,Table47[Projected 
Year],AY$1,Table47[Monthly revenue],AY$2)</f>
        <v>50000</v>
      </c>
      <c r="AZ43" s="159">
        <f>SUMPRODUCT(Table4[Probability]*Table4[Rev. Based on PROB]*(Table4[Installation]=$B43)*(Table4[Projected 
Year]=AY$1)*(Table4[Projected 
Month]=AY$2))/MAX(1,SUMPRODUCT(Table4[Rev. Based on PROB]*(Table4[Installation]=$B43)*(Table4[Projected 
Year]=AY$1)*(Table4[Projected 
Month]=AY$2)))</f>
        <v>0</v>
      </c>
      <c r="BA43" s="160">
        <f>SUMPRODUCT(Table4[Rev. Based on PROB]*Table4[Expected CMR]*(Table4[Projected 
Year]=AY$1)*(Table4[Projected 
Month]=AY$2)*(Table4[Installation]=$B43))/MAX(1,AY43)</f>
        <v>0</v>
      </c>
      <c r="BB43" s="27">
        <f>SUMIFS(Table47[Rev. Based on PROB],Table47[Installation],$B43,Table47[Projected 
Year],BB$1,Table47[Monthly revenue],BB$2)</f>
        <v>150000</v>
      </c>
      <c r="BC43" s="159">
        <f>SUMPRODUCT(Table4[Probability]*Table4[Rev. Based on PROB]*(Table4[Installation]=$B43)*(Table4[Projected 
Year]=BB$1)*(Table4[Projected 
Month]=BB$2))/MAX(1,SUMPRODUCT(Table4[Rev. Based on PROB]*(Table4[Installation]=$B43)*(Table4[Projected 
Year]=BB$1)*(Table4[Projected 
Month]=BB$2)))</f>
        <v>0</v>
      </c>
      <c r="BD43" s="160">
        <f>SUMPRODUCT(Table4[Rev. Based on PROB]*Table4[Expected CMR]*(Table4[Projected 
Year]=BB$1)*(Table4[Projected 
Month]=BB$2)*(Table4[Installation]=$B43))/MAX(1,BB43)</f>
        <v>0</v>
      </c>
      <c r="BE43" s="27">
        <f>SUMIFS(Table47[Rev. Based on PROB],Table47[Installation],$B43,Table47[Projected 
Year],BE$1,Table47[Monthly revenue],BE$2)</f>
        <v>150000</v>
      </c>
      <c r="BF43" s="159">
        <f>SUMPRODUCT(Table4[Probability]*Table4[Rev. Based on PROB]*(Table4[Installation]=$B43)*(Table4[Projected 
Year]=BE$1)*(Table4[Projected 
Month]=BE$2))/MAX(1,SUMPRODUCT(Table4[Rev. Based on PROB]*(Table4[Installation]=$B43)*(Table4[Projected 
Year]=BE$1)*(Table4[Projected 
Month]=BE$2)))</f>
        <v>0</v>
      </c>
      <c r="BG43" s="160">
        <f>SUMPRODUCT(Table4[Rev. Based on PROB]*Table4[Expected CMR]*(Table4[Projected 
Year]=BE$1)*(Table4[Projected 
Month]=BE$2)*(Table4[Installation]=$B43))/MAX(1,BE43)</f>
        <v>0</v>
      </c>
      <c r="BH43" s="27">
        <f>SUMIFS(Table47[Rev. Based on PROB],Table47[Installation],$B43,Table47[Projected 
Year],BH$1,Table47[Monthly revenue],BH$2)</f>
        <v>150000</v>
      </c>
      <c r="BI43" s="159">
        <f>SUMPRODUCT(Table4[Probability]*Table4[Rev. Based on PROB]*(Table4[Installation]=$B43)*(Table4[Projected 
Year]=BH$1)*(Table4[Projected 
Month]=BH$2))/MAX(1,SUMPRODUCT(Table4[Rev. Based on PROB]*(Table4[Installation]=$B43)*(Table4[Projected 
Year]=BH$1)*(Table4[Projected 
Month]=BH$2)))</f>
        <v>0</v>
      </c>
      <c r="BJ43" s="160">
        <f>SUMPRODUCT(Table4[Rev. Based on PROB]*Table4[Expected CMR]*(Table4[Projected 
Year]=BH$1)*(Table4[Projected 
Month]=BH$2)*(Table4[Installation]=$B43))/MAX(1,BH43)</f>
        <v>0</v>
      </c>
      <c r="BK43" s="27">
        <f>SUMIFS(Table47[Rev. Based on PROB],Table47[Installation],$B43,Table47[Projected 
Year],BK$1,Table47[Monthly revenue],BK$2)</f>
        <v>150000</v>
      </c>
      <c r="BL43" s="159">
        <f>SUMPRODUCT(Table4[Probability]*Table4[Rev. Based on PROB]*(Table4[Installation]=$B43)*(Table4[Projected 
Year]=BK$1)*(Table4[Projected 
Month]=BK$2))/MAX(1,SUMPRODUCT(Table4[Rev. Based on PROB]*(Table4[Installation]=$B43)*(Table4[Projected 
Year]=BK$1)*(Table4[Projected 
Month]=BK$2)))</f>
        <v>0</v>
      </c>
      <c r="BM43" s="160">
        <f>SUMPRODUCT(Table4[Rev. Based on PROB]*Table4[Expected CMR]*(Table4[Projected 
Year]=BK$1)*(Table4[Projected 
Month]=BK$2)*(Table4[Installation]=$B43))/MAX(1,BK43)</f>
        <v>0</v>
      </c>
      <c r="BN43" s="27">
        <f>SUMIFS(Table47[Rev. Based on PROB],Table47[Installation],$B43,Table47[Projected 
Year],BN$1,Table47[Monthly revenue],BN$2)</f>
        <v>150000</v>
      </c>
      <c r="BO43" s="159">
        <f>SUMPRODUCT(Table4[Probability]*Table4[Rev. Based on PROB]*(Table4[Installation]=$B43)*(Table4[Projected 
Year]=BN$1)*(Table4[Projected 
Month]=BN$2))/MAX(1,SUMPRODUCT(Table4[Rev. Based on PROB]*(Table4[Installation]=$B43)*(Table4[Projected 
Year]=BN$1)*(Table4[Projected 
Month]=BN$2)))</f>
        <v>0</v>
      </c>
      <c r="BP43" s="160">
        <f>SUMPRODUCT(Table4[Rev. Based on PROB]*Table4[Expected CMR]*(Table4[Projected 
Year]=BN$1)*(Table4[Projected 
Month]=BN$2)*(Table4[Installation]=$B43))/MAX(1,BN43)</f>
        <v>0</v>
      </c>
      <c r="BQ43" s="27">
        <f>SUMIFS(Table47[Rev. Based on PROB],Table47[Installation],$B43,Table47[Projected 
Year],BQ$1,Table47[Monthly revenue],BQ$2)</f>
        <v>150000</v>
      </c>
      <c r="BR43" s="159">
        <f>SUMPRODUCT(Table4[Probability]*Table4[Rev. Based on PROB]*(Table4[Installation]=$B43)*(Table4[Projected 
Year]=BQ$1)*(Table4[Projected 
Month]=BQ$2))/MAX(1,SUMPRODUCT(Table4[Rev. Based on PROB]*(Table4[Installation]=$B43)*(Table4[Projected 
Year]=BQ$1)*(Table4[Projected 
Month]=BQ$2)))</f>
        <v>0</v>
      </c>
      <c r="BS43" s="160">
        <f>SUMPRODUCT(Table4[Rev. Based on PROB]*Table4[Expected CMR]*(Table4[Projected 
Year]=BQ$1)*(Table4[Projected 
Month]=BQ$2)*(Table4[Installation]=$B43))/MAX(1,BQ43)</f>
        <v>0</v>
      </c>
      <c r="BT43" s="27">
        <f>SUMIFS(Table47[Rev. Based on PROB],Table47[Installation],$B43,Table47[Projected 
Year],BT$1,Table47[Monthly revenue],BT$2)</f>
        <v>150000</v>
      </c>
      <c r="BU43" s="159">
        <f>SUMPRODUCT(Table4[Probability]*Table4[Rev. Based on PROB]*(Table4[Installation]=$B43)*(Table4[Projected 
Year]=BT$1)*(Table4[Projected 
Month]=BT$2))/MAX(1,SUMPRODUCT(Table4[Rev. Based on PROB]*(Table4[Installation]=$B43)*(Table4[Projected 
Year]=BT$1)*(Table4[Projected 
Month]=BT$2)))</f>
        <v>0</v>
      </c>
      <c r="BV43" s="160">
        <f>SUMPRODUCT(Table4[Rev. Based on PROB]*Table4[Expected CMR]*(Table4[Projected 
Year]=BT$1)*(Table4[Projected 
Month]=BT$2)*(Table4[Installation]=$B43))/MAX(1,BT43)</f>
        <v>0</v>
      </c>
      <c r="BW43" s="27">
        <f>SUMIFS(Table47[Rev. Based on PROB],Table47[Installation],$B43,Table47[Projected 
Year],BW$1,Table47[Monthly revenue],BW$2)</f>
        <v>100000</v>
      </c>
      <c r="BX43" s="159">
        <f>SUMPRODUCT(Table4[Probability]*Table4[Rev. Based on PROB]*(Table4[Installation]=$B43)*(Table4[Projected 
Year]=BW$1)*(Table4[Projected 
Month]=BW$2))/MAX(1,SUMPRODUCT(Table4[Rev. Based on PROB]*(Table4[Installation]=$B43)*(Table4[Projected 
Year]=BW$1)*(Table4[Projected 
Month]=BW$2)))</f>
        <v>0</v>
      </c>
      <c r="BY43" s="160">
        <f>SUMPRODUCT(Table4[Rev. Based on PROB]*Table4[Expected CMR]*(Table4[Projected 
Year]=BW$1)*(Table4[Projected 
Month]=BW$2)*(Table4[Installation]=$B43))/MAX(1,BW43)</f>
        <v>0</v>
      </c>
      <c r="BZ43" s="200"/>
      <c r="CA43" s="200"/>
      <c r="CB43" s="200"/>
      <c r="CC43" s="200"/>
      <c r="CD43" s="200"/>
      <c r="CE43" s="200"/>
      <c r="CF43" s="200"/>
      <c r="CG43" s="200"/>
      <c r="CH43" s="200"/>
      <c r="CI43" s="200"/>
      <c r="CJ43" s="200"/>
      <c r="CK43" s="200"/>
      <c r="CL43" s="200"/>
      <c r="CM43" s="200"/>
      <c r="CN43" s="200"/>
      <c r="CO43" s="200"/>
      <c r="CP43" s="200"/>
      <c r="CQ43" s="200"/>
      <c r="CR43" s="200"/>
      <c r="CS43" s="200"/>
      <c r="CT43" s="200"/>
      <c r="CU43" s="30">
        <f t="shared" si="0"/>
        <v>1500000</v>
      </c>
      <c r="CV43" s="52">
        <f t="shared" si="9"/>
        <v>0</v>
      </c>
      <c r="CW43" s="53">
        <f t="shared" si="10"/>
        <v>0</v>
      </c>
    </row>
    <row r="44" spans="1:102">
      <c r="A44" s="18"/>
      <c r="B44" s="20" t="s">
        <v>310</v>
      </c>
      <c r="C44" s="27"/>
      <c r="D44" s="23"/>
      <c r="E44" s="24"/>
      <c r="F44" s="27"/>
      <c r="G44" s="23"/>
      <c r="H44" s="24"/>
      <c r="I44" s="27"/>
      <c r="J44" s="23"/>
      <c r="K44" s="24"/>
      <c r="L44" s="27"/>
      <c r="M44" s="23"/>
      <c r="N44" s="24"/>
      <c r="O44" s="27"/>
      <c r="P44" s="23"/>
      <c r="Q44" s="24"/>
      <c r="R44" s="27"/>
      <c r="S44" s="23"/>
      <c r="T44" s="24"/>
      <c r="U44" s="27">
        <f>SUMIFS(Table4[Rev. Based on PROB],Table4[Installation],$B44,Table4[Projected 
Year],U$1,Table4[Projected 
Month],U$2)</f>
        <v>0</v>
      </c>
      <c r="V44" s="159">
        <f>SUMPRODUCT(Table4[Probability]*Table4[Rev. Based on PROB]*(Table4[Installation]=$B44)*(Table4[Projected 
Year]=U$1)*(Table4[Projected 
Month]=U$2))/MAX(1,SUMPRODUCT(Table4[Rev. Based on PROB]*(Table4[Installation]=$B44)*(Table4[Projected 
Year]=U$1)*(Table4[Projected 
Month]=U$2)))</f>
        <v>0</v>
      </c>
      <c r="W44" s="160">
        <f>SUMPRODUCT(Table4[Rev. Based on PROB]*Table4[Expected CMR]*(Table4[Projected 
Year]=U$1)*(Table4[Projected 
Month]=U$2)*(Table4[Installation]=$B44))/MAX(1,U44)</f>
        <v>0</v>
      </c>
      <c r="X44" s="27">
        <f>SUMIFS(Table4[Rev. Based on PROB],Table4[Installation],$B44,Table4[Projected 
Year],X$1,Table4[Projected 
Month],X$2)</f>
        <v>0</v>
      </c>
      <c r="Y44" s="159">
        <f>SUMPRODUCT(Table4[Probability]*Table4[Rev. Based on PROB]*(Table4[Installation]=$B44)*(Table4[Projected 
Year]=X$1)*(Table4[Projected 
Month]=X$2))/MAX(1,SUMPRODUCT(Table4[Rev. Based on PROB]*(Table4[Installation]=$B44)*(Table4[Projected 
Year]=X$1)*(Table4[Projected 
Month]=X$2)))</f>
        <v>0</v>
      </c>
      <c r="Z44" s="160">
        <f>SUMPRODUCT(Table4[Rev. Based on PROB]*Table4[Expected CMR]*(Table4[Projected 
Year]=X$1)*(Table4[Projected 
Month]=X$2)*(Table4[Installation]=$B44))/MAX(1,X44)</f>
        <v>0</v>
      </c>
      <c r="AA44" s="27">
        <f>SUMIFS(Table4[Rev. Based on PROB],Table4[Installation],$B44,Table4[Projected 
Year],AA$1,Table4[Projected 
Month],AA$2)</f>
        <v>0</v>
      </c>
      <c r="AB44" s="159">
        <f>SUMPRODUCT(Table4[Probability]*Table4[Rev. Based on PROB]*(Table4[Installation]=$B44)*(Table4[Projected 
Year]=AA$1)*(Table4[Projected 
Month]=AA$2))/MAX(1,SUMPRODUCT(Table4[Rev. Based on PROB]*(Table4[Installation]=$B44)*(Table4[Projected 
Year]=AA$1)*(Table4[Projected 
Month]=AA$2)))</f>
        <v>0</v>
      </c>
      <c r="AC44" s="160">
        <f>SUMPRODUCT(Table4[Rev. Based on PROB]*Table4[Expected CMR]*(Table4[Projected 
Year]=AA$1)*(Table4[Projected 
Month]=AA$2)*(Table4[Installation]=$B44))/MAX(1,AA44)</f>
        <v>0</v>
      </c>
      <c r="AD44" s="27">
        <f>SUMIFS(Table4[Rev. Based on PROB],Table4[Installation],$B44,Table4[Projected 
Year],AD$1,Table4[Projected 
Month],AD$2)</f>
        <v>0</v>
      </c>
      <c r="AE44" s="159">
        <f>SUMPRODUCT(Table4[Probability]*Table4[Rev. Based on PROB]*(Table4[Installation]=$B44)*(Table4[Projected 
Year]=AD$1)*(Table4[Projected 
Month]=AD$2))/MAX(1,SUMPRODUCT(Table4[Rev. Based on PROB]*(Table4[Installation]=$B44)*(Table4[Projected 
Year]=AD$1)*(Table4[Projected 
Month]=AD$2)))</f>
        <v>0</v>
      </c>
      <c r="AF44" s="160">
        <f>SUMPRODUCT(Table4[Rev. Based on PROB]*Table4[Expected CMR]*(Table4[Projected 
Year]=AD$1)*(Table4[Projected 
Month]=AD$2)*(Table4[Installation]=$B44))/MAX(1,AD44)</f>
        <v>0</v>
      </c>
      <c r="AG44" s="27">
        <f>SUMIFS(Table4[Rev. Based on PROB],Table4[Installation],$B44,Table4[Projected 
Year],AG$1,Table4[Projected 
Month],AG$2)</f>
        <v>0</v>
      </c>
      <c r="AH44" s="159">
        <f>SUMPRODUCT(Table4[Probability]*Table4[Rev. Based on PROB]*(Table4[Installation]=$B44)*(Table4[Projected 
Year]=AG$1)*(Table4[Projected 
Month]=AG$2))/MAX(1,SUMPRODUCT(Table4[Rev. Based on PROB]*(Table4[Installation]=$B44)*(Table4[Projected 
Year]=AG$1)*(Table4[Projected 
Month]=AG$2)))</f>
        <v>0</v>
      </c>
      <c r="AI44" s="160">
        <f>SUMPRODUCT(Table4[Rev. Based on PROB]*Table4[Expected CMR]*(Table4[Projected 
Year]=AG$1)*(Table4[Projected 
Month]=AG$2)*(Table4[Installation]=$B44))/MAX(1,AG44)</f>
        <v>0</v>
      </c>
      <c r="AJ44" s="27">
        <f>SUMIFS(Table4[Rev. Based on PROB],Table4[Installation],$B44,Table4[Projected 
Year],AJ$1,Table4[Projected 
Month],AJ$2)</f>
        <v>0</v>
      </c>
      <c r="AK44" s="159">
        <f>SUMPRODUCT(Table4[Probability]*Table4[Rev. Based on PROB]*(Table4[Installation]=$B44)*(Table4[Projected 
Year]=AJ$1)*(Table4[Projected 
Month]=AJ$2))/MAX(1,SUMPRODUCT(Table4[Rev. Based on PROB]*(Table4[Installation]=$B44)*(Table4[Projected 
Year]=AJ$1)*(Table4[Projected 
Month]=AJ$2)))</f>
        <v>0</v>
      </c>
      <c r="AL44" s="160">
        <f>SUMPRODUCT(Table4[Rev. Based on PROB]*Table4[Expected CMR]*(Table4[Projected 
Year]=AJ$1)*(Table4[Projected 
Month]=AJ$2)*(Table4[Installation]=$B44))/MAX(1,AJ44)</f>
        <v>0</v>
      </c>
      <c r="AM44" s="30">
        <f t="shared" si="7"/>
        <v>0</v>
      </c>
      <c r="AN44" s="52">
        <f t="shared" si="11"/>
        <v>0</v>
      </c>
      <c r="AO44" s="53">
        <f t="shared" si="12"/>
        <v>0</v>
      </c>
      <c r="AP44" s="27">
        <f>SUMIFS(Table47[Rev. Based on PROB],Table47[Installation],$B44,Table47[Projected 
Year],AP$1,Table47[Monthly revenue],AP$2)</f>
        <v>0</v>
      </c>
      <c r="AQ44" s="159">
        <f>SUMPRODUCT(Table4[Probability]*Table4[Rev. Based on PROB]*(Table4[Installation]=$B44)*(Table4[Projected 
Year]=AP$1)*(Table4[Projected 
Month]=AP$2))/MAX(1,SUMPRODUCT(Table4[Rev. Based on PROB]*(Table4[Installation]=$B44)*(Table4[Projected 
Year]=AP$1)*(Table4[Projected 
Month]=AP$2)))</f>
        <v>0</v>
      </c>
      <c r="AR44" s="160">
        <f>SUMPRODUCT(Table4[Rev. Based on PROB]*Table4[Expected CMR]*(Table4[Projected 
Year]=AP$1)*(Table4[Projected 
Month]=AP$2)*(Table4[Installation]=$B44))/MAX(1,AP44)</f>
        <v>0</v>
      </c>
      <c r="AS44" s="27">
        <f>SUMIFS(Table47[Rev. Based on PROB],Table47[Installation],$B44,Table47[Projected 
Year],AS$1,Table47[Monthly revenue],AS$2)</f>
        <v>0</v>
      </c>
      <c r="AT44" s="159">
        <f>SUMPRODUCT(Table4[Probability]*Table4[Rev. Based on PROB]*(Table4[Installation]=$B44)*(Table4[Projected 
Year]=AS$1)*(Table4[Projected 
Month]=AS$2))/MAX(1,SUMPRODUCT(Table4[Rev. Based on PROB]*(Table4[Installation]=$B44)*(Table4[Projected 
Year]=AS$1)*(Table4[Projected 
Month]=AS$2)))</f>
        <v>0</v>
      </c>
      <c r="AU44" s="160">
        <f>SUMPRODUCT(Table4[Rev. Based on PROB]*Table4[Expected CMR]*(Table4[Projected 
Year]=AS$1)*(Table4[Projected 
Month]=AS$2)*(Table4[Installation]=$B44))/MAX(1,AS44)</f>
        <v>0</v>
      </c>
      <c r="AV44" s="27">
        <f>SUMIFS(Table47[Rev. Based on PROB],Table47[Installation],$B44,Table47[Projected 
Year],AV$1,Table47[Monthly revenue],AV$2)</f>
        <v>0</v>
      </c>
      <c r="AW44" s="159">
        <f>SUMPRODUCT(Table4[Probability]*Table4[Rev. Based on PROB]*(Table4[Installation]=$B44)*(Table4[Projected 
Year]=AV$1)*(Table4[Projected 
Month]=AV$2))/MAX(1,SUMPRODUCT(Table4[Rev. Based on PROB]*(Table4[Installation]=$B44)*(Table4[Projected 
Year]=AV$1)*(Table4[Projected 
Month]=AV$2)))</f>
        <v>0</v>
      </c>
      <c r="AX44" s="160">
        <f>SUMPRODUCT(Table4[Rev. Based on PROB]*Table4[Expected CMR]*(Table4[Projected 
Year]=AV$1)*(Table4[Projected 
Month]=AV$2)*(Table4[Installation]=$B44))/MAX(1,AV44)</f>
        <v>0</v>
      </c>
      <c r="AY44" s="27">
        <f>SUMIFS(Table47[Rev. Based on PROB],Table47[Installation],$B44,Table47[Projected 
Year],AY$1,Table47[Monthly revenue],AY$2)</f>
        <v>0</v>
      </c>
      <c r="AZ44" s="159">
        <f>SUMPRODUCT(Table4[Probability]*Table4[Rev. Based on PROB]*(Table4[Installation]=$B44)*(Table4[Projected 
Year]=AY$1)*(Table4[Projected 
Month]=AY$2))/MAX(1,SUMPRODUCT(Table4[Rev. Based on PROB]*(Table4[Installation]=$B44)*(Table4[Projected 
Year]=AY$1)*(Table4[Projected 
Month]=AY$2)))</f>
        <v>0</v>
      </c>
      <c r="BA44" s="160">
        <f>SUMPRODUCT(Table4[Rev. Based on PROB]*Table4[Expected CMR]*(Table4[Projected 
Year]=AY$1)*(Table4[Projected 
Month]=AY$2)*(Table4[Installation]=$B44))/MAX(1,AY44)</f>
        <v>0</v>
      </c>
      <c r="BB44" s="27">
        <f>SUMIFS(Table47[Rev. Based on PROB],Table47[Installation],$B44,Table47[Projected 
Year],BB$1,Table47[Monthly revenue],BB$2)</f>
        <v>0</v>
      </c>
      <c r="BC44" s="159">
        <f>SUMPRODUCT(Table4[Probability]*Table4[Rev. Based on PROB]*(Table4[Installation]=$B44)*(Table4[Projected 
Year]=BB$1)*(Table4[Projected 
Month]=BB$2))/MAX(1,SUMPRODUCT(Table4[Rev. Based on PROB]*(Table4[Installation]=$B44)*(Table4[Projected 
Year]=BB$1)*(Table4[Projected 
Month]=BB$2)))</f>
        <v>0</v>
      </c>
      <c r="BD44" s="160">
        <f>SUMPRODUCT(Table4[Rev. Based on PROB]*Table4[Expected CMR]*(Table4[Projected 
Year]=BB$1)*(Table4[Projected 
Month]=BB$2)*(Table4[Installation]=$B44))/MAX(1,BB44)</f>
        <v>0</v>
      </c>
      <c r="BE44" s="27">
        <f>SUMIFS(Table47[Rev. Based on PROB],Table47[Installation],$B44,Table47[Projected 
Year],BE$1,Table47[Monthly revenue],BE$2)</f>
        <v>0</v>
      </c>
      <c r="BF44" s="159">
        <f>SUMPRODUCT(Table4[Probability]*Table4[Rev. Based on PROB]*(Table4[Installation]=$B44)*(Table4[Projected 
Year]=BE$1)*(Table4[Projected 
Month]=BE$2))/MAX(1,SUMPRODUCT(Table4[Rev. Based on PROB]*(Table4[Installation]=$B44)*(Table4[Projected 
Year]=BE$1)*(Table4[Projected 
Month]=BE$2)))</f>
        <v>0</v>
      </c>
      <c r="BG44" s="160">
        <f>SUMPRODUCT(Table4[Rev. Based on PROB]*Table4[Expected CMR]*(Table4[Projected 
Year]=BE$1)*(Table4[Projected 
Month]=BE$2)*(Table4[Installation]=$B44))/MAX(1,BE44)</f>
        <v>0</v>
      </c>
      <c r="BH44" s="27">
        <f>SUMIFS(Table47[Rev. Based on PROB],Table47[Installation],$B44,Table47[Projected 
Year],BH$1,Table47[Monthly revenue],BH$2)</f>
        <v>0</v>
      </c>
      <c r="BI44" s="159">
        <f>SUMPRODUCT(Table4[Probability]*Table4[Rev. Based on PROB]*(Table4[Installation]=$B44)*(Table4[Projected 
Year]=BH$1)*(Table4[Projected 
Month]=BH$2))/MAX(1,SUMPRODUCT(Table4[Rev. Based on PROB]*(Table4[Installation]=$B44)*(Table4[Projected 
Year]=BH$1)*(Table4[Projected 
Month]=BH$2)))</f>
        <v>0</v>
      </c>
      <c r="BJ44" s="160">
        <f>SUMPRODUCT(Table4[Rev. Based on PROB]*Table4[Expected CMR]*(Table4[Projected 
Year]=BH$1)*(Table4[Projected 
Month]=BH$2)*(Table4[Installation]=$B44))/MAX(1,BH44)</f>
        <v>0</v>
      </c>
      <c r="BK44" s="27">
        <f>SUMIFS(Table47[Rev. Based on PROB],Table47[Installation],$B44,Table47[Projected 
Year],BK$1,Table47[Monthly revenue],BK$2)</f>
        <v>0</v>
      </c>
      <c r="BL44" s="159">
        <f>SUMPRODUCT(Table4[Probability]*Table4[Rev. Based on PROB]*(Table4[Installation]=$B44)*(Table4[Projected 
Year]=BK$1)*(Table4[Projected 
Month]=BK$2))/MAX(1,SUMPRODUCT(Table4[Rev. Based on PROB]*(Table4[Installation]=$B44)*(Table4[Projected 
Year]=BK$1)*(Table4[Projected 
Month]=BK$2)))</f>
        <v>0</v>
      </c>
      <c r="BM44" s="160">
        <f>SUMPRODUCT(Table4[Rev. Based on PROB]*Table4[Expected CMR]*(Table4[Projected 
Year]=BK$1)*(Table4[Projected 
Month]=BK$2)*(Table4[Installation]=$B44))/MAX(1,BK44)</f>
        <v>0</v>
      </c>
      <c r="BN44" s="27">
        <f>SUMIFS(Table47[Rev. Based on PROB],Table47[Installation],$B44,Table47[Projected 
Year],BN$1,Table47[Monthly revenue],BN$2)</f>
        <v>0</v>
      </c>
      <c r="BO44" s="159">
        <f>SUMPRODUCT(Table4[Probability]*Table4[Rev. Based on PROB]*(Table4[Installation]=$B44)*(Table4[Projected 
Year]=BN$1)*(Table4[Projected 
Month]=BN$2))/MAX(1,SUMPRODUCT(Table4[Rev. Based on PROB]*(Table4[Installation]=$B44)*(Table4[Projected 
Year]=BN$1)*(Table4[Projected 
Month]=BN$2)))</f>
        <v>0</v>
      </c>
      <c r="BP44" s="160">
        <f>SUMPRODUCT(Table4[Rev. Based on PROB]*Table4[Expected CMR]*(Table4[Projected 
Year]=BN$1)*(Table4[Projected 
Month]=BN$2)*(Table4[Installation]=$B44))/MAX(1,BN44)</f>
        <v>0</v>
      </c>
      <c r="BQ44" s="27">
        <f>SUMIFS(Table47[Rev. Based on PROB],Table47[Installation],$B44,Table47[Projected 
Year],BQ$1,Table47[Monthly revenue],BQ$2)</f>
        <v>0</v>
      </c>
      <c r="BR44" s="159">
        <f>SUMPRODUCT(Table4[Probability]*Table4[Rev. Based on PROB]*(Table4[Installation]=$B44)*(Table4[Projected 
Year]=BQ$1)*(Table4[Projected 
Month]=BQ$2))/MAX(1,SUMPRODUCT(Table4[Rev. Based on PROB]*(Table4[Installation]=$B44)*(Table4[Projected 
Year]=BQ$1)*(Table4[Projected 
Month]=BQ$2)))</f>
        <v>0</v>
      </c>
      <c r="BS44" s="160">
        <f>SUMPRODUCT(Table4[Rev. Based on PROB]*Table4[Expected CMR]*(Table4[Projected 
Year]=BQ$1)*(Table4[Projected 
Month]=BQ$2)*(Table4[Installation]=$B44))/MAX(1,BQ44)</f>
        <v>0</v>
      </c>
      <c r="BT44" s="27">
        <f>SUMIFS(Table47[Rev. Based on PROB],Table47[Installation],$B44,Table47[Projected 
Year],BT$1,Table47[Monthly revenue],BT$2)</f>
        <v>0</v>
      </c>
      <c r="BU44" s="159">
        <f>SUMPRODUCT(Table4[Probability]*Table4[Rev. Based on PROB]*(Table4[Installation]=$B44)*(Table4[Projected 
Year]=BT$1)*(Table4[Projected 
Month]=BT$2))/MAX(1,SUMPRODUCT(Table4[Rev. Based on PROB]*(Table4[Installation]=$B44)*(Table4[Projected 
Year]=BT$1)*(Table4[Projected 
Month]=BT$2)))</f>
        <v>0</v>
      </c>
      <c r="BV44" s="160">
        <f>SUMPRODUCT(Table4[Rev. Based on PROB]*Table4[Expected CMR]*(Table4[Projected 
Year]=BT$1)*(Table4[Projected 
Month]=BT$2)*(Table4[Installation]=$B44))/MAX(1,BT44)</f>
        <v>0</v>
      </c>
      <c r="BW44" s="27">
        <f>SUMIFS(Table47[Rev. Based on PROB],Table47[Installation],$B44,Table47[Projected 
Year],BW$1,Table47[Monthly revenue],BW$2)</f>
        <v>0</v>
      </c>
      <c r="BX44" s="159">
        <f>SUMPRODUCT(Table4[Probability]*Table4[Rev. Based on PROB]*(Table4[Installation]=$B44)*(Table4[Projected 
Year]=BW$1)*(Table4[Projected 
Month]=BW$2))/MAX(1,SUMPRODUCT(Table4[Rev. Based on PROB]*(Table4[Installation]=$B44)*(Table4[Projected 
Year]=BW$1)*(Table4[Projected 
Month]=BW$2)))</f>
        <v>0</v>
      </c>
      <c r="BY44" s="160">
        <f>SUMPRODUCT(Table4[Rev. Based on PROB]*Table4[Expected CMR]*(Table4[Projected 
Year]=BW$1)*(Table4[Projected 
Month]=BW$2)*(Table4[Installation]=$B44))/MAX(1,BW44)</f>
        <v>0</v>
      </c>
      <c r="BZ44" s="200"/>
      <c r="CA44" s="200"/>
      <c r="CB44" s="200"/>
      <c r="CC44" s="200"/>
      <c r="CD44" s="200"/>
      <c r="CE44" s="200"/>
      <c r="CF44" s="200"/>
      <c r="CG44" s="200"/>
      <c r="CH44" s="200"/>
      <c r="CI44" s="200"/>
      <c r="CJ44" s="200"/>
      <c r="CK44" s="200"/>
      <c r="CL44" s="200"/>
      <c r="CM44" s="200"/>
      <c r="CN44" s="200"/>
      <c r="CO44" s="200"/>
      <c r="CP44" s="200"/>
      <c r="CQ44" s="200"/>
      <c r="CR44" s="200"/>
      <c r="CS44" s="200"/>
      <c r="CT44" s="200"/>
      <c r="CU44" s="30">
        <f t="shared" si="0"/>
        <v>0</v>
      </c>
      <c r="CV44" s="52">
        <f t="shared" si="9"/>
        <v>0</v>
      </c>
      <c r="CW44" s="53">
        <f t="shared" si="10"/>
        <v>0</v>
      </c>
    </row>
    <row r="45" spans="1:102">
      <c r="A45" s="18"/>
      <c r="B45" s="20" t="s">
        <v>126</v>
      </c>
      <c r="C45" s="27"/>
      <c r="D45" s="23"/>
      <c r="E45" s="24"/>
      <c r="F45" s="27"/>
      <c r="G45" s="23"/>
      <c r="H45" s="24"/>
      <c r="I45" s="27"/>
      <c r="J45" s="23"/>
      <c r="K45" s="24"/>
      <c r="L45" s="27"/>
      <c r="M45" s="23"/>
      <c r="N45" s="24"/>
      <c r="O45" s="27"/>
      <c r="P45" s="23"/>
      <c r="Q45" s="24"/>
      <c r="R45" s="27"/>
      <c r="S45" s="23"/>
      <c r="T45" s="24"/>
      <c r="U45" s="27">
        <f>SUMIFS(Table4[Rev. Based on PROB],Table4[Installation],$B45,Table4[Projected 
Year],U$1,Table4[Projected 
Month],U$2)</f>
        <v>0</v>
      </c>
      <c r="V45" s="159">
        <f>SUMPRODUCT(Table4[Probability]*Table4[Rev. Based on PROB]*(Table4[Installation]=$B45)*(Table4[Projected 
Year]=U$1)*(Table4[Projected 
Month]=U$2))/MAX(1,SUMPRODUCT(Table4[Rev. Based on PROB]*(Table4[Installation]=$B45)*(Table4[Projected 
Year]=U$1)*(Table4[Projected 
Month]=U$2)))</f>
        <v>0</v>
      </c>
      <c r="W45" s="160">
        <f>SUMPRODUCT(Table4[Rev. Based on PROB]*Table4[Expected CMR]*(Table4[Projected 
Year]=U$1)*(Table4[Projected 
Month]=U$2)*(Table4[Installation]=$B45))/MAX(1,U45)</f>
        <v>0</v>
      </c>
      <c r="X45" s="27">
        <f>SUMIFS(Table4[Rev. Based on PROB],Table4[Installation],$B45,Table4[Projected 
Year],X$1,Table4[Projected 
Month],X$2)</f>
        <v>0</v>
      </c>
      <c r="Y45" s="159">
        <f>SUMPRODUCT(Table4[Probability]*Table4[Rev. Based on PROB]*(Table4[Installation]=$B45)*(Table4[Projected 
Year]=X$1)*(Table4[Projected 
Month]=X$2))/MAX(1,SUMPRODUCT(Table4[Rev. Based on PROB]*(Table4[Installation]=$B45)*(Table4[Projected 
Year]=X$1)*(Table4[Projected 
Month]=X$2)))</f>
        <v>0</v>
      </c>
      <c r="Z45" s="160">
        <f>SUMPRODUCT(Table4[Rev. Based on PROB]*Table4[Expected CMR]*(Table4[Projected 
Year]=X$1)*(Table4[Projected 
Month]=X$2)*(Table4[Installation]=$B45))/MAX(1,X45)</f>
        <v>0</v>
      </c>
      <c r="AA45" s="27">
        <f>SUMIFS(Table4[Rev. Based on PROB],Table4[Installation],$B45,Table4[Projected 
Year],AA$1,Table4[Projected 
Month],AA$2)</f>
        <v>0</v>
      </c>
      <c r="AB45" s="159">
        <f>SUMPRODUCT(Table4[Probability]*Table4[Rev. Based on PROB]*(Table4[Installation]=$B45)*(Table4[Projected 
Year]=AA$1)*(Table4[Projected 
Month]=AA$2))/MAX(1,SUMPRODUCT(Table4[Rev. Based on PROB]*(Table4[Installation]=$B45)*(Table4[Projected 
Year]=AA$1)*(Table4[Projected 
Month]=AA$2)))</f>
        <v>0</v>
      </c>
      <c r="AC45" s="160">
        <f>SUMPRODUCT(Table4[Rev. Based on PROB]*Table4[Expected CMR]*(Table4[Projected 
Year]=AA$1)*(Table4[Projected 
Month]=AA$2)*(Table4[Installation]=$B45))/MAX(1,AA45)</f>
        <v>0</v>
      </c>
      <c r="AD45" s="27">
        <f>SUMIFS(Table4[Rev. Based on PROB],Table4[Installation],$B45,Table4[Projected 
Year],AD$1,Table4[Projected 
Month],AD$2)</f>
        <v>0</v>
      </c>
      <c r="AE45" s="159">
        <f>SUMPRODUCT(Table4[Probability]*Table4[Rev. Based on PROB]*(Table4[Installation]=$B45)*(Table4[Projected 
Year]=AD$1)*(Table4[Projected 
Month]=AD$2))/MAX(1,SUMPRODUCT(Table4[Rev. Based on PROB]*(Table4[Installation]=$B45)*(Table4[Projected 
Year]=AD$1)*(Table4[Projected 
Month]=AD$2)))</f>
        <v>0</v>
      </c>
      <c r="AF45" s="160">
        <f>SUMPRODUCT(Table4[Rev. Based on PROB]*Table4[Expected CMR]*(Table4[Projected 
Year]=AD$1)*(Table4[Projected 
Month]=AD$2)*(Table4[Installation]=$B45))/MAX(1,AD45)</f>
        <v>0</v>
      </c>
      <c r="AG45" s="27">
        <f>SUMIFS(Table4[Rev. Based on PROB],Table4[Installation],$B45,Table4[Projected 
Year],AG$1,Table4[Projected 
Month],AG$2)</f>
        <v>0</v>
      </c>
      <c r="AH45" s="159">
        <f>SUMPRODUCT(Table4[Probability]*Table4[Rev. Based on PROB]*(Table4[Installation]=$B45)*(Table4[Projected 
Year]=AG$1)*(Table4[Projected 
Month]=AG$2))/MAX(1,SUMPRODUCT(Table4[Rev. Based on PROB]*(Table4[Installation]=$B45)*(Table4[Projected 
Year]=AG$1)*(Table4[Projected 
Month]=AG$2)))</f>
        <v>0</v>
      </c>
      <c r="AI45" s="160">
        <f>SUMPRODUCT(Table4[Rev. Based on PROB]*Table4[Expected CMR]*(Table4[Projected 
Year]=AG$1)*(Table4[Projected 
Month]=AG$2)*(Table4[Installation]=$B45))/MAX(1,AG45)</f>
        <v>0</v>
      </c>
      <c r="AJ45" s="27">
        <f>SUMIFS(Table4[Rev. Based on PROB],Table4[Installation],$B45,Table4[Projected 
Year],AJ$1,Table4[Projected 
Month],AJ$2)</f>
        <v>0</v>
      </c>
      <c r="AK45" s="159">
        <f>SUMPRODUCT(Table4[Probability]*Table4[Rev. Based on PROB]*(Table4[Installation]=$B45)*(Table4[Projected 
Year]=AJ$1)*(Table4[Projected 
Month]=AJ$2))/MAX(1,SUMPRODUCT(Table4[Rev. Based on PROB]*(Table4[Installation]=$B45)*(Table4[Projected 
Year]=AJ$1)*(Table4[Projected 
Month]=AJ$2)))</f>
        <v>0</v>
      </c>
      <c r="AL45" s="160">
        <f>SUMPRODUCT(Table4[Rev. Based on PROB]*Table4[Expected CMR]*(Table4[Projected 
Year]=AJ$1)*(Table4[Projected 
Month]=AJ$2)*(Table4[Installation]=$B45))/MAX(1,AJ45)</f>
        <v>0</v>
      </c>
      <c r="AM45" s="30">
        <f t="shared" si="7"/>
        <v>0</v>
      </c>
      <c r="AN45" s="52">
        <f t="shared" si="11"/>
        <v>0</v>
      </c>
      <c r="AO45" s="53">
        <f t="shared" si="12"/>
        <v>0</v>
      </c>
      <c r="AP45" s="27">
        <f>SUMIFS(Table47[Rev. Based on PROB],Table47[Installation],$B45,Table47[Projected 
Year],AP$1,Table47[Monthly revenue],AP$2)</f>
        <v>0</v>
      </c>
      <c r="AQ45" s="159">
        <f>SUMPRODUCT(Table4[Probability]*Table4[Rev. Based on PROB]*(Table4[Installation]=$B45)*(Table4[Projected 
Year]=AP$1)*(Table4[Projected 
Month]=AP$2))/MAX(1,SUMPRODUCT(Table4[Rev. Based on PROB]*(Table4[Installation]=$B45)*(Table4[Projected 
Year]=AP$1)*(Table4[Projected 
Month]=AP$2)))</f>
        <v>0</v>
      </c>
      <c r="AR45" s="160">
        <f>SUMPRODUCT(Table4[Rev. Based on PROB]*Table4[Expected CMR]*(Table4[Projected 
Year]=AP$1)*(Table4[Projected 
Month]=AP$2)*(Table4[Installation]=$B45))/MAX(1,AP45)</f>
        <v>0</v>
      </c>
      <c r="AS45" s="27">
        <f>SUMIFS(Table47[Rev. Based on PROB],Table47[Installation],$B45,Table47[Projected 
Year],AS$1,Table47[Monthly revenue],AS$2)</f>
        <v>0</v>
      </c>
      <c r="AT45" s="159">
        <f>SUMPRODUCT(Table4[Probability]*Table4[Rev. Based on PROB]*(Table4[Installation]=$B45)*(Table4[Projected 
Year]=AS$1)*(Table4[Projected 
Month]=AS$2))/MAX(1,SUMPRODUCT(Table4[Rev. Based on PROB]*(Table4[Installation]=$B45)*(Table4[Projected 
Year]=AS$1)*(Table4[Projected 
Month]=AS$2)))</f>
        <v>0</v>
      </c>
      <c r="AU45" s="160">
        <f>SUMPRODUCT(Table4[Rev. Based on PROB]*Table4[Expected CMR]*(Table4[Projected 
Year]=AS$1)*(Table4[Projected 
Month]=AS$2)*(Table4[Installation]=$B45))/MAX(1,AS45)</f>
        <v>0</v>
      </c>
      <c r="AV45" s="27">
        <f>SUMIFS(Table47[Rev. Based on PROB],Table47[Installation],$B45,Table47[Projected 
Year],AV$1,Table47[Monthly revenue],AV$2)</f>
        <v>0</v>
      </c>
      <c r="AW45" s="159">
        <f>SUMPRODUCT(Table4[Probability]*Table4[Rev. Based on PROB]*(Table4[Installation]=$B45)*(Table4[Projected 
Year]=AV$1)*(Table4[Projected 
Month]=AV$2))/MAX(1,SUMPRODUCT(Table4[Rev. Based on PROB]*(Table4[Installation]=$B45)*(Table4[Projected 
Year]=AV$1)*(Table4[Projected 
Month]=AV$2)))</f>
        <v>0</v>
      </c>
      <c r="AX45" s="160">
        <f>SUMPRODUCT(Table4[Rev. Based on PROB]*Table4[Expected CMR]*(Table4[Projected 
Year]=AV$1)*(Table4[Projected 
Month]=AV$2)*(Table4[Installation]=$B45))/MAX(1,AV45)</f>
        <v>0</v>
      </c>
      <c r="AY45" s="27">
        <f>SUMIFS(Table47[Rev. Based on PROB],Table47[Installation],$B45,Table47[Projected 
Year],AY$1,Table47[Monthly revenue],AY$2)</f>
        <v>0</v>
      </c>
      <c r="AZ45" s="159">
        <f>SUMPRODUCT(Table4[Probability]*Table4[Rev. Based on PROB]*(Table4[Installation]=$B45)*(Table4[Projected 
Year]=AY$1)*(Table4[Projected 
Month]=AY$2))/MAX(1,SUMPRODUCT(Table4[Rev. Based on PROB]*(Table4[Installation]=$B45)*(Table4[Projected 
Year]=AY$1)*(Table4[Projected 
Month]=AY$2)))</f>
        <v>0</v>
      </c>
      <c r="BA45" s="160">
        <f>SUMPRODUCT(Table4[Rev. Based on PROB]*Table4[Expected CMR]*(Table4[Projected 
Year]=AY$1)*(Table4[Projected 
Month]=AY$2)*(Table4[Installation]=$B45))/MAX(1,AY45)</f>
        <v>0</v>
      </c>
      <c r="BB45" s="27">
        <f>SUMIFS(Table47[Rev. Based on PROB],Table47[Installation],$B45,Table47[Projected 
Year],BB$1,Table47[Monthly revenue],BB$2)</f>
        <v>0</v>
      </c>
      <c r="BC45" s="159">
        <f>SUMPRODUCT(Table4[Probability]*Table4[Rev. Based on PROB]*(Table4[Installation]=$B45)*(Table4[Projected 
Year]=BB$1)*(Table4[Projected 
Month]=BB$2))/MAX(1,SUMPRODUCT(Table4[Rev. Based on PROB]*(Table4[Installation]=$B45)*(Table4[Projected 
Year]=BB$1)*(Table4[Projected 
Month]=BB$2)))</f>
        <v>0</v>
      </c>
      <c r="BD45" s="160">
        <f>SUMPRODUCT(Table4[Rev. Based on PROB]*Table4[Expected CMR]*(Table4[Projected 
Year]=BB$1)*(Table4[Projected 
Month]=BB$2)*(Table4[Installation]=$B45))/MAX(1,BB45)</f>
        <v>0</v>
      </c>
      <c r="BE45" s="27">
        <f>SUMIFS(Table47[Rev. Based on PROB],Table47[Installation],$B45,Table47[Projected 
Year],BE$1,Table47[Monthly revenue],BE$2)</f>
        <v>0</v>
      </c>
      <c r="BF45" s="159">
        <f>SUMPRODUCT(Table4[Probability]*Table4[Rev. Based on PROB]*(Table4[Installation]=$B45)*(Table4[Projected 
Year]=BE$1)*(Table4[Projected 
Month]=BE$2))/MAX(1,SUMPRODUCT(Table4[Rev. Based on PROB]*(Table4[Installation]=$B45)*(Table4[Projected 
Year]=BE$1)*(Table4[Projected 
Month]=BE$2)))</f>
        <v>0</v>
      </c>
      <c r="BG45" s="160">
        <f>SUMPRODUCT(Table4[Rev. Based on PROB]*Table4[Expected CMR]*(Table4[Projected 
Year]=BE$1)*(Table4[Projected 
Month]=BE$2)*(Table4[Installation]=$B45))/MAX(1,BE45)</f>
        <v>0</v>
      </c>
      <c r="BH45" s="27">
        <f>SUMIFS(Table47[Rev. Based on PROB],Table47[Installation],$B45,Table47[Projected 
Year],BH$1,Table47[Monthly revenue],BH$2)</f>
        <v>0</v>
      </c>
      <c r="BI45" s="159">
        <f>SUMPRODUCT(Table4[Probability]*Table4[Rev. Based on PROB]*(Table4[Installation]=$B45)*(Table4[Projected 
Year]=BH$1)*(Table4[Projected 
Month]=BH$2))/MAX(1,SUMPRODUCT(Table4[Rev. Based on PROB]*(Table4[Installation]=$B45)*(Table4[Projected 
Year]=BH$1)*(Table4[Projected 
Month]=BH$2)))</f>
        <v>0</v>
      </c>
      <c r="BJ45" s="160">
        <f>SUMPRODUCT(Table4[Rev. Based on PROB]*Table4[Expected CMR]*(Table4[Projected 
Year]=BH$1)*(Table4[Projected 
Month]=BH$2)*(Table4[Installation]=$B45))/MAX(1,BH45)</f>
        <v>0</v>
      </c>
      <c r="BK45" s="27">
        <f>SUMIFS(Table47[Rev. Based on PROB],Table47[Installation],$B45,Table47[Projected 
Year],BK$1,Table47[Monthly revenue],BK$2)</f>
        <v>0</v>
      </c>
      <c r="BL45" s="159">
        <f>SUMPRODUCT(Table4[Probability]*Table4[Rev. Based on PROB]*(Table4[Installation]=$B45)*(Table4[Projected 
Year]=BK$1)*(Table4[Projected 
Month]=BK$2))/MAX(1,SUMPRODUCT(Table4[Rev. Based on PROB]*(Table4[Installation]=$B45)*(Table4[Projected 
Year]=BK$1)*(Table4[Projected 
Month]=BK$2)))</f>
        <v>0</v>
      </c>
      <c r="BM45" s="160">
        <f>SUMPRODUCT(Table4[Rev. Based on PROB]*Table4[Expected CMR]*(Table4[Projected 
Year]=BK$1)*(Table4[Projected 
Month]=BK$2)*(Table4[Installation]=$B45))/MAX(1,BK45)</f>
        <v>0</v>
      </c>
      <c r="BN45" s="27">
        <f>SUMIFS(Table47[Rev. Based on PROB],Table47[Installation],$B45,Table47[Projected 
Year],BN$1,Table47[Monthly revenue],BN$2)</f>
        <v>0</v>
      </c>
      <c r="BO45" s="159">
        <f>SUMPRODUCT(Table4[Probability]*Table4[Rev. Based on PROB]*(Table4[Installation]=$B45)*(Table4[Projected 
Year]=BN$1)*(Table4[Projected 
Month]=BN$2))/MAX(1,SUMPRODUCT(Table4[Rev. Based on PROB]*(Table4[Installation]=$B45)*(Table4[Projected 
Year]=BN$1)*(Table4[Projected 
Month]=BN$2)))</f>
        <v>0</v>
      </c>
      <c r="BP45" s="160">
        <f>SUMPRODUCT(Table4[Rev. Based on PROB]*Table4[Expected CMR]*(Table4[Projected 
Year]=BN$1)*(Table4[Projected 
Month]=BN$2)*(Table4[Installation]=$B45))/MAX(1,BN45)</f>
        <v>0</v>
      </c>
      <c r="BQ45" s="27">
        <f>SUMIFS(Table47[Rev. Based on PROB],Table47[Installation],$B45,Table47[Projected 
Year],BQ$1,Table47[Monthly revenue],BQ$2)</f>
        <v>0</v>
      </c>
      <c r="BR45" s="159">
        <f>SUMPRODUCT(Table4[Probability]*Table4[Rev. Based on PROB]*(Table4[Installation]=$B45)*(Table4[Projected 
Year]=BQ$1)*(Table4[Projected 
Month]=BQ$2))/MAX(1,SUMPRODUCT(Table4[Rev. Based on PROB]*(Table4[Installation]=$B45)*(Table4[Projected 
Year]=BQ$1)*(Table4[Projected 
Month]=BQ$2)))</f>
        <v>0</v>
      </c>
      <c r="BS45" s="160">
        <f>SUMPRODUCT(Table4[Rev. Based on PROB]*Table4[Expected CMR]*(Table4[Projected 
Year]=BQ$1)*(Table4[Projected 
Month]=BQ$2)*(Table4[Installation]=$B45))/MAX(1,BQ45)</f>
        <v>0</v>
      </c>
      <c r="BT45" s="27">
        <f>SUMIFS(Table47[Rev. Based on PROB],Table47[Installation],$B45,Table47[Projected 
Year],BT$1,Table47[Monthly revenue],BT$2)</f>
        <v>0</v>
      </c>
      <c r="BU45" s="159">
        <f>SUMPRODUCT(Table4[Probability]*Table4[Rev. Based on PROB]*(Table4[Installation]=$B45)*(Table4[Projected 
Year]=BT$1)*(Table4[Projected 
Month]=BT$2))/MAX(1,SUMPRODUCT(Table4[Rev. Based on PROB]*(Table4[Installation]=$B45)*(Table4[Projected 
Year]=BT$1)*(Table4[Projected 
Month]=BT$2)))</f>
        <v>0</v>
      </c>
      <c r="BV45" s="160">
        <f>SUMPRODUCT(Table4[Rev. Based on PROB]*Table4[Expected CMR]*(Table4[Projected 
Year]=BT$1)*(Table4[Projected 
Month]=BT$2)*(Table4[Installation]=$B45))/MAX(1,BT45)</f>
        <v>0</v>
      </c>
      <c r="BW45" s="27">
        <f>SUMIFS(Table47[Rev. Based on PROB],Table47[Installation],$B45,Table47[Projected 
Year],BW$1,Table47[Monthly revenue],BW$2)</f>
        <v>0</v>
      </c>
      <c r="BX45" s="159">
        <f>SUMPRODUCT(Table4[Probability]*Table4[Rev. Based on PROB]*(Table4[Installation]=$B45)*(Table4[Projected 
Year]=BW$1)*(Table4[Projected 
Month]=BW$2))/MAX(1,SUMPRODUCT(Table4[Rev. Based on PROB]*(Table4[Installation]=$B45)*(Table4[Projected 
Year]=BW$1)*(Table4[Projected 
Month]=BW$2)))</f>
        <v>0</v>
      </c>
      <c r="BY45" s="160">
        <f>SUMPRODUCT(Table4[Rev. Based on PROB]*Table4[Expected CMR]*(Table4[Projected 
Year]=BW$1)*(Table4[Projected 
Month]=BW$2)*(Table4[Installation]=$B45))/MAX(1,BW45)</f>
        <v>0</v>
      </c>
      <c r="BZ45" s="200"/>
      <c r="CA45" s="200"/>
      <c r="CB45" s="200"/>
      <c r="CC45" s="200"/>
      <c r="CD45" s="200"/>
      <c r="CE45" s="200"/>
      <c r="CF45" s="200"/>
      <c r="CG45" s="200"/>
      <c r="CH45" s="200"/>
      <c r="CI45" s="200"/>
      <c r="CJ45" s="200"/>
      <c r="CK45" s="200"/>
      <c r="CL45" s="200"/>
      <c r="CM45" s="200"/>
      <c r="CN45" s="200"/>
      <c r="CO45" s="200"/>
      <c r="CP45" s="200"/>
      <c r="CQ45" s="200"/>
      <c r="CR45" s="200"/>
      <c r="CS45" s="200"/>
      <c r="CT45" s="200"/>
      <c r="CU45" s="30">
        <f t="shared" si="0"/>
        <v>0</v>
      </c>
      <c r="CV45" s="52">
        <f t="shared" si="9"/>
        <v>0</v>
      </c>
      <c r="CW45" s="53">
        <f t="shared" si="10"/>
        <v>0</v>
      </c>
    </row>
    <row r="46" spans="1:102">
      <c r="A46" s="18"/>
      <c r="B46" s="20" t="s">
        <v>489</v>
      </c>
      <c r="C46" s="27"/>
      <c r="D46" s="23"/>
      <c r="E46" s="24"/>
      <c r="F46" s="27"/>
      <c r="G46" s="23"/>
      <c r="H46" s="24"/>
      <c r="I46" s="27"/>
      <c r="J46" s="23"/>
      <c r="K46" s="24"/>
      <c r="L46" s="27"/>
      <c r="M46" s="23"/>
      <c r="N46" s="24"/>
      <c r="O46" s="27"/>
      <c r="P46" s="23"/>
      <c r="Q46" s="24"/>
      <c r="R46" s="27"/>
      <c r="S46" s="23"/>
      <c r="T46" s="24"/>
      <c r="U46" s="27">
        <f>SUMIFS(Table4[Rev. Based on PROB],Table4[Installation],$B46,Table4[Projected 
Year],U$1,Table4[Projected 
Month],U$2)</f>
        <v>0</v>
      </c>
      <c r="V46" s="159">
        <f>SUMPRODUCT(Table4[Probability]*Table4[Rev. Based on PROB]*(Table4[Installation]=$B46)*(Table4[Projected 
Year]=U$1)*(Table4[Projected 
Month]=U$2))/MAX(1,SUMPRODUCT(Table4[Rev. Based on PROB]*(Table4[Installation]=$B46)*(Table4[Projected 
Year]=U$1)*(Table4[Projected 
Month]=U$2)))</f>
        <v>0</v>
      </c>
      <c r="W46" s="160">
        <f>SUMPRODUCT(Table4[Rev. Based on PROB]*Table4[Expected CMR]*(Table4[Projected 
Year]=U$1)*(Table4[Projected 
Month]=U$2)*(Table4[Installation]=$B46))/MAX(1,U46)</f>
        <v>0</v>
      </c>
      <c r="X46" s="27">
        <f>SUMIFS(Table4[Rev. Based on PROB],Table4[Installation],$B46,Table4[Projected 
Year],X$1,Table4[Projected 
Month],X$2)</f>
        <v>0</v>
      </c>
      <c r="Y46" s="159">
        <f>SUMPRODUCT(Table4[Probability]*Table4[Rev. Based on PROB]*(Table4[Installation]=$B46)*(Table4[Projected 
Year]=X$1)*(Table4[Projected 
Month]=X$2))/MAX(1,SUMPRODUCT(Table4[Rev. Based on PROB]*(Table4[Installation]=$B46)*(Table4[Projected 
Year]=X$1)*(Table4[Projected 
Month]=X$2)))</f>
        <v>0</v>
      </c>
      <c r="Z46" s="160">
        <f>SUMPRODUCT(Table4[Rev. Based on PROB]*Table4[Expected CMR]*(Table4[Projected 
Year]=X$1)*(Table4[Projected 
Month]=X$2)*(Table4[Installation]=$B46))/MAX(1,X46)</f>
        <v>0</v>
      </c>
      <c r="AA46" s="27">
        <f>SUMIFS(Table4[Rev. Based on PROB],Table4[Installation],$B46,Table4[Projected 
Year],AA$1,Table4[Projected 
Month],AA$2)</f>
        <v>0</v>
      </c>
      <c r="AB46" s="159">
        <f>SUMPRODUCT(Table4[Probability]*Table4[Rev. Based on PROB]*(Table4[Installation]=$B46)*(Table4[Projected 
Year]=AA$1)*(Table4[Projected 
Month]=AA$2))/MAX(1,SUMPRODUCT(Table4[Rev. Based on PROB]*(Table4[Installation]=$B46)*(Table4[Projected 
Year]=AA$1)*(Table4[Projected 
Month]=AA$2)))</f>
        <v>0</v>
      </c>
      <c r="AC46" s="160">
        <f>SUMPRODUCT(Table4[Rev. Based on PROB]*Table4[Expected CMR]*(Table4[Projected 
Year]=AA$1)*(Table4[Projected 
Month]=AA$2)*(Table4[Installation]=$B46))/MAX(1,AA46)</f>
        <v>0</v>
      </c>
      <c r="AD46" s="27">
        <f>SUMIFS(Table4[Rev. Based on PROB],Table4[Installation],$B46,Table4[Projected 
Year],AD$1,Table4[Projected 
Month],AD$2)</f>
        <v>0</v>
      </c>
      <c r="AE46" s="159">
        <f>SUMPRODUCT(Table4[Probability]*Table4[Rev. Based on PROB]*(Table4[Installation]=$B46)*(Table4[Projected 
Year]=AD$1)*(Table4[Projected 
Month]=AD$2))/MAX(1,SUMPRODUCT(Table4[Rev. Based on PROB]*(Table4[Installation]=$B46)*(Table4[Projected 
Year]=AD$1)*(Table4[Projected 
Month]=AD$2)))</f>
        <v>0</v>
      </c>
      <c r="AF46" s="160">
        <f>SUMPRODUCT(Table4[Rev. Based on PROB]*Table4[Expected CMR]*(Table4[Projected 
Year]=AD$1)*(Table4[Projected 
Month]=AD$2)*(Table4[Installation]=$B46))/MAX(1,AD46)</f>
        <v>0</v>
      </c>
      <c r="AG46" s="27">
        <f>SUMIFS(Table4[Rev. Based on PROB],Table4[Installation],$B46,Table4[Projected 
Year],AG$1,Table4[Projected 
Month],AG$2)</f>
        <v>0</v>
      </c>
      <c r="AH46" s="159">
        <f>SUMPRODUCT(Table4[Probability]*Table4[Rev. Based on PROB]*(Table4[Installation]=$B46)*(Table4[Projected 
Year]=AG$1)*(Table4[Projected 
Month]=AG$2))/MAX(1,SUMPRODUCT(Table4[Rev. Based on PROB]*(Table4[Installation]=$B46)*(Table4[Projected 
Year]=AG$1)*(Table4[Projected 
Month]=AG$2)))</f>
        <v>0</v>
      </c>
      <c r="AI46" s="160">
        <f>SUMPRODUCT(Table4[Rev. Based on PROB]*Table4[Expected CMR]*(Table4[Projected 
Year]=AG$1)*(Table4[Projected 
Month]=AG$2)*(Table4[Installation]=$B46))/MAX(1,AG46)</f>
        <v>0</v>
      </c>
      <c r="AJ46" s="27">
        <f>SUMIFS(Table4[Rev. Based on PROB],Table4[Installation],$B46,Table4[Projected 
Year],AJ$1,Table4[Projected 
Month],AJ$2)</f>
        <v>0</v>
      </c>
      <c r="AK46" s="159">
        <f>SUMPRODUCT(Table4[Probability]*Table4[Rev. Based on PROB]*(Table4[Installation]=$B46)*(Table4[Projected 
Year]=AJ$1)*(Table4[Projected 
Month]=AJ$2))/MAX(1,SUMPRODUCT(Table4[Rev. Based on PROB]*(Table4[Installation]=$B46)*(Table4[Projected 
Year]=AJ$1)*(Table4[Projected 
Month]=AJ$2)))</f>
        <v>0</v>
      </c>
      <c r="AL46" s="160">
        <f>SUMPRODUCT(Table4[Rev. Based on PROB]*Table4[Expected CMR]*(Table4[Projected 
Year]=AJ$1)*(Table4[Projected 
Month]=AJ$2)*(Table4[Installation]=$B46))/MAX(1,AJ46)</f>
        <v>0</v>
      </c>
      <c r="AM46" s="30">
        <f t="shared" si="7"/>
        <v>0</v>
      </c>
      <c r="AN46" s="52">
        <f t="shared" si="11"/>
        <v>0</v>
      </c>
      <c r="AO46" s="53">
        <f t="shared" si="12"/>
        <v>0</v>
      </c>
      <c r="AP46" s="27">
        <f>SUMIFS(Table47[Rev. Based on PROB],Table47[Installation],$B46,Table47[Projected 
Year],AP$1,Table47[Monthly revenue],AP$2)</f>
        <v>0</v>
      </c>
      <c r="AQ46" s="159">
        <f>SUMPRODUCT(Table4[Probability]*Table4[Rev. Based on PROB]*(Table4[Installation]=$B46)*(Table4[Projected 
Year]=AP$1)*(Table4[Projected 
Month]=AP$2))/MAX(1,SUMPRODUCT(Table4[Rev. Based on PROB]*(Table4[Installation]=$B46)*(Table4[Projected 
Year]=AP$1)*(Table4[Projected 
Month]=AP$2)))</f>
        <v>0</v>
      </c>
      <c r="AR46" s="160">
        <f>SUMPRODUCT(Table4[Rev. Based on PROB]*Table4[Expected CMR]*(Table4[Projected 
Year]=AP$1)*(Table4[Projected 
Month]=AP$2)*(Table4[Installation]=$B46))/MAX(1,AP46)</f>
        <v>0</v>
      </c>
      <c r="AS46" s="27">
        <f>SUMIFS(Table47[Rev. Based on PROB],Table47[Installation],$B46,Table47[Projected 
Year],AS$1,Table47[Monthly revenue],AS$2)</f>
        <v>0</v>
      </c>
      <c r="AT46" s="159">
        <f>SUMPRODUCT(Table4[Probability]*Table4[Rev. Based on PROB]*(Table4[Installation]=$B46)*(Table4[Projected 
Year]=AS$1)*(Table4[Projected 
Month]=AS$2))/MAX(1,SUMPRODUCT(Table4[Rev. Based on PROB]*(Table4[Installation]=$B46)*(Table4[Projected 
Year]=AS$1)*(Table4[Projected 
Month]=AS$2)))</f>
        <v>0</v>
      </c>
      <c r="AU46" s="160">
        <f>SUMPRODUCT(Table4[Rev. Based on PROB]*Table4[Expected CMR]*(Table4[Projected 
Year]=AS$1)*(Table4[Projected 
Month]=AS$2)*(Table4[Installation]=$B46))/MAX(1,AS46)</f>
        <v>0</v>
      </c>
      <c r="AV46" s="27">
        <f>SUMIFS(Table47[Rev. Based on PROB],Table47[Installation],$B46,Table47[Projected 
Year],AV$1,Table47[Monthly revenue],AV$2)</f>
        <v>0</v>
      </c>
      <c r="AW46" s="159">
        <f>SUMPRODUCT(Table4[Probability]*Table4[Rev. Based on PROB]*(Table4[Installation]=$B46)*(Table4[Projected 
Year]=AV$1)*(Table4[Projected 
Month]=AV$2))/MAX(1,SUMPRODUCT(Table4[Rev. Based on PROB]*(Table4[Installation]=$B46)*(Table4[Projected 
Year]=AV$1)*(Table4[Projected 
Month]=AV$2)))</f>
        <v>0</v>
      </c>
      <c r="AX46" s="160">
        <f>SUMPRODUCT(Table4[Rev. Based on PROB]*Table4[Expected CMR]*(Table4[Projected 
Year]=AV$1)*(Table4[Projected 
Month]=AV$2)*(Table4[Installation]=$B46))/MAX(1,AV46)</f>
        <v>0</v>
      </c>
      <c r="AY46" s="27">
        <f>SUMIFS(Table47[Rev. Based on PROB],Table47[Installation],$B46,Table47[Projected 
Year],AY$1,Table47[Monthly revenue],AY$2)</f>
        <v>0</v>
      </c>
      <c r="AZ46" s="159">
        <f>SUMPRODUCT(Table4[Probability]*Table4[Rev. Based on PROB]*(Table4[Installation]=$B46)*(Table4[Projected 
Year]=AY$1)*(Table4[Projected 
Month]=AY$2))/MAX(1,SUMPRODUCT(Table4[Rev. Based on PROB]*(Table4[Installation]=$B46)*(Table4[Projected 
Year]=AY$1)*(Table4[Projected 
Month]=AY$2)))</f>
        <v>0</v>
      </c>
      <c r="BA46" s="160">
        <f>SUMPRODUCT(Table4[Rev. Based on PROB]*Table4[Expected CMR]*(Table4[Projected 
Year]=AY$1)*(Table4[Projected 
Month]=AY$2)*(Table4[Installation]=$B46))/MAX(1,AY46)</f>
        <v>0</v>
      </c>
      <c r="BB46" s="27">
        <f>SUMIFS(Table47[Rev. Based on PROB],Table47[Installation],$B46,Table47[Projected 
Year],BB$1,Table47[Monthly revenue],BB$2)</f>
        <v>0</v>
      </c>
      <c r="BC46" s="159">
        <f>SUMPRODUCT(Table4[Probability]*Table4[Rev. Based on PROB]*(Table4[Installation]=$B46)*(Table4[Projected 
Year]=BB$1)*(Table4[Projected 
Month]=BB$2))/MAX(1,SUMPRODUCT(Table4[Rev. Based on PROB]*(Table4[Installation]=$B46)*(Table4[Projected 
Year]=BB$1)*(Table4[Projected 
Month]=BB$2)))</f>
        <v>0</v>
      </c>
      <c r="BD46" s="160">
        <f>SUMPRODUCT(Table4[Rev. Based on PROB]*Table4[Expected CMR]*(Table4[Projected 
Year]=BB$1)*(Table4[Projected 
Month]=BB$2)*(Table4[Installation]=$B46))/MAX(1,BB46)</f>
        <v>0</v>
      </c>
      <c r="BE46" s="27">
        <f>SUMIFS(Table47[Rev. Based on PROB],Table47[Installation],$B46,Table47[Projected 
Year],BE$1,Table47[Monthly revenue],BE$2)</f>
        <v>0</v>
      </c>
      <c r="BF46" s="159">
        <f>SUMPRODUCT(Table4[Probability]*Table4[Rev. Based on PROB]*(Table4[Installation]=$B46)*(Table4[Projected 
Year]=BE$1)*(Table4[Projected 
Month]=BE$2))/MAX(1,SUMPRODUCT(Table4[Rev. Based on PROB]*(Table4[Installation]=$B46)*(Table4[Projected 
Year]=BE$1)*(Table4[Projected 
Month]=BE$2)))</f>
        <v>0</v>
      </c>
      <c r="BG46" s="160">
        <f>SUMPRODUCT(Table4[Rev. Based on PROB]*Table4[Expected CMR]*(Table4[Projected 
Year]=BE$1)*(Table4[Projected 
Month]=BE$2)*(Table4[Installation]=$B46))/MAX(1,BE46)</f>
        <v>0</v>
      </c>
      <c r="BH46" s="27">
        <f>SUMIFS(Table47[Rev. Based on PROB],Table47[Installation],$B46,Table47[Projected 
Year],BH$1,Table47[Monthly revenue],BH$2)</f>
        <v>0</v>
      </c>
      <c r="BI46" s="159">
        <f>SUMPRODUCT(Table4[Probability]*Table4[Rev. Based on PROB]*(Table4[Installation]=$B46)*(Table4[Projected 
Year]=BH$1)*(Table4[Projected 
Month]=BH$2))/MAX(1,SUMPRODUCT(Table4[Rev. Based on PROB]*(Table4[Installation]=$B46)*(Table4[Projected 
Year]=BH$1)*(Table4[Projected 
Month]=BH$2)))</f>
        <v>0</v>
      </c>
      <c r="BJ46" s="160">
        <f>SUMPRODUCT(Table4[Rev. Based on PROB]*Table4[Expected CMR]*(Table4[Projected 
Year]=BH$1)*(Table4[Projected 
Month]=BH$2)*(Table4[Installation]=$B46))/MAX(1,BH46)</f>
        <v>0</v>
      </c>
      <c r="BK46" s="27">
        <f>SUMIFS(Table47[Rev. Based on PROB],Table47[Installation],$B46,Table47[Projected 
Year],BK$1,Table47[Monthly revenue],BK$2)</f>
        <v>12500</v>
      </c>
      <c r="BL46" s="159">
        <f>SUMPRODUCT(Table4[Probability]*Table4[Rev. Based on PROB]*(Table4[Installation]=$B46)*(Table4[Projected 
Year]=BK$1)*(Table4[Projected 
Month]=BK$2))/MAX(1,SUMPRODUCT(Table4[Rev. Based on PROB]*(Table4[Installation]=$B46)*(Table4[Projected 
Year]=BK$1)*(Table4[Projected 
Month]=BK$2)))</f>
        <v>0</v>
      </c>
      <c r="BM46" s="160">
        <f>SUMPRODUCT(Table4[Rev. Based on PROB]*Table4[Expected CMR]*(Table4[Projected 
Year]=BK$1)*(Table4[Projected 
Month]=BK$2)*(Table4[Installation]=$B46))/MAX(1,BK46)</f>
        <v>0</v>
      </c>
      <c r="BN46" s="27">
        <f>SUMIFS(Table47[Rev. Based on PROB],Table47[Installation],$B46,Table47[Projected 
Year],BN$1,Table47[Monthly revenue],BN$2)</f>
        <v>11500</v>
      </c>
      <c r="BO46" s="159">
        <f>SUMPRODUCT(Table4[Probability]*Table4[Rev. Based on PROB]*(Table4[Installation]=$B46)*(Table4[Projected 
Year]=BN$1)*(Table4[Projected 
Month]=BN$2))/MAX(1,SUMPRODUCT(Table4[Rev. Based on PROB]*(Table4[Installation]=$B46)*(Table4[Projected 
Year]=BN$1)*(Table4[Projected 
Month]=BN$2)))</f>
        <v>0</v>
      </c>
      <c r="BP46" s="160">
        <f>SUMPRODUCT(Table4[Rev. Based on PROB]*Table4[Expected CMR]*(Table4[Projected 
Year]=BN$1)*(Table4[Projected 
Month]=BN$2)*(Table4[Installation]=$B46))/MAX(1,BN46)</f>
        <v>0</v>
      </c>
      <c r="BQ46" s="27">
        <f>SUMIFS(Table47[Rev. Based on PROB],Table47[Installation],$B46,Table47[Projected 
Year],BQ$1,Table47[Monthly revenue],BQ$2)</f>
        <v>0</v>
      </c>
      <c r="BR46" s="159">
        <f>SUMPRODUCT(Table4[Probability]*Table4[Rev. Based on PROB]*(Table4[Installation]=$B46)*(Table4[Projected 
Year]=BQ$1)*(Table4[Projected 
Month]=BQ$2))/MAX(1,SUMPRODUCT(Table4[Rev. Based on PROB]*(Table4[Installation]=$B46)*(Table4[Projected 
Year]=BQ$1)*(Table4[Projected 
Month]=BQ$2)))</f>
        <v>0</v>
      </c>
      <c r="BS46" s="160">
        <f>SUMPRODUCT(Table4[Rev. Based on PROB]*Table4[Expected CMR]*(Table4[Projected 
Year]=BQ$1)*(Table4[Projected 
Month]=BQ$2)*(Table4[Installation]=$B46))/MAX(1,BQ46)</f>
        <v>0</v>
      </c>
      <c r="BT46" s="27">
        <f>SUMIFS(Table47[Rev. Based on PROB],Table47[Installation],$B46,Table47[Projected 
Year],BT$1,Table47[Monthly revenue],BT$2)</f>
        <v>0</v>
      </c>
      <c r="BU46" s="159">
        <f>SUMPRODUCT(Table4[Probability]*Table4[Rev. Based on PROB]*(Table4[Installation]=$B46)*(Table4[Projected 
Year]=BT$1)*(Table4[Projected 
Month]=BT$2))/MAX(1,SUMPRODUCT(Table4[Rev. Based on PROB]*(Table4[Installation]=$B46)*(Table4[Projected 
Year]=BT$1)*(Table4[Projected 
Month]=BT$2)))</f>
        <v>0</v>
      </c>
      <c r="BV46" s="160">
        <f>SUMPRODUCT(Table4[Rev. Based on PROB]*Table4[Expected CMR]*(Table4[Projected 
Year]=BT$1)*(Table4[Projected 
Month]=BT$2)*(Table4[Installation]=$B46))/MAX(1,BT46)</f>
        <v>0</v>
      </c>
      <c r="BW46" s="27">
        <f>SUMIFS(Table47[Rev. Based on PROB],Table47[Installation],$B46,Table47[Projected 
Year],BW$1,Table47[Monthly revenue],BW$2)</f>
        <v>0</v>
      </c>
      <c r="BX46" s="159">
        <f>SUMPRODUCT(Table4[Probability]*Table4[Rev. Based on PROB]*(Table4[Installation]=$B46)*(Table4[Projected 
Year]=BW$1)*(Table4[Projected 
Month]=BW$2))/MAX(1,SUMPRODUCT(Table4[Rev. Based on PROB]*(Table4[Installation]=$B46)*(Table4[Projected 
Year]=BW$1)*(Table4[Projected 
Month]=BW$2)))</f>
        <v>0</v>
      </c>
      <c r="BY46" s="160">
        <f>SUMPRODUCT(Table4[Rev. Based on PROB]*Table4[Expected CMR]*(Table4[Projected 
Year]=BW$1)*(Table4[Projected 
Month]=BW$2)*(Table4[Installation]=$B46))/MAX(1,BW46)</f>
        <v>0</v>
      </c>
      <c r="BZ46" s="200"/>
      <c r="CA46" s="200"/>
      <c r="CB46" s="200"/>
      <c r="CC46" s="200"/>
      <c r="CD46" s="200"/>
      <c r="CE46" s="200"/>
      <c r="CF46" s="200"/>
      <c r="CG46" s="200"/>
      <c r="CH46" s="200"/>
      <c r="CI46" s="200"/>
      <c r="CJ46" s="200"/>
      <c r="CK46" s="200"/>
      <c r="CL46" s="200"/>
      <c r="CM46" s="200"/>
      <c r="CN46" s="200"/>
      <c r="CO46" s="200"/>
      <c r="CP46" s="200"/>
      <c r="CQ46" s="200"/>
      <c r="CR46" s="200"/>
      <c r="CS46" s="200"/>
      <c r="CT46" s="200"/>
      <c r="CU46" s="30">
        <f t="shared" si="0"/>
        <v>24000</v>
      </c>
      <c r="CV46" s="52">
        <f t="shared" si="9"/>
        <v>0</v>
      </c>
      <c r="CW46" s="53">
        <f t="shared" si="10"/>
        <v>0</v>
      </c>
    </row>
    <row r="47" spans="1:102">
      <c r="A47" s="10" t="s">
        <v>329</v>
      </c>
      <c r="B47" s="25" t="s">
        <v>330</v>
      </c>
      <c r="C47" s="28">
        <f>SUMIFS(Table4[Rev. Based on PROB],Table4[Installation],$B47,Table4[Projected 
Year],C$1,Table4[Projected 
Month],C$2)</f>
        <v>0</v>
      </c>
      <c r="D47" s="161">
        <f>SUMPRODUCT(Table4[Probability]*Table4[Rev. Based on PROB]*(Table4[Installation]=$B47)*(Table4[Projected 
Year]=C$1)*(Table4[Projected 
Month]=C$2))/MAX(1,SUMPRODUCT(Table4[Rev. Based on PROB]*(Table4[Installation]=$B47)*(Table4[Projected 
Year]=C$1)*(Table4[Projected 
Month]=C$2)))</f>
        <v>0</v>
      </c>
      <c r="E47" s="162">
        <f>SUMPRODUCT(Table4[Rev. Based on PROB]*Table4[Expected CMR]*(Table4[Projected 
Year]=C$1)*(Table4[Projected 
Month]=C$2)*(Table4[Installation]=$B47))/MAX(1,C47)</f>
        <v>0</v>
      </c>
      <c r="F47" s="28">
        <f>SUMIFS(Table4[Rev. Based on PROB],Table4[Installation],$B47,Table4[Projected 
Year],F$1,Table4[Projected 
Month],F$2)</f>
        <v>0</v>
      </c>
      <c r="G47" s="161">
        <f>SUMPRODUCT(Table4[Probability]*Table4[Rev. Based on PROB]*(Table4[Installation]=$B47)*(Table4[Projected 
Year]=F$1)*(Table4[Projected 
Month]=F$2))/MAX(1,SUMPRODUCT(Table4[Rev. Based on PROB]*(Table4[Installation]=$B47)*(Table4[Projected 
Year]=F$1)*(Table4[Projected 
Month]=F$2)))</f>
        <v>0</v>
      </c>
      <c r="H47" s="162">
        <f>SUMPRODUCT(Table4[Rev. Based on PROB]*Table4[Expected CMR]*(Table4[Projected 
Year]=F$1)*(Table4[Projected 
Month]=F$2)*(Table4[Installation]=$B47))/MAX(1,F47)</f>
        <v>0</v>
      </c>
      <c r="I47" s="28">
        <f>SUMIFS(Table4[Rev. Based on PROB],Table4[Installation],$B47,Table4[Projected 
Year],I$1,Table4[Projected 
Month],I$2)</f>
        <v>0</v>
      </c>
      <c r="J47" s="161">
        <f>SUMPRODUCT(Table4[Probability]*Table4[Rev. Based on PROB]*(Table4[Installation]=$B47)*(Table4[Projected 
Year]=I$1)*(Table4[Projected 
Month]=I$2))/MAX(1,SUMPRODUCT(Table4[Rev. Based on PROB]*(Table4[Installation]=$B47)*(Table4[Projected 
Year]=I$1)*(Table4[Projected 
Month]=I$2)))</f>
        <v>0</v>
      </c>
      <c r="K47" s="162">
        <f>SUMPRODUCT(Table4[Rev. Based on PROB]*Table4[Expected CMR]*(Table4[Projected 
Year]=I$1)*(Table4[Projected 
Month]=I$2)*(Table4[Installation]=$B47))/MAX(1,I47)</f>
        <v>0</v>
      </c>
      <c r="L47" s="28">
        <f>SUMIFS(Table4[Rev. Based on PROB],Table4[Installation],$B47,Table4[Projected 
Year],L$1,Table4[Projected 
Month],L$2)</f>
        <v>0</v>
      </c>
      <c r="M47" s="161">
        <f>SUMPRODUCT(Table4[Probability]*Table4[Rev. Based on PROB]*(Table4[Installation]=$B47)*(Table4[Projected 
Year]=L$1)*(Table4[Projected 
Month]=L$2))/MAX(1,SUMPRODUCT(Table4[Rev. Based on PROB]*(Table4[Installation]=$B47)*(Table4[Projected 
Year]=L$1)*(Table4[Projected 
Month]=L$2)))</f>
        <v>0</v>
      </c>
      <c r="N47" s="162">
        <f>SUMPRODUCT(Table4[Rev. Based on PROB]*Table4[Expected CMR]*(Table4[Projected 
Year]=L$1)*(Table4[Projected 
Month]=L$2)*(Table4[Installation]=$B47))/MAX(1,L47)</f>
        <v>0</v>
      </c>
      <c r="O47" s="28">
        <f>SUMIFS(Table4[Rev. Based on PROB],Table4[Installation],$B47,Table4[Projected 
Year],O$1,Table4[Projected 
Month],O$2)</f>
        <v>0</v>
      </c>
      <c r="P47" s="161">
        <f>SUMPRODUCT(Table4[Probability]*Table4[Rev. Based on PROB]*(Table4[Installation]=$B47)*(Table4[Projected 
Year]=O$1)*(Table4[Projected 
Month]=O$2))/MAX(1,SUMPRODUCT(Table4[Rev. Based on PROB]*(Table4[Installation]=$B47)*(Table4[Projected 
Year]=O$1)*(Table4[Projected 
Month]=O$2)))</f>
        <v>0</v>
      </c>
      <c r="Q47" s="162">
        <f>SUMPRODUCT(Table4[Rev. Based on PROB]*Table4[Expected CMR]*(Table4[Projected 
Year]=O$1)*(Table4[Projected 
Month]=O$2)*(Table4[Installation]=$B47))/MAX(1,O47)</f>
        <v>0</v>
      </c>
      <c r="R47" s="28">
        <f>SUMIFS(Table4[Rev. Based on PROB],Table4[Installation],$B47,Table4[Projected 
Year],R$1,Table4[Projected 
Month],R$2)</f>
        <v>0</v>
      </c>
      <c r="S47" s="161">
        <f>SUMPRODUCT(Table4[Probability]*Table4[Rev. Based on PROB]*(Table4[Installation]=$B47)*(Table4[Projected 
Year]=R$1)*(Table4[Projected 
Month]=R$2))/MAX(1,SUMPRODUCT(Table4[Rev. Based on PROB]*(Table4[Installation]=$B47)*(Table4[Projected 
Year]=R$1)*(Table4[Projected 
Month]=R$2)))</f>
        <v>0</v>
      </c>
      <c r="T47" s="162">
        <f>SUMPRODUCT(Table4[Rev. Based on PROB]*Table4[Expected CMR]*(Table4[Projected 
Year]=R$1)*(Table4[Projected 
Month]=R$2)*(Table4[Installation]=$B47))/MAX(1,R47)</f>
        <v>0</v>
      </c>
      <c r="U47" s="27">
        <f>SUMIFS(Table4[Rev. Based on PROB],Table4[Installation],$B47,Table4[Projected 
Year],U$1,Table4[Projected 
Month],U$2)</f>
        <v>0</v>
      </c>
      <c r="V47" s="159">
        <f>SUMPRODUCT(Table4[Probability]*Table4[Rev. Based on PROB]*(Table4[Installation]=$B47)*(Table4[Projected 
Year]=U$1)*(Table4[Projected 
Month]=U$2))/MAX(1,SUMPRODUCT(Table4[Rev. Based on PROB]*(Table4[Installation]=$B47)*(Table4[Projected 
Year]=U$1)*(Table4[Projected 
Month]=U$2)))</f>
        <v>0</v>
      </c>
      <c r="W47" s="160">
        <f>SUMPRODUCT(Table4[Rev. Based on PROB]*Table4[Expected CMR]*(Table4[Projected 
Year]=U$1)*(Table4[Projected 
Month]=U$2)*(Table4[Installation]=$B47))/MAX(1,U47)</f>
        <v>0</v>
      </c>
      <c r="X47" s="27">
        <f>SUMIFS(Table4[Rev. Based on PROB],Table4[Installation],$B47,Table4[Projected 
Year],X$1,Table4[Projected 
Month],X$2)</f>
        <v>0</v>
      </c>
      <c r="Y47" s="159">
        <f>SUMPRODUCT(Table4[Probability]*Table4[Rev. Based on PROB]*(Table4[Installation]=$B47)*(Table4[Projected 
Year]=X$1)*(Table4[Projected 
Month]=X$2))/MAX(1,SUMPRODUCT(Table4[Rev. Based on PROB]*(Table4[Installation]=$B47)*(Table4[Projected 
Year]=X$1)*(Table4[Projected 
Month]=X$2)))</f>
        <v>0</v>
      </c>
      <c r="Z47" s="160">
        <f>SUMPRODUCT(Table4[Rev. Based on PROB]*Table4[Expected CMR]*(Table4[Projected 
Year]=X$1)*(Table4[Projected 
Month]=X$2)*(Table4[Installation]=$B47))/MAX(1,X47)</f>
        <v>0</v>
      </c>
      <c r="AA47" s="27">
        <f>SUMIFS(Table4[Rev. Based on PROB],Table4[Installation],$B47,Table4[Projected 
Year],AA$1,Table4[Projected 
Month],AA$2)</f>
        <v>0</v>
      </c>
      <c r="AB47" s="159">
        <f>SUMPRODUCT(Table4[Probability]*Table4[Rev. Based on PROB]*(Table4[Installation]=$B47)*(Table4[Projected 
Year]=AA$1)*(Table4[Projected 
Month]=AA$2))/MAX(1,SUMPRODUCT(Table4[Rev. Based on PROB]*(Table4[Installation]=$B47)*(Table4[Projected 
Year]=AA$1)*(Table4[Projected 
Month]=AA$2)))</f>
        <v>0</v>
      </c>
      <c r="AC47" s="160">
        <f>SUMPRODUCT(Table4[Rev. Based on PROB]*Table4[Expected CMR]*(Table4[Projected 
Year]=AA$1)*(Table4[Projected 
Month]=AA$2)*(Table4[Installation]=$B47))/MAX(1,AA47)</f>
        <v>0</v>
      </c>
      <c r="AD47" s="27">
        <f>SUMIFS(Table4[Rev. Based on PROB],Table4[Installation],$B47,Table4[Projected 
Year],AD$1,Table4[Projected 
Month],AD$2)</f>
        <v>0</v>
      </c>
      <c r="AE47" s="159">
        <f>SUMPRODUCT(Table4[Probability]*Table4[Rev. Based on PROB]*(Table4[Installation]=$B47)*(Table4[Projected 
Year]=AD$1)*(Table4[Projected 
Month]=AD$2))/MAX(1,SUMPRODUCT(Table4[Rev. Based on PROB]*(Table4[Installation]=$B47)*(Table4[Projected 
Year]=AD$1)*(Table4[Projected 
Month]=AD$2)))</f>
        <v>0</v>
      </c>
      <c r="AF47" s="160">
        <f>SUMPRODUCT(Table4[Rev. Based on PROB]*Table4[Expected CMR]*(Table4[Projected 
Year]=AD$1)*(Table4[Projected 
Month]=AD$2)*(Table4[Installation]=$B47))/MAX(1,AD47)</f>
        <v>0</v>
      </c>
      <c r="AG47" s="27">
        <f>SUMIFS(Table4[Rev. Based on PROB],Table4[Installation],$B47,Table4[Projected 
Year],AG$1,Table4[Projected 
Month],AG$2)</f>
        <v>0</v>
      </c>
      <c r="AH47" s="159">
        <f>SUMPRODUCT(Table4[Probability]*Table4[Rev. Based on PROB]*(Table4[Installation]=$B47)*(Table4[Projected 
Year]=AG$1)*(Table4[Projected 
Month]=AG$2))/MAX(1,SUMPRODUCT(Table4[Rev. Based on PROB]*(Table4[Installation]=$B47)*(Table4[Projected 
Year]=AG$1)*(Table4[Projected 
Month]=AG$2)))</f>
        <v>0</v>
      </c>
      <c r="AI47" s="160">
        <f>SUMPRODUCT(Table4[Rev. Based on PROB]*Table4[Expected CMR]*(Table4[Projected 
Year]=AG$1)*(Table4[Projected 
Month]=AG$2)*(Table4[Installation]=$B47))/MAX(1,AG47)</f>
        <v>0</v>
      </c>
      <c r="AJ47" s="27">
        <f>SUMIFS(Table4[Rev. Based on PROB],Table4[Installation],$B47,Table4[Projected 
Year],AJ$1,Table4[Projected 
Month],AJ$2)</f>
        <v>0</v>
      </c>
      <c r="AK47" s="159">
        <f>SUMPRODUCT(Table4[Probability]*Table4[Rev. Based on PROB]*(Table4[Installation]=$B47)*(Table4[Projected 
Year]=AJ$1)*(Table4[Projected 
Month]=AJ$2))/MAX(1,SUMPRODUCT(Table4[Rev. Based on PROB]*(Table4[Installation]=$B47)*(Table4[Projected 
Year]=AJ$1)*(Table4[Projected 
Month]=AJ$2)))</f>
        <v>0</v>
      </c>
      <c r="AL47" s="160">
        <f>SUMPRODUCT(Table4[Rev. Based on PROB]*Table4[Expected CMR]*(Table4[Projected 
Year]=AJ$1)*(Table4[Projected 
Month]=AJ$2)*(Table4[Installation]=$B47))/MAX(1,AJ47)</f>
        <v>0</v>
      </c>
      <c r="AM47" s="30">
        <f t="shared" si="7"/>
        <v>0</v>
      </c>
      <c r="AN47" s="52">
        <f t="shared" si="11"/>
        <v>0</v>
      </c>
      <c r="AO47" s="53">
        <f t="shared" si="12"/>
        <v>0</v>
      </c>
      <c r="AP47" s="27">
        <f>SUMIFS(Table47[Rev. Based on PROB],Table47[Installation],$B47,Table47[Projected 
Year],AP$1,Table47[Monthly revenue],AP$2)</f>
        <v>0</v>
      </c>
      <c r="AQ47" s="159">
        <f>SUMPRODUCT(Table4[Probability]*Table4[Rev. Based on PROB]*(Table4[Installation]=$B47)*(Table4[Projected 
Year]=AP$1)*(Table4[Projected 
Month]=AP$2))/MAX(1,SUMPRODUCT(Table4[Rev. Based on PROB]*(Table4[Installation]=$B47)*(Table4[Projected 
Year]=AP$1)*(Table4[Projected 
Month]=AP$2)))</f>
        <v>0</v>
      </c>
      <c r="AR47" s="160">
        <f>SUMPRODUCT(Table4[Rev. Based on PROB]*Table4[Expected CMR]*(Table4[Projected 
Year]=AP$1)*(Table4[Projected 
Month]=AP$2)*(Table4[Installation]=$B47))/MAX(1,AP47)</f>
        <v>0</v>
      </c>
      <c r="AS47" s="27">
        <f>SUMIFS(Table47[Rev. Based on PROB],Table47[Installation],$B47,Table47[Projected 
Year],AS$1,Table47[Monthly revenue],AS$2)</f>
        <v>0</v>
      </c>
      <c r="AT47" s="159">
        <f>SUMPRODUCT(Table4[Probability]*Table4[Rev. Based on PROB]*(Table4[Installation]=$B47)*(Table4[Projected 
Year]=AS$1)*(Table4[Projected 
Month]=AS$2))/MAX(1,SUMPRODUCT(Table4[Rev. Based on PROB]*(Table4[Installation]=$B47)*(Table4[Projected 
Year]=AS$1)*(Table4[Projected 
Month]=AS$2)))</f>
        <v>0</v>
      </c>
      <c r="AU47" s="160">
        <f>SUMPRODUCT(Table4[Rev. Based on PROB]*Table4[Expected CMR]*(Table4[Projected 
Year]=AS$1)*(Table4[Projected 
Month]=AS$2)*(Table4[Installation]=$B47))/MAX(1,AS47)</f>
        <v>0</v>
      </c>
      <c r="AV47" s="27">
        <f>SUMIFS(Table47[Rev. Based on PROB],Table47[Installation],$B47,Table47[Projected 
Year],AV$1,Table47[Monthly revenue],AV$2)</f>
        <v>0</v>
      </c>
      <c r="AW47" s="159">
        <f>SUMPRODUCT(Table4[Probability]*Table4[Rev. Based on PROB]*(Table4[Installation]=$B47)*(Table4[Projected 
Year]=AV$1)*(Table4[Projected 
Month]=AV$2))/MAX(1,SUMPRODUCT(Table4[Rev. Based on PROB]*(Table4[Installation]=$B47)*(Table4[Projected 
Year]=AV$1)*(Table4[Projected 
Month]=AV$2)))</f>
        <v>0</v>
      </c>
      <c r="AX47" s="160">
        <f>SUMPRODUCT(Table4[Rev. Based on PROB]*Table4[Expected CMR]*(Table4[Projected 
Year]=AV$1)*(Table4[Projected 
Month]=AV$2)*(Table4[Installation]=$B47))/MAX(1,AV47)</f>
        <v>0</v>
      </c>
      <c r="AY47" s="27">
        <f>SUMIFS(Table47[Rev. Based on PROB],Table47[Installation],$B47,Table47[Projected 
Year],AY$1,Table47[Monthly revenue],AY$2)</f>
        <v>0</v>
      </c>
      <c r="AZ47" s="159">
        <f>SUMPRODUCT(Table4[Probability]*Table4[Rev. Based on PROB]*(Table4[Installation]=$B47)*(Table4[Projected 
Year]=AY$1)*(Table4[Projected 
Month]=AY$2))/MAX(1,SUMPRODUCT(Table4[Rev. Based on PROB]*(Table4[Installation]=$B47)*(Table4[Projected 
Year]=AY$1)*(Table4[Projected 
Month]=AY$2)))</f>
        <v>0</v>
      </c>
      <c r="BA47" s="160">
        <f>SUMPRODUCT(Table4[Rev. Based on PROB]*Table4[Expected CMR]*(Table4[Projected 
Year]=AY$1)*(Table4[Projected 
Month]=AY$2)*(Table4[Installation]=$B47))/MAX(1,AY47)</f>
        <v>0</v>
      </c>
      <c r="BB47" s="27">
        <f>SUMIFS(Table47[Rev. Based on PROB],Table47[Installation],$B47,Table47[Projected 
Year],BB$1,Table47[Monthly revenue],BB$2)</f>
        <v>0</v>
      </c>
      <c r="BC47" s="159">
        <f>SUMPRODUCT(Table4[Probability]*Table4[Rev. Based on PROB]*(Table4[Installation]=$B47)*(Table4[Projected 
Year]=BB$1)*(Table4[Projected 
Month]=BB$2))/MAX(1,SUMPRODUCT(Table4[Rev. Based on PROB]*(Table4[Installation]=$B47)*(Table4[Projected 
Year]=BB$1)*(Table4[Projected 
Month]=BB$2)))</f>
        <v>0</v>
      </c>
      <c r="BD47" s="160">
        <f>SUMPRODUCT(Table4[Rev. Based on PROB]*Table4[Expected CMR]*(Table4[Projected 
Year]=BB$1)*(Table4[Projected 
Month]=BB$2)*(Table4[Installation]=$B47))/MAX(1,BB47)</f>
        <v>0</v>
      </c>
      <c r="BE47" s="27">
        <f>SUMIFS(Table47[Rev. Based on PROB],Table47[Installation],$B47,Table47[Projected 
Year],BE$1,Table47[Monthly revenue],BE$2)</f>
        <v>0</v>
      </c>
      <c r="BF47" s="159">
        <f>SUMPRODUCT(Table4[Probability]*Table4[Rev. Based on PROB]*(Table4[Installation]=$B47)*(Table4[Projected 
Year]=BE$1)*(Table4[Projected 
Month]=BE$2))/MAX(1,SUMPRODUCT(Table4[Rev. Based on PROB]*(Table4[Installation]=$B47)*(Table4[Projected 
Year]=BE$1)*(Table4[Projected 
Month]=BE$2)))</f>
        <v>0</v>
      </c>
      <c r="BG47" s="160">
        <f>SUMPRODUCT(Table4[Rev. Based on PROB]*Table4[Expected CMR]*(Table4[Projected 
Year]=BE$1)*(Table4[Projected 
Month]=BE$2)*(Table4[Installation]=$B47))/MAX(1,BE47)</f>
        <v>0</v>
      </c>
      <c r="BH47" s="27">
        <f>SUMIFS(Table47[Rev. Based on PROB],Table47[Installation],$B47,Table47[Projected 
Year],BH$1,Table47[Monthly revenue],BH$2)</f>
        <v>0</v>
      </c>
      <c r="BI47" s="159">
        <f>SUMPRODUCT(Table4[Probability]*Table4[Rev. Based on PROB]*(Table4[Installation]=$B47)*(Table4[Projected 
Year]=BH$1)*(Table4[Projected 
Month]=BH$2))/MAX(1,SUMPRODUCT(Table4[Rev. Based on PROB]*(Table4[Installation]=$B47)*(Table4[Projected 
Year]=BH$1)*(Table4[Projected 
Month]=BH$2)))</f>
        <v>0</v>
      </c>
      <c r="BJ47" s="160">
        <f>SUMPRODUCT(Table4[Rev. Based on PROB]*Table4[Expected CMR]*(Table4[Projected 
Year]=BH$1)*(Table4[Projected 
Month]=BH$2)*(Table4[Installation]=$B47))/MAX(1,BH47)</f>
        <v>0</v>
      </c>
      <c r="BK47" s="27">
        <f>SUMIFS(Table47[Rev. Based on PROB],Table47[Installation],$B47,Table47[Projected 
Year],BK$1,Table47[Monthly revenue],BK$2)</f>
        <v>0</v>
      </c>
      <c r="BL47" s="159">
        <f>SUMPRODUCT(Table4[Probability]*Table4[Rev. Based on PROB]*(Table4[Installation]=$B47)*(Table4[Projected 
Year]=BK$1)*(Table4[Projected 
Month]=BK$2))/MAX(1,SUMPRODUCT(Table4[Rev. Based on PROB]*(Table4[Installation]=$B47)*(Table4[Projected 
Year]=BK$1)*(Table4[Projected 
Month]=BK$2)))</f>
        <v>0</v>
      </c>
      <c r="BM47" s="160">
        <f>SUMPRODUCT(Table4[Rev. Based on PROB]*Table4[Expected CMR]*(Table4[Projected 
Year]=BK$1)*(Table4[Projected 
Month]=BK$2)*(Table4[Installation]=$B47))/MAX(1,BK47)</f>
        <v>0</v>
      </c>
      <c r="BN47" s="27">
        <f>SUMIFS(Table47[Rev. Based on PROB],Table47[Installation],$B47,Table47[Projected 
Year],BN$1,Table47[Monthly revenue],BN$2)</f>
        <v>0</v>
      </c>
      <c r="BO47" s="159">
        <f>SUMPRODUCT(Table4[Probability]*Table4[Rev. Based on PROB]*(Table4[Installation]=$B47)*(Table4[Projected 
Year]=BN$1)*(Table4[Projected 
Month]=BN$2))/MAX(1,SUMPRODUCT(Table4[Rev. Based on PROB]*(Table4[Installation]=$B47)*(Table4[Projected 
Year]=BN$1)*(Table4[Projected 
Month]=BN$2)))</f>
        <v>0</v>
      </c>
      <c r="BP47" s="160">
        <f>SUMPRODUCT(Table4[Rev. Based on PROB]*Table4[Expected CMR]*(Table4[Projected 
Year]=BN$1)*(Table4[Projected 
Month]=BN$2)*(Table4[Installation]=$B47))/MAX(1,BN47)</f>
        <v>0</v>
      </c>
      <c r="BQ47" s="27">
        <f>SUMIFS(Table47[Rev. Based on PROB],Table47[Installation],$B47,Table47[Projected 
Year],BQ$1,Table47[Monthly revenue],BQ$2)</f>
        <v>0</v>
      </c>
      <c r="BR47" s="159">
        <f>SUMPRODUCT(Table4[Probability]*Table4[Rev. Based on PROB]*(Table4[Installation]=$B47)*(Table4[Projected 
Year]=BQ$1)*(Table4[Projected 
Month]=BQ$2))/MAX(1,SUMPRODUCT(Table4[Rev. Based on PROB]*(Table4[Installation]=$B47)*(Table4[Projected 
Year]=BQ$1)*(Table4[Projected 
Month]=BQ$2)))</f>
        <v>0</v>
      </c>
      <c r="BS47" s="160">
        <f>SUMPRODUCT(Table4[Rev. Based on PROB]*Table4[Expected CMR]*(Table4[Projected 
Year]=BQ$1)*(Table4[Projected 
Month]=BQ$2)*(Table4[Installation]=$B47))/MAX(1,BQ47)</f>
        <v>0</v>
      </c>
      <c r="BT47" s="27">
        <f>SUMIFS(Table47[Rev. Based on PROB],Table47[Installation],$B47,Table47[Projected 
Year],BT$1,Table47[Monthly revenue],BT$2)</f>
        <v>0</v>
      </c>
      <c r="BU47" s="159">
        <f>SUMPRODUCT(Table4[Probability]*Table4[Rev. Based on PROB]*(Table4[Installation]=$B47)*(Table4[Projected 
Year]=BT$1)*(Table4[Projected 
Month]=BT$2))/MAX(1,SUMPRODUCT(Table4[Rev. Based on PROB]*(Table4[Installation]=$B47)*(Table4[Projected 
Year]=BT$1)*(Table4[Projected 
Month]=BT$2)))</f>
        <v>0</v>
      </c>
      <c r="BV47" s="160">
        <f>SUMPRODUCT(Table4[Rev. Based on PROB]*Table4[Expected CMR]*(Table4[Projected 
Year]=BT$1)*(Table4[Projected 
Month]=BT$2)*(Table4[Installation]=$B47))/MAX(1,BT47)</f>
        <v>0</v>
      </c>
      <c r="BW47" s="27">
        <f>SUMIFS(Table47[Rev. Based on PROB],Table47[Installation],$B47,Table47[Projected 
Year],BW$1,Table47[Monthly revenue],BW$2)</f>
        <v>0</v>
      </c>
      <c r="BX47" s="159">
        <f>SUMPRODUCT(Table4[Probability]*Table4[Rev. Based on PROB]*(Table4[Installation]=$B47)*(Table4[Projected 
Year]=BW$1)*(Table4[Projected 
Month]=BW$2))/MAX(1,SUMPRODUCT(Table4[Rev. Based on PROB]*(Table4[Installation]=$B47)*(Table4[Projected 
Year]=BW$1)*(Table4[Projected 
Month]=BW$2)))</f>
        <v>0</v>
      </c>
      <c r="BY47" s="160">
        <f>SUMPRODUCT(Table4[Rev. Based on PROB]*Table4[Expected CMR]*(Table4[Projected 
Year]=BW$1)*(Table4[Projected 
Month]=BW$2)*(Table4[Installation]=$B47))/MAX(1,BW47)</f>
        <v>0</v>
      </c>
      <c r="BZ47" s="200"/>
      <c r="CA47" s="200"/>
      <c r="CB47" s="200"/>
      <c r="CC47" s="200"/>
      <c r="CD47" s="200"/>
      <c r="CE47" s="200"/>
      <c r="CF47" s="200"/>
      <c r="CG47" s="200"/>
      <c r="CH47" s="200"/>
      <c r="CI47" s="200"/>
      <c r="CJ47" s="200"/>
      <c r="CK47" s="200"/>
      <c r="CL47" s="200"/>
      <c r="CM47" s="200"/>
      <c r="CN47" s="200"/>
      <c r="CO47" s="200"/>
      <c r="CP47" s="200"/>
      <c r="CQ47" s="200"/>
      <c r="CR47" s="200"/>
      <c r="CS47" s="200"/>
      <c r="CT47" s="200"/>
      <c r="CU47" s="30">
        <f t="shared" si="0"/>
        <v>0</v>
      </c>
      <c r="CV47" s="52">
        <f t="shared" si="9"/>
        <v>0</v>
      </c>
      <c r="CW47" s="53">
        <f t="shared" si="10"/>
        <v>0</v>
      </c>
    </row>
    <row r="48" spans="1:102">
      <c r="A48" s="40"/>
      <c r="B48" s="42" t="s">
        <v>301</v>
      </c>
      <c r="C48" s="44">
        <f>SUM(C$4:C$47)</f>
        <v>0</v>
      </c>
      <c r="D48" s="45" t="e">
        <f>SUM(C4*D4,C5*D5,C6*D6,C7*D7,C8*D8,C9*D9,C10*D10,C11*D11,C12*D12,C13*D13,C14*D14,C15*D15,C16*D16,C17*D17,C18*D18,C19*D19,C20*D20,C21*D21,C23*D23,C24*D24,C47*D47)/C48</f>
        <v>#DIV/0!</v>
      </c>
      <c r="E48" s="46" t="e">
        <f>SUM(C4*E4,C5*E5,C6*E6,C7*E7,C8*E8,C9*E9,C10*E10,C11*E11,C12*E12,C13*E13,C14*E14,C15*E15,C16*E16,C17*E17,C18*E18,C19*E19,C20*E20,C21*E21,C23*E23,C24*E24,C47*E47)/C48</f>
        <v>#DIV/0!</v>
      </c>
      <c r="F48" s="44">
        <f>SUM(F$4:F$47)</f>
        <v>0</v>
      </c>
      <c r="G48" s="45" t="e">
        <f>SUM(F4*G4,F5*G5,F6*G6,F7*G7,F8*G8,F9*G9,F10*G10,F11*G11,F12*G12,F13*G13,F14*G14,F15*G15,F16*G16,F17*G17,F18*G18,F19*G19,F20*G20,F21*G21,F23*G23,F24*G24,F47*G47)/F48</f>
        <v>#DIV/0!</v>
      </c>
      <c r="H48" s="46" t="e">
        <f>SUM(F4*H4,F5*H5,F6*H6,F7*H7,F8*H8,F9*H9,F10*H10,F11*H11,F12*H12,F13*H13,F14*H14,F15*H15,F16*H16,F17*H17,F18*H18,F19*H19,F20*H20,F21*H21,F23*H23,F24*H24,F47*H47)/F48</f>
        <v>#DIV/0!</v>
      </c>
      <c r="I48" s="44">
        <f>SUM(I$4:I$47)</f>
        <v>0</v>
      </c>
      <c r="J48" s="45" t="e">
        <f>SUM(I4*J4,I5*J5,I6*J6,I7*J7,I8*J8,I9*J9,I10*J10,I11*J11,I12*J12,I13*J13,I14*J14,I15*J15,I16*J16,I17*J17,I18*J18,I19*J19,I20*J20,I21*J21,I23*J23,I24*J24,I47*J47)/I48</f>
        <v>#DIV/0!</v>
      </c>
      <c r="K48" s="46" t="e">
        <f>SUM(I4*K4,I5*K5,I6*K6,I7*K7,I8*K8,I9*K9,I10*K10,I11*K11,I12*K12,I13*K13,I14*K14,I15*K15,I16*K16,I17*K17,I18*K18,I19*K19,I20*K20,I21*K21,I23*K23,I24*K24,I47*K47)/I48</f>
        <v>#DIV/0!</v>
      </c>
      <c r="L48" s="44">
        <f>SUM(L$4:L$47)</f>
        <v>0</v>
      </c>
      <c r="M48" s="45" t="e">
        <f>SUM(L4*M4,L5*M5,L6*M6,L7*M7,L8*M8,L9*M9,L10*M10,L11*M11,L12*M12,L13*M13,L14*M14,L15*M15,L16*M16,L17*M17,L18*M18,L19*M19,L20*M20,L21*M21,L23*M23,L24*M24,L47*M47)/L48</f>
        <v>#DIV/0!</v>
      </c>
      <c r="N48" s="46" t="e">
        <f>SUM(L4*N4,L5*N5,L6*N6,L7*N7,L8*N8,L9*N9,L10*N10,L11*N11,L12*N12,L13*N13,L14*N14,L15*N15,L16*N16,L17*N17,L18*N18,L19*N19,L20*N20,L21*N21,L23*N23,L24*N24,L47*N47)/L48</f>
        <v>#DIV/0!</v>
      </c>
      <c r="O48" s="44">
        <f>SUM(O$4:O$47)</f>
        <v>0</v>
      </c>
      <c r="P48" s="45" t="e">
        <f>SUM(O4*P4,O5*P5,O6*P6,O7*P7,O8*P8,O9*P9,O10*P10,O11*P11,O12*P12,O13*P13,O14*P14,O15*P15,O16*P16,O17*P17,O18*P18,O19*P19,O20*P20,O21*P21,O23*P23,O24*P24,O47*P47)/O48</f>
        <v>#DIV/0!</v>
      </c>
      <c r="Q48" s="46" t="e">
        <f>SUM(O4*Q4,O5*Q5,O6*Q6,O7*Q7,O8*Q8,O9*Q9,O10*Q10,O11*Q11,O12*Q12,O13*Q13,O14*Q14,O15*Q15,O16*Q16,O17*Q17,O18*Q18,O19*Q19,O20*Q20,O21*Q21,O23*Q23,O24*Q24,O47*Q47)/O48</f>
        <v>#DIV/0!</v>
      </c>
      <c r="R48" s="44">
        <f>SUM(R$4:R$47)</f>
        <v>0</v>
      </c>
      <c r="S48" s="45" t="e">
        <f>SUM(R4*S4,R5*S5,R6*S6,R7*S7,R8*S8,R9*S9,R10*S10,R11*S11,R12*S12,R13*S13,R14*S14,R15*S15,R16*S16,R17*S17,R18*S18,R19*S19,R20*S20,R21*S21,R23*S23,R24*S24,R47*S47)/R48</f>
        <v>#DIV/0!</v>
      </c>
      <c r="T48" s="46" t="e">
        <f>SUM(R4*T4,R5*T5,R6*T6,R7*T7,R8*T8,R9*T9,R10*T10,R11*T11,R12*T12,R13*T13,R14*T14,R15*T15,R16*T16,R17*T17,R18*T18,R19*T19,R20*T20,R21*T21,R23*T23,R24*T24,R47*T47)/R48</f>
        <v>#DIV/0!</v>
      </c>
      <c r="U48" s="44">
        <f>SUM(U$4:U$47)</f>
        <v>0</v>
      </c>
      <c r="V48" s="45" t="e">
        <f>SUM(U4*V4,U5*V5,U6*V6,U7*V7,U8*V8,U9*V9,U10*V10,U11*V11,U12*V12,U13*V13,U14*V14,U15*V15,U16*V16,U17*V17,U18*V18,U19*V19,U20*V20,U21*V21,U23*V23,U24*V24,U47*V47)/U48</f>
        <v>#DIV/0!</v>
      </c>
      <c r="W48" s="46" t="e">
        <f>SUM(U4*W4,U5*W5,U6*W6,U7*W7,U8*W8,U9*W9,U10*W10,U11*W11,U12*W12,U13*W13,U14*W14,U15*W15,U16*W16,U17*W17,U18*W18,U19*W19,U20*W20,U21*W21,U23*W23,U24*W24,U47*W47)/U48</f>
        <v>#DIV/0!</v>
      </c>
      <c r="X48" s="44">
        <f>SUM(X$4:X$47)</f>
        <v>0</v>
      </c>
      <c r="Y48" s="45" t="e">
        <f>SUM(X4*Y4,X5*Y5,X6*Y6,X7*Y7,X8*Y8,X9*Y9,X10*Y10,X11*Y11,X12*Y12,X13*Y13,X14*Y14,X15*Y15,X16*Y16,X17*Y17,X18*Y18,X19*Y19,X20*Y20,X21*Y21,X23*Y23,X24*Y24,X47*Y47)/X48</f>
        <v>#DIV/0!</v>
      </c>
      <c r="Z48" s="46" t="e">
        <f>SUM(X4*Z4,X5*Z5,X6*Z6,X7*Z7,X8*Z8,X9*Z9,X10*Z10,X11*Z11,X12*Z12,X13*Z13,X14*Z14,X15*Z15,X16*Z16,X17*Z17,X18*Z18,X19*Z19,X20*Z20,X21*Z21,X23*Z23,X24*Z24,X47*Z47)/X48</f>
        <v>#DIV/0!</v>
      </c>
      <c r="AA48" s="44">
        <f>SUM(AA$4:AA$47)</f>
        <v>0</v>
      </c>
      <c r="AB48" s="45" t="e">
        <f>SUM(AA4*AB4,AA5*AB5,AA6*AB6,AA7*AB7,AA8*AB8,AA9*AB9,AA10*AB10,AA11*AB11,AA12*AB12,AA13*AB13,AA14*AB14,AA15*AB15,AA16*AB16,AA17*AB17,AA18*AB18,AA19*AB19,AA20*AB20,AA21*AB21,AA23*AB23,AA24*AB24,AA47*AB47)/AA48</f>
        <v>#DIV/0!</v>
      </c>
      <c r="AC48" s="46" t="e">
        <f>SUM(AA4*AC4,AA5*AC5,AA6*AC6,AA7*AC7,AA8*AC8,AA9*AC9,AA10*AC10,AA11*AC11,AA12*AC12,AA13*AC13,AA14*AC14,AA15*AC15,AA16*AC16,AA17*AC17,AA18*AC18,AA19*AC19,AA20*AC20,AA21*AC21,AA23*AC23,AA24*AC24,AA47*AC47)/AA48</f>
        <v>#DIV/0!</v>
      </c>
      <c r="AD48" s="44">
        <f>SUM(AD$4:AD$47)</f>
        <v>0</v>
      </c>
      <c r="AE48" s="45" t="e">
        <f>SUM(AD4*AE4,AD5*AE5,AD6*AE6,AD7*AE7,AD8*AE8,AD9*AE9,AD10*AE10,AD11*AE11,AD12*AE12,AD13*AE13,AD14*AE14,AD15*AE15,AD16*AE16,AD17*AE17,AD18*AE18,AD19*AE19,AD20*AE20,AD21*AE21,AD23*AE23,AD24*AE24,AD47*AE47)/AD48</f>
        <v>#DIV/0!</v>
      </c>
      <c r="AF48" s="46" t="e">
        <f>SUM(AD4*AF4,AD5*AF5,AD6*AF6,AD7*AF7,AD8*AF8,AD9*AF9,AD10*AF10,AD11*AF11,AD12*AF12,AD13*AF13,AD14*AF14,AD15*AF15,AD16*AF16,AD17*AF17,AD18*AF18,AD19*AF19,AD20*AF20,AD21*AF21,AD23*AF23,AD24*AF24,AD47*AF47)/AD48</f>
        <v>#DIV/0!</v>
      </c>
      <c r="AG48" s="44">
        <f>SUM(AG$4:AG$47)</f>
        <v>0</v>
      </c>
      <c r="AH48" s="45" t="e">
        <f>SUM(AG4*AH4,AG5*AH5,AG6*AH6,AG7*AH7,AG8*AH8,AG9*AH9,AG10*AH10,AG11*AH11,AG12*AH12,AG13*AH13,AG14*AH14,AG15*AH15,AG16*AH16,AG17*AH17,AG18*AH18,AG19*AH19,AG20*AH20,AG21*AH21,AG23*AH23,AG24*AH24,AG47*AH47)/AG48</f>
        <v>#DIV/0!</v>
      </c>
      <c r="AI48" s="46" t="e">
        <f>SUM(AG4*AI4,AG5*AI5,AG6*AI6,AG7*AI7,AG8*AI8,AG9*AI9,AG10*AI10,AG11*AI11,AG12*AI12,AG13*AI13,AG14*AI14,AG15*AI15,AG16*AI16,AG17*AI17,AG18*AI18,AG19*AI19,AG20*AI20,AG21*AI21,AG23*AI23,AG24*AI24,AG47*AI47)/AG48</f>
        <v>#DIV/0!</v>
      </c>
      <c r="AJ48" s="44">
        <f>SUM(AJ$4:AJ$47)</f>
        <v>140951.66999999998</v>
      </c>
      <c r="AK48" s="45">
        <f>SUM(AJ4*AK4,AJ5*AK5,AJ6*AK6,AJ7*AK7,AJ8*AK8,AJ9*AK9,AJ10*AK10,AJ11*AK11,AJ12*AK12,AJ13*AK13,AJ14*AK14,AJ15*AK15,AJ16*AK16,AJ17*AK17,AJ18*AK18,AJ19*AK19,AJ20*AK20,AJ21*AK21,AJ23*AK23,AJ24*AK24,AJ47*AK47)/AJ48</f>
        <v>1</v>
      </c>
      <c r="AL48" s="46">
        <f>SUM(AJ4*AL4,AJ5*AL5,AJ6*AL6,AJ7*AL7,AJ8*AL8,AJ9*AL9,AJ10*AL10,AJ11*AL11,AJ12*AL12,AJ13*AL13,AJ14*AL14,AJ15*AL15,AJ16*AL16,AJ17*AL17,AJ18*AL18,AJ19*AL19,AJ20*AL20,AJ21*AL21,AJ23*AL23,AJ24*AL24,AJ47*AL47)/AJ48</f>
        <v>0.3801972349813238</v>
      </c>
      <c r="AM48" s="44">
        <f>SUM(AM$4:AM$47)</f>
        <v>140951.66999999998</v>
      </c>
      <c r="AN48" s="45">
        <f>SUM(AM4*AN4,AM5*AN5,AM6*AN6,AM7*AN7,AM8*AN8,AM9*AN9,AM10*AN10,AM11*AN11,AM12*AN12,AM13*AN13,AM14*AN14,AM15*AN15,AM16*AN16,AM17*AN17,AM18*AN18,AM19*AN19,AM20*AN20,AM21*AN21,AM23*AN23,AM24*AN24,AM47*AN47)/AM48</f>
        <v>1</v>
      </c>
      <c r="AO48" s="46">
        <f>SUM(AM4*AO4,AM5*AO5,AM6*AO6,AM7*AO7,AM8*AO8,AM9*AO9,AM10*AO10,AM11*AO11,AM12*AO12,AM13*AO13,AM14*AO14,AM15*AO15,AM16*AO16,AM17*AO17,AM18*AO18,AM19*AO19,AM20*AO20,AM21*AO21,AM23*AO23,AM24*AO24,AM47*AO47)/AM48</f>
        <v>0.3801972349813238</v>
      </c>
      <c r="AP48" s="44">
        <f>SUM(AP$4:AP$47)</f>
        <v>488841</v>
      </c>
      <c r="AQ48" s="45">
        <f>SUM(AP4*AQ4,AP5*AQ5,AP6*AQ6,AP7*AQ7,AP8*AQ8,AP9*AQ9,AP10*AQ10,AP11*AQ11,AP12*AQ12,AP13*AQ13,AP14*AQ14,AP15*AQ15,AP16*AQ16,AP17*AQ17,AP18*AQ18,AP19*AQ19,AP20*AQ20,AP21*AQ21,AP23*AQ23,AP24*AQ24,AP47*AQ47)/AP48</f>
        <v>0.69315176100204356</v>
      </c>
      <c r="AR48" s="46">
        <f>SUM(AP4*AR4,AP5*AR5,AP6*AR6,AP7*AR7,AP8*AR8,AP9*AR9,AP10*AR10,AP11*AR11,AP12*AR12,AP13*AR13,AP14*AR14,AP15*AR15,AP16*AR16,AP17*AR17,AP18*AR18,AP19*AR19,AP20*AR20,AP21*AR21,AP23*AR23,AP24*AR24,AP47*AR47)/AP48</f>
        <v>0.26098465554239519</v>
      </c>
      <c r="AS48" s="44">
        <f>SUM(AS$4:AS$47)</f>
        <v>313938</v>
      </c>
      <c r="AT48" s="45">
        <f>SUM(AS4*AT4,AS5*AT5,AS6*AT6,AS7*AT7,AS8*AT8,AS9*AT9,AS10*AT10,AS11*AT11,AS12*AT12,AS13*AT13,AS14*AT14,AS15*AT15,AS16*AT16,AS17*AT17,AS18*AT18,AS19*AT19,AS20*AT20,AS21*AT21,AS23*AT23,AS24*AT24,AS47*AT47)/AS48</f>
        <v>0.45849180411418816</v>
      </c>
      <c r="AU48" s="46">
        <f>SUM(AS4*AU4,AS5*AU5,AS6*AU6,AS7*AU7,AS8*AU8,AS9*AU9,AS10*AU10,AS11*AU11,AS12*AU12,AS13*AU13,AS14*AU14,AS15*AU15,AS16*AU16,AS17*AU17,AS18*AU18,AS19*AU19,AS20*AU20,AS21*AU21,AS23*AU23,AS24*AU24,AS47*AU47)/AS48</f>
        <v>0.28946320611076071</v>
      </c>
      <c r="AV48" s="44">
        <f>SUM(AV$4:AV$47)</f>
        <v>649424</v>
      </c>
      <c r="AW48" s="45">
        <f>SUM(AV4*AW4,AV5*AW5,AV6*AW6,AV7*AW7,AV8*AW8,AV9*AW9,AV10*AW10,AV11*AW11,AV12*AW12,AV13*AW13,AV14*AW14,AV15*AW15,AV16*AW16,AV17*AW17,AV18*AW18,AV19*AW19,AV20*AW20,AV21*AW21,AV23*AW23,AV24*AW24,AV47*AW47)/AV48</f>
        <v>0.52063597895981673</v>
      </c>
      <c r="AX48" s="46">
        <f>SUM(AV4*AX4,AV5*AX5,AV6*AX6,AV7*AX7,AV8*AX8,AV9*AX9,AV10*AX10,AV11*AX11,AV12*AX12,AV13*AX13,AV14*AX14,AV15*AX15,AV16*AX16,AV17*AX17,AV18*AX18,AV19*AX19,AV20*AX20,AV21*AX21,AV23*AX23,AV24*AX24,AV47*AX47)/AV48</f>
        <v>0.10281988346596369</v>
      </c>
      <c r="AY48" s="44">
        <f>SUM(AY$4:AY$47)</f>
        <v>632548.25</v>
      </c>
      <c r="AZ48" s="45">
        <f>SUM(AY4*AZ4,AY5*AZ5,AY6*AZ6,AY7*AZ7,AY8*AZ8,AY9*AZ9,AY10*AZ10,AY11*AZ11,AY12*AZ12,AY13*AZ13,AY14*AZ14,AY15*AZ15,AY16*AZ16,AY17*AZ17,AY18*AZ18,AY19*AZ19,AY20*AZ20,AY21*AZ21,AY23*AZ23,AY24*AZ24,AY47*AZ47)/AY48</f>
        <v>0</v>
      </c>
      <c r="BA48" s="46">
        <f>SUM(AY4*BA4,AY5*BA5,AY6*BA6,AY7*BA7,AY8*BA8,AY9*BA9,AY10*BA10,AY11*BA11,AY12*BA12,AY13*BA13,AY14*BA14,AY15*BA15,AY16*BA16,AY17*BA17,AY18*BA18,AY19*BA19,AY20*BA20,AY21*BA21,AY23*BA23,AY24*BA24,AY47*BA47)/AY48</f>
        <v>0</v>
      </c>
      <c r="BB48" s="44">
        <f>SUM(BB$4:BB$47)</f>
        <v>401010</v>
      </c>
      <c r="BC48" s="45">
        <f>SUM(BB4*BC4,BB5*BC5,BB6*BC6,BB7*BC7,BB8*BC8,BB9*BC9,BB10*BC10,BB11*BC11,BB12*BC12,BB13*BC13,BB14*BC14,BB15*BC15,BB16*BC16,BB17*BC17,BB18*BC18,BB19*BC19,BB20*BC20,BB21*BC21,BB23*BC23,BB24*BC24,BB47*BC47)/BB48</f>
        <v>0.13717862397446448</v>
      </c>
      <c r="BD48" s="46">
        <f>SUM(BB4*BD4,BB5*BD5,BB6*BD6,BB7*BD7,BB8*BD8,BB9*BD9,BB10*BD10,BB11*BD11,BB12*BD12,BB13*BD13,BB14*BD14,BB15*BD15,BB16*BD16,BB17*BD17,BB18*BD18,BB19*BD19,BB20*BD20,BB21*BD21,BB23*BD23,BB24*BD24,BB47*BD47)/BB48</f>
        <v>4.5280541632378241E-2</v>
      </c>
      <c r="BE48" s="44">
        <f>SUM(BE$4:BE$47)</f>
        <v>378431.5</v>
      </c>
      <c r="BF48" s="45">
        <f>SUM(BE4*BF4,BE5*BF5,BE6*BF6,BE7*BF7,BE8*BF8,BE9*BF9,BE10*BF10,BE11*BF11,BE12*BF12,BE13*BF13,BE14*BF14,BE15*BF15,BE16*BF16,BE17*BF17,BE18*BF18,BE19*BF19,BE20*BF20,BE21*BF21,BE23*BF23,BE24*BF24,BE47*BF47)/BE48</f>
        <v>0.32930926733107579</v>
      </c>
      <c r="BG48" s="46">
        <f>SUM(BE4*BG4,BE5*BG5,BE6*BG6,BE7*BG7,BE8*BG8,BE9*BG9,BE10*BG10,BE11*BG11,BE12*BG12,BE13*BG13,BE14*BG14,BE15*BG15,BE16*BG16,BE17*BG17,BE18*BG18,BE19*BG19,BE20*BG20,BE21*BG21,BE23*BG23,BE24*BG24,BE47*BG47)/BE48</f>
        <v>0.13517450317957144</v>
      </c>
      <c r="BH48" s="44">
        <f>SUM(BH$4:BH$47)</f>
        <v>543893</v>
      </c>
      <c r="BI48" s="45">
        <f>SUM(BH4*BI4,BH5*BI5,BH6*BI6,BH7*BI7,BH8*BI8,BH9*BI9,BH10*BI10,BH11*BI11,BH12*BI12,BH13*BI13,BH14*BI14,BH15*BI15,BH16*BI16,BH17*BI17,BH18*BI18,BH19*BI19,BH20*BI20,BH21*BI21,BH23*BI23,BH24*BI24,BH47*BI47)/BH48</f>
        <v>0.22361567440654687</v>
      </c>
      <c r="BJ48" s="46">
        <f>SUM(BH4*BJ4,BH5*BJ5,BH6*BJ6,BH7*BJ7,BH8*BJ8,BH9*BJ9,BH10*BJ10,BH11*BJ11,BH12*BJ12,BH13*BJ13,BH14*BJ14,BH15*BJ15,BH16*BJ16,BH17*BJ17,BH18*BJ18,BH19*BJ19,BH20*BJ20,BH21*BJ21,BH23*BJ23,BH24*BJ24,BH47*BJ47)/BH48</f>
        <v>7.0224290439479822E-2</v>
      </c>
      <c r="BK48" s="44" t="e">
        <f>SUM(BK$4:BK$47)</f>
        <v>#REF!</v>
      </c>
      <c r="BL48" s="45" t="e">
        <f>SUM(BK4*BL4,BK5*BL5,BK6*BL6,BK7*BL7,BK8*BL8,BK9*BL9,BK10*BL10,BK11*BL11,BK12*BL12,BK13*BL13,BK14*BL14,BK15*BL15,BK16*BL16,BK17*BL17,BK18*BL18,BK19*BL19,BK20*BL20,BK21*BL21,BK23*BL23,BK24*BL24,BK47*BL47)/BK48</f>
        <v>#REF!</v>
      </c>
      <c r="BM48" s="46" t="e">
        <f>SUM(BK4*BM4,BK5*BM5,BK6*BM6,BK7*BM7,BK8*BM8,BK9*BM9,BK10*BM10,BK11*BM11,BK12*BM12,BK13*BM13,BK14*BM14,BK15*BM15,BK16*BM16,BK17*BM17,BK18*BM18,BK19*BM19,BK20*BM20,BK21*BM21,BK23*BM23,BK24*BM24,BK47*BM47)/BK48</f>
        <v>#REF!</v>
      </c>
      <c r="BN48" s="44">
        <f>SUM(BN$4:BN$47)</f>
        <v>411656</v>
      </c>
      <c r="BO48" s="45">
        <f>SUM(BN4*BO4,BN5*BO5,BN6*BO6,BN7*BO7,BN8*BO8,BN9*BO9,BN10*BO10,BN11*BO11,BN12*BO12,BN13*BO13,BN14*BO14,BN15*BO15,BN16*BO16,BN17*BO17,BN18*BO18,BN19*BO19,BN20*BO20,BN21*BO21,BN23*BO23,BN24*BO24,BN47*BO47)/BN48</f>
        <v>0.37832073381658471</v>
      </c>
      <c r="BP48" s="46">
        <f>SUM(BN4*BP4,BN5*BP5,BN6*BP6,BN7*BP7,BN8*BP8,BN9*BP9,BN10*BP10,BN11*BP11,BN12*BP12,BN13*BP13,BN14*BP14,BN15*BP15,BN16*BP16,BN17*BP17,BN18*BP18,BN19*BP19,BN20*BP20,BN21*BP21,BN23*BP23,BN24*BP24,BN47*BP47)/BN48</f>
        <v>6.3155401597450297E-2</v>
      </c>
      <c r="BQ48" s="44">
        <f>SUM(BQ$4:BQ$47)</f>
        <v>455210</v>
      </c>
      <c r="BR48" s="45">
        <f>SUM(BQ4*BR4,BQ5*BR5,BQ6*BR6,BQ7*BR7,BQ8*BR8,BQ9*BR9,BQ10*BR10,BQ11*BR11,BQ12*BR12,BQ13*BR13,BQ14*BR14,BQ15*BR15,BQ16*BR16,BQ17*BR17,BQ18*BR18,BQ19*BR19,BQ20*BR20,BQ21*BR21,BQ23*BR23,BQ24*BR24,BQ47*BR47)/BQ48</f>
        <v>0</v>
      </c>
      <c r="BS48" s="46">
        <f>SUM(BQ4*BS4,BQ5*BS5,BQ6*BS6,BQ7*BS7,BQ8*BS8,BQ9*BS9,BQ10*BS10,BQ11*BS11,BQ12*BS12,BQ13*BS13,BQ14*BS14,BQ15*BS15,BQ16*BS16,BQ17*BS17,BQ18*BS18,BQ19*BS19,BQ20*BS20,BQ21*BS21,BQ23*BS23,BQ24*BS24,BQ47*BS47)/BQ48</f>
        <v>0</v>
      </c>
      <c r="BT48" s="44">
        <f>SUM(BT$4:BT$47)</f>
        <v>481705.75</v>
      </c>
      <c r="BU48" s="45">
        <f>SUM(BT4*BU4,BT5*BU5,BT6*BU6,BT7*BU7,BT8*BU8,BT9*BU9,BT10*BU10,BT11*BU11,BT12*BU12,BT13*BU13,BT14*BU14,BT15*BU15,BT16*BU16,BT17*BU17,BT18*BU18,BT19*BU19,BT20*BU20,BT21*BU21,BT23*BU23,BT24*BU24,BT47*BU47)/BT48</f>
        <v>4.7746990771856054E-3</v>
      </c>
      <c r="BV48" s="46">
        <f>SUM(BT4*BV4,BT5*BV5,BT6*BV6,BT7*BV7,BT8*BV8,BT9*BV9,BT10*BV10,BT11*BV11,BT12*BV12,BT13*BV13,BT14*BV14,BT15*BV15,BT16*BV16,BT17*BV17,BT18*BV18,BT19*BV19,BT20*BV20,BT21*BV21,BT23*BV23,BT24*BV24,BT47*BV47)/BT48</f>
        <v>8.6567370225495537E-3</v>
      </c>
      <c r="BW48" s="44">
        <f>SUM(BW$4:BW$47)</f>
        <v>387070.5</v>
      </c>
      <c r="BX48" s="45">
        <f>SUM(BW4*BX4,BW5*BX5,BW6*BX6,BW7*BX7,BW8*BX8,BW9*BX9,BW10*BX10,BW11*BX11,BW12*BX12,BW13*BX13,BW14*BX14,BW15*BX15,BW16*BX16,BW17*BX17,BW18*BX18,BW19*BX19,BW20*BX20,BW21*BX21,BW23*BX23,BW24*BX24,BW47*BX47)/BW48</f>
        <v>0.69305204090727657</v>
      </c>
      <c r="BY48" s="46">
        <f>SUM(BW4*BY4,BW5*BY5,BW6*BY6,BW7*BY7,BW8*BY8,BW9*BY9,BW10*BY10,BW11*BY11,BW12*BY12,BW13*BY13,BW14*BY14,BW15*BY15,BW16*BY16,BW17*BY17,BW18*BY18,BW19*BY19,BW20*BY20,BW21*BY21,BW23*BY23,BW24*BY24,BW47*BY47)/BW48</f>
        <v>0.23140474409700554</v>
      </c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4" t="e">
        <f>SUM(CU$4:CU$47)</f>
        <v>#REF!</v>
      </c>
      <c r="CV48" s="45" t="e">
        <f>SUM(CU4*CV4,CU5*CV5,CU6*CV6,CU7*CV7,CU8*CV8,CU9*CV9,CU10*CV10,CU11*CV11,CU12*CV12,CU13*CV13,CU14*CV14,CU15*CV15,CU16*CV16,CU17*CV17,CU18*CV18,CU19*CV19,CU20*CV20,CU21*CV21,CU23*CV23,CU24*CV24,CU47*CV47)/CU48</f>
        <v>#REF!</v>
      </c>
      <c r="CW48" s="46" t="e">
        <f>SUM(CU4*CW4,CU5*CW5,CU6*CW6,CU7*CW7,CU8*CW8,CU9*CW9,CU10*CW10,CU11*CW11,CU12*CW12,CU13*CW13,CU14*CW14,CU15*CW15,CU16*CW16,CU17*CW17,CU18*CW18,CU19*CW19,CU20*CW20,CU21*CW21,CU23*CW23,CU24*CW24,CU47*CW47)/CU48</f>
        <v>#REF!</v>
      </c>
    </row>
    <row r="50" spans="2:99">
      <c r="B50" t="s">
        <v>331</v>
      </c>
      <c r="C50" s="21">
        <f>SUMIFS(Table4[Rev. Based on PROB],Table4[Projected 
Year],C1,Table4[Projected 
Month],C2)</f>
        <v>0</v>
      </c>
      <c r="F50" s="21">
        <f>SUMIFS(Table4[Rev. Based on PROB],Table4[Projected 
Year],F1,Table4[Projected 
Month],F2)</f>
        <v>0</v>
      </c>
      <c r="I50" s="21">
        <f>SUMIFS(Table4[Rev. Based on PROB],Table4[Projected 
Year],I1,Table4[Projected 
Month],I2)</f>
        <v>0</v>
      </c>
      <c r="L50" s="21">
        <f>SUMIFS(Table4[Rev. Based on PROB],Table4[Projected 
Year],L1,Table4[Projected 
Month],L2)</f>
        <v>0</v>
      </c>
      <c r="O50" s="21">
        <f>SUMIFS(Table4[Rev. Based on PROB],Table4[Projected 
Year],O1,Table4[Projected 
Month],O2)</f>
        <v>0</v>
      </c>
      <c r="R50" s="21">
        <f>SUMIFS(Table4[Rev. Based on PROB],Table4[Projected 
Year],R1,Table4[Projected 
Month],R2)</f>
        <v>0</v>
      </c>
      <c r="U50" s="21">
        <f>SUMIFS(Table4[Rev. Based on PROB],Table4[Projected 
Year],U1,Table4[Projected 
Month],U2)</f>
        <v>0</v>
      </c>
      <c r="X50" s="21">
        <f>SUMIFS(Table4[Rev. Based on PROB],Table4[Projected 
Year],X1,Table4[Projected 
Month],X2)</f>
        <v>0</v>
      </c>
      <c r="AA50" s="21">
        <f>SUMIFS(Table4[Rev. Based on PROB],Table4[Projected 
Year],AA1,Table4[Projected 
Month],AA2)</f>
        <v>0</v>
      </c>
      <c r="AD50" s="21">
        <f>SUMIFS(Table4[Rev. Based on PROB],Table4[Projected 
Year],AD1,Table4[Projected 
Month],AD2)</f>
        <v>0</v>
      </c>
      <c r="AG50" s="21">
        <f>SUMIFS(Table4[Rev. Based on PROB],Table4[Projected 
Year],AG1,Table4[Projected 
Month],AG2)</f>
        <v>0</v>
      </c>
      <c r="AJ50" s="21">
        <f>SUMIFS(Table4[Rev. Based on PROB],Table4[Projected 
Year],AJ1,Table4[Projected 
Month],AJ2)</f>
        <v>140951.66999999998</v>
      </c>
      <c r="AM50" s="21">
        <f>SUMIFS(Table4[Rev. Based on PROB],Table4[Projected 
Year],AM1)</f>
        <v>140951.66999999998</v>
      </c>
      <c r="AP50" s="21">
        <f>SUMIFS(Table47[Rev. Based on PROB],Table47[Projected 
Year],AP1,Table47[Monthly revenue],AP2)</f>
        <v>488841</v>
      </c>
      <c r="AS50" s="21">
        <f>SUMIFS(Table47[Rev. Based on PROB],Table47[Projected 
Year],AS1,Table47[Monthly revenue],AS2)</f>
        <v>313938</v>
      </c>
      <c r="AV50" s="21">
        <f>SUMIFS(Table47[Rev. Based on PROB],Table47[Projected 
Year],AV1,Table47[Monthly revenue],AV2)</f>
        <v>649424</v>
      </c>
      <c r="AY50" s="21">
        <f>SUMIFS(Table47[Rev. Based on PROB],Table47[Projected 
Year],AY1,Table47[Monthly revenue],AY2)</f>
        <v>632548.25</v>
      </c>
      <c r="BB50" s="21">
        <f>SUMIFS(Table47[Rev. Based on PROB],Table47[Projected 
Year],BB1,Table47[Monthly revenue],BB2)</f>
        <v>433010</v>
      </c>
      <c r="BE50" s="21">
        <f>SUMIFS(Table47[Rev. Based on PROB],Table47[Projected 
Year],BE1,Table47[Monthly revenue],BE2)</f>
        <v>552431.5</v>
      </c>
      <c r="BH50" s="21">
        <f>SUMIFS(Table47[Rev. Based on PROB],Table47[Projected 
Year],BH1,Table47[Monthly revenue],BH2)</f>
        <v>543893</v>
      </c>
      <c r="BK50" s="21" t="e">
        <f>SUMIFS(Table47[Rev. Based on PROB],Table47[Projected 
Year],BK1,Table47[Monthly revenue],BK2)</f>
        <v>#REF!</v>
      </c>
      <c r="BN50" s="21">
        <f>SUMIFS(Table47[Rev. Based on PROB],Table47[Projected 
Year],BN1,Table47[Monthly revenue],BN2)</f>
        <v>498256</v>
      </c>
      <c r="BQ50" s="21">
        <f>SUMIFS(Table47[Rev. Based on PROB],Table47[Projected 
Year],BQ1,Table47[Monthly revenue],BQ2)</f>
        <v>635210</v>
      </c>
      <c r="BT50" s="21">
        <f>SUMIFS(Table47[Rev. Based on PROB],Table47[Projected 
Year],BT1,Table47[Monthly revenue],BT2)</f>
        <v>526535.45000000007</v>
      </c>
      <c r="BW50" s="21">
        <f>SUMIFS(Table47[Rev. Based on PROB],Table47[Projected 
Year],BW1,Table47[Monthly revenue],BW2)</f>
        <v>507070.5</v>
      </c>
      <c r="CU50" s="21" t="e">
        <f>SUMIFS(Table47[Rev. Based on PROB],Table47[Projected 
Year],CU1)</f>
        <v>#REF!</v>
      </c>
    </row>
    <row r="51" spans="2:99">
      <c r="B51" t="s">
        <v>332</v>
      </c>
      <c r="C51" s="19">
        <f>C48-C50</f>
        <v>0</v>
      </c>
      <c r="F51" s="19">
        <f>F48-F50</f>
        <v>0</v>
      </c>
      <c r="I51" s="19">
        <f>I48-I50</f>
        <v>0</v>
      </c>
      <c r="L51" s="19">
        <f>L48-L50</f>
        <v>0</v>
      </c>
      <c r="O51" s="19">
        <f>O48-O50</f>
        <v>0</v>
      </c>
      <c r="R51" s="19">
        <f>R48-R50</f>
        <v>0</v>
      </c>
      <c r="U51" s="19">
        <f>U48-U50</f>
        <v>0</v>
      </c>
      <c r="X51" s="19">
        <f>X48-X50</f>
        <v>0</v>
      </c>
      <c r="AA51" s="19">
        <f>AA48-AA50</f>
        <v>0</v>
      </c>
      <c r="AD51" s="19">
        <f>AD48-AD50</f>
        <v>0</v>
      </c>
      <c r="AG51" s="19">
        <f>AG48-AG50</f>
        <v>0</v>
      </c>
      <c r="AJ51" s="19">
        <f>AJ48-AJ50</f>
        <v>0</v>
      </c>
      <c r="AM51" s="19">
        <f>AM48-AM50</f>
        <v>0</v>
      </c>
      <c r="AP51" s="19">
        <f>AP48-AP50</f>
        <v>0</v>
      </c>
      <c r="AS51" s="19">
        <f>AS48-AS50</f>
        <v>0</v>
      </c>
      <c r="AV51" s="19">
        <f>AV48-AV50</f>
        <v>0</v>
      </c>
      <c r="AY51" s="19">
        <f>AY48-AY50</f>
        <v>0</v>
      </c>
      <c r="BB51" s="19">
        <f>BB48-BB50</f>
        <v>-32000</v>
      </c>
      <c r="BE51" s="19">
        <f>BE48-BE50</f>
        <v>-174000</v>
      </c>
      <c r="BH51" s="19">
        <f>BH48-BH50</f>
        <v>0</v>
      </c>
      <c r="BK51" s="19" t="e">
        <f>BK48-BK50</f>
        <v>#REF!</v>
      </c>
      <c r="BN51" s="19">
        <f>BN48-BN50</f>
        <v>-86600</v>
      </c>
      <c r="BQ51" s="19">
        <f>BQ48-BQ50</f>
        <v>-180000</v>
      </c>
      <c r="BT51" s="19">
        <f>BT48-BT50</f>
        <v>-44829.70000000007</v>
      </c>
      <c r="BW51" s="19">
        <f>BW48-BW50</f>
        <v>-120000</v>
      </c>
      <c r="CU51" s="19" t="e">
        <f>CU48-CU50</f>
        <v>#REF!</v>
      </c>
    </row>
  </sheetData>
  <pageMargins left="0.7" right="0.7" top="0.75" bottom="0.75" header="0.3" footer="0.3"/>
  <pageSetup orientation="portrait" horizontalDpi="4294967293" verticalDpi="4294967293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F8C80448-DFEE-4531-AA14-DB75512DC169}">
          <x14:formula1>
            <xm:f>Validation!$L$3:$L$39</xm:f>
          </x14:formula1>
          <xm:sqref>B30:B37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9718-A812-4A21-9988-02C0106D42BC}">
  <dimension ref="A1:CB28"/>
  <sheetViews>
    <sheetView zoomScale="85" zoomScaleNormal="85" workbookViewId="0">
      <pane xSplit="2" ySplit="3" topLeftCell="BB4" activePane="bottomRight" state="frozen"/>
      <selection pane="bottomRight" activeCell="B4" sqref="B4:B19"/>
      <selection pane="bottomLeft" activeCell="A4" sqref="A4"/>
      <selection pane="topRight" activeCell="C1" sqref="C1"/>
    </sheetView>
  </sheetViews>
  <sheetFormatPr defaultColWidth="8.85546875" defaultRowHeight="14.45"/>
  <cols>
    <col min="1" max="1" width="14.85546875" style="64" hidden="1" customWidth="1"/>
    <col min="2" max="2" width="24.42578125" style="64" bestFit="1" customWidth="1"/>
    <col min="3" max="4" width="11" style="64" hidden="1" customWidth="1"/>
    <col min="5" max="5" width="13.85546875" style="64" hidden="1" customWidth="1"/>
    <col min="6" max="31" width="11" style="64" hidden="1" customWidth="1"/>
    <col min="32" max="32" width="11.5703125" style="64" hidden="1" customWidth="1"/>
    <col min="33" max="41" width="11" style="64" hidden="1" customWidth="1"/>
    <col min="42" max="42" width="11" style="64" customWidth="1"/>
    <col min="43" max="43" width="12.140625" style="64" customWidth="1"/>
    <col min="44" max="44" width="12" style="64" customWidth="1"/>
    <col min="45" max="53" width="11" style="64" customWidth="1"/>
    <col min="54" max="54" width="12.140625" style="64" customWidth="1"/>
    <col min="55" max="55" width="12" style="64" customWidth="1"/>
    <col min="56" max="80" width="11" style="64" customWidth="1"/>
    <col min="81" max="16384" width="8.85546875" style="64"/>
  </cols>
  <sheetData>
    <row r="1" spans="1:80">
      <c r="A1" s="982" t="s">
        <v>482</v>
      </c>
      <c r="B1" s="980"/>
      <c r="C1" s="983">
        <v>2018</v>
      </c>
      <c r="D1" s="984"/>
      <c r="E1" s="985"/>
      <c r="F1" s="983">
        <v>2018</v>
      </c>
      <c r="G1" s="984"/>
      <c r="H1" s="985"/>
      <c r="I1" s="983">
        <v>2018</v>
      </c>
      <c r="J1" s="984"/>
      <c r="K1" s="985"/>
      <c r="L1" s="983">
        <v>2018</v>
      </c>
      <c r="M1" s="984"/>
      <c r="N1" s="985"/>
      <c r="O1" s="983">
        <v>2018</v>
      </c>
      <c r="P1" s="984"/>
      <c r="Q1" s="985"/>
      <c r="R1" s="983">
        <v>2018</v>
      </c>
      <c r="S1" s="984"/>
      <c r="T1" s="985"/>
      <c r="U1" s="983">
        <v>2018</v>
      </c>
      <c r="V1" s="984"/>
      <c r="W1" s="985"/>
      <c r="X1" s="983">
        <v>2018</v>
      </c>
      <c r="Y1" s="984"/>
      <c r="Z1" s="985"/>
      <c r="AA1" s="983">
        <v>2018</v>
      </c>
      <c r="AB1" s="984"/>
      <c r="AC1" s="985"/>
      <c r="AD1" s="983">
        <v>2018</v>
      </c>
      <c r="AE1" s="984"/>
      <c r="AF1" s="985"/>
      <c r="AG1" s="983">
        <v>2018</v>
      </c>
      <c r="AH1" s="984"/>
      <c r="AI1" s="985"/>
      <c r="AJ1" s="983">
        <v>2018</v>
      </c>
      <c r="AK1" s="984"/>
      <c r="AL1" s="985"/>
      <c r="AM1" s="983">
        <v>2018</v>
      </c>
      <c r="AN1" s="984"/>
      <c r="AO1" s="985"/>
      <c r="AP1" s="983">
        <v>2019</v>
      </c>
      <c r="AQ1" s="984"/>
      <c r="AR1" s="985"/>
      <c r="AS1" s="983">
        <v>2019</v>
      </c>
      <c r="AT1" s="984"/>
      <c r="AU1" s="985"/>
      <c r="AV1" s="983">
        <v>2019</v>
      </c>
      <c r="AW1" s="984"/>
      <c r="AX1" s="985"/>
      <c r="AY1" s="983">
        <v>2019</v>
      </c>
      <c r="AZ1" s="984"/>
      <c r="BA1" s="985"/>
      <c r="BB1" s="983">
        <v>2019</v>
      </c>
      <c r="BC1" s="984"/>
      <c r="BD1" s="985"/>
      <c r="BE1" s="983">
        <v>2019</v>
      </c>
      <c r="BF1" s="984"/>
      <c r="BG1" s="985"/>
      <c r="BH1" s="983">
        <v>2019</v>
      </c>
      <c r="BI1" s="984"/>
      <c r="BJ1" s="985"/>
      <c r="BK1" s="983">
        <v>2019</v>
      </c>
      <c r="BL1" s="984"/>
      <c r="BM1" s="985"/>
      <c r="BN1" s="983">
        <v>2019</v>
      </c>
      <c r="BO1" s="984"/>
      <c r="BP1" s="985"/>
      <c r="BQ1" s="983">
        <v>2019</v>
      </c>
      <c r="BR1" s="984"/>
      <c r="BS1" s="985"/>
      <c r="BT1" s="983">
        <v>2019</v>
      </c>
      <c r="BU1" s="984"/>
      <c r="BV1" s="985"/>
      <c r="BW1" s="983">
        <v>2019</v>
      </c>
      <c r="BX1" s="984"/>
      <c r="BY1" s="985"/>
      <c r="BZ1" s="983">
        <v>2019</v>
      </c>
      <c r="CA1" s="984"/>
      <c r="CB1" s="985"/>
    </row>
    <row r="2" spans="1:80">
      <c r="A2" s="982" t="s">
        <v>483</v>
      </c>
      <c r="B2" s="980"/>
      <c r="C2" s="983" t="s">
        <v>93</v>
      </c>
      <c r="D2" s="984"/>
      <c r="E2" s="985"/>
      <c r="F2" s="983" t="s">
        <v>80</v>
      </c>
      <c r="G2" s="984"/>
      <c r="H2" s="985"/>
      <c r="I2" s="983" t="s">
        <v>230</v>
      </c>
      <c r="J2" s="984"/>
      <c r="K2" s="985"/>
      <c r="L2" s="983" t="s">
        <v>139</v>
      </c>
      <c r="M2" s="984"/>
      <c r="N2" s="985"/>
      <c r="O2" s="983" t="s">
        <v>89</v>
      </c>
      <c r="P2" s="984"/>
      <c r="Q2" s="985"/>
      <c r="R2" s="983" t="s">
        <v>222</v>
      </c>
      <c r="S2" s="984"/>
      <c r="T2" s="985"/>
      <c r="U2" s="983" t="s">
        <v>219</v>
      </c>
      <c r="V2" s="984"/>
      <c r="W2" s="985"/>
      <c r="X2" s="983" t="s">
        <v>84</v>
      </c>
      <c r="Y2" s="984"/>
      <c r="Z2" s="985"/>
      <c r="AA2" s="983" t="s">
        <v>229</v>
      </c>
      <c r="AB2" s="984"/>
      <c r="AC2" s="985"/>
      <c r="AD2" s="983" t="s">
        <v>102</v>
      </c>
      <c r="AE2" s="984"/>
      <c r="AF2" s="985"/>
      <c r="AG2" s="983" t="s">
        <v>231</v>
      </c>
      <c r="AH2" s="984"/>
      <c r="AI2" s="985"/>
      <c r="AJ2" s="983" t="s">
        <v>68</v>
      </c>
      <c r="AK2" s="984"/>
      <c r="AL2" s="985"/>
      <c r="AM2" s="40" t="s">
        <v>301</v>
      </c>
      <c r="AN2" s="41"/>
      <c r="AO2" s="42"/>
      <c r="AP2" s="983" t="s">
        <v>93</v>
      </c>
      <c r="AQ2" s="984"/>
      <c r="AR2" s="985"/>
      <c r="AS2" s="983" t="s">
        <v>80</v>
      </c>
      <c r="AT2" s="984"/>
      <c r="AU2" s="985"/>
      <c r="AV2" s="983" t="s">
        <v>230</v>
      </c>
      <c r="AW2" s="984"/>
      <c r="AX2" s="985"/>
      <c r="AY2" s="983" t="s">
        <v>139</v>
      </c>
      <c r="AZ2" s="984"/>
      <c r="BA2" s="985"/>
      <c r="BB2" s="983" t="s">
        <v>89</v>
      </c>
      <c r="BC2" s="984"/>
      <c r="BD2" s="985"/>
      <c r="BE2" s="983" t="s">
        <v>222</v>
      </c>
      <c r="BF2" s="984"/>
      <c r="BG2" s="985"/>
      <c r="BH2" s="983" t="s">
        <v>219</v>
      </c>
      <c r="BI2" s="984"/>
      <c r="BJ2" s="985"/>
      <c r="BK2" s="983" t="s">
        <v>84</v>
      </c>
      <c r="BL2" s="984"/>
      <c r="BM2" s="985"/>
      <c r="BN2" s="983" t="s">
        <v>229</v>
      </c>
      <c r="BO2" s="984"/>
      <c r="BP2" s="985"/>
      <c r="BQ2" s="983" t="s">
        <v>102</v>
      </c>
      <c r="BR2" s="984"/>
      <c r="BS2" s="985"/>
      <c r="BT2" s="983" t="s">
        <v>231</v>
      </c>
      <c r="BU2" s="984"/>
      <c r="BV2" s="985"/>
      <c r="BW2" s="983" t="s">
        <v>68</v>
      </c>
      <c r="BX2" s="984"/>
      <c r="BY2" s="985"/>
      <c r="BZ2" s="40" t="s">
        <v>301</v>
      </c>
      <c r="CA2" s="41"/>
      <c r="CB2" s="42"/>
    </row>
    <row r="3" spans="1:80" s="65" customFormat="1" ht="28.9">
      <c r="A3" s="986"/>
      <c r="B3" s="987"/>
      <c r="C3" s="988" t="s">
        <v>28</v>
      </c>
      <c r="D3" s="989" t="s">
        <v>305</v>
      </c>
      <c r="E3" s="990" t="s">
        <v>306</v>
      </c>
      <c r="F3" s="988" t="s">
        <v>28</v>
      </c>
      <c r="G3" s="989" t="s">
        <v>26</v>
      </c>
      <c r="H3" s="990" t="s">
        <v>490</v>
      </c>
      <c r="I3" s="988" t="s">
        <v>28</v>
      </c>
      <c r="J3" s="989" t="s">
        <v>26</v>
      </c>
      <c r="K3" s="990" t="s">
        <v>490</v>
      </c>
      <c r="L3" s="988" t="s">
        <v>28</v>
      </c>
      <c r="M3" s="989" t="s">
        <v>26</v>
      </c>
      <c r="N3" s="990" t="s">
        <v>490</v>
      </c>
      <c r="O3" s="988" t="s">
        <v>28</v>
      </c>
      <c r="P3" s="989" t="s">
        <v>26</v>
      </c>
      <c r="Q3" s="990" t="s">
        <v>490</v>
      </c>
      <c r="R3" s="988" t="s">
        <v>28</v>
      </c>
      <c r="S3" s="989" t="s">
        <v>26</v>
      </c>
      <c r="T3" s="990" t="s">
        <v>490</v>
      </c>
      <c r="U3" s="988" t="s">
        <v>28</v>
      </c>
      <c r="V3" s="989" t="s">
        <v>26</v>
      </c>
      <c r="W3" s="990" t="s">
        <v>490</v>
      </c>
      <c r="X3" s="988" t="s">
        <v>28</v>
      </c>
      <c r="Y3" s="989" t="s">
        <v>26</v>
      </c>
      <c r="Z3" s="990" t="s">
        <v>490</v>
      </c>
      <c r="AA3" s="988" t="s">
        <v>28</v>
      </c>
      <c r="AB3" s="989" t="s">
        <v>26</v>
      </c>
      <c r="AC3" s="990" t="s">
        <v>490</v>
      </c>
      <c r="AD3" s="988" t="s">
        <v>28</v>
      </c>
      <c r="AE3" s="989" t="s">
        <v>26</v>
      </c>
      <c r="AF3" s="990" t="s">
        <v>490</v>
      </c>
      <c r="AG3" s="988" t="s">
        <v>28</v>
      </c>
      <c r="AH3" s="989" t="s">
        <v>26</v>
      </c>
      <c r="AI3" s="990" t="s">
        <v>490</v>
      </c>
      <c r="AJ3" s="988" t="s">
        <v>28</v>
      </c>
      <c r="AK3" s="989" t="s">
        <v>26</v>
      </c>
      <c r="AL3" s="990" t="s">
        <v>490</v>
      </c>
      <c r="AM3" s="37" t="s">
        <v>28</v>
      </c>
      <c r="AN3" s="38" t="s">
        <v>26</v>
      </c>
      <c r="AO3" s="39" t="s">
        <v>490</v>
      </c>
      <c r="AP3" s="988" t="s">
        <v>28</v>
      </c>
      <c r="AQ3" s="989" t="s">
        <v>305</v>
      </c>
      <c r="AR3" s="990" t="s">
        <v>306</v>
      </c>
      <c r="AS3" s="988" t="s">
        <v>28</v>
      </c>
      <c r="AT3" s="989" t="s">
        <v>26</v>
      </c>
      <c r="AU3" s="990" t="s">
        <v>490</v>
      </c>
      <c r="AV3" s="988" t="s">
        <v>28</v>
      </c>
      <c r="AW3" s="989" t="s">
        <v>26</v>
      </c>
      <c r="AX3" s="990" t="s">
        <v>490</v>
      </c>
      <c r="AY3" s="988" t="s">
        <v>28</v>
      </c>
      <c r="AZ3" s="989" t="s">
        <v>26</v>
      </c>
      <c r="BA3" s="990" t="s">
        <v>490</v>
      </c>
      <c r="BB3" s="988" t="s">
        <v>28</v>
      </c>
      <c r="BC3" s="989" t="s">
        <v>26</v>
      </c>
      <c r="BD3" s="990" t="s">
        <v>490</v>
      </c>
      <c r="BE3" s="988" t="s">
        <v>28</v>
      </c>
      <c r="BF3" s="989" t="s">
        <v>26</v>
      </c>
      <c r="BG3" s="990" t="s">
        <v>490</v>
      </c>
      <c r="BH3" s="988" t="s">
        <v>28</v>
      </c>
      <c r="BI3" s="989" t="s">
        <v>26</v>
      </c>
      <c r="BJ3" s="990" t="s">
        <v>490</v>
      </c>
      <c r="BK3" s="988" t="s">
        <v>28</v>
      </c>
      <c r="BL3" s="989" t="s">
        <v>26</v>
      </c>
      <c r="BM3" s="990" t="s">
        <v>490</v>
      </c>
      <c r="BN3" s="988" t="s">
        <v>28</v>
      </c>
      <c r="BO3" s="989" t="s">
        <v>26</v>
      </c>
      <c r="BP3" s="990" t="s">
        <v>490</v>
      </c>
      <c r="BQ3" s="988" t="s">
        <v>28</v>
      </c>
      <c r="BR3" s="989" t="s">
        <v>26</v>
      </c>
      <c r="BS3" s="990" t="s">
        <v>490</v>
      </c>
      <c r="BT3" s="988" t="s">
        <v>28</v>
      </c>
      <c r="BU3" s="989" t="s">
        <v>26</v>
      </c>
      <c r="BV3" s="990" t="s">
        <v>490</v>
      </c>
      <c r="BW3" s="988" t="s">
        <v>28</v>
      </c>
      <c r="BX3" s="989" t="s">
        <v>26</v>
      </c>
      <c r="BY3" s="990" t="s">
        <v>490</v>
      </c>
      <c r="BZ3" s="37" t="s">
        <v>28</v>
      </c>
      <c r="CA3" s="38" t="s">
        <v>26</v>
      </c>
      <c r="CB3" s="39" t="s">
        <v>490</v>
      </c>
    </row>
    <row r="4" spans="1:80">
      <c r="A4" s="991" t="s">
        <v>491</v>
      </c>
      <c r="B4" s="980" t="s">
        <v>88</v>
      </c>
      <c r="C4" s="94">
        <f>ROUND(SUMIFS(Table4[Rev. Based on PROB],Table4[Service],$B4,Table4[Projected 
Year],C$1,Table4[Projected 
Month],C$2),-3)/1000</f>
        <v>0</v>
      </c>
      <c r="D4" s="163">
        <f>SUMPRODUCT(Table4[Probability]*Table4[Rev. Based on PROB]*(Table4[Service]=$B4)*(Table4[Projected 
Year]=C$1)*(Table4[Projected 
Month]=C$2))/MAX(1,SUMPRODUCT(Table4[Rev. Based on PROB]*(Table4[Service]=$B4)*(Table4[Projected 
Year]=C$1)*(Table4[Projected 
Month]=C$2)))</f>
        <v>0</v>
      </c>
      <c r="E4" s="164">
        <f>SUMPRODUCT(Table4[Rev. Based on PROB]*Table4[Expected CMR]*(Table4[Projected 
Year]=C$1)*(Table4[Projected 
Month]=C$2)*(Table4[Service]=$B4))/MAX(1,C4*1000)</f>
        <v>0</v>
      </c>
      <c r="F4" s="94">
        <f>ROUND(SUMIFS(Table4[Rev. Based on PROB],Table4[Service],$B4,Table4[Projected 
Year],F$1,Table4[Projected 
Month],F$2),-3)/1000</f>
        <v>0</v>
      </c>
      <c r="G4" s="163">
        <f>SUMPRODUCT(Table4[Probability]*Table4[Rev. Based on PROB]*(Table4[Service]=$B4)*(Table4[Projected 
Year]=F$1)*(Table4[Projected 
Month]=F$2))/MAX(1,SUMPRODUCT(Table4[Rev. Based on PROB]*(Table4[Service]=$B4)*(Table4[Projected 
Year]=F$1)*(Table4[Projected 
Month]=F$2)))</f>
        <v>0</v>
      </c>
      <c r="H4" s="164">
        <f>SUMPRODUCT(Table4[Rev. Based on PROB]*Table4[Expected CMR]*(Table4[Projected 
Year]=F$1)*(Table4[Projected 
Month]=F$2)*(Table4[Service]=$B4))/MAX(1,F4*1000)</f>
        <v>0</v>
      </c>
      <c r="I4" s="94">
        <f>ROUND(SUMIFS(Table4[Rev. Based on PROB],Table4[Service],$B4,Table4[Projected 
Year],I$1,Table4[Projected 
Month],I$2),-3)/1000</f>
        <v>0</v>
      </c>
      <c r="J4" s="163">
        <f>SUMPRODUCT(Table4[Probability]*Table4[Rev. Based on PROB]*(Table4[Service]=$B4)*(Table4[Projected 
Year]=I$1)*(Table4[Projected 
Month]=I$2))/MAX(1,SUMPRODUCT(Table4[Rev. Based on PROB]*(Table4[Service]=$B4)*(Table4[Projected 
Year]=I$1)*(Table4[Projected 
Month]=I$2)))</f>
        <v>0</v>
      </c>
      <c r="K4" s="164">
        <f>SUMPRODUCT(Table4[Rev. Based on PROB]*Table4[Expected CMR]*(Table4[Projected 
Year]=I$1)*(Table4[Projected 
Month]=I$2)*(Table4[Service]=$B4))/MAX(1,I4*1000)</f>
        <v>0</v>
      </c>
      <c r="L4" s="94">
        <f>ROUND(SUMIFS(Table4[Rev. Based on PROB],Table4[Service],$B4,Table4[Projected 
Year],L$1,Table4[Projected 
Month],L$2),-3)/1000</f>
        <v>0</v>
      </c>
      <c r="M4" s="163">
        <f>SUMPRODUCT(Table4[Probability]*Table4[Rev. Based on PROB]*(Table4[Service]=$B4)*(Table4[Projected 
Year]=L$1)*(Table4[Projected 
Month]=L$2))/MAX(1,SUMPRODUCT(Table4[Rev. Based on PROB]*(Table4[Service]=$B4)*(Table4[Projected 
Year]=L$1)*(Table4[Projected 
Month]=L$2)))</f>
        <v>0</v>
      </c>
      <c r="N4" s="164">
        <f>SUMPRODUCT(Table4[Rev. Based on PROB]*Table4[Expected CMR]*(Table4[Projected 
Year]=L$1)*(Table4[Projected 
Month]=L$2)*(Table4[Service]=$B4))/MAX(1,L4*1000)</f>
        <v>0</v>
      </c>
      <c r="O4" s="94">
        <f>ROUND(SUMIFS(Table4[Rev. Based on PROB],Table4[Service],$B4,Table4[Projected 
Year],O$1,Table4[Projected 
Month],O$2),-3)/1000</f>
        <v>0</v>
      </c>
      <c r="P4" s="163">
        <f>SUMPRODUCT(Table4[Probability]*Table4[Rev. Based on PROB]*(Table4[Service]=$B4)*(Table4[Projected 
Year]=O$1)*(Table4[Projected 
Month]=O$2))/MAX(1,SUMPRODUCT(Table4[Rev. Based on PROB]*(Table4[Service]=$B4)*(Table4[Projected 
Year]=O$1)*(Table4[Projected 
Month]=O$2)))</f>
        <v>0</v>
      </c>
      <c r="Q4" s="164">
        <f>SUMPRODUCT(Table4[Rev. Based on PROB]*Table4[Expected CMR]*(Table4[Projected 
Year]=O$1)*(Table4[Projected 
Month]=O$2)*(Table4[Service]=$B4))/MAX(1,O4*1000)</f>
        <v>0</v>
      </c>
      <c r="R4" s="94">
        <f>ROUND(SUMIFS(Table4[Rev. Based on PROB],Table4[Service],$B4,Table4[Projected 
Year],R$1,Table4[Projected 
Month],R$2),-3)/1000</f>
        <v>0</v>
      </c>
      <c r="S4" s="163">
        <f>SUMPRODUCT(Table4[Probability]*Table4[Rev. Based on PROB]*(Table4[Service]=$B4)*(Table4[Projected 
Year]=R$1)*(Table4[Projected 
Month]=R$2))/MAX(1,SUMPRODUCT(Table4[Rev. Based on PROB]*(Table4[Service]=$B4)*(Table4[Projected 
Year]=R$1)*(Table4[Projected 
Month]=R$2)))</f>
        <v>0</v>
      </c>
      <c r="T4" s="164">
        <f>SUMPRODUCT(Table4[Rev. Based on PROB]*Table4[Expected CMR]*(Table4[Projected 
Year]=R$1)*(Table4[Projected 
Month]=R$2)*(Table4[Service]=$B4))/MAX(1,R4*1000)</f>
        <v>0</v>
      </c>
      <c r="U4" s="94">
        <f>ROUND(SUMIFS(Table4[Rev. Based on PROB],Table4[Service],$B4,Table4[Projected 
Year],U$1,Table4[Projected 
Month],U$2),-3)/1000</f>
        <v>0</v>
      </c>
      <c r="V4" s="163">
        <f>SUMPRODUCT(Table4[Probability]*Table4[Rev. Based on PROB]*(Table4[Service]=$B4)*(Table4[Projected 
Year]=U$1)*(Table4[Projected 
Month]=U$2))/MAX(1,SUMPRODUCT(Table4[Rev. Based on PROB]*(Table4[Service]=$B4)*(Table4[Projected 
Year]=U$1)*(Table4[Projected 
Month]=U$2)))</f>
        <v>0</v>
      </c>
      <c r="W4" s="164">
        <f>SUMPRODUCT(Table4[Rev. Based on PROB]*Table4[Expected CMR]*(Table4[Projected 
Year]=U$1)*(Table4[Projected 
Month]=U$2)*(Table4[Service]=$B4))/MAX(1,U4*1000)</f>
        <v>0</v>
      </c>
      <c r="X4" s="94">
        <f>ROUND(SUMIFS(Table4[Rev. Based on PROB],Table4[Service],$B4,Table4[Projected 
Year],X$1,Table4[Projected 
Month],X$2),-3)/1000</f>
        <v>0</v>
      </c>
      <c r="Y4" s="163">
        <f>SUMPRODUCT(Table4[Probability]*Table4[Rev. Based on PROB]*(Table4[Service]=$B4)*(Table4[Projected 
Year]=X$1)*(Table4[Projected 
Month]=X$2))/MAX(1,SUMPRODUCT(Table4[Rev. Based on PROB]*(Table4[Service]=$B4)*(Table4[Projected 
Year]=X$1)*(Table4[Projected 
Month]=X$2)))</f>
        <v>0</v>
      </c>
      <c r="Z4" s="164">
        <f>SUMPRODUCT(Table4[Rev. Based on PROB]*Table4[Expected CMR]*(Table4[Projected 
Year]=X$1)*(Table4[Projected 
Month]=X$2)*(Table4[Service]=$B4))/MAX(1,X4*1000)</f>
        <v>0</v>
      </c>
      <c r="AA4" s="94">
        <f>ROUND(SUMIFS(Table4[Rev. Based on PROB],Table4[Service],$B4,Table4[Projected 
Year],AA$1,Table4[Projected 
Month],AA$2),-3)/1000</f>
        <v>0</v>
      </c>
      <c r="AB4" s="163">
        <f>SUMPRODUCT(Table4[Probability]*Table4[Rev. Based on PROB]*(Table4[Service]=$B4)*(Table4[Projected 
Year]=AA$1)*(Table4[Projected 
Month]=AA$2))/MAX(1,SUMPRODUCT(Table4[Rev. Based on PROB]*(Table4[Service]=$B4)*(Table4[Projected 
Year]=AA$1)*(Table4[Projected 
Month]=AA$2)))</f>
        <v>0</v>
      </c>
      <c r="AC4" s="164">
        <f>SUMPRODUCT(Table4[Rev. Based on PROB]*Table4[Expected CMR]*(Table4[Projected 
Year]=AA$1)*(Table4[Projected 
Month]=AA$2)*(Table4[Service]=$B4))/MAX(1,AA4*1000)</f>
        <v>0</v>
      </c>
      <c r="AD4" s="94">
        <f>ROUND(SUMIFS(Table4[Rev. Based on PROB],Table4[Service],$B4,Table4[Projected 
Year],AD$1,Table4[Projected 
Month],AD$2),-3)/1000</f>
        <v>0</v>
      </c>
      <c r="AE4" s="163">
        <f>SUMPRODUCT(Table4[Probability]*Table4[Rev. Based on PROB]*(Table4[Service]=$B4)*(Table4[Projected 
Year]=AD$1)*(Table4[Projected 
Month]=AD$2))/MAX(1,SUMPRODUCT(Table4[Rev. Based on PROB]*(Table4[Service]=$B4)*(Table4[Projected 
Year]=AD$1)*(Table4[Projected 
Month]=AD$2)))</f>
        <v>0</v>
      </c>
      <c r="AF4" s="164">
        <f>SUMPRODUCT(Table4[Rev. Based on PROB]*Table4[Expected CMR]*(Table4[Projected 
Year]=AD$1)*(Table4[Projected 
Month]=AD$2)*(Table4[Service]=$B4))/MAX(1,AD4*1000)</f>
        <v>0</v>
      </c>
      <c r="AG4" s="94">
        <f>ROUND(SUMIFS(Table4[Rev. Based on PROB],Table4[Service],$B4,Table4[Projected 
Year],AG$1,Table4[Projected 
Month],AG$2),-3)/1000</f>
        <v>0</v>
      </c>
      <c r="AH4" s="163">
        <f>SUMPRODUCT(Table4[Probability]*Table4[Rev. Based on PROB]*(Table4[Service]=$B4)*(Table4[Projected 
Year]=AG$1)*(Table4[Projected 
Month]=AG$2))/MAX(1,SUMPRODUCT(Table4[Rev. Based on PROB]*(Table4[Service]=$B4)*(Table4[Projected 
Year]=AG$1)*(Table4[Projected 
Month]=AG$2)))</f>
        <v>0</v>
      </c>
      <c r="AI4" s="164">
        <f>SUMPRODUCT(Table4[Rev. Based on PROB]*Table4[Expected CMR]*(Table4[Projected 
Year]=AG$1)*(Table4[Projected 
Month]=AG$2)*(Table4[Service]=$B4))/MAX(1,AG4*1000)</f>
        <v>0</v>
      </c>
      <c r="AJ4" s="94">
        <f>ROUND(SUMIFS(Table4[Rev. Based on PROB],Table4[Service],$B4,Table4[Projected 
Year],AJ$1,Table4[Projected 
Month],AJ$2),-3)/1000</f>
        <v>0</v>
      </c>
      <c r="AK4" s="163">
        <f>SUMPRODUCT(Table4[Probability]*Table4[Rev. Based on PROB]*(Table4[Service]=$B4)*(Table4[Projected 
Year]=AJ$1)*(Table4[Projected 
Month]=AJ$2))/MAX(1,SUMPRODUCT(Table4[Rev. Based on PROB]*(Table4[Service]=$B4)*(Table4[Projected 
Year]=AJ$1)*(Table4[Projected 
Month]=AJ$2)))</f>
        <v>0</v>
      </c>
      <c r="AL4" s="164">
        <f>SUMPRODUCT(Table4[Rev. Based on PROB]*Table4[Expected CMR]*(Table4[Projected 
Year]=AJ$1)*(Table4[Projected 
Month]=AJ$2)*(Table4[Service]=$B4))/MAX(1,AJ4*1000)</f>
        <v>0</v>
      </c>
      <c r="AM4" s="29">
        <f>SUM($C4,$F4,$I4,$L4,$O4,$R4,$U4,$X4,$AA4,$AD4,$AG4,$AJ4)</f>
        <v>0</v>
      </c>
      <c r="AN4" s="50">
        <f t="shared" ref="AN4:AN12" si="0">SUM($C4*$D4,$F4*$G4,$I4*$J4,$N4*$M4,$O4*$P4,$R4*$S4,$U4*$V4,$X4*$Y4,$AA4*$AB4,$AD4*$AE4,$AG4*$AH4,$AJ4*$AK4)/MAX(1,$AM4)</f>
        <v>0</v>
      </c>
      <c r="AO4" s="51">
        <f t="shared" ref="AO4:AO12" si="1">SUM($C4*$E4,$F4*$H4,$I4*$K4,$N4*$N4,$O4*$Q4,$R4*$T4,$U4*$W4,$X4*$Z4,$AA4*$AC4,$AD4*$AF4,$AG4*$AI4,$AJ4*$AL4)/MAX(1,$AM4)</f>
        <v>0</v>
      </c>
      <c r="AP4" s="94">
        <f>ROUND(SUMIFS(Table47[Rev. Based on PROB],Table47[Service],$B4,Table47[Projected 
Year],AP$1,Table47[Monthly revenue],AP$2),-3)/1000</f>
        <v>56</v>
      </c>
      <c r="AQ4" s="163" t="e">
        <f>SUMPRODUCT(Table47[Probability]*Table47[Rev. Based on PROB]*(Table47[Service]=$B4)*(Table47[Projected 
Year]=AP$1)*(Table47[Monthly revenue]=AP$2))/MAX(1,SUMPRODUCT(Table47[Rev. Based on PROB]*(Table47[Service]=$B4)*(Table47[Projected 
Year]=AP$1)*(Table47[Monthly revenue]=AP$2)))</f>
        <v>#REF!</v>
      </c>
      <c r="AR4" s="164" t="e">
        <f>SUMPRODUCT(Table47[Rev. Based on PROB]*Table47[Expected CMR]*(Table47[Projected 
Year]=AP$1)*(Table47[Monthly revenue]=AP$2)*(Table47[Service]=$B4))/MAX(1,AP4*1000)</f>
        <v>#REF!</v>
      </c>
      <c r="AS4" s="155">
        <f>ROUND(SUMIFS(Table47[Rev. Based on PROB],Table47[Service],$B4,Table47[Projected 
Year],AS$1,Table47[Monthly revenue],AS$2),-3)/1000</f>
        <v>0</v>
      </c>
      <c r="AT4" s="163" t="e">
        <f>SUMPRODUCT(Table47[Probability]*Table47[Rev. Based on PROB]*(Table47[Service]=$B4)*(Table47[Projected 
Year]=AS$1)*(Table47[Monthly revenue]=AS$2))/MAX(1,SUMPRODUCT(Table47[Rev. Based on PROB]*(Table47[Service]=$B4)*(Table47[Projected 
Year]=AS$1)*(Table47[Monthly revenue]=AS$2)))</f>
        <v>#REF!</v>
      </c>
      <c r="AU4" s="164" t="e">
        <f>SUMPRODUCT(Table47[Rev. Based on PROB]*Table47[Expected CMR]*(Table47[Projected 
Year]=AS$1)*(Table47[Monthly revenue]=AS$2)*(Table47[Service]=$B4))/MAX(1,AS4*1000)</f>
        <v>#REF!</v>
      </c>
      <c r="AV4" s="94">
        <f>ROUND(SUMIFS(Table47[Rev. Based on PROB],Table47[Service],$B4,Table47[Projected 
Year],AV$1,Table47[Monthly revenue],AV$2),-3)/1000</f>
        <v>28</v>
      </c>
      <c r="AW4" s="163" t="e">
        <f>SUMPRODUCT(Table47[Probability]*Table47[Rev. Based on PROB]*(Table47[Service]=$B4)*(Table47[Projected 
Year]=AV$1)*(Table47[Monthly revenue]=AV$2))/MAX(1,SUMPRODUCT(Table47[Rev. Based on PROB]*(Table47[Service]=$B4)*(Table47[Projected 
Year]=AV$1)*(Table47[Monthly revenue]=AV$2)))</f>
        <v>#REF!</v>
      </c>
      <c r="AX4" s="164" t="e">
        <f>SUMPRODUCT(Table47[Rev. Based on PROB]*Table47[Expected CMR]*(Table47[Projected 
Year]=AV$1)*(Table47[Monthly revenue]=AV$2)*(Table47[Service]=$B4))/MAX(1,AV4*1000)</f>
        <v>#REF!</v>
      </c>
      <c r="AY4" s="94">
        <f>ROUND(SUMIFS(Table47[Rev. Based on PROB],Table47[Service],$B4,Table47[Projected 
Year],AY$1,Table47[Monthly revenue],AY$2),-3)/1000</f>
        <v>28</v>
      </c>
      <c r="AZ4" s="163" t="e">
        <f>SUMPRODUCT(Table47[Probability]*Table47[Rev. Based on PROB]*(Table47[Service]=$B4)*(Table47[Projected 
Year]=AY$1)*(Table47[Monthly revenue]=AY$2))/MAX(1,SUMPRODUCT(Table47[Rev. Based on PROB]*(Table47[Service]=$B4)*(Table47[Projected 
Year]=AY$1)*(Table47[Monthly revenue]=AY$2)))</f>
        <v>#REF!</v>
      </c>
      <c r="BA4" s="164" t="e">
        <f>SUMPRODUCT(Table47[Rev. Based on PROB]*Table47[Expected CMR]*(Table47[Projected 
Year]=AY$1)*(Table47[Monthly revenue]=AY$2)*(Table47[Service]=$B4))/MAX(1,AY4*1000)</f>
        <v>#REF!</v>
      </c>
      <c r="BB4" s="94">
        <f>ROUND(SUMIFS(Table47[Rev. Based on PROB],Table47[Service],$B4,Table47[Projected 
Year],BB$1,Table47[Monthly revenue],BB$2),-3)/1000</f>
        <v>3</v>
      </c>
      <c r="BC4" s="163" t="e">
        <f>SUMPRODUCT(Table47[Probability]*Table47[Rev. Based on PROB]*(Table47[Service]=$B4)*(Table47[Projected 
Year]=BB$1)*(Table47[Monthly revenue]=BB$2))/MAX(1,SUMPRODUCT(Table47[Rev. Based on PROB]*(Table47[Service]=$B4)*(Table47[Projected 
Year]=BB$1)*(Table47[Monthly revenue]=BB$2)))</f>
        <v>#REF!</v>
      </c>
      <c r="BD4" s="164" t="e">
        <f>SUMPRODUCT(Table47[Rev. Based on PROB]*Table47[Expected CMR]*(Table47[Projected 
Year]=BB$1)*(Table47[Monthly revenue]=BB$2)*(Table47[Service]=$B4))/MAX(1,BB4*1000)</f>
        <v>#REF!</v>
      </c>
      <c r="BE4" s="94">
        <f>ROUND(SUMIFS(Table47[Rev. Based on PROB],Table47[Service],$B4,Table47[Projected 
Year],BE$1,Table47[Monthly revenue],BE$2),-3)/1000</f>
        <v>0</v>
      </c>
      <c r="BF4" s="163" t="e">
        <f>SUMPRODUCT(Table47[Probability]*Table47[Rev. Based on PROB]*(Table47[Service]=$B4)*(Table47[Projected 
Year]=BE$1)*(Table47[Monthly revenue]=BE$2))/MAX(1,SUMPRODUCT(Table47[Rev. Based on PROB]*(Table47[Service]=$B4)*(Table47[Projected 
Year]=BE$1)*(Table47[Monthly revenue]=BE$2)))</f>
        <v>#REF!</v>
      </c>
      <c r="BG4" s="164" t="e">
        <f>SUMPRODUCT(Table47[Rev. Based on PROB]*Table47[Expected CMR]*(Table47[Projected 
Year]=BE$1)*(Table47[Monthly revenue]=BE$2)*(Table47[Service]=$B4))/MAX(1,BE4*1000)</f>
        <v>#REF!</v>
      </c>
      <c r="BH4" s="94">
        <f>ROUND(SUMIFS(Table47[Rev. Based on PROB],Table47[Service],$B4,Table47[Projected 
Year],BH$1,Table47[Monthly revenue],BH$2),-3)/1000</f>
        <v>0</v>
      </c>
      <c r="BI4" s="163" t="e">
        <f>SUMPRODUCT(Table47[Probability]*Table47[Rev. Based on PROB]*(Table47[Service]=$B4)*(Table47[Projected 
Year]=BH$1)*(Table47[Monthly revenue]=BH$2))/MAX(1,SUMPRODUCT(Table47[Rev. Based on PROB]*(Table47[Service]=$B4)*(Table47[Projected 
Year]=BH$1)*(Table47[Monthly revenue]=BH$2)))</f>
        <v>#REF!</v>
      </c>
      <c r="BJ4" s="164" t="e">
        <f>SUMPRODUCT(Table47[Rev. Based on PROB]*Table47[Expected CMR]*(Table47[Projected 
Year]=BH$1)*(Table47[Monthly revenue]=BH$2)*(Table47[Service]=$B4))/MAX(1,BH4*1000)</f>
        <v>#REF!</v>
      </c>
      <c r="BK4" s="94">
        <f>ROUND(SUMIFS(Table47[Rev. Based on PROB],Table47[Service],$B4,Table47[Projected 
Year],BK$1,Table47[Monthly revenue],BK$2),-3)/1000</f>
        <v>0</v>
      </c>
      <c r="BL4" s="163" t="e">
        <f>SUMPRODUCT(Table47[Probability]*Table47[Rev. Based on PROB]*(Table47[Service]=$B4)*(Table47[Projected 
Year]=BK$1)*(Table47[Monthly revenue]=BK$2))/MAX(1,SUMPRODUCT(Table47[Rev. Based on PROB]*(Table47[Service]=$B4)*(Table47[Projected 
Year]=BK$1)*(Table47[Monthly revenue]=BK$2)))</f>
        <v>#REF!</v>
      </c>
      <c r="BM4" s="164" t="e">
        <f>SUMPRODUCT(Table47[Rev. Based on PROB]*Table47[Expected CMR]*(Table47[Projected 
Year]=BK$1)*(Table47[Monthly revenue]=BK$2)*(Table47[Service]=$B4))/MAX(1,BK4*1000)</f>
        <v>#REF!</v>
      </c>
      <c r="BN4" s="94">
        <f>ROUND(SUMIFS(Table47[Rev. Based on PROB],Table47[Service],$B4,Table47[Projected 
Year],BN$1,Table47[Monthly revenue],BN$2),-3)/1000</f>
        <v>0</v>
      </c>
      <c r="BO4" s="163" t="e">
        <f>SUMPRODUCT(Table47[Probability]*Table47[Rev. Based on PROB]*(Table47[Service]=$B4)*(Table47[Projected 
Year]=BN$1)*(Table47[Monthly revenue]=BN$2))/MAX(1,SUMPRODUCT(Table47[Rev. Based on PROB]*(Table47[Service]=$B4)*(Table47[Projected 
Year]=BN$1)*(Table47[Monthly revenue]=BN$2)))</f>
        <v>#REF!</v>
      </c>
      <c r="BP4" s="164" t="e">
        <f>SUMPRODUCT(Table47[Rev. Based on PROB]*Table47[Expected CMR]*(Table47[Projected 
Year]=BN$1)*(Table47[Monthly revenue]=BN$2)*(Table47[Service]=$B4))/MAX(1,BN4*1000)</f>
        <v>#REF!</v>
      </c>
      <c r="BQ4" s="94">
        <f>ROUND(SUMIFS(Table47[Rev. Based on PROB],Table47[Service],$B4,Table47[Projected 
Year],BQ$1,Table47[Monthly revenue],BQ$2),-3)/1000</f>
        <v>0</v>
      </c>
      <c r="BR4" s="163" t="e">
        <f>SUMPRODUCT(Table47[Probability]*Table47[Rev. Based on PROB]*(Table47[Service]=$B4)*(Table47[Projected 
Year]=BQ$1)*(Table47[Monthly revenue]=BQ$2))/MAX(1,SUMPRODUCT(Table47[Rev. Based on PROB]*(Table47[Service]=$B4)*(Table47[Projected 
Year]=BQ$1)*(Table47[Monthly revenue]=BQ$2)))</f>
        <v>#REF!</v>
      </c>
      <c r="BS4" s="164" t="e">
        <f>SUMPRODUCT(Table47[Rev. Based on PROB]*Table47[Expected CMR]*(Table47[Projected 
Year]=BQ$1)*(Table47[Monthly revenue]=BQ$2)*(Table47[Service]=$B4))/MAX(1,BQ4*1000)</f>
        <v>#REF!</v>
      </c>
      <c r="BT4" s="94">
        <f>ROUND(SUMIFS(Table47[Rev. Based on PROB],Table47[Service],$B4,Table47[Projected 
Year],BT$1,Table47[Monthly revenue],BT$2),-3)/1000</f>
        <v>31</v>
      </c>
      <c r="BU4" s="163" t="e">
        <f>SUMPRODUCT(Table47[Probability]*Table47[Rev. Based on PROB]*(Table47[Service]=$B4)*(Table47[Projected 
Year]=BT$1)*(Table47[Monthly revenue]=BT$2))/MAX(1,SUMPRODUCT(Table47[Rev. Based on PROB]*(Table47[Service]=$B4)*(Table47[Projected 
Year]=BT$1)*(Table47[Monthly revenue]=BT$2)))</f>
        <v>#REF!</v>
      </c>
      <c r="BV4" s="164" t="e">
        <f>SUMPRODUCT(Table47[Rev. Based on PROB]*Table47[Expected CMR]*(Table47[Projected 
Year]=BT$1)*(Table47[Monthly revenue]=BT$2)*(Table47[Service]=$B4))/MAX(1,BT4*1000)</f>
        <v>#REF!</v>
      </c>
      <c r="BW4" s="94">
        <f>ROUND(SUMIFS(Table47[Rev. Based on PROB],Table47[Service],$B4,Table47[Projected 
Year],BW$1,Table47[Monthly revenue],BW$2),-3)/1000</f>
        <v>56</v>
      </c>
      <c r="BX4" s="163" t="e">
        <f>SUMPRODUCT(Table47[Probability]*Table47[Rev. Based on PROB]*(Table47[Service]=$B4)*(Table47[Projected 
Year]=BW$1)*(Table47[Monthly revenue]=BW$2))/MAX(1,SUMPRODUCT(Table47[Rev. Based on PROB]*(Table47[Service]=$B4)*(Table47[Projected 
Year]=BW$1)*(Table47[Monthly revenue]=BW$2)))</f>
        <v>#REF!</v>
      </c>
      <c r="BY4" s="164" t="e">
        <f>SUMPRODUCT(Table47[Rev. Based on PROB]*Table47[Expected CMR]*(Table47[Projected 
Year]=BW$1)*(Table47[Monthly revenue]=BW$2)*(Table47[Service]=$B4))/MAX(1,BW4*1000)</f>
        <v>#REF!</v>
      </c>
      <c r="BZ4" s="94">
        <f>SUM(BW4,BT4,BQ4,BN4,BK4,BH4,BE4,BB4,AY4,AV4,AS4,AP4)</f>
        <v>202</v>
      </c>
      <c r="CA4" s="94">
        <f t="shared" ref="CA4:CA12" si="2">SUM($C4*$D4,$F4*$G4,$I4*$J4,$N4*$M4,$O4*$P4,$R4*$S4,$U4*$V4,$X4*$Y4,$AA4*$AB4,$AD4*$AE4,$AG4*$AH4,$AJ4*$AK4)/MAX(1,$AM4)</f>
        <v>0</v>
      </c>
      <c r="CB4" s="94">
        <f t="shared" ref="CB4:CB12" si="3">SUM($C4*$E4,$F4*$H4,$I4*$K4,$N4*$N4,$O4*$Q4,$R4*$T4,$U4*$W4,$X4*$Z4,$AA4*$AC4,$AD4*$AF4,$AG4*$AI4,$AJ4*$AL4)/MAX(1,$AM4)</f>
        <v>0</v>
      </c>
    </row>
    <row r="5" spans="1:80">
      <c r="A5" s="992" t="s">
        <v>123</v>
      </c>
      <c r="B5" s="980" t="s">
        <v>461</v>
      </c>
      <c r="C5" s="95"/>
      <c r="D5" s="980"/>
      <c r="E5" s="993"/>
      <c r="F5" s="95"/>
      <c r="G5" s="980"/>
      <c r="H5" s="993"/>
      <c r="I5" s="95"/>
      <c r="J5" s="980"/>
      <c r="K5" s="993"/>
      <c r="L5" s="95"/>
      <c r="M5" s="980"/>
      <c r="N5" s="993"/>
      <c r="O5" s="95"/>
      <c r="P5" s="980"/>
      <c r="Q5" s="993"/>
      <c r="R5" s="95">
        <f>ROUND(SUMIFS(Table4[Rev. Based on PROB],Table4[Service],$B5,Table4[Projected 
Year],R$1,Table4[Projected 
Month],R$2),-3)/1000</f>
        <v>0</v>
      </c>
      <c r="S5" s="165">
        <f>SUMPRODUCT(Table4[Probability]*Table4[Rev. Based on PROB]*(Table4[Service]=$B5)*(Table4[Projected 
Year]=R$1)*(Table4[Projected 
Month]=R$2))/MAX(1,SUMPRODUCT(Table4[Rev. Based on PROB]*(Table4[Service]=$B5)*(Table4[Projected 
Year]=R$1)*(Table4[Projected 
Month]=R$2)))</f>
        <v>0</v>
      </c>
      <c r="T5" s="166">
        <f>SUMPRODUCT(Table4[Rev. Based on PROB]*Table4[Expected CMR]*(Table4[Projected 
Year]=R$1)*(Table4[Projected 
Month]=R$2)*(Table4[Service]=$B5))/MAX(1,R5*1000)</f>
        <v>0</v>
      </c>
      <c r="U5" s="95">
        <f>ROUND(SUMIFS(Table4[Rev. Based on PROB],Table4[Service],$B5,Table4[Projected 
Year],U$1,Table4[Projected 
Month],U$2),-3)/1000</f>
        <v>0</v>
      </c>
      <c r="V5" s="165">
        <f>SUMPRODUCT(Table4[Probability]*Table4[Rev. Based on PROB]*(Table4[Service]=$B5)*(Table4[Projected 
Year]=U$1)*(Table4[Projected 
Month]=U$2))/MAX(1,SUMPRODUCT(Table4[Rev. Based on PROB]*(Table4[Service]=$B5)*(Table4[Projected 
Year]=U$1)*(Table4[Projected 
Month]=U$2)))</f>
        <v>0</v>
      </c>
      <c r="W5" s="166">
        <f>SUMPRODUCT(Table4[Rev. Based on PROB]*Table4[Expected CMR]*(Table4[Projected 
Year]=U$1)*(Table4[Projected 
Month]=U$2)*(Table4[Service]=$B5))/MAX(1,U5*1000)</f>
        <v>0</v>
      </c>
      <c r="X5" s="95">
        <f>ROUND(SUMIFS(Table4[Rev. Based on PROB],Table4[Service],$B5,Table4[Projected 
Year],X$1,Table4[Projected 
Month],X$2),-3)/1000</f>
        <v>0</v>
      </c>
      <c r="Y5" s="165">
        <f>SUMPRODUCT(Table4[Probability]*Table4[Rev. Based on PROB]*(Table4[Service]=$B5)*(Table4[Projected 
Year]=X$1)*(Table4[Projected 
Month]=X$2))/MAX(1,SUMPRODUCT(Table4[Rev. Based on PROB]*(Table4[Service]=$B5)*(Table4[Projected 
Year]=X$1)*(Table4[Projected 
Month]=X$2)))</f>
        <v>0</v>
      </c>
      <c r="Z5" s="166">
        <f>SUMPRODUCT(Table4[Rev. Based on PROB]*Table4[Expected CMR]*(Table4[Projected 
Year]=X$1)*(Table4[Projected 
Month]=X$2)*(Table4[Service]=$B5))/MAX(1,X5*1000)</f>
        <v>0</v>
      </c>
      <c r="AA5" s="95">
        <f>ROUND(SUMIFS(Table4[Rev. Based on PROB],Table4[Service],$B5,Table4[Projected 
Year],AA$1,Table4[Projected 
Month],AA$2),-3)/1000</f>
        <v>0</v>
      </c>
      <c r="AB5" s="165">
        <f>SUMPRODUCT(Table4[Probability]*Table4[Rev. Based on PROB]*(Table4[Service]=$B5)*(Table4[Projected 
Year]=AA$1)*(Table4[Projected 
Month]=AA$2))/MAX(1,SUMPRODUCT(Table4[Rev. Based on PROB]*(Table4[Service]=$B5)*(Table4[Projected 
Year]=AA$1)*(Table4[Projected 
Month]=AA$2)))</f>
        <v>0</v>
      </c>
      <c r="AC5" s="166">
        <f>SUMPRODUCT(Table4[Rev. Based on PROB]*Table4[Expected CMR]*(Table4[Projected 
Year]=AA$1)*(Table4[Projected 
Month]=AA$2)*(Table4[Service]=$B5))/MAX(1,AA5*1000)</f>
        <v>0</v>
      </c>
      <c r="AD5" s="95">
        <f>ROUND(SUMIFS(Table4[Rev. Based on PROB],Table4[Service],$B5,Table4[Projected 
Year],AD$1,Table4[Projected 
Month],AD$2),-3)/1000</f>
        <v>0</v>
      </c>
      <c r="AE5" s="165">
        <f>SUMPRODUCT(Table4[Probability]*Table4[Rev. Based on PROB]*(Table4[Service]=$B5)*(Table4[Projected 
Year]=AD$1)*(Table4[Projected 
Month]=AD$2))/MAX(1,SUMPRODUCT(Table4[Rev. Based on PROB]*(Table4[Service]=$B5)*(Table4[Projected 
Year]=AD$1)*(Table4[Projected 
Month]=AD$2)))</f>
        <v>0</v>
      </c>
      <c r="AF5" s="166">
        <f>SUMPRODUCT(Table4[Rev. Based on PROB]*Table4[Expected CMR]*(Table4[Projected 
Year]=AD$1)*(Table4[Projected 
Month]=AD$2)*(Table4[Service]=$B5))/MAX(1,AD5*1000)</f>
        <v>0</v>
      </c>
      <c r="AG5" s="95">
        <f>ROUND(SUMIFS(Table4[Rev. Based on PROB],Table4[Service],$B5,Table4[Projected 
Year],AG$1,Table4[Projected 
Month],AG$2),-3)/1000</f>
        <v>0</v>
      </c>
      <c r="AH5" s="165">
        <f>SUMPRODUCT(Table4[Probability]*Table4[Rev. Based on PROB]*(Table4[Service]=$B5)*(Table4[Projected 
Year]=AG$1)*(Table4[Projected 
Month]=AG$2))/MAX(1,SUMPRODUCT(Table4[Rev. Based on PROB]*(Table4[Service]=$B5)*(Table4[Projected 
Year]=AG$1)*(Table4[Projected 
Month]=AG$2)))</f>
        <v>0</v>
      </c>
      <c r="AI5" s="166">
        <f>SUMPRODUCT(Table4[Rev. Based on PROB]*Table4[Expected CMR]*(Table4[Projected 
Year]=AG$1)*(Table4[Projected 
Month]=AG$2)*(Table4[Service]=$B5))/MAX(1,AG5*1000)</f>
        <v>0</v>
      </c>
      <c r="AJ5" s="95">
        <f>ROUND(SUMIFS(Table4[Rev. Based on PROB],Table4[Service],$B5,Table4[Projected 
Year],AJ$1,Table4[Projected 
Month],AJ$2),-3)/1000</f>
        <v>0</v>
      </c>
      <c r="AK5" s="165">
        <f>SUMPRODUCT(Table4[Probability]*Table4[Rev. Based on PROB]*(Table4[Service]=$B5)*(Table4[Projected 
Year]=AJ$1)*(Table4[Projected 
Month]=AJ$2))/MAX(1,SUMPRODUCT(Table4[Rev. Based on PROB]*(Table4[Service]=$B5)*(Table4[Projected 
Year]=AJ$1)*(Table4[Projected 
Month]=AJ$2)))</f>
        <v>0</v>
      </c>
      <c r="AL5" s="166">
        <f>SUMPRODUCT(Table4[Rev. Based on PROB]*Table4[Expected CMR]*(Table4[Projected 
Year]=AJ$1)*(Table4[Projected 
Month]=AJ$2)*(Table4[Service]=$B5))/MAX(1,AJ5*1000)</f>
        <v>0</v>
      </c>
      <c r="AM5" s="30">
        <f>SUM($C5,$F5,$I5,$L5,$O5,$R5,$U5,$X5,$AA5,$AD5,$AG5,$AJ5)</f>
        <v>0</v>
      </c>
      <c r="AN5" s="52">
        <f t="shared" si="0"/>
        <v>0</v>
      </c>
      <c r="AO5" s="53">
        <f t="shared" si="1"/>
        <v>0</v>
      </c>
      <c r="AP5" s="95">
        <f>ROUND(SUMIFS(Table47[Rev. Based on PROB],Table47[Service],$B5,Table47[Projected 
Year],AP$1,Table47[Monthly revenue],AP$2),-3)/1000</f>
        <v>0</v>
      </c>
      <c r="AQ5" s="165" t="e">
        <f>SUMPRODUCT(Table47[Probability]*Table47[Rev. Based on PROB]*(Table47[Service]=$B5)*(Table47[Projected 
Year]=AP$1)*(Table47[Monthly revenue]=AP$2))/MAX(1,SUMPRODUCT(Table47[Rev. Based on PROB]*(Table47[Service]=$B5)*(Table47[Projected 
Year]=AP$1)*(Table47[Monthly revenue]=AP$2)))</f>
        <v>#REF!</v>
      </c>
      <c r="AR5" s="166" t="e">
        <f>SUMPRODUCT(Table47[Rev. Based on PROB]*Table47[Expected CMR]*(Table47[Projected 
Year]=AP$1)*(Table47[Monthly revenue]=AP$2)*(Table47[Service]=$B5))/MAX(1,AP5*1000)</f>
        <v>#REF!</v>
      </c>
      <c r="AS5" s="98">
        <f>ROUND(SUMIFS(Table47[Rev. Based on PROB],Table47[Service],$B5,Table47[Projected 
Year],AS$1,Table47[Monthly revenue],AS$2),-3)/1000</f>
        <v>0</v>
      </c>
      <c r="AT5" s="165" t="e">
        <f>SUMPRODUCT(Table47[Probability]*Table47[Rev. Based on PROB]*(Table47[Service]=$B5)*(Table47[Projected 
Year]=AS$1)*(Table47[Monthly revenue]=AS$2))/MAX(1,SUMPRODUCT(Table47[Rev. Based on PROB]*(Table47[Service]=$B5)*(Table47[Projected 
Year]=AS$1)*(Table47[Monthly revenue]=AS$2)))</f>
        <v>#REF!</v>
      </c>
      <c r="AU5" s="166" t="e">
        <f>SUMPRODUCT(Table47[Rev. Based on PROB]*Table47[Expected CMR]*(Table47[Projected 
Year]=AS$1)*(Table47[Monthly revenue]=AS$2)*(Table47[Service]=$B5))/MAX(1,AS5*1000)</f>
        <v>#REF!</v>
      </c>
      <c r="AV5" s="95">
        <f>ROUND(SUMIFS(Table47[Rev. Based on PROB],Table47[Service],$B5,Table47[Projected 
Year],AV$1,Table47[Monthly revenue],AV$2),-3)/1000</f>
        <v>0</v>
      </c>
      <c r="AW5" s="165" t="e">
        <f>SUMPRODUCT(Table47[Probability]*Table47[Rev. Based on PROB]*(Table47[Service]=$B5)*(Table47[Projected 
Year]=AV$1)*(Table47[Monthly revenue]=AV$2))/MAX(1,SUMPRODUCT(Table47[Rev. Based on PROB]*(Table47[Service]=$B5)*(Table47[Projected 
Year]=AV$1)*(Table47[Monthly revenue]=AV$2)))</f>
        <v>#REF!</v>
      </c>
      <c r="AX5" s="166" t="e">
        <f>SUMPRODUCT(Table47[Rev. Based on PROB]*Table47[Expected CMR]*(Table47[Projected 
Year]=AV$1)*(Table47[Monthly revenue]=AV$2)*(Table47[Service]=$B5))/MAX(1,AV5*1000)</f>
        <v>#REF!</v>
      </c>
      <c r="AY5" s="95">
        <f>ROUND(SUMIFS(Table47[Rev. Based on PROB],Table47[Service],$B5,Table47[Projected 
Year],AY$1,Table47[Monthly revenue],AY$2),-3)/1000</f>
        <v>0</v>
      </c>
      <c r="AZ5" s="165" t="e">
        <f>SUMPRODUCT(Table47[Probability]*Table47[Rev. Based on PROB]*(Table47[Service]=$B5)*(Table47[Projected 
Year]=AY$1)*(Table47[Monthly revenue]=AY$2))/MAX(1,SUMPRODUCT(Table47[Rev. Based on PROB]*(Table47[Service]=$B5)*(Table47[Projected 
Year]=AY$1)*(Table47[Monthly revenue]=AY$2)))</f>
        <v>#REF!</v>
      </c>
      <c r="BA5" s="166" t="e">
        <f>SUMPRODUCT(Table47[Rev. Based on PROB]*Table47[Expected CMR]*(Table47[Projected 
Year]=AY$1)*(Table47[Monthly revenue]=AY$2)*(Table47[Service]=$B5))/MAX(1,AY5*1000)</f>
        <v>#REF!</v>
      </c>
      <c r="BB5" s="95">
        <f>ROUND(SUMIFS(Table47[Rev. Based on PROB],Table47[Service],$B5,Table47[Projected 
Year],BB$1,Table47[Monthly revenue],BB$2),-3)/1000</f>
        <v>0</v>
      </c>
      <c r="BC5" s="165" t="e">
        <f>SUMPRODUCT(Table47[Probability]*Table47[Rev. Based on PROB]*(Table47[Service]=$B5)*(Table47[Projected 
Year]=BB$1)*(Table47[Monthly revenue]=BB$2))/MAX(1,SUMPRODUCT(Table47[Rev. Based on PROB]*(Table47[Service]=$B5)*(Table47[Projected 
Year]=BB$1)*(Table47[Monthly revenue]=BB$2)))</f>
        <v>#REF!</v>
      </c>
      <c r="BD5" s="166" t="e">
        <f>SUMPRODUCT(Table47[Rev. Based on PROB]*Table47[Expected CMR]*(Table47[Projected 
Year]=BB$1)*(Table47[Monthly revenue]=BB$2)*(Table47[Service]=$B5))/MAX(1,BB5*1000)</f>
        <v>#REF!</v>
      </c>
      <c r="BE5" s="95">
        <f>ROUND(SUMIFS(Table47[Rev. Based on PROB],Table47[Service],$B5,Table47[Projected 
Year],BE$1,Table47[Monthly revenue],BE$2),-3)/1000</f>
        <v>0</v>
      </c>
      <c r="BF5" s="165" t="e">
        <f>SUMPRODUCT(Table47[Probability]*Table47[Rev. Based on PROB]*(Table47[Service]=$B5)*(Table47[Projected 
Year]=BE$1)*(Table47[Monthly revenue]=BE$2))/MAX(1,SUMPRODUCT(Table47[Rev. Based on PROB]*(Table47[Service]=$B5)*(Table47[Projected 
Year]=BE$1)*(Table47[Monthly revenue]=BE$2)))</f>
        <v>#REF!</v>
      </c>
      <c r="BG5" s="166" t="e">
        <f>SUMPRODUCT(Table47[Rev. Based on PROB]*Table47[Expected CMR]*(Table47[Projected 
Year]=BE$1)*(Table47[Monthly revenue]=BE$2)*(Table47[Service]=$B5))/MAX(1,BE5*1000)</f>
        <v>#REF!</v>
      </c>
      <c r="BH5" s="95">
        <f>ROUND(SUMIFS(Table47[Rev. Based on PROB],Table47[Service],$B5,Table47[Projected 
Year],BH$1,Table47[Monthly revenue],BH$2),-3)/1000</f>
        <v>0</v>
      </c>
      <c r="BI5" s="165" t="e">
        <f>SUMPRODUCT(Table47[Probability]*Table47[Rev. Based on PROB]*(Table47[Service]=$B5)*(Table47[Projected 
Year]=BH$1)*(Table47[Monthly revenue]=BH$2))/MAX(1,SUMPRODUCT(Table47[Rev. Based on PROB]*(Table47[Service]=$B5)*(Table47[Projected 
Year]=BH$1)*(Table47[Monthly revenue]=BH$2)))</f>
        <v>#REF!</v>
      </c>
      <c r="BJ5" s="166" t="e">
        <f>SUMPRODUCT(Table47[Rev. Based on PROB]*Table47[Expected CMR]*(Table47[Projected 
Year]=BH$1)*(Table47[Monthly revenue]=BH$2)*(Table47[Service]=$B5))/MAX(1,BH5*1000)</f>
        <v>#REF!</v>
      </c>
      <c r="BK5" s="95">
        <f>ROUND(SUMIFS(Table47[Rev. Based on PROB],Table47[Service],$B5,Table47[Projected 
Year],BK$1,Table47[Monthly revenue],BK$2),-3)/1000</f>
        <v>0</v>
      </c>
      <c r="BL5" s="165" t="e">
        <f>SUMPRODUCT(Table47[Probability]*Table47[Rev. Based on PROB]*(Table47[Service]=$B5)*(Table47[Projected 
Year]=BK$1)*(Table47[Monthly revenue]=BK$2))/MAX(1,SUMPRODUCT(Table47[Rev. Based on PROB]*(Table47[Service]=$B5)*(Table47[Projected 
Year]=BK$1)*(Table47[Monthly revenue]=BK$2)))</f>
        <v>#REF!</v>
      </c>
      <c r="BM5" s="166" t="e">
        <f>SUMPRODUCT(Table47[Rev. Based on PROB]*Table47[Expected CMR]*(Table47[Projected 
Year]=BK$1)*(Table47[Monthly revenue]=BK$2)*(Table47[Service]=$B5))/MAX(1,BK5*1000)</f>
        <v>#REF!</v>
      </c>
      <c r="BN5" s="95">
        <f>ROUND(SUMIFS(Table47[Rev. Based on PROB],Table47[Service],$B5,Table47[Projected 
Year],BN$1,Table47[Monthly revenue],BN$2),-3)/1000</f>
        <v>0</v>
      </c>
      <c r="BO5" s="165" t="e">
        <f>SUMPRODUCT(Table47[Probability]*Table47[Rev. Based on PROB]*(Table47[Service]=$B5)*(Table47[Projected 
Year]=BN$1)*(Table47[Monthly revenue]=BN$2))/MAX(1,SUMPRODUCT(Table47[Rev. Based on PROB]*(Table47[Service]=$B5)*(Table47[Projected 
Year]=BN$1)*(Table47[Monthly revenue]=BN$2)))</f>
        <v>#REF!</v>
      </c>
      <c r="BP5" s="166" t="e">
        <f>SUMPRODUCT(Table47[Rev. Based on PROB]*Table47[Expected CMR]*(Table47[Projected 
Year]=BN$1)*(Table47[Monthly revenue]=BN$2)*(Table47[Service]=$B5))/MAX(1,BN5*1000)</f>
        <v>#REF!</v>
      </c>
      <c r="BQ5" s="95">
        <f>ROUND(SUMIFS(Table47[Rev. Based on PROB],Table47[Service],$B5,Table47[Projected 
Year],BQ$1,Table47[Monthly revenue],BQ$2),-3)/1000</f>
        <v>0</v>
      </c>
      <c r="BR5" s="165" t="e">
        <f>SUMPRODUCT(Table47[Probability]*Table47[Rev. Based on PROB]*(Table47[Service]=$B5)*(Table47[Projected 
Year]=BQ$1)*(Table47[Monthly revenue]=BQ$2))/MAX(1,SUMPRODUCT(Table47[Rev. Based on PROB]*(Table47[Service]=$B5)*(Table47[Projected 
Year]=BQ$1)*(Table47[Monthly revenue]=BQ$2)))</f>
        <v>#REF!</v>
      </c>
      <c r="BS5" s="166" t="e">
        <f>SUMPRODUCT(Table47[Rev. Based on PROB]*Table47[Expected CMR]*(Table47[Projected 
Year]=BQ$1)*(Table47[Monthly revenue]=BQ$2)*(Table47[Service]=$B5))/MAX(1,BQ5*1000)</f>
        <v>#REF!</v>
      </c>
      <c r="BT5" s="95">
        <f>ROUND(SUMIFS(Table47[Rev. Based on PROB],Table47[Service],$B5,Table47[Projected 
Year],BT$1,Table47[Monthly revenue],BT$2),-3)/1000</f>
        <v>0</v>
      </c>
      <c r="BU5" s="165" t="e">
        <f>SUMPRODUCT(Table47[Probability]*Table47[Rev. Based on PROB]*(Table47[Service]=$B5)*(Table47[Projected 
Year]=BT$1)*(Table47[Monthly revenue]=BT$2))/MAX(1,SUMPRODUCT(Table47[Rev. Based on PROB]*(Table47[Service]=$B5)*(Table47[Projected 
Year]=BT$1)*(Table47[Monthly revenue]=BT$2)))</f>
        <v>#REF!</v>
      </c>
      <c r="BV5" s="166" t="e">
        <f>SUMPRODUCT(Table47[Rev. Based on PROB]*Table47[Expected CMR]*(Table47[Projected 
Year]=BT$1)*(Table47[Monthly revenue]=BT$2)*(Table47[Service]=$B5))/MAX(1,BT5*1000)</f>
        <v>#REF!</v>
      </c>
      <c r="BW5" s="95">
        <f>ROUND(SUMIFS(Table47[Rev. Based on PROB],Table47[Service],$B5,Table47[Projected 
Year],BW$1,Table47[Monthly revenue],BW$2),-3)/1000</f>
        <v>0</v>
      </c>
      <c r="BX5" s="165" t="e">
        <f>SUMPRODUCT(Table47[Probability]*Table47[Rev. Based on PROB]*(Table47[Service]=$B5)*(Table47[Projected 
Year]=BW$1)*(Table47[Monthly revenue]=BW$2))/MAX(1,SUMPRODUCT(Table47[Rev. Based on PROB]*(Table47[Service]=$B5)*(Table47[Projected 
Year]=BW$1)*(Table47[Monthly revenue]=BW$2)))</f>
        <v>#REF!</v>
      </c>
      <c r="BY5" s="166" t="e">
        <f>SUMPRODUCT(Table47[Rev. Based on PROB]*Table47[Expected CMR]*(Table47[Projected 
Year]=BW$1)*(Table47[Monthly revenue]=BW$2)*(Table47[Service]=$B5))/MAX(1,BW5*1000)</f>
        <v>#REF!</v>
      </c>
      <c r="BZ5" s="95">
        <f>SUM(BW5,BT5,BQ5,BN5,BK5,BH5,BE5,BB5,AY5,AV5,AS5,AP5)</f>
        <v>0</v>
      </c>
      <c r="CA5" s="95">
        <f t="shared" si="2"/>
        <v>0</v>
      </c>
      <c r="CB5" s="95">
        <f t="shared" si="3"/>
        <v>0</v>
      </c>
    </row>
    <row r="6" spans="1:80">
      <c r="A6" s="992" t="s">
        <v>62</v>
      </c>
      <c r="B6" s="980" t="s">
        <v>62</v>
      </c>
      <c r="C6" s="95">
        <f>ROUND(SUMIFS(Table4[Rev. Based on PROB],Table4[Service],$B6,Table4[Projected 
Year],C$1,Table4[Projected 
Month],C$2),-3)/1000</f>
        <v>0</v>
      </c>
      <c r="D6" s="165">
        <f>SUMPRODUCT(Table4[Probability]*Table4[Rev. Based on PROB]*(Table4[Service]=$B6)*(Table4[Projected 
Year]=C$1)*(Table4[Projected 
Month]=C$2))/MAX(1,SUMPRODUCT(Table4[Rev. Based on PROB]*(Table4[Service]=$B6)*(Table4[Projected 
Year]=C$1)*(Table4[Projected 
Month]=C$2)))</f>
        <v>0</v>
      </c>
      <c r="E6" s="166">
        <f>SUMPRODUCT(Table4[Rev. Based on PROB]*Table4[Expected CMR]*(Table4[Projected 
Year]=C$1)*(Table4[Projected 
Month]=C$2)*(Table4[Service]=$B6))/MAX(1,C6*1000)</f>
        <v>0</v>
      </c>
      <c r="F6" s="95">
        <f>ROUND(SUMIFS(Table4[Rev. Based on PROB],Table4[Service],$B6,Table4[Projected 
Year],F$1,Table4[Projected 
Month],F$2),-3)/1000</f>
        <v>0</v>
      </c>
      <c r="G6" s="165">
        <f>SUMPRODUCT(Table4[Probability]*Table4[Rev. Based on PROB]*(Table4[Service]=$B6)*(Table4[Projected 
Year]=F$1)*(Table4[Projected 
Month]=F$2))/MAX(1,SUMPRODUCT(Table4[Rev. Based on PROB]*(Table4[Service]=$B6)*(Table4[Projected 
Year]=F$1)*(Table4[Projected 
Month]=F$2)))</f>
        <v>0</v>
      </c>
      <c r="H6" s="166">
        <f>SUMPRODUCT(Table4[Rev. Based on PROB]*Table4[Expected CMR]*(Table4[Projected 
Year]=F$1)*(Table4[Projected 
Month]=F$2)*(Table4[Service]=$B6))/MAX(1,F6*1000)</f>
        <v>0</v>
      </c>
      <c r="I6" s="95">
        <f>ROUND(SUMIFS(Table4[Rev. Based on PROB],Table4[Service],$B6,Table4[Projected 
Year],I$1,Table4[Projected 
Month],I$2),-3)/1000</f>
        <v>0</v>
      </c>
      <c r="J6" s="165">
        <f>SUMPRODUCT(Table4[Probability]*Table4[Rev. Based on PROB]*(Table4[Service]=$B6)*(Table4[Projected 
Year]=I$1)*(Table4[Projected 
Month]=I$2))/MAX(1,SUMPRODUCT(Table4[Rev. Based on PROB]*(Table4[Service]=$B6)*(Table4[Projected 
Year]=I$1)*(Table4[Projected 
Month]=I$2)))</f>
        <v>0</v>
      </c>
      <c r="K6" s="166">
        <f>SUMPRODUCT(Table4[Rev. Based on PROB]*Table4[Expected CMR]*(Table4[Projected 
Year]=I$1)*(Table4[Projected 
Month]=I$2)*(Table4[Service]=$B6))/MAX(1,I6*1000)</f>
        <v>0</v>
      </c>
      <c r="L6" s="95">
        <f>ROUND(SUMIFS(Table4[Rev. Based on PROB],Table4[Service],$B6,Table4[Projected 
Year],L$1,Table4[Projected 
Month],L$2),-3)/1000</f>
        <v>0</v>
      </c>
      <c r="M6" s="165">
        <f>SUMPRODUCT(Table4[Probability]*Table4[Rev. Based on PROB]*(Table4[Service]=$B6)*(Table4[Projected 
Year]=L$1)*(Table4[Projected 
Month]=L$2))/MAX(1,SUMPRODUCT(Table4[Rev. Based on PROB]*(Table4[Service]=$B6)*(Table4[Projected 
Year]=L$1)*(Table4[Projected 
Month]=L$2)))</f>
        <v>0</v>
      </c>
      <c r="N6" s="166">
        <f>SUMPRODUCT(Table4[Rev. Based on PROB]*Table4[Expected CMR]*(Table4[Projected 
Year]=L$1)*(Table4[Projected 
Month]=L$2)*(Table4[Service]=$B6))/MAX(1,L6*1000)</f>
        <v>0</v>
      </c>
      <c r="O6" s="95">
        <f>ROUND(SUMIFS(Table4[Rev. Based on PROB],Table4[Service],$B6,Table4[Projected 
Year],O$1,Table4[Projected 
Month],O$2),-3)/1000</f>
        <v>0</v>
      </c>
      <c r="P6" s="165">
        <f>SUMPRODUCT(Table4[Probability]*Table4[Rev. Based on PROB]*(Table4[Service]=$B6)*(Table4[Projected 
Year]=O$1)*(Table4[Projected 
Month]=O$2))/MAX(1,SUMPRODUCT(Table4[Rev. Based on PROB]*(Table4[Service]=$B6)*(Table4[Projected 
Year]=O$1)*(Table4[Projected 
Month]=O$2)))</f>
        <v>0</v>
      </c>
      <c r="Q6" s="166">
        <f>SUMPRODUCT(Table4[Rev. Based on PROB]*Table4[Expected CMR]*(Table4[Projected 
Year]=O$1)*(Table4[Projected 
Month]=O$2)*(Table4[Service]=$B6))/MAX(1,O6*1000)</f>
        <v>0</v>
      </c>
      <c r="R6" s="95">
        <f>ROUND(SUMIFS(Table4[Rev. Based on PROB],Table4[Service],$B6,Table4[Projected 
Year],R$1,Table4[Projected 
Month],R$2),-3)/1000</f>
        <v>0</v>
      </c>
      <c r="S6" s="165">
        <f>SUMPRODUCT(Table4[Probability]*Table4[Rev. Based on PROB]*(Table4[Service]=$B6)*(Table4[Projected 
Year]=R$1)*(Table4[Projected 
Month]=R$2))/MAX(1,SUMPRODUCT(Table4[Rev. Based on PROB]*(Table4[Service]=$B6)*(Table4[Projected 
Year]=R$1)*(Table4[Projected 
Month]=R$2)))</f>
        <v>0</v>
      </c>
      <c r="T6" s="166">
        <f>SUMPRODUCT(Table4[Rev. Based on PROB]*Table4[Expected CMR]*(Table4[Projected 
Year]=R$1)*(Table4[Projected 
Month]=R$2)*(Table4[Service]=$B6))/MAX(1,R6*1000)</f>
        <v>0</v>
      </c>
      <c r="U6" s="95">
        <f>ROUND(SUMIFS(Table4[Rev. Based on PROB],Table4[Service],$B6,Table4[Projected 
Year],U$1,Table4[Projected 
Month],U$2),-3)/1000</f>
        <v>0</v>
      </c>
      <c r="V6" s="165">
        <f>SUMPRODUCT(Table4[Probability]*Table4[Rev. Based on PROB]*(Table4[Service]=$B6)*(Table4[Projected 
Year]=U$1)*(Table4[Projected 
Month]=U$2))/MAX(1,SUMPRODUCT(Table4[Rev. Based on PROB]*(Table4[Service]=$B6)*(Table4[Projected 
Year]=U$1)*(Table4[Projected 
Month]=U$2)))</f>
        <v>0</v>
      </c>
      <c r="W6" s="166">
        <f>SUMPRODUCT(Table4[Rev. Based on PROB]*Table4[Expected CMR]*(Table4[Projected 
Year]=U$1)*(Table4[Projected 
Month]=U$2)*(Table4[Service]=$B6))/MAX(1,U6*1000)</f>
        <v>0</v>
      </c>
      <c r="X6" s="95">
        <f>ROUND(SUMIFS(Table4[Rev. Based on PROB],Table4[Service],$B6,Table4[Projected 
Year],X$1,Table4[Projected 
Month],X$2),-3)/1000</f>
        <v>0</v>
      </c>
      <c r="Y6" s="165">
        <f>SUMPRODUCT(Table4[Probability]*Table4[Rev. Based on PROB]*(Table4[Service]=$B6)*(Table4[Projected 
Year]=X$1)*(Table4[Projected 
Month]=X$2))/MAX(1,SUMPRODUCT(Table4[Rev. Based on PROB]*(Table4[Service]=$B6)*(Table4[Projected 
Year]=X$1)*(Table4[Projected 
Month]=X$2)))</f>
        <v>0</v>
      </c>
      <c r="Z6" s="166">
        <f>SUMPRODUCT(Table4[Rev. Based on PROB]*Table4[Expected CMR]*(Table4[Projected 
Year]=X$1)*(Table4[Projected 
Month]=X$2)*(Table4[Service]=$B6))/MAX(1,X6*1000)</f>
        <v>0</v>
      </c>
      <c r="AA6" s="95">
        <f>ROUND(SUMIFS(Table4[Rev. Based on PROB],Table4[Service],$B6,Table4[Projected 
Year],AA$1,Table4[Projected 
Month],AA$2),-3)/1000</f>
        <v>0</v>
      </c>
      <c r="AB6" s="165">
        <f>SUMPRODUCT(Table4[Probability]*Table4[Rev. Based on PROB]*(Table4[Service]=$B6)*(Table4[Projected 
Year]=AA$1)*(Table4[Projected 
Month]=AA$2))/MAX(1,SUMPRODUCT(Table4[Rev. Based on PROB]*(Table4[Service]=$B6)*(Table4[Projected 
Year]=AA$1)*(Table4[Projected 
Month]=AA$2)))</f>
        <v>0</v>
      </c>
      <c r="AC6" s="166">
        <f>SUMPRODUCT(Table4[Rev. Based on PROB]*Table4[Expected CMR]*(Table4[Projected 
Year]=AA$1)*(Table4[Projected 
Month]=AA$2)*(Table4[Service]=$B6))/MAX(1,AA6*1000)</f>
        <v>0</v>
      </c>
      <c r="AD6" s="95">
        <f>ROUND(SUMIFS(Table4[Rev. Based on PROB],Table4[Service],$B6,Table4[Projected 
Year],AD$1,Table4[Projected 
Month],AD$2),-3)/1000</f>
        <v>0</v>
      </c>
      <c r="AE6" s="165">
        <f>SUMPRODUCT(Table4[Probability]*Table4[Rev. Based on PROB]*(Table4[Service]=$B6)*(Table4[Projected 
Year]=AD$1)*(Table4[Projected 
Month]=AD$2))/MAX(1,SUMPRODUCT(Table4[Rev. Based on PROB]*(Table4[Service]=$B6)*(Table4[Projected 
Year]=AD$1)*(Table4[Projected 
Month]=AD$2)))</f>
        <v>0</v>
      </c>
      <c r="AF6" s="166">
        <f>SUMPRODUCT(Table4[Rev. Based on PROB]*Table4[Expected CMR]*(Table4[Projected 
Year]=AD$1)*(Table4[Projected 
Month]=AD$2)*(Table4[Service]=$B6))/MAX(1,AD6*1000)</f>
        <v>0</v>
      </c>
      <c r="AG6" s="95">
        <f>ROUND(SUMIFS(Table4[Rev. Based on PROB],Table4[Service],$B6,Table4[Projected 
Year],AG$1,Table4[Projected 
Month],AG$2),-3)/1000</f>
        <v>0</v>
      </c>
      <c r="AH6" s="165">
        <f>SUMPRODUCT(Table4[Probability]*Table4[Rev. Based on PROB]*(Table4[Service]=$B6)*(Table4[Projected 
Year]=AG$1)*(Table4[Projected 
Month]=AG$2))/MAX(1,SUMPRODUCT(Table4[Rev. Based on PROB]*(Table4[Service]=$B6)*(Table4[Projected 
Year]=AG$1)*(Table4[Projected 
Month]=AG$2)))</f>
        <v>0</v>
      </c>
      <c r="AI6" s="166">
        <f>SUMPRODUCT(Table4[Rev. Based on PROB]*Table4[Expected CMR]*(Table4[Projected 
Year]=AG$1)*(Table4[Projected 
Month]=AG$2)*(Table4[Service]=$B6))/MAX(1,AG6*1000)</f>
        <v>0</v>
      </c>
      <c r="AJ6" s="95">
        <f>ROUND(SUMIFS(Table4[Rev. Based on PROB],Table4[Service],$B6,Table4[Projected 
Year],AJ$1,Table4[Projected 
Month],AJ$2),-3)/1000</f>
        <v>38</v>
      </c>
      <c r="AK6" s="165">
        <f>SUMPRODUCT(Table4[Probability]*Table4[Rev. Based on PROB]*(Table4[Service]=$B6)*(Table4[Projected 
Year]=AJ$1)*(Table4[Projected 
Month]=AJ$2))/MAX(1,SUMPRODUCT(Table4[Rev. Based on PROB]*(Table4[Service]=$B6)*(Table4[Projected 
Year]=AJ$1)*(Table4[Projected 
Month]=AJ$2)))</f>
        <v>1</v>
      </c>
      <c r="AL6" s="166">
        <f>SUMPRODUCT(Table4[Rev. Based on PROB]*Table4[Expected CMR]*(Table4[Projected 
Year]=AJ$1)*(Table4[Projected 
Month]=AJ$2)*(Table4[Service]=$B6))/MAX(1,AJ6*1000)</f>
        <v>0.29652631578947369</v>
      </c>
      <c r="AM6" s="30">
        <f>SUM(C6,F6,I6,L6,O6,R6,U6,X6,AA6,AD6,AG6,AJ6)</f>
        <v>38</v>
      </c>
      <c r="AN6" s="52">
        <f t="shared" si="0"/>
        <v>1</v>
      </c>
      <c r="AO6" s="53">
        <f t="shared" si="1"/>
        <v>0.29652631578947369</v>
      </c>
      <c r="AP6" s="95">
        <f>ROUND(SUMIFS(Table47[Rev. Based on PROB],Table47[Service],$B6,Table47[Projected 
Year],AP$1,Table47[Monthly revenue],AP$2),-3)/1000</f>
        <v>130</v>
      </c>
      <c r="AQ6" s="165" t="e">
        <f>SUMPRODUCT(Table47[Probability]*Table47[Rev. Based on PROB]*(Table47[Service]=$B6)*(Table47[Projected 
Year]=AP$1)*(Table47[Monthly revenue]=AP$2))/MAX(1,SUMPRODUCT(Table47[Rev. Based on PROB]*(Table47[Service]=$B6)*(Table47[Projected 
Year]=AP$1)*(Table47[Monthly revenue]=AP$2)))</f>
        <v>#REF!</v>
      </c>
      <c r="AR6" s="166" t="e">
        <f>SUMPRODUCT(Table47[Rev. Based on PROB]*Table47[Expected CMR]*(Table47[Projected 
Year]=AP$1)*(Table47[Monthly revenue]=AP$2)*(Table47[Service]=$B6))/MAX(1,AP6*1000)</f>
        <v>#REF!</v>
      </c>
      <c r="AS6" s="98">
        <f>ROUND(SUMIFS(Table47[Rev. Based on PROB],Table47[Service],$B6,Table47[Projected 
Year],AS$1,Table47[Monthly revenue],AS$2),-3)/1000</f>
        <v>84</v>
      </c>
      <c r="AT6" s="165" t="e">
        <f>SUMPRODUCT(Table47[Probability]*Table47[Rev. Based on PROB]*(Table47[Service]=$B6)*(Table47[Projected 
Year]=AS$1)*(Table47[Monthly revenue]=AS$2))/MAX(1,SUMPRODUCT(Table47[Rev. Based on PROB]*(Table47[Service]=$B6)*(Table47[Projected 
Year]=AS$1)*(Table47[Monthly revenue]=AS$2)))</f>
        <v>#REF!</v>
      </c>
      <c r="AU6" s="166" t="e">
        <f>SUMPRODUCT(Table47[Rev. Based on PROB]*Table47[Expected CMR]*(Table47[Projected 
Year]=AS$1)*(Table47[Monthly revenue]=AS$2)*(Table47[Service]=$B6))/MAX(1,AS6*1000)</f>
        <v>#REF!</v>
      </c>
      <c r="AV6" s="95">
        <f>ROUND(SUMIFS(Table47[Rev. Based on PROB],Table47[Service],$B6,Table47[Projected 
Year],AV$1,Table47[Monthly revenue],AV$2),-3)/1000</f>
        <v>108</v>
      </c>
      <c r="AW6" s="165" t="e">
        <f>SUMPRODUCT(Table47[Probability]*Table47[Rev. Based on PROB]*(Table47[Service]=$B6)*(Table47[Projected 
Year]=AV$1)*(Table47[Monthly revenue]=AV$2))/MAX(1,SUMPRODUCT(Table47[Rev. Based on PROB]*(Table47[Service]=$B6)*(Table47[Projected 
Year]=AV$1)*(Table47[Monthly revenue]=AV$2)))</f>
        <v>#REF!</v>
      </c>
      <c r="AX6" s="166" t="e">
        <f>SUMPRODUCT(Table47[Rev. Based on PROB]*Table47[Expected CMR]*(Table47[Projected 
Year]=AV$1)*(Table47[Monthly revenue]=AV$2)*(Table47[Service]=$B6))/MAX(1,AV6*1000)</f>
        <v>#REF!</v>
      </c>
      <c r="AY6" s="95">
        <f>ROUND(SUMIFS(Table47[Rev. Based on PROB],Table47[Service],$B6,Table47[Projected 
Year],AY$1,Table47[Monthly revenue],AY$2),-3)/1000</f>
        <v>175</v>
      </c>
      <c r="AZ6" s="165" t="e">
        <f>SUMPRODUCT(Table47[Probability]*Table47[Rev. Based on PROB]*(Table47[Service]=$B6)*(Table47[Projected 
Year]=AY$1)*(Table47[Monthly revenue]=AY$2))/MAX(1,SUMPRODUCT(Table47[Rev. Based on PROB]*(Table47[Service]=$B6)*(Table47[Projected 
Year]=AY$1)*(Table47[Monthly revenue]=AY$2)))</f>
        <v>#REF!</v>
      </c>
      <c r="BA6" s="166" t="e">
        <f>SUMPRODUCT(Table47[Rev. Based on PROB]*Table47[Expected CMR]*(Table47[Projected 
Year]=AY$1)*(Table47[Monthly revenue]=AY$2)*(Table47[Service]=$B6))/MAX(1,AY6*1000)</f>
        <v>#REF!</v>
      </c>
      <c r="BB6" s="95">
        <f>ROUND(SUMIFS(Table47[Rev. Based on PROB],Table47[Service],$B6,Table47[Projected 
Year],BB$1,Table47[Monthly revenue],BB$2),-3)/1000</f>
        <v>54</v>
      </c>
      <c r="BC6" s="165" t="e">
        <f>SUMPRODUCT(Table47[Probability]*Table47[Rev. Based on PROB]*(Table47[Service]=$B6)*(Table47[Projected 
Year]=BB$1)*(Table47[Monthly revenue]=BB$2))/MAX(1,SUMPRODUCT(Table47[Rev. Based on PROB]*(Table47[Service]=$B6)*(Table47[Projected 
Year]=BB$1)*(Table47[Monthly revenue]=BB$2)))</f>
        <v>#REF!</v>
      </c>
      <c r="BD6" s="166" t="e">
        <f>SUMPRODUCT(Table47[Rev. Based on PROB]*Table47[Expected CMR]*(Table47[Projected 
Year]=BB$1)*(Table47[Monthly revenue]=BB$2)*(Table47[Service]=$B6))/MAX(1,BB6*1000)</f>
        <v>#REF!</v>
      </c>
      <c r="BE6" s="95">
        <f>ROUND(SUMIFS(Table47[Rev. Based on PROB],Table47[Service],$B6,Table47[Projected 
Year],BE$1,Table47[Monthly revenue],BE$2),-3)/1000</f>
        <v>200</v>
      </c>
      <c r="BF6" s="165" t="e">
        <f>SUMPRODUCT(Table47[Probability]*Table47[Rev. Based on PROB]*(Table47[Service]=$B6)*(Table47[Projected 
Year]=BE$1)*(Table47[Monthly revenue]=BE$2))/MAX(1,SUMPRODUCT(Table47[Rev. Based on PROB]*(Table47[Service]=$B6)*(Table47[Projected 
Year]=BE$1)*(Table47[Monthly revenue]=BE$2)))</f>
        <v>#REF!</v>
      </c>
      <c r="BG6" s="166" t="e">
        <f>SUMPRODUCT(Table47[Rev. Based on PROB]*Table47[Expected CMR]*(Table47[Projected 
Year]=BE$1)*(Table47[Monthly revenue]=BE$2)*(Table47[Service]=$B6))/MAX(1,BE6*1000)</f>
        <v>#REF!</v>
      </c>
      <c r="BH6" s="95">
        <f>ROUND(SUMIFS(Table47[Rev. Based on PROB],Table47[Service],$B6,Table47[Projected 
Year],BH$1,Table47[Monthly revenue],BH$2),-3)/1000</f>
        <v>149</v>
      </c>
      <c r="BI6" s="165" t="e">
        <f>SUMPRODUCT(Table47[Probability]*Table47[Rev. Based on PROB]*(Table47[Service]=$B6)*(Table47[Projected 
Year]=BH$1)*(Table47[Monthly revenue]=BH$2))/MAX(1,SUMPRODUCT(Table47[Rev. Based on PROB]*(Table47[Service]=$B6)*(Table47[Projected 
Year]=BH$1)*(Table47[Monthly revenue]=BH$2)))</f>
        <v>#REF!</v>
      </c>
      <c r="BJ6" s="166" t="e">
        <f>SUMPRODUCT(Table47[Rev. Based on PROB]*Table47[Expected CMR]*(Table47[Projected 
Year]=BH$1)*(Table47[Monthly revenue]=BH$2)*(Table47[Service]=$B6))/MAX(1,BH6*1000)</f>
        <v>#REF!</v>
      </c>
      <c r="BK6" s="95">
        <f>ROUND(SUMIFS(Table47[Rev. Based on PROB],Table47[Service],$B6,Table47[Projected 
Year],BK$1,Table47[Monthly revenue],BK$2),-3)/1000</f>
        <v>249</v>
      </c>
      <c r="BL6" s="165" t="e">
        <f>SUMPRODUCT(Table47[Probability]*Table47[Rev. Based on PROB]*(Table47[Service]=$B6)*(Table47[Projected 
Year]=BK$1)*(Table47[Monthly revenue]=BK$2))/MAX(1,SUMPRODUCT(Table47[Rev. Based on PROB]*(Table47[Service]=$B6)*(Table47[Projected 
Year]=BK$1)*(Table47[Monthly revenue]=BK$2)))</f>
        <v>#REF!</v>
      </c>
      <c r="BM6" s="166" t="e">
        <f>SUMPRODUCT(Table47[Rev. Based on PROB]*Table47[Expected CMR]*(Table47[Projected 
Year]=BK$1)*(Table47[Monthly revenue]=BK$2)*(Table47[Service]=$B6))/MAX(1,BK6*1000)</f>
        <v>#REF!</v>
      </c>
      <c r="BN6" s="95">
        <f>ROUND(SUMIFS(Table47[Rev. Based on PROB],Table47[Service],$B6,Table47[Projected 
Year],BN$1,Table47[Monthly revenue],BN$2),-3)/1000</f>
        <v>74</v>
      </c>
      <c r="BO6" s="165" t="e">
        <f>SUMPRODUCT(Table47[Probability]*Table47[Rev. Based on PROB]*(Table47[Service]=$B6)*(Table47[Projected 
Year]=BN$1)*(Table47[Monthly revenue]=BN$2))/MAX(1,SUMPRODUCT(Table47[Rev. Based on PROB]*(Table47[Service]=$B6)*(Table47[Projected 
Year]=BN$1)*(Table47[Monthly revenue]=BN$2)))</f>
        <v>#REF!</v>
      </c>
      <c r="BP6" s="166" t="e">
        <f>SUMPRODUCT(Table47[Rev. Based on PROB]*Table47[Expected CMR]*(Table47[Projected 
Year]=BN$1)*(Table47[Monthly revenue]=BN$2)*(Table47[Service]=$B6))/MAX(1,BN6*1000)</f>
        <v>#REF!</v>
      </c>
      <c r="BQ6" s="95">
        <f>ROUND(SUMIFS(Table47[Rev. Based on PROB],Table47[Service],$B6,Table47[Projected 
Year],BQ$1,Table47[Monthly revenue],BQ$2),-3)/1000</f>
        <v>49</v>
      </c>
      <c r="BR6" s="165" t="e">
        <f>SUMPRODUCT(Table47[Probability]*Table47[Rev. Based on PROB]*(Table47[Service]=$B6)*(Table47[Projected 
Year]=BQ$1)*(Table47[Monthly revenue]=BQ$2))/MAX(1,SUMPRODUCT(Table47[Rev. Based on PROB]*(Table47[Service]=$B6)*(Table47[Projected 
Year]=BQ$1)*(Table47[Monthly revenue]=BQ$2)))</f>
        <v>#REF!</v>
      </c>
      <c r="BS6" s="166" t="e">
        <f>SUMPRODUCT(Table47[Rev. Based on PROB]*Table47[Expected CMR]*(Table47[Projected 
Year]=BQ$1)*(Table47[Monthly revenue]=BQ$2)*(Table47[Service]=$B6))/MAX(1,BQ6*1000)</f>
        <v>#REF!</v>
      </c>
      <c r="BT6" s="95">
        <f>ROUND(SUMIFS(Table47[Rev. Based on PROB],Table47[Service],$B6,Table47[Projected 
Year],BT$1,Table47[Monthly revenue],BT$2),-3)/1000</f>
        <v>28</v>
      </c>
      <c r="BU6" s="165" t="e">
        <f>SUMPRODUCT(Table47[Probability]*Table47[Rev. Based on PROB]*(Table47[Service]=$B6)*(Table47[Projected 
Year]=BT$1)*(Table47[Monthly revenue]=BT$2))/MAX(1,SUMPRODUCT(Table47[Rev. Based on PROB]*(Table47[Service]=$B6)*(Table47[Projected 
Year]=BT$1)*(Table47[Monthly revenue]=BT$2)))</f>
        <v>#REF!</v>
      </c>
      <c r="BV6" s="166" t="e">
        <f>SUMPRODUCT(Table47[Rev. Based on PROB]*Table47[Expected CMR]*(Table47[Projected 
Year]=BT$1)*(Table47[Monthly revenue]=BT$2)*(Table47[Service]=$B6))/MAX(1,BT6*1000)</f>
        <v>#REF!</v>
      </c>
      <c r="BW6" s="95">
        <f>ROUND(SUMIFS(Table47[Rev. Based on PROB],Table47[Service],$B6,Table47[Projected 
Year],BW$1,Table47[Monthly revenue],BW$2),-3)/1000</f>
        <v>32</v>
      </c>
      <c r="BX6" s="165" t="e">
        <f>SUMPRODUCT(Table47[Probability]*Table47[Rev. Based on PROB]*(Table47[Service]=$B6)*(Table47[Projected 
Year]=BW$1)*(Table47[Monthly revenue]=BW$2))/MAX(1,SUMPRODUCT(Table47[Rev. Based on PROB]*(Table47[Service]=$B6)*(Table47[Projected 
Year]=BW$1)*(Table47[Monthly revenue]=BW$2)))</f>
        <v>#REF!</v>
      </c>
      <c r="BY6" s="166" t="e">
        <f>SUMPRODUCT(Table47[Rev. Based on PROB]*Table47[Expected CMR]*(Table47[Projected 
Year]=BW$1)*(Table47[Monthly revenue]=BW$2)*(Table47[Service]=$B6))/MAX(1,BW6*1000)</f>
        <v>#REF!</v>
      </c>
      <c r="BZ6" s="95">
        <f t="shared" ref="BZ6:BZ24" si="4">SUM(BW6,BT6,BQ6,BN6,BK6,BH6,BE6,BB6,AY6,AV6,AS6,AP6)</f>
        <v>1332</v>
      </c>
      <c r="CA6" s="95">
        <f t="shared" si="2"/>
        <v>1</v>
      </c>
      <c r="CB6" s="95">
        <f t="shared" si="3"/>
        <v>0.29652631578947369</v>
      </c>
    </row>
    <row r="7" spans="1:80">
      <c r="A7" s="992" t="s">
        <v>492</v>
      </c>
      <c r="B7" s="980" t="s">
        <v>92</v>
      </c>
      <c r="C7" s="95">
        <f>ROUND(SUMIFS(Table4[Rev. Based on PROB],Table4[Service],$B7,Table4[Projected 
Year],C$1,Table4[Projected 
Month],C$2),-3)/1000</f>
        <v>0</v>
      </c>
      <c r="D7" s="165">
        <f>SUMPRODUCT(Table4[Probability]*Table4[Rev. Based on PROB]*(Table4[Service]=$B7)*(Table4[Projected 
Year]=C$1)*(Table4[Projected 
Month]=C$2))/MAX(1,SUMPRODUCT(Table4[Rev. Based on PROB]*(Table4[Service]=$B7)*(Table4[Projected 
Year]=C$1)*(Table4[Projected 
Month]=C$2)))</f>
        <v>0</v>
      </c>
      <c r="E7" s="166">
        <f>SUMPRODUCT(Table4[Rev. Based on PROB]*Table4[Expected CMR]*(Table4[Projected 
Year]=C$1)*(Table4[Projected 
Month]=C$2)*(Table4[Service]=$B7))/MAX(1,C7*1000)</f>
        <v>0</v>
      </c>
      <c r="F7" s="95">
        <f>ROUND(SUMIFS(Table4[Rev. Based on PROB],Table4[Service],$B7,Table4[Projected 
Year],F$1,Table4[Projected 
Month],F$2),-3)/1000</f>
        <v>0</v>
      </c>
      <c r="G7" s="165">
        <f>SUMPRODUCT(Table4[Probability]*Table4[Rev. Based on PROB]*(Table4[Service]=$B7)*(Table4[Projected 
Year]=F$1)*(Table4[Projected 
Month]=F$2))/MAX(1,SUMPRODUCT(Table4[Rev. Based on PROB]*(Table4[Service]=$B7)*(Table4[Projected 
Year]=F$1)*(Table4[Projected 
Month]=F$2)))</f>
        <v>0</v>
      </c>
      <c r="H7" s="166">
        <f>SUMPRODUCT(Table4[Rev. Based on PROB]*Table4[Expected CMR]*(Table4[Projected 
Year]=F$1)*(Table4[Projected 
Month]=F$2)*(Table4[Service]=$B7))/MAX(1,F7*1000)</f>
        <v>0</v>
      </c>
      <c r="I7" s="95">
        <f>ROUND(SUMIFS(Table4[Rev. Based on PROB],Table4[Service],$B7,Table4[Projected 
Year],I$1,Table4[Projected 
Month],I$2),-3)/1000</f>
        <v>0</v>
      </c>
      <c r="J7" s="165">
        <f>SUMPRODUCT(Table4[Probability]*Table4[Rev. Based on PROB]*(Table4[Service]=$B7)*(Table4[Projected 
Year]=I$1)*(Table4[Projected 
Month]=I$2))/MAX(1,SUMPRODUCT(Table4[Rev. Based on PROB]*(Table4[Service]=$B7)*(Table4[Projected 
Year]=I$1)*(Table4[Projected 
Month]=I$2)))</f>
        <v>0</v>
      </c>
      <c r="K7" s="166">
        <f>SUMPRODUCT(Table4[Rev. Based on PROB]*Table4[Expected CMR]*(Table4[Projected 
Year]=I$1)*(Table4[Projected 
Month]=I$2)*(Table4[Service]=$B7))/MAX(1,I7*1000)</f>
        <v>0</v>
      </c>
      <c r="L7" s="95">
        <f>ROUND(SUMIFS(Table4[Rev. Based on PROB],Table4[Service],$B7,Table4[Projected 
Year],L$1,Table4[Projected 
Month],L$2),-3)/1000</f>
        <v>0</v>
      </c>
      <c r="M7" s="165">
        <f>SUMPRODUCT(Table4[Probability]*Table4[Rev. Based on PROB]*(Table4[Service]=$B7)*(Table4[Projected 
Year]=L$1)*(Table4[Projected 
Month]=L$2))/MAX(1,SUMPRODUCT(Table4[Rev. Based on PROB]*(Table4[Service]=$B7)*(Table4[Projected 
Year]=L$1)*(Table4[Projected 
Month]=L$2)))</f>
        <v>0</v>
      </c>
      <c r="N7" s="166">
        <f>SUMPRODUCT(Table4[Rev. Based on PROB]*Table4[Expected CMR]*(Table4[Projected 
Year]=L$1)*(Table4[Projected 
Month]=L$2)*(Table4[Service]=$B7))/MAX(1,L7*1000)</f>
        <v>0</v>
      </c>
      <c r="O7" s="95">
        <f>ROUND(SUMIFS(Table4[Rev. Based on PROB],Table4[Service],$B7,Table4[Projected 
Year],O$1,Table4[Projected 
Month],O$2),-3)/1000</f>
        <v>0</v>
      </c>
      <c r="P7" s="165">
        <f>SUMPRODUCT(Table4[Probability]*Table4[Rev. Based on PROB]*(Table4[Service]=$B7)*(Table4[Projected 
Year]=O$1)*(Table4[Projected 
Month]=O$2))/MAX(1,SUMPRODUCT(Table4[Rev. Based on PROB]*(Table4[Service]=$B7)*(Table4[Projected 
Year]=O$1)*(Table4[Projected 
Month]=O$2)))</f>
        <v>0</v>
      </c>
      <c r="Q7" s="166">
        <f>SUMPRODUCT(Table4[Rev. Based on PROB]*Table4[Expected CMR]*(Table4[Projected 
Year]=O$1)*(Table4[Projected 
Month]=O$2)*(Table4[Service]=$B7))/MAX(1,O7*1000)</f>
        <v>0</v>
      </c>
      <c r="R7" s="95">
        <f>ROUND(SUMIFS(Table4[Rev. Based on PROB],Table4[Service],$B7,Table4[Projected 
Year],R$1,Table4[Projected 
Month],R$2),-3)/1000</f>
        <v>0</v>
      </c>
      <c r="S7" s="165">
        <f>SUMPRODUCT(Table4[Probability]*Table4[Rev. Based on PROB]*(Table4[Service]=$B7)*(Table4[Projected 
Year]=R$1)*(Table4[Projected 
Month]=R$2))/MAX(1,SUMPRODUCT(Table4[Rev. Based on PROB]*(Table4[Service]=$B7)*(Table4[Projected 
Year]=R$1)*(Table4[Projected 
Month]=R$2)))</f>
        <v>0</v>
      </c>
      <c r="T7" s="166">
        <f>SUMPRODUCT(Table4[Rev. Based on PROB]*Table4[Expected CMR]*(Table4[Projected 
Year]=R$1)*(Table4[Projected 
Month]=R$2)*(Table4[Service]=$B7))/MAX(1,R7*1000)</f>
        <v>0</v>
      </c>
      <c r="U7" s="95">
        <f>ROUND(SUMIFS(Table4[Rev. Based on PROB],Table4[Service],$B7,Table4[Projected 
Year],U$1,Table4[Projected 
Month],U$2),-3)/1000</f>
        <v>0</v>
      </c>
      <c r="V7" s="165">
        <f>SUMPRODUCT(Table4[Probability]*Table4[Rev. Based on PROB]*(Table4[Service]=$B7)*(Table4[Projected 
Year]=U$1)*(Table4[Projected 
Month]=U$2))/MAX(1,SUMPRODUCT(Table4[Rev. Based on PROB]*(Table4[Service]=$B7)*(Table4[Projected 
Year]=U$1)*(Table4[Projected 
Month]=U$2)))</f>
        <v>0</v>
      </c>
      <c r="W7" s="166">
        <f>SUMPRODUCT(Table4[Rev. Based on PROB]*Table4[Expected CMR]*(Table4[Projected 
Year]=U$1)*(Table4[Projected 
Month]=U$2)*(Table4[Service]=$B7))/MAX(1,U7*1000)</f>
        <v>0</v>
      </c>
      <c r="X7" s="95">
        <f>ROUND(SUMIFS(Table4[Rev. Based on PROB],Table4[Service],$B7,Table4[Projected 
Year],X$1,Table4[Projected 
Month],X$2),-3)/1000</f>
        <v>0</v>
      </c>
      <c r="Y7" s="165">
        <f>SUMPRODUCT(Table4[Probability]*Table4[Rev. Based on PROB]*(Table4[Service]=$B7)*(Table4[Projected 
Year]=X$1)*(Table4[Projected 
Month]=X$2))/MAX(1,SUMPRODUCT(Table4[Rev. Based on PROB]*(Table4[Service]=$B7)*(Table4[Projected 
Year]=X$1)*(Table4[Projected 
Month]=X$2)))</f>
        <v>0</v>
      </c>
      <c r="Z7" s="166">
        <f>SUMPRODUCT(Table4[Rev. Based on PROB]*Table4[Expected CMR]*(Table4[Projected 
Year]=X$1)*(Table4[Projected 
Month]=X$2)*(Table4[Service]=$B7))/MAX(1,X7*1000)</f>
        <v>0</v>
      </c>
      <c r="AA7" s="95">
        <f>ROUND(SUMIFS(Table4[Rev. Based on PROB],Table4[Service],$B7,Table4[Projected 
Year],AA$1,Table4[Projected 
Month],AA$2),-3)/1000</f>
        <v>0</v>
      </c>
      <c r="AB7" s="165">
        <f>SUMPRODUCT(Table4[Probability]*Table4[Rev. Based on PROB]*(Table4[Service]=$B7)*(Table4[Projected 
Year]=AA$1)*(Table4[Projected 
Month]=AA$2))/MAX(1,SUMPRODUCT(Table4[Rev. Based on PROB]*(Table4[Service]=$B7)*(Table4[Projected 
Year]=AA$1)*(Table4[Projected 
Month]=AA$2)))</f>
        <v>0</v>
      </c>
      <c r="AC7" s="166">
        <f>SUMPRODUCT(Table4[Rev. Based on PROB]*Table4[Expected CMR]*(Table4[Projected 
Year]=AA$1)*(Table4[Projected 
Month]=AA$2)*(Table4[Service]=$B7))/MAX(1,AA7*1000)</f>
        <v>0</v>
      </c>
      <c r="AD7" s="95">
        <f>ROUND(SUMIFS(Table4[Rev. Based on PROB],Table4[Service],$B7,Table4[Projected 
Year],AD$1,Table4[Projected 
Month],AD$2),-3)/1000</f>
        <v>0</v>
      </c>
      <c r="AE7" s="165">
        <f>SUMPRODUCT(Table4[Probability]*Table4[Rev. Based on PROB]*(Table4[Service]=$B7)*(Table4[Projected 
Year]=AD$1)*(Table4[Projected 
Month]=AD$2))/MAX(1,SUMPRODUCT(Table4[Rev. Based on PROB]*(Table4[Service]=$B7)*(Table4[Projected 
Year]=AD$1)*(Table4[Projected 
Month]=AD$2)))</f>
        <v>0</v>
      </c>
      <c r="AF7" s="166">
        <f>SUMPRODUCT(Table4[Rev. Based on PROB]*Table4[Expected CMR]*(Table4[Projected 
Year]=AD$1)*(Table4[Projected 
Month]=AD$2)*(Table4[Service]=$B7))/MAX(1,AD7*1000)</f>
        <v>0</v>
      </c>
      <c r="AG7" s="95">
        <f>ROUND(SUMIFS(Table4[Rev. Based on PROB],Table4[Service],$B7,Table4[Projected 
Year],AG$1,Table4[Projected 
Month],AG$2),-3)/1000</f>
        <v>0</v>
      </c>
      <c r="AH7" s="165">
        <f>SUMPRODUCT(Table4[Probability]*Table4[Rev. Based on PROB]*(Table4[Service]=$B7)*(Table4[Projected 
Year]=AG$1)*(Table4[Projected 
Month]=AG$2))/MAX(1,SUMPRODUCT(Table4[Rev. Based on PROB]*(Table4[Service]=$B7)*(Table4[Projected 
Year]=AG$1)*(Table4[Projected 
Month]=AG$2)))</f>
        <v>0</v>
      </c>
      <c r="AI7" s="166">
        <f>SUMPRODUCT(Table4[Rev. Based on PROB]*Table4[Expected CMR]*(Table4[Projected 
Year]=AG$1)*(Table4[Projected 
Month]=AG$2)*(Table4[Service]=$B7))/MAX(1,AG7*1000)</f>
        <v>0</v>
      </c>
      <c r="AJ7" s="95">
        <f>ROUND(SUMIFS(Table4[Rev. Based on PROB],Table4[Service],$B7,Table4[Projected 
Year],AJ$1,Table4[Projected 
Month],AJ$2),-3)/1000</f>
        <v>103</v>
      </c>
      <c r="AK7" s="165">
        <f>SUMPRODUCT(Table4[Probability]*Table4[Rev. Based on PROB]*(Table4[Service]=$B7)*(Table4[Projected 
Year]=AJ$1)*(Table4[Projected 
Month]=AJ$2))/MAX(1,SUMPRODUCT(Table4[Rev. Based on PROB]*(Table4[Service]=$B7)*(Table4[Projected 
Year]=AJ$1)*(Table4[Projected 
Month]=AJ$2)))</f>
        <v>1</v>
      </c>
      <c r="AL7" s="166">
        <f>SUMPRODUCT(Table4[Rev. Based on PROB]*Table4[Expected CMR]*(Table4[Projected 
Year]=AJ$1)*(Table4[Projected 
Month]=AJ$2)*(Table4[Service]=$B7))/MAX(1,AJ7*1000)</f>
        <v>0.41088772038834953</v>
      </c>
      <c r="AM7" s="30">
        <f>SUM(C7,F7,I7,L7,O7,R7,U7,X7,AA7,AD7,AG7,AJ7)</f>
        <v>103</v>
      </c>
      <c r="AN7" s="52">
        <f t="shared" si="0"/>
        <v>1</v>
      </c>
      <c r="AO7" s="53">
        <f t="shared" si="1"/>
        <v>0.41088772038834953</v>
      </c>
      <c r="AP7" s="95">
        <f>ROUND(SUMIFS(Table47[Rev. Based on PROB],Table47[Service],$B7,Table47[Projected 
Year],AP$1,Table47[Monthly revenue],AP$2),-3)/1000</f>
        <v>0</v>
      </c>
      <c r="AQ7" s="165" t="e">
        <f>SUMPRODUCT(Table47[Probability]*Table47[Rev. Based on PROB]*(Table47[Service]=$B7)*(Table47[Projected 
Year]=AP$1)*(Table47[Monthly revenue]=AP$2))/MAX(1,SUMPRODUCT(Table47[Rev. Based on PROB]*(Table47[Service]=$B7)*(Table47[Projected 
Year]=AP$1)*(Table47[Monthly revenue]=AP$2)))</f>
        <v>#REF!</v>
      </c>
      <c r="AR7" s="166" t="e">
        <f>SUMPRODUCT(Table47[Rev. Based on PROB]*Table47[Expected CMR]*(Table47[Projected 
Year]=AP$1)*(Table47[Monthly revenue]=AP$2)*(Table47[Service]=$B7))/MAX(1,AP7*1000)</f>
        <v>#REF!</v>
      </c>
      <c r="AS7" s="98">
        <f>ROUND(SUMIFS(Table47[Rev. Based on PROB],Table47[Service],$B7,Table47[Projected 
Year],AS$1,Table47[Monthly revenue],AS$2),-3)/1000</f>
        <v>45</v>
      </c>
      <c r="AT7" s="165" t="e">
        <f>SUMPRODUCT(Table47[Probability]*Table47[Rev. Based on PROB]*(Table47[Service]=$B7)*(Table47[Projected 
Year]=AS$1)*(Table47[Monthly revenue]=AS$2))/MAX(1,SUMPRODUCT(Table47[Rev. Based on PROB]*(Table47[Service]=$B7)*(Table47[Projected 
Year]=AS$1)*(Table47[Monthly revenue]=AS$2)))</f>
        <v>#REF!</v>
      </c>
      <c r="AU7" s="166" t="e">
        <f>SUMPRODUCT(Table47[Rev. Based on PROB]*Table47[Expected CMR]*(Table47[Projected 
Year]=AS$1)*(Table47[Monthly revenue]=AS$2)*(Table47[Service]=$B7))/MAX(1,AS7*1000)</f>
        <v>#REF!</v>
      </c>
      <c r="AV7" s="95">
        <f>ROUND(SUMIFS(Table47[Rev. Based on PROB],Table47[Service],$B7,Table47[Projected 
Year],AV$1,Table47[Monthly revenue],AV$2),-3)/1000</f>
        <v>150</v>
      </c>
      <c r="AW7" s="165" t="e">
        <f>SUMPRODUCT(Table47[Probability]*Table47[Rev. Based on PROB]*(Table47[Service]=$B7)*(Table47[Projected 
Year]=AV$1)*(Table47[Monthly revenue]=AV$2))/MAX(1,SUMPRODUCT(Table47[Rev. Based on PROB]*(Table47[Service]=$B7)*(Table47[Projected 
Year]=AV$1)*(Table47[Monthly revenue]=AV$2)))</f>
        <v>#REF!</v>
      </c>
      <c r="AX7" s="166" t="e">
        <f>SUMPRODUCT(Table47[Rev. Based on PROB]*Table47[Expected CMR]*(Table47[Projected 
Year]=AV$1)*(Table47[Monthly revenue]=AV$2)*(Table47[Service]=$B7))/MAX(1,AV7*1000)</f>
        <v>#REF!</v>
      </c>
      <c r="AY7" s="95">
        <f>ROUND(SUMIFS(Table47[Rev. Based on PROB],Table47[Service],$B7,Table47[Projected 
Year],AY$1,Table47[Monthly revenue],AY$2),-3)/1000</f>
        <v>144</v>
      </c>
      <c r="AZ7" s="165" t="e">
        <f>SUMPRODUCT(Table47[Probability]*Table47[Rev. Based on PROB]*(Table47[Service]=$B7)*(Table47[Projected 
Year]=AY$1)*(Table47[Monthly revenue]=AY$2))/MAX(1,SUMPRODUCT(Table47[Rev. Based on PROB]*(Table47[Service]=$B7)*(Table47[Projected 
Year]=AY$1)*(Table47[Monthly revenue]=AY$2)))</f>
        <v>#REF!</v>
      </c>
      <c r="BA7" s="166" t="e">
        <f>SUMPRODUCT(Table47[Rev. Based on PROB]*Table47[Expected CMR]*(Table47[Projected 
Year]=AY$1)*(Table47[Monthly revenue]=AY$2)*(Table47[Service]=$B7))/MAX(1,AY7*1000)</f>
        <v>#REF!</v>
      </c>
      <c r="BB7" s="95">
        <f>ROUND(SUMIFS(Table47[Rev. Based on PROB],Table47[Service],$B7,Table47[Projected 
Year],BB$1,Table47[Monthly revenue],BB$2),-3)/1000</f>
        <v>38</v>
      </c>
      <c r="BC7" s="165" t="e">
        <f>SUMPRODUCT(Table47[Probability]*Table47[Rev. Based on PROB]*(Table47[Service]=$B7)*(Table47[Projected 
Year]=BB$1)*(Table47[Monthly revenue]=BB$2))/MAX(1,SUMPRODUCT(Table47[Rev. Based on PROB]*(Table47[Service]=$B7)*(Table47[Projected 
Year]=BB$1)*(Table47[Monthly revenue]=BB$2)))</f>
        <v>#REF!</v>
      </c>
      <c r="BD7" s="166" t="e">
        <f>SUMPRODUCT(Table47[Rev. Based on PROB]*Table47[Expected CMR]*(Table47[Projected 
Year]=BB$1)*(Table47[Monthly revenue]=BB$2)*(Table47[Service]=$B7))/MAX(1,BB7*1000)</f>
        <v>#REF!</v>
      </c>
      <c r="BE7" s="95">
        <f>ROUND(SUMIFS(Table47[Rev. Based on PROB],Table47[Service],$B7,Table47[Projected 
Year],BE$1,Table47[Monthly revenue],BE$2),-3)/1000</f>
        <v>66</v>
      </c>
      <c r="BF7" s="165" t="e">
        <f>SUMPRODUCT(Table47[Probability]*Table47[Rev. Based on PROB]*(Table47[Service]=$B7)*(Table47[Projected 
Year]=BE$1)*(Table47[Monthly revenue]=BE$2))/MAX(1,SUMPRODUCT(Table47[Rev. Based on PROB]*(Table47[Service]=$B7)*(Table47[Projected 
Year]=BE$1)*(Table47[Monthly revenue]=BE$2)))</f>
        <v>#REF!</v>
      </c>
      <c r="BG7" s="166" t="e">
        <f>SUMPRODUCT(Table47[Rev. Based on PROB]*Table47[Expected CMR]*(Table47[Projected 
Year]=BE$1)*(Table47[Monthly revenue]=BE$2)*(Table47[Service]=$B7))/MAX(1,BE7*1000)</f>
        <v>#REF!</v>
      </c>
      <c r="BH7" s="95">
        <f>ROUND(SUMIFS(Table47[Rev. Based on PROB],Table47[Service],$B7,Table47[Projected 
Year],BH$1,Table47[Monthly revenue],BH$2),-3)/1000</f>
        <v>119</v>
      </c>
      <c r="BI7" s="165" t="e">
        <f>SUMPRODUCT(Table47[Probability]*Table47[Rev. Based on PROB]*(Table47[Service]=$B7)*(Table47[Projected 
Year]=BH$1)*(Table47[Monthly revenue]=BH$2))/MAX(1,SUMPRODUCT(Table47[Rev. Based on PROB]*(Table47[Service]=$B7)*(Table47[Projected 
Year]=BH$1)*(Table47[Monthly revenue]=BH$2)))</f>
        <v>#REF!</v>
      </c>
      <c r="BJ7" s="166" t="e">
        <f>SUMPRODUCT(Table47[Rev. Based on PROB]*Table47[Expected CMR]*(Table47[Projected 
Year]=BH$1)*(Table47[Monthly revenue]=BH$2)*(Table47[Service]=$B7))/MAX(1,BH7*1000)</f>
        <v>#REF!</v>
      </c>
      <c r="BK7" s="95" t="e">
        <f>ROUND(SUMIFS(Table47[Rev. Based on PROB],Table47[Service],$B7,Table47[Projected 
Year],BK$1,Table47[Monthly revenue],BK$2),-3)/1000</f>
        <v>#REF!</v>
      </c>
      <c r="BL7" s="165" t="e">
        <f>SUMPRODUCT(Table47[Probability]*Table47[Rev. Based on PROB]*(Table47[Service]=$B7)*(Table47[Projected 
Year]=BK$1)*(Table47[Monthly revenue]=BK$2))/MAX(1,SUMPRODUCT(Table47[Rev. Based on PROB]*(Table47[Service]=$B7)*(Table47[Projected 
Year]=BK$1)*(Table47[Monthly revenue]=BK$2)))</f>
        <v>#REF!</v>
      </c>
      <c r="BM7" s="166" t="e">
        <f>SUMPRODUCT(Table47[Rev. Based on PROB]*Table47[Expected CMR]*(Table47[Projected 
Year]=BK$1)*(Table47[Monthly revenue]=BK$2)*(Table47[Service]=$B7))/MAX(1,BK7*1000)</f>
        <v>#REF!</v>
      </c>
      <c r="BN7" s="95">
        <f>ROUND(SUMIFS(Table47[Rev. Based on PROB],Table47[Service],$B7,Table47[Projected 
Year],BN$1,Table47[Monthly revenue],BN$2),-3)/1000</f>
        <v>38</v>
      </c>
      <c r="BO7" s="165" t="e">
        <f>SUMPRODUCT(Table47[Probability]*Table47[Rev. Based on PROB]*(Table47[Service]=$B7)*(Table47[Projected 
Year]=BN$1)*(Table47[Monthly revenue]=BN$2))/MAX(1,SUMPRODUCT(Table47[Rev. Based on PROB]*(Table47[Service]=$B7)*(Table47[Projected 
Year]=BN$1)*(Table47[Monthly revenue]=BN$2)))</f>
        <v>#REF!</v>
      </c>
      <c r="BP7" s="166" t="e">
        <f>SUMPRODUCT(Table47[Rev. Based on PROB]*Table47[Expected CMR]*(Table47[Projected 
Year]=BN$1)*(Table47[Monthly revenue]=BN$2)*(Table47[Service]=$B7))/MAX(1,BN7*1000)</f>
        <v>#REF!</v>
      </c>
      <c r="BQ7" s="95">
        <f>ROUND(SUMIFS(Table47[Rev. Based on PROB],Table47[Service],$B7,Table47[Projected 
Year],BQ$1,Table47[Monthly revenue],BQ$2),-3)/1000</f>
        <v>30</v>
      </c>
      <c r="BR7" s="165" t="e">
        <f>SUMPRODUCT(Table47[Probability]*Table47[Rev. Based on PROB]*(Table47[Service]=$B7)*(Table47[Projected 
Year]=BQ$1)*(Table47[Monthly revenue]=BQ$2))/MAX(1,SUMPRODUCT(Table47[Rev. Based on PROB]*(Table47[Service]=$B7)*(Table47[Projected 
Year]=BQ$1)*(Table47[Monthly revenue]=BQ$2)))</f>
        <v>#REF!</v>
      </c>
      <c r="BS7" s="166" t="e">
        <f>SUMPRODUCT(Table47[Rev. Based on PROB]*Table47[Expected CMR]*(Table47[Projected 
Year]=BQ$1)*(Table47[Monthly revenue]=BQ$2)*(Table47[Service]=$B7))/MAX(1,BQ7*1000)</f>
        <v>#REF!</v>
      </c>
      <c r="BT7" s="95">
        <f>ROUND(SUMIFS(Table47[Rev. Based on PROB],Table47[Service],$B7,Table47[Projected 
Year],BT$1,Table47[Monthly revenue],BT$2),-3)/1000</f>
        <v>0</v>
      </c>
      <c r="BU7" s="165" t="e">
        <f>SUMPRODUCT(Table47[Probability]*Table47[Rev. Based on PROB]*(Table47[Service]=$B7)*(Table47[Projected 
Year]=BT$1)*(Table47[Monthly revenue]=BT$2))/MAX(1,SUMPRODUCT(Table47[Rev. Based on PROB]*(Table47[Service]=$B7)*(Table47[Projected 
Year]=BT$1)*(Table47[Monthly revenue]=BT$2)))</f>
        <v>#REF!</v>
      </c>
      <c r="BV7" s="166" t="e">
        <f>SUMPRODUCT(Table47[Rev. Based on PROB]*Table47[Expected CMR]*(Table47[Projected 
Year]=BT$1)*(Table47[Monthly revenue]=BT$2)*(Table47[Service]=$B7))/MAX(1,BT7*1000)</f>
        <v>#REF!</v>
      </c>
      <c r="BW7" s="95">
        <f>ROUND(SUMIFS(Table47[Rev. Based on PROB],Table47[Service],$B7,Table47[Projected 
Year],BW$1,Table47[Monthly revenue],BW$2),-3)/1000</f>
        <v>145</v>
      </c>
      <c r="BX7" s="165" t="e">
        <f>SUMPRODUCT(Table47[Probability]*Table47[Rev. Based on PROB]*(Table47[Service]=$B7)*(Table47[Projected 
Year]=BW$1)*(Table47[Monthly revenue]=BW$2))/MAX(1,SUMPRODUCT(Table47[Rev. Based on PROB]*(Table47[Service]=$B7)*(Table47[Projected 
Year]=BW$1)*(Table47[Monthly revenue]=BW$2)))</f>
        <v>#REF!</v>
      </c>
      <c r="BY7" s="166" t="e">
        <f>SUMPRODUCT(Table47[Rev. Based on PROB]*Table47[Expected CMR]*(Table47[Projected 
Year]=BW$1)*(Table47[Monthly revenue]=BW$2)*(Table47[Service]=$B7))/MAX(1,BW7*1000)</f>
        <v>#REF!</v>
      </c>
      <c r="BZ7" s="95" t="e">
        <f t="shared" si="4"/>
        <v>#REF!</v>
      </c>
      <c r="CA7" s="95">
        <f t="shared" si="2"/>
        <v>1</v>
      </c>
      <c r="CB7" s="95">
        <f t="shared" si="3"/>
        <v>0.41088772038834953</v>
      </c>
    </row>
    <row r="8" spans="1:80">
      <c r="A8" s="992" t="s">
        <v>71</v>
      </c>
      <c r="B8" s="980" t="s">
        <v>71</v>
      </c>
      <c r="C8" s="95">
        <f>ROUND(SUMIFS(Table4[Rev. Based on PROB],Table4[Service],$B8,Table4[Projected 
Year],C$1,Table4[Projected 
Month],C$2),-3)/1000</f>
        <v>0</v>
      </c>
      <c r="D8" s="165">
        <f>SUMPRODUCT(Table4[Probability]*Table4[Rev. Based on PROB]*(Table4[Service]=$B8)*(Table4[Projected 
Year]=C$1)*(Table4[Projected 
Month]=C$2))/MAX(1,SUMPRODUCT(Table4[Rev. Based on PROB]*(Table4[Service]=$B8)*(Table4[Projected 
Year]=C$1)*(Table4[Projected 
Month]=C$2)))</f>
        <v>0</v>
      </c>
      <c r="E8" s="166">
        <f>SUMPRODUCT(Table4[Rev. Based on PROB]*Table4[Expected CMR]*(Table4[Projected 
Year]=C$1)*(Table4[Projected 
Month]=C$2)*(Table4[Service]=$B8))/MAX(1,C8*1000)</f>
        <v>0</v>
      </c>
      <c r="F8" s="95">
        <f>ROUND(SUMIFS(Table4[Rev. Based on PROB],Table4[Service],$B8,Table4[Projected 
Year],F$1,Table4[Projected 
Month],F$2),-3)/1000</f>
        <v>0</v>
      </c>
      <c r="G8" s="165">
        <f>SUMPRODUCT(Table4[Probability]*Table4[Rev. Based on PROB]*(Table4[Service]=$B8)*(Table4[Projected 
Year]=F$1)*(Table4[Projected 
Month]=F$2))/MAX(1,SUMPRODUCT(Table4[Rev. Based on PROB]*(Table4[Service]=$B8)*(Table4[Projected 
Year]=F$1)*(Table4[Projected 
Month]=F$2)))</f>
        <v>0</v>
      </c>
      <c r="H8" s="166">
        <f>SUMPRODUCT(Table4[Rev. Based on PROB]*Table4[Expected CMR]*(Table4[Projected 
Year]=F$1)*(Table4[Projected 
Month]=F$2)*(Table4[Service]=$B8))/MAX(1,F8*1000)</f>
        <v>0</v>
      </c>
      <c r="I8" s="95">
        <f>ROUND(SUMIFS(Table4[Rev. Based on PROB],Table4[Service],$B8,Table4[Projected 
Year],I$1,Table4[Projected 
Month],I$2),-3)/1000</f>
        <v>0</v>
      </c>
      <c r="J8" s="165">
        <f>SUMPRODUCT(Table4[Probability]*Table4[Rev. Based on PROB]*(Table4[Service]=$B8)*(Table4[Projected 
Year]=I$1)*(Table4[Projected 
Month]=I$2))/MAX(1,SUMPRODUCT(Table4[Rev. Based on PROB]*(Table4[Service]=$B8)*(Table4[Projected 
Year]=I$1)*(Table4[Projected 
Month]=I$2)))</f>
        <v>0</v>
      </c>
      <c r="K8" s="166">
        <f>SUMPRODUCT(Table4[Rev. Based on PROB]*Table4[Expected CMR]*(Table4[Projected 
Year]=I$1)*(Table4[Projected 
Month]=I$2)*(Table4[Service]=$B8))/MAX(1,I8*1000)</f>
        <v>0</v>
      </c>
      <c r="L8" s="95">
        <f>ROUND(SUMIFS(Table4[Rev. Based on PROB],Table4[Service],$B8,Table4[Projected 
Year],L$1,Table4[Projected 
Month],L$2),-3)/1000</f>
        <v>0</v>
      </c>
      <c r="M8" s="165">
        <f>SUMPRODUCT(Table4[Probability]*Table4[Rev. Based on PROB]*(Table4[Service]=$B8)*(Table4[Projected 
Year]=L$1)*(Table4[Projected 
Month]=L$2))/MAX(1,SUMPRODUCT(Table4[Rev. Based on PROB]*(Table4[Service]=$B8)*(Table4[Projected 
Year]=L$1)*(Table4[Projected 
Month]=L$2)))</f>
        <v>0</v>
      </c>
      <c r="N8" s="166">
        <f>SUMPRODUCT(Table4[Rev. Based on PROB]*Table4[Expected CMR]*(Table4[Projected 
Year]=L$1)*(Table4[Projected 
Month]=L$2)*(Table4[Service]=$B8))/MAX(1,L8*1000)</f>
        <v>0</v>
      </c>
      <c r="O8" s="95">
        <f>ROUND(SUMIFS(Table4[Rev. Based on PROB],Table4[Service],$B8,Table4[Projected 
Year],O$1,Table4[Projected 
Month],O$2),-3)/1000</f>
        <v>0</v>
      </c>
      <c r="P8" s="165">
        <f>SUMPRODUCT(Table4[Probability]*Table4[Rev. Based on PROB]*(Table4[Service]=$B8)*(Table4[Projected 
Year]=O$1)*(Table4[Projected 
Month]=O$2))/MAX(1,SUMPRODUCT(Table4[Rev. Based on PROB]*(Table4[Service]=$B8)*(Table4[Projected 
Year]=O$1)*(Table4[Projected 
Month]=O$2)))</f>
        <v>0</v>
      </c>
      <c r="Q8" s="166">
        <f>SUMPRODUCT(Table4[Rev. Based on PROB]*Table4[Expected CMR]*(Table4[Projected 
Year]=O$1)*(Table4[Projected 
Month]=O$2)*(Table4[Service]=$B8))/MAX(1,O8*1000)</f>
        <v>0</v>
      </c>
      <c r="R8" s="95">
        <f>ROUND(SUMIFS(Table4[Rev. Based on PROB],Table4[Service],$B8,Table4[Projected 
Year],R$1,Table4[Projected 
Month],R$2),-3)/1000</f>
        <v>0</v>
      </c>
      <c r="S8" s="165">
        <f>SUMPRODUCT(Table4[Probability]*Table4[Rev. Based on PROB]*(Table4[Service]=$B8)*(Table4[Projected 
Year]=R$1)*(Table4[Projected 
Month]=R$2))/MAX(1,SUMPRODUCT(Table4[Rev. Based on PROB]*(Table4[Service]=$B8)*(Table4[Projected 
Year]=R$1)*(Table4[Projected 
Month]=R$2)))</f>
        <v>0</v>
      </c>
      <c r="T8" s="166">
        <f>SUMPRODUCT(Table4[Rev. Based on PROB]*Table4[Expected CMR]*(Table4[Projected 
Year]=R$1)*(Table4[Projected 
Month]=R$2)*(Table4[Service]=$B8))/MAX(1,R8*1000)</f>
        <v>0</v>
      </c>
      <c r="U8" s="95">
        <f>ROUND(SUMIFS(Table4[Rev. Based on PROB],Table4[Service],$B8,Table4[Projected 
Year],U$1,Table4[Projected 
Month],U$2),-3)/1000</f>
        <v>0</v>
      </c>
      <c r="V8" s="165">
        <f>SUMPRODUCT(Table4[Probability]*Table4[Rev. Based on PROB]*(Table4[Service]=$B8)*(Table4[Projected 
Year]=U$1)*(Table4[Projected 
Month]=U$2))/MAX(1,SUMPRODUCT(Table4[Rev. Based on PROB]*(Table4[Service]=$B8)*(Table4[Projected 
Year]=U$1)*(Table4[Projected 
Month]=U$2)))</f>
        <v>0</v>
      </c>
      <c r="W8" s="166">
        <f>SUMPRODUCT(Table4[Rev. Based on PROB]*Table4[Expected CMR]*(Table4[Projected 
Year]=U$1)*(Table4[Projected 
Month]=U$2)*(Table4[Service]=$B8))/MAX(1,U8*1000)</f>
        <v>0</v>
      </c>
      <c r="X8" s="95">
        <f>ROUND(SUMIFS(Table4[Rev. Based on PROB],Table4[Service],$B8,Table4[Projected 
Year],X$1,Table4[Projected 
Month],X$2),-3)/1000</f>
        <v>0</v>
      </c>
      <c r="Y8" s="165">
        <f>SUMPRODUCT(Table4[Probability]*Table4[Rev. Based on PROB]*(Table4[Service]=$B8)*(Table4[Projected 
Year]=X$1)*(Table4[Projected 
Month]=X$2))/MAX(1,SUMPRODUCT(Table4[Rev. Based on PROB]*(Table4[Service]=$B8)*(Table4[Projected 
Year]=X$1)*(Table4[Projected 
Month]=X$2)))</f>
        <v>0</v>
      </c>
      <c r="Z8" s="166">
        <f>SUMPRODUCT(Table4[Rev. Based on PROB]*Table4[Expected CMR]*(Table4[Projected 
Year]=X$1)*(Table4[Projected 
Month]=X$2)*(Table4[Service]=$B8))/MAX(1,X8*1000)</f>
        <v>0</v>
      </c>
      <c r="AA8" s="95">
        <f>ROUND(SUMIFS(Table4[Rev. Based on PROB],Table4[Service],$B8,Table4[Projected 
Year],AA$1,Table4[Projected 
Month],AA$2),-3)/1000</f>
        <v>0</v>
      </c>
      <c r="AB8" s="165">
        <f>SUMPRODUCT(Table4[Probability]*Table4[Rev. Based on PROB]*(Table4[Service]=$B8)*(Table4[Projected 
Year]=AA$1)*(Table4[Projected 
Month]=AA$2))/MAX(1,SUMPRODUCT(Table4[Rev. Based on PROB]*(Table4[Service]=$B8)*(Table4[Projected 
Year]=AA$1)*(Table4[Projected 
Month]=AA$2)))</f>
        <v>0</v>
      </c>
      <c r="AC8" s="166">
        <f>SUMPRODUCT(Table4[Rev. Based on PROB]*Table4[Expected CMR]*(Table4[Projected 
Year]=AA$1)*(Table4[Projected 
Month]=AA$2)*(Table4[Service]=$B8))/MAX(1,AA8*1000)</f>
        <v>0</v>
      </c>
      <c r="AD8" s="95">
        <f>ROUND(SUMIFS(Table4[Rev. Based on PROB],Table4[Service],$B8,Table4[Projected 
Year],AD$1,Table4[Projected 
Month],AD$2),-3)/1000</f>
        <v>0</v>
      </c>
      <c r="AE8" s="165">
        <f>SUMPRODUCT(Table4[Probability]*Table4[Rev. Based on PROB]*(Table4[Service]=$B8)*(Table4[Projected 
Year]=AD$1)*(Table4[Projected 
Month]=AD$2))/MAX(1,SUMPRODUCT(Table4[Rev. Based on PROB]*(Table4[Service]=$B8)*(Table4[Projected 
Year]=AD$1)*(Table4[Projected 
Month]=AD$2)))</f>
        <v>0</v>
      </c>
      <c r="AF8" s="166">
        <f>SUMPRODUCT(Table4[Rev. Based on PROB]*Table4[Expected CMR]*(Table4[Projected 
Year]=AD$1)*(Table4[Projected 
Month]=AD$2)*(Table4[Service]=$B8))/MAX(1,AD8*1000)</f>
        <v>0</v>
      </c>
      <c r="AG8" s="95">
        <f>ROUND(SUMIFS(Table4[Rev. Based on PROB],Table4[Service],$B8,Table4[Projected 
Year],AG$1,Table4[Projected 
Month],AG$2),-3)/1000</f>
        <v>0</v>
      </c>
      <c r="AH8" s="165">
        <f>SUMPRODUCT(Table4[Probability]*Table4[Rev. Based on PROB]*(Table4[Service]=$B8)*(Table4[Projected 
Year]=AG$1)*(Table4[Projected 
Month]=AG$2))/MAX(1,SUMPRODUCT(Table4[Rev. Based on PROB]*(Table4[Service]=$B8)*(Table4[Projected 
Year]=AG$1)*(Table4[Projected 
Month]=AG$2)))</f>
        <v>0</v>
      </c>
      <c r="AI8" s="166">
        <f>SUMPRODUCT(Table4[Rev. Based on PROB]*Table4[Expected CMR]*(Table4[Projected 
Year]=AG$1)*(Table4[Projected 
Month]=AG$2)*(Table4[Service]=$B8))/MAX(1,AG8*1000)</f>
        <v>0</v>
      </c>
      <c r="AJ8" s="95">
        <f>ROUND(SUMIFS(Table4[Rev. Based on PROB],Table4[Service],$B8,Table4[Projected 
Year],AJ$1,Table4[Projected 
Month],AJ$2),-3)/1000</f>
        <v>0</v>
      </c>
      <c r="AK8" s="165">
        <f>SUMPRODUCT(Table4[Probability]*Table4[Rev. Based on PROB]*(Table4[Service]=$B8)*(Table4[Projected 
Year]=AJ$1)*(Table4[Projected 
Month]=AJ$2))/MAX(1,SUMPRODUCT(Table4[Rev. Based on PROB]*(Table4[Service]=$B8)*(Table4[Projected 
Year]=AJ$1)*(Table4[Projected 
Month]=AJ$2)))</f>
        <v>0</v>
      </c>
      <c r="AL8" s="166">
        <f>SUMPRODUCT(Table4[Rev. Based on PROB]*Table4[Expected CMR]*(Table4[Projected 
Year]=AJ$1)*(Table4[Projected 
Month]=AJ$2)*(Table4[Service]=$B8))/MAX(1,AJ8*1000)</f>
        <v>0</v>
      </c>
      <c r="AM8" s="30">
        <f>SUM(C8,F8,I8,L8,O8,R8,U8,X8,AA8,AD8,AG8,AJ8)</f>
        <v>0</v>
      </c>
      <c r="AN8" s="52">
        <f t="shared" si="0"/>
        <v>0</v>
      </c>
      <c r="AO8" s="53">
        <f t="shared" si="1"/>
        <v>0</v>
      </c>
      <c r="AP8" s="95">
        <f>ROUND(SUMIFS(Table47[Rev. Based on PROB],Table47[Service],$B8,Table47[Projected 
Year],AP$1,Table47[Monthly revenue],AP$2),-3)/1000</f>
        <v>0</v>
      </c>
      <c r="AQ8" s="165" t="e">
        <f>SUMPRODUCT(Table47[Probability]*Table47[Rev. Based on PROB]*(Table47[Service]=$B8)*(Table47[Projected 
Year]=AP$1)*(Table47[Monthly revenue]=AP$2))/MAX(1,SUMPRODUCT(Table47[Rev. Based on PROB]*(Table47[Service]=$B8)*(Table47[Projected 
Year]=AP$1)*(Table47[Monthly revenue]=AP$2)))</f>
        <v>#REF!</v>
      </c>
      <c r="AR8" s="166" t="e">
        <f>SUMPRODUCT(Table47[Rev. Based on PROB]*Table47[Expected CMR]*(Table47[Projected 
Year]=AP$1)*(Table47[Monthly revenue]=AP$2)*(Table47[Service]=$B8))/MAX(1,AP8*1000)</f>
        <v>#REF!</v>
      </c>
      <c r="AS8" s="98">
        <f>ROUND(SUMIFS(Table47[Rev. Based on PROB],Table47[Service],$B8,Table47[Projected 
Year],AS$1,Table47[Monthly revenue],AS$2),-3)/1000</f>
        <v>15</v>
      </c>
      <c r="AT8" s="165" t="e">
        <f>SUMPRODUCT(Table47[Probability]*Table47[Rev. Based on PROB]*(Table47[Service]=$B8)*(Table47[Projected 
Year]=AS$1)*(Table47[Monthly revenue]=AS$2))/MAX(1,SUMPRODUCT(Table47[Rev. Based on PROB]*(Table47[Service]=$B8)*(Table47[Projected 
Year]=AS$1)*(Table47[Monthly revenue]=AS$2)))</f>
        <v>#REF!</v>
      </c>
      <c r="AU8" s="166" t="e">
        <f>SUMPRODUCT(Table47[Rev. Based on PROB]*Table47[Expected CMR]*(Table47[Projected 
Year]=AS$1)*(Table47[Monthly revenue]=AS$2)*(Table47[Service]=$B8))/MAX(1,AS8*1000)</f>
        <v>#REF!</v>
      </c>
      <c r="AV8" s="95">
        <f>ROUND(SUMIFS(Table47[Rev. Based on PROB],Table47[Service],$B8,Table47[Projected 
Year],AV$1,Table47[Monthly revenue],AV$2),-3)/1000</f>
        <v>78</v>
      </c>
      <c r="AW8" s="165" t="e">
        <f>SUMPRODUCT(Table47[Probability]*Table47[Rev. Based on PROB]*(Table47[Service]=$B8)*(Table47[Projected 
Year]=AV$1)*(Table47[Monthly revenue]=AV$2))/MAX(1,SUMPRODUCT(Table47[Rev. Based on PROB]*(Table47[Service]=$B8)*(Table47[Projected 
Year]=AV$1)*(Table47[Monthly revenue]=AV$2)))</f>
        <v>#REF!</v>
      </c>
      <c r="AX8" s="166" t="e">
        <f>SUMPRODUCT(Table47[Rev. Based on PROB]*Table47[Expected CMR]*(Table47[Projected 
Year]=AV$1)*(Table47[Monthly revenue]=AV$2)*(Table47[Service]=$B8))/MAX(1,AV8*1000)</f>
        <v>#REF!</v>
      </c>
      <c r="AY8" s="95">
        <f>ROUND(SUMIFS(Table47[Rev. Based on PROB],Table47[Service],$B8,Table47[Projected 
Year],AY$1,Table47[Monthly revenue],AY$2),-3)/1000</f>
        <v>0</v>
      </c>
      <c r="AZ8" s="165" t="e">
        <f>SUMPRODUCT(Table47[Probability]*Table47[Rev. Based on PROB]*(Table47[Service]=$B8)*(Table47[Projected 
Year]=AY$1)*(Table47[Monthly revenue]=AY$2))/MAX(1,SUMPRODUCT(Table47[Rev. Based on PROB]*(Table47[Service]=$B8)*(Table47[Projected 
Year]=AY$1)*(Table47[Monthly revenue]=AY$2)))</f>
        <v>#REF!</v>
      </c>
      <c r="BA8" s="166" t="e">
        <f>SUMPRODUCT(Table47[Rev. Based on PROB]*Table47[Expected CMR]*(Table47[Projected 
Year]=AY$1)*(Table47[Monthly revenue]=AY$2)*(Table47[Service]=$B8))/MAX(1,AY8*1000)</f>
        <v>#REF!</v>
      </c>
      <c r="BB8" s="95">
        <f>ROUND(SUMIFS(Table47[Rev. Based on PROB],Table47[Service],$B8,Table47[Projected 
Year],BB$1,Table47[Monthly revenue],BB$2),-3)/1000</f>
        <v>32</v>
      </c>
      <c r="BC8" s="165" t="e">
        <f>SUMPRODUCT(Table47[Probability]*Table47[Rev. Based on PROB]*(Table47[Service]=$B8)*(Table47[Projected 
Year]=BB$1)*(Table47[Monthly revenue]=BB$2))/MAX(1,SUMPRODUCT(Table47[Rev. Based on PROB]*(Table47[Service]=$B8)*(Table47[Projected 
Year]=BB$1)*(Table47[Monthly revenue]=BB$2)))</f>
        <v>#REF!</v>
      </c>
      <c r="BD8" s="166" t="e">
        <f>SUMPRODUCT(Table47[Rev. Based on PROB]*Table47[Expected CMR]*(Table47[Projected 
Year]=BB$1)*(Table47[Monthly revenue]=BB$2)*(Table47[Service]=$B8))/MAX(1,BB8*1000)</f>
        <v>#REF!</v>
      </c>
      <c r="BE8" s="95">
        <f>ROUND(SUMIFS(Table47[Rev. Based on PROB],Table47[Service],$B8,Table47[Projected 
Year],BE$1,Table47[Monthly revenue],BE$2),-3)/1000</f>
        <v>39</v>
      </c>
      <c r="BF8" s="165" t="e">
        <f>SUMPRODUCT(Table47[Probability]*Table47[Rev. Based on PROB]*(Table47[Service]=$B8)*(Table47[Projected 
Year]=BE$1)*(Table47[Monthly revenue]=BE$2))/MAX(1,SUMPRODUCT(Table47[Rev. Based on PROB]*(Table47[Service]=$B8)*(Table47[Projected 
Year]=BE$1)*(Table47[Monthly revenue]=BE$2)))</f>
        <v>#REF!</v>
      </c>
      <c r="BG8" s="166" t="e">
        <f>SUMPRODUCT(Table47[Rev. Based on PROB]*Table47[Expected CMR]*(Table47[Projected 
Year]=BE$1)*(Table47[Monthly revenue]=BE$2)*(Table47[Service]=$B8))/MAX(1,BE8*1000)</f>
        <v>#REF!</v>
      </c>
      <c r="BH8" s="95">
        <f>ROUND(SUMIFS(Table47[Rev. Based on PROB],Table47[Service],$B8,Table47[Projected 
Year],BH$1,Table47[Monthly revenue],BH$2),-3)/1000</f>
        <v>47</v>
      </c>
      <c r="BI8" s="165" t="e">
        <f>SUMPRODUCT(Table47[Probability]*Table47[Rev. Based on PROB]*(Table47[Service]=$B8)*(Table47[Projected 
Year]=BH$1)*(Table47[Monthly revenue]=BH$2))/MAX(1,SUMPRODUCT(Table47[Rev. Based on PROB]*(Table47[Service]=$B8)*(Table47[Projected 
Year]=BH$1)*(Table47[Monthly revenue]=BH$2)))</f>
        <v>#REF!</v>
      </c>
      <c r="BJ8" s="166" t="e">
        <f>SUMPRODUCT(Table47[Rev. Based on PROB]*Table47[Expected CMR]*(Table47[Projected 
Year]=BH$1)*(Table47[Monthly revenue]=BH$2)*(Table47[Service]=$B8))/MAX(1,BH8*1000)</f>
        <v>#REF!</v>
      </c>
      <c r="BK8" s="95">
        <f>ROUND(SUMIFS(Table47[Rev. Based on PROB],Table47[Service],$B8,Table47[Projected 
Year],BK$1,Table47[Monthly revenue],BK$2),-3)/1000</f>
        <v>13</v>
      </c>
      <c r="BL8" s="165" t="e">
        <f>SUMPRODUCT(Table47[Probability]*Table47[Rev. Based on PROB]*(Table47[Service]=$B8)*(Table47[Projected 
Year]=BK$1)*(Table47[Monthly revenue]=BK$2))/MAX(1,SUMPRODUCT(Table47[Rev. Based on PROB]*(Table47[Service]=$B8)*(Table47[Projected 
Year]=BK$1)*(Table47[Monthly revenue]=BK$2)))</f>
        <v>#REF!</v>
      </c>
      <c r="BM8" s="166" t="e">
        <f>SUMPRODUCT(Table47[Rev. Based on PROB]*Table47[Expected CMR]*(Table47[Projected 
Year]=BK$1)*(Table47[Monthly revenue]=BK$2)*(Table47[Service]=$B8))/MAX(1,BK8*1000)</f>
        <v>#REF!</v>
      </c>
      <c r="BN8" s="95">
        <f>ROUND(SUMIFS(Table47[Rev. Based on PROB],Table47[Service],$B8,Table47[Projected 
Year],BN$1,Table47[Monthly revenue],BN$2),-3)/1000</f>
        <v>177</v>
      </c>
      <c r="BO8" s="165" t="e">
        <f>SUMPRODUCT(Table47[Probability]*Table47[Rev. Based on PROB]*(Table47[Service]=$B8)*(Table47[Projected 
Year]=BN$1)*(Table47[Monthly revenue]=BN$2))/MAX(1,SUMPRODUCT(Table47[Rev. Based on PROB]*(Table47[Service]=$B8)*(Table47[Projected 
Year]=BN$1)*(Table47[Monthly revenue]=BN$2)))</f>
        <v>#REF!</v>
      </c>
      <c r="BP8" s="166" t="e">
        <f>SUMPRODUCT(Table47[Rev. Based on PROB]*Table47[Expected CMR]*(Table47[Projected 
Year]=BN$1)*(Table47[Monthly revenue]=BN$2)*(Table47[Service]=$B8))/MAX(1,BN8*1000)</f>
        <v>#REF!</v>
      </c>
      <c r="BQ8" s="95">
        <f>ROUND(SUMIFS(Table47[Rev. Based on PROB],Table47[Service],$B8,Table47[Projected 
Year],BQ$1,Table47[Monthly revenue],BQ$2),-3)/1000</f>
        <v>235</v>
      </c>
      <c r="BR8" s="165" t="e">
        <f>SUMPRODUCT(Table47[Probability]*Table47[Rev. Based on PROB]*(Table47[Service]=$B8)*(Table47[Projected 
Year]=BQ$1)*(Table47[Monthly revenue]=BQ$2))/MAX(1,SUMPRODUCT(Table47[Rev. Based on PROB]*(Table47[Service]=$B8)*(Table47[Projected 
Year]=BQ$1)*(Table47[Monthly revenue]=BQ$2)))</f>
        <v>#REF!</v>
      </c>
      <c r="BS8" s="166" t="e">
        <f>SUMPRODUCT(Table47[Rev. Based on PROB]*Table47[Expected CMR]*(Table47[Projected 
Year]=BQ$1)*(Table47[Monthly revenue]=BQ$2)*(Table47[Service]=$B8))/MAX(1,BQ8*1000)</f>
        <v>#REF!</v>
      </c>
      <c r="BT8" s="95">
        <f>ROUND(SUMIFS(Table47[Rev. Based on PROB],Table47[Service],$B8,Table47[Projected 
Year],BT$1,Table47[Monthly revenue],BT$2),-3)/1000</f>
        <v>121</v>
      </c>
      <c r="BU8" s="165" t="e">
        <f>SUMPRODUCT(Table47[Probability]*Table47[Rev. Based on PROB]*(Table47[Service]=$B8)*(Table47[Projected 
Year]=BT$1)*(Table47[Monthly revenue]=BT$2))/MAX(1,SUMPRODUCT(Table47[Rev. Based on PROB]*(Table47[Service]=$B8)*(Table47[Projected 
Year]=BT$1)*(Table47[Monthly revenue]=BT$2)))</f>
        <v>#REF!</v>
      </c>
      <c r="BV8" s="166" t="e">
        <f>SUMPRODUCT(Table47[Rev. Based on PROB]*Table47[Expected CMR]*(Table47[Projected 
Year]=BT$1)*(Table47[Monthly revenue]=BT$2)*(Table47[Service]=$B8))/MAX(1,BT8*1000)</f>
        <v>#REF!</v>
      </c>
      <c r="BW8" s="95">
        <f>ROUND(SUMIFS(Table47[Rev. Based on PROB],Table47[Service],$B8,Table47[Projected 
Year],BW$1,Table47[Monthly revenue],BW$2),-3)/1000</f>
        <v>66</v>
      </c>
      <c r="BX8" s="165" t="e">
        <f>SUMPRODUCT(Table47[Probability]*Table47[Rev. Based on PROB]*(Table47[Service]=$B8)*(Table47[Projected 
Year]=BW$1)*(Table47[Monthly revenue]=BW$2))/MAX(1,SUMPRODUCT(Table47[Rev. Based on PROB]*(Table47[Service]=$B8)*(Table47[Projected 
Year]=BW$1)*(Table47[Monthly revenue]=BW$2)))</f>
        <v>#REF!</v>
      </c>
      <c r="BY8" s="166" t="e">
        <f>SUMPRODUCT(Table47[Rev. Based on PROB]*Table47[Expected CMR]*(Table47[Projected 
Year]=BW$1)*(Table47[Monthly revenue]=BW$2)*(Table47[Service]=$B8))/MAX(1,BW8*1000)</f>
        <v>#REF!</v>
      </c>
      <c r="BZ8" s="95">
        <f t="shared" si="4"/>
        <v>823</v>
      </c>
      <c r="CA8" s="95">
        <f t="shared" si="2"/>
        <v>0</v>
      </c>
      <c r="CB8" s="95">
        <f t="shared" si="3"/>
        <v>0</v>
      </c>
    </row>
    <row r="9" spans="1:80">
      <c r="A9" s="991" t="s">
        <v>493</v>
      </c>
      <c r="B9" s="994" t="s">
        <v>83</v>
      </c>
      <c r="C9" s="95">
        <f>ROUND(SUMIFS(Table4[Rev. Based on PROB],Table4[Service],$B9,Table4[Projected 
Year],C$1,Table4[Projected 
Month],C$2),-3)/1000</f>
        <v>0</v>
      </c>
      <c r="D9" s="165">
        <f>SUMPRODUCT(Table4[Probability]*Table4[Rev. Based on PROB]*(Table4[Service]=$B9)*(Table4[Projected 
Year]=C$1)*(Table4[Projected 
Month]=C$2))/MAX(1,SUMPRODUCT(Table4[Rev. Based on PROB]*(Table4[Service]=$B9)*(Table4[Projected 
Year]=C$1)*(Table4[Projected 
Month]=C$2)))</f>
        <v>0</v>
      </c>
      <c r="E9" s="166">
        <f>SUMPRODUCT(Table4[Rev. Based on PROB]*Table4[Expected CMR]*(Table4[Projected 
Year]=C$1)*(Table4[Projected 
Month]=C$2)*(Table4[Service]=$B9))/MAX(1,C9*1000)</f>
        <v>0</v>
      </c>
      <c r="F9" s="95">
        <f>ROUND(SUMIFS(Table4[Rev. Based on PROB],Table4[Service],$B9,Table4[Projected 
Year],F$1,Table4[Projected 
Month],F$2),-3)/1000</f>
        <v>0</v>
      </c>
      <c r="G9" s="165">
        <f>SUMPRODUCT(Table4[Probability]*Table4[Rev. Based on PROB]*(Table4[Service]=$B9)*(Table4[Projected 
Year]=F$1)*(Table4[Projected 
Month]=F$2))/MAX(1,SUMPRODUCT(Table4[Rev. Based on PROB]*(Table4[Service]=$B9)*(Table4[Projected 
Year]=F$1)*(Table4[Projected 
Month]=F$2)))</f>
        <v>0</v>
      </c>
      <c r="H9" s="166">
        <f>SUMPRODUCT(Table4[Rev. Based on PROB]*Table4[Expected CMR]*(Table4[Projected 
Year]=F$1)*(Table4[Projected 
Month]=F$2)*(Table4[Service]=$B9))/MAX(1,F9*1000)</f>
        <v>0</v>
      </c>
      <c r="I9" s="95">
        <f>ROUND(SUMIFS(Table4[Rev. Based on PROB],Table4[Service],$B9,Table4[Projected 
Year],I$1,Table4[Projected 
Month],I$2),-3)/1000</f>
        <v>0</v>
      </c>
      <c r="J9" s="165">
        <f>SUMPRODUCT(Table4[Probability]*Table4[Rev. Based on PROB]*(Table4[Service]=$B9)*(Table4[Projected 
Year]=I$1)*(Table4[Projected 
Month]=I$2))/MAX(1,SUMPRODUCT(Table4[Rev. Based on PROB]*(Table4[Service]=$B9)*(Table4[Projected 
Year]=I$1)*(Table4[Projected 
Month]=I$2)))</f>
        <v>0</v>
      </c>
      <c r="K9" s="166">
        <f>SUMPRODUCT(Table4[Rev. Based on PROB]*Table4[Expected CMR]*(Table4[Projected 
Year]=I$1)*(Table4[Projected 
Month]=I$2)*(Table4[Service]=$B9))/MAX(1,I9*1000)</f>
        <v>0</v>
      </c>
      <c r="L9" s="95">
        <f>ROUND(SUMIFS(Table4[Rev. Based on PROB],Table4[Service],$B9,Table4[Projected 
Year],L$1,Table4[Projected 
Month],L$2),-3)/1000</f>
        <v>0</v>
      </c>
      <c r="M9" s="165">
        <f>SUMPRODUCT(Table4[Probability]*Table4[Rev. Based on PROB]*(Table4[Service]=$B9)*(Table4[Projected 
Year]=L$1)*(Table4[Projected 
Month]=L$2))/MAX(1,SUMPRODUCT(Table4[Rev. Based on PROB]*(Table4[Service]=$B9)*(Table4[Projected 
Year]=L$1)*(Table4[Projected 
Month]=L$2)))</f>
        <v>0</v>
      </c>
      <c r="N9" s="166">
        <f>SUMPRODUCT(Table4[Rev. Based on PROB]*Table4[Expected CMR]*(Table4[Projected 
Year]=L$1)*(Table4[Projected 
Month]=L$2)*(Table4[Service]=$B9))/MAX(1,L9*1000)</f>
        <v>0</v>
      </c>
      <c r="O9" s="95">
        <f>ROUND(SUMIFS(Table4[Rev. Based on PROB],Table4[Service],$B9,Table4[Projected 
Year],O$1,Table4[Projected 
Month],O$2),-3)/1000</f>
        <v>0</v>
      </c>
      <c r="P9" s="165">
        <f>SUMPRODUCT(Table4[Probability]*Table4[Rev. Based on PROB]*(Table4[Service]=$B9)*(Table4[Projected 
Year]=O$1)*(Table4[Projected 
Month]=O$2))/MAX(1,SUMPRODUCT(Table4[Rev. Based on PROB]*(Table4[Service]=$B9)*(Table4[Projected 
Year]=O$1)*(Table4[Projected 
Month]=O$2)))</f>
        <v>0</v>
      </c>
      <c r="Q9" s="166">
        <f>SUMPRODUCT(Table4[Rev. Based on PROB]*Table4[Expected CMR]*(Table4[Projected 
Year]=O$1)*(Table4[Projected 
Month]=O$2)*(Table4[Service]=$B9))/MAX(1,O9*1000)</f>
        <v>0</v>
      </c>
      <c r="R9" s="95">
        <f>ROUND(SUMIFS(Table4[Rev. Based on PROB],Table4[Service],$B9,Table4[Projected 
Year],R$1,Table4[Projected 
Month],R$2),-3)/1000</f>
        <v>0</v>
      </c>
      <c r="S9" s="165">
        <f>SUMPRODUCT(Table4[Probability]*Table4[Rev. Based on PROB]*(Table4[Service]=$B9)*(Table4[Projected 
Year]=R$1)*(Table4[Projected 
Month]=R$2))/MAX(1,SUMPRODUCT(Table4[Rev. Based on PROB]*(Table4[Service]=$B9)*(Table4[Projected 
Year]=R$1)*(Table4[Projected 
Month]=R$2)))</f>
        <v>0</v>
      </c>
      <c r="T9" s="166">
        <f>SUMPRODUCT(Table4[Rev. Based on PROB]*Table4[Expected CMR]*(Table4[Projected 
Year]=R$1)*(Table4[Projected 
Month]=R$2)*(Table4[Service]=$B9))/MAX(1,R9*1000)</f>
        <v>0</v>
      </c>
      <c r="U9" s="95">
        <f>ROUND(SUMIFS(Table4[Rev. Based on PROB],Table4[Service],$B9,Table4[Projected 
Year],U$1,Table4[Projected 
Month],U$2),-3)/1000</f>
        <v>0</v>
      </c>
      <c r="V9" s="165">
        <f>SUMPRODUCT(Table4[Probability]*Table4[Rev. Based on PROB]*(Table4[Service]=$B9)*(Table4[Projected 
Year]=U$1)*(Table4[Projected 
Month]=U$2))/MAX(1,SUMPRODUCT(Table4[Rev. Based on PROB]*(Table4[Service]=$B9)*(Table4[Projected 
Year]=U$1)*(Table4[Projected 
Month]=U$2)))</f>
        <v>0</v>
      </c>
      <c r="W9" s="166">
        <f>SUMPRODUCT(Table4[Rev. Based on PROB]*Table4[Expected CMR]*(Table4[Projected 
Year]=U$1)*(Table4[Projected 
Month]=U$2)*(Table4[Service]=$B9))/MAX(1,U9*1000)</f>
        <v>0</v>
      </c>
      <c r="X9" s="95">
        <f>ROUND(SUMIFS(Table4[Rev. Based on PROB],Table4[Service],$B9,Table4[Projected 
Year],X$1,Table4[Projected 
Month],X$2),-3)/1000</f>
        <v>0</v>
      </c>
      <c r="Y9" s="165">
        <f>SUMPRODUCT(Table4[Probability]*Table4[Rev. Based on PROB]*(Table4[Service]=$B9)*(Table4[Projected 
Year]=X$1)*(Table4[Projected 
Month]=X$2))/MAX(1,SUMPRODUCT(Table4[Rev. Based on PROB]*(Table4[Service]=$B9)*(Table4[Projected 
Year]=X$1)*(Table4[Projected 
Month]=X$2)))</f>
        <v>0</v>
      </c>
      <c r="Z9" s="166">
        <f>SUMPRODUCT(Table4[Rev. Based on PROB]*Table4[Expected CMR]*(Table4[Projected 
Year]=X$1)*(Table4[Projected 
Month]=X$2)*(Table4[Service]=$B9))/MAX(1,X9*1000)</f>
        <v>0</v>
      </c>
      <c r="AA9" s="95">
        <f>ROUND(SUMIFS(Table4[Rev. Based on PROB],Table4[Service],$B9,Table4[Projected 
Year],AA$1,Table4[Projected 
Month],AA$2),-3)/1000</f>
        <v>0</v>
      </c>
      <c r="AB9" s="165">
        <f>SUMPRODUCT(Table4[Probability]*Table4[Rev. Based on PROB]*(Table4[Service]=$B9)*(Table4[Projected 
Year]=AA$1)*(Table4[Projected 
Month]=AA$2))/MAX(1,SUMPRODUCT(Table4[Rev. Based on PROB]*(Table4[Service]=$B9)*(Table4[Projected 
Year]=AA$1)*(Table4[Projected 
Month]=AA$2)))</f>
        <v>0</v>
      </c>
      <c r="AC9" s="166">
        <f>SUMPRODUCT(Table4[Rev. Based on PROB]*Table4[Expected CMR]*(Table4[Projected 
Year]=AA$1)*(Table4[Projected 
Month]=AA$2)*(Table4[Service]=$B9))/MAX(1,AA9*1000)</f>
        <v>0</v>
      </c>
      <c r="AD9" s="95">
        <f>ROUND(SUMIFS(Table4[Rev. Based on PROB],Table4[Service],$B9,Table4[Projected 
Year],AD$1,Table4[Projected 
Month],AD$2),-3)/1000</f>
        <v>0</v>
      </c>
      <c r="AE9" s="165">
        <f>SUMPRODUCT(Table4[Probability]*Table4[Rev. Based on PROB]*(Table4[Service]=$B9)*(Table4[Projected 
Year]=AD$1)*(Table4[Projected 
Month]=AD$2))/MAX(1,SUMPRODUCT(Table4[Rev. Based on PROB]*(Table4[Service]=$B9)*(Table4[Projected 
Year]=AD$1)*(Table4[Projected 
Month]=AD$2)))</f>
        <v>0</v>
      </c>
      <c r="AF9" s="166">
        <f>SUMPRODUCT(Table4[Rev. Based on PROB]*Table4[Expected CMR]*(Table4[Projected 
Year]=AD$1)*(Table4[Projected 
Month]=AD$2)*(Table4[Service]=$B9))/MAX(1,AD9*1000)</f>
        <v>0</v>
      </c>
      <c r="AG9" s="95">
        <f>ROUND(SUMIFS(Table4[Rev. Based on PROB],Table4[Service],$B9,Table4[Projected 
Year],AG$1,Table4[Projected 
Month],AG$2),-3)/1000</f>
        <v>0</v>
      </c>
      <c r="AH9" s="165">
        <f>SUMPRODUCT(Table4[Probability]*Table4[Rev. Based on PROB]*(Table4[Service]=$B9)*(Table4[Projected 
Year]=AG$1)*(Table4[Projected 
Month]=AG$2))/MAX(1,SUMPRODUCT(Table4[Rev. Based on PROB]*(Table4[Service]=$B9)*(Table4[Projected 
Year]=AG$1)*(Table4[Projected 
Month]=AG$2)))</f>
        <v>0</v>
      </c>
      <c r="AI9" s="166">
        <f>SUMPRODUCT(Table4[Rev. Based on PROB]*Table4[Expected CMR]*(Table4[Projected 
Year]=AG$1)*(Table4[Projected 
Month]=AG$2)*(Table4[Service]=$B9))/MAX(1,AG9*1000)</f>
        <v>0</v>
      </c>
      <c r="AJ9" s="95">
        <f>ROUND(SUMIFS(Table4[Rev. Based on PROB],Table4[Service],$B9,Table4[Projected 
Year],AJ$1,Table4[Projected 
Month],AJ$2),-3)/1000</f>
        <v>0</v>
      </c>
      <c r="AK9" s="165">
        <f>SUMPRODUCT(Table4[Probability]*Table4[Rev. Based on PROB]*(Table4[Service]=$B9)*(Table4[Projected 
Year]=AJ$1)*(Table4[Projected 
Month]=AJ$2))/MAX(1,SUMPRODUCT(Table4[Rev. Based on PROB]*(Table4[Service]=$B9)*(Table4[Projected 
Year]=AJ$1)*(Table4[Projected 
Month]=AJ$2)))</f>
        <v>0</v>
      </c>
      <c r="AL9" s="166">
        <f>SUMPRODUCT(Table4[Rev. Based on PROB]*Table4[Expected CMR]*(Table4[Projected 
Year]=AJ$1)*(Table4[Projected 
Month]=AJ$2)*(Table4[Service]=$B9))/MAX(1,AJ9*1000)</f>
        <v>0</v>
      </c>
      <c r="AM9" s="29">
        <f>SUM($C9,$F9,$I9,$L9,$O9,$R9,$U9,$X9,$AA9,$AD9,$AG9,$AJ9)</f>
        <v>0</v>
      </c>
      <c r="AN9" s="50">
        <f t="shared" si="0"/>
        <v>0</v>
      </c>
      <c r="AO9" s="51">
        <f t="shared" si="1"/>
        <v>0</v>
      </c>
      <c r="AP9" s="95">
        <f>ROUND(SUMIFS(Table47[Rev. Based on PROB],Table47[Service],$B9,Table47[Projected 
Year],AP$1,Table47[Monthly revenue],AP$2),-3)/1000</f>
        <v>0</v>
      </c>
      <c r="AQ9" s="165" t="e">
        <f>SUMPRODUCT(Table47[Probability]*Table47[Rev. Based on PROB]*(Table47[Service]=$B9)*(Table47[Projected 
Year]=AP$1)*(Table47[Monthly revenue]=AP$2))/MAX(1,SUMPRODUCT(Table47[Rev. Based on PROB]*(Table47[Service]=$B9)*(Table47[Projected 
Year]=AP$1)*(Table47[Monthly revenue]=AP$2)))</f>
        <v>#REF!</v>
      </c>
      <c r="AR9" s="166" t="e">
        <f>SUMPRODUCT(Table47[Rev. Based on PROB]*Table47[Expected CMR]*(Table47[Projected 
Year]=AP$1)*(Table47[Monthly revenue]=AP$2)*(Table47[Service]=$B9))/MAX(1,AP9*1000)</f>
        <v>#REF!</v>
      </c>
      <c r="AS9" s="98">
        <f>ROUND(SUMIFS(Table47[Rev. Based on PROB],Table47[Service],$B9,Table47[Projected 
Year],AS$1,Table47[Monthly revenue],AS$2),-3)/1000</f>
        <v>0</v>
      </c>
      <c r="AT9" s="165" t="e">
        <f>SUMPRODUCT(Table47[Probability]*Table47[Rev. Based on PROB]*(Table47[Service]=$B9)*(Table47[Projected 
Year]=AS$1)*(Table47[Monthly revenue]=AS$2))/MAX(1,SUMPRODUCT(Table47[Rev. Based on PROB]*(Table47[Service]=$B9)*(Table47[Projected 
Year]=AS$1)*(Table47[Monthly revenue]=AS$2)))</f>
        <v>#REF!</v>
      </c>
      <c r="AU9" s="166" t="e">
        <f>SUMPRODUCT(Table47[Rev. Based on PROB]*Table47[Expected CMR]*(Table47[Projected 
Year]=AS$1)*(Table47[Monthly revenue]=AS$2)*(Table47[Service]=$B9))/MAX(1,AS9*1000)</f>
        <v>#REF!</v>
      </c>
      <c r="AV9" s="95">
        <f>ROUND(SUMIFS(Table47[Rev. Based on PROB],Table47[Service],$B9,Table47[Projected 
Year],AV$1,Table47[Monthly revenue],AV$2),-3)/1000</f>
        <v>0</v>
      </c>
      <c r="AW9" s="165" t="e">
        <f>SUMPRODUCT(Table47[Probability]*Table47[Rev. Based on PROB]*(Table47[Service]=$B9)*(Table47[Projected 
Year]=AV$1)*(Table47[Monthly revenue]=AV$2))/MAX(1,SUMPRODUCT(Table47[Rev. Based on PROB]*(Table47[Service]=$B9)*(Table47[Projected 
Year]=AV$1)*(Table47[Monthly revenue]=AV$2)))</f>
        <v>#REF!</v>
      </c>
      <c r="AX9" s="166" t="e">
        <f>SUMPRODUCT(Table47[Rev. Based on PROB]*Table47[Expected CMR]*(Table47[Projected 
Year]=AV$1)*(Table47[Monthly revenue]=AV$2)*(Table47[Service]=$B9))/MAX(1,AV9*1000)</f>
        <v>#REF!</v>
      </c>
      <c r="AY9" s="95">
        <f>ROUND(SUMIFS(Table47[Rev. Based on PROB],Table47[Service],$B9,Table47[Projected 
Year],AY$1,Table47[Monthly revenue],AY$2),-3)/1000</f>
        <v>0</v>
      </c>
      <c r="AZ9" s="165" t="e">
        <f>SUMPRODUCT(Table47[Probability]*Table47[Rev. Based on PROB]*(Table47[Service]=$B9)*(Table47[Projected 
Year]=AY$1)*(Table47[Monthly revenue]=AY$2))/MAX(1,SUMPRODUCT(Table47[Rev. Based on PROB]*(Table47[Service]=$B9)*(Table47[Projected 
Year]=AY$1)*(Table47[Monthly revenue]=AY$2)))</f>
        <v>#REF!</v>
      </c>
      <c r="BA9" s="166" t="e">
        <f>SUMPRODUCT(Table47[Rev. Based on PROB]*Table47[Expected CMR]*(Table47[Projected 
Year]=AY$1)*(Table47[Monthly revenue]=AY$2)*(Table47[Service]=$B9))/MAX(1,AY9*1000)</f>
        <v>#REF!</v>
      </c>
      <c r="BB9" s="95">
        <f>ROUND(SUMIFS(Table47[Rev. Based on PROB],Table47[Service],$B9,Table47[Projected 
Year],BB$1,Table47[Monthly revenue],BB$2),-3)/1000</f>
        <v>0</v>
      </c>
      <c r="BC9" s="165" t="e">
        <f>SUMPRODUCT(Table47[Probability]*Table47[Rev. Based on PROB]*(Table47[Service]=$B9)*(Table47[Projected 
Year]=BB$1)*(Table47[Monthly revenue]=BB$2))/MAX(1,SUMPRODUCT(Table47[Rev. Based on PROB]*(Table47[Service]=$B9)*(Table47[Projected 
Year]=BB$1)*(Table47[Monthly revenue]=BB$2)))</f>
        <v>#REF!</v>
      </c>
      <c r="BD9" s="166" t="e">
        <f>SUMPRODUCT(Table47[Rev. Based on PROB]*Table47[Expected CMR]*(Table47[Projected 
Year]=BB$1)*(Table47[Monthly revenue]=BB$2)*(Table47[Service]=$B9))/MAX(1,BB9*1000)</f>
        <v>#REF!</v>
      </c>
      <c r="BE9" s="95">
        <f>ROUND(SUMIFS(Table47[Rev. Based on PROB],Table47[Service],$B9,Table47[Projected 
Year],BE$1,Table47[Monthly revenue],BE$2),-3)/1000</f>
        <v>0</v>
      </c>
      <c r="BF9" s="165" t="e">
        <f>SUMPRODUCT(Table47[Probability]*Table47[Rev. Based on PROB]*(Table47[Service]=$B9)*(Table47[Projected 
Year]=BE$1)*(Table47[Monthly revenue]=BE$2))/MAX(1,SUMPRODUCT(Table47[Rev. Based on PROB]*(Table47[Service]=$B9)*(Table47[Projected 
Year]=BE$1)*(Table47[Monthly revenue]=BE$2)))</f>
        <v>#REF!</v>
      </c>
      <c r="BG9" s="166" t="e">
        <f>SUMPRODUCT(Table47[Rev. Based on PROB]*Table47[Expected CMR]*(Table47[Projected 
Year]=BE$1)*(Table47[Monthly revenue]=BE$2)*(Table47[Service]=$B9))/MAX(1,BE9*1000)</f>
        <v>#REF!</v>
      </c>
      <c r="BH9" s="95">
        <f>ROUND(SUMIFS(Table47[Rev. Based on PROB],Table47[Service],$B9,Table47[Projected 
Year],BH$1,Table47[Monthly revenue],BH$2),-3)/1000</f>
        <v>11</v>
      </c>
      <c r="BI9" s="165" t="e">
        <f>SUMPRODUCT(Table47[Probability]*Table47[Rev. Based on PROB]*(Table47[Service]=$B9)*(Table47[Projected 
Year]=BH$1)*(Table47[Monthly revenue]=BH$2))/MAX(1,SUMPRODUCT(Table47[Rev. Based on PROB]*(Table47[Service]=$B9)*(Table47[Projected 
Year]=BH$1)*(Table47[Monthly revenue]=BH$2)))</f>
        <v>#REF!</v>
      </c>
      <c r="BJ9" s="166" t="e">
        <f>SUMPRODUCT(Table47[Rev. Based on PROB]*Table47[Expected CMR]*(Table47[Projected 
Year]=BH$1)*(Table47[Monthly revenue]=BH$2)*(Table47[Service]=$B9))/MAX(1,BH9*1000)</f>
        <v>#REF!</v>
      </c>
      <c r="BK9" s="95">
        <f>ROUND(SUMIFS(Table47[Rev. Based on PROB],Table47[Service],$B9,Table47[Projected 
Year],BK$1,Table47[Monthly revenue],BK$2),-3)/1000</f>
        <v>0</v>
      </c>
      <c r="BL9" s="165" t="e">
        <f>SUMPRODUCT(Table47[Probability]*Table47[Rev. Based on PROB]*(Table47[Service]=$B9)*(Table47[Projected 
Year]=BK$1)*(Table47[Monthly revenue]=BK$2))/MAX(1,SUMPRODUCT(Table47[Rev. Based on PROB]*(Table47[Service]=$B9)*(Table47[Projected 
Year]=BK$1)*(Table47[Monthly revenue]=BK$2)))</f>
        <v>#REF!</v>
      </c>
      <c r="BM9" s="166" t="e">
        <f>SUMPRODUCT(Table47[Rev. Based on PROB]*Table47[Expected CMR]*(Table47[Projected 
Year]=BK$1)*(Table47[Monthly revenue]=BK$2)*(Table47[Service]=$B9))/MAX(1,BK9*1000)</f>
        <v>#REF!</v>
      </c>
      <c r="BN9" s="95">
        <f>ROUND(SUMIFS(Table47[Rev. Based on PROB],Table47[Service],$B9,Table47[Projected 
Year],BN$1,Table47[Monthly revenue],BN$2),-3)/1000</f>
        <v>0</v>
      </c>
      <c r="BO9" s="165" t="e">
        <f>SUMPRODUCT(Table47[Probability]*Table47[Rev. Based on PROB]*(Table47[Service]=$B9)*(Table47[Projected 
Year]=BN$1)*(Table47[Monthly revenue]=BN$2))/MAX(1,SUMPRODUCT(Table47[Rev. Based on PROB]*(Table47[Service]=$B9)*(Table47[Projected 
Year]=BN$1)*(Table47[Monthly revenue]=BN$2)))</f>
        <v>#REF!</v>
      </c>
      <c r="BP9" s="166" t="e">
        <f>SUMPRODUCT(Table47[Rev. Based on PROB]*Table47[Expected CMR]*(Table47[Projected 
Year]=BN$1)*(Table47[Monthly revenue]=BN$2)*(Table47[Service]=$B9))/MAX(1,BN9*1000)</f>
        <v>#REF!</v>
      </c>
      <c r="BQ9" s="95">
        <f>ROUND(SUMIFS(Table47[Rev. Based on PROB],Table47[Service],$B9,Table47[Projected 
Year],BQ$1,Table47[Monthly revenue],BQ$2),-3)/1000</f>
        <v>0</v>
      </c>
      <c r="BR9" s="165" t="e">
        <f>SUMPRODUCT(Table47[Probability]*Table47[Rev. Based on PROB]*(Table47[Service]=$B9)*(Table47[Projected 
Year]=BQ$1)*(Table47[Monthly revenue]=BQ$2))/MAX(1,SUMPRODUCT(Table47[Rev. Based on PROB]*(Table47[Service]=$B9)*(Table47[Projected 
Year]=BQ$1)*(Table47[Monthly revenue]=BQ$2)))</f>
        <v>#REF!</v>
      </c>
      <c r="BS9" s="166" t="e">
        <f>SUMPRODUCT(Table47[Rev. Based on PROB]*Table47[Expected CMR]*(Table47[Projected 
Year]=BQ$1)*(Table47[Monthly revenue]=BQ$2)*(Table47[Service]=$B9))/MAX(1,BQ9*1000)</f>
        <v>#REF!</v>
      </c>
      <c r="BT9" s="95">
        <f>ROUND(SUMIFS(Table47[Rev. Based on PROB],Table47[Service],$B9,Table47[Projected 
Year],BT$1,Table47[Monthly revenue],BT$2),-3)/1000</f>
        <v>0</v>
      </c>
      <c r="BU9" s="165" t="e">
        <f>SUMPRODUCT(Table47[Probability]*Table47[Rev. Based on PROB]*(Table47[Service]=$B9)*(Table47[Projected 
Year]=BT$1)*(Table47[Monthly revenue]=BT$2))/MAX(1,SUMPRODUCT(Table47[Rev. Based on PROB]*(Table47[Service]=$B9)*(Table47[Projected 
Year]=BT$1)*(Table47[Monthly revenue]=BT$2)))</f>
        <v>#REF!</v>
      </c>
      <c r="BV9" s="166" t="e">
        <f>SUMPRODUCT(Table47[Rev. Based on PROB]*Table47[Expected CMR]*(Table47[Projected 
Year]=BT$1)*(Table47[Monthly revenue]=BT$2)*(Table47[Service]=$B9))/MAX(1,BT9*1000)</f>
        <v>#REF!</v>
      </c>
      <c r="BW9" s="95">
        <f>ROUND(SUMIFS(Table47[Rev. Based on PROB],Table47[Service],$B9,Table47[Projected 
Year],BW$1,Table47[Monthly revenue],BW$2),-3)/1000</f>
        <v>0</v>
      </c>
      <c r="BX9" s="165" t="e">
        <f>SUMPRODUCT(Table47[Probability]*Table47[Rev. Based on PROB]*(Table47[Service]=$B9)*(Table47[Projected 
Year]=BW$1)*(Table47[Monthly revenue]=BW$2))/MAX(1,SUMPRODUCT(Table47[Rev. Based on PROB]*(Table47[Service]=$B9)*(Table47[Projected 
Year]=BW$1)*(Table47[Monthly revenue]=BW$2)))</f>
        <v>#REF!</v>
      </c>
      <c r="BY9" s="166" t="e">
        <f>SUMPRODUCT(Table47[Rev. Based on PROB]*Table47[Expected CMR]*(Table47[Projected 
Year]=BW$1)*(Table47[Monthly revenue]=BW$2)*(Table47[Service]=$B9))/MAX(1,BW9*1000)</f>
        <v>#REF!</v>
      </c>
      <c r="BZ9" s="95">
        <f t="shared" si="4"/>
        <v>11</v>
      </c>
      <c r="CA9" s="95">
        <f t="shared" si="2"/>
        <v>0</v>
      </c>
      <c r="CB9" s="95">
        <f t="shared" si="3"/>
        <v>0</v>
      </c>
    </row>
    <row r="10" spans="1:80">
      <c r="A10" s="992" t="s">
        <v>494</v>
      </c>
      <c r="B10" t="s">
        <v>492</v>
      </c>
      <c r="C10" s="95">
        <f>ROUND(SUMIFS(Table4[Rev. Based on PROB],Table4[Service],$B10,Table4[Projected 
Year],C$1,Table4[Projected 
Month],C$2),-3)/1000</f>
        <v>0</v>
      </c>
      <c r="D10" s="165">
        <f>SUMPRODUCT(Table4[Probability]*Table4[Rev. Based on PROB]*(Table4[Service]=$B10)*(Table4[Projected 
Year]=C$1)*(Table4[Projected 
Month]=C$2))/MAX(1,SUMPRODUCT(Table4[Rev. Based on PROB]*(Table4[Service]=$B10)*(Table4[Projected 
Year]=C$1)*(Table4[Projected 
Month]=C$2)))</f>
        <v>0</v>
      </c>
      <c r="E10" s="166">
        <f>SUMPRODUCT(Table4[Rev. Based on PROB]*Table4[Expected CMR]*(Table4[Projected 
Year]=C$1)*(Table4[Projected 
Month]=C$2)*(Table4[Service]=$B10))/MAX(1,C10*1000)</f>
        <v>0</v>
      </c>
      <c r="F10" s="95">
        <f>ROUND(SUMIFS(Table4[Rev. Based on PROB],Table4[Service],$B10,Table4[Projected 
Year],F$1,Table4[Projected 
Month],F$2),-3)/1000</f>
        <v>0</v>
      </c>
      <c r="G10" s="165">
        <f>SUMPRODUCT(Table4[Probability]*Table4[Rev. Based on PROB]*(Table4[Service]=$B10)*(Table4[Projected 
Year]=F$1)*(Table4[Projected 
Month]=F$2))/MAX(1,SUMPRODUCT(Table4[Rev. Based on PROB]*(Table4[Service]=$B10)*(Table4[Projected 
Year]=F$1)*(Table4[Projected 
Month]=F$2)))</f>
        <v>0</v>
      </c>
      <c r="H10" s="166">
        <f>SUMPRODUCT(Table4[Rev. Based on PROB]*Table4[Expected CMR]*(Table4[Projected 
Year]=F$1)*(Table4[Projected 
Month]=F$2)*(Table4[Service]=$B10))/MAX(1,F10*1000)</f>
        <v>0</v>
      </c>
      <c r="I10" s="95">
        <f>ROUND(SUMIFS(Table4[Rev. Based on PROB],Table4[Service],$B10,Table4[Projected 
Year],I$1,Table4[Projected 
Month],I$2),-3)/1000</f>
        <v>0</v>
      </c>
      <c r="J10" s="165">
        <f>SUMPRODUCT(Table4[Probability]*Table4[Rev. Based on PROB]*(Table4[Service]=$B10)*(Table4[Projected 
Year]=I$1)*(Table4[Projected 
Month]=I$2))/MAX(1,SUMPRODUCT(Table4[Rev. Based on PROB]*(Table4[Service]=$B10)*(Table4[Projected 
Year]=I$1)*(Table4[Projected 
Month]=I$2)))</f>
        <v>0</v>
      </c>
      <c r="K10" s="166">
        <f>SUMPRODUCT(Table4[Rev. Based on PROB]*Table4[Expected CMR]*(Table4[Projected 
Year]=I$1)*(Table4[Projected 
Month]=I$2)*(Table4[Service]=$B10))/MAX(1,I10*1000)</f>
        <v>0</v>
      </c>
      <c r="L10" s="95">
        <f>ROUND(SUMIFS(Table4[Rev. Based on PROB],Table4[Service],$B10,Table4[Projected 
Year],L$1,Table4[Projected 
Month],L$2),-3)/1000</f>
        <v>0</v>
      </c>
      <c r="M10" s="165">
        <f>SUMPRODUCT(Table4[Probability]*Table4[Rev. Based on PROB]*(Table4[Service]=$B10)*(Table4[Projected 
Year]=L$1)*(Table4[Projected 
Month]=L$2))/MAX(1,SUMPRODUCT(Table4[Rev. Based on PROB]*(Table4[Service]=$B10)*(Table4[Projected 
Year]=L$1)*(Table4[Projected 
Month]=L$2)))</f>
        <v>0</v>
      </c>
      <c r="N10" s="166">
        <f>SUMPRODUCT(Table4[Rev. Based on PROB]*Table4[Expected CMR]*(Table4[Projected 
Year]=L$1)*(Table4[Projected 
Month]=L$2)*(Table4[Service]=$B10))/MAX(1,L10*1000)</f>
        <v>0</v>
      </c>
      <c r="O10" s="95">
        <f>ROUND(SUMIFS(Table4[Rev. Based on PROB],Table4[Service],$B10,Table4[Projected 
Year],O$1,Table4[Projected 
Month],O$2),-3)/1000</f>
        <v>0</v>
      </c>
      <c r="P10" s="165">
        <f>SUMPRODUCT(Table4[Probability]*Table4[Rev. Based on PROB]*(Table4[Service]=$B10)*(Table4[Projected 
Year]=O$1)*(Table4[Projected 
Month]=O$2))/MAX(1,SUMPRODUCT(Table4[Rev. Based on PROB]*(Table4[Service]=$B10)*(Table4[Projected 
Year]=O$1)*(Table4[Projected 
Month]=O$2)))</f>
        <v>0</v>
      </c>
      <c r="Q10" s="166">
        <f>SUMPRODUCT(Table4[Rev. Based on PROB]*Table4[Expected CMR]*(Table4[Projected 
Year]=O$1)*(Table4[Projected 
Month]=O$2)*(Table4[Service]=$B10))/MAX(1,O10*1000)</f>
        <v>0</v>
      </c>
      <c r="R10" s="95">
        <f>ROUND(SUMIFS(Table4[Rev. Based on PROB],Table4[Service],$B10,Table4[Projected 
Year],R$1,Table4[Projected 
Month],R$2),-3)/1000</f>
        <v>0</v>
      </c>
      <c r="S10" s="165">
        <f>SUMPRODUCT(Table4[Probability]*Table4[Rev. Based on PROB]*(Table4[Service]=$B10)*(Table4[Projected 
Year]=R$1)*(Table4[Projected 
Month]=R$2))/MAX(1,SUMPRODUCT(Table4[Rev. Based on PROB]*(Table4[Service]=$B10)*(Table4[Projected 
Year]=R$1)*(Table4[Projected 
Month]=R$2)))</f>
        <v>0</v>
      </c>
      <c r="T10" s="166">
        <f>SUMPRODUCT(Table4[Rev. Based on PROB]*Table4[Expected CMR]*(Table4[Projected 
Year]=R$1)*(Table4[Projected 
Month]=R$2)*(Table4[Service]=$B10))/MAX(1,R10*1000)</f>
        <v>0</v>
      </c>
      <c r="U10" s="95">
        <f>ROUND(SUMIFS(Table4[Rev. Based on PROB],Table4[Service],$B10,Table4[Projected 
Year],U$1,Table4[Projected 
Month],U$2),-3)/1000</f>
        <v>0</v>
      </c>
      <c r="V10" s="165">
        <f>SUMPRODUCT(Table4[Probability]*Table4[Rev. Based on PROB]*(Table4[Service]=$B10)*(Table4[Projected 
Year]=U$1)*(Table4[Projected 
Month]=U$2))/MAX(1,SUMPRODUCT(Table4[Rev. Based on PROB]*(Table4[Service]=$B10)*(Table4[Projected 
Year]=U$1)*(Table4[Projected 
Month]=U$2)))</f>
        <v>0</v>
      </c>
      <c r="W10" s="166">
        <f>SUMPRODUCT(Table4[Rev. Based on PROB]*Table4[Expected CMR]*(Table4[Projected 
Year]=U$1)*(Table4[Projected 
Month]=U$2)*(Table4[Service]=$B10))/MAX(1,U10*1000)</f>
        <v>0</v>
      </c>
      <c r="X10" s="95">
        <f>ROUND(SUMIFS(Table4[Rev. Based on PROB],Table4[Service],$B10,Table4[Projected 
Year],X$1,Table4[Projected 
Month],X$2),-3)/1000</f>
        <v>0</v>
      </c>
      <c r="Y10" s="165">
        <f>SUMPRODUCT(Table4[Probability]*Table4[Rev. Based on PROB]*(Table4[Service]=$B10)*(Table4[Projected 
Year]=X$1)*(Table4[Projected 
Month]=X$2))/MAX(1,SUMPRODUCT(Table4[Rev. Based on PROB]*(Table4[Service]=$B10)*(Table4[Projected 
Year]=X$1)*(Table4[Projected 
Month]=X$2)))</f>
        <v>0</v>
      </c>
      <c r="Z10" s="166">
        <f>SUMPRODUCT(Table4[Rev. Based on PROB]*Table4[Expected CMR]*(Table4[Projected 
Year]=X$1)*(Table4[Projected 
Month]=X$2)*(Table4[Service]=$B10))/MAX(1,X10*1000)</f>
        <v>0</v>
      </c>
      <c r="AA10" s="95">
        <f>ROUND(SUMIFS(Table4[Rev. Based on PROB],Table4[Service],$B10,Table4[Projected 
Year],AA$1,Table4[Projected 
Month],AA$2),-3)/1000</f>
        <v>0</v>
      </c>
      <c r="AB10" s="165">
        <f>SUMPRODUCT(Table4[Probability]*Table4[Rev. Based on PROB]*(Table4[Service]=$B10)*(Table4[Projected 
Year]=AA$1)*(Table4[Projected 
Month]=AA$2))/MAX(1,SUMPRODUCT(Table4[Rev. Based on PROB]*(Table4[Service]=$B10)*(Table4[Projected 
Year]=AA$1)*(Table4[Projected 
Month]=AA$2)))</f>
        <v>0</v>
      </c>
      <c r="AC10" s="166">
        <f>SUMPRODUCT(Table4[Rev. Based on PROB]*Table4[Expected CMR]*(Table4[Projected 
Year]=AA$1)*(Table4[Projected 
Month]=AA$2)*(Table4[Service]=$B10))/MAX(1,AA10*1000)</f>
        <v>0</v>
      </c>
      <c r="AD10" s="95">
        <f>ROUND(SUMIFS(Table4[Rev. Based on PROB],Table4[Service],$B10,Table4[Projected 
Year],AD$1,Table4[Projected 
Month],AD$2),-3)/1000</f>
        <v>0</v>
      </c>
      <c r="AE10" s="165">
        <f>SUMPRODUCT(Table4[Probability]*Table4[Rev. Based on PROB]*(Table4[Service]=$B10)*(Table4[Projected 
Year]=AD$1)*(Table4[Projected 
Month]=AD$2))/MAX(1,SUMPRODUCT(Table4[Rev. Based on PROB]*(Table4[Service]=$B10)*(Table4[Projected 
Year]=AD$1)*(Table4[Projected 
Month]=AD$2)))</f>
        <v>0</v>
      </c>
      <c r="AF10" s="166">
        <f>SUMPRODUCT(Table4[Rev. Based on PROB]*Table4[Expected CMR]*(Table4[Projected 
Year]=AD$1)*(Table4[Projected 
Month]=AD$2)*(Table4[Service]=$B10))/MAX(1,AD10*1000)</f>
        <v>0</v>
      </c>
      <c r="AG10" s="95">
        <f>ROUND(SUMIFS(Table4[Rev. Based on PROB],Table4[Service],$B10,Table4[Projected 
Year],AG$1,Table4[Projected 
Month],AG$2),-3)/1000</f>
        <v>0</v>
      </c>
      <c r="AH10" s="165">
        <f>SUMPRODUCT(Table4[Probability]*Table4[Rev. Based on PROB]*(Table4[Service]=$B10)*(Table4[Projected 
Year]=AG$1)*(Table4[Projected 
Month]=AG$2))/MAX(1,SUMPRODUCT(Table4[Rev. Based on PROB]*(Table4[Service]=$B10)*(Table4[Projected 
Year]=AG$1)*(Table4[Projected 
Month]=AG$2)))</f>
        <v>0</v>
      </c>
      <c r="AI10" s="166">
        <f>SUMPRODUCT(Table4[Rev. Based on PROB]*Table4[Expected CMR]*(Table4[Projected 
Year]=AG$1)*(Table4[Projected 
Month]=AG$2)*(Table4[Service]=$B10))/MAX(1,AG10*1000)</f>
        <v>0</v>
      </c>
      <c r="AJ10" s="95">
        <f>ROUND(SUMIFS(Table4[Rev. Based on PROB],Table4[Service],$B10,Table4[Projected 
Year],AJ$1,Table4[Projected 
Month],AJ$2),-3)/1000</f>
        <v>0</v>
      </c>
      <c r="AK10" s="165">
        <f>SUMPRODUCT(Table4[Probability]*Table4[Rev. Based on PROB]*(Table4[Service]=$B10)*(Table4[Projected 
Year]=AJ$1)*(Table4[Projected 
Month]=AJ$2))/MAX(1,SUMPRODUCT(Table4[Rev. Based on PROB]*(Table4[Service]=$B10)*(Table4[Projected 
Year]=AJ$1)*(Table4[Projected 
Month]=AJ$2)))</f>
        <v>0</v>
      </c>
      <c r="AL10" s="166">
        <f>SUMPRODUCT(Table4[Rev. Based on PROB]*Table4[Expected CMR]*(Table4[Projected 
Year]=AJ$1)*(Table4[Projected 
Month]=AJ$2)*(Table4[Service]=$B10))/MAX(1,AJ10*1000)</f>
        <v>0</v>
      </c>
      <c r="AM10" s="30">
        <f>SUM($C10,$F10,$I10,$L10,$O10,$R10,$U10,$X10,$AA10,$AD10,$AG10,$AJ10)</f>
        <v>0</v>
      </c>
      <c r="AN10" s="52">
        <f t="shared" si="0"/>
        <v>0</v>
      </c>
      <c r="AO10" s="53">
        <f t="shared" si="1"/>
        <v>0</v>
      </c>
      <c r="AP10" s="95">
        <f>ROUND(SUMIFS(Table47[Rev. Based on PROB],Table47[Service],$B10,Table47[Projected 
Year],AP$1,Table47[Monthly revenue],AP$2),-3)/1000</f>
        <v>0</v>
      </c>
      <c r="AQ10" s="165" t="e">
        <f>SUMPRODUCT(Table47[Probability]*Table47[Rev. Based on PROB]*(Table47[Service]=$B10)*(Table47[Projected 
Year]=AP$1)*(Table47[Monthly revenue]=AP$2))/MAX(1,SUMPRODUCT(Table47[Rev. Based on PROB]*(Table47[Service]=$B10)*(Table47[Projected 
Year]=AP$1)*(Table47[Monthly revenue]=AP$2)))</f>
        <v>#REF!</v>
      </c>
      <c r="AR10" s="166" t="e">
        <f>SUMPRODUCT(Table47[Rev. Based on PROB]*Table47[Expected CMR]*(Table47[Projected 
Year]=AP$1)*(Table47[Monthly revenue]=AP$2)*(Table47[Service]=$B10))/MAX(1,AP10*1000)</f>
        <v>#REF!</v>
      </c>
      <c r="AS10" s="98">
        <f>ROUND(SUMIFS(Table47[Rev. Based on PROB],Table47[Service],$B10,Table47[Projected 
Year],AS$1,Table47[Monthly revenue],AS$2),-3)/1000</f>
        <v>0</v>
      </c>
      <c r="AT10" s="165" t="e">
        <f>SUMPRODUCT(Table47[Probability]*Table47[Rev. Based on PROB]*(Table47[Service]=$B10)*(Table47[Projected 
Year]=AS$1)*(Table47[Monthly revenue]=AS$2))/MAX(1,SUMPRODUCT(Table47[Rev. Based on PROB]*(Table47[Service]=$B10)*(Table47[Projected 
Year]=AS$1)*(Table47[Monthly revenue]=AS$2)))</f>
        <v>#REF!</v>
      </c>
      <c r="AU10" s="166" t="e">
        <f>SUMPRODUCT(Table47[Rev. Based on PROB]*Table47[Expected CMR]*(Table47[Projected 
Year]=AS$1)*(Table47[Monthly revenue]=AS$2)*(Table47[Service]=$B10))/MAX(1,AS10*1000)</f>
        <v>#REF!</v>
      </c>
      <c r="AV10" s="95">
        <f>ROUND(SUMIFS(Table47[Rev. Based on PROB],Table47[Service],$B10,Table47[Projected 
Year],AV$1,Table47[Monthly revenue],AV$2),-3)/1000</f>
        <v>0</v>
      </c>
      <c r="AW10" s="165" t="e">
        <f>SUMPRODUCT(Table47[Probability]*Table47[Rev. Based on PROB]*(Table47[Service]=$B10)*(Table47[Projected 
Year]=AV$1)*(Table47[Monthly revenue]=AV$2))/MAX(1,SUMPRODUCT(Table47[Rev. Based on PROB]*(Table47[Service]=$B10)*(Table47[Projected 
Year]=AV$1)*(Table47[Monthly revenue]=AV$2)))</f>
        <v>#REF!</v>
      </c>
      <c r="AX10" s="166" t="e">
        <f>SUMPRODUCT(Table47[Rev. Based on PROB]*Table47[Expected CMR]*(Table47[Projected 
Year]=AV$1)*(Table47[Monthly revenue]=AV$2)*(Table47[Service]=$B10))/MAX(1,AV10*1000)</f>
        <v>#REF!</v>
      </c>
      <c r="AY10" s="95">
        <f>ROUND(SUMIFS(Table47[Rev. Based on PROB],Table47[Service],$B10,Table47[Projected 
Year],AY$1,Table47[Monthly revenue],AY$2),-3)/1000</f>
        <v>0</v>
      </c>
      <c r="AZ10" s="165" t="e">
        <f>SUMPRODUCT(Table47[Probability]*Table47[Rev. Based on PROB]*(Table47[Service]=$B10)*(Table47[Projected 
Year]=AY$1)*(Table47[Monthly revenue]=AY$2))/MAX(1,SUMPRODUCT(Table47[Rev. Based on PROB]*(Table47[Service]=$B10)*(Table47[Projected 
Year]=AY$1)*(Table47[Monthly revenue]=AY$2)))</f>
        <v>#REF!</v>
      </c>
      <c r="BA10" s="166" t="e">
        <f>SUMPRODUCT(Table47[Rev. Based on PROB]*Table47[Expected CMR]*(Table47[Projected 
Year]=AY$1)*(Table47[Monthly revenue]=AY$2)*(Table47[Service]=$B10))/MAX(1,AY10*1000)</f>
        <v>#REF!</v>
      </c>
      <c r="BB10" s="95">
        <f>ROUND(SUMIFS(Table47[Rev. Based on PROB],Table47[Service],$B10,Table47[Projected 
Year],BB$1,Table47[Monthly revenue],BB$2),-3)/1000</f>
        <v>0</v>
      </c>
      <c r="BC10" s="165" t="e">
        <f>SUMPRODUCT(Table47[Probability]*Table47[Rev. Based on PROB]*(Table47[Service]=$B10)*(Table47[Projected 
Year]=BB$1)*(Table47[Monthly revenue]=BB$2))/MAX(1,SUMPRODUCT(Table47[Rev. Based on PROB]*(Table47[Service]=$B10)*(Table47[Projected 
Year]=BB$1)*(Table47[Monthly revenue]=BB$2)))</f>
        <v>#REF!</v>
      </c>
      <c r="BD10" s="166" t="e">
        <f>SUMPRODUCT(Table47[Rev. Based on PROB]*Table47[Expected CMR]*(Table47[Projected 
Year]=BB$1)*(Table47[Monthly revenue]=BB$2)*(Table47[Service]=$B10))/MAX(1,BB10*1000)</f>
        <v>#REF!</v>
      </c>
      <c r="BE10" s="95">
        <f>ROUND(SUMIFS(Table47[Rev. Based on PROB],Table47[Service],$B10,Table47[Projected 
Year],BE$1,Table47[Monthly revenue],BE$2),-3)/1000</f>
        <v>0</v>
      </c>
      <c r="BF10" s="165" t="e">
        <f>SUMPRODUCT(Table47[Probability]*Table47[Rev. Based on PROB]*(Table47[Service]=$B10)*(Table47[Projected 
Year]=BE$1)*(Table47[Monthly revenue]=BE$2))/MAX(1,SUMPRODUCT(Table47[Rev. Based on PROB]*(Table47[Service]=$B10)*(Table47[Projected 
Year]=BE$1)*(Table47[Monthly revenue]=BE$2)))</f>
        <v>#REF!</v>
      </c>
      <c r="BG10" s="166" t="e">
        <f>SUMPRODUCT(Table47[Rev. Based on PROB]*Table47[Expected CMR]*(Table47[Projected 
Year]=BE$1)*(Table47[Monthly revenue]=BE$2)*(Table47[Service]=$B10))/MAX(1,BE10*1000)</f>
        <v>#REF!</v>
      </c>
      <c r="BH10" s="95">
        <f>ROUND(SUMIFS(Table47[Rev. Based on PROB],Table47[Service],$B10,Table47[Projected 
Year],BH$1,Table47[Monthly revenue],BH$2),-3)/1000</f>
        <v>0</v>
      </c>
      <c r="BI10" s="165" t="e">
        <f>SUMPRODUCT(Table47[Probability]*Table47[Rev. Based on PROB]*(Table47[Service]=$B10)*(Table47[Projected 
Year]=BH$1)*(Table47[Monthly revenue]=BH$2))/MAX(1,SUMPRODUCT(Table47[Rev. Based on PROB]*(Table47[Service]=$B10)*(Table47[Projected 
Year]=BH$1)*(Table47[Monthly revenue]=BH$2)))</f>
        <v>#REF!</v>
      </c>
      <c r="BJ10" s="166" t="e">
        <f>SUMPRODUCT(Table47[Rev. Based on PROB]*Table47[Expected CMR]*(Table47[Projected 
Year]=BH$1)*(Table47[Monthly revenue]=BH$2)*(Table47[Service]=$B10))/MAX(1,BH10*1000)</f>
        <v>#REF!</v>
      </c>
      <c r="BK10" s="95">
        <f>ROUND(SUMIFS(Table47[Rev. Based on PROB],Table47[Service],$B10,Table47[Projected 
Year],BK$1,Table47[Monthly revenue],BK$2),-3)/1000</f>
        <v>0</v>
      </c>
      <c r="BL10" s="165" t="e">
        <f>SUMPRODUCT(Table47[Probability]*Table47[Rev. Based on PROB]*(Table47[Service]=$B10)*(Table47[Projected 
Year]=BK$1)*(Table47[Monthly revenue]=BK$2))/MAX(1,SUMPRODUCT(Table47[Rev. Based on PROB]*(Table47[Service]=$B10)*(Table47[Projected 
Year]=BK$1)*(Table47[Monthly revenue]=BK$2)))</f>
        <v>#REF!</v>
      </c>
      <c r="BM10" s="166" t="e">
        <f>SUMPRODUCT(Table47[Rev. Based on PROB]*Table47[Expected CMR]*(Table47[Projected 
Year]=BK$1)*(Table47[Monthly revenue]=BK$2)*(Table47[Service]=$B10))/MAX(1,BK10*1000)</f>
        <v>#REF!</v>
      </c>
      <c r="BN10" s="95">
        <f>ROUND(SUMIFS(Table47[Rev. Based on PROB],Table47[Service],$B10,Table47[Projected 
Year],BN$1,Table47[Monthly revenue],BN$2),-3)/1000</f>
        <v>0</v>
      </c>
      <c r="BO10" s="165" t="e">
        <f>SUMPRODUCT(Table47[Probability]*Table47[Rev. Based on PROB]*(Table47[Service]=$B10)*(Table47[Projected 
Year]=BN$1)*(Table47[Monthly revenue]=BN$2))/MAX(1,SUMPRODUCT(Table47[Rev. Based on PROB]*(Table47[Service]=$B10)*(Table47[Projected 
Year]=BN$1)*(Table47[Monthly revenue]=BN$2)))</f>
        <v>#REF!</v>
      </c>
      <c r="BP10" s="166" t="e">
        <f>SUMPRODUCT(Table47[Rev. Based on PROB]*Table47[Expected CMR]*(Table47[Projected 
Year]=BN$1)*(Table47[Monthly revenue]=BN$2)*(Table47[Service]=$B10))/MAX(1,BN10*1000)</f>
        <v>#REF!</v>
      </c>
      <c r="BQ10" s="95">
        <f>ROUND(SUMIFS(Table47[Rev. Based on PROB],Table47[Service],$B10,Table47[Projected 
Year],BQ$1,Table47[Monthly revenue],BQ$2),-3)/1000</f>
        <v>0</v>
      </c>
      <c r="BR10" s="165" t="e">
        <f>SUMPRODUCT(Table47[Probability]*Table47[Rev. Based on PROB]*(Table47[Service]=$B10)*(Table47[Projected 
Year]=BQ$1)*(Table47[Monthly revenue]=BQ$2))/MAX(1,SUMPRODUCT(Table47[Rev. Based on PROB]*(Table47[Service]=$B10)*(Table47[Projected 
Year]=BQ$1)*(Table47[Monthly revenue]=BQ$2)))</f>
        <v>#REF!</v>
      </c>
      <c r="BS10" s="166" t="e">
        <f>SUMPRODUCT(Table47[Rev. Based on PROB]*Table47[Expected CMR]*(Table47[Projected 
Year]=BQ$1)*(Table47[Monthly revenue]=BQ$2)*(Table47[Service]=$B10))/MAX(1,BQ10*1000)</f>
        <v>#REF!</v>
      </c>
      <c r="BT10" s="95">
        <f>ROUND(SUMIFS(Table47[Rev. Based on PROB],Table47[Service],$B10,Table47[Projected 
Year],BT$1,Table47[Monthly revenue],BT$2),-3)/1000</f>
        <v>0</v>
      </c>
      <c r="BU10" s="165" t="e">
        <f>SUMPRODUCT(Table47[Probability]*Table47[Rev. Based on PROB]*(Table47[Service]=$B10)*(Table47[Projected 
Year]=BT$1)*(Table47[Monthly revenue]=BT$2))/MAX(1,SUMPRODUCT(Table47[Rev. Based on PROB]*(Table47[Service]=$B10)*(Table47[Projected 
Year]=BT$1)*(Table47[Monthly revenue]=BT$2)))</f>
        <v>#REF!</v>
      </c>
      <c r="BV10" s="166" t="e">
        <f>SUMPRODUCT(Table47[Rev. Based on PROB]*Table47[Expected CMR]*(Table47[Projected 
Year]=BT$1)*(Table47[Monthly revenue]=BT$2)*(Table47[Service]=$B10))/MAX(1,BT10*1000)</f>
        <v>#REF!</v>
      </c>
      <c r="BW10" s="95">
        <f>ROUND(SUMIFS(Table47[Rev. Based on PROB],Table47[Service],$B10,Table47[Projected 
Year],BW$1,Table47[Monthly revenue],BW$2),-3)/1000</f>
        <v>0</v>
      </c>
      <c r="BX10" s="165" t="e">
        <f>SUMPRODUCT(Table47[Probability]*Table47[Rev. Based on PROB]*(Table47[Service]=$B10)*(Table47[Projected 
Year]=BW$1)*(Table47[Monthly revenue]=BW$2))/MAX(1,SUMPRODUCT(Table47[Rev. Based on PROB]*(Table47[Service]=$B10)*(Table47[Projected 
Year]=BW$1)*(Table47[Monthly revenue]=BW$2)))</f>
        <v>#REF!</v>
      </c>
      <c r="BY10" s="166" t="e">
        <f>SUMPRODUCT(Table47[Rev. Based on PROB]*Table47[Expected CMR]*(Table47[Projected 
Year]=BW$1)*(Table47[Monthly revenue]=BW$2)*(Table47[Service]=$B10))/MAX(1,BW10*1000)</f>
        <v>#REF!</v>
      </c>
      <c r="BZ10" s="95">
        <f t="shared" si="4"/>
        <v>0</v>
      </c>
      <c r="CA10" s="95">
        <f t="shared" si="2"/>
        <v>0</v>
      </c>
      <c r="CB10" s="95">
        <f t="shared" si="3"/>
        <v>0</v>
      </c>
    </row>
    <row r="11" spans="1:80">
      <c r="A11" s="992">
        <v>59</v>
      </c>
      <c r="B11" s="995" t="s">
        <v>107</v>
      </c>
      <c r="C11" s="95">
        <f>ROUND(SUMIFS(Table4[Rev. Based on PROB],Table4[Service],$B11,Table4[Projected 
Year],C$1,Table4[Projected 
Month],C$2),-3)/1000</f>
        <v>0</v>
      </c>
      <c r="D11" s="165">
        <f>SUMPRODUCT(Table4[Probability]*Table4[Rev. Based on PROB]*(Table4[Service]=$B11)*(Table4[Projected 
Year]=C$1)*(Table4[Projected 
Month]=C$2))/MAX(1,SUMPRODUCT(Table4[Rev. Based on PROB]*(Table4[Service]=$B11)*(Table4[Projected 
Year]=C$1)*(Table4[Projected 
Month]=C$2)))</f>
        <v>0</v>
      </c>
      <c r="E11" s="166">
        <f>SUMPRODUCT(Table4[Rev. Based on PROB]*Table4[Expected CMR]*(Table4[Projected 
Year]=C$1)*(Table4[Projected 
Month]=C$2)*(Table4[Service]=$B11))/MAX(1,C11*1000)</f>
        <v>0</v>
      </c>
      <c r="F11" s="95">
        <f>ROUND(SUMIFS(Table4[Rev. Based on PROB],Table4[Service],$B11,Table4[Projected 
Year],F$1,Table4[Projected 
Month],F$2),-3)/1000</f>
        <v>0</v>
      </c>
      <c r="G11" s="165">
        <f>SUMPRODUCT(Table4[Probability]*Table4[Rev. Based on PROB]*(Table4[Service]=$B11)*(Table4[Projected 
Year]=F$1)*(Table4[Projected 
Month]=F$2))/MAX(1,SUMPRODUCT(Table4[Rev. Based on PROB]*(Table4[Service]=$B11)*(Table4[Projected 
Year]=F$1)*(Table4[Projected 
Month]=F$2)))</f>
        <v>0</v>
      </c>
      <c r="H11" s="166">
        <f>SUMPRODUCT(Table4[Rev. Based on PROB]*Table4[Expected CMR]*(Table4[Projected 
Year]=F$1)*(Table4[Projected 
Month]=F$2)*(Table4[Service]=$B11))/MAX(1,F11*1000)</f>
        <v>0</v>
      </c>
      <c r="I11" s="95">
        <f>ROUND(SUMIFS(Table4[Rev. Based on PROB],Table4[Service],$B11,Table4[Projected 
Year],I$1,Table4[Projected 
Month],I$2),-3)/1000</f>
        <v>0</v>
      </c>
      <c r="J11" s="165">
        <f>SUMPRODUCT(Table4[Probability]*Table4[Rev. Based on PROB]*(Table4[Service]=$B11)*(Table4[Projected 
Year]=I$1)*(Table4[Projected 
Month]=I$2))/MAX(1,SUMPRODUCT(Table4[Rev. Based on PROB]*(Table4[Service]=$B11)*(Table4[Projected 
Year]=I$1)*(Table4[Projected 
Month]=I$2)))</f>
        <v>0</v>
      </c>
      <c r="K11" s="166">
        <f>SUMPRODUCT(Table4[Rev. Based on PROB]*Table4[Expected CMR]*(Table4[Projected 
Year]=I$1)*(Table4[Projected 
Month]=I$2)*(Table4[Service]=$B11))/MAX(1,I11*1000)</f>
        <v>0</v>
      </c>
      <c r="L11" s="95">
        <f>ROUND(SUMIFS(Table4[Rev. Based on PROB],Table4[Service],$B11,Table4[Projected 
Year],L$1,Table4[Projected 
Month],L$2),-3)/1000</f>
        <v>0</v>
      </c>
      <c r="M11" s="165">
        <f>SUMPRODUCT(Table4[Probability]*Table4[Rev. Based on PROB]*(Table4[Service]=$B11)*(Table4[Projected 
Year]=L$1)*(Table4[Projected 
Month]=L$2))/MAX(1,SUMPRODUCT(Table4[Rev. Based on PROB]*(Table4[Service]=$B11)*(Table4[Projected 
Year]=L$1)*(Table4[Projected 
Month]=L$2)))</f>
        <v>0</v>
      </c>
      <c r="N11" s="166">
        <f>SUMPRODUCT(Table4[Rev. Based on PROB]*Table4[Expected CMR]*(Table4[Projected 
Year]=L$1)*(Table4[Projected 
Month]=L$2)*(Table4[Service]=$B11))/MAX(1,L11*1000)</f>
        <v>0</v>
      </c>
      <c r="O11" s="95">
        <f>ROUND(SUMIFS(Table4[Rev. Based on PROB],Table4[Service],$B11,Table4[Projected 
Year],O$1,Table4[Projected 
Month],O$2),-3)/1000</f>
        <v>0</v>
      </c>
      <c r="P11" s="165">
        <f>SUMPRODUCT(Table4[Probability]*Table4[Rev. Based on PROB]*(Table4[Service]=$B11)*(Table4[Projected 
Year]=O$1)*(Table4[Projected 
Month]=O$2))/MAX(1,SUMPRODUCT(Table4[Rev. Based on PROB]*(Table4[Service]=$B11)*(Table4[Projected 
Year]=O$1)*(Table4[Projected 
Month]=O$2)))</f>
        <v>0</v>
      </c>
      <c r="Q11" s="166">
        <f>SUMPRODUCT(Table4[Rev. Based on PROB]*Table4[Expected CMR]*(Table4[Projected 
Year]=O$1)*(Table4[Projected 
Month]=O$2)*(Table4[Service]=$B11))/MAX(1,O11*1000)</f>
        <v>0</v>
      </c>
      <c r="R11" s="95">
        <f>ROUND(SUMIFS(Table4[Rev. Based on PROB],Table4[Service],$B11,Table4[Projected 
Year],R$1,Table4[Projected 
Month],R$2),-3)/1000</f>
        <v>0</v>
      </c>
      <c r="S11" s="165">
        <f>SUMPRODUCT(Table4[Probability]*Table4[Rev. Based on PROB]*(Table4[Service]=$B11)*(Table4[Projected 
Year]=R$1)*(Table4[Projected 
Month]=R$2))/MAX(1,SUMPRODUCT(Table4[Rev. Based on PROB]*(Table4[Service]=$B11)*(Table4[Projected 
Year]=R$1)*(Table4[Projected 
Month]=R$2)))</f>
        <v>0</v>
      </c>
      <c r="T11" s="166">
        <f>SUMPRODUCT(Table4[Rev. Based on PROB]*Table4[Expected CMR]*(Table4[Projected 
Year]=R$1)*(Table4[Projected 
Month]=R$2)*(Table4[Service]=$B11))/MAX(1,R11*1000)</f>
        <v>0</v>
      </c>
      <c r="U11" s="95">
        <f>ROUND(SUMIFS(Table4[Rev. Based on PROB],Table4[Service],$B11,Table4[Projected 
Year],U$1,Table4[Projected 
Month],U$2),-3)/1000</f>
        <v>0</v>
      </c>
      <c r="V11" s="165">
        <f>SUMPRODUCT(Table4[Probability]*Table4[Rev. Based on PROB]*(Table4[Service]=$B11)*(Table4[Projected 
Year]=U$1)*(Table4[Projected 
Month]=U$2))/MAX(1,SUMPRODUCT(Table4[Rev. Based on PROB]*(Table4[Service]=$B11)*(Table4[Projected 
Year]=U$1)*(Table4[Projected 
Month]=U$2)))</f>
        <v>0</v>
      </c>
      <c r="W11" s="166">
        <f>SUMPRODUCT(Table4[Rev. Based on PROB]*Table4[Expected CMR]*(Table4[Projected 
Year]=U$1)*(Table4[Projected 
Month]=U$2)*(Table4[Service]=$B11))/MAX(1,U11*1000)</f>
        <v>0</v>
      </c>
      <c r="X11" s="95">
        <f>ROUND(SUMIFS(Table4[Rev. Based on PROB],Table4[Service],$B11,Table4[Projected 
Year],X$1,Table4[Projected 
Month],X$2),-3)/1000</f>
        <v>0</v>
      </c>
      <c r="Y11" s="165">
        <f>SUMPRODUCT(Table4[Probability]*Table4[Rev. Based on PROB]*(Table4[Service]=$B11)*(Table4[Projected 
Year]=X$1)*(Table4[Projected 
Month]=X$2))/MAX(1,SUMPRODUCT(Table4[Rev. Based on PROB]*(Table4[Service]=$B11)*(Table4[Projected 
Year]=X$1)*(Table4[Projected 
Month]=X$2)))</f>
        <v>0</v>
      </c>
      <c r="Z11" s="166">
        <f>SUMPRODUCT(Table4[Rev. Based on PROB]*Table4[Expected CMR]*(Table4[Projected 
Year]=X$1)*(Table4[Projected 
Month]=X$2)*(Table4[Service]=$B11))/MAX(1,X11*1000)</f>
        <v>0</v>
      </c>
      <c r="AA11" s="95">
        <f>ROUND(SUMIFS(Table4[Rev. Based on PROB],Table4[Service],$B11,Table4[Projected 
Year],AA$1,Table4[Projected 
Month],AA$2),-3)/1000</f>
        <v>0</v>
      </c>
      <c r="AB11" s="165">
        <f>SUMPRODUCT(Table4[Probability]*Table4[Rev. Based on PROB]*(Table4[Service]=$B11)*(Table4[Projected 
Year]=AA$1)*(Table4[Projected 
Month]=AA$2))/MAX(1,SUMPRODUCT(Table4[Rev. Based on PROB]*(Table4[Service]=$B11)*(Table4[Projected 
Year]=AA$1)*(Table4[Projected 
Month]=AA$2)))</f>
        <v>0</v>
      </c>
      <c r="AC11" s="166">
        <f>SUMPRODUCT(Table4[Rev. Based on PROB]*Table4[Expected CMR]*(Table4[Projected 
Year]=AA$1)*(Table4[Projected 
Month]=AA$2)*(Table4[Service]=$B11))/MAX(1,AA11*1000)</f>
        <v>0</v>
      </c>
      <c r="AD11" s="95">
        <f>ROUND(SUMIFS(Table4[Rev. Based on PROB],Table4[Service],$B11,Table4[Projected 
Year],AD$1,Table4[Projected 
Month],AD$2),-3)/1000</f>
        <v>0</v>
      </c>
      <c r="AE11" s="165">
        <f>SUMPRODUCT(Table4[Probability]*Table4[Rev. Based on PROB]*(Table4[Service]=$B11)*(Table4[Projected 
Year]=AD$1)*(Table4[Projected 
Month]=AD$2))/MAX(1,SUMPRODUCT(Table4[Rev. Based on PROB]*(Table4[Service]=$B11)*(Table4[Projected 
Year]=AD$1)*(Table4[Projected 
Month]=AD$2)))</f>
        <v>0</v>
      </c>
      <c r="AF11" s="166">
        <f>SUMPRODUCT(Table4[Rev. Based on PROB]*Table4[Expected CMR]*(Table4[Projected 
Year]=AD$1)*(Table4[Projected 
Month]=AD$2)*(Table4[Service]=$B11))/MAX(1,AD11*1000)</f>
        <v>0</v>
      </c>
      <c r="AG11" s="95">
        <f>ROUND(SUMIFS(Table4[Rev. Based on PROB],Table4[Service],$B11,Table4[Projected 
Year],AG$1,Table4[Projected 
Month],AG$2),-3)/1000</f>
        <v>0</v>
      </c>
      <c r="AH11" s="165">
        <f>SUMPRODUCT(Table4[Probability]*Table4[Rev. Based on PROB]*(Table4[Service]=$B11)*(Table4[Projected 
Year]=AG$1)*(Table4[Projected 
Month]=AG$2))/MAX(1,SUMPRODUCT(Table4[Rev. Based on PROB]*(Table4[Service]=$B11)*(Table4[Projected 
Year]=AG$1)*(Table4[Projected 
Month]=AG$2)))</f>
        <v>0</v>
      </c>
      <c r="AI11" s="166">
        <f>SUMPRODUCT(Table4[Rev. Based on PROB]*Table4[Expected CMR]*(Table4[Projected 
Year]=AG$1)*(Table4[Projected 
Month]=AG$2)*(Table4[Service]=$B11))/MAX(1,AG11*1000)</f>
        <v>0</v>
      </c>
      <c r="AJ11" s="95">
        <f>ROUND(SUMIFS(Table4[Rev. Based on PROB],Table4[Service],$B11,Table4[Projected 
Year],AJ$1,Table4[Projected 
Month],AJ$2),-3)/1000</f>
        <v>0</v>
      </c>
      <c r="AK11" s="165">
        <f>SUMPRODUCT(Table4[Probability]*Table4[Rev. Based on PROB]*(Table4[Service]=$B11)*(Table4[Projected 
Year]=AJ$1)*(Table4[Projected 
Month]=AJ$2))/MAX(1,SUMPRODUCT(Table4[Rev. Based on PROB]*(Table4[Service]=$B11)*(Table4[Projected 
Year]=AJ$1)*(Table4[Projected 
Month]=AJ$2)))</f>
        <v>0</v>
      </c>
      <c r="AL11" s="166">
        <f>SUMPRODUCT(Table4[Rev. Based on PROB]*Table4[Expected CMR]*(Table4[Projected 
Year]=AJ$1)*(Table4[Projected 
Month]=AJ$2)*(Table4[Service]=$B11))/MAX(1,AJ11*1000)</f>
        <v>0</v>
      </c>
      <c r="AM11" s="30">
        <f>SUM($C11,$F11,$I11,$L11,$O11,$R11,$U11,$X11,$AA11,$AD11,$AG11,$AJ11)</f>
        <v>0</v>
      </c>
      <c r="AN11" s="52">
        <f t="shared" si="0"/>
        <v>0</v>
      </c>
      <c r="AO11" s="53">
        <f t="shared" si="1"/>
        <v>0</v>
      </c>
      <c r="AP11" s="95">
        <f>ROUND(SUMIFS(Table47[Rev. Based on PROB],Table47[Service],$B11,Table47[Projected 
Year],AP$1,Table47[Monthly revenue],AP$2),-3)/1000</f>
        <v>59</v>
      </c>
      <c r="AQ11" s="165" t="e">
        <f>SUMPRODUCT(Table47[Probability]*Table47[Rev. Based on PROB]*(Table47[Service]=$B11)*(Table47[Projected 
Year]=AP$1)*(Table47[Monthly revenue]=AP$2))/MAX(1,SUMPRODUCT(Table47[Rev. Based on PROB]*(Table47[Service]=$B11)*(Table47[Projected 
Year]=AP$1)*(Table47[Monthly revenue]=AP$2)))</f>
        <v>#REF!</v>
      </c>
      <c r="AR11" s="166" t="e">
        <f>SUMPRODUCT(Table47[Rev. Based on PROB]*Table47[Expected CMR]*(Table47[Projected 
Year]=AP$1)*(Table47[Monthly revenue]=AP$2)*(Table47[Service]=$B11))/MAX(1,AP11*1000)</f>
        <v>#REF!</v>
      </c>
      <c r="AS11" s="98">
        <f>ROUND(SUMIFS(Table47[Rev. Based on PROB],Table47[Service],$B11,Table47[Projected 
Year],AS$1,Table47[Monthly revenue],AS$2),-3)/1000</f>
        <v>0</v>
      </c>
      <c r="AT11" s="165" t="e">
        <f>SUMPRODUCT(Table47[Probability]*Table47[Rev. Based on PROB]*(Table47[Service]=$B11)*(Table47[Projected 
Year]=AS$1)*(Table47[Monthly revenue]=AS$2))/MAX(1,SUMPRODUCT(Table47[Rev. Based on PROB]*(Table47[Service]=$B11)*(Table47[Projected 
Year]=AS$1)*(Table47[Monthly revenue]=AS$2)))</f>
        <v>#REF!</v>
      </c>
      <c r="AU11" s="166" t="e">
        <f>SUMPRODUCT(Table47[Rev. Based on PROB]*Table47[Expected CMR]*(Table47[Projected 
Year]=AS$1)*(Table47[Monthly revenue]=AS$2)*(Table47[Service]=$B11))/MAX(1,AS11*1000)</f>
        <v>#REF!</v>
      </c>
      <c r="AV11" s="95">
        <f>ROUND(SUMIFS(Table47[Rev. Based on PROB],Table47[Service],$B11,Table47[Projected 
Year],AV$1,Table47[Monthly revenue],AV$2),-3)/1000</f>
        <v>0</v>
      </c>
      <c r="AW11" s="165" t="e">
        <f>SUMPRODUCT(Table47[Probability]*Table47[Rev. Based on PROB]*(Table47[Service]=$B11)*(Table47[Projected 
Year]=AV$1)*(Table47[Monthly revenue]=AV$2))/MAX(1,SUMPRODUCT(Table47[Rev. Based on PROB]*(Table47[Service]=$B11)*(Table47[Projected 
Year]=AV$1)*(Table47[Monthly revenue]=AV$2)))</f>
        <v>#REF!</v>
      </c>
      <c r="AX11" s="166" t="e">
        <f>SUMPRODUCT(Table47[Rev. Based on PROB]*Table47[Expected CMR]*(Table47[Projected 
Year]=AV$1)*(Table47[Monthly revenue]=AV$2)*(Table47[Service]=$B11))/MAX(1,AV11*1000)</f>
        <v>#REF!</v>
      </c>
      <c r="AY11" s="95">
        <f>ROUND(SUMIFS(Table47[Rev. Based on PROB],Table47[Service],$B11,Table47[Projected 
Year],AY$1,Table47[Monthly revenue],AY$2),-3)/1000</f>
        <v>119</v>
      </c>
      <c r="AZ11" s="165" t="e">
        <f>SUMPRODUCT(Table47[Probability]*Table47[Rev. Based on PROB]*(Table47[Service]=$B11)*(Table47[Projected 
Year]=AY$1)*(Table47[Monthly revenue]=AY$2))/MAX(1,SUMPRODUCT(Table47[Rev. Based on PROB]*(Table47[Service]=$B11)*(Table47[Projected 
Year]=AY$1)*(Table47[Monthly revenue]=AY$2)))</f>
        <v>#REF!</v>
      </c>
      <c r="BA11" s="166" t="e">
        <f>SUMPRODUCT(Table47[Rev. Based on PROB]*Table47[Expected CMR]*(Table47[Projected 
Year]=AY$1)*(Table47[Monthly revenue]=AY$2)*(Table47[Service]=$B11))/MAX(1,AY11*1000)</f>
        <v>#REF!</v>
      </c>
      <c r="BB11" s="95">
        <f>ROUND(SUMIFS(Table47[Rev. Based on PROB],Table47[Service],$B11,Table47[Projected 
Year],BB$1,Table47[Monthly revenue],BB$2),-3)/1000</f>
        <v>45</v>
      </c>
      <c r="BC11" s="165" t="e">
        <f>SUMPRODUCT(Table47[Probability]*Table47[Rev. Based on PROB]*(Table47[Service]=$B11)*(Table47[Projected 
Year]=BB$1)*(Table47[Monthly revenue]=BB$2))/MAX(1,SUMPRODUCT(Table47[Rev. Based on PROB]*(Table47[Service]=$B11)*(Table47[Projected 
Year]=BB$1)*(Table47[Monthly revenue]=BB$2)))</f>
        <v>#REF!</v>
      </c>
      <c r="BD11" s="166" t="e">
        <f>SUMPRODUCT(Table47[Rev. Based on PROB]*Table47[Expected CMR]*(Table47[Projected 
Year]=BB$1)*(Table47[Monthly revenue]=BB$2)*(Table47[Service]=$B11))/MAX(1,BB11*1000)</f>
        <v>#REF!</v>
      </c>
      <c r="BE11" s="95">
        <f>ROUND(SUMIFS(Table47[Rev. Based on PROB],Table47[Service],$B11,Table47[Projected 
Year],BE$1,Table47[Monthly revenue],BE$2),-3)/1000</f>
        <v>70</v>
      </c>
      <c r="BF11" s="165" t="e">
        <f>SUMPRODUCT(Table47[Probability]*Table47[Rev. Based on PROB]*(Table47[Service]=$B11)*(Table47[Projected 
Year]=BE$1)*(Table47[Monthly revenue]=BE$2))/MAX(1,SUMPRODUCT(Table47[Rev. Based on PROB]*(Table47[Service]=$B11)*(Table47[Projected 
Year]=BE$1)*(Table47[Monthly revenue]=BE$2)))</f>
        <v>#REF!</v>
      </c>
      <c r="BG11" s="166" t="e">
        <f>SUMPRODUCT(Table47[Rev. Based on PROB]*Table47[Expected CMR]*(Table47[Projected 
Year]=BE$1)*(Table47[Monthly revenue]=BE$2)*(Table47[Service]=$B11))/MAX(1,BE11*1000)</f>
        <v>#REF!</v>
      </c>
      <c r="BH11" s="95">
        <f>ROUND(SUMIFS(Table47[Rev. Based on PROB],Table47[Service],$B11,Table47[Projected 
Year],BH$1,Table47[Monthly revenue],BH$2),-3)/1000</f>
        <v>69</v>
      </c>
      <c r="BI11" s="165" t="e">
        <f>SUMPRODUCT(Table47[Probability]*Table47[Rev. Based on PROB]*(Table47[Service]=$B11)*(Table47[Projected 
Year]=BH$1)*(Table47[Monthly revenue]=BH$2))/MAX(1,SUMPRODUCT(Table47[Rev. Based on PROB]*(Table47[Service]=$B11)*(Table47[Projected 
Year]=BH$1)*(Table47[Monthly revenue]=BH$2)))</f>
        <v>#REF!</v>
      </c>
      <c r="BJ11" s="166" t="e">
        <f>SUMPRODUCT(Table47[Rev. Based on PROB]*Table47[Expected CMR]*(Table47[Projected 
Year]=BH$1)*(Table47[Monthly revenue]=BH$2)*(Table47[Service]=$B11))/MAX(1,BH11*1000)</f>
        <v>#REF!</v>
      </c>
      <c r="BK11" s="95">
        <f>ROUND(SUMIFS(Table47[Rev. Based on PROB],Table47[Service],$B11,Table47[Projected 
Year],BK$1,Table47[Monthly revenue],BK$2),-3)/1000</f>
        <v>0</v>
      </c>
      <c r="BL11" s="165" t="e">
        <f>SUMPRODUCT(Table47[Probability]*Table47[Rev. Based on PROB]*(Table47[Service]=$B11)*(Table47[Projected 
Year]=BK$1)*(Table47[Monthly revenue]=BK$2))/MAX(1,SUMPRODUCT(Table47[Rev. Based on PROB]*(Table47[Service]=$B11)*(Table47[Projected 
Year]=BK$1)*(Table47[Monthly revenue]=BK$2)))</f>
        <v>#REF!</v>
      </c>
      <c r="BM11" s="166" t="e">
        <f>SUMPRODUCT(Table47[Rev. Based on PROB]*Table47[Expected CMR]*(Table47[Projected 
Year]=BK$1)*(Table47[Monthly revenue]=BK$2)*(Table47[Service]=$B11))/MAX(1,BK11*1000)</f>
        <v>#REF!</v>
      </c>
      <c r="BN11" s="95">
        <f>ROUND(SUMIFS(Table47[Rev. Based on PROB],Table47[Service],$B11,Table47[Projected 
Year],BN$1,Table47[Monthly revenue],BN$2),-3)/1000</f>
        <v>59</v>
      </c>
      <c r="BO11" s="165" t="e">
        <f>SUMPRODUCT(Table47[Probability]*Table47[Rev. Based on PROB]*(Table47[Service]=$B11)*(Table47[Projected 
Year]=BN$1)*(Table47[Monthly revenue]=BN$2))/MAX(1,SUMPRODUCT(Table47[Rev. Based on PROB]*(Table47[Service]=$B11)*(Table47[Projected 
Year]=BN$1)*(Table47[Monthly revenue]=BN$2)))</f>
        <v>#REF!</v>
      </c>
      <c r="BP11" s="166" t="e">
        <f>SUMPRODUCT(Table47[Rev. Based on PROB]*Table47[Expected CMR]*(Table47[Projected 
Year]=BN$1)*(Table47[Monthly revenue]=BN$2)*(Table47[Service]=$B11))/MAX(1,BN11*1000)</f>
        <v>#REF!</v>
      </c>
      <c r="BQ11" s="95">
        <f>ROUND(SUMIFS(Table47[Rev. Based on PROB],Table47[Service],$B11,Table47[Projected 
Year],BQ$1,Table47[Monthly revenue],BQ$2),-3)/1000</f>
        <v>59</v>
      </c>
      <c r="BR11" s="165" t="e">
        <f>SUMPRODUCT(Table47[Probability]*Table47[Rev. Based on PROB]*(Table47[Service]=$B11)*(Table47[Projected 
Year]=BQ$1)*(Table47[Monthly revenue]=BQ$2))/MAX(1,SUMPRODUCT(Table47[Rev. Based on PROB]*(Table47[Service]=$B11)*(Table47[Projected 
Year]=BQ$1)*(Table47[Monthly revenue]=BQ$2)))</f>
        <v>#REF!</v>
      </c>
      <c r="BS11" s="166" t="e">
        <f>SUMPRODUCT(Table47[Rev. Based on PROB]*Table47[Expected CMR]*(Table47[Projected 
Year]=BQ$1)*(Table47[Monthly revenue]=BQ$2)*(Table47[Service]=$B11))/MAX(1,BQ11*1000)</f>
        <v>#REF!</v>
      </c>
      <c r="BT11" s="95">
        <f>ROUND(SUMIFS(Table47[Rev. Based on PROB],Table47[Service],$B11,Table47[Projected 
Year],BT$1,Table47[Monthly revenue],BT$2),-3)/1000</f>
        <v>80</v>
      </c>
      <c r="BU11" s="165" t="e">
        <f>SUMPRODUCT(Table47[Probability]*Table47[Rev. Based on PROB]*(Table47[Service]=$B11)*(Table47[Projected 
Year]=BT$1)*(Table47[Monthly revenue]=BT$2))/MAX(1,SUMPRODUCT(Table47[Rev. Based on PROB]*(Table47[Service]=$B11)*(Table47[Projected 
Year]=BT$1)*(Table47[Monthly revenue]=BT$2)))</f>
        <v>#REF!</v>
      </c>
      <c r="BV11" s="166" t="e">
        <f>SUMPRODUCT(Table47[Rev. Based on PROB]*Table47[Expected CMR]*(Table47[Projected 
Year]=BT$1)*(Table47[Monthly revenue]=BT$2)*(Table47[Service]=$B11))/MAX(1,BT11*1000)</f>
        <v>#REF!</v>
      </c>
      <c r="BW11" s="95">
        <f>ROUND(SUMIFS(Table47[Rev. Based on PROB],Table47[Service],$B11,Table47[Projected 
Year],BW$1,Table47[Monthly revenue],BW$2),-3)/1000</f>
        <v>38</v>
      </c>
      <c r="BX11" s="165" t="e">
        <f>SUMPRODUCT(Table47[Probability]*Table47[Rev. Based on PROB]*(Table47[Service]=$B11)*(Table47[Projected 
Year]=BW$1)*(Table47[Monthly revenue]=BW$2))/MAX(1,SUMPRODUCT(Table47[Rev. Based on PROB]*(Table47[Service]=$B11)*(Table47[Projected 
Year]=BW$1)*(Table47[Monthly revenue]=BW$2)))</f>
        <v>#REF!</v>
      </c>
      <c r="BY11" s="166" t="e">
        <f>SUMPRODUCT(Table47[Rev. Based on PROB]*Table47[Expected CMR]*(Table47[Projected 
Year]=BW$1)*(Table47[Monthly revenue]=BW$2)*(Table47[Service]=$B11))/MAX(1,BW11*1000)</f>
        <v>#REF!</v>
      </c>
      <c r="BZ11" s="95">
        <f t="shared" si="4"/>
        <v>598</v>
      </c>
      <c r="CA11" s="95">
        <f t="shared" si="2"/>
        <v>0</v>
      </c>
      <c r="CB11" s="95">
        <f t="shared" si="3"/>
        <v>0</v>
      </c>
    </row>
    <row r="12" spans="1:80">
      <c r="A12" s="992" t="s">
        <v>291</v>
      </c>
      <c r="B12" s="994" t="s">
        <v>281</v>
      </c>
      <c r="C12" s="95">
        <f>ROUND(SUMIFS(Table4[Rev. Based on PROB],Table4[Service],$B12,Table4[Projected 
Year],C$1,Table4[Projected 
Month],C$2),-3)/1000</f>
        <v>0</v>
      </c>
      <c r="D12" s="165">
        <f>SUMPRODUCT(Table4[Probability]*Table4[Rev. Based on PROB]*(Table4[Service]=$B12)*(Table4[Projected 
Year]=C$1)*(Table4[Projected 
Month]=C$2))/MAX(1,SUMPRODUCT(Table4[Rev. Based on PROB]*(Table4[Service]=$B12)*(Table4[Projected 
Year]=C$1)*(Table4[Projected 
Month]=C$2)))</f>
        <v>0</v>
      </c>
      <c r="E12" s="166">
        <f>SUMPRODUCT(Table4[Rev. Based on PROB]*Table4[Expected CMR]*(Table4[Projected 
Year]=C$1)*(Table4[Projected 
Month]=C$2)*(Table4[Service]=$B12))/MAX(1,C12*1000)</f>
        <v>0</v>
      </c>
      <c r="F12" s="95">
        <f>ROUND(SUMIFS(Table4[Rev. Based on PROB],Table4[Service],$B12,Table4[Projected 
Year],F$1,Table4[Projected 
Month],F$2),-3)/1000</f>
        <v>0</v>
      </c>
      <c r="G12" s="165">
        <f>SUMPRODUCT(Table4[Probability]*Table4[Rev. Based on PROB]*(Table4[Service]=$B12)*(Table4[Projected 
Year]=F$1)*(Table4[Projected 
Month]=F$2))/MAX(1,SUMPRODUCT(Table4[Rev. Based on PROB]*(Table4[Service]=$B12)*(Table4[Projected 
Year]=F$1)*(Table4[Projected 
Month]=F$2)))</f>
        <v>0</v>
      </c>
      <c r="H12" s="166">
        <f>SUMPRODUCT(Table4[Rev. Based on PROB]*Table4[Expected CMR]*(Table4[Projected 
Year]=F$1)*(Table4[Projected 
Month]=F$2)*(Table4[Service]=$B12))/MAX(1,F12*1000)</f>
        <v>0</v>
      </c>
      <c r="I12" s="95">
        <f>ROUND(SUMIFS(Table4[Rev. Based on PROB],Table4[Service],$B12,Table4[Projected 
Year],I$1,Table4[Projected 
Month],I$2),-3)/1000</f>
        <v>0</v>
      </c>
      <c r="J12" s="165">
        <f>SUMPRODUCT(Table4[Probability]*Table4[Rev. Based on PROB]*(Table4[Service]=$B12)*(Table4[Projected 
Year]=I$1)*(Table4[Projected 
Month]=I$2))/MAX(1,SUMPRODUCT(Table4[Rev. Based on PROB]*(Table4[Service]=$B12)*(Table4[Projected 
Year]=I$1)*(Table4[Projected 
Month]=I$2)))</f>
        <v>0</v>
      </c>
      <c r="K12" s="166">
        <f>SUMPRODUCT(Table4[Rev. Based on PROB]*Table4[Expected CMR]*(Table4[Projected 
Year]=I$1)*(Table4[Projected 
Month]=I$2)*(Table4[Service]=$B12))/MAX(1,I12*1000)</f>
        <v>0</v>
      </c>
      <c r="L12" s="95">
        <f>ROUND(SUMIFS(Table4[Rev. Based on PROB],Table4[Service],$B12,Table4[Projected 
Year],L$1,Table4[Projected 
Month],L$2),-3)/1000</f>
        <v>0</v>
      </c>
      <c r="M12" s="165">
        <f>SUMPRODUCT(Table4[Probability]*Table4[Rev. Based on PROB]*(Table4[Service]=$B12)*(Table4[Projected 
Year]=L$1)*(Table4[Projected 
Month]=L$2))/MAX(1,SUMPRODUCT(Table4[Rev. Based on PROB]*(Table4[Service]=$B12)*(Table4[Projected 
Year]=L$1)*(Table4[Projected 
Month]=L$2)))</f>
        <v>0</v>
      </c>
      <c r="N12" s="166">
        <f>SUMPRODUCT(Table4[Rev. Based on PROB]*Table4[Expected CMR]*(Table4[Projected 
Year]=L$1)*(Table4[Projected 
Month]=L$2)*(Table4[Service]=$B12))/MAX(1,L12*1000)</f>
        <v>0</v>
      </c>
      <c r="O12" s="95">
        <f>ROUND(SUMIFS(Table4[Rev. Based on PROB],Table4[Service],$B12,Table4[Projected 
Year],O$1,Table4[Projected 
Month],O$2),-3)/1000</f>
        <v>0</v>
      </c>
      <c r="P12" s="165">
        <f>SUMPRODUCT(Table4[Probability]*Table4[Rev. Based on PROB]*(Table4[Service]=$B12)*(Table4[Projected 
Year]=O$1)*(Table4[Projected 
Month]=O$2))/MAX(1,SUMPRODUCT(Table4[Rev. Based on PROB]*(Table4[Service]=$B12)*(Table4[Projected 
Year]=O$1)*(Table4[Projected 
Month]=O$2)))</f>
        <v>0</v>
      </c>
      <c r="Q12" s="166">
        <f>SUMPRODUCT(Table4[Rev. Based on PROB]*Table4[Expected CMR]*(Table4[Projected 
Year]=O$1)*(Table4[Projected 
Month]=O$2)*(Table4[Service]=$B12))/MAX(1,O12*1000)</f>
        <v>0</v>
      </c>
      <c r="R12" s="95">
        <f>ROUND(SUMIFS(Table4[Rev. Based on PROB],Table4[Service],$B12,Table4[Projected 
Year],R$1,Table4[Projected 
Month],R$2),-3)/1000</f>
        <v>0</v>
      </c>
      <c r="S12" s="165">
        <f>SUMPRODUCT(Table4[Probability]*Table4[Rev. Based on PROB]*(Table4[Service]=$B12)*(Table4[Projected 
Year]=R$1)*(Table4[Projected 
Month]=R$2))/MAX(1,SUMPRODUCT(Table4[Rev. Based on PROB]*(Table4[Service]=$B12)*(Table4[Projected 
Year]=R$1)*(Table4[Projected 
Month]=R$2)))</f>
        <v>0</v>
      </c>
      <c r="T12" s="166">
        <f>SUMPRODUCT(Table4[Rev. Based on PROB]*Table4[Expected CMR]*(Table4[Projected 
Year]=R$1)*(Table4[Projected 
Month]=R$2)*(Table4[Service]=$B12))/MAX(1,R12*1000)</f>
        <v>0</v>
      </c>
      <c r="U12" s="95">
        <f>ROUND(SUMIFS(Table4[Rev. Based on PROB],Table4[Service],$B12,Table4[Projected 
Year],U$1,Table4[Projected 
Month],U$2),-3)/1000</f>
        <v>0</v>
      </c>
      <c r="V12" s="165">
        <f>SUMPRODUCT(Table4[Probability]*Table4[Rev. Based on PROB]*(Table4[Service]=$B12)*(Table4[Projected 
Year]=U$1)*(Table4[Projected 
Month]=U$2))/MAX(1,SUMPRODUCT(Table4[Rev. Based on PROB]*(Table4[Service]=$B12)*(Table4[Projected 
Year]=U$1)*(Table4[Projected 
Month]=U$2)))</f>
        <v>0</v>
      </c>
      <c r="W12" s="166">
        <f>SUMPRODUCT(Table4[Rev. Based on PROB]*Table4[Expected CMR]*(Table4[Projected 
Year]=U$1)*(Table4[Projected 
Month]=U$2)*(Table4[Service]=$B12))/MAX(1,U12*1000)</f>
        <v>0</v>
      </c>
      <c r="X12" s="95">
        <f>ROUND(SUMIFS(Table4[Rev. Based on PROB],Table4[Service],$B12,Table4[Projected 
Year],X$1,Table4[Projected 
Month],X$2),-3)/1000</f>
        <v>0</v>
      </c>
      <c r="Y12" s="165">
        <f>SUMPRODUCT(Table4[Probability]*Table4[Rev. Based on PROB]*(Table4[Service]=$B12)*(Table4[Projected 
Year]=X$1)*(Table4[Projected 
Month]=X$2))/MAX(1,SUMPRODUCT(Table4[Rev. Based on PROB]*(Table4[Service]=$B12)*(Table4[Projected 
Year]=X$1)*(Table4[Projected 
Month]=X$2)))</f>
        <v>0</v>
      </c>
      <c r="Z12" s="166">
        <f>SUMPRODUCT(Table4[Rev. Based on PROB]*Table4[Expected CMR]*(Table4[Projected 
Year]=X$1)*(Table4[Projected 
Month]=X$2)*(Table4[Service]=$B12))/MAX(1,X12*1000)</f>
        <v>0</v>
      </c>
      <c r="AA12" s="95">
        <f>ROUND(SUMIFS(Table4[Rev. Based on PROB],Table4[Service],$B12,Table4[Projected 
Year],AA$1,Table4[Projected 
Month],AA$2),-3)/1000</f>
        <v>0</v>
      </c>
      <c r="AB12" s="165">
        <f>SUMPRODUCT(Table4[Probability]*Table4[Rev. Based on PROB]*(Table4[Service]=$B12)*(Table4[Projected 
Year]=AA$1)*(Table4[Projected 
Month]=AA$2))/MAX(1,SUMPRODUCT(Table4[Rev. Based on PROB]*(Table4[Service]=$B12)*(Table4[Projected 
Year]=AA$1)*(Table4[Projected 
Month]=AA$2)))</f>
        <v>0</v>
      </c>
      <c r="AC12" s="166">
        <f>SUMPRODUCT(Table4[Rev. Based on PROB]*Table4[Expected CMR]*(Table4[Projected 
Year]=AA$1)*(Table4[Projected 
Month]=AA$2)*(Table4[Service]=$B12))/MAX(1,AA12*1000)</f>
        <v>0</v>
      </c>
      <c r="AD12" s="95">
        <f>ROUND(SUMIFS(Table4[Rev. Based on PROB],Table4[Service],$B12,Table4[Projected 
Year],AD$1,Table4[Projected 
Month],AD$2),-3)/1000</f>
        <v>0</v>
      </c>
      <c r="AE12" s="165">
        <f>SUMPRODUCT(Table4[Probability]*Table4[Rev. Based on PROB]*(Table4[Service]=$B12)*(Table4[Projected 
Year]=AD$1)*(Table4[Projected 
Month]=AD$2))/MAX(1,SUMPRODUCT(Table4[Rev. Based on PROB]*(Table4[Service]=$B12)*(Table4[Projected 
Year]=AD$1)*(Table4[Projected 
Month]=AD$2)))</f>
        <v>0</v>
      </c>
      <c r="AF12" s="166">
        <f>SUMPRODUCT(Table4[Rev. Based on PROB]*Table4[Expected CMR]*(Table4[Projected 
Year]=AD$1)*(Table4[Projected 
Month]=AD$2)*(Table4[Service]=$B12))/MAX(1,AD12*1000)</f>
        <v>0</v>
      </c>
      <c r="AG12" s="95">
        <f>ROUND(SUMIFS(Table4[Rev. Based on PROB],Table4[Service],$B12,Table4[Projected 
Year],AG$1,Table4[Projected 
Month],AG$2),-3)/1000</f>
        <v>0</v>
      </c>
      <c r="AH12" s="165">
        <f>SUMPRODUCT(Table4[Probability]*Table4[Rev. Based on PROB]*(Table4[Service]=$B12)*(Table4[Projected 
Year]=AG$1)*(Table4[Projected 
Month]=AG$2))/MAX(1,SUMPRODUCT(Table4[Rev. Based on PROB]*(Table4[Service]=$B12)*(Table4[Projected 
Year]=AG$1)*(Table4[Projected 
Month]=AG$2)))</f>
        <v>0</v>
      </c>
      <c r="AI12" s="166">
        <f>SUMPRODUCT(Table4[Rev. Based on PROB]*Table4[Expected CMR]*(Table4[Projected 
Year]=AG$1)*(Table4[Projected 
Month]=AG$2)*(Table4[Service]=$B12))/MAX(1,AG12*1000)</f>
        <v>0</v>
      </c>
      <c r="AJ12" s="95">
        <f>ROUND(SUMIFS(Table4[Rev. Based on PROB],Table4[Service],$B12,Table4[Projected 
Year],AJ$1,Table4[Projected 
Month],AJ$2),-3)/1000</f>
        <v>0</v>
      </c>
      <c r="AK12" s="165">
        <f>SUMPRODUCT(Table4[Probability]*Table4[Rev. Based on PROB]*(Table4[Service]=$B12)*(Table4[Projected 
Year]=AJ$1)*(Table4[Projected 
Month]=AJ$2))/MAX(1,SUMPRODUCT(Table4[Rev. Based on PROB]*(Table4[Service]=$B12)*(Table4[Projected 
Year]=AJ$1)*(Table4[Projected 
Month]=AJ$2)))</f>
        <v>0</v>
      </c>
      <c r="AL12" s="166">
        <f>SUMPRODUCT(Table4[Rev. Based on PROB]*Table4[Expected CMR]*(Table4[Projected 
Year]=AJ$1)*(Table4[Projected 
Month]=AJ$2)*(Table4[Service]=$B12))/MAX(1,AJ12*1000)</f>
        <v>0</v>
      </c>
      <c r="AM12" s="30">
        <f>SUM(C12,F12,I12,L12,O12,R12,U12,X12,AA12,AD12,AG12,AJ12)</f>
        <v>0</v>
      </c>
      <c r="AN12" s="52">
        <f t="shared" si="0"/>
        <v>0</v>
      </c>
      <c r="AO12" s="53">
        <f t="shared" si="1"/>
        <v>0</v>
      </c>
      <c r="AP12" s="95">
        <f>ROUND(SUMIFS(Table47[Rev. Based on PROB],Table47[Service],$B12,Table47[Projected 
Year],AP$1,Table47[Monthly revenue],AP$2),-3)/1000</f>
        <v>0</v>
      </c>
      <c r="AQ12" s="165" t="e">
        <f>SUMPRODUCT(Table47[Probability]*Table47[Rev. Based on PROB]*(Table47[Service]=$B12)*(Table47[Projected 
Year]=AP$1)*(Table47[Monthly revenue]=AP$2))/MAX(1,SUMPRODUCT(Table47[Rev. Based on PROB]*(Table47[Service]=$B12)*(Table47[Projected 
Year]=AP$1)*(Table47[Monthly revenue]=AP$2)))</f>
        <v>#REF!</v>
      </c>
      <c r="AR12" s="166" t="e">
        <f>SUMPRODUCT(Table47[Rev. Based on PROB]*Table47[Expected CMR]*(Table47[Projected 
Year]=AP$1)*(Table47[Monthly revenue]=AP$2)*(Table47[Service]=$B12))/MAX(1,AP12*1000)</f>
        <v>#REF!</v>
      </c>
      <c r="AS12" s="98">
        <f>ROUND(SUMIFS(Table47[Rev. Based on PROB],Table47[Service],$B12,Table47[Projected 
Year],AS$1,Table47[Monthly revenue],AS$2),-3)/1000</f>
        <v>0</v>
      </c>
      <c r="AT12" s="165" t="e">
        <f>SUMPRODUCT(Table47[Probability]*Table47[Rev. Based on PROB]*(Table47[Service]=$B12)*(Table47[Projected 
Year]=AS$1)*(Table47[Monthly revenue]=AS$2))/MAX(1,SUMPRODUCT(Table47[Rev. Based on PROB]*(Table47[Service]=$B12)*(Table47[Projected 
Year]=AS$1)*(Table47[Monthly revenue]=AS$2)))</f>
        <v>#REF!</v>
      </c>
      <c r="AU12" s="166" t="e">
        <f>SUMPRODUCT(Table47[Rev. Based on PROB]*Table47[Expected CMR]*(Table47[Projected 
Year]=AS$1)*(Table47[Monthly revenue]=AS$2)*(Table47[Service]=$B12))/MAX(1,AS12*1000)</f>
        <v>#REF!</v>
      </c>
      <c r="AV12" s="95">
        <f>ROUND(SUMIFS(Table47[Rev. Based on PROB],Table47[Service],$B12,Table47[Projected 
Year],AV$1,Table47[Monthly revenue],AV$2),-3)/1000</f>
        <v>0</v>
      </c>
      <c r="AW12" s="165" t="e">
        <f>SUMPRODUCT(Table47[Probability]*Table47[Rev. Based on PROB]*(Table47[Service]=$B12)*(Table47[Projected 
Year]=AV$1)*(Table47[Monthly revenue]=AV$2))/MAX(1,SUMPRODUCT(Table47[Rev. Based on PROB]*(Table47[Service]=$B12)*(Table47[Projected 
Year]=AV$1)*(Table47[Monthly revenue]=AV$2)))</f>
        <v>#REF!</v>
      </c>
      <c r="AX12" s="166" t="e">
        <f>SUMPRODUCT(Table47[Rev. Based on PROB]*Table47[Expected CMR]*(Table47[Projected 
Year]=AV$1)*(Table47[Monthly revenue]=AV$2)*(Table47[Service]=$B12))/MAX(1,AV12*1000)</f>
        <v>#REF!</v>
      </c>
      <c r="AY12" s="95">
        <f>ROUND(SUMIFS(Table47[Rev. Based on PROB],Table47[Service],$B12,Table47[Projected 
Year],AY$1,Table47[Monthly revenue],AY$2),-3)/1000</f>
        <v>0</v>
      </c>
      <c r="AZ12" s="165" t="e">
        <f>SUMPRODUCT(Table47[Probability]*Table47[Rev. Based on PROB]*(Table47[Service]=$B12)*(Table47[Projected 
Year]=AY$1)*(Table47[Monthly revenue]=AY$2))/MAX(1,SUMPRODUCT(Table47[Rev. Based on PROB]*(Table47[Service]=$B12)*(Table47[Projected 
Year]=AY$1)*(Table47[Monthly revenue]=AY$2)))</f>
        <v>#REF!</v>
      </c>
      <c r="BA12" s="166" t="e">
        <f>SUMPRODUCT(Table47[Rev. Based on PROB]*Table47[Expected CMR]*(Table47[Projected 
Year]=AY$1)*(Table47[Monthly revenue]=AY$2)*(Table47[Service]=$B12))/MAX(1,AY12*1000)</f>
        <v>#REF!</v>
      </c>
      <c r="BB12" s="95">
        <f>ROUND(SUMIFS(Table47[Rev. Based on PROB],Table47[Service],$B12,Table47[Projected 
Year],BB$1,Table47[Monthly revenue],BB$2),-3)/1000</f>
        <v>0</v>
      </c>
      <c r="BC12" s="165" t="e">
        <f>SUMPRODUCT(Table47[Probability]*Table47[Rev. Based on PROB]*(Table47[Service]=$B12)*(Table47[Projected 
Year]=BB$1)*(Table47[Monthly revenue]=BB$2))/MAX(1,SUMPRODUCT(Table47[Rev. Based on PROB]*(Table47[Service]=$B12)*(Table47[Projected 
Year]=BB$1)*(Table47[Monthly revenue]=BB$2)))</f>
        <v>#REF!</v>
      </c>
      <c r="BD12" s="166" t="e">
        <f>SUMPRODUCT(Table47[Rev. Based on PROB]*Table47[Expected CMR]*(Table47[Projected 
Year]=BB$1)*(Table47[Monthly revenue]=BB$2)*(Table47[Service]=$B12))/MAX(1,BB12*1000)</f>
        <v>#REF!</v>
      </c>
      <c r="BE12" s="95">
        <f>ROUND(SUMIFS(Table47[Rev. Based on PROB],Table47[Service],$B12,Table47[Projected 
Year],BE$1,Table47[Monthly revenue],BE$2),-3)/1000</f>
        <v>0</v>
      </c>
      <c r="BF12" s="165" t="e">
        <f>SUMPRODUCT(Table47[Probability]*Table47[Rev. Based on PROB]*(Table47[Service]=$B12)*(Table47[Projected 
Year]=BE$1)*(Table47[Monthly revenue]=BE$2))/MAX(1,SUMPRODUCT(Table47[Rev. Based on PROB]*(Table47[Service]=$B12)*(Table47[Projected 
Year]=BE$1)*(Table47[Monthly revenue]=BE$2)))</f>
        <v>#REF!</v>
      </c>
      <c r="BG12" s="166" t="e">
        <f>SUMPRODUCT(Table47[Rev. Based on PROB]*Table47[Expected CMR]*(Table47[Projected 
Year]=BE$1)*(Table47[Monthly revenue]=BE$2)*(Table47[Service]=$B12))/MAX(1,BE12*1000)</f>
        <v>#REF!</v>
      </c>
      <c r="BH12" s="95">
        <f>ROUND(SUMIFS(Table47[Rev. Based on PROB],Table47[Service],$B12,Table47[Projected 
Year],BH$1,Table47[Monthly revenue],BH$2),-3)/1000</f>
        <v>0</v>
      </c>
      <c r="BI12" s="165" t="e">
        <f>SUMPRODUCT(Table47[Probability]*Table47[Rev. Based on PROB]*(Table47[Service]=$B12)*(Table47[Projected 
Year]=BH$1)*(Table47[Monthly revenue]=BH$2))/MAX(1,SUMPRODUCT(Table47[Rev. Based on PROB]*(Table47[Service]=$B12)*(Table47[Projected 
Year]=BH$1)*(Table47[Monthly revenue]=BH$2)))</f>
        <v>#REF!</v>
      </c>
      <c r="BJ12" s="166" t="e">
        <f>SUMPRODUCT(Table47[Rev. Based on PROB]*Table47[Expected CMR]*(Table47[Projected 
Year]=BH$1)*(Table47[Monthly revenue]=BH$2)*(Table47[Service]=$B12))/MAX(1,BH12*1000)</f>
        <v>#REF!</v>
      </c>
      <c r="BK12" s="95">
        <f>ROUND(SUMIFS(Table47[Rev. Based on PROB],Table47[Service],$B12,Table47[Projected 
Year],BK$1,Table47[Monthly revenue],BK$2),-3)/1000</f>
        <v>0</v>
      </c>
      <c r="BL12" s="165" t="e">
        <f>SUMPRODUCT(Table47[Probability]*Table47[Rev. Based on PROB]*(Table47[Service]=$B12)*(Table47[Projected 
Year]=BK$1)*(Table47[Monthly revenue]=BK$2))/MAX(1,SUMPRODUCT(Table47[Rev. Based on PROB]*(Table47[Service]=$B12)*(Table47[Projected 
Year]=BK$1)*(Table47[Monthly revenue]=BK$2)))</f>
        <v>#REF!</v>
      </c>
      <c r="BM12" s="166" t="e">
        <f>SUMPRODUCT(Table47[Rev. Based on PROB]*Table47[Expected CMR]*(Table47[Projected 
Year]=BK$1)*(Table47[Monthly revenue]=BK$2)*(Table47[Service]=$B12))/MAX(1,BK12*1000)</f>
        <v>#REF!</v>
      </c>
      <c r="BN12" s="95">
        <f>ROUND(SUMIFS(Table47[Rev. Based on PROB],Table47[Service],$B12,Table47[Projected 
Year],BN$1,Table47[Monthly revenue],BN$2),-3)/1000</f>
        <v>0</v>
      </c>
      <c r="BO12" s="165" t="e">
        <f>SUMPRODUCT(Table47[Probability]*Table47[Rev. Based on PROB]*(Table47[Service]=$B12)*(Table47[Projected 
Year]=BN$1)*(Table47[Monthly revenue]=BN$2))/MAX(1,SUMPRODUCT(Table47[Rev. Based on PROB]*(Table47[Service]=$B12)*(Table47[Projected 
Year]=BN$1)*(Table47[Monthly revenue]=BN$2)))</f>
        <v>#REF!</v>
      </c>
      <c r="BP12" s="166" t="e">
        <f>SUMPRODUCT(Table47[Rev. Based on PROB]*Table47[Expected CMR]*(Table47[Projected 
Year]=BN$1)*(Table47[Monthly revenue]=BN$2)*(Table47[Service]=$B12))/MAX(1,BN12*1000)</f>
        <v>#REF!</v>
      </c>
      <c r="BQ12" s="95">
        <f>ROUND(SUMIFS(Table47[Rev. Based on PROB],Table47[Service],$B12,Table47[Projected 
Year],BQ$1,Table47[Monthly revenue],BQ$2),-3)/1000</f>
        <v>0</v>
      </c>
      <c r="BR12" s="165" t="e">
        <f>SUMPRODUCT(Table47[Probability]*Table47[Rev. Based on PROB]*(Table47[Service]=$B12)*(Table47[Projected 
Year]=BQ$1)*(Table47[Monthly revenue]=BQ$2))/MAX(1,SUMPRODUCT(Table47[Rev. Based on PROB]*(Table47[Service]=$B12)*(Table47[Projected 
Year]=BQ$1)*(Table47[Monthly revenue]=BQ$2)))</f>
        <v>#REF!</v>
      </c>
      <c r="BS12" s="166" t="e">
        <f>SUMPRODUCT(Table47[Rev. Based on PROB]*Table47[Expected CMR]*(Table47[Projected 
Year]=BQ$1)*(Table47[Monthly revenue]=BQ$2)*(Table47[Service]=$B12))/MAX(1,BQ12*1000)</f>
        <v>#REF!</v>
      </c>
      <c r="BT12" s="95">
        <f>ROUND(SUMIFS(Table47[Rev. Based on PROB],Table47[Service],$B12,Table47[Projected 
Year],BT$1,Table47[Monthly revenue],BT$2),-3)/1000</f>
        <v>0</v>
      </c>
      <c r="BU12" s="165" t="e">
        <f>SUMPRODUCT(Table47[Probability]*Table47[Rev. Based on PROB]*(Table47[Service]=$B12)*(Table47[Projected 
Year]=BT$1)*(Table47[Monthly revenue]=BT$2))/MAX(1,SUMPRODUCT(Table47[Rev. Based on PROB]*(Table47[Service]=$B12)*(Table47[Projected 
Year]=BT$1)*(Table47[Monthly revenue]=BT$2)))</f>
        <v>#REF!</v>
      </c>
      <c r="BV12" s="166" t="e">
        <f>SUMPRODUCT(Table47[Rev. Based on PROB]*Table47[Expected CMR]*(Table47[Projected 
Year]=BT$1)*(Table47[Monthly revenue]=BT$2)*(Table47[Service]=$B12))/MAX(1,BT12*1000)</f>
        <v>#REF!</v>
      </c>
      <c r="BW12" s="95">
        <f>ROUND(SUMIFS(Table47[Rev. Based on PROB],Table47[Service],$B12,Table47[Projected 
Year],BW$1,Table47[Monthly revenue],BW$2),-3)/1000</f>
        <v>0</v>
      </c>
      <c r="BX12" s="165" t="e">
        <f>SUMPRODUCT(Table47[Probability]*Table47[Rev. Based on PROB]*(Table47[Service]=$B12)*(Table47[Projected 
Year]=BW$1)*(Table47[Monthly revenue]=BW$2))/MAX(1,SUMPRODUCT(Table47[Rev. Based on PROB]*(Table47[Service]=$B12)*(Table47[Projected 
Year]=BW$1)*(Table47[Monthly revenue]=BW$2)))</f>
        <v>#REF!</v>
      </c>
      <c r="BY12" s="166" t="e">
        <f>SUMPRODUCT(Table47[Rev. Based on PROB]*Table47[Expected CMR]*(Table47[Projected 
Year]=BW$1)*(Table47[Monthly revenue]=BW$2)*(Table47[Service]=$B12))/MAX(1,BW12*1000)</f>
        <v>#REF!</v>
      </c>
      <c r="BZ12" s="95">
        <f t="shared" si="4"/>
        <v>0</v>
      </c>
      <c r="CA12" s="95">
        <f t="shared" si="2"/>
        <v>0</v>
      </c>
      <c r="CB12" s="95">
        <f t="shared" si="3"/>
        <v>0</v>
      </c>
    </row>
    <row r="13" spans="1:80">
      <c r="A13" s="996" t="s">
        <v>495</v>
      </c>
      <c r="B13" s="980" t="s">
        <v>209</v>
      </c>
      <c r="C13" s="95">
        <f>ROUND(SUMIFS(Table4[Rev. Based on PROB],Table4[Service],$B13,Table4[Projected 
Year],C$1,Table4[Projected 
Month],C$2),-3)/1000</f>
        <v>0</v>
      </c>
      <c r="D13" s="165">
        <f>SUMPRODUCT(Table4[Probability]*Table4[Rev. Based on PROB]*(Table4[Service]=$B13)*(Table4[Projected 
Year]=C$1)*(Table4[Projected 
Month]=C$2))/MAX(1,SUMPRODUCT(Table4[Rev. Based on PROB]*(Table4[Service]=$B13)*(Table4[Projected 
Year]=C$1)*(Table4[Projected 
Month]=C$2)))</f>
        <v>0</v>
      </c>
      <c r="E13" s="166">
        <f>SUMPRODUCT(Table4[Rev. Based on PROB]*Table4[Expected CMR]*(Table4[Projected 
Year]=C$1)*(Table4[Projected 
Month]=C$2)*(Table4[Service]=$B13))/MAX(1,C13*1000)</f>
        <v>0</v>
      </c>
      <c r="F13" s="95">
        <f>ROUND(SUMIFS(Table4[Rev. Based on PROB],Table4[Service],$B13,Table4[Projected 
Year],F$1,Table4[Projected 
Month],F$2),-3)/1000</f>
        <v>0</v>
      </c>
      <c r="G13" s="165">
        <f>SUMPRODUCT(Table4[Probability]*Table4[Rev. Based on PROB]*(Table4[Service]=$B13)*(Table4[Projected 
Year]=F$1)*(Table4[Projected 
Month]=F$2))/MAX(1,SUMPRODUCT(Table4[Rev. Based on PROB]*(Table4[Service]=$B13)*(Table4[Projected 
Year]=F$1)*(Table4[Projected 
Month]=F$2)))</f>
        <v>0</v>
      </c>
      <c r="H13" s="166">
        <f>SUMPRODUCT(Table4[Rev. Based on PROB]*Table4[Expected CMR]*(Table4[Projected 
Year]=F$1)*(Table4[Projected 
Month]=F$2)*(Table4[Service]=$B13))/MAX(1,F13*1000)</f>
        <v>0</v>
      </c>
      <c r="I13" s="95">
        <f>ROUND(SUMIFS(Table4[Rev. Based on PROB],Table4[Service],$B13,Table4[Projected 
Year],I$1,Table4[Projected 
Month],I$2),-3)/1000</f>
        <v>0</v>
      </c>
      <c r="J13" s="165">
        <f>SUMPRODUCT(Table4[Probability]*Table4[Rev. Based on PROB]*(Table4[Service]=$B13)*(Table4[Projected 
Year]=I$1)*(Table4[Projected 
Month]=I$2))/MAX(1,SUMPRODUCT(Table4[Rev. Based on PROB]*(Table4[Service]=$B13)*(Table4[Projected 
Year]=I$1)*(Table4[Projected 
Month]=I$2)))</f>
        <v>0</v>
      </c>
      <c r="K13" s="166">
        <f>SUMPRODUCT(Table4[Rev. Based on PROB]*Table4[Expected CMR]*(Table4[Projected 
Year]=I$1)*(Table4[Projected 
Month]=I$2)*(Table4[Service]=$B13))/MAX(1,I13*1000)</f>
        <v>0</v>
      </c>
      <c r="L13" s="95">
        <f>ROUND(SUMIFS(Table4[Rev. Based on PROB],Table4[Service],$B13,Table4[Projected 
Year],L$1,Table4[Projected 
Month],L$2),-3)/1000</f>
        <v>0</v>
      </c>
      <c r="M13" s="165">
        <f>SUMPRODUCT(Table4[Probability]*Table4[Rev. Based on PROB]*(Table4[Service]=$B13)*(Table4[Projected 
Year]=L$1)*(Table4[Projected 
Month]=L$2))/MAX(1,SUMPRODUCT(Table4[Rev. Based on PROB]*(Table4[Service]=$B13)*(Table4[Projected 
Year]=L$1)*(Table4[Projected 
Month]=L$2)))</f>
        <v>0</v>
      </c>
      <c r="N13" s="166">
        <f>SUMPRODUCT(Table4[Rev. Based on PROB]*Table4[Expected CMR]*(Table4[Projected 
Year]=L$1)*(Table4[Projected 
Month]=L$2)*(Table4[Service]=$B13))/MAX(1,L13*1000)</f>
        <v>0</v>
      </c>
      <c r="O13" s="95">
        <f>ROUND(SUMIFS(Table4[Rev. Based on PROB],Table4[Service],$B13,Table4[Projected 
Year],O$1,Table4[Projected 
Month],O$2),-3)/1000</f>
        <v>0</v>
      </c>
      <c r="P13" s="165">
        <f>SUMPRODUCT(Table4[Probability]*Table4[Rev. Based on PROB]*(Table4[Service]=$B13)*(Table4[Projected 
Year]=O$1)*(Table4[Projected 
Month]=O$2))/MAX(1,SUMPRODUCT(Table4[Rev. Based on PROB]*(Table4[Service]=$B13)*(Table4[Projected 
Year]=O$1)*(Table4[Projected 
Month]=O$2)))</f>
        <v>0</v>
      </c>
      <c r="Q13" s="166">
        <f>SUMPRODUCT(Table4[Rev. Based on PROB]*Table4[Expected CMR]*(Table4[Projected 
Year]=O$1)*(Table4[Projected 
Month]=O$2)*(Table4[Service]=$B13))/MAX(1,O13*1000)</f>
        <v>0</v>
      </c>
      <c r="R13" s="95">
        <f>ROUND(SUMIFS(Table4[Rev. Based on PROB],Table4[Service],$B13,Table4[Projected 
Year],R$1,Table4[Projected 
Month],R$2),-3)/1000</f>
        <v>0</v>
      </c>
      <c r="S13" s="165">
        <f>SUMPRODUCT(Table4[Probability]*Table4[Rev. Based on PROB]*(Table4[Service]=$B13)*(Table4[Projected 
Year]=R$1)*(Table4[Projected 
Month]=R$2))/MAX(1,SUMPRODUCT(Table4[Rev. Based on PROB]*(Table4[Service]=$B13)*(Table4[Projected 
Year]=R$1)*(Table4[Projected 
Month]=R$2)))</f>
        <v>0</v>
      </c>
      <c r="T13" s="166">
        <f>SUMPRODUCT(Table4[Rev. Based on PROB]*Table4[Expected CMR]*(Table4[Projected 
Year]=R$1)*(Table4[Projected 
Month]=R$2)*(Table4[Service]=$B13))/MAX(1,R13*1000)</f>
        <v>0</v>
      </c>
      <c r="U13" s="95">
        <f>ROUND(SUMIFS(Table4[Rev. Based on PROB],Table4[Service],$B13,Table4[Projected 
Year],U$1,Table4[Projected 
Month],U$2),-3)/1000</f>
        <v>0</v>
      </c>
      <c r="V13" s="165">
        <f>SUMPRODUCT(Table4[Probability]*Table4[Rev. Based on PROB]*(Table4[Service]=$B13)*(Table4[Projected 
Year]=U$1)*(Table4[Projected 
Month]=U$2))/MAX(1,SUMPRODUCT(Table4[Rev. Based on PROB]*(Table4[Service]=$B13)*(Table4[Projected 
Year]=U$1)*(Table4[Projected 
Month]=U$2)))</f>
        <v>0</v>
      </c>
      <c r="W13" s="166">
        <f>SUMPRODUCT(Table4[Rev. Based on PROB]*Table4[Expected CMR]*(Table4[Projected 
Year]=U$1)*(Table4[Projected 
Month]=U$2)*(Table4[Service]=$B13))/MAX(1,U13*1000)</f>
        <v>0</v>
      </c>
      <c r="X13" s="95">
        <f>ROUND(SUMIFS(Table4[Rev. Based on PROB],Table4[Service],$B13,Table4[Projected 
Year],X$1,Table4[Projected 
Month],X$2),-3)/1000</f>
        <v>0</v>
      </c>
      <c r="Y13" s="165">
        <f>SUMPRODUCT(Table4[Probability]*Table4[Rev. Based on PROB]*(Table4[Service]=$B13)*(Table4[Projected 
Year]=X$1)*(Table4[Projected 
Month]=X$2))/MAX(1,SUMPRODUCT(Table4[Rev. Based on PROB]*(Table4[Service]=$B13)*(Table4[Projected 
Year]=X$1)*(Table4[Projected 
Month]=X$2)))</f>
        <v>0</v>
      </c>
      <c r="Z13" s="166">
        <f>SUMPRODUCT(Table4[Rev. Based on PROB]*Table4[Expected CMR]*(Table4[Projected 
Year]=X$1)*(Table4[Projected 
Month]=X$2)*(Table4[Service]=$B13))/MAX(1,X13*1000)</f>
        <v>0</v>
      </c>
      <c r="AA13" s="95">
        <f>ROUND(SUMIFS(Table4[Rev. Based on PROB],Table4[Service],$B13,Table4[Projected 
Year],AA$1,Table4[Projected 
Month],AA$2),-3)/1000</f>
        <v>0</v>
      </c>
      <c r="AB13" s="165">
        <f>SUMPRODUCT(Table4[Probability]*Table4[Rev. Based on PROB]*(Table4[Service]=$B13)*(Table4[Projected 
Year]=AA$1)*(Table4[Projected 
Month]=AA$2))/MAX(1,SUMPRODUCT(Table4[Rev. Based on PROB]*(Table4[Service]=$B13)*(Table4[Projected 
Year]=AA$1)*(Table4[Projected 
Month]=AA$2)))</f>
        <v>0</v>
      </c>
      <c r="AC13" s="166">
        <f>SUMPRODUCT(Table4[Rev. Based on PROB]*Table4[Expected CMR]*(Table4[Projected 
Year]=AA$1)*(Table4[Projected 
Month]=AA$2)*(Table4[Service]=$B13))/MAX(1,AA13*1000)</f>
        <v>0</v>
      </c>
      <c r="AD13" s="95">
        <f>ROUND(SUMIFS(Table4[Rev. Based on PROB],Table4[Service],$B13,Table4[Projected 
Year],AD$1,Table4[Projected 
Month],AD$2),-3)/1000</f>
        <v>0</v>
      </c>
      <c r="AE13" s="165">
        <f>SUMPRODUCT(Table4[Probability]*Table4[Rev. Based on PROB]*(Table4[Service]=$B13)*(Table4[Projected 
Year]=AD$1)*(Table4[Projected 
Month]=AD$2))/MAX(1,SUMPRODUCT(Table4[Rev. Based on PROB]*(Table4[Service]=$B13)*(Table4[Projected 
Year]=AD$1)*(Table4[Projected 
Month]=AD$2)))</f>
        <v>0</v>
      </c>
      <c r="AF13" s="166">
        <f>SUMPRODUCT(Table4[Rev. Based on PROB]*Table4[Expected CMR]*(Table4[Projected 
Year]=AD$1)*(Table4[Projected 
Month]=AD$2)*(Table4[Service]=$B13))/MAX(1,AD13*1000)</f>
        <v>0</v>
      </c>
      <c r="AG13" s="95">
        <f>ROUND(SUMIFS(Table4[Rev. Based on PROB],Table4[Service],$B13,Table4[Projected 
Year],AG$1,Table4[Projected 
Month],AG$2),-3)/1000</f>
        <v>0</v>
      </c>
      <c r="AH13" s="165">
        <f>SUMPRODUCT(Table4[Probability]*Table4[Rev. Based on PROB]*(Table4[Service]=$B13)*(Table4[Projected 
Year]=AG$1)*(Table4[Projected 
Month]=AG$2))/MAX(1,SUMPRODUCT(Table4[Rev. Based on PROB]*(Table4[Service]=$B13)*(Table4[Projected 
Year]=AG$1)*(Table4[Projected 
Month]=AG$2)))</f>
        <v>0</v>
      </c>
      <c r="AI13" s="166">
        <f>SUMPRODUCT(Table4[Rev. Based on PROB]*Table4[Expected CMR]*(Table4[Projected 
Year]=AG$1)*(Table4[Projected 
Month]=AG$2)*(Table4[Service]=$B13))/MAX(1,AG13*1000)</f>
        <v>0</v>
      </c>
      <c r="AJ13" s="95">
        <f>ROUND(SUMIFS(Table4[Rev. Based on PROB],Table4[Service],$B13,Table4[Projected 
Year],AJ$1,Table4[Projected 
Month],AJ$2),-3)/1000</f>
        <v>0</v>
      </c>
      <c r="AK13" s="165">
        <f>SUMPRODUCT(Table4[Probability]*Table4[Rev. Based on PROB]*(Table4[Service]=$B13)*(Table4[Projected 
Year]=AJ$1)*(Table4[Projected 
Month]=AJ$2))/MAX(1,SUMPRODUCT(Table4[Rev. Based on PROB]*(Table4[Service]=$B13)*(Table4[Projected 
Year]=AJ$1)*(Table4[Projected 
Month]=AJ$2)))</f>
        <v>0</v>
      </c>
      <c r="AL13" s="166">
        <f>SUMPRODUCT(Table4[Rev. Based on PROB]*Table4[Expected CMR]*(Table4[Projected 
Year]=AJ$1)*(Table4[Projected 
Month]=AJ$2)*(Table4[Service]=$B13))/MAX(1,AJ13*1000)</f>
        <v>0</v>
      </c>
      <c r="AM13" s="31">
        <f t="shared" ref="AM13:AM23" si="5">SUM($C13,$F13,$I13,$L13,$O13,$R13,$U13,$X13,$AA13,$AD13,$AG13,$AJ13)</f>
        <v>0</v>
      </c>
      <c r="AN13" s="54">
        <f t="shared" ref="AN13:AN23" si="6">SUM($C13*$D13,$F13*$G13,$I13*$J13,$N13*$M13,$O13*$P13,$R13*$S13,$U13*$V13,$X13*$Y13,$AA13*$AB13,$AD13*$AE13,$AG13*$AH13,$AJ13*$AK13)/MAX(1,$AM13)</f>
        <v>0</v>
      </c>
      <c r="AO13" s="55">
        <f t="shared" ref="AO13:AO23" si="7">SUM($C13*$E13,$F13*$H13,$I13*$K13,$N13*$N13,$O13*$Q13,$R13*$T13,$U13*$W13,$X13*$Z13,$AA13*$AC13,$AD13*$AF13,$AG13*$AI13,$AJ13*$AL13)/MAX(1,$AM13)</f>
        <v>0</v>
      </c>
      <c r="AP13" s="95">
        <f>ROUND(SUMIFS(Table47[Rev. Based on PROB],Table47[Service],$B13,Table47[Projected 
Year],AP$1,Table47[Monthly revenue],AP$2),-3)/1000</f>
        <v>144</v>
      </c>
      <c r="AQ13" s="165" t="e">
        <f>SUMPRODUCT(Table47[Probability]*Table47[Rev. Based on PROB]*(Table47[Service]=$B13)*(Table47[Projected 
Year]=AP$1)*(Table47[Monthly revenue]=AP$2))/MAX(1,SUMPRODUCT(Table47[Rev. Based on PROB]*(Table47[Service]=$B13)*(Table47[Projected 
Year]=AP$1)*(Table47[Monthly revenue]=AP$2)))</f>
        <v>#REF!</v>
      </c>
      <c r="AR13" s="166" t="e">
        <f>SUMPRODUCT(Table47[Rev. Based on PROB]*Table47[Expected CMR]*(Table47[Projected 
Year]=AP$1)*(Table47[Monthly revenue]=AP$2)*(Table47[Service]=$B13))/MAX(1,AP13*1000)</f>
        <v>#REF!</v>
      </c>
      <c r="AS13" s="98">
        <f>ROUND(SUMIFS(Table47[Rev. Based on PROB],Table47[Service],$B13,Table47[Projected 
Year],AS$1,Table47[Monthly revenue],AS$2),-3)/1000</f>
        <v>70</v>
      </c>
      <c r="AT13" s="165" t="e">
        <f>SUMPRODUCT(Table47[Probability]*Table47[Rev. Based on PROB]*(Table47[Service]=$B13)*(Table47[Projected 
Year]=AS$1)*(Table47[Monthly revenue]=AS$2))/MAX(1,SUMPRODUCT(Table47[Rev. Based on PROB]*(Table47[Service]=$B13)*(Table47[Projected 
Year]=AS$1)*(Table47[Monthly revenue]=AS$2)))</f>
        <v>#REF!</v>
      </c>
      <c r="AU13" s="166" t="e">
        <f>SUMPRODUCT(Table47[Rev. Based on PROB]*Table47[Expected CMR]*(Table47[Projected 
Year]=AS$1)*(Table47[Monthly revenue]=AS$2)*(Table47[Service]=$B13))/MAX(1,AS13*1000)</f>
        <v>#REF!</v>
      </c>
      <c r="AV13" s="95">
        <f>ROUND(SUMIFS(Table47[Rev. Based on PROB],Table47[Service],$B13,Table47[Projected 
Year],AV$1,Table47[Monthly revenue],AV$2),-3)/1000</f>
        <v>185</v>
      </c>
      <c r="AW13" s="165" t="e">
        <f>SUMPRODUCT(Table47[Probability]*Table47[Rev. Based on PROB]*(Table47[Service]=$B13)*(Table47[Projected 
Year]=AV$1)*(Table47[Monthly revenue]=AV$2))/MAX(1,SUMPRODUCT(Table47[Rev. Based on PROB]*(Table47[Service]=$B13)*(Table47[Projected 
Year]=AV$1)*(Table47[Monthly revenue]=AV$2)))</f>
        <v>#REF!</v>
      </c>
      <c r="AX13" s="166" t="e">
        <f>SUMPRODUCT(Table47[Rev. Based on PROB]*Table47[Expected CMR]*(Table47[Projected 
Year]=AV$1)*(Table47[Monthly revenue]=AV$2)*(Table47[Service]=$B13))/MAX(1,AV13*1000)</f>
        <v>#REF!</v>
      </c>
      <c r="AY13" s="95">
        <f>ROUND(SUMIFS(Table47[Rev. Based on PROB],Table47[Service],$B13,Table47[Projected 
Year],AY$1,Table47[Monthly revenue],AY$2),-3)/1000</f>
        <v>117</v>
      </c>
      <c r="AZ13" s="165" t="e">
        <f>SUMPRODUCT(Table47[Probability]*Table47[Rev. Based on PROB]*(Table47[Service]=$B13)*(Table47[Projected 
Year]=AY$1)*(Table47[Monthly revenue]=AY$2))/MAX(1,SUMPRODUCT(Table47[Rev. Based on PROB]*(Table47[Service]=$B13)*(Table47[Projected 
Year]=AY$1)*(Table47[Monthly revenue]=AY$2)))</f>
        <v>#REF!</v>
      </c>
      <c r="BA13" s="166" t="e">
        <f>SUMPRODUCT(Table47[Rev. Based on PROB]*Table47[Expected CMR]*(Table47[Projected 
Year]=AY$1)*(Table47[Monthly revenue]=AY$2)*(Table47[Service]=$B13))/MAX(1,AY13*1000)</f>
        <v>#REF!</v>
      </c>
      <c r="BB13" s="95">
        <f>ROUND(SUMIFS(Table47[Rev. Based on PROB],Table47[Service],$B13,Table47[Projected 
Year],BB$1,Table47[Monthly revenue],BB$2),-3)/1000</f>
        <v>111</v>
      </c>
      <c r="BC13" s="165" t="e">
        <f>SUMPRODUCT(Table47[Probability]*Table47[Rev. Based on PROB]*(Table47[Service]=$B13)*(Table47[Projected 
Year]=BB$1)*(Table47[Monthly revenue]=BB$2))/MAX(1,SUMPRODUCT(Table47[Rev. Based on PROB]*(Table47[Service]=$B13)*(Table47[Projected 
Year]=BB$1)*(Table47[Monthly revenue]=BB$2)))</f>
        <v>#REF!</v>
      </c>
      <c r="BD13" s="166" t="e">
        <f>SUMPRODUCT(Table47[Rev. Based on PROB]*Table47[Expected CMR]*(Table47[Projected 
Year]=BB$1)*(Table47[Monthly revenue]=BB$2)*(Table47[Service]=$B13))/MAX(1,BB13*1000)</f>
        <v>#REF!</v>
      </c>
      <c r="BE13" s="95">
        <f>ROUND(SUMIFS(Table47[Rev. Based on PROB],Table47[Service],$B13,Table47[Projected 
Year],BE$1,Table47[Monthly revenue],BE$2),-3)/1000</f>
        <v>27</v>
      </c>
      <c r="BF13" s="165" t="e">
        <f>SUMPRODUCT(Table47[Probability]*Table47[Rev. Based on PROB]*(Table47[Service]=$B13)*(Table47[Projected 
Year]=BE$1)*(Table47[Monthly revenue]=BE$2))/MAX(1,SUMPRODUCT(Table47[Rev. Based on PROB]*(Table47[Service]=$B13)*(Table47[Projected 
Year]=BE$1)*(Table47[Monthly revenue]=BE$2)))</f>
        <v>#REF!</v>
      </c>
      <c r="BG13" s="166" t="e">
        <f>SUMPRODUCT(Table47[Rev. Based on PROB]*Table47[Expected CMR]*(Table47[Projected 
Year]=BE$1)*(Table47[Monthly revenue]=BE$2)*(Table47[Service]=$B13))/MAX(1,BE13*1000)</f>
        <v>#REF!</v>
      </c>
      <c r="BH13" s="95">
        <f>ROUND(SUMIFS(Table47[Rev. Based on PROB],Table47[Service],$B13,Table47[Projected 
Year],BH$1,Table47[Monthly revenue],BH$2),-3)/1000</f>
        <v>0</v>
      </c>
      <c r="BI13" s="165" t="e">
        <f>SUMPRODUCT(Table47[Probability]*Table47[Rev. Based on PROB]*(Table47[Service]=$B13)*(Table47[Projected 
Year]=BH$1)*(Table47[Monthly revenue]=BH$2))/MAX(1,SUMPRODUCT(Table47[Rev. Based on PROB]*(Table47[Service]=$B13)*(Table47[Projected 
Year]=BH$1)*(Table47[Monthly revenue]=BH$2)))</f>
        <v>#REF!</v>
      </c>
      <c r="BJ13" s="166" t="e">
        <f>SUMPRODUCT(Table47[Rev. Based on PROB]*Table47[Expected CMR]*(Table47[Projected 
Year]=BH$1)*(Table47[Monthly revenue]=BH$2)*(Table47[Service]=$B13))/MAX(1,BH13*1000)</f>
        <v>#REF!</v>
      </c>
      <c r="BK13" s="95">
        <f>ROUND(SUMIFS(Table47[Rev. Based on PROB],Table47[Service],$B13,Table47[Projected 
Year],BK$1,Table47[Monthly revenue],BK$2),-3)/1000</f>
        <v>0</v>
      </c>
      <c r="BL13" s="165" t="e">
        <f>SUMPRODUCT(Table47[Probability]*Table47[Rev. Based on PROB]*(Table47[Service]=$B13)*(Table47[Projected 
Year]=BK$1)*(Table47[Monthly revenue]=BK$2))/MAX(1,SUMPRODUCT(Table47[Rev. Based on PROB]*(Table47[Service]=$B13)*(Table47[Projected 
Year]=BK$1)*(Table47[Monthly revenue]=BK$2)))</f>
        <v>#REF!</v>
      </c>
      <c r="BM13" s="166" t="e">
        <f>SUMPRODUCT(Table47[Rev. Based on PROB]*Table47[Expected CMR]*(Table47[Projected 
Year]=BK$1)*(Table47[Monthly revenue]=BK$2)*(Table47[Service]=$B13))/MAX(1,BK13*1000)</f>
        <v>#REF!</v>
      </c>
      <c r="BN13" s="95">
        <f>ROUND(SUMIFS(Table47[Rev. Based on PROB],Table47[Service],$B13,Table47[Projected 
Year],BN$1,Table47[Monthly revenue],BN$2),-3)/1000</f>
        <v>0</v>
      </c>
      <c r="BO13" s="165" t="e">
        <f>SUMPRODUCT(Table47[Probability]*Table47[Rev. Based on PROB]*(Table47[Service]=$B13)*(Table47[Projected 
Year]=BN$1)*(Table47[Monthly revenue]=BN$2))/MAX(1,SUMPRODUCT(Table47[Rev. Based on PROB]*(Table47[Service]=$B13)*(Table47[Projected 
Year]=BN$1)*(Table47[Monthly revenue]=BN$2)))</f>
        <v>#REF!</v>
      </c>
      <c r="BP13" s="166" t="e">
        <f>SUMPRODUCT(Table47[Rev. Based on PROB]*Table47[Expected CMR]*(Table47[Projected 
Year]=BN$1)*(Table47[Monthly revenue]=BN$2)*(Table47[Service]=$B13))/MAX(1,BN13*1000)</f>
        <v>#REF!</v>
      </c>
      <c r="BQ13" s="95">
        <f>ROUND(SUMIFS(Table47[Rev. Based on PROB],Table47[Service],$B13,Table47[Projected 
Year],BQ$1,Table47[Monthly revenue],BQ$2),-3)/1000</f>
        <v>42</v>
      </c>
      <c r="BR13" s="165" t="e">
        <f>SUMPRODUCT(Table47[Probability]*Table47[Rev. Based on PROB]*(Table47[Service]=$B13)*(Table47[Projected 
Year]=BQ$1)*(Table47[Monthly revenue]=BQ$2))/MAX(1,SUMPRODUCT(Table47[Rev. Based on PROB]*(Table47[Service]=$B13)*(Table47[Projected 
Year]=BQ$1)*(Table47[Monthly revenue]=BQ$2)))</f>
        <v>#REF!</v>
      </c>
      <c r="BS13" s="166" t="e">
        <f>SUMPRODUCT(Table47[Rev. Based on PROB]*Table47[Expected CMR]*(Table47[Projected 
Year]=BQ$1)*(Table47[Monthly revenue]=BQ$2)*(Table47[Service]=$B13))/MAX(1,BQ13*1000)</f>
        <v>#REF!</v>
      </c>
      <c r="BT13" s="95">
        <f>ROUND(SUMIFS(Table47[Rev. Based on PROB],Table47[Service],$B13,Table47[Projected 
Year],BT$1,Table47[Monthly revenue],BT$2),-3)/1000</f>
        <v>108</v>
      </c>
      <c r="BU13" s="165" t="e">
        <f>SUMPRODUCT(Table47[Probability]*Table47[Rev. Based on PROB]*(Table47[Service]=$B13)*(Table47[Projected 
Year]=BT$1)*(Table47[Monthly revenue]=BT$2))/MAX(1,SUMPRODUCT(Table47[Rev. Based on PROB]*(Table47[Service]=$B13)*(Table47[Projected 
Year]=BT$1)*(Table47[Monthly revenue]=BT$2)))</f>
        <v>#REF!</v>
      </c>
      <c r="BV13" s="166" t="e">
        <f>SUMPRODUCT(Table47[Rev. Based on PROB]*Table47[Expected CMR]*(Table47[Projected 
Year]=BT$1)*(Table47[Monthly revenue]=BT$2)*(Table47[Service]=$B13))/MAX(1,BT13*1000)</f>
        <v>#REF!</v>
      </c>
      <c r="BW13" s="95">
        <f>ROUND(SUMIFS(Table47[Rev. Based on PROB],Table47[Service],$B13,Table47[Projected 
Year],BW$1,Table47[Monthly revenue],BW$2),-3)/1000</f>
        <v>0</v>
      </c>
      <c r="BX13" s="165" t="e">
        <f>SUMPRODUCT(Table47[Probability]*Table47[Rev. Based on PROB]*(Table47[Service]=$B13)*(Table47[Projected 
Year]=BW$1)*(Table47[Monthly revenue]=BW$2))/MAX(1,SUMPRODUCT(Table47[Rev. Based on PROB]*(Table47[Service]=$B13)*(Table47[Projected 
Year]=BW$1)*(Table47[Monthly revenue]=BW$2)))</f>
        <v>#REF!</v>
      </c>
      <c r="BY13" s="166" t="e">
        <f>SUMPRODUCT(Table47[Rev. Based on PROB]*Table47[Expected CMR]*(Table47[Projected 
Year]=BW$1)*(Table47[Monthly revenue]=BW$2)*(Table47[Service]=$B13))/MAX(1,BW13*1000)</f>
        <v>#REF!</v>
      </c>
      <c r="BZ13" s="95">
        <f t="shared" si="4"/>
        <v>804</v>
      </c>
      <c r="CA13" s="95">
        <f t="shared" ref="CA13:CA23" si="8">SUM($C13*$D13,$F13*$G13,$I13*$J13,$N13*$M13,$O13*$P13,$R13*$S13,$U13*$V13,$X13*$Y13,$AA13*$AB13,$AD13*$AE13,$AG13*$AH13,$AJ13*$AK13)/MAX(1,$AM13)</f>
        <v>0</v>
      </c>
      <c r="CB13" s="95">
        <f t="shared" ref="CB13:CB23" si="9">SUM($C13*$E13,$F13*$H13,$I13*$K13,$N13*$N13,$O13*$Q13,$R13*$T13,$U13*$W13,$X13*$Z13,$AA13*$AC13,$AD13*$AF13,$AG13*$AI13,$AJ13*$AL13)/MAX(1,$AM13)</f>
        <v>0</v>
      </c>
    </row>
    <row r="14" spans="1:80">
      <c r="A14" s="991" t="s">
        <v>496</v>
      </c>
      <c r="B14" s="994" t="s">
        <v>497</v>
      </c>
      <c r="C14" s="95">
        <f>ROUND(SUMIFS(Table4[Rev. Based on PROB],Table4[Service],$B14,Table4[Projected 
Year],C$1,Table4[Projected 
Month],C$2),-3)/1000</f>
        <v>0</v>
      </c>
      <c r="D14" s="165">
        <f>SUMPRODUCT(Table4[Probability]*Table4[Rev. Based on PROB]*(Table4[Service]=$B14)*(Table4[Projected 
Year]=C$1)*(Table4[Projected 
Month]=C$2))/MAX(1,SUMPRODUCT(Table4[Rev. Based on PROB]*(Table4[Service]=$B14)*(Table4[Projected 
Year]=C$1)*(Table4[Projected 
Month]=C$2)))</f>
        <v>0</v>
      </c>
      <c r="E14" s="166">
        <f>SUMPRODUCT(Table4[Rev. Based on PROB]*Table4[Expected CMR]*(Table4[Projected 
Year]=C$1)*(Table4[Projected 
Month]=C$2)*(Table4[Service]=$B14))/MAX(1,C14*1000)</f>
        <v>0</v>
      </c>
      <c r="F14" s="95">
        <f>ROUND(SUMIFS(Table4[Rev. Based on PROB],Table4[Service],$B14,Table4[Projected 
Year],F$1,Table4[Projected 
Month],F$2),-3)/1000</f>
        <v>0</v>
      </c>
      <c r="G14" s="165">
        <f>SUMPRODUCT(Table4[Probability]*Table4[Rev. Based on PROB]*(Table4[Service]=$B14)*(Table4[Projected 
Year]=F$1)*(Table4[Projected 
Month]=F$2))/MAX(1,SUMPRODUCT(Table4[Rev. Based on PROB]*(Table4[Service]=$B14)*(Table4[Projected 
Year]=F$1)*(Table4[Projected 
Month]=F$2)))</f>
        <v>0</v>
      </c>
      <c r="H14" s="166">
        <f>SUMPRODUCT(Table4[Rev. Based on PROB]*Table4[Expected CMR]*(Table4[Projected 
Year]=F$1)*(Table4[Projected 
Month]=F$2)*(Table4[Service]=$B14))/MAX(1,F14*1000)</f>
        <v>0</v>
      </c>
      <c r="I14" s="95">
        <f>ROUND(SUMIFS(Table4[Rev. Based on PROB],Table4[Service],$B14,Table4[Projected 
Year],I$1,Table4[Projected 
Month],I$2),-3)/1000</f>
        <v>0</v>
      </c>
      <c r="J14" s="165">
        <f>SUMPRODUCT(Table4[Probability]*Table4[Rev. Based on PROB]*(Table4[Service]=$B14)*(Table4[Projected 
Year]=I$1)*(Table4[Projected 
Month]=I$2))/MAX(1,SUMPRODUCT(Table4[Rev. Based on PROB]*(Table4[Service]=$B14)*(Table4[Projected 
Year]=I$1)*(Table4[Projected 
Month]=I$2)))</f>
        <v>0</v>
      </c>
      <c r="K14" s="166">
        <f>SUMPRODUCT(Table4[Rev. Based on PROB]*Table4[Expected CMR]*(Table4[Projected 
Year]=I$1)*(Table4[Projected 
Month]=I$2)*(Table4[Service]=$B14))/MAX(1,I14*1000)</f>
        <v>0</v>
      </c>
      <c r="L14" s="95">
        <f>ROUND(SUMIFS(Table4[Rev. Based on PROB],Table4[Service],$B14,Table4[Projected 
Year],L$1,Table4[Projected 
Month],L$2),-3)/1000</f>
        <v>0</v>
      </c>
      <c r="M14" s="165">
        <f>SUMPRODUCT(Table4[Probability]*Table4[Rev. Based on PROB]*(Table4[Service]=$B14)*(Table4[Projected 
Year]=L$1)*(Table4[Projected 
Month]=L$2))/MAX(1,SUMPRODUCT(Table4[Rev. Based on PROB]*(Table4[Service]=$B14)*(Table4[Projected 
Year]=L$1)*(Table4[Projected 
Month]=L$2)))</f>
        <v>0</v>
      </c>
      <c r="N14" s="166">
        <f>SUMPRODUCT(Table4[Rev. Based on PROB]*Table4[Expected CMR]*(Table4[Projected 
Year]=L$1)*(Table4[Projected 
Month]=L$2)*(Table4[Service]=$B14))/MAX(1,L14*1000)</f>
        <v>0</v>
      </c>
      <c r="O14" s="95">
        <f>ROUND(SUMIFS(Table4[Rev. Based on PROB],Table4[Service],$B14,Table4[Projected 
Year],O$1,Table4[Projected 
Month],O$2),-3)/1000</f>
        <v>0</v>
      </c>
      <c r="P14" s="165">
        <f>SUMPRODUCT(Table4[Probability]*Table4[Rev. Based on PROB]*(Table4[Service]=$B14)*(Table4[Projected 
Year]=O$1)*(Table4[Projected 
Month]=O$2))/MAX(1,SUMPRODUCT(Table4[Rev. Based on PROB]*(Table4[Service]=$B14)*(Table4[Projected 
Year]=O$1)*(Table4[Projected 
Month]=O$2)))</f>
        <v>0</v>
      </c>
      <c r="Q14" s="166">
        <f>SUMPRODUCT(Table4[Rev. Based on PROB]*Table4[Expected CMR]*(Table4[Projected 
Year]=O$1)*(Table4[Projected 
Month]=O$2)*(Table4[Service]=$B14))/MAX(1,O14*1000)</f>
        <v>0</v>
      </c>
      <c r="R14" s="95">
        <f>ROUND(SUMIFS(Table4[Rev. Based on PROB],Table4[Service],$B14,Table4[Projected 
Year],R$1,Table4[Projected 
Month],R$2),-3)/1000</f>
        <v>0</v>
      </c>
      <c r="S14" s="165">
        <f>SUMPRODUCT(Table4[Probability]*Table4[Rev. Based on PROB]*(Table4[Service]=$B14)*(Table4[Projected 
Year]=R$1)*(Table4[Projected 
Month]=R$2))/MAX(1,SUMPRODUCT(Table4[Rev. Based on PROB]*(Table4[Service]=$B14)*(Table4[Projected 
Year]=R$1)*(Table4[Projected 
Month]=R$2)))</f>
        <v>0</v>
      </c>
      <c r="T14" s="166">
        <f>SUMPRODUCT(Table4[Rev. Based on PROB]*Table4[Expected CMR]*(Table4[Projected 
Year]=R$1)*(Table4[Projected 
Month]=R$2)*(Table4[Service]=$B14))/MAX(1,R14*1000)</f>
        <v>0</v>
      </c>
      <c r="U14" s="95">
        <f>ROUND(SUMIFS(Table4[Rev. Based on PROB],Table4[Service],$B14,Table4[Projected 
Year],U$1,Table4[Projected 
Month],U$2),-3)/1000</f>
        <v>0</v>
      </c>
      <c r="V14" s="165">
        <f>SUMPRODUCT(Table4[Probability]*Table4[Rev. Based on PROB]*(Table4[Service]=$B14)*(Table4[Projected 
Year]=U$1)*(Table4[Projected 
Month]=U$2))/MAX(1,SUMPRODUCT(Table4[Rev. Based on PROB]*(Table4[Service]=$B14)*(Table4[Projected 
Year]=U$1)*(Table4[Projected 
Month]=U$2)))</f>
        <v>0</v>
      </c>
      <c r="W14" s="166">
        <f>SUMPRODUCT(Table4[Rev. Based on PROB]*Table4[Expected CMR]*(Table4[Projected 
Year]=U$1)*(Table4[Projected 
Month]=U$2)*(Table4[Service]=$B14))/MAX(1,U14*1000)</f>
        <v>0</v>
      </c>
      <c r="X14" s="95">
        <f>ROUND(SUMIFS(Table4[Rev. Based on PROB],Table4[Service],$B14,Table4[Projected 
Year],X$1,Table4[Projected 
Month],X$2),-3)/1000</f>
        <v>0</v>
      </c>
      <c r="Y14" s="165">
        <f>SUMPRODUCT(Table4[Probability]*Table4[Rev. Based on PROB]*(Table4[Service]=$B14)*(Table4[Projected 
Year]=X$1)*(Table4[Projected 
Month]=X$2))/MAX(1,SUMPRODUCT(Table4[Rev. Based on PROB]*(Table4[Service]=$B14)*(Table4[Projected 
Year]=X$1)*(Table4[Projected 
Month]=X$2)))</f>
        <v>0</v>
      </c>
      <c r="Z14" s="166">
        <f>SUMPRODUCT(Table4[Rev. Based on PROB]*Table4[Expected CMR]*(Table4[Projected 
Year]=X$1)*(Table4[Projected 
Month]=X$2)*(Table4[Service]=$B14))/MAX(1,X14*1000)</f>
        <v>0</v>
      </c>
      <c r="AA14" s="95">
        <f>ROUND(SUMIFS(Table4[Rev. Based on PROB],Table4[Service],$B14,Table4[Projected 
Year],AA$1,Table4[Projected 
Month],AA$2),-3)/1000</f>
        <v>0</v>
      </c>
      <c r="AB14" s="165">
        <f>SUMPRODUCT(Table4[Probability]*Table4[Rev. Based on PROB]*(Table4[Service]=$B14)*(Table4[Projected 
Year]=AA$1)*(Table4[Projected 
Month]=AA$2))/MAX(1,SUMPRODUCT(Table4[Rev. Based on PROB]*(Table4[Service]=$B14)*(Table4[Projected 
Year]=AA$1)*(Table4[Projected 
Month]=AA$2)))</f>
        <v>0</v>
      </c>
      <c r="AC14" s="166">
        <f>SUMPRODUCT(Table4[Rev. Based on PROB]*Table4[Expected CMR]*(Table4[Projected 
Year]=AA$1)*(Table4[Projected 
Month]=AA$2)*(Table4[Service]=$B14))/MAX(1,AA14*1000)</f>
        <v>0</v>
      </c>
      <c r="AD14" s="95">
        <f>ROUND(SUMIFS(Table4[Rev. Based on PROB],Table4[Service],$B14,Table4[Projected 
Year],AD$1,Table4[Projected 
Month],AD$2),-3)/1000</f>
        <v>0</v>
      </c>
      <c r="AE14" s="165">
        <f>SUMPRODUCT(Table4[Probability]*Table4[Rev. Based on PROB]*(Table4[Service]=$B14)*(Table4[Projected 
Year]=AD$1)*(Table4[Projected 
Month]=AD$2))/MAX(1,SUMPRODUCT(Table4[Rev. Based on PROB]*(Table4[Service]=$B14)*(Table4[Projected 
Year]=AD$1)*(Table4[Projected 
Month]=AD$2)))</f>
        <v>0</v>
      </c>
      <c r="AF14" s="166">
        <f>SUMPRODUCT(Table4[Rev. Based on PROB]*Table4[Expected CMR]*(Table4[Projected 
Year]=AD$1)*(Table4[Projected 
Month]=AD$2)*(Table4[Service]=$B14))/MAX(1,AD14*1000)</f>
        <v>0</v>
      </c>
      <c r="AG14" s="95">
        <f>ROUND(SUMIFS(Table4[Rev. Based on PROB],Table4[Service],$B14,Table4[Projected 
Year],AG$1,Table4[Projected 
Month],AG$2),-3)/1000</f>
        <v>0</v>
      </c>
      <c r="AH14" s="165">
        <f>SUMPRODUCT(Table4[Probability]*Table4[Rev. Based on PROB]*(Table4[Service]=$B14)*(Table4[Projected 
Year]=AG$1)*(Table4[Projected 
Month]=AG$2))/MAX(1,SUMPRODUCT(Table4[Rev. Based on PROB]*(Table4[Service]=$B14)*(Table4[Projected 
Year]=AG$1)*(Table4[Projected 
Month]=AG$2)))</f>
        <v>0</v>
      </c>
      <c r="AI14" s="166">
        <f>SUMPRODUCT(Table4[Rev. Based on PROB]*Table4[Expected CMR]*(Table4[Projected 
Year]=AG$1)*(Table4[Projected 
Month]=AG$2)*(Table4[Service]=$B14))/MAX(1,AG14*1000)</f>
        <v>0</v>
      </c>
      <c r="AJ14" s="95">
        <f>ROUND(SUMIFS(Table4[Rev. Based on PROB],Table4[Service],$B14,Table4[Projected 
Year],AJ$1,Table4[Projected 
Month],AJ$2),-3)/1000</f>
        <v>0</v>
      </c>
      <c r="AK14" s="165">
        <f>SUMPRODUCT(Table4[Probability]*Table4[Rev. Based on PROB]*(Table4[Service]=$B14)*(Table4[Projected 
Year]=AJ$1)*(Table4[Projected 
Month]=AJ$2))/MAX(1,SUMPRODUCT(Table4[Rev. Based on PROB]*(Table4[Service]=$B14)*(Table4[Projected 
Year]=AJ$1)*(Table4[Projected 
Month]=AJ$2)))</f>
        <v>0</v>
      </c>
      <c r="AL14" s="166">
        <f>SUMPRODUCT(Table4[Rev. Based on PROB]*Table4[Expected CMR]*(Table4[Projected 
Year]=AJ$1)*(Table4[Projected 
Month]=AJ$2)*(Table4[Service]=$B14))/MAX(1,AJ14*1000)</f>
        <v>0</v>
      </c>
      <c r="AM14" s="29">
        <f t="shared" si="5"/>
        <v>0</v>
      </c>
      <c r="AN14" s="50">
        <f t="shared" si="6"/>
        <v>0</v>
      </c>
      <c r="AO14" s="51">
        <f t="shared" si="7"/>
        <v>0</v>
      </c>
      <c r="AP14" s="95">
        <f>ROUND(SUMIFS(Table47[Rev. Based on PROB],Table47[Service],$B14,Table47[Projected 
Year],AP$1,Table47[Monthly revenue],AP$2),-3)/1000</f>
        <v>0</v>
      </c>
      <c r="AQ14" s="165" t="e">
        <f>SUMPRODUCT(Table47[Probability]*Table47[Rev. Based on PROB]*(Table47[Service]=$B14)*(Table47[Projected 
Year]=AP$1)*(Table47[Monthly revenue]=AP$2))/MAX(1,SUMPRODUCT(Table47[Rev. Based on PROB]*(Table47[Service]=$B14)*(Table47[Projected 
Year]=AP$1)*(Table47[Monthly revenue]=AP$2)))</f>
        <v>#REF!</v>
      </c>
      <c r="AR14" s="166" t="e">
        <f>SUMPRODUCT(Table47[Rev. Based on PROB]*Table47[Expected CMR]*(Table47[Projected 
Year]=AP$1)*(Table47[Monthly revenue]=AP$2)*(Table47[Service]=$B14))/MAX(1,AP14*1000)</f>
        <v>#REF!</v>
      </c>
      <c r="AS14" s="98">
        <f>ROUND(SUMIFS(Table47[Rev. Based on PROB],Table47[Service],$B14,Table47[Projected 
Year],AS$1,Table47[Monthly revenue],AS$2),-3)/1000</f>
        <v>0</v>
      </c>
      <c r="AT14" s="165" t="e">
        <f>SUMPRODUCT(Table47[Probability]*Table47[Rev. Based on PROB]*(Table47[Service]=$B14)*(Table47[Projected 
Year]=AS$1)*(Table47[Monthly revenue]=AS$2))/MAX(1,SUMPRODUCT(Table47[Rev. Based on PROB]*(Table47[Service]=$B14)*(Table47[Projected 
Year]=AS$1)*(Table47[Monthly revenue]=AS$2)))</f>
        <v>#REF!</v>
      </c>
      <c r="AU14" s="166" t="e">
        <f>SUMPRODUCT(Table47[Rev. Based on PROB]*Table47[Expected CMR]*(Table47[Projected 
Year]=AS$1)*(Table47[Monthly revenue]=AS$2)*(Table47[Service]=$B14))/MAX(1,AS14*1000)</f>
        <v>#REF!</v>
      </c>
      <c r="AV14" s="95">
        <f>ROUND(SUMIFS(Table47[Rev. Based on PROB],Table47[Service],$B14,Table47[Projected 
Year],AV$1,Table47[Monthly revenue],AV$2),-3)/1000</f>
        <v>0</v>
      </c>
      <c r="AW14" s="165" t="e">
        <f>SUMPRODUCT(Table47[Probability]*Table47[Rev. Based on PROB]*(Table47[Service]=$B14)*(Table47[Projected 
Year]=AV$1)*(Table47[Monthly revenue]=AV$2))/MAX(1,SUMPRODUCT(Table47[Rev. Based on PROB]*(Table47[Service]=$B14)*(Table47[Projected 
Year]=AV$1)*(Table47[Monthly revenue]=AV$2)))</f>
        <v>#REF!</v>
      </c>
      <c r="AX14" s="166" t="e">
        <f>SUMPRODUCT(Table47[Rev. Based on PROB]*Table47[Expected CMR]*(Table47[Projected 
Year]=AV$1)*(Table47[Monthly revenue]=AV$2)*(Table47[Service]=$B14))/MAX(1,AV14*1000)</f>
        <v>#REF!</v>
      </c>
      <c r="AY14" s="95">
        <f>ROUND(SUMIFS(Table47[Rev. Based on PROB],Table47[Service],$B14,Table47[Projected 
Year],AY$1,Table47[Monthly revenue],AY$2),-3)/1000</f>
        <v>0</v>
      </c>
      <c r="AZ14" s="165" t="e">
        <f>SUMPRODUCT(Table47[Probability]*Table47[Rev. Based on PROB]*(Table47[Service]=$B14)*(Table47[Projected 
Year]=AY$1)*(Table47[Monthly revenue]=AY$2))/MAX(1,SUMPRODUCT(Table47[Rev. Based on PROB]*(Table47[Service]=$B14)*(Table47[Projected 
Year]=AY$1)*(Table47[Monthly revenue]=AY$2)))</f>
        <v>#REF!</v>
      </c>
      <c r="BA14" s="166" t="e">
        <f>SUMPRODUCT(Table47[Rev. Based on PROB]*Table47[Expected CMR]*(Table47[Projected 
Year]=AY$1)*(Table47[Monthly revenue]=AY$2)*(Table47[Service]=$B14))/MAX(1,AY14*1000)</f>
        <v>#REF!</v>
      </c>
      <c r="BB14" s="95">
        <f>ROUND(SUMIFS(Table47[Rev. Based on PROB],Table47[Service],$B14,Table47[Projected 
Year],BB$1,Table47[Monthly revenue],BB$2),-3)/1000</f>
        <v>0</v>
      </c>
      <c r="BC14" s="165" t="e">
        <f>SUMPRODUCT(Table47[Probability]*Table47[Rev. Based on PROB]*(Table47[Service]=$B14)*(Table47[Projected 
Year]=BB$1)*(Table47[Monthly revenue]=BB$2))/MAX(1,SUMPRODUCT(Table47[Rev. Based on PROB]*(Table47[Service]=$B14)*(Table47[Projected 
Year]=BB$1)*(Table47[Monthly revenue]=BB$2)))</f>
        <v>#REF!</v>
      </c>
      <c r="BD14" s="166" t="e">
        <f>SUMPRODUCT(Table47[Rev. Based on PROB]*Table47[Expected CMR]*(Table47[Projected 
Year]=BB$1)*(Table47[Monthly revenue]=BB$2)*(Table47[Service]=$B14))/MAX(1,BB14*1000)</f>
        <v>#REF!</v>
      </c>
      <c r="BE14" s="95">
        <f>ROUND(SUMIFS(Table47[Rev. Based on PROB],Table47[Service],$B14,Table47[Projected 
Year],BE$1,Table47[Monthly revenue],BE$2),-3)/1000</f>
        <v>0</v>
      </c>
      <c r="BF14" s="165" t="e">
        <f>SUMPRODUCT(Table47[Probability]*Table47[Rev. Based on PROB]*(Table47[Service]=$B14)*(Table47[Projected 
Year]=BE$1)*(Table47[Monthly revenue]=BE$2))/MAX(1,SUMPRODUCT(Table47[Rev. Based on PROB]*(Table47[Service]=$B14)*(Table47[Projected 
Year]=BE$1)*(Table47[Monthly revenue]=BE$2)))</f>
        <v>#REF!</v>
      </c>
      <c r="BG14" s="166" t="e">
        <f>SUMPRODUCT(Table47[Rev. Based on PROB]*Table47[Expected CMR]*(Table47[Projected 
Year]=BE$1)*(Table47[Monthly revenue]=BE$2)*(Table47[Service]=$B14))/MAX(1,BE14*1000)</f>
        <v>#REF!</v>
      </c>
      <c r="BH14" s="95">
        <f>ROUND(SUMIFS(Table47[Rev. Based on PROB],Table47[Service],$B14,Table47[Projected 
Year],BH$1,Table47[Monthly revenue],BH$2),-3)/1000</f>
        <v>0</v>
      </c>
      <c r="BI14" s="165" t="e">
        <f>SUMPRODUCT(Table47[Probability]*Table47[Rev. Based on PROB]*(Table47[Service]=$B14)*(Table47[Projected 
Year]=BH$1)*(Table47[Monthly revenue]=BH$2))/MAX(1,SUMPRODUCT(Table47[Rev. Based on PROB]*(Table47[Service]=$B14)*(Table47[Projected 
Year]=BH$1)*(Table47[Monthly revenue]=BH$2)))</f>
        <v>#REF!</v>
      </c>
      <c r="BJ14" s="166" t="e">
        <f>SUMPRODUCT(Table47[Rev. Based on PROB]*Table47[Expected CMR]*(Table47[Projected 
Year]=BH$1)*(Table47[Monthly revenue]=BH$2)*(Table47[Service]=$B14))/MAX(1,BH14*1000)</f>
        <v>#REF!</v>
      </c>
      <c r="BK14" s="95">
        <f>ROUND(SUMIFS(Table47[Rev. Based on PROB],Table47[Service],$B14,Table47[Projected 
Year],BK$1,Table47[Monthly revenue],BK$2),-3)/1000</f>
        <v>0</v>
      </c>
      <c r="BL14" s="165" t="e">
        <f>SUMPRODUCT(Table47[Probability]*Table47[Rev. Based on PROB]*(Table47[Service]=$B14)*(Table47[Projected 
Year]=BK$1)*(Table47[Monthly revenue]=BK$2))/MAX(1,SUMPRODUCT(Table47[Rev. Based on PROB]*(Table47[Service]=$B14)*(Table47[Projected 
Year]=BK$1)*(Table47[Monthly revenue]=BK$2)))</f>
        <v>#REF!</v>
      </c>
      <c r="BM14" s="166" t="e">
        <f>SUMPRODUCT(Table47[Rev. Based on PROB]*Table47[Expected CMR]*(Table47[Projected 
Year]=BK$1)*(Table47[Monthly revenue]=BK$2)*(Table47[Service]=$B14))/MAX(1,BK14*1000)</f>
        <v>#REF!</v>
      </c>
      <c r="BN14" s="95">
        <f>ROUND(SUMIFS(Table47[Rev. Based on PROB],Table47[Service],$B14,Table47[Projected 
Year],BN$1,Table47[Monthly revenue],BN$2),-3)/1000</f>
        <v>0</v>
      </c>
      <c r="BO14" s="165" t="e">
        <f>SUMPRODUCT(Table47[Probability]*Table47[Rev. Based on PROB]*(Table47[Service]=$B14)*(Table47[Projected 
Year]=BN$1)*(Table47[Monthly revenue]=BN$2))/MAX(1,SUMPRODUCT(Table47[Rev. Based on PROB]*(Table47[Service]=$B14)*(Table47[Projected 
Year]=BN$1)*(Table47[Monthly revenue]=BN$2)))</f>
        <v>#REF!</v>
      </c>
      <c r="BP14" s="166" t="e">
        <f>SUMPRODUCT(Table47[Rev. Based on PROB]*Table47[Expected CMR]*(Table47[Projected 
Year]=BN$1)*(Table47[Monthly revenue]=BN$2)*(Table47[Service]=$B14))/MAX(1,BN14*1000)</f>
        <v>#REF!</v>
      </c>
      <c r="BQ14" s="95">
        <f>ROUND(SUMIFS(Table47[Rev. Based on PROB],Table47[Service],$B14,Table47[Projected 
Year],BQ$1,Table47[Monthly revenue],BQ$2),-3)/1000</f>
        <v>0</v>
      </c>
      <c r="BR14" s="165" t="e">
        <f>SUMPRODUCT(Table47[Probability]*Table47[Rev. Based on PROB]*(Table47[Service]=$B14)*(Table47[Projected 
Year]=BQ$1)*(Table47[Monthly revenue]=BQ$2))/MAX(1,SUMPRODUCT(Table47[Rev. Based on PROB]*(Table47[Service]=$B14)*(Table47[Projected 
Year]=BQ$1)*(Table47[Monthly revenue]=BQ$2)))</f>
        <v>#REF!</v>
      </c>
      <c r="BS14" s="166" t="e">
        <f>SUMPRODUCT(Table47[Rev. Based on PROB]*Table47[Expected CMR]*(Table47[Projected 
Year]=BQ$1)*(Table47[Monthly revenue]=BQ$2)*(Table47[Service]=$B14))/MAX(1,BQ14*1000)</f>
        <v>#REF!</v>
      </c>
      <c r="BT14" s="95">
        <f>ROUND(SUMIFS(Table47[Rev. Based on PROB],Table47[Service],$B14,Table47[Projected 
Year],BT$1,Table47[Monthly revenue],BT$2),-3)/1000</f>
        <v>0</v>
      </c>
      <c r="BU14" s="165" t="e">
        <f>SUMPRODUCT(Table47[Probability]*Table47[Rev. Based on PROB]*(Table47[Service]=$B14)*(Table47[Projected 
Year]=BT$1)*(Table47[Monthly revenue]=BT$2))/MAX(1,SUMPRODUCT(Table47[Rev. Based on PROB]*(Table47[Service]=$B14)*(Table47[Projected 
Year]=BT$1)*(Table47[Monthly revenue]=BT$2)))</f>
        <v>#REF!</v>
      </c>
      <c r="BV14" s="166" t="e">
        <f>SUMPRODUCT(Table47[Rev. Based on PROB]*Table47[Expected CMR]*(Table47[Projected 
Year]=BT$1)*(Table47[Monthly revenue]=BT$2)*(Table47[Service]=$B14))/MAX(1,BT14*1000)</f>
        <v>#REF!</v>
      </c>
      <c r="BW14" s="95">
        <f>ROUND(SUMIFS(Table47[Rev. Based on PROB],Table47[Service],$B14,Table47[Projected 
Year],BW$1,Table47[Monthly revenue],BW$2),-3)/1000</f>
        <v>0</v>
      </c>
      <c r="BX14" s="165" t="e">
        <f>SUMPRODUCT(Table47[Probability]*Table47[Rev. Based on PROB]*(Table47[Service]=$B14)*(Table47[Projected 
Year]=BW$1)*(Table47[Monthly revenue]=BW$2))/MAX(1,SUMPRODUCT(Table47[Rev. Based on PROB]*(Table47[Service]=$B14)*(Table47[Projected 
Year]=BW$1)*(Table47[Monthly revenue]=BW$2)))</f>
        <v>#REF!</v>
      </c>
      <c r="BY14" s="166" t="e">
        <f>SUMPRODUCT(Table47[Rev. Based on PROB]*Table47[Expected CMR]*(Table47[Projected 
Year]=BW$1)*(Table47[Monthly revenue]=BW$2)*(Table47[Service]=$B14))/MAX(1,BW14*1000)</f>
        <v>#REF!</v>
      </c>
      <c r="BZ14" s="95">
        <f t="shared" si="4"/>
        <v>0</v>
      </c>
      <c r="CA14" s="95">
        <f t="shared" si="8"/>
        <v>0</v>
      </c>
      <c r="CB14" s="95">
        <f t="shared" si="9"/>
        <v>0</v>
      </c>
    </row>
    <row r="15" spans="1:80">
      <c r="A15" s="992" t="s">
        <v>498</v>
      </c>
      <c r="B15" t="s">
        <v>366</v>
      </c>
      <c r="C15" s="95">
        <f>ROUND(SUMIFS(Table4[Rev. Based on PROB],Table4[Service],$B15,Table4[Projected 
Year],C$1,Table4[Projected 
Month],C$2),-3)/1000</f>
        <v>0</v>
      </c>
      <c r="D15" s="165">
        <f>SUMPRODUCT(Table4[Probability]*Table4[Rev. Based on PROB]*(Table4[Service]=$B15)*(Table4[Projected 
Year]=C$1)*(Table4[Projected 
Month]=C$2))/MAX(1,SUMPRODUCT(Table4[Rev. Based on PROB]*(Table4[Service]=$B15)*(Table4[Projected 
Year]=C$1)*(Table4[Projected 
Month]=C$2)))</f>
        <v>0</v>
      </c>
      <c r="E15" s="166">
        <f>SUMPRODUCT(Table4[Rev. Based on PROB]*Table4[Expected CMR]*(Table4[Projected 
Year]=C$1)*(Table4[Projected 
Month]=C$2)*(Table4[Service]=$B15))/MAX(1,C15*1000)</f>
        <v>0</v>
      </c>
      <c r="F15" s="95">
        <f>ROUND(SUMIFS(Table4[Rev. Based on PROB],Table4[Service],$B15,Table4[Projected 
Year],F$1,Table4[Projected 
Month],F$2),-3)/1000</f>
        <v>0</v>
      </c>
      <c r="G15" s="165">
        <f>SUMPRODUCT(Table4[Probability]*Table4[Rev. Based on PROB]*(Table4[Service]=$B15)*(Table4[Projected 
Year]=F$1)*(Table4[Projected 
Month]=F$2))/MAX(1,SUMPRODUCT(Table4[Rev. Based on PROB]*(Table4[Service]=$B15)*(Table4[Projected 
Year]=F$1)*(Table4[Projected 
Month]=F$2)))</f>
        <v>0</v>
      </c>
      <c r="H15" s="166">
        <f>SUMPRODUCT(Table4[Rev. Based on PROB]*Table4[Expected CMR]*(Table4[Projected 
Year]=F$1)*(Table4[Projected 
Month]=F$2)*(Table4[Service]=$B15))/MAX(1,F15*1000)</f>
        <v>0</v>
      </c>
      <c r="I15" s="95">
        <f>ROUND(SUMIFS(Table4[Rev. Based on PROB],Table4[Service],$B15,Table4[Projected 
Year],I$1,Table4[Projected 
Month],I$2),-3)/1000</f>
        <v>0</v>
      </c>
      <c r="J15" s="165">
        <f>SUMPRODUCT(Table4[Probability]*Table4[Rev. Based on PROB]*(Table4[Service]=$B15)*(Table4[Projected 
Year]=I$1)*(Table4[Projected 
Month]=I$2))/MAX(1,SUMPRODUCT(Table4[Rev. Based on PROB]*(Table4[Service]=$B15)*(Table4[Projected 
Year]=I$1)*(Table4[Projected 
Month]=I$2)))</f>
        <v>0</v>
      </c>
      <c r="K15" s="166">
        <f>SUMPRODUCT(Table4[Rev. Based on PROB]*Table4[Expected CMR]*(Table4[Projected 
Year]=I$1)*(Table4[Projected 
Month]=I$2)*(Table4[Service]=$B15))/MAX(1,I15*1000)</f>
        <v>0</v>
      </c>
      <c r="L15" s="95">
        <f>ROUND(SUMIFS(Table4[Rev. Based on PROB],Table4[Service],$B15,Table4[Projected 
Year],L$1,Table4[Projected 
Month],L$2),-3)/1000</f>
        <v>0</v>
      </c>
      <c r="M15" s="165">
        <f>SUMPRODUCT(Table4[Probability]*Table4[Rev. Based on PROB]*(Table4[Service]=$B15)*(Table4[Projected 
Year]=L$1)*(Table4[Projected 
Month]=L$2))/MAX(1,SUMPRODUCT(Table4[Rev. Based on PROB]*(Table4[Service]=$B15)*(Table4[Projected 
Year]=L$1)*(Table4[Projected 
Month]=L$2)))</f>
        <v>0</v>
      </c>
      <c r="N15" s="166">
        <f>SUMPRODUCT(Table4[Rev. Based on PROB]*Table4[Expected CMR]*(Table4[Projected 
Year]=L$1)*(Table4[Projected 
Month]=L$2)*(Table4[Service]=$B15))/MAX(1,L15*1000)</f>
        <v>0</v>
      </c>
      <c r="O15" s="95">
        <f>ROUND(SUMIFS(Table4[Rev. Based on PROB],Table4[Service],$B15,Table4[Projected 
Year],O$1,Table4[Projected 
Month],O$2),-3)/1000</f>
        <v>0</v>
      </c>
      <c r="P15" s="165">
        <f>SUMPRODUCT(Table4[Probability]*Table4[Rev. Based on PROB]*(Table4[Service]=$B15)*(Table4[Projected 
Year]=O$1)*(Table4[Projected 
Month]=O$2))/MAX(1,SUMPRODUCT(Table4[Rev. Based on PROB]*(Table4[Service]=$B15)*(Table4[Projected 
Year]=O$1)*(Table4[Projected 
Month]=O$2)))</f>
        <v>0</v>
      </c>
      <c r="Q15" s="166">
        <f>SUMPRODUCT(Table4[Rev. Based on PROB]*Table4[Expected CMR]*(Table4[Projected 
Year]=O$1)*(Table4[Projected 
Month]=O$2)*(Table4[Service]=$B15))/MAX(1,O15*1000)</f>
        <v>0</v>
      </c>
      <c r="R15" s="95">
        <f>ROUND(SUMIFS(Table4[Rev. Based on PROB],Table4[Service],$B15,Table4[Projected 
Year],R$1,Table4[Projected 
Month],R$2),-3)/1000</f>
        <v>0</v>
      </c>
      <c r="S15" s="165">
        <f>SUMPRODUCT(Table4[Probability]*Table4[Rev. Based on PROB]*(Table4[Service]=$B15)*(Table4[Projected 
Year]=R$1)*(Table4[Projected 
Month]=R$2))/MAX(1,SUMPRODUCT(Table4[Rev. Based on PROB]*(Table4[Service]=$B15)*(Table4[Projected 
Year]=R$1)*(Table4[Projected 
Month]=R$2)))</f>
        <v>0</v>
      </c>
      <c r="T15" s="166">
        <f>SUMPRODUCT(Table4[Rev. Based on PROB]*Table4[Expected CMR]*(Table4[Projected 
Year]=R$1)*(Table4[Projected 
Month]=R$2)*(Table4[Service]=$B15))/MAX(1,R15*1000)</f>
        <v>0</v>
      </c>
      <c r="U15" s="95">
        <f>ROUND(SUMIFS(Table4[Rev. Based on PROB],Table4[Service],$B15,Table4[Projected 
Year],U$1,Table4[Projected 
Month],U$2),-3)/1000</f>
        <v>0</v>
      </c>
      <c r="V15" s="165">
        <f>SUMPRODUCT(Table4[Probability]*Table4[Rev. Based on PROB]*(Table4[Service]=$B15)*(Table4[Projected 
Year]=U$1)*(Table4[Projected 
Month]=U$2))/MAX(1,SUMPRODUCT(Table4[Rev. Based on PROB]*(Table4[Service]=$B15)*(Table4[Projected 
Year]=U$1)*(Table4[Projected 
Month]=U$2)))</f>
        <v>0</v>
      </c>
      <c r="W15" s="166">
        <f>SUMPRODUCT(Table4[Rev. Based on PROB]*Table4[Expected CMR]*(Table4[Projected 
Year]=U$1)*(Table4[Projected 
Month]=U$2)*(Table4[Service]=$B15))/MAX(1,U15*1000)</f>
        <v>0</v>
      </c>
      <c r="X15" s="95">
        <f>ROUND(SUMIFS(Table4[Rev. Based on PROB],Table4[Service],$B15,Table4[Projected 
Year],X$1,Table4[Projected 
Month],X$2),-3)/1000</f>
        <v>0</v>
      </c>
      <c r="Y15" s="165">
        <f>SUMPRODUCT(Table4[Probability]*Table4[Rev. Based on PROB]*(Table4[Service]=$B15)*(Table4[Projected 
Year]=X$1)*(Table4[Projected 
Month]=X$2))/MAX(1,SUMPRODUCT(Table4[Rev. Based on PROB]*(Table4[Service]=$B15)*(Table4[Projected 
Year]=X$1)*(Table4[Projected 
Month]=X$2)))</f>
        <v>0</v>
      </c>
      <c r="Z15" s="166">
        <f>SUMPRODUCT(Table4[Rev. Based on PROB]*Table4[Expected CMR]*(Table4[Projected 
Year]=X$1)*(Table4[Projected 
Month]=X$2)*(Table4[Service]=$B15))/MAX(1,X15*1000)</f>
        <v>0</v>
      </c>
      <c r="AA15" s="95">
        <f>ROUND(SUMIFS(Table4[Rev. Based on PROB],Table4[Service],$B15,Table4[Projected 
Year],AA$1,Table4[Projected 
Month],AA$2),-3)/1000</f>
        <v>0</v>
      </c>
      <c r="AB15" s="165">
        <f>SUMPRODUCT(Table4[Probability]*Table4[Rev. Based on PROB]*(Table4[Service]=$B15)*(Table4[Projected 
Year]=AA$1)*(Table4[Projected 
Month]=AA$2))/MAX(1,SUMPRODUCT(Table4[Rev. Based on PROB]*(Table4[Service]=$B15)*(Table4[Projected 
Year]=AA$1)*(Table4[Projected 
Month]=AA$2)))</f>
        <v>0</v>
      </c>
      <c r="AC15" s="166">
        <f>SUMPRODUCT(Table4[Rev. Based on PROB]*Table4[Expected CMR]*(Table4[Projected 
Year]=AA$1)*(Table4[Projected 
Month]=AA$2)*(Table4[Service]=$B15))/MAX(1,AA15*1000)</f>
        <v>0</v>
      </c>
      <c r="AD15" s="95">
        <f>ROUND(SUMIFS(Table4[Rev. Based on PROB],Table4[Service],$B15,Table4[Projected 
Year],AD$1,Table4[Projected 
Month],AD$2),-3)/1000</f>
        <v>0</v>
      </c>
      <c r="AE15" s="165">
        <f>SUMPRODUCT(Table4[Probability]*Table4[Rev. Based on PROB]*(Table4[Service]=$B15)*(Table4[Projected 
Year]=AD$1)*(Table4[Projected 
Month]=AD$2))/MAX(1,SUMPRODUCT(Table4[Rev. Based on PROB]*(Table4[Service]=$B15)*(Table4[Projected 
Year]=AD$1)*(Table4[Projected 
Month]=AD$2)))</f>
        <v>0</v>
      </c>
      <c r="AF15" s="166">
        <f>SUMPRODUCT(Table4[Rev. Based on PROB]*Table4[Expected CMR]*(Table4[Projected 
Year]=AD$1)*(Table4[Projected 
Month]=AD$2)*(Table4[Service]=$B15))/MAX(1,AD15*1000)</f>
        <v>0</v>
      </c>
      <c r="AG15" s="95">
        <f>ROUND(SUMIFS(Table4[Rev. Based on PROB],Table4[Service],$B15,Table4[Projected 
Year],AG$1,Table4[Projected 
Month],AG$2),-3)/1000</f>
        <v>0</v>
      </c>
      <c r="AH15" s="165">
        <f>SUMPRODUCT(Table4[Probability]*Table4[Rev. Based on PROB]*(Table4[Service]=$B15)*(Table4[Projected 
Year]=AG$1)*(Table4[Projected 
Month]=AG$2))/MAX(1,SUMPRODUCT(Table4[Rev. Based on PROB]*(Table4[Service]=$B15)*(Table4[Projected 
Year]=AG$1)*(Table4[Projected 
Month]=AG$2)))</f>
        <v>0</v>
      </c>
      <c r="AI15" s="166">
        <f>SUMPRODUCT(Table4[Rev. Based on PROB]*Table4[Expected CMR]*(Table4[Projected 
Year]=AG$1)*(Table4[Projected 
Month]=AG$2)*(Table4[Service]=$B15))/MAX(1,AG15*1000)</f>
        <v>0</v>
      </c>
      <c r="AJ15" s="95">
        <f>ROUND(SUMIFS(Table4[Rev. Based on PROB],Table4[Service],$B15,Table4[Projected 
Year],AJ$1,Table4[Projected 
Month],AJ$2),-3)/1000</f>
        <v>0</v>
      </c>
      <c r="AK15" s="165">
        <f>SUMPRODUCT(Table4[Probability]*Table4[Rev. Based on PROB]*(Table4[Service]=$B15)*(Table4[Projected 
Year]=AJ$1)*(Table4[Projected 
Month]=AJ$2))/MAX(1,SUMPRODUCT(Table4[Rev. Based on PROB]*(Table4[Service]=$B15)*(Table4[Projected 
Year]=AJ$1)*(Table4[Projected 
Month]=AJ$2)))</f>
        <v>0</v>
      </c>
      <c r="AL15" s="166">
        <f>SUMPRODUCT(Table4[Rev. Based on PROB]*Table4[Expected CMR]*(Table4[Projected 
Year]=AJ$1)*(Table4[Projected 
Month]=AJ$2)*(Table4[Service]=$B15))/MAX(1,AJ15*1000)</f>
        <v>0</v>
      </c>
      <c r="AM15" s="30">
        <f t="shared" si="5"/>
        <v>0</v>
      </c>
      <c r="AN15" s="52">
        <f t="shared" si="6"/>
        <v>0</v>
      </c>
      <c r="AO15" s="53">
        <f t="shared" si="7"/>
        <v>0</v>
      </c>
      <c r="AP15" s="95">
        <f>ROUND(SUMIFS(Table47[Rev. Based on PROB],Table47[Service],$B15,Table47[Projected 
Year],AP$1,Table47[Monthly revenue],AP$2),-3)/1000</f>
        <v>0</v>
      </c>
      <c r="AQ15" s="165" t="e">
        <f>SUMPRODUCT(Table47[Probability]*Table47[Rev. Based on PROB]*(Table47[Service]=$B15)*(Table47[Projected 
Year]=AP$1)*(Table47[Monthly revenue]=AP$2))/MAX(1,SUMPRODUCT(Table47[Rev. Based on PROB]*(Table47[Service]=$B15)*(Table47[Projected 
Year]=AP$1)*(Table47[Monthly revenue]=AP$2)))</f>
        <v>#REF!</v>
      </c>
      <c r="AR15" s="166" t="e">
        <f>SUMPRODUCT(Table47[Rev. Based on PROB]*Table47[Expected CMR]*(Table47[Projected 
Year]=AP$1)*(Table47[Monthly revenue]=AP$2)*(Table47[Service]=$B15))/MAX(1,AP15*1000)</f>
        <v>#REF!</v>
      </c>
      <c r="AS15" s="98">
        <f>ROUND(SUMIFS(Table47[Rev. Based on PROB],Table47[Service],$B15,Table47[Projected 
Year],AS$1,Table47[Monthly revenue],AS$2),-3)/1000</f>
        <v>0</v>
      </c>
      <c r="AT15" s="165" t="e">
        <f>SUMPRODUCT(Table47[Probability]*Table47[Rev. Based on PROB]*(Table47[Service]=$B15)*(Table47[Projected 
Year]=AS$1)*(Table47[Monthly revenue]=AS$2))/MAX(1,SUMPRODUCT(Table47[Rev. Based on PROB]*(Table47[Service]=$B15)*(Table47[Projected 
Year]=AS$1)*(Table47[Monthly revenue]=AS$2)))</f>
        <v>#REF!</v>
      </c>
      <c r="AU15" s="166" t="e">
        <f>SUMPRODUCT(Table47[Rev. Based on PROB]*Table47[Expected CMR]*(Table47[Projected 
Year]=AS$1)*(Table47[Monthly revenue]=AS$2)*(Table47[Service]=$B15))/MAX(1,AS15*1000)</f>
        <v>#REF!</v>
      </c>
      <c r="AV15" s="95">
        <f>ROUND(SUMIFS(Table47[Rev. Based on PROB],Table47[Service],$B15,Table47[Projected 
Year],AV$1,Table47[Monthly revenue],AV$2),-3)/1000</f>
        <v>0</v>
      </c>
      <c r="AW15" s="165" t="e">
        <f>SUMPRODUCT(Table47[Probability]*Table47[Rev. Based on PROB]*(Table47[Service]=$B15)*(Table47[Projected 
Year]=AV$1)*(Table47[Monthly revenue]=AV$2))/MAX(1,SUMPRODUCT(Table47[Rev. Based on PROB]*(Table47[Service]=$B15)*(Table47[Projected 
Year]=AV$1)*(Table47[Monthly revenue]=AV$2)))</f>
        <v>#REF!</v>
      </c>
      <c r="AX15" s="166" t="e">
        <f>SUMPRODUCT(Table47[Rev. Based on PROB]*Table47[Expected CMR]*(Table47[Projected 
Year]=AV$1)*(Table47[Monthly revenue]=AV$2)*(Table47[Service]=$B15))/MAX(1,AV15*1000)</f>
        <v>#REF!</v>
      </c>
      <c r="AY15" s="95">
        <f>ROUND(SUMIFS(Table47[Rev. Based on PROB],Table47[Service],$B15,Table47[Projected 
Year],AY$1,Table47[Monthly revenue],AY$2),-3)/1000</f>
        <v>0</v>
      </c>
      <c r="AZ15" s="165" t="e">
        <f>SUMPRODUCT(Table47[Probability]*Table47[Rev. Based on PROB]*(Table47[Service]=$B15)*(Table47[Projected 
Year]=AY$1)*(Table47[Monthly revenue]=AY$2))/MAX(1,SUMPRODUCT(Table47[Rev. Based on PROB]*(Table47[Service]=$B15)*(Table47[Projected 
Year]=AY$1)*(Table47[Monthly revenue]=AY$2)))</f>
        <v>#REF!</v>
      </c>
      <c r="BA15" s="166" t="e">
        <f>SUMPRODUCT(Table47[Rev. Based on PROB]*Table47[Expected CMR]*(Table47[Projected 
Year]=AY$1)*(Table47[Monthly revenue]=AY$2)*(Table47[Service]=$B15))/MAX(1,AY15*1000)</f>
        <v>#REF!</v>
      </c>
      <c r="BB15" s="95">
        <f>ROUND(SUMIFS(Table47[Rev. Based on PROB],Table47[Service],$B15,Table47[Projected 
Year],BB$1,Table47[Monthly revenue],BB$2),-3)/1000</f>
        <v>0</v>
      </c>
      <c r="BC15" s="165" t="e">
        <f>SUMPRODUCT(Table47[Probability]*Table47[Rev. Based on PROB]*(Table47[Service]=$B15)*(Table47[Projected 
Year]=BB$1)*(Table47[Monthly revenue]=BB$2))/MAX(1,SUMPRODUCT(Table47[Rev. Based on PROB]*(Table47[Service]=$B15)*(Table47[Projected 
Year]=BB$1)*(Table47[Monthly revenue]=BB$2)))</f>
        <v>#REF!</v>
      </c>
      <c r="BD15" s="166" t="e">
        <f>SUMPRODUCT(Table47[Rev. Based on PROB]*Table47[Expected CMR]*(Table47[Projected 
Year]=BB$1)*(Table47[Monthly revenue]=BB$2)*(Table47[Service]=$B15))/MAX(1,BB15*1000)</f>
        <v>#REF!</v>
      </c>
      <c r="BE15" s="95">
        <f>ROUND(SUMIFS(Table47[Rev. Based on PROB],Table47[Service],$B15,Table47[Projected 
Year],BE$1,Table47[Monthly revenue],BE$2),-3)/1000</f>
        <v>0</v>
      </c>
      <c r="BF15" s="165" t="e">
        <f>SUMPRODUCT(Table47[Probability]*Table47[Rev. Based on PROB]*(Table47[Service]=$B15)*(Table47[Projected 
Year]=BE$1)*(Table47[Monthly revenue]=BE$2))/MAX(1,SUMPRODUCT(Table47[Rev. Based on PROB]*(Table47[Service]=$B15)*(Table47[Projected 
Year]=BE$1)*(Table47[Monthly revenue]=BE$2)))</f>
        <v>#REF!</v>
      </c>
      <c r="BG15" s="166" t="e">
        <f>SUMPRODUCT(Table47[Rev. Based on PROB]*Table47[Expected CMR]*(Table47[Projected 
Year]=BE$1)*(Table47[Monthly revenue]=BE$2)*(Table47[Service]=$B15))/MAX(1,BE15*1000)</f>
        <v>#REF!</v>
      </c>
      <c r="BH15" s="95">
        <f>ROUND(SUMIFS(Table47[Rev. Based on PROB],Table47[Service],$B15,Table47[Projected 
Year],BH$1,Table47[Monthly revenue],BH$2),-3)/1000</f>
        <v>0</v>
      </c>
      <c r="BI15" s="165" t="e">
        <f>SUMPRODUCT(Table47[Probability]*Table47[Rev. Based on PROB]*(Table47[Service]=$B15)*(Table47[Projected 
Year]=BH$1)*(Table47[Monthly revenue]=BH$2))/MAX(1,SUMPRODUCT(Table47[Rev. Based on PROB]*(Table47[Service]=$B15)*(Table47[Projected 
Year]=BH$1)*(Table47[Monthly revenue]=BH$2)))</f>
        <v>#REF!</v>
      </c>
      <c r="BJ15" s="166" t="e">
        <f>SUMPRODUCT(Table47[Rev. Based on PROB]*Table47[Expected CMR]*(Table47[Projected 
Year]=BH$1)*(Table47[Monthly revenue]=BH$2)*(Table47[Service]=$B15))/MAX(1,BH15*1000)</f>
        <v>#REF!</v>
      </c>
      <c r="BK15" s="95">
        <f>ROUND(SUMIFS(Table47[Rev. Based on PROB],Table47[Service],$B15,Table47[Projected 
Year],BK$1,Table47[Monthly revenue],BK$2),-3)/1000</f>
        <v>0</v>
      </c>
      <c r="BL15" s="165" t="e">
        <f>SUMPRODUCT(Table47[Probability]*Table47[Rev. Based on PROB]*(Table47[Service]=$B15)*(Table47[Projected 
Year]=BK$1)*(Table47[Monthly revenue]=BK$2))/MAX(1,SUMPRODUCT(Table47[Rev. Based on PROB]*(Table47[Service]=$B15)*(Table47[Projected 
Year]=BK$1)*(Table47[Monthly revenue]=BK$2)))</f>
        <v>#REF!</v>
      </c>
      <c r="BM15" s="166" t="e">
        <f>SUMPRODUCT(Table47[Rev. Based on PROB]*Table47[Expected CMR]*(Table47[Projected 
Year]=BK$1)*(Table47[Monthly revenue]=BK$2)*(Table47[Service]=$B15))/MAX(1,BK15*1000)</f>
        <v>#REF!</v>
      </c>
      <c r="BN15" s="95">
        <f>ROUND(SUMIFS(Table47[Rev. Based on PROB],Table47[Service],$B15,Table47[Projected 
Year],BN$1,Table47[Monthly revenue],BN$2),-3)/1000</f>
        <v>0</v>
      </c>
      <c r="BO15" s="165" t="e">
        <f>SUMPRODUCT(Table47[Probability]*Table47[Rev. Based on PROB]*(Table47[Service]=$B15)*(Table47[Projected 
Year]=BN$1)*(Table47[Monthly revenue]=BN$2))/MAX(1,SUMPRODUCT(Table47[Rev. Based on PROB]*(Table47[Service]=$B15)*(Table47[Projected 
Year]=BN$1)*(Table47[Monthly revenue]=BN$2)))</f>
        <v>#REF!</v>
      </c>
      <c r="BP15" s="166" t="e">
        <f>SUMPRODUCT(Table47[Rev. Based on PROB]*Table47[Expected CMR]*(Table47[Projected 
Year]=BN$1)*(Table47[Monthly revenue]=BN$2)*(Table47[Service]=$B15))/MAX(1,BN15*1000)</f>
        <v>#REF!</v>
      </c>
      <c r="BQ15" s="95">
        <f>ROUND(SUMIFS(Table47[Rev. Based on PROB],Table47[Service],$B15,Table47[Projected 
Year],BQ$1,Table47[Monthly revenue],BQ$2),-3)/1000</f>
        <v>0</v>
      </c>
      <c r="BR15" s="165" t="e">
        <f>SUMPRODUCT(Table47[Probability]*Table47[Rev. Based on PROB]*(Table47[Service]=$B15)*(Table47[Projected 
Year]=BQ$1)*(Table47[Monthly revenue]=BQ$2))/MAX(1,SUMPRODUCT(Table47[Rev. Based on PROB]*(Table47[Service]=$B15)*(Table47[Projected 
Year]=BQ$1)*(Table47[Monthly revenue]=BQ$2)))</f>
        <v>#REF!</v>
      </c>
      <c r="BS15" s="166" t="e">
        <f>SUMPRODUCT(Table47[Rev. Based on PROB]*Table47[Expected CMR]*(Table47[Projected 
Year]=BQ$1)*(Table47[Monthly revenue]=BQ$2)*(Table47[Service]=$B15))/MAX(1,BQ15*1000)</f>
        <v>#REF!</v>
      </c>
      <c r="BT15" s="95">
        <f>ROUND(SUMIFS(Table47[Rev. Based on PROB],Table47[Service],$B15,Table47[Projected 
Year],BT$1,Table47[Monthly revenue],BT$2),-3)/1000</f>
        <v>0</v>
      </c>
      <c r="BU15" s="165" t="e">
        <f>SUMPRODUCT(Table47[Probability]*Table47[Rev. Based on PROB]*(Table47[Service]=$B15)*(Table47[Projected 
Year]=BT$1)*(Table47[Monthly revenue]=BT$2))/MAX(1,SUMPRODUCT(Table47[Rev. Based on PROB]*(Table47[Service]=$B15)*(Table47[Projected 
Year]=BT$1)*(Table47[Monthly revenue]=BT$2)))</f>
        <v>#REF!</v>
      </c>
      <c r="BV15" s="166" t="e">
        <f>SUMPRODUCT(Table47[Rev. Based on PROB]*Table47[Expected CMR]*(Table47[Projected 
Year]=BT$1)*(Table47[Monthly revenue]=BT$2)*(Table47[Service]=$B15))/MAX(1,BT15*1000)</f>
        <v>#REF!</v>
      </c>
      <c r="BW15" s="95">
        <f>ROUND(SUMIFS(Table47[Rev. Based on PROB],Table47[Service],$B15,Table47[Projected 
Year],BW$1,Table47[Monthly revenue],BW$2),-3)/1000</f>
        <v>0</v>
      </c>
      <c r="BX15" s="165" t="e">
        <f>SUMPRODUCT(Table47[Probability]*Table47[Rev. Based on PROB]*(Table47[Service]=$B15)*(Table47[Projected 
Year]=BW$1)*(Table47[Monthly revenue]=BW$2))/MAX(1,SUMPRODUCT(Table47[Rev. Based on PROB]*(Table47[Service]=$B15)*(Table47[Projected 
Year]=BW$1)*(Table47[Monthly revenue]=BW$2)))</f>
        <v>#REF!</v>
      </c>
      <c r="BY15" s="166" t="e">
        <f>SUMPRODUCT(Table47[Rev. Based on PROB]*Table47[Expected CMR]*(Table47[Projected 
Year]=BW$1)*(Table47[Monthly revenue]=BW$2)*(Table47[Service]=$B15))/MAX(1,BW15*1000)</f>
        <v>#REF!</v>
      </c>
      <c r="BZ15" s="95">
        <f t="shared" si="4"/>
        <v>0</v>
      </c>
      <c r="CA15" s="95">
        <f t="shared" si="8"/>
        <v>0</v>
      </c>
      <c r="CB15" s="95">
        <f t="shared" si="9"/>
        <v>0</v>
      </c>
    </row>
    <row r="16" spans="1:80">
      <c r="A16" s="992" t="s">
        <v>499</v>
      </c>
      <c r="B16" t="s">
        <v>343</v>
      </c>
      <c r="C16" s="95">
        <f>ROUND(SUMIFS(Table4[Rev. Based on PROB],Table4[Service],$B16,Table4[Projected 
Year],C$1,Table4[Projected 
Month],C$2),-3)/1000</f>
        <v>0</v>
      </c>
      <c r="D16" s="165">
        <f>SUMPRODUCT(Table4[Probability]*Table4[Rev. Based on PROB]*(Table4[Service]=$B16)*(Table4[Projected 
Year]=C$1)*(Table4[Projected 
Month]=C$2))/MAX(1,SUMPRODUCT(Table4[Rev. Based on PROB]*(Table4[Service]=$B16)*(Table4[Projected 
Year]=C$1)*(Table4[Projected 
Month]=C$2)))</f>
        <v>0</v>
      </c>
      <c r="E16" s="166">
        <f>SUMPRODUCT(Table4[Rev. Based on PROB]*Table4[Expected CMR]*(Table4[Projected 
Year]=C$1)*(Table4[Projected 
Month]=C$2)*(Table4[Service]=$B16))/MAX(1,C16*1000)</f>
        <v>0</v>
      </c>
      <c r="F16" s="95">
        <f>ROUND(SUMIFS(Table4[Rev. Based on PROB],Table4[Service],$B16,Table4[Projected 
Year],F$1,Table4[Projected 
Month],F$2),-3)/1000</f>
        <v>0</v>
      </c>
      <c r="G16" s="165">
        <f>SUMPRODUCT(Table4[Probability]*Table4[Rev. Based on PROB]*(Table4[Service]=$B16)*(Table4[Projected 
Year]=F$1)*(Table4[Projected 
Month]=F$2))/MAX(1,SUMPRODUCT(Table4[Rev. Based on PROB]*(Table4[Service]=$B16)*(Table4[Projected 
Year]=F$1)*(Table4[Projected 
Month]=F$2)))</f>
        <v>0</v>
      </c>
      <c r="H16" s="166">
        <f>SUMPRODUCT(Table4[Rev. Based on PROB]*Table4[Expected CMR]*(Table4[Projected 
Year]=F$1)*(Table4[Projected 
Month]=F$2)*(Table4[Service]=$B16))/MAX(1,F16*1000)</f>
        <v>0</v>
      </c>
      <c r="I16" s="95">
        <f>ROUND(SUMIFS(Table4[Rev. Based on PROB],Table4[Service],$B16,Table4[Projected 
Year],I$1,Table4[Projected 
Month],I$2),-3)/1000</f>
        <v>0</v>
      </c>
      <c r="J16" s="165">
        <f>SUMPRODUCT(Table4[Probability]*Table4[Rev. Based on PROB]*(Table4[Service]=$B16)*(Table4[Projected 
Year]=I$1)*(Table4[Projected 
Month]=I$2))/MAX(1,SUMPRODUCT(Table4[Rev. Based on PROB]*(Table4[Service]=$B16)*(Table4[Projected 
Year]=I$1)*(Table4[Projected 
Month]=I$2)))</f>
        <v>0</v>
      </c>
      <c r="K16" s="166">
        <f>SUMPRODUCT(Table4[Rev. Based on PROB]*Table4[Expected CMR]*(Table4[Projected 
Year]=I$1)*(Table4[Projected 
Month]=I$2)*(Table4[Service]=$B16))/MAX(1,I16*1000)</f>
        <v>0</v>
      </c>
      <c r="L16" s="95">
        <f>ROUND(SUMIFS(Table4[Rev. Based on PROB],Table4[Service],$B16,Table4[Projected 
Year],L$1,Table4[Projected 
Month],L$2),-3)/1000</f>
        <v>0</v>
      </c>
      <c r="M16" s="165">
        <f>SUMPRODUCT(Table4[Probability]*Table4[Rev. Based on PROB]*(Table4[Service]=$B16)*(Table4[Projected 
Year]=L$1)*(Table4[Projected 
Month]=L$2))/MAX(1,SUMPRODUCT(Table4[Rev. Based on PROB]*(Table4[Service]=$B16)*(Table4[Projected 
Year]=L$1)*(Table4[Projected 
Month]=L$2)))</f>
        <v>0</v>
      </c>
      <c r="N16" s="166">
        <f>SUMPRODUCT(Table4[Rev. Based on PROB]*Table4[Expected CMR]*(Table4[Projected 
Year]=L$1)*(Table4[Projected 
Month]=L$2)*(Table4[Service]=$B16))/MAX(1,L16*1000)</f>
        <v>0</v>
      </c>
      <c r="O16" s="95">
        <f>ROUND(SUMIFS(Table4[Rev. Based on PROB],Table4[Service],$B16,Table4[Projected 
Year],O$1,Table4[Projected 
Month],O$2),-3)/1000</f>
        <v>0</v>
      </c>
      <c r="P16" s="165">
        <f>SUMPRODUCT(Table4[Probability]*Table4[Rev. Based on PROB]*(Table4[Service]=$B16)*(Table4[Projected 
Year]=O$1)*(Table4[Projected 
Month]=O$2))/MAX(1,SUMPRODUCT(Table4[Rev. Based on PROB]*(Table4[Service]=$B16)*(Table4[Projected 
Year]=O$1)*(Table4[Projected 
Month]=O$2)))</f>
        <v>0</v>
      </c>
      <c r="Q16" s="166">
        <f>SUMPRODUCT(Table4[Rev. Based on PROB]*Table4[Expected CMR]*(Table4[Projected 
Year]=O$1)*(Table4[Projected 
Month]=O$2)*(Table4[Service]=$B16))/MAX(1,O16*1000)</f>
        <v>0</v>
      </c>
      <c r="R16" s="95">
        <f>ROUND(SUMIFS(Table4[Rev. Based on PROB],Table4[Service],$B16,Table4[Projected 
Year],R$1,Table4[Projected 
Month],R$2),-3)/1000</f>
        <v>0</v>
      </c>
      <c r="S16" s="165">
        <f>SUMPRODUCT(Table4[Probability]*Table4[Rev. Based on PROB]*(Table4[Service]=$B16)*(Table4[Projected 
Year]=R$1)*(Table4[Projected 
Month]=R$2))/MAX(1,SUMPRODUCT(Table4[Rev. Based on PROB]*(Table4[Service]=$B16)*(Table4[Projected 
Year]=R$1)*(Table4[Projected 
Month]=R$2)))</f>
        <v>0</v>
      </c>
      <c r="T16" s="166">
        <f>SUMPRODUCT(Table4[Rev. Based on PROB]*Table4[Expected CMR]*(Table4[Projected 
Year]=R$1)*(Table4[Projected 
Month]=R$2)*(Table4[Service]=$B16))/MAX(1,R16*1000)</f>
        <v>0</v>
      </c>
      <c r="U16" s="95">
        <f>ROUND(SUMIFS(Table4[Rev. Based on PROB],Table4[Service],$B16,Table4[Projected 
Year],U$1,Table4[Projected 
Month],U$2),-3)/1000</f>
        <v>0</v>
      </c>
      <c r="V16" s="165">
        <f>SUMPRODUCT(Table4[Probability]*Table4[Rev. Based on PROB]*(Table4[Service]=$B16)*(Table4[Projected 
Year]=U$1)*(Table4[Projected 
Month]=U$2))/MAX(1,SUMPRODUCT(Table4[Rev. Based on PROB]*(Table4[Service]=$B16)*(Table4[Projected 
Year]=U$1)*(Table4[Projected 
Month]=U$2)))</f>
        <v>0</v>
      </c>
      <c r="W16" s="166">
        <f>SUMPRODUCT(Table4[Rev. Based on PROB]*Table4[Expected CMR]*(Table4[Projected 
Year]=U$1)*(Table4[Projected 
Month]=U$2)*(Table4[Service]=$B16))/MAX(1,U16*1000)</f>
        <v>0</v>
      </c>
      <c r="X16" s="95">
        <f>ROUND(SUMIFS(Table4[Rev. Based on PROB],Table4[Service],$B16,Table4[Projected 
Year],X$1,Table4[Projected 
Month],X$2),-3)/1000</f>
        <v>0</v>
      </c>
      <c r="Y16" s="165">
        <f>SUMPRODUCT(Table4[Probability]*Table4[Rev. Based on PROB]*(Table4[Service]=$B16)*(Table4[Projected 
Year]=X$1)*(Table4[Projected 
Month]=X$2))/MAX(1,SUMPRODUCT(Table4[Rev. Based on PROB]*(Table4[Service]=$B16)*(Table4[Projected 
Year]=X$1)*(Table4[Projected 
Month]=X$2)))</f>
        <v>0</v>
      </c>
      <c r="Z16" s="166">
        <f>SUMPRODUCT(Table4[Rev. Based on PROB]*Table4[Expected CMR]*(Table4[Projected 
Year]=X$1)*(Table4[Projected 
Month]=X$2)*(Table4[Service]=$B16))/MAX(1,X16*1000)</f>
        <v>0</v>
      </c>
      <c r="AA16" s="95">
        <f>ROUND(SUMIFS(Table4[Rev. Based on PROB],Table4[Service],$B16,Table4[Projected 
Year],AA$1,Table4[Projected 
Month],AA$2),-3)/1000</f>
        <v>0</v>
      </c>
      <c r="AB16" s="165">
        <f>SUMPRODUCT(Table4[Probability]*Table4[Rev. Based on PROB]*(Table4[Service]=$B16)*(Table4[Projected 
Year]=AA$1)*(Table4[Projected 
Month]=AA$2))/MAX(1,SUMPRODUCT(Table4[Rev. Based on PROB]*(Table4[Service]=$B16)*(Table4[Projected 
Year]=AA$1)*(Table4[Projected 
Month]=AA$2)))</f>
        <v>0</v>
      </c>
      <c r="AC16" s="166">
        <f>SUMPRODUCT(Table4[Rev. Based on PROB]*Table4[Expected CMR]*(Table4[Projected 
Year]=AA$1)*(Table4[Projected 
Month]=AA$2)*(Table4[Service]=$B16))/MAX(1,AA16*1000)</f>
        <v>0</v>
      </c>
      <c r="AD16" s="95">
        <f>ROUND(SUMIFS(Table4[Rev. Based on PROB],Table4[Service],$B16,Table4[Projected 
Year],AD$1,Table4[Projected 
Month],AD$2),-3)/1000</f>
        <v>0</v>
      </c>
      <c r="AE16" s="165">
        <f>SUMPRODUCT(Table4[Probability]*Table4[Rev. Based on PROB]*(Table4[Service]=$B16)*(Table4[Projected 
Year]=AD$1)*(Table4[Projected 
Month]=AD$2))/MAX(1,SUMPRODUCT(Table4[Rev. Based on PROB]*(Table4[Service]=$B16)*(Table4[Projected 
Year]=AD$1)*(Table4[Projected 
Month]=AD$2)))</f>
        <v>0</v>
      </c>
      <c r="AF16" s="166">
        <f>SUMPRODUCT(Table4[Rev. Based on PROB]*Table4[Expected CMR]*(Table4[Projected 
Year]=AD$1)*(Table4[Projected 
Month]=AD$2)*(Table4[Service]=$B16))/MAX(1,AD16*1000)</f>
        <v>0</v>
      </c>
      <c r="AG16" s="95">
        <f>ROUND(SUMIFS(Table4[Rev. Based on PROB],Table4[Service],$B16,Table4[Projected 
Year],AG$1,Table4[Projected 
Month],AG$2),-3)/1000</f>
        <v>0</v>
      </c>
      <c r="AH16" s="165">
        <f>SUMPRODUCT(Table4[Probability]*Table4[Rev. Based on PROB]*(Table4[Service]=$B16)*(Table4[Projected 
Year]=AG$1)*(Table4[Projected 
Month]=AG$2))/MAX(1,SUMPRODUCT(Table4[Rev. Based on PROB]*(Table4[Service]=$B16)*(Table4[Projected 
Year]=AG$1)*(Table4[Projected 
Month]=AG$2)))</f>
        <v>0</v>
      </c>
      <c r="AI16" s="166">
        <f>SUMPRODUCT(Table4[Rev. Based on PROB]*Table4[Expected CMR]*(Table4[Projected 
Year]=AG$1)*(Table4[Projected 
Month]=AG$2)*(Table4[Service]=$B16))/MAX(1,AG16*1000)</f>
        <v>0</v>
      </c>
      <c r="AJ16" s="95">
        <f>ROUND(SUMIFS(Table4[Rev. Based on PROB],Table4[Service],$B16,Table4[Projected 
Year],AJ$1,Table4[Projected 
Month],AJ$2),-3)/1000</f>
        <v>0</v>
      </c>
      <c r="AK16" s="165">
        <f>SUMPRODUCT(Table4[Probability]*Table4[Rev. Based on PROB]*(Table4[Service]=$B16)*(Table4[Projected 
Year]=AJ$1)*(Table4[Projected 
Month]=AJ$2))/MAX(1,SUMPRODUCT(Table4[Rev. Based on PROB]*(Table4[Service]=$B16)*(Table4[Projected 
Year]=AJ$1)*(Table4[Projected 
Month]=AJ$2)))</f>
        <v>0</v>
      </c>
      <c r="AL16" s="166">
        <f>SUMPRODUCT(Table4[Rev. Based on PROB]*Table4[Expected CMR]*(Table4[Projected 
Year]=AJ$1)*(Table4[Projected 
Month]=AJ$2)*(Table4[Service]=$B16))/MAX(1,AJ16*1000)</f>
        <v>0</v>
      </c>
      <c r="AM16" s="30">
        <f t="shared" si="5"/>
        <v>0</v>
      </c>
      <c r="AN16" s="52">
        <f t="shared" si="6"/>
        <v>0</v>
      </c>
      <c r="AO16" s="53">
        <f t="shared" si="7"/>
        <v>0</v>
      </c>
      <c r="AP16" s="95">
        <f>ROUND(SUMIFS(Table47[Rev. Based on PROB],Table47[Service],$B16,Table47[Projected 
Year],AP$1,Table47[Monthly revenue],AP$2),-3)/1000</f>
        <v>0</v>
      </c>
      <c r="AQ16" s="165" t="e">
        <f>SUMPRODUCT(Table47[Probability]*Table47[Rev. Based on PROB]*(Table47[Service]=$B16)*(Table47[Projected 
Year]=AP$1)*(Table47[Monthly revenue]=AP$2))/MAX(1,SUMPRODUCT(Table47[Rev. Based on PROB]*(Table47[Service]=$B16)*(Table47[Projected 
Year]=AP$1)*(Table47[Monthly revenue]=AP$2)))</f>
        <v>#REF!</v>
      </c>
      <c r="AR16" s="166" t="e">
        <f>SUMPRODUCT(Table47[Rev. Based on PROB]*Table47[Expected CMR]*(Table47[Projected 
Year]=AP$1)*(Table47[Monthly revenue]=AP$2)*(Table47[Service]=$B16))/MAX(1,AP16*1000)</f>
        <v>#REF!</v>
      </c>
      <c r="AS16" s="98">
        <f>ROUND(SUMIFS(Table47[Rev. Based on PROB],Table47[Service],$B16,Table47[Projected 
Year],AS$1,Table47[Monthly revenue],AS$2),-3)/1000</f>
        <v>0</v>
      </c>
      <c r="AT16" s="165" t="e">
        <f>SUMPRODUCT(Table47[Probability]*Table47[Rev. Based on PROB]*(Table47[Service]=$B16)*(Table47[Projected 
Year]=AS$1)*(Table47[Monthly revenue]=AS$2))/MAX(1,SUMPRODUCT(Table47[Rev. Based on PROB]*(Table47[Service]=$B16)*(Table47[Projected 
Year]=AS$1)*(Table47[Monthly revenue]=AS$2)))</f>
        <v>#REF!</v>
      </c>
      <c r="AU16" s="166" t="e">
        <f>SUMPRODUCT(Table47[Rev. Based on PROB]*Table47[Expected CMR]*(Table47[Projected 
Year]=AS$1)*(Table47[Monthly revenue]=AS$2)*(Table47[Service]=$B16))/MAX(1,AS16*1000)</f>
        <v>#REF!</v>
      </c>
      <c r="AV16" s="95">
        <f>ROUND(SUMIFS(Table47[Rev. Based on PROB],Table47[Service],$B16,Table47[Projected 
Year],AV$1,Table47[Monthly revenue],AV$2),-3)/1000</f>
        <v>0</v>
      </c>
      <c r="AW16" s="165" t="e">
        <f>SUMPRODUCT(Table47[Probability]*Table47[Rev. Based on PROB]*(Table47[Service]=$B16)*(Table47[Projected 
Year]=AV$1)*(Table47[Monthly revenue]=AV$2))/MAX(1,SUMPRODUCT(Table47[Rev. Based on PROB]*(Table47[Service]=$B16)*(Table47[Projected 
Year]=AV$1)*(Table47[Monthly revenue]=AV$2)))</f>
        <v>#REF!</v>
      </c>
      <c r="AX16" s="166" t="e">
        <f>SUMPRODUCT(Table47[Rev. Based on PROB]*Table47[Expected CMR]*(Table47[Projected 
Year]=AV$1)*(Table47[Monthly revenue]=AV$2)*(Table47[Service]=$B16))/MAX(1,AV16*1000)</f>
        <v>#REF!</v>
      </c>
      <c r="AY16" s="95">
        <f>ROUND(SUMIFS(Table47[Rev. Based on PROB],Table47[Service],$B16,Table47[Projected 
Year],AY$1,Table47[Monthly revenue],AY$2),-3)/1000</f>
        <v>0</v>
      </c>
      <c r="AZ16" s="165" t="e">
        <f>SUMPRODUCT(Table47[Probability]*Table47[Rev. Based on PROB]*(Table47[Service]=$B16)*(Table47[Projected 
Year]=AY$1)*(Table47[Monthly revenue]=AY$2))/MAX(1,SUMPRODUCT(Table47[Rev. Based on PROB]*(Table47[Service]=$B16)*(Table47[Projected 
Year]=AY$1)*(Table47[Monthly revenue]=AY$2)))</f>
        <v>#REF!</v>
      </c>
      <c r="BA16" s="166" t="e">
        <f>SUMPRODUCT(Table47[Rev. Based on PROB]*Table47[Expected CMR]*(Table47[Projected 
Year]=AY$1)*(Table47[Monthly revenue]=AY$2)*(Table47[Service]=$B16))/MAX(1,AY16*1000)</f>
        <v>#REF!</v>
      </c>
      <c r="BB16" s="95">
        <f>ROUND(SUMIFS(Table47[Rev. Based on PROB],Table47[Service],$B16,Table47[Projected 
Year],BB$1,Table47[Monthly revenue],BB$2),-3)/1000</f>
        <v>0</v>
      </c>
      <c r="BC16" s="165" t="e">
        <f>SUMPRODUCT(Table47[Probability]*Table47[Rev. Based on PROB]*(Table47[Service]=$B16)*(Table47[Projected 
Year]=BB$1)*(Table47[Monthly revenue]=BB$2))/MAX(1,SUMPRODUCT(Table47[Rev. Based on PROB]*(Table47[Service]=$B16)*(Table47[Projected 
Year]=BB$1)*(Table47[Monthly revenue]=BB$2)))</f>
        <v>#REF!</v>
      </c>
      <c r="BD16" s="166" t="e">
        <f>SUMPRODUCT(Table47[Rev. Based on PROB]*Table47[Expected CMR]*(Table47[Projected 
Year]=BB$1)*(Table47[Monthly revenue]=BB$2)*(Table47[Service]=$B16))/MAX(1,BB16*1000)</f>
        <v>#REF!</v>
      </c>
      <c r="BE16" s="95">
        <f>ROUND(SUMIFS(Table47[Rev. Based on PROB],Table47[Service],$B16,Table47[Projected 
Year],BE$1,Table47[Monthly revenue],BE$2),-3)/1000</f>
        <v>0</v>
      </c>
      <c r="BF16" s="165" t="e">
        <f>SUMPRODUCT(Table47[Probability]*Table47[Rev. Based on PROB]*(Table47[Service]=$B16)*(Table47[Projected 
Year]=BE$1)*(Table47[Monthly revenue]=BE$2))/MAX(1,SUMPRODUCT(Table47[Rev. Based on PROB]*(Table47[Service]=$B16)*(Table47[Projected 
Year]=BE$1)*(Table47[Monthly revenue]=BE$2)))</f>
        <v>#REF!</v>
      </c>
      <c r="BG16" s="166" t="e">
        <f>SUMPRODUCT(Table47[Rev. Based on PROB]*Table47[Expected CMR]*(Table47[Projected 
Year]=BE$1)*(Table47[Monthly revenue]=BE$2)*(Table47[Service]=$B16))/MAX(1,BE16*1000)</f>
        <v>#REF!</v>
      </c>
      <c r="BH16" s="95">
        <f>ROUND(SUMIFS(Table47[Rev. Based on PROB],Table47[Service],$B16,Table47[Projected 
Year],BH$1,Table47[Monthly revenue],BH$2),-3)/1000</f>
        <v>0</v>
      </c>
      <c r="BI16" s="165" t="e">
        <f>SUMPRODUCT(Table47[Probability]*Table47[Rev. Based on PROB]*(Table47[Service]=$B16)*(Table47[Projected 
Year]=BH$1)*(Table47[Monthly revenue]=BH$2))/MAX(1,SUMPRODUCT(Table47[Rev. Based on PROB]*(Table47[Service]=$B16)*(Table47[Projected 
Year]=BH$1)*(Table47[Monthly revenue]=BH$2)))</f>
        <v>#REF!</v>
      </c>
      <c r="BJ16" s="166" t="e">
        <f>SUMPRODUCT(Table47[Rev. Based on PROB]*Table47[Expected CMR]*(Table47[Projected 
Year]=BH$1)*(Table47[Monthly revenue]=BH$2)*(Table47[Service]=$B16))/MAX(1,BH16*1000)</f>
        <v>#REF!</v>
      </c>
      <c r="BK16" s="95">
        <f>ROUND(SUMIFS(Table47[Rev. Based on PROB],Table47[Service],$B16,Table47[Projected 
Year],BK$1,Table47[Monthly revenue],BK$2),-3)/1000</f>
        <v>0</v>
      </c>
      <c r="BL16" s="165" t="e">
        <f>SUMPRODUCT(Table47[Probability]*Table47[Rev. Based on PROB]*(Table47[Service]=$B16)*(Table47[Projected 
Year]=BK$1)*(Table47[Monthly revenue]=BK$2))/MAX(1,SUMPRODUCT(Table47[Rev. Based on PROB]*(Table47[Service]=$B16)*(Table47[Projected 
Year]=BK$1)*(Table47[Monthly revenue]=BK$2)))</f>
        <v>#REF!</v>
      </c>
      <c r="BM16" s="166" t="e">
        <f>SUMPRODUCT(Table47[Rev. Based on PROB]*Table47[Expected CMR]*(Table47[Projected 
Year]=BK$1)*(Table47[Monthly revenue]=BK$2)*(Table47[Service]=$B16))/MAX(1,BK16*1000)</f>
        <v>#REF!</v>
      </c>
      <c r="BN16" s="95">
        <f>ROUND(SUMIFS(Table47[Rev. Based on PROB],Table47[Service],$B16,Table47[Projected 
Year],BN$1,Table47[Monthly revenue],BN$2),-3)/1000</f>
        <v>0</v>
      </c>
      <c r="BO16" s="165" t="e">
        <f>SUMPRODUCT(Table47[Probability]*Table47[Rev. Based on PROB]*(Table47[Service]=$B16)*(Table47[Projected 
Year]=BN$1)*(Table47[Monthly revenue]=BN$2))/MAX(1,SUMPRODUCT(Table47[Rev. Based on PROB]*(Table47[Service]=$B16)*(Table47[Projected 
Year]=BN$1)*(Table47[Monthly revenue]=BN$2)))</f>
        <v>#REF!</v>
      </c>
      <c r="BP16" s="166" t="e">
        <f>SUMPRODUCT(Table47[Rev. Based on PROB]*Table47[Expected CMR]*(Table47[Projected 
Year]=BN$1)*(Table47[Monthly revenue]=BN$2)*(Table47[Service]=$B16))/MAX(1,BN16*1000)</f>
        <v>#REF!</v>
      </c>
      <c r="BQ16" s="95">
        <f>ROUND(SUMIFS(Table47[Rev. Based on PROB],Table47[Service],$B16,Table47[Projected 
Year],BQ$1,Table47[Monthly revenue],BQ$2),-3)/1000</f>
        <v>0</v>
      </c>
      <c r="BR16" s="165" t="e">
        <f>SUMPRODUCT(Table47[Probability]*Table47[Rev. Based on PROB]*(Table47[Service]=$B16)*(Table47[Projected 
Year]=BQ$1)*(Table47[Monthly revenue]=BQ$2))/MAX(1,SUMPRODUCT(Table47[Rev. Based on PROB]*(Table47[Service]=$B16)*(Table47[Projected 
Year]=BQ$1)*(Table47[Monthly revenue]=BQ$2)))</f>
        <v>#REF!</v>
      </c>
      <c r="BS16" s="166" t="e">
        <f>SUMPRODUCT(Table47[Rev. Based on PROB]*Table47[Expected CMR]*(Table47[Projected 
Year]=BQ$1)*(Table47[Monthly revenue]=BQ$2)*(Table47[Service]=$B16))/MAX(1,BQ16*1000)</f>
        <v>#REF!</v>
      </c>
      <c r="BT16" s="95">
        <f>ROUND(SUMIFS(Table47[Rev. Based on PROB],Table47[Service],$B16,Table47[Projected 
Year],BT$1,Table47[Monthly revenue],BT$2),-3)/1000</f>
        <v>0</v>
      </c>
      <c r="BU16" s="165" t="e">
        <f>SUMPRODUCT(Table47[Probability]*Table47[Rev. Based on PROB]*(Table47[Service]=$B16)*(Table47[Projected 
Year]=BT$1)*(Table47[Monthly revenue]=BT$2))/MAX(1,SUMPRODUCT(Table47[Rev. Based on PROB]*(Table47[Service]=$B16)*(Table47[Projected 
Year]=BT$1)*(Table47[Monthly revenue]=BT$2)))</f>
        <v>#REF!</v>
      </c>
      <c r="BV16" s="166" t="e">
        <f>SUMPRODUCT(Table47[Rev. Based on PROB]*Table47[Expected CMR]*(Table47[Projected 
Year]=BT$1)*(Table47[Monthly revenue]=BT$2)*(Table47[Service]=$B16))/MAX(1,BT16*1000)</f>
        <v>#REF!</v>
      </c>
      <c r="BW16" s="95">
        <f>ROUND(SUMIFS(Table47[Rev. Based on PROB],Table47[Service],$B16,Table47[Projected 
Year],BW$1,Table47[Monthly revenue],BW$2),-3)/1000</f>
        <v>0</v>
      </c>
      <c r="BX16" s="165" t="e">
        <f>SUMPRODUCT(Table47[Probability]*Table47[Rev. Based on PROB]*(Table47[Service]=$B16)*(Table47[Projected 
Year]=BW$1)*(Table47[Monthly revenue]=BW$2))/MAX(1,SUMPRODUCT(Table47[Rev. Based on PROB]*(Table47[Service]=$B16)*(Table47[Projected 
Year]=BW$1)*(Table47[Monthly revenue]=BW$2)))</f>
        <v>#REF!</v>
      </c>
      <c r="BY16" s="166" t="e">
        <f>SUMPRODUCT(Table47[Rev. Based on PROB]*Table47[Expected CMR]*(Table47[Projected 
Year]=BW$1)*(Table47[Monthly revenue]=BW$2)*(Table47[Service]=$B16))/MAX(1,BW16*1000)</f>
        <v>#REF!</v>
      </c>
      <c r="BZ16" s="95">
        <f t="shared" si="4"/>
        <v>0</v>
      </c>
      <c r="CA16" s="95">
        <f t="shared" si="8"/>
        <v>0</v>
      </c>
      <c r="CB16" s="95">
        <f t="shared" si="9"/>
        <v>0</v>
      </c>
    </row>
    <row r="17" spans="1:80">
      <c r="A17" s="991" t="s">
        <v>281</v>
      </c>
      <c r="B17" t="s">
        <v>435</v>
      </c>
      <c r="C17" s="95">
        <f>ROUND(SUMIFS(Table4[Rev. Based on PROB],Table4[Service],$B17,Table4[Projected 
Year],C$1,Table4[Projected 
Month],C$2),-3)/1000</f>
        <v>0</v>
      </c>
      <c r="D17" s="165">
        <f>SUMPRODUCT(Table4[Probability]*Table4[Rev. Based on PROB]*(Table4[Service]=$B17)*(Table4[Projected 
Year]=C$1)*(Table4[Projected 
Month]=C$2))/MAX(1,SUMPRODUCT(Table4[Rev. Based on PROB]*(Table4[Service]=$B17)*(Table4[Projected 
Year]=C$1)*(Table4[Projected 
Month]=C$2)))</f>
        <v>0</v>
      </c>
      <c r="E17" s="166">
        <f>SUMPRODUCT(Table4[Rev. Based on PROB]*Table4[Expected CMR]*(Table4[Projected 
Year]=C$1)*(Table4[Projected 
Month]=C$2)*(Table4[Service]=$B17))/MAX(1,C17*1000)</f>
        <v>0</v>
      </c>
      <c r="F17" s="95">
        <f>ROUND(SUMIFS(Table4[Rev. Based on PROB],Table4[Service],$B17,Table4[Projected 
Year],F$1,Table4[Projected 
Month],F$2),-3)/1000</f>
        <v>0</v>
      </c>
      <c r="G17" s="165">
        <f>SUMPRODUCT(Table4[Probability]*Table4[Rev. Based on PROB]*(Table4[Service]=$B17)*(Table4[Projected 
Year]=F$1)*(Table4[Projected 
Month]=F$2))/MAX(1,SUMPRODUCT(Table4[Rev. Based on PROB]*(Table4[Service]=$B17)*(Table4[Projected 
Year]=F$1)*(Table4[Projected 
Month]=F$2)))</f>
        <v>0</v>
      </c>
      <c r="H17" s="166">
        <f>SUMPRODUCT(Table4[Rev. Based on PROB]*Table4[Expected CMR]*(Table4[Projected 
Year]=F$1)*(Table4[Projected 
Month]=F$2)*(Table4[Service]=$B17))/MAX(1,F17*1000)</f>
        <v>0</v>
      </c>
      <c r="I17" s="95">
        <f>ROUND(SUMIFS(Table4[Rev. Based on PROB],Table4[Service],$B17,Table4[Projected 
Year],I$1,Table4[Projected 
Month],I$2),-3)/1000</f>
        <v>0</v>
      </c>
      <c r="J17" s="165">
        <f>SUMPRODUCT(Table4[Probability]*Table4[Rev. Based on PROB]*(Table4[Service]=$B17)*(Table4[Projected 
Year]=I$1)*(Table4[Projected 
Month]=I$2))/MAX(1,SUMPRODUCT(Table4[Rev. Based on PROB]*(Table4[Service]=$B17)*(Table4[Projected 
Year]=I$1)*(Table4[Projected 
Month]=I$2)))</f>
        <v>0</v>
      </c>
      <c r="K17" s="166">
        <f>SUMPRODUCT(Table4[Rev. Based on PROB]*Table4[Expected CMR]*(Table4[Projected 
Year]=I$1)*(Table4[Projected 
Month]=I$2)*(Table4[Service]=$B17))/MAX(1,I17*1000)</f>
        <v>0</v>
      </c>
      <c r="L17" s="95">
        <f>ROUND(SUMIFS(Table4[Rev. Based on PROB],Table4[Service],$B17,Table4[Projected 
Year],L$1,Table4[Projected 
Month],L$2),-3)/1000</f>
        <v>0</v>
      </c>
      <c r="M17" s="165">
        <f>SUMPRODUCT(Table4[Probability]*Table4[Rev. Based on PROB]*(Table4[Service]=$B17)*(Table4[Projected 
Year]=L$1)*(Table4[Projected 
Month]=L$2))/MAX(1,SUMPRODUCT(Table4[Rev. Based on PROB]*(Table4[Service]=$B17)*(Table4[Projected 
Year]=L$1)*(Table4[Projected 
Month]=L$2)))</f>
        <v>0</v>
      </c>
      <c r="N17" s="166">
        <f>SUMPRODUCT(Table4[Rev. Based on PROB]*Table4[Expected CMR]*(Table4[Projected 
Year]=L$1)*(Table4[Projected 
Month]=L$2)*(Table4[Service]=$B17))/MAX(1,L17*1000)</f>
        <v>0</v>
      </c>
      <c r="O17" s="95">
        <f>ROUND(SUMIFS(Table4[Rev. Based on PROB],Table4[Service],$B17,Table4[Projected 
Year],O$1,Table4[Projected 
Month],O$2),-3)/1000</f>
        <v>0</v>
      </c>
      <c r="P17" s="165">
        <f>SUMPRODUCT(Table4[Probability]*Table4[Rev. Based on PROB]*(Table4[Service]=$B17)*(Table4[Projected 
Year]=O$1)*(Table4[Projected 
Month]=O$2))/MAX(1,SUMPRODUCT(Table4[Rev. Based on PROB]*(Table4[Service]=$B17)*(Table4[Projected 
Year]=O$1)*(Table4[Projected 
Month]=O$2)))</f>
        <v>0</v>
      </c>
      <c r="Q17" s="166">
        <f>SUMPRODUCT(Table4[Rev. Based on PROB]*Table4[Expected CMR]*(Table4[Projected 
Year]=O$1)*(Table4[Projected 
Month]=O$2)*(Table4[Service]=$B17))/MAX(1,O17*1000)</f>
        <v>0</v>
      </c>
      <c r="R17" s="95">
        <f>ROUND(SUMIFS(Table4[Rev. Based on PROB],Table4[Service],$B17,Table4[Projected 
Year],R$1,Table4[Projected 
Month],R$2),-3)/1000</f>
        <v>0</v>
      </c>
      <c r="S17" s="165">
        <f>SUMPRODUCT(Table4[Probability]*Table4[Rev. Based on PROB]*(Table4[Service]=$B17)*(Table4[Projected 
Year]=R$1)*(Table4[Projected 
Month]=R$2))/MAX(1,SUMPRODUCT(Table4[Rev. Based on PROB]*(Table4[Service]=$B17)*(Table4[Projected 
Year]=R$1)*(Table4[Projected 
Month]=R$2)))</f>
        <v>0</v>
      </c>
      <c r="T17" s="166">
        <f>SUMPRODUCT(Table4[Rev. Based on PROB]*Table4[Expected CMR]*(Table4[Projected 
Year]=R$1)*(Table4[Projected 
Month]=R$2)*(Table4[Service]=$B17))/MAX(1,R17*1000)</f>
        <v>0</v>
      </c>
      <c r="U17" s="95">
        <f>ROUND(SUMIFS(Table4[Rev. Based on PROB],Table4[Service],$B17,Table4[Projected 
Year],U$1,Table4[Projected 
Month],U$2),-3)/1000</f>
        <v>0</v>
      </c>
      <c r="V17" s="165">
        <f>SUMPRODUCT(Table4[Probability]*Table4[Rev. Based on PROB]*(Table4[Service]=$B17)*(Table4[Projected 
Year]=U$1)*(Table4[Projected 
Month]=U$2))/MAX(1,SUMPRODUCT(Table4[Rev. Based on PROB]*(Table4[Service]=$B17)*(Table4[Projected 
Year]=U$1)*(Table4[Projected 
Month]=U$2)))</f>
        <v>0</v>
      </c>
      <c r="W17" s="166">
        <f>SUMPRODUCT(Table4[Rev. Based on PROB]*Table4[Expected CMR]*(Table4[Projected 
Year]=U$1)*(Table4[Projected 
Month]=U$2)*(Table4[Service]=$B17))/MAX(1,U17*1000)</f>
        <v>0</v>
      </c>
      <c r="X17" s="95">
        <f>ROUND(SUMIFS(Table4[Rev. Based on PROB],Table4[Service],$B17,Table4[Projected 
Year],X$1,Table4[Projected 
Month],X$2),-3)/1000</f>
        <v>0</v>
      </c>
      <c r="Y17" s="165">
        <f>SUMPRODUCT(Table4[Probability]*Table4[Rev. Based on PROB]*(Table4[Service]=$B17)*(Table4[Projected 
Year]=X$1)*(Table4[Projected 
Month]=X$2))/MAX(1,SUMPRODUCT(Table4[Rev. Based on PROB]*(Table4[Service]=$B17)*(Table4[Projected 
Year]=X$1)*(Table4[Projected 
Month]=X$2)))</f>
        <v>0</v>
      </c>
      <c r="Z17" s="166">
        <f>SUMPRODUCT(Table4[Rev. Based on PROB]*Table4[Expected CMR]*(Table4[Projected 
Year]=X$1)*(Table4[Projected 
Month]=X$2)*(Table4[Service]=$B17))/MAX(1,X17*1000)</f>
        <v>0</v>
      </c>
      <c r="AA17" s="95">
        <f>ROUND(SUMIFS(Table4[Rev. Based on PROB],Table4[Service],$B17,Table4[Projected 
Year],AA$1,Table4[Projected 
Month],AA$2),-3)/1000</f>
        <v>0</v>
      </c>
      <c r="AB17" s="165">
        <f>SUMPRODUCT(Table4[Probability]*Table4[Rev. Based on PROB]*(Table4[Service]=$B17)*(Table4[Projected 
Year]=AA$1)*(Table4[Projected 
Month]=AA$2))/MAX(1,SUMPRODUCT(Table4[Rev. Based on PROB]*(Table4[Service]=$B17)*(Table4[Projected 
Year]=AA$1)*(Table4[Projected 
Month]=AA$2)))</f>
        <v>0</v>
      </c>
      <c r="AC17" s="166">
        <f>SUMPRODUCT(Table4[Rev. Based on PROB]*Table4[Expected CMR]*(Table4[Projected 
Year]=AA$1)*(Table4[Projected 
Month]=AA$2)*(Table4[Service]=$B17))/MAX(1,AA17*1000)</f>
        <v>0</v>
      </c>
      <c r="AD17" s="95">
        <f>ROUND(SUMIFS(Table4[Rev. Based on PROB],Table4[Service],$B17,Table4[Projected 
Year],AD$1,Table4[Projected 
Month],AD$2),-3)/1000</f>
        <v>0</v>
      </c>
      <c r="AE17" s="165">
        <f>SUMPRODUCT(Table4[Probability]*Table4[Rev. Based on PROB]*(Table4[Service]=$B17)*(Table4[Projected 
Year]=AD$1)*(Table4[Projected 
Month]=AD$2))/MAX(1,SUMPRODUCT(Table4[Rev. Based on PROB]*(Table4[Service]=$B17)*(Table4[Projected 
Year]=AD$1)*(Table4[Projected 
Month]=AD$2)))</f>
        <v>0</v>
      </c>
      <c r="AF17" s="166">
        <f>SUMPRODUCT(Table4[Rev. Based on PROB]*Table4[Expected CMR]*(Table4[Projected 
Year]=AD$1)*(Table4[Projected 
Month]=AD$2)*(Table4[Service]=$B17))/MAX(1,AD17*1000)</f>
        <v>0</v>
      </c>
      <c r="AG17" s="95">
        <f>ROUND(SUMIFS(Table4[Rev. Based on PROB],Table4[Service],$B17,Table4[Projected 
Year],AG$1,Table4[Projected 
Month],AG$2),-3)/1000</f>
        <v>0</v>
      </c>
      <c r="AH17" s="165">
        <f>SUMPRODUCT(Table4[Probability]*Table4[Rev. Based on PROB]*(Table4[Service]=$B17)*(Table4[Projected 
Year]=AG$1)*(Table4[Projected 
Month]=AG$2))/MAX(1,SUMPRODUCT(Table4[Rev. Based on PROB]*(Table4[Service]=$B17)*(Table4[Projected 
Year]=AG$1)*(Table4[Projected 
Month]=AG$2)))</f>
        <v>0</v>
      </c>
      <c r="AI17" s="166">
        <f>SUMPRODUCT(Table4[Rev. Based on PROB]*Table4[Expected CMR]*(Table4[Projected 
Year]=AG$1)*(Table4[Projected 
Month]=AG$2)*(Table4[Service]=$B17))/MAX(1,AG17*1000)</f>
        <v>0</v>
      </c>
      <c r="AJ17" s="95">
        <f>ROUND(SUMIFS(Table4[Rev. Based on PROB],Table4[Service],$B17,Table4[Projected 
Year],AJ$1,Table4[Projected 
Month],AJ$2),-3)/1000</f>
        <v>0</v>
      </c>
      <c r="AK17" s="165">
        <f>SUMPRODUCT(Table4[Probability]*Table4[Rev. Based on PROB]*(Table4[Service]=$B17)*(Table4[Projected 
Year]=AJ$1)*(Table4[Projected 
Month]=AJ$2))/MAX(1,SUMPRODUCT(Table4[Rev. Based on PROB]*(Table4[Service]=$B17)*(Table4[Projected 
Year]=AJ$1)*(Table4[Projected 
Month]=AJ$2)))</f>
        <v>0</v>
      </c>
      <c r="AL17" s="166">
        <f>SUMPRODUCT(Table4[Rev. Based on PROB]*Table4[Expected CMR]*(Table4[Projected 
Year]=AJ$1)*(Table4[Projected 
Month]=AJ$2)*(Table4[Service]=$B17))/MAX(1,AJ17*1000)</f>
        <v>0</v>
      </c>
      <c r="AM17" s="29">
        <f t="shared" si="5"/>
        <v>0</v>
      </c>
      <c r="AN17" s="50">
        <f t="shared" si="6"/>
        <v>0</v>
      </c>
      <c r="AO17" s="51">
        <f t="shared" si="7"/>
        <v>0</v>
      </c>
      <c r="AP17" s="95">
        <f>ROUND(SUMIFS(Table47[Rev. Based on PROB],Table47[Service],$B17,Table47[Projected 
Year],AP$1,Table47[Monthly revenue],AP$2),-3)/1000</f>
        <v>0</v>
      </c>
      <c r="AQ17" s="165" t="e">
        <f>SUMPRODUCT(Table47[Probability]*Table47[Rev. Based on PROB]*(Table47[Service]=$B17)*(Table47[Projected 
Year]=AP$1)*(Table47[Monthly revenue]=AP$2))/MAX(1,SUMPRODUCT(Table47[Rev. Based on PROB]*(Table47[Service]=$B17)*(Table47[Projected 
Year]=AP$1)*(Table47[Monthly revenue]=AP$2)))</f>
        <v>#REF!</v>
      </c>
      <c r="AR17" s="166" t="e">
        <f>SUMPRODUCT(Table47[Rev. Based on PROB]*Table47[Expected CMR]*(Table47[Projected 
Year]=AP$1)*(Table47[Monthly revenue]=AP$2)*(Table47[Service]=$B17))/MAX(1,AP17*1000)</f>
        <v>#REF!</v>
      </c>
      <c r="AS17" s="98">
        <f>ROUND(SUMIFS(Table47[Rev. Based on PROB],Table47[Service],$B17,Table47[Projected 
Year],AS$1,Table47[Monthly revenue],AS$2),-3)/1000</f>
        <v>0</v>
      </c>
      <c r="AT17" s="165" t="e">
        <f>SUMPRODUCT(Table47[Probability]*Table47[Rev. Based on PROB]*(Table47[Service]=$B17)*(Table47[Projected 
Year]=AS$1)*(Table47[Monthly revenue]=AS$2))/MAX(1,SUMPRODUCT(Table47[Rev. Based on PROB]*(Table47[Service]=$B17)*(Table47[Projected 
Year]=AS$1)*(Table47[Monthly revenue]=AS$2)))</f>
        <v>#REF!</v>
      </c>
      <c r="AU17" s="166" t="e">
        <f>SUMPRODUCT(Table47[Rev. Based on PROB]*Table47[Expected CMR]*(Table47[Projected 
Year]=AS$1)*(Table47[Monthly revenue]=AS$2)*(Table47[Service]=$B17))/MAX(1,AS17*1000)</f>
        <v>#REF!</v>
      </c>
      <c r="AV17" s="95">
        <f>ROUND(SUMIFS(Table47[Rev. Based on PROB],Table47[Service],$B17,Table47[Projected 
Year],AV$1,Table47[Monthly revenue],AV$2),-3)/1000</f>
        <v>0</v>
      </c>
      <c r="AW17" s="165" t="e">
        <f>SUMPRODUCT(Table47[Probability]*Table47[Rev. Based on PROB]*(Table47[Service]=$B17)*(Table47[Projected 
Year]=AV$1)*(Table47[Monthly revenue]=AV$2))/MAX(1,SUMPRODUCT(Table47[Rev. Based on PROB]*(Table47[Service]=$B17)*(Table47[Projected 
Year]=AV$1)*(Table47[Monthly revenue]=AV$2)))</f>
        <v>#REF!</v>
      </c>
      <c r="AX17" s="166" t="e">
        <f>SUMPRODUCT(Table47[Rev. Based on PROB]*Table47[Expected CMR]*(Table47[Projected 
Year]=AV$1)*(Table47[Monthly revenue]=AV$2)*(Table47[Service]=$B17))/MAX(1,AV17*1000)</f>
        <v>#REF!</v>
      </c>
      <c r="AY17" s="95">
        <f>ROUND(SUMIFS(Table47[Rev. Based on PROB],Table47[Service],$B17,Table47[Projected 
Year],AY$1,Table47[Monthly revenue],AY$2),-3)/1000</f>
        <v>0</v>
      </c>
      <c r="AZ17" s="165" t="e">
        <f>SUMPRODUCT(Table47[Probability]*Table47[Rev. Based on PROB]*(Table47[Service]=$B17)*(Table47[Projected 
Year]=AY$1)*(Table47[Monthly revenue]=AY$2))/MAX(1,SUMPRODUCT(Table47[Rev. Based on PROB]*(Table47[Service]=$B17)*(Table47[Projected 
Year]=AY$1)*(Table47[Monthly revenue]=AY$2)))</f>
        <v>#REF!</v>
      </c>
      <c r="BA17" s="166" t="e">
        <f>SUMPRODUCT(Table47[Rev. Based on PROB]*Table47[Expected CMR]*(Table47[Projected 
Year]=AY$1)*(Table47[Monthly revenue]=AY$2)*(Table47[Service]=$B17))/MAX(1,AY17*1000)</f>
        <v>#REF!</v>
      </c>
      <c r="BB17" s="95">
        <f>ROUND(SUMIFS(Table47[Rev. Based on PROB],Table47[Service],$B17,Table47[Projected 
Year],BB$1,Table47[Monthly revenue],BB$2),-3)/1000</f>
        <v>0</v>
      </c>
      <c r="BC17" s="165" t="e">
        <f>SUMPRODUCT(Table47[Probability]*Table47[Rev. Based on PROB]*(Table47[Service]=$B17)*(Table47[Projected 
Year]=BB$1)*(Table47[Monthly revenue]=BB$2))/MAX(1,SUMPRODUCT(Table47[Rev. Based on PROB]*(Table47[Service]=$B17)*(Table47[Projected 
Year]=BB$1)*(Table47[Monthly revenue]=BB$2)))</f>
        <v>#REF!</v>
      </c>
      <c r="BD17" s="166" t="e">
        <f>SUMPRODUCT(Table47[Rev. Based on PROB]*Table47[Expected CMR]*(Table47[Projected 
Year]=BB$1)*(Table47[Monthly revenue]=BB$2)*(Table47[Service]=$B17))/MAX(1,BB17*1000)</f>
        <v>#REF!</v>
      </c>
      <c r="BE17" s="95">
        <f>ROUND(SUMIFS(Table47[Rev. Based on PROB],Table47[Service],$B17,Table47[Projected 
Year],BE$1,Table47[Monthly revenue],BE$2),-3)/1000</f>
        <v>0</v>
      </c>
      <c r="BF17" s="165" t="e">
        <f>SUMPRODUCT(Table47[Probability]*Table47[Rev. Based on PROB]*(Table47[Service]=$B17)*(Table47[Projected 
Year]=BE$1)*(Table47[Monthly revenue]=BE$2))/MAX(1,SUMPRODUCT(Table47[Rev. Based on PROB]*(Table47[Service]=$B17)*(Table47[Projected 
Year]=BE$1)*(Table47[Monthly revenue]=BE$2)))</f>
        <v>#REF!</v>
      </c>
      <c r="BG17" s="166" t="e">
        <f>SUMPRODUCT(Table47[Rev. Based on PROB]*Table47[Expected CMR]*(Table47[Projected 
Year]=BE$1)*(Table47[Monthly revenue]=BE$2)*(Table47[Service]=$B17))/MAX(1,BE17*1000)</f>
        <v>#REF!</v>
      </c>
      <c r="BH17" s="95">
        <f>ROUND(SUMIFS(Table47[Rev. Based on PROB],Table47[Service],$B17,Table47[Projected 
Year],BH$1,Table47[Monthly revenue],BH$2),-3)/1000</f>
        <v>0</v>
      </c>
      <c r="BI17" s="165" t="e">
        <f>SUMPRODUCT(Table47[Probability]*Table47[Rev. Based on PROB]*(Table47[Service]=$B17)*(Table47[Projected 
Year]=BH$1)*(Table47[Monthly revenue]=BH$2))/MAX(1,SUMPRODUCT(Table47[Rev. Based on PROB]*(Table47[Service]=$B17)*(Table47[Projected 
Year]=BH$1)*(Table47[Monthly revenue]=BH$2)))</f>
        <v>#REF!</v>
      </c>
      <c r="BJ17" s="166" t="e">
        <f>SUMPRODUCT(Table47[Rev. Based on PROB]*Table47[Expected CMR]*(Table47[Projected 
Year]=BH$1)*(Table47[Monthly revenue]=BH$2)*(Table47[Service]=$B17))/MAX(1,BH17*1000)</f>
        <v>#REF!</v>
      </c>
      <c r="BK17" s="95">
        <f>ROUND(SUMIFS(Table47[Rev. Based on PROB],Table47[Service],$B17,Table47[Projected 
Year],BK$1,Table47[Monthly revenue],BK$2),-3)/1000</f>
        <v>0</v>
      </c>
      <c r="BL17" s="165" t="e">
        <f>SUMPRODUCT(Table47[Probability]*Table47[Rev. Based on PROB]*(Table47[Service]=$B17)*(Table47[Projected 
Year]=BK$1)*(Table47[Monthly revenue]=BK$2))/MAX(1,SUMPRODUCT(Table47[Rev. Based on PROB]*(Table47[Service]=$B17)*(Table47[Projected 
Year]=BK$1)*(Table47[Monthly revenue]=BK$2)))</f>
        <v>#REF!</v>
      </c>
      <c r="BM17" s="166" t="e">
        <f>SUMPRODUCT(Table47[Rev. Based on PROB]*Table47[Expected CMR]*(Table47[Projected 
Year]=BK$1)*(Table47[Monthly revenue]=BK$2)*(Table47[Service]=$B17))/MAX(1,BK17*1000)</f>
        <v>#REF!</v>
      </c>
      <c r="BN17" s="95">
        <f>ROUND(SUMIFS(Table47[Rev. Based on PROB],Table47[Service],$B17,Table47[Projected 
Year],BN$1,Table47[Monthly revenue],BN$2),-3)/1000</f>
        <v>0</v>
      </c>
      <c r="BO17" s="165" t="e">
        <f>SUMPRODUCT(Table47[Probability]*Table47[Rev. Based on PROB]*(Table47[Service]=$B17)*(Table47[Projected 
Year]=BN$1)*(Table47[Monthly revenue]=BN$2))/MAX(1,SUMPRODUCT(Table47[Rev. Based on PROB]*(Table47[Service]=$B17)*(Table47[Projected 
Year]=BN$1)*(Table47[Monthly revenue]=BN$2)))</f>
        <v>#REF!</v>
      </c>
      <c r="BP17" s="166" t="e">
        <f>SUMPRODUCT(Table47[Rev. Based on PROB]*Table47[Expected CMR]*(Table47[Projected 
Year]=BN$1)*(Table47[Monthly revenue]=BN$2)*(Table47[Service]=$B17))/MAX(1,BN17*1000)</f>
        <v>#REF!</v>
      </c>
      <c r="BQ17" s="95">
        <f>ROUND(SUMIFS(Table47[Rev. Based on PROB],Table47[Service],$B17,Table47[Projected 
Year],BQ$1,Table47[Monthly revenue],BQ$2),-3)/1000</f>
        <v>0</v>
      </c>
      <c r="BR17" s="165" t="e">
        <f>SUMPRODUCT(Table47[Probability]*Table47[Rev. Based on PROB]*(Table47[Service]=$B17)*(Table47[Projected 
Year]=BQ$1)*(Table47[Monthly revenue]=BQ$2))/MAX(1,SUMPRODUCT(Table47[Rev. Based on PROB]*(Table47[Service]=$B17)*(Table47[Projected 
Year]=BQ$1)*(Table47[Monthly revenue]=BQ$2)))</f>
        <v>#REF!</v>
      </c>
      <c r="BS17" s="166" t="e">
        <f>SUMPRODUCT(Table47[Rev. Based on PROB]*Table47[Expected CMR]*(Table47[Projected 
Year]=BQ$1)*(Table47[Monthly revenue]=BQ$2)*(Table47[Service]=$B17))/MAX(1,BQ17*1000)</f>
        <v>#REF!</v>
      </c>
      <c r="BT17" s="95">
        <f>ROUND(SUMIFS(Table47[Rev. Based on PROB],Table47[Service],$B17,Table47[Projected 
Year],BT$1,Table47[Monthly revenue],BT$2),-3)/1000</f>
        <v>0</v>
      </c>
      <c r="BU17" s="165" t="e">
        <f>SUMPRODUCT(Table47[Probability]*Table47[Rev. Based on PROB]*(Table47[Service]=$B17)*(Table47[Projected 
Year]=BT$1)*(Table47[Monthly revenue]=BT$2))/MAX(1,SUMPRODUCT(Table47[Rev. Based on PROB]*(Table47[Service]=$B17)*(Table47[Projected 
Year]=BT$1)*(Table47[Monthly revenue]=BT$2)))</f>
        <v>#REF!</v>
      </c>
      <c r="BV17" s="166" t="e">
        <f>SUMPRODUCT(Table47[Rev. Based on PROB]*Table47[Expected CMR]*(Table47[Projected 
Year]=BT$1)*(Table47[Monthly revenue]=BT$2)*(Table47[Service]=$B17))/MAX(1,BT17*1000)</f>
        <v>#REF!</v>
      </c>
      <c r="BW17" s="95">
        <f>ROUND(SUMIFS(Table47[Rev. Based on PROB],Table47[Service],$B17,Table47[Projected 
Year],BW$1,Table47[Monthly revenue],BW$2),-3)/1000</f>
        <v>0</v>
      </c>
      <c r="BX17" s="165" t="e">
        <f>SUMPRODUCT(Table47[Probability]*Table47[Rev. Based on PROB]*(Table47[Service]=$B17)*(Table47[Projected 
Year]=BW$1)*(Table47[Monthly revenue]=BW$2))/MAX(1,SUMPRODUCT(Table47[Rev. Based on PROB]*(Table47[Service]=$B17)*(Table47[Projected 
Year]=BW$1)*(Table47[Monthly revenue]=BW$2)))</f>
        <v>#REF!</v>
      </c>
      <c r="BY17" s="166" t="e">
        <f>SUMPRODUCT(Table47[Rev. Based on PROB]*Table47[Expected CMR]*(Table47[Projected 
Year]=BW$1)*(Table47[Monthly revenue]=BW$2)*(Table47[Service]=$B17))/MAX(1,BW17*1000)</f>
        <v>#REF!</v>
      </c>
      <c r="BZ17" s="95">
        <f t="shared" si="4"/>
        <v>0</v>
      </c>
      <c r="CA17" s="95">
        <f t="shared" si="8"/>
        <v>0</v>
      </c>
      <c r="CB17" s="95">
        <f t="shared" si="9"/>
        <v>0</v>
      </c>
    </row>
    <row r="18" spans="1:80">
      <c r="A18" s="992" t="s">
        <v>209</v>
      </c>
      <c r="B18" t="s">
        <v>251</v>
      </c>
      <c r="C18" s="95">
        <f>ROUND(SUMIFS(Table4[Rev. Based on PROB],Table4[Service],$B18,Table4[Projected 
Year],C$1,Table4[Projected 
Month],C$2),-3)/1000</f>
        <v>0</v>
      </c>
      <c r="D18" s="165">
        <f>SUMPRODUCT(Table4[Probability]*Table4[Rev. Based on PROB]*(Table4[Service]=$B18)*(Table4[Projected 
Year]=C$1)*(Table4[Projected 
Month]=C$2))/MAX(1,SUMPRODUCT(Table4[Rev. Based on PROB]*(Table4[Service]=$B18)*(Table4[Projected 
Year]=C$1)*(Table4[Projected 
Month]=C$2)))</f>
        <v>0</v>
      </c>
      <c r="E18" s="166">
        <f>SUMPRODUCT(Table4[Rev. Based on PROB]*Table4[Expected CMR]*(Table4[Projected 
Year]=C$1)*(Table4[Projected 
Month]=C$2)*(Table4[Service]=$B18))/MAX(1,C18*1000)</f>
        <v>0</v>
      </c>
      <c r="F18" s="95">
        <f>ROUND(SUMIFS(Table4[Rev. Based on PROB],Table4[Service],$B18,Table4[Projected 
Year],F$1,Table4[Projected 
Month],F$2),-3)/1000</f>
        <v>0</v>
      </c>
      <c r="G18" s="165">
        <f>SUMPRODUCT(Table4[Probability]*Table4[Rev. Based on PROB]*(Table4[Service]=$B18)*(Table4[Projected 
Year]=F$1)*(Table4[Projected 
Month]=F$2))/MAX(1,SUMPRODUCT(Table4[Rev. Based on PROB]*(Table4[Service]=$B18)*(Table4[Projected 
Year]=F$1)*(Table4[Projected 
Month]=F$2)))</f>
        <v>0</v>
      </c>
      <c r="H18" s="166">
        <f>SUMPRODUCT(Table4[Rev. Based on PROB]*Table4[Expected CMR]*(Table4[Projected 
Year]=F$1)*(Table4[Projected 
Month]=F$2)*(Table4[Service]=$B18))/MAX(1,F18*1000)</f>
        <v>0</v>
      </c>
      <c r="I18" s="95">
        <f>ROUND(SUMIFS(Table4[Rev. Based on PROB],Table4[Service],$B18,Table4[Projected 
Year],I$1,Table4[Projected 
Month],I$2),-3)/1000</f>
        <v>0</v>
      </c>
      <c r="J18" s="165">
        <f>SUMPRODUCT(Table4[Probability]*Table4[Rev. Based on PROB]*(Table4[Service]=$B18)*(Table4[Projected 
Year]=I$1)*(Table4[Projected 
Month]=I$2))/MAX(1,SUMPRODUCT(Table4[Rev. Based on PROB]*(Table4[Service]=$B18)*(Table4[Projected 
Year]=I$1)*(Table4[Projected 
Month]=I$2)))</f>
        <v>0</v>
      </c>
      <c r="K18" s="166">
        <f>SUMPRODUCT(Table4[Rev. Based on PROB]*Table4[Expected CMR]*(Table4[Projected 
Year]=I$1)*(Table4[Projected 
Month]=I$2)*(Table4[Service]=$B18))/MAX(1,I18*1000)</f>
        <v>0</v>
      </c>
      <c r="L18" s="95">
        <f>ROUND(SUMIFS(Table4[Rev. Based on PROB],Table4[Service],$B18,Table4[Projected 
Year],L$1,Table4[Projected 
Month],L$2),-3)/1000</f>
        <v>0</v>
      </c>
      <c r="M18" s="165">
        <f>SUMPRODUCT(Table4[Probability]*Table4[Rev. Based on PROB]*(Table4[Service]=$B18)*(Table4[Projected 
Year]=L$1)*(Table4[Projected 
Month]=L$2))/MAX(1,SUMPRODUCT(Table4[Rev. Based on PROB]*(Table4[Service]=$B18)*(Table4[Projected 
Year]=L$1)*(Table4[Projected 
Month]=L$2)))</f>
        <v>0</v>
      </c>
      <c r="N18" s="166">
        <f>SUMPRODUCT(Table4[Rev. Based on PROB]*Table4[Expected CMR]*(Table4[Projected 
Year]=L$1)*(Table4[Projected 
Month]=L$2)*(Table4[Service]=$B18))/MAX(1,L18*1000)</f>
        <v>0</v>
      </c>
      <c r="O18" s="95">
        <f>ROUND(SUMIFS(Table4[Rev. Based on PROB],Table4[Service],$B18,Table4[Projected 
Year],O$1,Table4[Projected 
Month],O$2),-3)/1000</f>
        <v>0</v>
      </c>
      <c r="P18" s="165">
        <f>SUMPRODUCT(Table4[Probability]*Table4[Rev. Based on PROB]*(Table4[Service]=$B18)*(Table4[Projected 
Year]=O$1)*(Table4[Projected 
Month]=O$2))/MAX(1,SUMPRODUCT(Table4[Rev. Based on PROB]*(Table4[Service]=$B18)*(Table4[Projected 
Year]=O$1)*(Table4[Projected 
Month]=O$2)))</f>
        <v>0</v>
      </c>
      <c r="Q18" s="166">
        <f>SUMPRODUCT(Table4[Rev. Based on PROB]*Table4[Expected CMR]*(Table4[Projected 
Year]=O$1)*(Table4[Projected 
Month]=O$2)*(Table4[Service]=$B18))/MAX(1,O18*1000)</f>
        <v>0</v>
      </c>
      <c r="R18" s="95">
        <f>ROUND(SUMIFS(Table4[Rev. Based on PROB],Table4[Service],$B18,Table4[Projected 
Year],R$1,Table4[Projected 
Month],R$2),-3)/1000</f>
        <v>0</v>
      </c>
      <c r="S18" s="165">
        <f>SUMPRODUCT(Table4[Probability]*Table4[Rev. Based on PROB]*(Table4[Service]=$B18)*(Table4[Projected 
Year]=R$1)*(Table4[Projected 
Month]=R$2))/MAX(1,SUMPRODUCT(Table4[Rev. Based on PROB]*(Table4[Service]=$B18)*(Table4[Projected 
Year]=R$1)*(Table4[Projected 
Month]=R$2)))</f>
        <v>0</v>
      </c>
      <c r="T18" s="166">
        <f>SUMPRODUCT(Table4[Rev. Based on PROB]*Table4[Expected CMR]*(Table4[Projected 
Year]=R$1)*(Table4[Projected 
Month]=R$2)*(Table4[Service]=$B18))/MAX(1,R18*1000)</f>
        <v>0</v>
      </c>
      <c r="U18" s="95">
        <f>ROUND(SUMIFS(Table4[Rev. Based on PROB],Table4[Service],$B18,Table4[Projected 
Year],U$1,Table4[Projected 
Month],U$2),-3)/1000</f>
        <v>0</v>
      </c>
      <c r="V18" s="165">
        <f>SUMPRODUCT(Table4[Probability]*Table4[Rev. Based on PROB]*(Table4[Service]=$B18)*(Table4[Projected 
Year]=U$1)*(Table4[Projected 
Month]=U$2))/MAX(1,SUMPRODUCT(Table4[Rev. Based on PROB]*(Table4[Service]=$B18)*(Table4[Projected 
Year]=U$1)*(Table4[Projected 
Month]=U$2)))</f>
        <v>0</v>
      </c>
      <c r="W18" s="166">
        <f>SUMPRODUCT(Table4[Rev. Based on PROB]*Table4[Expected CMR]*(Table4[Projected 
Year]=U$1)*(Table4[Projected 
Month]=U$2)*(Table4[Service]=$B18))/MAX(1,U18*1000)</f>
        <v>0</v>
      </c>
      <c r="X18" s="95">
        <f>ROUND(SUMIFS(Table4[Rev. Based on PROB],Table4[Service],$B18,Table4[Projected 
Year],X$1,Table4[Projected 
Month],X$2),-3)/1000</f>
        <v>0</v>
      </c>
      <c r="Y18" s="165">
        <f>SUMPRODUCT(Table4[Probability]*Table4[Rev. Based on PROB]*(Table4[Service]=$B18)*(Table4[Projected 
Year]=X$1)*(Table4[Projected 
Month]=X$2))/MAX(1,SUMPRODUCT(Table4[Rev. Based on PROB]*(Table4[Service]=$B18)*(Table4[Projected 
Year]=X$1)*(Table4[Projected 
Month]=X$2)))</f>
        <v>0</v>
      </c>
      <c r="Z18" s="166">
        <f>SUMPRODUCT(Table4[Rev. Based on PROB]*Table4[Expected CMR]*(Table4[Projected 
Year]=X$1)*(Table4[Projected 
Month]=X$2)*(Table4[Service]=$B18))/MAX(1,X18*1000)</f>
        <v>0</v>
      </c>
      <c r="AA18" s="95">
        <f>ROUND(SUMIFS(Table4[Rev. Based on PROB],Table4[Service],$B18,Table4[Projected 
Year],AA$1,Table4[Projected 
Month],AA$2),-3)/1000</f>
        <v>0</v>
      </c>
      <c r="AB18" s="165">
        <f>SUMPRODUCT(Table4[Probability]*Table4[Rev. Based on PROB]*(Table4[Service]=$B18)*(Table4[Projected 
Year]=AA$1)*(Table4[Projected 
Month]=AA$2))/MAX(1,SUMPRODUCT(Table4[Rev. Based on PROB]*(Table4[Service]=$B18)*(Table4[Projected 
Year]=AA$1)*(Table4[Projected 
Month]=AA$2)))</f>
        <v>0</v>
      </c>
      <c r="AC18" s="166">
        <f>SUMPRODUCT(Table4[Rev. Based on PROB]*Table4[Expected CMR]*(Table4[Projected 
Year]=AA$1)*(Table4[Projected 
Month]=AA$2)*(Table4[Service]=$B18))/MAX(1,AA18*1000)</f>
        <v>0</v>
      </c>
      <c r="AD18" s="95">
        <f>ROUND(SUMIFS(Table4[Rev. Based on PROB],Table4[Service],$B18,Table4[Projected 
Year],AD$1,Table4[Projected 
Month],AD$2),-3)/1000</f>
        <v>0</v>
      </c>
      <c r="AE18" s="165">
        <f>SUMPRODUCT(Table4[Probability]*Table4[Rev. Based on PROB]*(Table4[Service]=$B18)*(Table4[Projected 
Year]=AD$1)*(Table4[Projected 
Month]=AD$2))/MAX(1,SUMPRODUCT(Table4[Rev. Based on PROB]*(Table4[Service]=$B18)*(Table4[Projected 
Year]=AD$1)*(Table4[Projected 
Month]=AD$2)))</f>
        <v>0</v>
      </c>
      <c r="AF18" s="166">
        <f>SUMPRODUCT(Table4[Rev. Based on PROB]*Table4[Expected CMR]*(Table4[Projected 
Year]=AD$1)*(Table4[Projected 
Month]=AD$2)*(Table4[Service]=$B18))/MAX(1,AD18*1000)</f>
        <v>0</v>
      </c>
      <c r="AG18" s="95">
        <f>ROUND(SUMIFS(Table4[Rev. Based on PROB],Table4[Service],$B18,Table4[Projected 
Year],AG$1,Table4[Projected 
Month],AG$2),-3)/1000</f>
        <v>0</v>
      </c>
      <c r="AH18" s="165">
        <f>SUMPRODUCT(Table4[Probability]*Table4[Rev. Based on PROB]*(Table4[Service]=$B18)*(Table4[Projected 
Year]=AG$1)*(Table4[Projected 
Month]=AG$2))/MAX(1,SUMPRODUCT(Table4[Rev. Based on PROB]*(Table4[Service]=$B18)*(Table4[Projected 
Year]=AG$1)*(Table4[Projected 
Month]=AG$2)))</f>
        <v>0</v>
      </c>
      <c r="AI18" s="166">
        <f>SUMPRODUCT(Table4[Rev. Based on PROB]*Table4[Expected CMR]*(Table4[Projected 
Year]=AG$1)*(Table4[Projected 
Month]=AG$2)*(Table4[Service]=$B18))/MAX(1,AG18*1000)</f>
        <v>0</v>
      </c>
      <c r="AJ18" s="95">
        <f>ROUND(SUMIFS(Table4[Rev. Based on PROB],Table4[Service],$B18,Table4[Projected 
Year],AJ$1,Table4[Projected 
Month],AJ$2),-3)/1000</f>
        <v>0</v>
      </c>
      <c r="AK18" s="165">
        <f>SUMPRODUCT(Table4[Probability]*Table4[Rev. Based on PROB]*(Table4[Service]=$B18)*(Table4[Projected 
Year]=AJ$1)*(Table4[Projected 
Month]=AJ$2))/MAX(1,SUMPRODUCT(Table4[Rev. Based on PROB]*(Table4[Service]=$B18)*(Table4[Projected 
Year]=AJ$1)*(Table4[Projected 
Month]=AJ$2)))</f>
        <v>0</v>
      </c>
      <c r="AL18" s="166">
        <f>SUMPRODUCT(Table4[Rev. Based on PROB]*Table4[Expected CMR]*(Table4[Projected 
Year]=AJ$1)*(Table4[Projected 
Month]=AJ$2)*(Table4[Service]=$B18))/MAX(1,AJ18*1000)</f>
        <v>0</v>
      </c>
      <c r="AM18" s="30">
        <f t="shared" si="5"/>
        <v>0</v>
      </c>
      <c r="AN18" s="52">
        <f t="shared" si="6"/>
        <v>0</v>
      </c>
      <c r="AO18" s="53">
        <f t="shared" si="7"/>
        <v>0</v>
      </c>
      <c r="AP18" s="95">
        <f>ROUND(SUMIFS(Table47[Rev. Based on PROB],Table47[Service],$B18,Table47[Projected 
Year],AP$1,Table47[Monthly revenue],AP$2),-3)/1000</f>
        <v>100</v>
      </c>
      <c r="AQ18" s="165" t="e">
        <f>SUMPRODUCT(Table47[Probability]*Table47[Rev. Based on PROB]*(Table47[Service]=$B18)*(Table47[Projected 
Year]=AP$1)*(Table47[Monthly revenue]=AP$2))/MAX(1,SUMPRODUCT(Table47[Rev. Based on PROB]*(Table47[Service]=$B18)*(Table47[Projected 
Year]=AP$1)*(Table47[Monthly revenue]=AP$2)))</f>
        <v>#REF!</v>
      </c>
      <c r="AR18" s="166" t="e">
        <f>SUMPRODUCT(Table47[Rev. Based on PROB]*Table47[Expected CMR]*(Table47[Projected 
Year]=AP$1)*(Table47[Monthly revenue]=AP$2)*(Table47[Service]=$B18))/MAX(1,AP18*1000)</f>
        <v>#REF!</v>
      </c>
      <c r="AS18" s="98">
        <f>ROUND(SUMIFS(Table47[Rev. Based on PROB],Table47[Service],$B18,Table47[Projected 
Year],AS$1,Table47[Monthly revenue],AS$2),-3)/1000</f>
        <v>100</v>
      </c>
      <c r="AT18" s="165" t="e">
        <f>SUMPRODUCT(Table47[Probability]*Table47[Rev. Based on PROB]*(Table47[Service]=$B18)*(Table47[Projected 
Year]=AS$1)*(Table47[Monthly revenue]=AS$2))/MAX(1,SUMPRODUCT(Table47[Rev. Based on PROB]*(Table47[Service]=$B18)*(Table47[Projected 
Year]=AS$1)*(Table47[Monthly revenue]=AS$2)))</f>
        <v>#REF!</v>
      </c>
      <c r="AU18" s="166" t="e">
        <f>SUMPRODUCT(Table47[Rev. Based on PROB]*Table47[Expected CMR]*(Table47[Projected 
Year]=AS$1)*(Table47[Monthly revenue]=AS$2)*(Table47[Service]=$B18))/MAX(1,AS18*1000)</f>
        <v>#REF!</v>
      </c>
      <c r="AV18" s="95">
        <f>ROUND(SUMIFS(Table47[Rev. Based on PROB],Table47[Service],$B18,Table47[Projected 
Year],AV$1,Table47[Monthly revenue],AV$2),-3)/1000</f>
        <v>100</v>
      </c>
      <c r="AW18" s="165" t="e">
        <f>SUMPRODUCT(Table47[Probability]*Table47[Rev. Based on PROB]*(Table47[Service]=$B18)*(Table47[Projected 
Year]=AV$1)*(Table47[Monthly revenue]=AV$2))/MAX(1,SUMPRODUCT(Table47[Rev. Based on PROB]*(Table47[Service]=$B18)*(Table47[Projected 
Year]=AV$1)*(Table47[Monthly revenue]=AV$2)))</f>
        <v>#REF!</v>
      </c>
      <c r="AX18" s="166" t="e">
        <f>SUMPRODUCT(Table47[Rev. Based on PROB]*Table47[Expected CMR]*(Table47[Projected 
Year]=AV$1)*(Table47[Monthly revenue]=AV$2)*(Table47[Service]=$B18))/MAX(1,AV18*1000)</f>
        <v>#REF!</v>
      </c>
      <c r="AY18" s="95">
        <f>ROUND(SUMIFS(Table47[Rev. Based on PROB],Table47[Service],$B18,Table47[Projected 
Year],AY$1,Table47[Monthly revenue],AY$2),-3)/1000</f>
        <v>50</v>
      </c>
      <c r="AZ18" s="165" t="e">
        <f>SUMPRODUCT(Table47[Probability]*Table47[Rev. Based on PROB]*(Table47[Service]=$B18)*(Table47[Projected 
Year]=AY$1)*(Table47[Monthly revenue]=AY$2))/MAX(1,SUMPRODUCT(Table47[Rev. Based on PROB]*(Table47[Service]=$B18)*(Table47[Projected 
Year]=AY$1)*(Table47[Monthly revenue]=AY$2)))</f>
        <v>#REF!</v>
      </c>
      <c r="BA18" s="166" t="e">
        <f>SUMPRODUCT(Table47[Rev. Based on PROB]*Table47[Expected CMR]*(Table47[Projected 
Year]=AY$1)*(Table47[Monthly revenue]=AY$2)*(Table47[Service]=$B18))/MAX(1,AY18*1000)</f>
        <v>#REF!</v>
      </c>
      <c r="BB18" s="95">
        <f>ROUND(SUMIFS(Table47[Rev. Based on PROB],Table47[Service],$B18,Table47[Projected 
Year],BB$1,Table47[Monthly revenue],BB$2),-3)/1000</f>
        <v>150</v>
      </c>
      <c r="BC18" s="165" t="e">
        <f>SUMPRODUCT(Table47[Probability]*Table47[Rev. Based on PROB]*(Table47[Service]=$B18)*(Table47[Projected 
Year]=BB$1)*(Table47[Monthly revenue]=BB$2))/MAX(1,SUMPRODUCT(Table47[Rev. Based on PROB]*(Table47[Service]=$B18)*(Table47[Projected 
Year]=BB$1)*(Table47[Monthly revenue]=BB$2)))</f>
        <v>#REF!</v>
      </c>
      <c r="BD18" s="166" t="e">
        <f>SUMPRODUCT(Table47[Rev. Based on PROB]*Table47[Expected CMR]*(Table47[Projected 
Year]=BB$1)*(Table47[Monthly revenue]=BB$2)*(Table47[Service]=$B18))/MAX(1,BB18*1000)</f>
        <v>#REF!</v>
      </c>
      <c r="BE18" s="95">
        <f>ROUND(SUMIFS(Table47[Rev. Based on PROB],Table47[Service],$B18,Table47[Projected 
Year],BE$1,Table47[Monthly revenue],BE$2),-3)/1000</f>
        <v>150</v>
      </c>
      <c r="BF18" s="165" t="e">
        <f>SUMPRODUCT(Table47[Probability]*Table47[Rev. Based on PROB]*(Table47[Service]=$B18)*(Table47[Projected 
Year]=BE$1)*(Table47[Monthly revenue]=BE$2))/MAX(1,SUMPRODUCT(Table47[Rev. Based on PROB]*(Table47[Service]=$B18)*(Table47[Projected 
Year]=BE$1)*(Table47[Monthly revenue]=BE$2)))</f>
        <v>#REF!</v>
      </c>
      <c r="BG18" s="166" t="e">
        <f>SUMPRODUCT(Table47[Rev. Based on PROB]*Table47[Expected CMR]*(Table47[Projected 
Year]=BE$1)*(Table47[Monthly revenue]=BE$2)*(Table47[Service]=$B18))/MAX(1,BE18*1000)</f>
        <v>#REF!</v>
      </c>
      <c r="BH18" s="95">
        <f>ROUND(SUMIFS(Table47[Rev. Based on PROB],Table47[Service],$B18,Table47[Projected 
Year],BH$1,Table47[Monthly revenue],BH$2),-3)/1000</f>
        <v>150</v>
      </c>
      <c r="BI18" s="165" t="e">
        <f>SUMPRODUCT(Table47[Probability]*Table47[Rev. Based on PROB]*(Table47[Service]=$B18)*(Table47[Projected 
Year]=BH$1)*(Table47[Monthly revenue]=BH$2))/MAX(1,SUMPRODUCT(Table47[Rev. Based on PROB]*(Table47[Service]=$B18)*(Table47[Projected 
Year]=BH$1)*(Table47[Monthly revenue]=BH$2)))</f>
        <v>#REF!</v>
      </c>
      <c r="BJ18" s="166" t="e">
        <f>SUMPRODUCT(Table47[Rev. Based on PROB]*Table47[Expected CMR]*(Table47[Projected 
Year]=BH$1)*(Table47[Monthly revenue]=BH$2)*(Table47[Service]=$B18))/MAX(1,BH18*1000)</f>
        <v>#REF!</v>
      </c>
      <c r="BK18" s="95">
        <f>ROUND(SUMIFS(Table47[Rev. Based on PROB],Table47[Service],$B18,Table47[Projected 
Year],BK$1,Table47[Monthly revenue],BK$2),-3)/1000</f>
        <v>150</v>
      </c>
      <c r="BL18" s="165" t="e">
        <f>SUMPRODUCT(Table47[Probability]*Table47[Rev. Based on PROB]*(Table47[Service]=$B18)*(Table47[Projected 
Year]=BK$1)*(Table47[Monthly revenue]=BK$2))/MAX(1,SUMPRODUCT(Table47[Rev. Based on PROB]*(Table47[Service]=$B18)*(Table47[Projected 
Year]=BK$1)*(Table47[Monthly revenue]=BK$2)))</f>
        <v>#REF!</v>
      </c>
      <c r="BM18" s="166" t="e">
        <f>SUMPRODUCT(Table47[Rev. Based on PROB]*Table47[Expected CMR]*(Table47[Projected 
Year]=BK$1)*(Table47[Monthly revenue]=BK$2)*(Table47[Service]=$B18))/MAX(1,BK18*1000)</f>
        <v>#REF!</v>
      </c>
      <c r="BN18" s="95">
        <f>ROUND(SUMIFS(Table47[Rev. Based on PROB],Table47[Service],$B18,Table47[Projected 
Year],BN$1,Table47[Monthly revenue],BN$2),-3)/1000</f>
        <v>150</v>
      </c>
      <c r="BO18" s="165" t="e">
        <f>SUMPRODUCT(Table47[Probability]*Table47[Rev. Based on PROB]*(Table47[Service]=$B18)*(Table47[Projected 
Year]=BN$1)*(Table47[Monthly revenue]=BN$2))/MAX(1,SUMPRODUCT(Table47[Rev. Based on PROB]*(Table47[Service]=$B18)*(Table47[Projected 
Year]=BN$1)*(Table47[Monthly revenue]=BN$2)))</f>
        <v>#REF!</v>
      </c>
      <c r="BP18" s="166" t="e">
        <f>SUMPRODUCT(Table47[Rev. Based on PROB]*Table47[Expected CMR]*(Table47[Projected 
Year]=BN$1)*(Table47[Monthly revenue]=BN$2)*(Table47[Service]=$B18))/MAX(1,BN18*1000)</f>
        <v>#REF!</v>
      </c>
      <c r="BQ18" s="95">
        <f>ROUND(SUMIFS(Table47[Rev. Based on PROB],Table47[Service],$B18,Table47[Projected 
Year],BQ$1,Table47[Monthly revenue],BQ$2),-3)/1000</f>
        <v>150</v>
      </c>
      <c r="BR18" s="165" t="e">
        <f>SUMPRODUCT(Table47[Probability]*Table47[Rev. Based on PROB]*(Table47[Service]=$B18)*(Table47[Projected 
Year]=BQ$1)*(Table47[Monthly revenue]=BQ$2))/MAX(1,SUMPRODUCT(Table47[Rev. Based on PROB]*(Table47[Service]=$B18)*(Table47[Projected 
Year]=BQ$1)*(Table47[Monthly revenue]=BQ$2)))</f>
        <v>#REF!</v>
      </c>
      <c r="BS18" s="166" t="e">
        <f>SUMPRODUCT(Table47[Rev. Based on PROB]*Table47[Expected CMR]*(Table47[Projected 
Year]=BQ$1)*(Table47[Monthly revenue]=BQ$2)*(Table47[Service]=$B18))/MAX(1,BQ18*1000)</f>
        <v>#REF!</v>
      </c>
      <c r="BT18" s="95">
        <f>ROUND(SUMIFS(Table47[Rev. Based on PROB],Table47[Service],$B18,Table47[Projected 
Year],BT$1,Table47[Monthly revenue],BT$2),-3)/1000</f>
        <v>150</v>
      </c>
      <c r="BU18" s="165" t="e">
        <f>SUMPRODUCT(Table47[Probability]*Table47[Rev. Based on PROB]*(Table47[Service]=$B18)*(Table47[Projected 
Year]=BT$1)*(Table47[Monthly revenue]=BT$2))/MAX(1,SUMPRODUCT(Table47[Rev. Based on PROB]*(Table47[Service]=$B18)*(Table47[Projected 
Year]=BT$1)*(Table47[Monthly revenue]=BT$2)))</f>
        <v>#REF!</v>
      </c>
      <c r="BV18" s="166" t="e">
        <f>SUMPRODUCT(Table47[Rev. Based on PROB]*Table47[Expected CMR]*(Table47[Projected 
Year]=BT$1)*(Table47[Monthly revenue]=BT$2)*(Table47[Service]=$B18))/MAX(1,BT18*1000)</f>
        <v>#REF!</v>
      </c>
      <c r="BW18" s="95">
        <f>ROUND(SUMIFS(Table47[Rev. Based on PROB],Table47[Service],$B18,Table47[Projected 
Year],BW$1,Table47[Monthly revenue],BW$2),-3)/1000</f>
        <v>100</v>
      </c>
      <c r="BX18" s="165" t="e">
        <f>SUMPRODUCT(Table47[Probability]*Table47[Rev. Based on PROB]*(Table47[Service]=$B18)*(Table47[Projected 
Year]=BW$1)*(Table47[Monthly revenue]=BW$2))/MAX(1,SUMPRODUCT(Table47[Rev. Based on PROB]*(Table47[Service]=$B18)*(Table47[Projected 
Year]=BW$1)*(Table47[Monthly revenue]=BW$2)))</f>
        <v>#REF!</v>
      </c>
      <c r="BY18" s="166" t="e">
        <f>SUMPRODUCT(Table47[Rev. Based on PROB]*Table47[Expected CMR]*(Table47[Projected 
Year]=BW$1)*(Table47[Monthly revenue]=BW$2)*(Table47[Service]=$B18))/MAX(1,BW18*1000)</f>
        <v>#REF!</v>
      </c>
      <c r="BZ18" s="95">
        <f t="shared" si="4"/>
        <v>1500</v>
      </c>
      <c r="CA18" s="95">
        <f t="shared" si="8"/>
        <v>0</v>
      </c>
      <c r="CB18" s="95">
        <f t="shared" si="9"/>
        <v>0</v>
      </c>
    </row>
    <row r="19" spans="1:80">
      <c r="A19" s="996" t="s">
        <v>251</v>
      </c>
      <c r="B19" s="100" t="s">
        <v>315</v>
      </c>
      <c r="C19" s="95">
        <f>ROUND(SUMIFS(Table4[Rev. Based on PROB],Table4[Service],$B19,Table4[Projected 
Year],C$1,Table4[Projected 
Month],C$2),-3)/1000</f>
        <v>0</v>
      </c>
      <c r="D19" s="165">
        <f>SUMPRODUCT(Table4[Probability]*Table4[Rev. Based on PROB]*(Table4[Service]=$B19)*(Table4[Projected 
Year]=C$1)*(Table4[Projected 
Month]=C$2))/MAX(1,SUMPRODUCT(Table4[Rev. Based on PROB]*(Table4[Service]=$B19)*(Table4[Projected 
Year]=C$1)*(Table4[Projected 
Month]=C$2)))</f>
        <v>0</v>
      </c>
      <c r="E19" s="166">
        <f>SUMPRODUCT(Table4[Rev. Based on PROB]*Table4[Expected CMR]*(Table4[Projected 
Year]=C$1)*(Table4[Projected 
Month]=C$2)*(Table4[Service]=$B19))/MAX(1,C19*1000)</f>
        <v>0</v>
      </c>
      <c r="F19" s="95">
        <f>ROUND(SUMIFS(Table4[Rev. Based on PROB],Table4[Service],$B19,Table4[Projected 
Year],F$1,Table4[Projected 
Month],F$2),-3)/1000</f>
        <v>0</v>
      </c>
      <c r="G19" s="165">
        <f>SUMPRODUCT(Table4[Probability]*Table4[Rev. Based on PROB]*(Table4[Service]=$B19)*(Table4[Projected 
Year]=F$1)*(Table4[Projected 
Month]=F$2))/MAX(1,SUMPRODUCT(Table4[Rev. Based on PROB]*(Table4[Service]=$B19)*(Table4[Projected 
Year]=F$1)*(Table4[Projected 
Month]=F$2)))</f>
        <v>0</v>
      </c>
      <c r="H19" s="166">
        <f>SUMPRODUCT(Table4[Rev. Based on PROB]*Table4[Expected CMR]*(Table4[Projected 
Year]=F$1)*(Table4[Projected 
Month]=F$2)*(Table4[Service]=$B19))/MAX(1,F19*1000)</f>
        <v>0</v>
      </c>
      <c r="I19" s="95">
        <f>ROUND(SUMIFS(Table4[Rev. Based on PROB],Table4[Service],$B19,Table4[Projected 
Year],I$1,Table4[Projected 
Month],I$2),-3)/1000</f>
        <v>0</v>
      </c>
      <c r="J19" s="165">
        <f>SUMPRODUCT(Table4[Probability]*Table4[Rev. Based on PROB]*(Table4[Service]=$B19)*(Table4[Projected 
Year]=I$1)*(Table4[Projected 
Month]=I$2))/MAX(1,SUMPRODUCT(Table4[Rev. Based on PROB]*(Table4[Service]=$B19)*(Table4[Projected 
Year]=I$1)*(Table4[Projected 
Month]=I$2)))</f>
        <v>0</v>
      </c>
      <c r="K19" s="166">
        <f>SUMPRODUCT(Table4[Rev. Based on PROB]*Table4[Expected CMR]*(Table4[Projected 
Year]=I$1)*(Table4[Projected 
Month]=I$2)*(Table4[Service]=$B19))/MAX(1,I19*1000)</f>
        <v>0</v>
      </c>
      <c r="L19" s="95">
        <f>ROUND(SUMIFS(Table4[Rev. Based on PROB],Table4[Service],$B19,Table4[Projected 
Year],L$1,Table4[Projected 
Month],L$2),-3)/1000</f>
        <v>0</v>
      </c>
      <c r="M19" s="165">
        <f>SUMPRODUCT(Table4[Probability]*Table4[Rev. Based on PROB]*(Table4[Service]=$B19)*(Table4[Projected 
Year]=L$1)*(Table4[Projected 
Month]=L$2))/MAX(1,SUMPRODUCT(Table4[Rev. Based on PROB]*(Table4[Service]=$B19)*(Table4[Projected 
Year]=L$1)*(Table4[Projected 
Month]=L$2)))</f>
        <v>0</v>
      </c>
      <c r="N19" s="166">
        <f>SUMPRODUCT(Table4[Rev. Based on PROB]*Table4[Expected CMR]*(Table4[Projected 
Year]=L$1)*(Table4[Projected 
Month]=L$2)*(Table4[Service]=$B19))/MAX(1,L19*1000)</f>
        <v>0</v>
      </c>
      <c r="O19" s="95">
        <f>ROUND(SUMIFS(Table4[Rev. Based on PROB],Table4[Service],$B19,Table4[Projected 
Year],O$1,Table4[Projected 
Month],O$2),-3)/1000</f>
        <v>0</v>
      </c>
      <c r="P19" s="165">
        <f>SUMPRODUCT(Table4[Probability]*Table4[Rev. Based on PROB]*(Table4[Service]=$B19)*(Table4[Projected 
Year]=O$1)*(Table4[Projected 
Month]=O$2))/MAX(1,SUMPRODUCT(Table4[Rev. Based on PROB]*(Table4[Service]=$B19)*(Table4[Projected 
Year]=O$1)*(Table4[Projected 
Month]=O$2)))</f>
        <v>0</v>
      </c>
      <c r="Q19" s="166">
        <f>SUMPRODUCT(Table4[Rev. Based on PROB]*Table4[Expected CMR]*(Table4[Projected 
Year]=O$1)*(Table4[Projected 
Month]=O$2)*(Table4[Service]=$B19))/MAX(1,O19*1000)</f>
        <v>0</v>
      </c>
      <c r="R19" s="95">
        <f>ROUND(SUMIFS(Table4[Rev. Based on PROB],Table4[Service],$B19,Table4[Projected 
Year],R$1,Table4[Projected 
Month],R$2),-3)/1000</f>
        <v>0</v>
      </c>
      <c r="S19" s="165">
        <f>SUMPRODUCT(Table4[Probability]*Table4[Rev. Based on PROB]*(Table4[Service]=$B19)*(Table4[Projected 
Year]=R$1)*(Table4[Projected 
Month]=R$2))/MAX(1,SUMPRODUCT(Table4[Rev. Based on PROB]*(Table4[Service]=$B19)*(Table4[Projected 
Year]=R$1)*(Table4[Projected 
Month]=R$2)))</f>
        <v>0</v>
      </c>
      <c r="T19" s="166">
        <f>SUMPRODUCT(Table4[Rev. Based on PROB]*Table4[Expected CMR]*(Table4[Projected 
Year]=R$1)*(Table4[Projected 
Month]=R$2)*(Table4[Service]=$B19))/MAX(1,R19*1000)</f>
        <v>0</v>
      </c>
      <c r="U19" s="95">
        <f>ROUND(SUMIFS(Table4[Rev. Based on PROB],Table4[Service],$B19,Table4[Projected 
Year],U$1,Table4[Projected 
Month],U$2),-3)/1000</f>
        <v>0</v>
      </c>
      <c r="V19" s="165">
        <f>SUMPRODUCT(Table4[Probability]*Table4[Rev. Based on PROB]*(Table4[Service]=$B19)*(Table4[Projected 
Year]=U$1)*(Table4[Projected 
Month]=U$2))/MAX(1,SUMPRODUCT(Table4[Rev. Based on PROB]*(Table4[Service]=$B19)*(Table4[Projected 
Year]=U$1)*(Table4[Projected 
Month]=U$2)))</f>
        <v>0</v>
      </c>
      <c r="W19" s="166">
        <f>SUMPRODUCT(Table4[Rev. Based on PROB]*Table4[Expected CMR]*(Table4[Projected 
Year]=U$1)*(Table4[Projected 
Month]=U$2)*(Table4[Service]=$B19))/MAX(1,U19*1000)</f>
        <v>0</v>
      </c>
      <c r="X19" s="95">
        <f>ROUND(SUMIFS(Table4[Rev. Based on PROB],Table4[Service],$B19,Table4[Projected 
Year],X$1,Table4[Projected 
Month],X$2),-3)/1000</f>
        <v>0</v>
      </c>
      <c r="Y19" s="165">
        <f>SUMPRODUCT(Table4[Probability]*Table4[Rev. Based on PROB]*(Table4[Service]=$B19)*(Table4[Projected 
Year]=X$1)*(Table4[Projected 
Month]=X$2))/MAX(1,SUMPRODUCT(Table4[Rev. Based on PROB]*(Table4[Service]=$B19)*(Table4[Projected 
Year]=X$1)*(Table4[Projected 
Month]=X$2)))</f>
        <v>0</v>
      </c>
      <c r="Z19" s="166">
        <f>SUMPRODUCT(Table4[Rev. Based on PROB]*Table4[Expected CMR]*(Table4[Projected 
Year]=X$1)*(Table4[Projected 
Month]=X$2)*(Table4[Service]=$B19))/MAX(1,X19*1000)</f>
        <v>0</v>
      </c>
      <c r="AA19" s="95">
        <f>ROUND(SUMIFS(Table4[Rev. Based on PROB],Table4[Service],$B19,Table4[Projected 
Year],AA$1,Table4[Projected 
Month],AA$2),-3)/1000</f>
        <v>0</v>
      </c>
      <c r="AB19" s="165">
        <f>SUMPRODUCT(Table4[Probability]*Table4[Rev. Based on PROB]*(Table4[Service]=$B19)*(Table4[Projected 
Year]=AA$1)*(Table4[Projected 
Month]=AA$2))/MAX(1,SUMPRODUCT(Table4[Rev. Based on PROB]*(Table4[Service]=$B19)*(Table4[Projected 
Year]=AA$1)*(Table4[Projected 
Month]=AA$2)))</f>
        <v>0</v>
      </c>
      <c r="AC19" s="166">
        <f>SUMPRODUCT(Table4[Rev. Based on PROB]*Table4[Expected CMR]*(Table4[Projected 
Year]=AA$1)*(Table4[Projected 
Month]=AA$2)*(Table4[Service]=$B19))/MAX(1,AA19*1000)</f>
        <v>0</v>
      </c>
      <c r="AD19" s="95">
        <f>ROUND(SUMIFS(Table4[Rev. Based on PROB],Table4[Service],$B19,Table4[Projected 
Year],AD$1,Table4[Projected 
Month],AD$2),-3)/1000</f>
        <v>0</v>
      </c>
      <c r="AE19" s="165">
        <f>SUMPRODUCT(Table4[Probability]*Table4[Rev. Based on PROB]*(Table4[Service]=$B19)*(Table4[Projected 
Year]=AD$1)*(Table4[Projected 
Month]=AD$2))/MAX(1,SUMPRODUCT(Table4[Rev. Based on PROB]*(Table4[Service]=$B19)*(Table4[Projected 
Year]=AD$1)*(Table4[Projected 
Month]=AD$2)))</f>
        <v>0</v>
      </c>
      <c r="AF19" s="166">
        <f>SUMPRODUCT(Table4[Rev. Based on PROB]*Table4[Expected CMR]*(Table4[Projected 
Year]=AD$1)*(Table4[Projected 
Month]=AD$2)*(Table4[Service]=$B19))/MAX(1,AD19*1000)</f>
        <v>0</v>
      </c>
      <c r="AG19" s="95">
        <f>ROUND(SUMIFS(Table4[Rev. Based on PROB],Table4[Service],$B19,Table4[Projected 
Year],AG$1,Table4[Projected 
Month],AG$2),-3)/1000</f>
        <v>0</v>
      </c>
      <c r="AH19" s="165">
        <f>SUMPRODUCT(Table4[Probability]*Table4[Rev. Based on PROB]*(Table4[Service]=$B19)*(Table4[Projected 
Year]=AG$1)*(Table4[Projected 
Month]=AG$2))/MAX(1,SUMPRODUCT(Table4[Rev. Based on PROB]*(Table4[Service]=$B19)*(Table4[Projected 
Year]=AG$1)*(Table4[Projected 
Month]=AG$2)))</f>
        <v>0</v>
      </c>
      <c r="AI19" s="166">
        <f>SUMPRODUCT(Table4[Rev. Based on PROB]*Table4[Expected CMR]*(Table4[Projected 
Year]=AG$1)*(Table4[Projected 
Month]=AG$2)*(Table4[Service]=$B19))/MAX(1,AG19*1000)</f>
        <v>0</v>
      </c>
      <c r="AJ19" s="95">
        <f>ROUND(SUMIFS(Table4[Rev. Based on PROB],Table4[Service],$B19,Table4[Projected 
Year],AJ$1,Table4[Projected 
Month],AJ$2),-3)/1000</f>
        <v>0</v>
      </c>
      <c r="AK19" s="165">
        <f>SUMPRODUCT(Table4[Probability]*Table4[Rev. Based on PROB]*(Table4[Service]=$B19)*(Table4[Projected 
Year]=AJ$1)*(Table4[Projected 
Month]=AJ$2))/MAX(1,SUMPRODUCT(Table4[Rev. Based on PROB]*(Table4[Service]=$B19)*(Table4[Projected 
Year]=AJ$1)*(Table4[Projected 
Month]=AJ$2)))</f>
        <v>0</v>
      </c>
      <c r="AL19" s="166">
        <f>SUMPRODUCT(Table4[Rev. Based on PROB]*Table4[Expected CMR]*(Table4[Projected 
Year]=AJ$1)*(Table4[Projected 
Month]=AJ$2)*(Table4[Service]=$B19))/MAX(1,AJ19*1000)</f>
        <v>0</v>
      </c>
      <c r="AM19" s="31">
        <f t="shared" si="5"/>
        <v>0</v>
      </c>
      <c r="AN19" s="54">
        <f t="shared" si="6"/>
        <v>0</v>
      </c>
      <c r="AO19" s="55">
        <f t="shared" si="7"/>
        <v>0</v>
      </c>
      <c r="AP19" s="95">
        <f>ROUND(SUMIFS(Table47[Rev. Based on PROB],Table47[Service],$B19,Table47[Projected 
Year],AP$1,Table47[Monthly revenue],AP$2),-3)/1000</f>
        <v>0</v>
      </c>
      <c r="AQ19" s="165" t="e">
        <f>SUMPRODUCT(Table47[Probability]*Table47[Rev. Based on PROB]*(Table47[Service]=$B19)*(Table47[Projected 
Year]=AP$1)*(Table47[Monthly revenue]=AP$2))/MAX(1,SUMPRODUCT(Table47[Rev. Based on PROB]*(Table47[Service]=$B19)*(Table47[Projected 
Year]=AP$1)*(Table47[Monthly revenue]=AP$2)))</f>
        <v>#REF!</v>
      </c>
      <c r="AR19" s="166" t="e">
        <f>SUMPRODUCT(Table47[Rev. Based on PROB]*Table47[Expected CMR]*(Table47[Projected 
Year]=AP$1)*(Table47[Monthly revenue]=AP$2)*(Table47[Service]=$B19))/MAX(1,AP19*1000)</f>
        <v>#REF!</v>
      </c>
      <c r="AS19" s="98">
        <f>ROUND(SUMIFS(Table47[Rev. Based on PROB],Table47[Service],$B19,Table47[Projected 
Year],AS$1,Table47[Monthly revenue],AS$2),-3)/1000</f>
        <v>0</v>
      </c>
      <c r="AT19" s="165" t="e">
        <f>SUMPRODUCT(Table47[Probability]*Table47[Rev. Based on PROB]*(Table47[Service]=$B19)*(Table47[Projected 
Year]=AS$1)*(Table47[Monthly revenue]=AS$2))/MAX(1,SUMPRODUCT(Table47[Rev. Based on PROB]*(Table47[Service]=$B19)*(Table47[Projected 
Year]=AS$1)*(Table47[Monthly revenue]=AS$2)))</f>
        <v>#REF!</v>
      </c>
      <c r="AU19" s="166" t="e">
        <f>SUMPRODUCT(Table47[Rev. Based on PROB]*Table47[Expected CMR]*(Table47[Projected 
Year]=AS$1)*(Table47[Monthly revenue]=AS$2)*(Table47[Service]=$B19))/MAX(1,AS19*1000)</f>
        <v>#REF!</v>
      </c>
      <c r="AV19" s="95">
        <f>ROUND(SUMIFS(Table47[Rev. Based on PROB],Table47[Service],$B19,Table47[Projected 
Year],AV$1,Table47[Monthly revenue],AV$2),-3)/1000</f>
        <v>0</v>
      </c>
      <c r="AW19" s="165" t="e">
        <f>SUMPRODUCT(Table47[Probability]*Table47[Rev. Based on PROB]*(Table47[Service]=$B19)*(Table47[Projected 
Year]=AV$1)*(Table47[Monthly revenue]=AV$2))/MAX(1,SUMPRODUCT(Table47[Rev. Based on PROB]*(Table47[Service]=$B19)*(Table47[Projected 
Year]=AV$1)*(Table47[Monthly revenue]=AV$2)))</f>
        <v>#REF!</v>
      </c>
      <c r="AX19" s="166" t="e">
        <f>SUMPRODUCT(Table47[Rev. Based on PROB]*Table47[Expected CMR]*(Table47[Projected 
Year]=AV$1)*(Table47[Monthly revenue]=AV$2)*(Table47[Service]=$B19))/MAX(1,AV19*1000)</f>
        <v>#REF!</v>
      </c>
      <c r="AY19" s="95">
        <f>ROUND(SUMIFS(Table47[Rev. Based on PROB],Table47[Service],$B19,Table47[Projected 
Year],AY$1,Table47[Monthly revenue],AY$2),-3)/1000</f>
        <v>0</v>
      </c>
      <c r="AZ19" s="165" t="e">
        <f>SUMPRODUCT(Table47[Probability]*Table47[Rev. Based on PROB]*(Table47[Service]=$B19)*(Table47[Projected 
Year]=AY$1)*(Table47[Monthly revenue]=AY$2))/MAX(1,SUMPRODUCT(Table47[Rev. Based on PROB]*(Table47[Service]=$B19)*(Table47[Projected 
Year]=AY$1)*(Table47[Monthly revenue]=AY$2)))</f>
        <v>#REF!</v>
      </c>
      <c r="BA19" s="166" t="e">
        <f>SUMPRODUCT(Table47[Rev. Based on PROB]*Table47[Expected CMR]*(Table47[Projected 
Year]=AY$1)*(Table47[Monthly revenue]=AY$2)*(Table47[Service]=$B19))/MAX(1,AY19*1000)</f>
        <v>#REF!</v>
      </c>
      <c r="BB19" s="95">
        <f>ROUND(SUMIFS(Table47[Rev. Based on PROB],Table47[Service],$B19,Table47[Projected 
Year],BB$1,Table47[Monthly revenue],BB$2),-3)/1000</f>
        <v>0</v>
      </c>
      <c r="BC19" s="165" t="e">
        <f>SUMPRODUCT(Table47[Probability]*Table47[Rev. Based on PROB]*(Table47[Service]=$B19)*(Table47[Projected 
Year]=BB$1)*(Table47[Monthly revenue]=BB$2))/MAX(1,SUMPRODUCT(Table47[Rev. Based on PROB]*(Table47[Service]=$B19)*(Table47[Projected 
Year]=BB$1)*(Table47[Monthly revenue]=BB$2)))</f>
        <v>#REF!</v>
      </c>
      <c r="BD19" s="166" t="e">
        <f>SUMPRODUCT(Table47[Rev. Based on PROB]*Table47[Expected CMR]*(Table47[Projected 
Year]=BB$1)*(Table47[Monthly revenue]=BB$2)*(Table47[Service]=$B19))/MAX(1,BB19*1000)</f>
        <v>#REF!</v>
      </c>
      <c r="BE19" s="95">
        <f>ROUND(SUMIFS(Table47[Rev. Based on PROB],Table47[Service],$B19,Table47[Projected 
Year],BE$1,Table47[Monthly revenue],BE$2),-3)/1000</f>
        <v>0</v>
      </c>
      <c r="BF19" s="165" t="e">
        <f>SUMPRODUCT(Table47[Probability]*Table47[Rev. Based on PROB]*(Table47[Service]=$B19)*(Table47[Projected 
Year]=BE$1)*(Table47[Monthly revenue]=BE$2))/MAX(1,SUMPRODUCT(Table47[Rev. Based on PROB]*(Table47[Service]=$B19)*(Table47[Projected 
Year]=BE$1)*(Table47[Monthly revenue]=BE$2)))</f>
        <v>#REF!</v>
      </c>
      <c r="BG19" s="166" t="e">
        <f>SUMPRODUCT(Table47[Rev. Based on PROB]*Table47[Expected CMR]*(Table47[Projected 
Year]=BE$1)*(Table47[Monthly revenue]=BE$2)*(Table47[Service]=$B19))/MAX(1,BE19*1000)</f>
        <v>#REF!</v>
      </c>
      <c r="BH19" s="95">
        <f>ROUND(SUMIFS(Table47[Rev. Based on PROB],Table47[Service],$B19,Table47[Projected 
Year],BH$1,Table47[Monthly revenue],BH$2),-3)/1000</f>
        <v>0</v>
      </c>
      <c r="BI19" s="165" t="e">
        <f>SUMPRODUCT(Table47[Probability]*Table47[Rev. Based on PROB]*(Table47[Service]=$B19)*(Table47[Projected 
Year]=BH$1)*(Table47[Monthly revenue]=BH$2))/MAX(1,SUMPRODUCT(Table47[Rev. Based on PROB]*(Table47[Service]=$B19)*(Table47[Projected 
Year]=BH$1)*(Table47[Monthly revenue]=BH$2)))</f>
        <v>#REF!</v>
      </c>
      <c r="BJ19" s="166" t="e">
        <f>SUMPRODUCT(Table47[Rev. Based on PROB]*Table47[Expected CMR]*(Table47[Projected 
Year]=BH$1)*(Table47[Monthly revenue]=BH$2)*(Table47[Service]=$B19))/MAX(1,BH19*1000)</f>
        <v>#REF!</v>
      </c>
      <c r="BK19" s="95">
        <f>ROUND(SUMIFS(Table47[Rev. Based on PROB],Table47[Service],$B19,Table47[Projected 
Year],BK$1,Table47[Monthly revenue],BK$2),-3)/1000</f>
        <v>0</v>
      </c>
      <c r="BL19" s="165" t="e">
        <f>SUMPRODUCT(Table47[Probability]*Table47[Rev. Based on PROB]*(Table47[Service]=$B19)*(Table47[Projected 
Year]=BK$1)*(Table47[Monthly revenue]=BK$2))/MAX(1,SUMPRODUCT(Table47[Rev. Based on PROB]*(Table47[Service]=$B19)*(Table47[Projected 
Year]=BK$1)*(Table47[Monthly revenue]=BK$2)))</f>
        <v>#REF!</v>
      </c>
      <c r="BM19" s="166" t="e">
        <f>SUMPRODUCT(Table47[Rev. Based on PROB]*Table47[Expected CMR]*(Table47[Projected 
Year]=BK$1)*(Table47[Monthly revenue]=BK$2)*(Table47[Service]=$B19))/MAX(1,BK19*1000)</f>
        <v>#REF!</v>
      </c>
      <c r="BN19" s="95">
        <f>ROUND(SUMIFS(Table47[Rev. Based on PROB],Table47[Service],$B19,Table47[Projected 
Year],BN$1,Table47[Monthly revenue],BN$2),-3)/1000</f>
        <v>0</v>
      </c>
      <c r="BO19" s="165" t="e">
        <f>SUMPRODUCT(Table47[Probability]*Table47[Rev. Based on PROB]*(Table47[Service]=$B19)*(Table47[Projected 
Year]=BN$1)*(Table47[Monthly revenue]=BN$2))/MAX(1,SUMPRODUCT(Table47[Rev. Based on PROB]*(Table47[Service]=$B19)*(Table47[Projected 
Year]=BN$1)*(Table47[Monthly revenue]=BN$2)))</f>
        <v>#REF!</v>
      </c>
      <c r="BP19" s="166" t="e">
        <f>SUMPRODUCT(Table47[Rev. Based on PROB]*Table47[Expected CMR]*(Table47[Projected 
Year]=BN$1)*(Table47[Monthly revenue]=BN$2)*(Table47[Service]=$B19))/MAX(1,BN19*1000)</f>
        <v>#REF!</v>
      </c>
      <c r="BQ19" s="95">
        <f>ROUND(SUMIFS(Table47[Rev. Based on PROB],Table47[Service],$B19,Table47[Projected 
Year],BQ$1,Table47[Monthly revenue],BQ$2),-3)/1000</f>
        <v>0</v>
      </c>
      <c r="BR19" s="165" t="e">
        <f>SUMPRODUCT(Table47[Probability]*Table47[Rev. Based on PROB]*(Table47[Service]=$B19)*(Table47[Projected 
Year]=BQ$1)*(Table47[Monthly revenue]=BQ$2))/MAX(1,SUMPRODUCT(Table47[Rev. Based on PROB]*(Table47[Service]=$B19)*(Table47[Projected 
Year]=BQ$1)*(Table47[Monthly revenue]=BQ$2)))</f>
        <v>#REF!</v>
      </c>
      <c r="BS19" s="166" t="e">
        <f>SUMPRODUCT(Table47[Rev. Based on PROB]*Table47[Expected CMR]*(Table47[Projected 
Year]=BQ$1)*(Table47[Monthly revenue]=BQ$2)*(Table47[Service]=$B19))/MAX(1,BQ19*1000)</f>
        <v>#REF!</v>
      </c>
      <c r="BT19" s="95">
        <f>ROUND(SUMIFS(Table47[Rev. Based on PROB],Table47[Service],$B19,Table47[Projected 
Year],BT$1,Table47[Monthly revenue],BT$2),-3)/1000</f>
        <v>0</v>
      </c>
      <c r="BU19" s="165" t="e">
        <f>SUMPRODUCT(Table47[Probability]*Table47[Rev. Based on PROB]*(Table47[Service]=$B19)*(Table47[Projected 
Year]=BT$1)*(Table47[Monthly revenue]=BT$2))/MAX(1,SUMPRODUCT(Table47[Rev. Based on PROB]*(Table47[Service]=$B19)*(Table47[Projected 
Year]=BT$1)*(Table47[Monthly revenue]=BT$2)))</f>
        <v>#REF!</v>
      </c>
      <c r="BV19" s="166" t="e">
        <f>SUMPRODUCT(Table47[Rev. Based on PROB]*Table47[Expected CMR]*(Table47[Projected 
Year]=BT$1)*(Table47[Monthly revenue]=BT$2)*(Table47[Service]=$B19))/MAX(1,BT19*1000)</f>
        <v>#REF!</v>
      </c>
      <c r="BW19" s="95">
        <f>ROUND(SUMIFS(Table47[Rev. Based on PROB],Table47[Service],$B19,Table47[Projected 
Year],BW$1,Table47[Monthly revenue],BW$2),-3)/1000</f>
        <v>0</v>
      </c>
      <c r="BX19" s="165" t="e">
        <f>SUMPRODUCT(Table47[Probability]*Table47[Rev. Based on PROB]*(Table47[Service]=$B19)*(Table47[Projected 
Year]=BW$1)*(Table47[Monthly revenue]=BW$2))/MAX(1,SUMPRODUCT(Table47[Rev. Based on PROB]*(Table47[Service]=$B19)*(Table47[Projected 
Year]=BW$1)*(Table47[Monthly revenue]=BW$2)))</f>
        <v>#REF!</v>
      </c>
      <c r="BY19" s="166" t="e">
        <f>SUMPRODUCT(Table47[Rev. Based on PROB]*Table47[Expected CMR]*(Table47[Projected 
Year]=BW$1)*(Table47[Monthly revenue]=BW$2)*(Table47[Service]=$B19))/MAX(1,BW19*1000)</f>
        <v>#REF!</v>
      </c>
      <c r="BZ19" s="95">
        <f t="shared" si="4"/>
        <v>0</v>
      </c>
      <c r="CA19" s="95">
        <f t="shared" si="8"/>
        <v>0</v>
      </c>
      <c r="CB19" s="95">
        <f t="shared" si="9"/>
        <v>0</v>
      </c>
    </row>
    <row r="20" spans="1:80">
      <c r="A20" s="992" t="s">
        <v>500</v>
      </c>
      <c r="B20"/>
      <c r="C20" s="95">
        <f>ROUND(SUMIFS(Table4[Rev. Based on PROB],Table4[Service],$B20,Table4[Projected 
Year],C$1,Table4[Projected 
Month],C$2),-3)/1000</f>
        <v>0</v>
      </c>
      <c r="D20" s="165">
        <f>SUMPRODUCT(Table4[Probability]*Table4[Rev. Based on PROB]*(Table4[Service]=$B20)*(Table4[Projected 
Year]=C$1)*(Table4[Projected 
Month]=C$2))/MAX(1,SUMPRODUCT(Table4[Rev. Based on PROB]*(Table4[Service]=$B20)*(Table4[Projected 
Year]=C$1)*(Table4[Projected 
Month]=C$2)))</f>
        <v>0</v>
      </c>
      <c r="E20" s="166">
        <f>SUMPRODUCT(Table4[Rev. Based on PROB]*Table4[Expected CMR]*(Table4[Projected 
Year]=C$1)*(Table4[Projected 
Month]=C$2)*(Table4[Service]=$B20))/MAX(1,C20*1000)</f>
        <v>0</v>
      </c>
      <c r="F20" s="95">
        <f>ROUND(SUMIFS(Table4[Rev. Based on PROB],Table4[Service],$B20,Table4[Projected 
Year],F$1,Table4[Projected 
Month],F$2),-3)/1000</f>
        <v>0</v>
      </c>
      <c r="G20" s="165">
        <f>SUMPRODUCT(Table4[Probability]*Table4[Rev. Based on PROB]*(Table4[Service]=$B20)*(Table4[Projected 
Year]=F$1)*(Table4[Projected 
Month]=F$2))/MAX(1,SUMPRODUCT(Table4[Rev. Based on PROB]*(Table4[Service]=$B20)*(Table4[Projected 
Year]=F$1)*(Table4[Projected 
Month]=F$2)))</f>
        <v>0</v>
      </c>
      <c r="H20" s="166">
        <f>SUMPRODUCT(Table4[Rev. Based on PROB]*Table4[Expected CMR]*(Table4[Projected 
Year]=F$1)*(Table4[Projected 
Month]=F$2)*(Table4[Service]=$B20))/MAX(1,F20*1000)</f>
        <v>0</v>
      </c>
      <c r="I20" s="95">
        <f>ROUND(SUMIFS(Table4[Rev. Based on PROB],Table4[Service],$B20,Table4[Projected 
Year],I$1,Table4[Projected 
Month],I$2),-3)/1000</f>
        <v>0</v>
      </c>
      <c r="J20" s="165">
        <f>SUMPRODUCT(Table4[Probability]*Table4[Rev. Based on PROB]*(Table4[Service]=$B20)*(Table4[Projected 
Year]=I$1)*(Table4[Projected 
Month]=I$2))/MAX(1,SUMPRODUCT(Table4[Rev. Based on PROB]*(Table4[Service]=$B20)*(Table4[Projected 
Year]=I$1)*(Table4[Projected 
Month]=I$2)))</f>
        <v>0</v>
      </c>
      <c r="K20" s="166">
        <f>SUMPRODUCT(Table4[Rev. Based on PROB]*Table4[Expected CMR]*(Table4[Projected 
Year]=I$1)*(Table4[Projected 
Month]=I$2)*(Table4[Service]=$B20))/MAX(1,I20*1000)</f>
        <v>0</v>
      </c>
      <c r="L20" s="95">
        <f>ROUND(SUMIFS(Table4[Rev. Based on PROB],Table4[Service],$B20,Table4[Projected 
Year],L$1,Table4[Projected 
Month],L$2),-3)/1000</f>
        <v>0</v>
      </c>
      <c r="M20" s="165">
        <f>SUMPRODUCT(Table4[Probability]*Table4[Rev. Based on PROB]*(Table4[Service]=$B20)*(Table4[Projected 
Year]=L$1)*(Table4[Projected 
Month]=L$2))/MAX(1,SUMPRODUCT(Table4[Rev. Based on PROB]*(Table4[Service]=$B20)*(Table4[Projected 
Year]=L$1)*(Table4[Projected 
Month]=L$2)))</f>
        <v>0</v>
      </c>
      <c r="N20" s="166">
        <f>SUMPRODUCT(Table4[Rev. Based on PROB]*Table4[Expected CMR]*(Table4[Projected 
Year]=L$1)*(Table4[Projected 
Month]=L$2)*(Table4[Service]=$B20))/MAX(1,L20*1000)</f>
        <v>0</v>
      </c>
      <c r="O20" s="95">
        <f>ROUND(SUMIFS(Table4[Rev. Based on PROB],Table4[Service],$B20,Table4[Projected 
Year],O$1,Table4[Projected 
Month],O$2),-3)/1000</f>
        <v>0</v>
      </c>
      <c r="P20" s="165">
        <f>SUMPRODUCT(Table4[Probability]*Table4[Rev. Based on PROB]*(Table4[Service]=$B20)*(Table4[Projected 
Year]=O$1)*(Table4[Projected 
Month]=O$2))/MAX(1,SUMPRODUCT(Table4[Rev. Based on PROB]*(Table4[Service]=$B20)*(Table4[Projected 
Year]=O$1)*(Table4[Projected 
Month]=O$2)))</f>
        <v>0</v>
      </c>
      <c r="Q20" s="166">
        <f>SUMPRODUCT(Table4[Rev. Based on PROB]*Table4[Expected CMR]*(Table4[Projected 
Year]=O$1)*(Table4[Projected 
Month]=O$2)*(Table4[Service]=$B20))/MAX(1,O20*1000)</f>
        <v>0</v>
      </c>
      <c r="R20" s="95">
        <f>ROUND(SUMIFS(Table4[Rev. Based on PROB],Table4[Service],$B20,Table4[Projected 
Year],R$1,Table4[Projected 
Month],R$2),-3)/1000</f>
        <v>0</v>
      </c>
      <c r="S20" s="165">
        <f>SUMPRODUCT(Table4[Probability]*Table4[Rev. Based on PROB]*(Table4[Service]=$B20)*(Table4[Projected 
Year]=R$1)*(Table4[Projected 
Month]=R$2))/MAX(1,SUMPRODUCT(Table4[Rev. Based on PROB]*(Table4[Service]=$B20)*(Table4[Projected 
Year]=R$1)*(Table4[Projected 
Month]=R$2)))</f>
        <v>0</v>
      </c>
      <c r="T20" s="166">
        <f>SUMPRODUCT(Table4[Rev. Based on PROB]*Table4[Expected CMR]*(Table4[Projected 
Year]=R$1)*(Table4[Projected 
Month]=R$2)*(Table4[Service]=$B20))/MAX(1,R20*1000)</f>
        <v>0</v>
      </c>
      <c r="U20" s="95">
        <f>ROUND(SUMIFS(Table4[Rev. Based on PROB],Table4[Service],$B20,Table4[Projected 
Year],U$1,Table4[Projected 
Month],U$2),-3)/1000</f>
        <v>0</v>
      </c>
      <c r="V20" s="165">
        <f>SUMPRODUCT(Table4[Probability]*Table4[Rev. Based on PROB]*(Table4[Service]=$B20)*(Table4[Projected 
Year]=U$1)*(Table4[Projected 
Month]=U$2))/MAX(1,SUMPRODUCT(Table4[Rev. Based on PROB]*(Table4[Service]=$B20)*(Table4[Projected 
Year]=U$1)*(Table4[Projected 
Month]=U$2)))</f>
        <v>0</v>
      </c>
      <c r="W20" s="166">
        <f>SUMPRODUCT(Table4[Rev. Based on PROB]*Table4[Expected CMR]*(Table4[Projected 
Year]=U$1)*(Table4[Projected 
Month]=U$2)*(Table4[Service]=$B20))/MAX(1,U20*1000)</f>
        <v>0</v>
      </c>
      <c r="X20" s="95">
        <f>ROUND(SUMIFS(Table4[Rev. Based on PROB],Table4[Service],$B20,Table4[Projected 
Year],X$1,Table4[Projected 
Month],X$2),-3)/1000</f>
        <v>0</v>
      </c>
      <c r="Y20" s="165">
        <f>SUMPRODUCT(Table4[Probability]*Table4[Rev. Based on PROB]*(Table4[Service]=$B20)*(Table4[Projected 
Year]=X$1)*(Table4[Projected 
Month]=X$2))/MAX(1,SUMPRODUCT(Table4[Rev. Based on PROB]*(Table4[Service]=$B20)*(Table4[Projected 
Year]=X$1)*(Table4[Projected 
Month]=X$2)))</f>
        <v>0</v>
      </c>
      <c r="Z20" s="166">
        <f>SUMPRODUCT(Table4[Rev. Based on PROB]*Table4[Expected CMR]*(Table4[Projected 
Year]=X$1)*(Table4[Projected 
Month]=X$2)*(Table4[Service]=$B20))/MAX(1,X20*1000)</f>
        <v>0</v>
      </c>
      <c r="AA20" s="95">
        <f>ROUND(SUMIFS(Table4[Rev. Based on PROB],Table4[Service],$B20,Table4[Projected 
Year],AA$1,Table4[Projected 
Month],AA$2),-3)/1000</f>
        <v>0</v>
      </c>
      <c r="AB20" s="165">
        <f>SUMPRODUCT(Table4[Probability]*Table4[Rev. Based on PROB]*(Table4[Service]=$B20)*(Table4[Projected 
Year]=AA$1)*(Table4[Projected 
Month]=AA$2))/MAX(1,SUMPRODUCT(Table4[Rev. Based on PROB]*(Table4[Service]=$B20)*(Table4[Projected 
Year]=AA$1)*(Table4[Projected 
Month]=AA$2)))</f>
        <v>0</v>
      </c>
      <c r="AC20" s="166">
        <f>SUMPRODUCT(Table4[Rev. Based on PROB]*Table4[Expected CMR]*(Table4[Projected 
Year]=AA$1)*(Table4[Projected 
Month]=AA$2)*(Table4[Service]=$B20))/MAX(1,AA20*1000)</f>
        <v>0</v>
      </c>
      <c r="AD20" s="95">
        <f>ROUND(SUMIFS(Table4[Rev. Based on PROB],Table4[Service],$B20,Table4[Projected 
Year],AD$1,Table4[Projected 
Month],AD$2),-3)/1000</f>
        <v>0</v>
      </c>
      <c r="AE20" s="165">
        <f>SUMPRODUCT(Table4[Probability]*Table4[Rev. Based on PROB]*(Table4[Service]=$B20)*(Table4[Projected 
Year]=AD$1)*(Table4[Projected 
Month]=AD$2))/MAX(1,SUMPRODUCT(Table4[Rev. Based on PROB]*(Table4[Service]=$B20)*(Table4[Projected 
Year]=AD$1)*(Table4[Projected 
Month]=AD$2)))</f>
        <v>0</v>
      </c>
      <c r="AF20" s="166">
        <f>SUMPRODUCT(Table4[Rev. Based on PROB]*Table4[Expected CMR]*(Table4[Projected 
Year]=AD$1)*(Table4[Projected 
Month]=AD$2)*(Table4[Service]=$B20))/MAX(1,AD20*1000)</f>
        <v>0</v>
      </c>
      <c r="AG20" s="95">
        <f>ROUND(SUMIFS(Table4[Rev. Based on PROB],Table4[Service],$B20,Table4[Projected 
Year],AG$1,Table4[Projected 
Month],AG$2),-3)/1000</f>
        <v>0</v>
      </c>
      <c r="AH20" s="165">
        <f>SUMPRODUCT(Table4[Probability]*Table4[Rev. Based on PROB]*(Table4[Service]=$B20)*(Table4[Projected 
Year]=AG$1)*(Table4[Projected 
Month]=AG$2))/MAX(1,SUMPRODUCT(Table4[Rev. Based on PROB]*(Table4[Service]=$B20)*(Table4[Projected 
Year]=AG$1)*(Table4[Projected 
Month]=AG$2)))</f>
        <v>0</v>
      </c>
      <c r="AI20" s="166">
        <f>SUMPRODUCT(Table4[Rev. Based on PROB]*Table4[Expected CMR]*(Table4[Projected 
Year]=AG$1)*(Table4[Projected 
Month]=AG$2)*(Table4[Service]=$B20))/MAX(1,AG20*1000)</f>
        <v>0</v>
      </c>
      <c r="AJ20" s="95">
        <f>ROUND(SUMIFS(Table4[Rev. Based on PROB],Table4[Service],$B20,Table4[Projected 
Year],AJ$1,Table4[Projected 
Month],AJ$2),-3)/1000</f>
        <v>0</v>
      </c>
      <c r="AK20" s="165">
        <f>SUMPRODUCT(Table4[Probability]*Table4[Rev. Based on PROB]*(Table4[Service]=$B20)*(Table4[Projected 
Year]=AJ$1)*(Table4[Projected 
Month]=AJ$2))/MAX(1,SUMPRODUCT(Table4[Rev. Based on PROB]*(Table4[Service]=$B20)*(Table4[Projected 
Year]=AJ$1)*(Table4[Projected 
Month]=AJ$2)))</f>
        <v>0</v>
      </c>
      <c r="AL20" s="166">
        <f>SUMPRODUCT(Table4[Rev. Based on PROB]*Table4[Expected CMR]*(Table4[Projected 
Year]=AJ$1)*(Table4[Projected 
Month]=AJ$2)*(Table4[Service]=$B20))/MAX(1,AJ20*1000)</f>
        <v>0</v>
      </c>
      <c r="AM20" s="30">
        <f t="shared" si="5"/>
        <v>0</v>
      </c>
      <c r="AN20" s="52">
        <f t="shared" si="6"/>
        <v>0</v>
      </c>
      <c r="AO20" s="53">
        <f t="shared" si="7"/>
        <v>0</v>
      </c>
      <c r="AP20" s="95">
        <f>ROUND(SUMIFS(Table47[Rev. Based on PROB],Table47[Service],$B20,Table47[Projected 
Year],AP$1,Table47[Monthly revenue],AP$2),-3)/1000</f>
        <v>0</v>
      </c>
      <c r="AQ20" s="165" t="e">
        <f>SUMPRODUCT(Table47[Probability]*Table47[Rev. Based on PROB]*(Table47[Service]=$B20)*(Table47[Projected 
Year]=AP$1)*(Table47[Monthly revenue]=AP$2))/MAX(1,SUMPRODUCT(Table47[Rev. Based on PROB]*(Table47[Service]=$B20)*(Table47[Projected 
Year]=AP$1)*(Table47[Monthly revenue]=AP$2)))</f>
        <v>#REF!</v>
      </c>
      <c r="AR20" s="166" t="e">
        <f>SUMPRODUCT(Table47[Rev. Based on PROB]*Table47[Expected CMR]*(Table47[Projected 
Year]=AP$1)*(Table47[Monthly revenue]=AP$2)*(Table47[Service]=$B20))/MAX(1,AP20*1000)</f>
        <v>#REF!</v>
      </c>
      <c r="AS20" s="98">
        <f>ROUND(SUMIFS(Table47[Rev. Based on PROB],Table47[Service],$B20,Table47[Projected 
Year],AS$1,Table47[Monthly revenue],AS$2),-3)/1000</f>
        <v>0</v>
      </c>
      <c r="AT20" s="165" t="e">
        <f>SUMPRODUCT(Table47[Probability]*Table47[Rev. Based on PROB]*(Table47[Service]=$B20)*(Table47[Projected 
Year]=AS$1)*(Table47[Monthly revenue]=AS$2))/MAX(1,SUMPRODUCT(Table47[Rev. Based on PROB]*(Table47[Service]=$B20)*(Table47[Projected 
Year]=AS$1)*(Table47[Monthly revenue]=AS$2)))</f>
        <v>#REF!</v>
      </c>
      <c r="AU20" s="166" t="e">
        <f>SUMPRODUCT(Table47[Rev. Based on PROB]*Table47[Expected CMR]*(Table47[Projected 
Year]=AS$1)*(Table47[Monthly revenue]=AS$2)*(Table47[Service]=$B20))/MAX(1,AS20*1000)</f>
        <v>#REF!</v>
      </c>
      <c r="AV20" s="95">
        <f>ROUND(SUMIFS(Table47[Rev. Based on PROB],Table47[Service],$B20,Table47[Projected 
Year],AV$1,Table47[Monthly revenue],AV$2),-3)/1000</f>
        <v>0</v>
      </c>
      <c r="AW20" s="165" t="e">
        <f>SUMPRODUCT(Table47[Probability]*Table47[Rev. Based on PROB]*(Table47[Service]=$B20)*(Table47[Projected 
Year]=AV$1)*(Table47[Monthly revenue]=AV$2))/MAX(1,SUMPRODUCT(Table47[Rev. Based on PROB]*(Table47[Service]=$B20)*(Table47[Projected 
Year]=AV$1)*(Table47[Monthly revenue]=AV$2)))</f>
        <v>#REF!</v>
      </c>
      <c r="AX20" s="166" t="e">
        <f>SUMPRODUCT(Table47[Rev. Based on PROB]*Table47[Expected CMR]*(Table47[Projected 
Year]=AV$1)*(Table47[Monthly revenue]=AV$2)*(Table47[Service]=$B20))/MAX(1,AV20*1000)</f>
        <v>#REF!</v>
      </c>
      <c r="AY20" s="95">
        <f>ROUND(SUMIFS(Table47[Rev. Based on PROB],Table47[Service],$B20,Table47[Projected 
Year],AY$1,Table47[Monthly revenue],AY$2),-3)/1000</f>
        <v>0</v>
      </c>
      <c r="AZ20" s="165" t="e">
        <f>SUMPRODUCT(Table47[Probability]*Table47[Rev. Based on PROB]*(Table47[Service]=$B20)*(Table47[Projected 
Year]=AY$1)*(Table47[Monthly revenue]=AY$2))/MAX(1,SUMPRODUCT(Table47[Rev. Based on PROB]*(Table47[Service]=$B20)*(Table47[Projected 
Year]=AY$1)*(Table47[Monthly revenue]=AY$2)))</f>
        <v>#REF!</v>
      </c>
      <c r="BA20" s="166" t="e">
        <f>SUMPRODUCT(Table47[Rev. Based on PROB]*Table47[Expected CMR]*(Table47[Projected 
Year]=AY$1)*(Table47[Monthly revenue]=AY$2)*(Table47[Service]=$B20))/MAX(1,AY20*1000)</f>
        <v>#REF!</v>
      </c>
      <c r="BB20" s="95">
        <f>ROUND(SUMIFS(Table47[Rev. Based on PROB],Table47[Service],$B20,Table47[Projected 
Year],BB$1,Table47[Monthly revenue],BB$2),-3)/1000</f>
        <v>0</v>
      </c>
      <c r="BC20" s="165" t="e">
        <f>SUMPRODUCT(Table47[Probability]*Table47[Rev. Based on PROB]*(Table47[Service]=$B20)*(Table47[Projected 
Year]=BB$1)*(Table47[Monthly revenue]=BB$2))/MAX(1,SUMPRODUCT(Table47[Rev. Based on PROB]*(Table47[Service]=$B20)*(Table47[Projected 
Year]=BB$1)*(Table47[Monthly revenue]=BB$2)))</f>
        <v>#REF!</v>
      </c>
      <c r="BD20" s="166" t="e">
        <f>SUMPRODUCT(Table47[Rev. Based on PROB]*Table47[Expected CMR]*(Table47[Projected 
Year]=BB$1)*(Table47[Monthly revenue]=BB$2)*(Table47[Service]=$B20))/MAX(1,BB20*1000)</f>
        <v>#REF!</v>
      </c>
      <c r="BE20" s="95">
        <f>ROUND(SUMIFS(Table47[Rev. Based on PROB],Table47[Service],$B20,Table47[Projected 
Year],BE$1,Table47[Monthly revenue],BE$2),-3)/1000</f>
        <v>0</v>
      </c>
      <c r="BF20" s="165" t="e">
        <f>SUMPRODUCT(Table47[Probability]*Table47[Rev. Based on PROB]*(Table47[Service]=$B20)*(Table47[Projected 
Year]=BE$1)*(Table47[Monthly revenue]=BE$2))/MAX(1,SUMPRODUCT(Table47[Rev. Based on PROB]*(Table47[Service]=$B20)*(Table47[Projected 
Year]=BE$1)*(Table47[Monthly revenue]=BE$2)))</f>
        <v>#REF!</v>
      </c>
      <c r="BG20" s="166" t="e">
        <f>SUMPRODUCT(Table47[Rev. Based on PROB]*Table47[Expected CMR]*(Table47[Projected 
Year]=BE$1)*(Table47[Monthly revenue]=BE$2)*(Table47[Service]=$B20))/MAX(1,BE20*1000)</f>
        <v>#REF!</v>
      </c>
      <c r="BH20" s="95">
        <f>ROUND(SUMIFS(Table47[Rev. Based on PROB],Table47[Service],$B20,Table47[Projected 
Year],BH$1,Table47[Monthly revenue],BH$2),-3)/1000</f>
        <v>0</v>
      </c>
      <c r="BI20" s="165" t="e">
        <f>SUMPRODUCT(Table47[Probability]*Table47[Rev. Based on PROB]*(Table47[Service]=$B20)*(Table47[Projected 
Year]=BH$1)*(Table47[Monthly revenue]=BH$2))/MAX(1,SUMPRODUCT(Table47[Rev. Based on PROB]*(Table47[Service]=$B20)*(Table47[Projected 
Year]=BH$1)*(Table47[Monthly revenue]=BH$2)))</f>
        <v>#REF!</v>
      </c>
      <c r="BJ20" s="166" t="e">
        <f>SUMPRODUCT(Table47[Rev. Based on PROB]*Table47[Expected CMR]*(Table47[Projected 
Year]=BH$1)*(Table47[Monthly revenue]=BH$2)*(Table47[Service]=$B20))/MAX(1,BH20*1000)</f>
        <v>#REF!</v>
      </c>
      <c r="BK20" s="95">
        <f>ROUND(SUMIFS(Table47[Rev. Based on PROB],Table47[Service],$B20,Table47[Projected 
Year],BK$1,Table47[Monthly revenue],BK$2),-3)/1000</f>
        <v>0</v>
      </c>
      <c r="BL20" s="165" t="e">
        <f>SUMPRODUCT(Table47[Probability]*Table47[Rev. Based on PROB]*(Table47[Service]=$B20)*(Table47[Projected 
Year]=BK$1)*(Table47[Monthly revenue]=BK$2))/MAX(1,SUMPRODUCT(Table47[Rev. Based on PROB]*(Table47[Service]=$B20)*(Table47[Projected 
Year]=BK$1)*(Table47[Monthly revenue]=BK$2)))</f>
        <v>#REF!</v>
      </c>
      <c r="BM20" s="166" t="e">
        <f>SUMPRODUCT(Table47[Rev. Based on PROB]*Table47[Expected CMR]*(Table47[Projected 
Year]=BK$1)*(Table47[Monthly revenue]=BK$2)*(Table47[Service]=$B20))/MAX(1,BK20*1000)</f>
        <v>#REF!</v>
      </c>
      <c r="BN20" s="95">
        <f>ROUND(SUMIFS(Table47[Rev. Based on PROB],Table47[Service],$B20,Table47[Projected 
Year],BN$1,Table47[Monthly revenue],BN$2),-3)/1000</f>
        <v>0</v>
      </c>
      <c r="BO20" s="165" t="e">
        <f>SUMPRODUCT(Table47[Probability]*Table47[Rev. Based on PROB]*(Table47[Service]=$B20)*(Table47[Projected 
Year]=BN$1)*(Table47[Monthly revenue]=BN$2))/MAX(1,SUMPRODUCT(Table47[Rev. Based on PROB]*(Table47[Service]=$B20)*(Table47[Projected 
Year]=BN$1)*(Table47[Monthly revenue]=BN$2)))</f>
        <v>#REF!</v>
      </c>
      <c r="BP20" s="166" t="e">
        <f>SUMPRODUCT(Table47[Rev. Based on PROB]*Table47[Expected CMR]*(Table47[Projected 
Year]=BN$1)*(Table47[Monthly revenue]=BN$2)*(Table47[Service]=$B20))/MAX(1,BN20*1000)</f>
        <v>#REF!</v>
      </c>
      <c r="BQ20" s="95">
        <f>ROUND(SUMIFS(Table47[Rev. Based on PROB],Table47[Service],$B20,Table47[Projected 
Year],BQ$1,Table47[Monthly revenue],BQ$2),-3)/1000</f>
        <v>0</v>
      </c>
      <c r="BR20" s="165" t="e">
        <f>SUMPRODUCT(Table47[Probability]*Table47[Rev. Based on PROB]*(Table47[Service]=$B20)*(Table47[Projected 
Year]=BQ$1)*(Table47[Monthly revenue]=BQ$2))/MAX(1,SUMPRODUCT(Table47[Rev. Based on PROB]*(Table47[Service]=$B20)*(Table47[Projected 
Year]=BQ$1)*(Table47[Monthly revenue]=BQ$2)))</f>
        <v>#REF!</v>
      </c>
      <c r="BS20" s="166" t="e">
        <f>SUMPRODUCT(Table47[Rev. Based on PROB]*Table47[Expected CMR]*(Table47[Projected 
Year]=BQ$1)*(Table47[Monthly revenue]=BQ$2)*(Table47[Service]=$B20))/MAX(1,BQ20*1000)</f>
        <v>#REF!</v>
      </c>
      <c r="BT20" s="95">
        <f>ROUND(SUMIFS(Table47[Rev. Based on PROB],Table47[Service],$B20,Table47[Projected 
Year],BT$1,Table47[Monthly revenue],BT$2),-3)/1000</f>
        <v>0</v>
      </c>
      <c r="BU20" s="165" t="e">
        <f>SUMPRODUCT(Table47[Probability]*Table47[Rev. Based on PROB]*(Table47[Service]=$B20)*(Table47[Projected 
Year]=BT$1)*(Table47[Monthly revenue]=BT$2))/MAX(1,SUMPRODUCT(Table47[Rev. Based on PROB]*(Table47[Service]=$B20)*(Table47[Projected 
Year]=BT$1)*(Table47[Monthly revenue]=BT$2)))</f>
        <v>#REF!</v>
      </c>
      <c r="BV20" s="166" t="e">
        <f>SUMPRODUCT(Table47[Rev. Based on PROB]*Table47[Expected CMR]*(Table47[Projected 
Year]=BT$1)*(Table47[Monthly revenue]=BT$2)*(Table47[Service]=$B20))/MAX(1,BT20*1000)</f>
        <v>#REF!</v>
      </c>
      <c r="BW20" s="95">
        <f>ROUND(SUMIFS(Table47[Rev. Based on PROB],Table47[Service],$B20,Table47[Projected 
Year],BW$1,Table47[Monthly revenue],BW$2),-3)/1000</f>
        <v>0</v>
      </c>
      <c r="BX20" s="165" t="e">
        <f>SUMPRODUCT(Table47[Probability]*Table47[Rev. Based on PROB]*(Table47[Service]=$B20)*(Table47[Projected 
Year]=BW$1)*(Table47[Monthly revenue]=BW$2))/MAX(1,SUMPRODUCT(Table47[Rev. Based on PROB]*(Table47[Service]=$B20)*(Table47[Projected 
Year]=BW$1)*(Table47[Monthly revenue]=BW$2)))</f>
        <v>#REF!</v>
      </c>
      <c r="BY20" s="166" t="e">
        <f>SUMPRODUCT(Table47[Rev. Based on PROB]*Table47[Expected CMR]*(Table47[Projected 
Year]=BW$1)*(Table47[Monthly revenue]=BW$2)*(Table47[Service]=$B20))/MAX(1,BW20*1000)</f>
        <v>#REF!</v>
      </c>
      <c r="BZ20" s="95">
        <f t="shared" si="4"/>
        <v>0</v>
      </c>
      <c r="CA20" s="95">
        <f t="shared" si="8"/>
        <v>0</v>
      </c>
      <c r="CB20" s="95">
        <f t="shared" si="9"/>
        <v>0</v>
      </c>
    </row>
    <row r="21" spans="1:80">
      <c r="A21" s="992" t="s">
        <v>330</v>
      </c>
      <c r="B21" s="980"/>
      <c r="C21" s="95">
        <f>ROUND(SUMIFS(Table4[Rev. Based on PROB],Table4[Service],$B21,Table4[Projected 
Year],C$1,Table4[Projected 
Month],C$2),-3)/1000</f>
        <v>0</v>
      </c>
      <c r="D21" s="165">
        <f>SUMPRODUCT(Table4[Probability]*Table4[Rev. Based on PROB]*(Table4[Service]=$B21)*(Table4[Projected 
Year]=C$1)*(Table4[Projected 
Month]=C$2))/MAX(1,SUMPRODUCT(Table4[Rev. Based on PROB]*(Table4[Service]=$B21)*(Table4[Projected 
Year]=C$1)*(Table4[Projected 
Month]=C$2)))</f>
        <v>0</v>
      </c>
      <c r="E21" s="166">
        <f>SUMPRODUCT(Table4[Rev. Based on PROB]*Table4[Expected CMR]*(Table4[Projected 
Year]=C$1)*(Table4[Projected 
Month]=C$2)*(Table4[Service]=$B21))/MAX(1,C21*1000)</f>
        <v>0</v>
      </c>
      <c r="F21" s="95">
        <f>ROUND(SUMIFS(Table4[Rev. Based on PROB],Table4[Service],$B21,Table4[Projected 
Year],F$1,Table4[Projected 
Month],F$2),-3)/1000</f>
        <v>0</v>
      </c>
      <c r="G21" s="165">
        <f>SUMPRODUCT(Table4[Probability]*Table4[Rev. Based on PROB]*(Table4[Service]=$B21)*(Table4[Projected 
Year]=F$1)*(Table4[Projected 
Month]=F$2))/MAX(1,SUMPRODUCT(Table4[Rev. Based on PROB]*(Table4[Service]=$B21)*(Table4[Projected 
Year]=F$1)*(Table4[Projected 
Month]=F$2)))</f>
        <v>0</v>
      </c>
      <c r="H21" s="166">
        <f>SUMPRODUCT(Table4[Rev. Based on PROB]*Table4[Expected CMR]*(Table4[Projected 
Year]=F$1)*(Table4[Projected 
Month]=F$2)*(Table4[Service]=$B21))/MAX(1,F21*1000)</f>
        <v>0</v>
      </c>
      <c r="I21" s="95">
        <f>ROUND(SUMIFS(Table4[Rev. Based on PROB],Table4[Service],$B21,Table4[Projected 
Year],I$1,Table4[Projected 
Month],I$2),-3)/1000</f>
        <v>0</v>
      </c>
      <c r="J21" s="165">
        <f>SUMPRODUCT(Table4[Probability]*Table4[Rev. Based on PROB]*(Table4[Service]=$B21)*(Table4[Projected 
Year]=I$1)*(Table4[Projected 
Month]=I$2))/MAX(1,SUMPRODUCT(Table4[Rev. Based on PROB]*(Table4[Service]=$B21)*(Table4[Projected 
Year]=I$1)*(Table4[Projected 
Month]=I$2)))</f>
        <v>0</v>
      </c>
      <c r="K21" s="166">
        <f>SUMPRODUCT(Table4[Rev. Based on PROB]*Table4[Expected CMR]*(Table4[Projected 
Year]=I$1)*(Table4[Projected 
Month]=I$2)*(Table4[Service]=$B21))/MAX(1,I21*1000)</f>
        <v>0</v>
      </c>
      <c r="L21" s="95">
        <f>ROUND(SUMIFS(Table4[Rev. Based on PROB],Table4[Service],$B21,Table4[Projected 
Year],L$1,Table4[Projected 
Month],L$2),-3)/1000</f>
        <v>0</v>
      </c>
      <c r="M21" s="165">
        <f>SUMPRODUCT(Table4[Probability]*Table4[Rev. Based on PROB]*(Table4[Service]=$B21)*(Table4[Projected 
Year]=L$1)*(Table4[Projected 
Month]=L$2))/MAX(1,SUMPRODUCT(Table4[Rev. Based on PROB]*(Table4[Service]=$B21)*(Table4[Projected 
Year]=L$1)*(Table4[Projected 
Month]=L$2)))</f>
        <v>0</v>
      </c>
      <c r="N21" s="166">
        <f>SUMPRODUCT(Table4[Rev. Based on PROB]*Table4[Expected CMR]*(Table4[Projected 
Year]=L$1)*(Table4[Projected 
Month]=L$2)*(Table4[Service]=$B21))/MAX(1,L21*1000)</f>
        <v>0</v>
      </c>
      <c r="O21" s="95">
        <f>ROUND(SUMIFS(Table4[Rev. Based on PROB],Table4[Service],$B21,Table4[Projected 
Year],O$1,Table4[Projected 
Month],O$2),-3)/1000</f>
        <v>0</v>
      </c>
      <c r="P21" s="165">
        <f>SUMPRODUCT(Table4[Probability]*Table4[Rev. Based on PROB]*(Table4[Service]=$B21)*(Table4[Projected 
Year]=O$1)*(Table4[Projected 
Month]=O$2))/MAX(1,SUMPRODUCT(Table4[Rev. Based on PROB]*(Table4[Service]=$B21)*(Table4[Projected 
Year]=O$1)*(Table4[Projected 
Month]=O$2)))</f>
        <v>0</v>
      </c>
      <c r="Q21" s="166">
        <f>SUMPRODUCT(Table4[Rev. Based on PROB]*Table4[Expected CMR]*(Table4[Projected 
Year]=O$1)*(Table4[Projected 
Month]=O$2)*(Table4[Service]=$B21))/MAX(1,O21*1000)</f>
        <v>0</v>
      </c>
      <c r="R21" s="95">
        <f>ROUND(SUMIFS(Table4[Rev. Based on PROB],Table4[Service],$B21,Table4[Projected 
Year],R$1,Table4[Projected 
Month],R$2),-3)/1000</f>
        <v>0</v>
      </c>
      <c r="S21" s="165">
        <f>SUMPRODUCT(Table4[Probability]*Table4[Rev. Based on PROB]*(Table4[Service]=$B21)*(Table4[Projected 
Year]=R$1)*(Table4[Projected 
Month]=R$2))/MAX(1,SUMPRODUCT(Table4[Rev. Based on PROB]*(Table4[Service]=$B21)*(Table4[Projected 
Year]=R$1)*(Table4[Projected 
Month]=R$2)))</f>
        <v>0</v>
      </c>
      <c r="T21" s="166">
        <f>SUMPRODUCT(Table4[Rev. Based on PROB]*Table4[Expected CMR]*(Table4[Projected 
Year]=R$1)*(Table4[Projected 
Month]=R$2)*(Table4[Service]=$B21))/MAX(1,R21*1000)</f>
        <v>0</v>
      </c>
      <c r="U21" s="95">
        <f>ROUND(SUMIFS(Table4[Rev. Based on PROB],Table4[Service],$B21,Table4[Projected 
Year],U$1,Table4[Projected 
Month],U$2),-3)/1000</f>
        <v>0</v>
      </c>
      <c r="V21" s="165">
        <f>SUMPRODUCT(Table4[Probability]*Table4[Rev. Based on PROB]*(Table4[Service]=$B21)*(Table4[Projected 
Year]=U$1)*(Table4[Projected 
Month]=U$2))/MAX(1,SUMPRODUCT(Table4[Rev. Based on PROB]*(Table4[Service]=$B21)*(Table4[Projected 
Year]=U$1)*(Table4[Projected 
Month]=U$2)))</f>
        <v>0</v>
      </c>
      <c r="W21" s="166">
        <f>SUMPRODUCT(Table4[Rev. Based on PROB]*Table4[Expected CMR]*(Table4[Projected 
Year]=U$1)*(Table4[Projected 
Month]=U$2)*(Table4[Service]=$B21))/MAX(1,U21*1000)</f>
        <v>0</v>
      </c>
      <c r="X21" s="95">
        <f>ROUND(SUMIFS(Table4[Rev. Based on PROB],Table4[Service],$B21,Table4[Projected 
Year],X$1,Table4[Projected 
Month],X$2),-3)/1000</f>
        <v>0</v>
      </c>
      <c r="Y21" s="165">
        <f>SUMPRODUCT(Table4[Probability]*Table4[Rev. Based on PROB]*(Table4[Service]=$B21)*(Table4[Projected 
Year]=X$1)*(Table4[Projected 
Month]=X$2))/MAX(1,SUMPRODUCT(Table4[Rev. Based on PROB]*(Table4[Service]=$B21)*(Table4[Projected 
Year]=X$1)*(Table4[Projected 
Month]=X$2)))</f>
        <v>0</v>
      </c>
      <c r="Z21" s="166">
        <f>SUMPRODUCT(Table4[Rev. Based on PROB]*Table4[Expected CMR]*(Table4[Projected 
Year]=X$1)*(Table4[Projected 
Month]=X$2)*(Table4[Service]=$B21))/MAX(1,X21*1000)</f>
        <v>0</v>
      </c>
      <c r="AA21" s="95">
        <f>ROUND(SUMIFS(Table4[Rev. Based on PROB],Table4[Service],$B21,Table4[Projected 
Year],AA$1,Table4[Projected 
Month],AA$2),-3)/1000</f>
        <v>0</v>
      </c>
      <c r="AB21" s="165">
        <f>SUMPRODUCT(Table4[Probability]*Table4[Rev. Based on PROB]*(Table4[Service]=$B21)*(Table4[Projected 
Year]=AA$1)*(Table4[Projected 
Month]=AA$2))/MAX(1,SUMPRODUCT(Table4[Rev. Based on PROB]*(Table4[Service]=$B21)*(Table4[Projected 
Year]=AA$1)*(Table4[Projected 
Month]=AA$2)))</f>
        <v>0</v>
      </c>
      <c r="AC21" s="166">
        <f>SUMPRODUCT(Table4[Rev. Based on PROB]*Table4[Expected CMR]*(Table4[Projected 
Year]=AA$1)*(Table4[Projected 
Month]=AA$2)*(Table4[Service]=$B21))/MAX(1,AA21*1000)</f>
        <v>0</v>
      </c>
      <c r="AD21" s="95">
        <f>ROUND(SUMIFS(Table4[Rev. Based on PROB],Table4[Service],$B21,Table4[Projected 
Year],AD$1,Table4[Projected 
Month],AD$2),-3)/1000</f>
        <v>0</v>
      </c>
      <c r="AE21" s="165">
        <f>SUMPRODUCT(Table4[Probability]*Table4[Rev. Based on PROB]*(Table4[Service]=$B21)*(Table4[Projected 
Year]=AD$1)*(Table4[Projected 
Month]=AD$2))/MAX(1,SUMPRODUCT(Table4[Rev. Based on PROB]*(Table4[Service]=$B21)*(Table4[Projected 
Year]=AD$1)*(Table4[Projected 
Month]=AD$2)))</f>
        <v>0</v>
      </c>
      <c r="AF21" s="166">
        <f>SUMPRODUCT(Table4[Rev. Based on PROB]*Table4[Expected CMR]*(Table4[Projected 
Year]=AD$1)*(Table4[Projected 
Month]=AD$2)*(Table4[Service]=$B21))/MAX(1,AD21*1000)</f>
        <v>0</v>
      </c>
      <c r="AG21" s="95">
        <f>ROUND(SUMIFS(Table4[Rev. Based on PROB],Table4[Service],$B21,Table4[Projected 
Year],AG$1,Table4[Projected 
Month],AG$2),-3)/1000</f>
        <v>0</v>
      </c>
      <c r="AH21" s="165">
        <f>SUMPRODUCT(Table4[Probability]*Table4[Rev. Based on PROB]*(Table4[Service]=$B21)*(Table4[Projected 
Year]=AG$1)*(Table4[Projected 
Month]=AG$2))/MAX(1,SUMPRODUCT(Table4[Rev. Based on PROB]*(Table4[Service]=$B21)*(Table4[Projected 
Year]=AG$1)*(Table4[Projected 
Month]=AG$2)))</f>
        <v>0</v>
      </c>
      <c r="AI21" s="166">
        <f>SUMPRODUCT(Table4[Rev. Based on PROB]*Table4[Expected CMR]*(Table4[Projected 
Year]=AG$1)*(Table4[Projected 
Month]=AG$2)*(Table4[Service]=$B21))/MAX(1,AG21*1000)</f>
        <v>0</v>
      </c>
      <c r="AJ21" s="95">
        <f>ROUND(SUMIFS(Table4[Rev. Based on PROB],Table4[Service],$B21,Table4[Projected 
Year],AJ$1,Table4[Projected 
Month],AJ$2),-3)/1000</f>
        <v>0</v>
      </c>
      <c r="AK21" s="165">
        <f>SUMPRODUCT(Table4[Probability]*Table4[Rev. Based on PROB]*(Table4[Service]=$B21)*(Table4[Projected 
Year]=AJ$1)*(Table4[Projected 
Month]=AJ$2))/MAX(1,SUMPRODUCT(Table4[Rev. Based on PROB]*(Table4[Service]=$B21)*(Table4[Projected 
Year]=AJ$1)*(Table4[Projected 
Month]=AJ$2)))</f>
        <v>0</v>
      </c>
      <c r="AL21" s="166">
        <f>SUMPRODUCT(Table4[Rev. Based on PROB]*Table4[Expected CMR]*(Table4[Projected 
Year]=AJ$1)*(Table4[Projected 
Month]=AJ$2)*(Table4[Service]=$B21))/MAX(1,AJ21*1000)</f>
        <v>0</v>
      </c>
      <c r="AM21" s="30">
        <f t="shared" si="5"/>
        <v>0</v>
      </c>
      <c r="AN21" s="52">
        <f t="shared" si="6"/>
        <v>0</v>
      </c>
      <c r="AO21" s="53">
        <f t="shared" si="7"/>
        <v>0</v>
      </c>
      <c r="AP21" s="95">
        <f>ROUND(SUMIFS(Table47[Rev. Based on PROB],Table47[Service],$B21,Table47[Projected 
Year],AP$1,Table47[Monthly revenue],AP$2),-3)/1000</f>
        <v>0</v>
      </c>
      <c r="AQ21" s="165" t="e">
        <f>SUMPRODUCT(Table47[Probability]*Table47[Rev. Based on PROB]*(Table47[Service]=$B21)*(Table47[Projected 
Year]=AP$1)*(Table47[Monthly revenue]=AP$2))/MAX(1,SUMPRODUCT(Table47[Rev. Based on PROB]*(Table47[Service]=$B21)*(Table47[Projected 
Year]=AP$1)*(Table47[Monthly revenue]=AP$2)))</f>
        <v>#REF!</v>
      </c>
      <c r="AR21" s="166" t="e">
        <f>SUMPRODUCT(Table47[Rev. Based on PROB]*Table47[Expected CMR]*(Table47[Projected 
Year]=AP$1)*(Table47[Monthly revenue]=AP$2)*(Table47[Service]=$B21))/MAX(1,AP21*1000)</f>
        <v>#REF!</v>
      </c>
      <c r="AS21" s="98">
        <f>ROUND(SUMIFS(Table47[Rev. Based on PROB],Table47[Service],$B21,Table47[Projected 
Year],AS$1,Table47[Monthly revenue],AS$2),-3)/1000</f>
        <v>0</v>
      </c>
      <c r="AT21" s="165" t="e">
        <f>SUMPRODUCT(Table47[Probability]*Table47[Rev. Based on PROB]*(Table47[Service]=$B21)*(Table47[Projected 
Year]=AS$1)*(Table47[Monthly revenue]=AS$2))/MAX(1,SUMPRODUCT(Table47[Rev. Based on PROB]*(Table47[Service]=$B21)*(Table47[Projected 
Year]=AS$1)*(Table47[Monthly revenue]=AS$2)))</f>
        <v>#REF!</v>
      </c>
      <c r="AU21" s="166" t="e">
        <f>SUMPRODUCT(Table47[Rev. Based on PROB]*Table47[Expected CMR]*(Table47[Projected 
Year]=AS$1)*(Table47[Monthly revenue]=AS$2)*(Table47[Service]=$B21))/MAX(1,AS21*1000)</f>
        <v>#REF!</v>
      </c>
      <c r="AV21" s="95">
        <f>ROUND(SUMIFS(Table47[Rev. Based on PROB],Table47[Service],$B21,Table47[Projected 
Year],AV$1,Table47[Monthly revenue],AV$2),-3)/1000</f>
        <v>0</v>
      </c>
      <c r="AW21" s="165" t="e">
        <f>SUMPRODUCT(Table47[Probability]*Table47[Rev. Based on PROB]*(Table47[Service]=$B21)*(Table47[Projected 
Year]=AV$1)*(Table47[Monthly revenue]=AV$2))/MAX(1,SUMPRODUCT(Table47[Rev. Based on PROB]*(Table47[Service]=$B21)*(Table47[Projected 
Year]=AV$1)*(Table47[Monthly revenue]=AV$2)))</f>
        <v>#REF!</v>
      </c>
      <c r="AX21" s="166" t="e">
        <f>SUMPRODUCT(Table47[Rev. Based on PROB]*Table47[Expected CMR]*(Table47[Projected 
Year]=AV$1)*(Table47[Monthly revenue]=AV$2)*(Table47[Service]=$B21))/MAX(1,AV21*1000)</f>
        <v>#REF!</v>
      </c>
      <c r="AY21" s="95">
        <f>ROUND(SUMIFS(Table47[Rev. Based on PROB],Table47[Service],$B21,Table47[Projected 
Year],AY$1,Table47[Monthly revenue],AY$2),-3)/1000</f>
        <v>0</v>
      </c>
      <c r="AZ21" s="165" t="e">
        <f>SUMPRODUCT(Table47[Probability]*Table47[Rev. Based on PROB]*(Table47[Service]=$B21)*(Table47[Projected 
Year]=AY$1)*(Table47[Monthly revenue]=AY$2))/MAX(1,SUMPRODUCT(Table47[Rev. Based on PROB]*(Table47[Service]=$B21)*(Table47[Projected 
Year]=AY$1)*(Table47[Monthly revenue]=AY$2)))</f>
        <v>#REF!</v>
      </c>
      <c r="BA21" s="166" t="e">
        <f>SUMPRODUCT(Table47[Rev. Based on PROB]*Table47[Expected CMR]*(Table47[Projected 
Year]=AY$1)*(Table47[Monthly revenue]=AY$2)*(Table47[Service]=$B21))/MAX(1,AY21*1000)</f>
        <v>#REF!</v>
      </c>
      <c r="BB21" s="95">
        <f>ROUND(SUMIFS(Table47[Rev. Based on PROB],Table47[Service],$B21,Table47[Projected 
Year],BB$1,Table47[Monthly revenue],BB$2),-3)/1000</f>
        <v>0</v>
      </c>
      <c r="BC21" s="165" t="e">
        <f>SUMPRODUCT(Table47[Probability]*Table47[Rev. Based on PROB]*(Table47[Service]=$B21)*(Table47[Projected 
Year]=BB$1)*(Table47[Monthly revenue]=BB$2))/MAX(1,SUMPRODUCT(Table47[Rev. Based on PROB]*(Table47[Service]=$B21)*(Table47[Projected 
Year]=BB$1)*(Table47[Monthly revenue]=BB$2)))</f>
        <v>#REF!</v>
      </c>
      <c r="BD21" s="166" t="e">
        <f>SUMPRODUCT(Table47[Rev. Based on PROB]*Table47[Expected CMR]*(Table47[Projected 
Year]=BB$1)*(Table47[Monthly revenue]=BB$2)*(Table47[Service]=$B21))/MAX(1,BB21*1000)</f>
        <v>#REF!</v>
      </c>
      <c r="BE21" s="95">
        <f>ROUND(SUMIFS(Table47[Rev. Based on PROB],Table47[Service],$B21,Table47[Projected 
Year],BE$1,Table47[Monthly revenue],BE$2),-3)/1000</f>
        <v>0</v>
      </c>
      <c r="BF21" s="165" t="e">
        <f>SUMPRODUCT(Table47[Probability]*Table47[Rev. Based on PROB]*(Table47[Service]=$B21)*(Table47[Projected 
Year]=BE$1)*(Table47[Monthly revenue]=BE$2))/MAX(1,SUMPRODUCT(Table47[Rev. Based on PROB]*(Table47[Service]=$B21)*(Table47[Projected 
Year]=BE$1)*(Table47[Monthly revenue]=BE$2)))</f>
        <v>#REF!</v>
      </c>
      <c r="BG21" s="166" t="e">
        <f>SUMPRODUCT(Table47[Rev. Based on PROB]*Table47[Expected CMR]*(Table47[Projected 
Year]=BE$1)*(Table47[Monthly revenue]=BE$2)*(Table47[Service]=$B21))/MAX(1,BE21*1000)</f>
        <v>#REF!</v>
      </c>
      <c r="BH21" s="95">
        <f>ROUND(SUMIFS(Table47[Rev. Based on PROB],Table47[Service],$B21,Table47[Projected 
Year],BH$1,Table47[Monthly revenue],BH$2),-3)/1000</f>
        <v>0</v>
      </c>
      <c r="BI21" s="165" t="e">
        <f>SUMPRODUCT(Table47[Probability]*Table47[Rev. Based on PROB]*(Table47[Service]=$B21)*(Table47[Projected 
Year]=BH$1)*(Table47[Monthly revenue]=BH$2))/MAX(1,SUMPRODUCT(Table47[Rev. Based on PROB]*(Table47[Service]=$B21)*(Table47[Projected 
Year]=BH$1)*(Table47[Monthly revenue]=BH$2)))</f>
        <v>#REF!</v>
      </c>
      <c r="BJ21" s="166" t="e">
        <f>SUMPRODUCT(Table47[Rev. Based on PROB]*Table47[Expected CMR]*(Table47[Projected 
Year]=BH$1)*(Table47[Monthly revenue]=BH$2)*(Table47[Service]=$B21))/MAX(1,BH21*1000)</f>
        <v>#REF!</v>
      </c>
      <c r="BK21" s="95">
        <f>ROUND(SUMIFS(Table47[Rev. Based on PROB],Table47[Service],$B21,Table47[Projected 
Year],BK$1,Table47[Monthly revenue],BK$2),-3)/1000</f>
        <v>0</v>
      </c>
      <c r="BL21" s="165" t="e">
        <f>SUMPRODUCT(Table47[Probability]*Table47[Rev. Based on PROB]*(Table47[Service]=$B21)*(Table47[Projected 
Year]=BK$1)*(Table47[Monthly revenue]=BK$2))/MAX(1,SUMPRODUCT(Table47[Rev. Based on PROB]*(Table47[Service]=$B21)*(Table47[Projected 
Year]=BK$1)*(Table47[Monthly revenue]=BK$2)))</f>
        <v>#REF!</v>
      </c>
      <c r="BM21" s="166" t="e">
        <f>SUMPRODUCT(Table47[Rev. Based on PROB]*Table47[Expected CMR]*(Table47[Projected 
Year]=BK$1)*(Table47[Monthly revenue]=BK$2)*(Table47[Service]=$B21))/MAX(1,BK21*1000)</f>
        <v>#REF!</v>
      </c>
      <c r="BN21" s="95">
        <f>ROUND(SUMIFS(Table47[Rev. Based on PROB],Table47[Service],$B21,Table47[Projected 
Year],BN$1,Table47[Monthly revenue],BN$2),-3)/1000</f>
        <v>0</v>
      </c>
      <c r="BO21" s="165" t="e">
        <f>SUMPRODUCT(Table47[Probability]*Table47[Rev. Based on PROB]*(Table47[Service]=$B21)*(Table47[Projected 
Year]=BN$1)*(Table47[Monthly revenue]=BN$2))/MAX(1,SUMPRODUCT(Table47[Rev. Based on PROB]*(Table47[Service]=$B21)*(Table47[Projected 
Year]=BN$1)*(Table47[Monthly revenue]=BN$2)))</f>
        <v>#REF!</v>
      </c>
      <c r="BP21" s="166" t="e">
        <f>SUMPRODUCT(Table47[Rev. Based on PROB]*Table47[Expected CMR]*(Table47[Projected 
Year]=BN$1)*(Table47[Monthly revenue]=BN$2)*(Table47[Service]=$B21))/MAX(1,BN21*1000)</f>
        <v>#REF!</v>
      </c>
      <c r="BQ21" s="95">
        <f>ROUND(SUMIFS(Table47[Rev. Based on PROB],Table47[Service],$B21,Table47[Projected 
Year],BQ$1,Table47[Monthly revenue],BQ$2),-3)/1000</f>
        <v>0</v>
      </c>
      <c r="BR21" s="165" t="e">
        <f>SUMPRODUCT(Table47[Probability]*Table47[Rev. Based on PROB]*(Table47[Service]=$B21)*(Table47[Projected 
Year]=BQ$1)*(Table47[Monthly revenue]=BQ$2))/MAX(1,SUMPRODUCT(Table47[Rev. Based on PROB]*(Table47[Service]=$B21)*(Table47[Projected 
Year]=BQ$1)*(Table47[Monthly revenue]=BQ$2)))</f>
        <v>#REF!</v>
      </c>
      <c r="BS21" s="166" t="e">
        <f>SUMPRODUCT(Table47[Rev. Based on PROB]*Table47[Expected CMR]*(Table47[Projected 
Year]=BQ$1)*(Table47[Monthly revenue]=BQ$2)*(Table47[Service]=$B21))/MAX(1,BQ21*1000)</f>
        <v>#REF!</v>
      </c>
      <c r="BT21" s="95">
        <f>ROUND(SUMIFS(Table47[Rev. Based on PROB],Table47[Service],$B21,Table47[Projected 
Year],BT$1,Table47[Monthly revenue],BT$2),-3)/1000</f>
        <v>0</v>
      </c>
      <c r="BU21" s="165" t="e">
        <f>SUMPRODUCT(Table47[Probability]*Table47[Rev. Based on PROB]*(Table47[Service]=$B21)*(Table47[Projected 
Year]=BT$1)*(Table47[Monthly revenue]=BT$2))/MAX(1,SUMPRODUCT(Table47[Rev. Based on PROB]*(Table47[Service]=$B21)*(Table47[Projected 
Year]=BT$1)*(Table47[Monthly revenue]=BT$2)))</f>
        <v>#REF!</v>
      </c>
      <c r="BV21" s="166" t="e">
        <f>SUMPRODUCT(Table47[Rev. Based on PROB]*Table47[Expected CMR]*(Table47[Projected 
Year]=BT$1)*(Table47[Monthly revenue]=BT$2)*(Table47[Service]=$B21))/MAX(1,BT21*1000)</f>
        <v>#REF!</v>
      </c>
      <c r="BW21" s="95">
        <f>ROUND(SUMIFS(Table47[Rev. Based on PROB],Table47[Service],$B21,Table47[Projected 
Year],BW$1,Table47[Monthly revenue],BW$2),-3)/1000</f>
        <v>0</v>
      </c>
      <c r="BX21" s="165" t="e">
        <f>SUMPRODUCT(Table47[Probability]*Table47[Rev. Based on PROB]*(Table47[Service]=$B21)*(Table47[Projected 
Year]=BW$1)*(Table47[Monthly revenue]=BW$2))/MAX(1,SUMPRODUCT(Table47[Rev. Based on PROB]*(Table47[Service]=$B21)*(Table47[Projected 
Year]=BW$1)*(Table47[Monthly revenue]=BW$2)))</f>
        <v>#REF!</v>
      </c>
      <c r="BY21" s="166" t="e">
        <f>SUMPRODUCT(Table47[Rev. Based on PROB]*Table47[Expected CMR]*(Table47[Projected 
Year]=BW$1)*(Table47[Monthly revenue]=BW$2)*(Table47[Service]=$B21))/MAX(1,BW21*1000)</f>
        <v>#REF!</v>
      </c>
      <c r="BZ21" s="95">
        <f t="shared" si="4"/>
        <v>0</v>
      </c>
      <c r="CA21" s="95">
        <f t="shared" si="8"/>
        <v>0</v>
      </c>
      <c r="CB21" s="95">
        <f t="shared" si="9"/>
        <v>0</v>
      </c>
    </row>
    <row r="22" spans="1:80">
      <c r="A22" s="992" t="s">
        <v>501</v>
      </c>
      <c r="B22" s="980"/>
      <c r="C22" s="95">
        <f>ROUND(SUMIFS(Table4[Rev. Based on PROB],Table4[Service],$B22,Table4[Projected 
Year],C$1,Table4[Projected 
Month],C$2),-3)/1000</f>
        <v>0</v>
      </c>
      <c r="D22" s="165">
        <f>SUMPRODUCT(Table4[Probability]*Table4[Rev. Based on PROB]*(Table4[Service]=$B22)*(Table4[Projected 
Year]=C$1)*(Table4[Projected 
Month]=C$2))/MAX(1,SUMPRODUCT(Table4[Rev. Based on PROB]*(Table4[Service]=$B22)*(Table4[Projected 
Year]=C$1)*(Table4[Projected 
Month]=C$2)))</f>
        <v>0</v>
      </c>
      <c r="E22" s="166">
        <f>SUMPRODUCT(Table4[Rev. Based on PROB]*Table4[Expected CMR]*(Table4[Projected 
Year]=C$1)*(Table4[Projected 
Month]=C$2)*(Table4[Service]=$B22))/MAX(1,C22*1000)</f>
        <v>0</v>
      </c>
      <c r="F22" s="95">
        <f>ROUND(SUMIFS(Table4[Rev. Based on PROB],Table4[Service],$B22,Table4[Projected 
Year],F$1,Table4[Projected 
Month],F$2),-3)/1000</f>
        <v>0</v>
      </c>
      <c r="G22" s="165">
        <f>SUMPRODUCT(Table4[Probability]*Table4[Rev. Based on PROB]*(Table4[Service]=$B22)*(Table4[Projected 
Year]=F$1)*(Table4[Projected 
Month]=F$2))/MAX(1,SUMPRODUCT(Table4[Rev. Based on PROB]*(Table4[Service]=$B22)*(Table4[Projected 
Year]=F$1)*(Table4[Projected 
Month]=F$2)))</f>
        <v>0</v>
      </c>
      <c r="H22" s="166">
        <f>SUMPRODUCT(Table4[Rev. Based on PROB]*Table4[Expected CMR]*(Table4[Projected 
Year]=F$1)*(Table4[Projected 
Month]=F$2)*(Table4[Service]=$B22))/MAX(1,F22*1000)</f>
        <v>0</v>
      </c>
      <c r="I22" s="95">
        <f>ROUND(SUMIFS(Table4[Rev. Based on PROB],Table4[Service],$B22,Table4[Projected 
Year],I$1,Table4[Projected 
Month],I$2),-3)/1000</f>
        <v>0</v>
      </c>
      <c r="J22" s="165">
        <f>SUMPRODUCT(Table4[Probability]*Table4[Rev. Based on PROB]*(Table4[Service]=$B22)*(Table4[Projected 
Year]=I$1)*(Table4[Projected 
Month]=I$2))/MAX(1,SUMPRODUCT(Table4[Rev. Based on PROB]*(Table4[Service]=$B22)*(Table4[Projected 
Year]=I$1)*(Table4[Projected 
Month]=I$2)))</f>
        <v>0</v>
      </c>
      <c r="K22" s="166">
        <f>SUMPRODUCT(Table4[Rev. Based on PROB]*Table4[Expected CMR]*(Table4[Projected 
Year]=I$1)*(Table4[Projected 
Month]=I$2)*(Table4[Service]=$B22))/MAX(1,I22*1000)</f>
        <v>0</v>
      </c>
      <c r="L22" s="95">
        <f>ROUND(SUMIFS(Table4[Rev. Based on PROB],Table4[Service],$B22,Table4[Projected 
Year],L$1,Table4[Projected 
Month],L$2),-3)/1000</f>
        <v>0</v>
      </c>
      <c r="M22" s="165">
        <f>SUMPRODUCT(Table4[Probability]*Table4[Rev. Based on PROB]*(Table4[Service]=$B22)*(Table4[Projected 
Year]=L$1)*(Table4[Projected 
Month]=L$2))/MAX(1,SUMPRODUCT(Table4[Rev. Based on PROB]*(Table4[Service]=$B22)*(Table4[Projected 
Year]=L$1)*(Table4[Projected 
Month]=L$2)))</f>
        <v>0</v>
      </c>
      <c r="N22" s="166">
        <f>SUMPRODUCT(Table4[Rev. Based on PROB]*Table4[Expected CMR]*(Table4[Projected 
Year]=L$1)*(Table4[Projected 
Month]=L$2)*(Table4[Service]=$B22))/MAX(1,L22*1000)</f>
        <v>0</v>
      </c>
      <c r="O22" s="95">
        <f>ROUND(SUMIFS(Table4[Rev. Based on PROB],Table4[Service],$B22,Table4[Projected 
Year],O$1,Table4[Projected 
Month],O$2),-3)/1000</f>
        <v>0</v>
      </c>
      <c r="P22" s="165">
        <f>SUMPRODUCT(Table4[Probability]*Table4[Rev. Based on PROB]*(Table4[Service]=$B22)*(Table4[Projected 
Year]=O$1)*(Table4[Projected 
Month]=O$2))/MAX(1,SUMPRODUCT(Table4[Rev. Based on PROB]*(Table4[Service]=$B22)*(Table4[Projected 
Year]=O$1)*(Table4[Projected 
Month]=O$2)))</f>
        <v>0</v>
      </c>
      <c r="Q22" s="166">
        <f>SUMPRODUCT(Table4[Rev. Based on PROB]*Table4[Expected CMR]*(Table4[Projected 
Year]=O$1)*(Table4[Projected 
Month]=O$2)*(Table4[Service]=$B22))/MAX(1,O22*1000)</f>
        <v>0</v>
      </c>
      <c r="R22" s="95">
        <f>ROUND(SUMIFS(Table4[Rev. Based on PROB],Table4[Service],$B22,Table4[Projected 
Year],R$1,Table4[Projected 
Month],R$2),-3)/1000</f>
        <v>0</v>
      </c>
      <c r="S22" s="165">
        <f>SUMPRODUCT(Table4[Probability]*Table4[Rev. Based on PROB]*(Table4[Service]=$B22)*(Table4[Projected 
Year]=R$1)*(Table4[Projected 
Month]=R$2))/MAX(1,SUMPRODUCT(Table4[Rev. Based on PROB]*(Table4[Service]=$B22)*(Table4[Projected 
Year]=R$1)*(Table4[Projected 
Month]=R$2)))</f>
        <v>0</v>
      </c>
      <c r="T22" s="166">
        <f>SUMPRODUCT(Table4[Rev. Based on PROB]*Table4[Expected CMR]*(Table4[Projected 
Year]=R$1)*(Table4[Projected 
Month]=R$2)*(Table4[Service]=$B22))/MAX(1,R22*1000)</f>
        <v>0</v>
      </c>
      <c r="U22" s="95">
        <f>ROUND(SUMIFS(Table4[Rev. Based on PROB],Table4[Service],$B22,Table4[Projected 
Year],U$1,Table4[Projected 
Month],U$2),-3)/1000</f>
        <v>0</v>
      </c>
      <c r="V22" s="165">
        <f>SUMPRODUCT(Table4[Probability]*Table4[Rev. Based on PROB]*(Table4[Service]=$B22)*(Table4[Projected 
Year]=U$1)*(Table4[Projected 
Month]=U$2))/MAX(1,SUMPRODUCT(Table4[Rev. Based on PROB]*(Table4[Service]=$B22)*(Table4[Projected 
Year]=U$1)*(Table4[Projected 
Month]=U$2)))</f>
        <v>0</v>
      </c>
      <c r="W22" s="166">
        <f>SUMPRODUCT(Table4[Rev. Based on PROB]*Table4[Expected CMR]*(Table4[Projected 
Year]=U$1)*(Table4[Projected 
Month]=U$2)*(Table4[Service]=$B22))/MAX(1,U22*1000)</f>
        <v>0</v>
      </c>
      <c r="X22" s="95">
        <f>ROUND(SUMIFS(Table4[Rev. Based on PROB],Table4[Service],$B22,Table4[Projected 
Year],X$1,Table4[Projected 
Month],X$2),-3)/1000</f>
        <v>0</v>
      </c>
      <c r="Y22" s="165">
        <f>SUMPRODUCT(Table4[Probability]*Table4[Rev. Based on PROB]*(Table4[Service]=$B22)*(Table4[Projected 
Year]=X$1)*(Table4[Projected 
Month]=X$2))/MAX(1,SUMPRODUCT(Table4[Rev. Based on PROB]*(Table4[Service]=$B22)*(Table4[Projected 
Year]=X$1)*(Table4[Projected 
Month]=X$2)))</f>
        <v>0</v>
      </c>
      <c r="Z22" s="166">
        <f>SUMPRODUCT(Table4[Rev. Based on PROB]*Table4[Expected CMR]*(Table4[Projected 
Year]=X$1)*(Table4[Projected 
Month]=X$2)*(Table4[Service]=$B22))/MAX(1,X22*1000)</f>
        <v>0</v>
      </c>
      <c r="AA22" s="95">
        <f>ROUND(SUMIFS(Table4[Rev. Based on PROB],Table4[Service],$B22,Table4[Projected 
Year],AA$1,Table4[Projected 
Month],AA$2),-3)/1000</f>
        <v>0</v>
      </c>
      <c r="AB22" s="165">
        <f>SUMPRODUCT(Table4[Probability]*Table4[Rev. Based on PROB]*(Table4[Service]=$B22)*(Table4[Projected 
Year]=AA$1)*(Table4[Projected 
Month]=AA$2))/MAX(1,SUMPRODUCT(Table4[Rev. Based on PROB]*(Table4[Service]=$B22)*(Table4[Projected 
Year]=AA$1)*(Table4[Projected 
Month]=AA$2)))</f>
        <v>0</v>
      </c>
      <c r="AC22" s="166">
        <f>SUMPRODUCT(Table4[Rev. Based on PROB]*Table4[Expected CMR]*(Table4[Projected 
Year]=AA$1)*(Table4[Projected 
Month]=AA$2)*(Table4[Service]=$B22))/MAX(1,AA22*1000)</f>
        <v>0</v>
      </c>
      <c r="AD22" s="95">
        <f>ROUND(SUMIFS(Table4[Rev. Based on PROB],Table4[Service],$B22,Table4[Projected 
Year],AD$1,Table4[Projected 
Month],AD$2),-3)/1000</f>
        <v>0</v>
      </c>
      <c r="AE22" s="165">
        <f>SUMPRODUCT(Table4[Probability]*Table4[Rev. Based on PROB]*(Table4[Service]=$B22)*(Table4[Projected 
Year]=AD$1)*(Table4[Projected 
Month]=AD$2))/MAX(1,SUMPRODUCT(Table4[Rev. Based on PROB]*(Table4[Service]=$B22)*(Table4[Projected 
Year]=AD$1)*(Table4[Projected 
Month]=AD$2)))</f>
        <v>0</v>
      </c>
      <c r="AF22" s="166">
        <f>SUMPRODUCT(Table4[Rev. Based on PROB]*Table4[Expected CMR]*(Table4[Projected 
Year]=AD$1)*(Table4[Projected 
Month]=AD$2)*(Table4[Service]=$B22))/MAX(1,AD22*1000)</f>
        <v>0</v>
      </c>
      <c r="AG22" s="95">
        <f>ROUND(SUMIFS(Table4[Rev. Based on PROB],Table4[Service],$B22,Table4[Projected 
Year],AG$1,Table4[Projected 
Month],AG$2),-3)/1000</f>
        <v>0</v>
      </c>
      <c r="AH22" s="165">
        <f>SUMPRODUCT(Table4[Probability]*Table4[Rev. Based on PROB]*(Table4[Service]=$B22)*(Table4[Projected 
Year]=AG$1)*(Table4[Projected 
Month]=AG$2))/MAX(1,SUMPRODUCT(Table4[Rev. Based on PROB]*(Table4[Service]=$B22)*(Table4[Projected 
Year]=AG$1)*(Table4[Projected 
Month]=AG$2)))</f>
        <v>0</v>
      </c>
      <c r="AI22" s="166">
        <f>SUMPRODUCT(Table4[Rev. Based on PROB]*Table4[Expected CMR]*(Table4[Projected 
Year]=AG$1)*(Table4[Projected 
Month]=AG$2)*(Table4[Service]=$B22))/MAX(1,AG22*1000)</f>
        <v>0</v>
      </c>
      <c r="AJ22" s="95">
        <f>ROUND(SUMIFS(Table4[Rev. Based on PROB],Table4[Service],$B22,Table4[Projected 
Year],AJ$1,Table4[Projected 
Month],AJ$2),-3)/1000</f>
        <v>0</v>
      </c>
      <c r="AK22" s="165">
        <f>SUMPRODUCT(Table4[Probability]*Table4[Rev. Based on PROB]*(Table4[Service]=$B22)*(Table4[Projected 
Year]=AJ$1)*(Table4[Projected 
Month]=AJ$2))/MAX(1,SUMPRODUCT(Table4[Rev. Based on PROB]*(Table4[Service]=$B22)*(Table4[Projected 
Year]=AJ$1)*(Table4[Projected 
Month]=AJ$2)))</f>
        <v>0</v>
      </c>
      <c r="AL22" s="166">
        <f>SUMPRODUCT(Table4[Rev. Based on PROB]*Table4[Expected CMR]*(Table4[Projected 
Year]=AJ$1)*(Table4[Projected 
Month]=AJ$2)*(Table4[Service]=$B22))/MAX(1,AJ22*1000)</f>
        <v>0</v>
      </c>
      <c r="AM22" s="30">
        <f t="shared" si="5"/>
        <v>0</v>
      </c>
      <c r="AN22" s="52">
        <f t="shared" si="6"/>
        <v>0</v>
      </c>
      <c r="AO22" s="53">
        <f t="shared" si="7"/>
        <v>0</v>
      </c>
      <c r="AP22" s="95">
        <f>ROUND(SUMIFS(Table47[Rev. Based on PROB],Table47[Service],$B22,Table47[Projected 
Year],AP$1,Table47[Monthly revenue],AP$2),-3)/1000</f>
        <v>0</v>
      </c>
      <c r="AQ22" s="165" t="e">
        <f>SUMPRODUCT(Table47[Probability]*Table47[Rev. Based on PROB]*(Table47[Service]=$B22)*(Table47[Projected 
Year]=AP$1)*(Table47[Monthly revenue]=AP$2))/MAX(1,SUMPRODUCT(Table47[Rev. Based on PROB]*(Table47[Service]=$B22)*(Table47[Projected 
Year]=AP$1)*(Table47[Monthly revenue]=AP$2)))</f>
        <v>#REF!</v>
      </c>
      <c r="AR22" s="166" t="e">
        <f>SUMPRODUCT(Table47[Rev. Based on PROB]*Table47[Expected CMR]*(Table47[Projected 
Year]=AP$1)*(Table47[Monthly revenue]=AP$2)*(Table47[Service]=$B22))/MAX(1,AP22*1000)</f>
        <v>#REF!</v>
      </c>
      <c r="AS22" s="98">
        <f>ROUND(SUMIFS(Table47[Rev. Based on PROB],Table47[Service],$B22,Table47[Projected 
Year],AS$1,Table47[Monthly revenue],AS$2),-3)/1000</f>
        <v>0</v>
      </c>
      <c r="AT22" s="165" t="e">
        <f>SUMPRODUCT(Table47[Probability]*Table47[Rev. Based on PROB]*(Table47[Service]=$B22)*(Table47[Projected 
Year]=AS$1)*(Table47[Monthly revenue]=AS$2))/MAX(1,SUMPRODUCT(Table47[Rev. Based on PROB]*(Table47[Service]=$B22)*(Table47[Projected 
Year]=AS$1)*(Table47[Monthly revenue]=AS$2)))</f>
        <v>#REF!</v>
      </c>
      <c r="AU22" s="166" t="e">
        <f>SUMPRODUCT(Table47[Rev. Based on PROB]*Table47[Expected CMR]*(Table47[Projected 
Year]=AS$1)*(Table47[Monthly revenue]=AS$2)*(Table47[Service]=$B22))/MAX(1,AS22*1000)</f>
        <v>#REF!</v>
      </c>
      <c r="AV22" s="95">
        <f>ROUND(SUMIFS(Table47[Rev. Based on PROB],Table47[Service],$B22,Table47[Projected 
Year],AV$1,Table47[Monthly revenue],AV$2),-3)/1000</f>
        <v>0</v>
      </c>
      <c r="AW22" s="165" t="e">
        <f>SUMPRODUCT(Table47[Probability]*Table47[Rev. Based on PROB]*(Table47[Service]=$B22)*(Table47[Projected 
Year]=AV$1)*(Table47[Monthly revenue]=AV$2))/MAX(1,SUMPRODUCT(Table47[Rev. Based on PROB]*(Table47[Service]=$B22)*(Table47[Projected 
Year]=AV$1)*(Table47[Monthly revenue]=AV$2)))</f>
        <v>#REF!</v>
      </c>
      <c r="AX22" s="166" t="e">
        <f>SUMPRODUCT(Table47[Rev. Based on PROB]*Table47[Expected CMR]*(Table47[Projected 
Year]=AV$1)*(Table47[Monthly revenue]=AV$2)*(Table47[Service]=$B22))/MAX(1,AV22*1000)</f>
        <v>#REF!</v>
      </c>
      <c r="AY22" s="95">
        <f>ROUND(SUMIFS(Table47[Rev. Based on PROB],Table47[Service],$B22,Table47[Projected 
Year],AY$1,Table47[Monthly revenue],AY$2),-3)/1000</f>
        <v>0</v>
      </c>
      <c r="AZ22" s="165" t="e">
        <f>SUMPRODUCT(Table47[Probability]*Table47[Rev. Based on PROB]*(Table47[Service]=$B22)*(Table47[Projected 
Year]=AY$1)*(Table47[Monthly revenue]=AY$2))/MAX(1,SUMPRODUCT(Table47[Rev. Based on PROB]*(Table47[Service]=$B22)*(Table47[Projected 
Year]=AY$1)*(Table47[Monthly revenue]=AY$2)))</f>
        <v>#REF!</v>
      </c>
      <c r="BA22" s="166" t="e">
        <f>SUMPRODUCT(Table47[Rev. Based on PROB]*Table47[Expected CMR]*(Table47[Projected 
Year]=AY$1)*(Table47[Monthly revenue]=AY$2)*(Table47[Service]=$B22))/MAX(1,AY22*1000)</f>
        <v>#REF!</v>
      </c>
      <c r="BB22" s="95">
        <f>ROUND(SUMIFS(Table47[Rev. Based on PROB],Table47[Service],$B22,Table47[Projected 
Year],BB$1,Table47[Monthly revenue],BB$2),-3)/1000</f>
        <v>0</v>
      </c>
      <c r="BC22" s="165" t="e">
        <f>SUMPRODUCT(Table47[Probability]*Table47[Rev. Based on PROB]*(Table47[Service]=$B22)*(Table47[Projected 
Year]=BB$1)*(Table47[Monthly revenue]=BB$2))/MAX(1,SUMPRODUCT(Table47[Rev. Based on PROB]*(Table47[Service]=$B22)*(Table47[Projected 
Year]=BB$1)*(Table47[Monthly revenue]=BB$2)))</f>
        <v>#REF!</v>
      </c>
      <c r="BD22" s="166" t="e">
        <f>SUMPRODUCT(Table47[Rev. Based on PROB]*Table47[Expected CMR]*(Table47[Projected 
Year]=BB$1)*(Table47[Monthly revenue]=BB$2)*(Table47[Service]=$B22))/MAX(1,BB22*1000)</f>
        <v>#REF!</v>
      </c>
      <c r="BE22" s="95">
        <f>ROUND(SUMIFS(Table47[Rev. Based on PROB],Table47[Service],$B22,Table47[Projected 
Year],BE$1,Table47[Monthly revenue],BE$2),-3)/1000</f>
        <v>0</v>
      </c>
      <c r="BF22" s="165" t="e">
        <f>SUMPRODUCT(Table47[Probability]*Table47[Rev. Based on PROB]*(Table47[Service]=$B22)*(Table47[Projected 
Year]=BE$1)*(Table47[Monthly revenue]=BE$2))/MAX(1,SUMPRODUCT(Table47[Rev. Based on PROB]*(Table47[Service]=$B22)*(Table47[Projected 
Year]=BE$1)*(Table47[Monthly revenue]=BE$2)))</f>
        <v>#REF!</v>
      </c>
      <c r="BG22" s="166" t="e">
        <f>SUMPRODUCT(Table47[Rev. Based on PROB]*Table47[Expected CMR]*(Table47[Projected 
Year]=BE$1)*(Table47[Monthly revenue]=BE$2)*(Table47[Service]=$B22))/MAX(1,BE22*1000)</f>
        <v>#REF!</v>
      </c>
      <c r="BH22" s="95">
        <f>ROUND(SUMIFS(Table47[Rev. Based on PROB],Table47[Service],$B22,Table47[Projected 
Year],BH$1,Table47[Monthly revenue],BH$2),-3)/1000</f>
        <v>0</v>
      </c>
      <c r="BI22" s="165" t="e">
        <f>SUMPRODUCT(Table47[Probability]*Table47[Rev. Based on PROB]*(Table47[Service]=$B22)*(Table47[Projected 
Year]=BH$1)*(Table47[Monthly revenue]=BH$2))/MAX(1,SUMPRODUCT(Table47[Rev. Based on PROB]*(Table47[Service]=$B22)*(Table47[Projected 
Year]=BH$1)*(Table47[Monthly revenue]=BH$2)))</f>
        <v>#REF!</v>
      </c>
      <c r="BJ22" s="166" t="e">
        <f>SUMPRODUCT(Table47[Rev. Based on PROB]*Table47[Expected CMR]*(Table47[Projected 
Year]=BH$1)*(Table47[Monthly revenue]=BH$2)*(Table47[Service]=$B22))/MAX(1,BH22*1000)</f>
        <v>#REF!</v>
      </c>
      <c r="BK22" s="95">
        <f>ROUND(SUMIFS(Table47[Rev. Based on PROB],Table47[Service],$B22,Table47[Projected 
Year],BK$1,Table47[Monthly revenue],BK$2),-3)/1000</f>
        <v>0</v>
      </c>
      <c r="BL22" s="165" t="e">
        <f>SUMPRODUCT(Table47[Probability]*Table47[Rev. Based on PROB]*(Table47[Service]=$B22)*(Table47[Projected 
Year]=BK$1)*(Table47[Monthly revenue]=BK$2))/MAX(1,SUMPRODUCT(Table47[Rev. Based on PROB]*(Table47[Service]=$B22)*(Table47[Projected 
Year]=BK$1)*(Table47[Monthly revenue]=BK$2)))</f>
        <v>#REF!</v>
      </c>
      <c r="BM22" s="166" t="e">
        <f>SUMPRODUCT(Table47[Rev. Based on PROB]*Table47[Expected CMR]*(Table47[Projected 
Year]=BK$1)*(Table47[Monthly revenue]=BK$2)*(Table47[Service]=$B22))/MAX(1,BK22*1000)</f>
        <v>#REF!</v>
      </c>
      <c r="BN22" s="95">
        <f>ROUND(SUMIFS(Table47[Rev. Based on PROB],Table47[Service],$B22,Table47[Projected 
Year],BN$1,Table47[Monthly revenue],BN$2),-3)/1000</f>
        <v>0</v>
      </c>
      <c r="BO22" s="165" t="e">
        <f>SUMPRODUCT(Table47[Probability]*Table47[Rev. Based on PROB]*(Table47[Service]=$B22)*(Table47[Projected 
Year]=BN$1)*(Table47[Monthly revenue]=BN$2))/MAX(1,SUMPRODUCT(Table47[Rev. Based on PROB]*(Table47[Service]=$B22)*(Table47[Projected 
Year]=BN$1)*(Table47[Monthly revenue]=BN$2)))</f>
        <v>#REF!</v>
      </c>
      <c r="BP22" s="166" t="e">
        <f>SUMPRODUCT(Table47[Rev. Based on PROB]*Table47[Expected CMR]*(Table47[Projected 
Year]=BN$1)*(Table47[Monthly revenue]=BN$2)*(Table47[Service]=$B22))/MAX(1,BN22*1000)</f>
        <v>#REF!</v>
      </c>
      <c r="BQ22" s="95">
        <f>ROUND(SUMIFS(Table47[Rev. Based on PROB],Table47[Service],$B22,Table47[Projected 
Year],BQ$1,Table47[Monthly revenue],BQ$2),-3)/1000</f>
        <v>0</v>
      </c>
      <c r="BR22" s="165" t="e">
        <f>SUMPRODUCT(Table47[Probability]*Table47[Rev. Based on PROB]*(Table47[Service]=$B22)*(Table47[Projected 
Year]=BQ$1)*(Table47[Monthly revenue]=BQ$2))/MAX(1,SUMPRODUCT(Table47[Rev. Based on PROB]*(Table47[Service]=$B22)*(Table47[Projected 
Year]=BQ$1)*(Table47[Monthly revenue]=BQ$2)))</f>
        <v>#REF!</v>
      </c>
      <c r="BS22" s="166" t="e">
        <f>SUMPRODUCT(Table47[Rev. Based on PROB]*Table47[Expected CMR]*(Table47[Projected 
Year]=BQ$1)*(Table47[Monthly revenue]=BQ$2)*(Table47[Service]=$B22))/MAX(1,BQ22*1000)</f>
        <v>#REF!</v>
      </c>
      <c r="BT22" s="95">
        <f>ROUND(SUMIFS(Table47[Rev. Based on PROB],Table47[Service],$B22,Table47[Projected 
Year],BT$1,Table47[Monthly revenue],BT$2),-3)/1000</f>
        <v>0</v>
      </c>
      <c r="BU22" s="165" t="e">
        <f>SUMPRODUCT(Table47[Probability]*Table47[Rev. Based on PROB]*(Table47[Service]=$B22)*(Table47[Projected 
Year]=BT$1)*(Table47[Monthly revenue]=BT$2))/MAX(1,SUMPRODUCT(Table47[Rev. Based on PROB]*(Table47[Service]=$B22)*(Table47[Projected 
Year]=BT$1)*(Table47[Monthly revenue]=BT$2)))</f>
        <v>#REF!</v>
      </c>
      <c r="BV22" s="166" t="e">
        <f>SUMPRODUCT(Table47[Rev. Based on PROB]*Table47[Expected CMR]*(Table47[Projected 
Year]=BT$1)*(Table47[Monthly revenue]=BT$2)*(Table47[Service]=$B22))/MAX(1,BT22*1000)</f>
        <v>#REF!</v>
      </c>
      <c r="BW22" s="95">
        <f>ROUND(SUMIFS(Table47[Rev. Based on PROB],Table47[Service],$B22,Table47[Projected 
Year],BW$1,Table47[Monthly revenue],BW$2),-3)/1000</f>
        <v>0</v>
      </c>
      <c r="BX22" s="165" t="e">
        <f>SUMPRODUCT(Table47[Probability]*Table47[Rev. Based on PROB]*(Table47[Service]=$B22)*(Table47[Projected 
Year]=BW$1)*(Table47[Monthly revenue]=BW$2))/MAX(1,SUMPRODUCT(Table47[Rev. Based on PROB]*(Table47[Service]=$B22)*(Table47[Projected 
Year]=BW$1)*(Table47[Monthly revenue]=BW$2)))</f>
        <v>#REF!</v>
      </c>
      <c r="BY22" s="166" t="e">
        <f>SUMPRODUCT(Table47[Rev. Based on PROB]*Table47[Expected CMR]*(Table47[Projected 
Year]=BW$1)*(Table47[Monthly revenue]=BW$2)*(Table47[Service]=$B22))/MAX(1,BW22*1000)</f>
        <v>#REF!</v>
      </c>
      <c r="BZ22" s="95">
        <f t="shared" si="4"/>
        <v>0</v>
      </c>
      <c r="CA22" s="95">
        <f t="shared" si="8"/>
        <v>0</v>
      </c>
      <c r="CB22" s="95">
        <f t="shared" si="9"/>
        <v>0</v>
      </c>
    </row>
    <row r="23" spans="1:80">
      <c r="A23" s="992" t="s">
        <v>502</v>
      </c>
      <c r="B23" s="980"/>
      <c r="C23" s="95">
        <f>ROUND(SUMIFS(Table4[Rev. Based on PROB],Table4[Service],$B23,Table4[Projected 
Year],C$1,Table4[Projected 
Month],C$2),-3)/1000</f>
        <v>0</v>
      </c>
      <c r="D23" s="165">
        <f>SUMPRODUCT(Table4[Probability]*Table4[Rev. Based on PROB]*(Table4[Service]=$B23)*(Table4[Projected 
Year]=C$1)*(Table4[Projected 
Month]=C$2))/MAX(1,SUMPRODUCT(Table4[Rev. Based on PROB]*(Table4[Service]=$B23)*(Table4[Projected 
Year]=C$1)*(Table4[Projected 
Month]=C$2)))</f>
        <v>0</v>
      </c>
      <c r="E23" s="166">
        <f>SUMPRODUCT(Table4[Rev. Based on PROB]*Table4[Expected CMR]*(Table4[Projected 
Year]=C$1)*(Table4[Projected 
Month]=C$2)*(Table4[Service]=$B23))/MAX(1,C23*1000)</f>
        <v>0</v>
      </c>
      <c r="F23" s="95">
        <f>ROUND(SUMIFS(Table4[Rev. Based on PROB],Table4[Service],$B23,Table4[Projected 
Year],F$1,Table4[Projected 
Month],F$2),-3)/1000</f>
        <v>0</v>
      </c>
      <c r="G23" s="165">
        <f>SUMPRODUCT(Table4[Probability]*Table4[Rev. Based on PROB]*(Table4[Service]=$B23)*(Table4[Projected 
Year]=F$1)*(Table4[Projected 
Month]=F$2))/MAX(1,SUMPRODUCT(Table4[Rev. Based on PROB]*(Table4[Service]=$B23)*(Table4[Projected 
Year]=F$1)*(Table4[Projected 
Month]=F$2)))</f>
        <v>0</v>
      </c>
      <c r="H23" s="166">
        <f>SUMPRODUCT(Table4[Rev. Based on PROB]*Table4[Expected CMR]*(Table4[Projected 
Year]=F$1)*(Table4[Projected 
Month]=F$2)*(Table4[Service]=$B23))/MAX(1,F23*1000)</f>
        <v>0</v>
      </c>
      <c r="I23" s="95">
        <f>ROUND(SUMIFS(Table4[Rev. Based on PROB],Table4[Service],$B23,Table4[Projected 
Year],I$1,Table4[Projected 
Month],I$2),-3)/1000</f>
        <v>0</v>
      </c>
      <c r="J23" s="165">
        <f>SUMPRODUCT(Table4[Probability]*Table4[Rev. Based on PROB]*(Table4[Service]=$B23)*(Table4[Projected 
Year]=I$1)*(Table4[Projected 
Month]=I$2))/MAX(1,SUMPRODUCT(Table4[Rev. Based on PROB]*(Table4[Service]=$B23)*(Table4[Projected 
Year]=I$1)*(Table4[Projected 
Month]=I$2)))</f>
        <v>0</v>
      </c>
      <c r="K23" s="166">
        <f>SUMPRODUCT(Table4[Rev. Based on PROB]*Table4[Expected CMR]*(Table4[Projected 
Year]=I$1)*(Table4[Projected 
Month]=I$2)*(Table4[Service]=$B23))/MAX(1,I23*1000)</f>
        <v>0</v>
      </c>
      <c r="L23" s="95">
        <f>ROUND(SUMIFS(Table4[Rev. Based on PROB],Table4[Service],$B23,Table4[Projected 
Year],L$1,Table4[Projected 
Month],L$2),-3)/1000</f>
        <v>0</v>
      </c>
      <c r="M23" s="165">
        <f>SUMPRODUCT(Table4[Probability]*Table4[Rev. Based on PROB]*(Table4[Service]=$B23)*(Table4[Projected 
Year]=L$1)*(Table4[Projected 
Month]=L$2))/MAX(1,SUMPRODUCT(Table4[Rev. Based on PROB]*(Table4[Service]=$B23)*(Table4[Projected 
Year]=L$1)*(Table4[Projected 
Month]=L$2)))</f>
        <v>0</v>
      </c>
      <c r="N23" s="166">
        <f>SUMPRODUCT(Table4[Rev. Based on PROB]*Table4[Expected CMR]*(Table4[Projected 
Year]=L$1)*(Table4[Projected 
Month]=L$2)*(Table4[Service]=$B23))/MAX(1,L23*1000)</f>
        <v>0</v>
      </c>
      <c r="O23" s="95">
        <f>ROUND(SUMIFS(Table4[Rev. Based on PROB],Table4[Service],$B23,Table4[Projected 
Year],O$1,Table4[Projected 
Month],O$2),-3)/1000</f>
        <v>0</v>
      </c>
      <c r="P23" s="165">
        <f>SUMPRODUCT(Table4[Probability]*Table4[Rev. Based on PROB]*(Table4[Service]=$B23)*(Table4[Projected 
Year]=O$1)*(Table4[Projected 
Month]=O$2))/MAX(1,SUMPRODUCT(Table4[Rev. Based on PROB]*(Table4[Service]=$B23)*(Table4[Projected 
Year]=O$1)*(Table4[Projected 
Month]=O$2)))</f>
        <v>0</v>
      </c>
      <c r="Q23" s="166">
        <f>SUMPRODUCT(Table4[Rev. Based on PROB]*Table4[Expected CMR]*(Table4[Projected 
Year]=O$1)*(Table4[Projected 
Month]=O$2)*(Table4[Service]=$B23))/MAX(1,O23*1000)</f>
        <v>0</v>
      </c>
      <c r="R23" s="95">
        <f>ROUND(SUMIFS(Table4[Rev. Based on PROB],Table4[Service],$B23,Table4[Projected 
Year],R$1,Table4[Projected 
Month],R$2),-3)/1000</f>
        <v>0</v>
      </c>
      <c r="S23" s="165">
        <f>SUMPRODUCT(Table4[Probability]*Table4[Rev. Based on PROB]*(Table4[Service]=$B23)*(Table4[Projected 
Year]=R$1)*(Table4[Projected 
Month]=R$2))/MAX(1,SUMPRODUCT(Table4[Rev. Based on PROB]*(Table4[Service]=$B23)*(Table4[Projected 
Year]=R$1)*(Table4[Projected 
Month]=R$2)))</f>
        <v>0</v>
      </c>
      <c r="T23" s="166">
        <f>SUMPRODUCT(Table4[Rev. Based on PROB]*Table4[Expected CMR]*(Table4[Projected 
Year]=R$1)*(Table4[Projected 
Month]=R$2)*(Table4[Service]=$B23))/MAX(1,R23*1000)</f>
        <v>0</v>
      </c>
      <c r="U23" s="95">
        <f>ROUND(SUMIFS(Table4[Rev. Based on PROB],Table4[Service],$B23,Table4[Projected 
Year],U$1,Table4[Projected 
Month],U$2),-3)/1000</f>
        <v>0</v>
      </c>
      <c r="V23" s="165">
        <f>SUMPRODUCT(Table4[Probability]*Table4[Rev. Based on PROB]*(Table4[Service]=$B23)*(Table4[Projected 
Year]=U$1)*(Table4[Projected 
Month]=U$2))/MAX(1,SUMPRODUCT(Table4[Rev. Based on PROB]*(Table4[Service]=$B23)*(Table4[Projected 
Year]=U$1)*(Table4[Projected 
Month]=U$2)))</f>
        <v>0</v>
      </c>
      <c r="W23" s="166">
        <f>SUMPRODUCT(Table4[Rev. Based on PROB]*Table4[Expected CMR]*(Table4[Projected 
Year]=U$1)*(Table4[Projected 
Month]=U$2)*(Table4[Service]=$B23))/MAX(1,U23*1000)</f>
        <v>0</v>
      </c>
      <c r="X23" s="95">
        <f>ROUND(SUMIFS(Table4[Rev. Based on PROB],Table4[Service],$B23,Table4[Projected 
Year],X$1,Table4[Projected 
Month],X$2),-3)/1000</f>
        <v>0</v>
      </c>
      <c r="Y23" s="165">
        <f>SUMPRODUCT(Table4[Probability]*Table4[Rev. Based on PROB]*(Table4[Service]=$B23)*(Table4[Projected 
Year]=X$1)*(Table4[Projected 
Month]=X$2))/MAX(1,SUMPRODUCT(Table4[Rev. Based on PROB]*(Table4[Service]=$B23)*(Table4[Projected 
Year]=X$1)*(Table4[Projected 
Month]=X$2)))</f>
        <v>0</v>
      </c>
      <c r="Z23" s="166">
        <f>SUMPRODUCT(Table4[Rev. Based on PROB]*Table4[Expected CMR]*(Table4[Projected 
Year]=X$1)*(Table4[Projected 
Month]=X$2)*(Table4[Service]=$B23))/MAX(1,X23*1000)</f>
        <v>0</v>
      </c>
      <c r="AA23" s="95">
        <f>ROUND(SUMIFS(Table4[Rev. Based on PROB],Table4[Service],$B23,Table4[Projected 
Year],AA$1,Table4[Projected 
Month],AA$2),-3)/1000</f>
        <v>0</v>
      </c>
      <c r="AB23" s="165">
        <f>SUMPRODUCT(Table4[Probability]*Table4[Rev. Based on PROB]*(Table4[Service]=$B23)*(Table4[Projected 
Year]=AA$1)*(Table4[Projected 
Month]=AA$2))/MAX(1,SUMPRODUCT(Table4[Rev. Based on PROB]*(Table4[Service]=$B23)*(Table4[Projected 
Year]=AA$1)*(Table4[Projected 
Month]=AA$2)))</f>
        <v>0</v>
      </c>
      <c r="AC23" s="166">
        <f>SUMPRODUCT(Table4[Rev. Based on PROB]*Table4[Expected CMR]*(Table4[Projected 
Year]=AA$1)*(Table4[Projected 
Month]=AA$2)*(Table4[Service]=$B23))/MAX(1,AA23*1000)</f>
        <v>0</v>
      </c>
      <c r="AD23" s="95">
        <f>ROUND(SUMIFS(Table4[Rev. Based on PROB],Table4[Service],$B23,Table4[Projected 
Year],AD$1,Table4[Projected 
Month],AD$2),-3)/1000</f>
        <v>0</v>
      </c>
      <c r="AE23" s="165">
        <f>SUMPRODUCT(Table4[Probability]*Table4[Rev. Based on PROB]*(Table4[Service]=$B23)*(Table4[Projected 
Year]=AD$1)*(Table4[Projected 
Month]=AD$2))/MAX(1,SUMPRODUCT(Table4[Rev. Based on PROB]*(Table4[Service]=$B23)*(Table4[Projected 
Year]=AD$1)*(Table4[Projected 
Month]=AD$2)))</f>
        <v>0</v>
      </c>
      <c r="AF23" s="166">
        <f>SUMPRODUCT(Table4[Rev. Based on PROB]*Table4[Expected CMR]*(Table4[Projected 
Year]=AD$1)*(Table4[Projected 
Month]=AD$2)*(Table4[Service]=$B23))/MAX(1,AD23*1000)</f>
        <v>0</v>
      </c>
      <c r="AG23" s="95">
        <f>ROUND(SUMIFS(Table4[Rev. Based on PROB],Table4[Service],$B23,Table4[Projected 
Year],AG$1,Table4[Projected 
Month],AG$2),-3)/1000</f>
        <v>0</v>
      </c>
      <c r="AH23" s="165">
        <f>SUMPRODUCT(Table4[Probability]*Table4[Rev. Based on PROB]*(Table4[Service]=$B23)*(Table4[Projected 
Year]=AG$1)*(Table4[Projected 
Month]=AG$2))/MAX(1,SUMPRODUCT(Table4[Rev. Based on PROB]*(Table4[Service]=$B23)*(Table4[Projected 
Year]=AG$1)*(Table4[Projected 
Month]=AG$2)))</f>
        <v>0</v>
      </c>
      <c r="AI23" s="166">
        <f>SUMPRODUCT(Table4[Rev. Based on PROB]*Table4[Expected CMR]*(Table4[Projected 
Year]=AG$1)*(Table4[Projected 
Month]=AG$2)*(Table4[Service]=$B23))/MAX(1,AG23*1000)</f>
        <v>0</v>
      </c>
      <c r="AJ23" s="95">
        <f>ROUND(SUMIFS(Table4[Rev. Based on PROB],Table4[Service],$B23,Table4[Projected 
Year],AJ$1,Table4[Projected 
Month],AJ$2),-3)/1000</f>
        <v>0</v>
      </c>
      <c r="AK23" s="165">
        <f>SUMPRODUCT(Table4[Probability]*Table4[Rev. Based on PROB]*(Table4[Service]=$B23)*(Table4[Projected 
Year]=AJ$1)*(Table4[Projected 
Month]=AJ$2))/MAX(1,SUMPRODUCT(Table4[Rev. Based on PROB]*(Table4[Service]=$B23)*(Table4[Projected 
Year]=AJ$1)*(Table4[Projected 
Month]=AJ$2)))</f>
        <v>0</v>
      </c>
      <c r="AL23" s="166">
        <f>SUMPRODUCT(Table4[Rev. Based on PROB]*Table4[Expected CMR]*(Table4[Projected 
Year]=AJ$1)*(Table4[Projected 
Month]=AJ$2)*(Table4[Service]=$B23))/MAX(1,AJ23*1000)</f>
        <v>0</v>
      </c>
      <c r="AM23" s="30">
        <f t="shared" si="5"/>
        <v>0</v>
      </c>
      <c r="AN23" s="52">
        <f t="shared" si="6"/>
        <v>0</v>
      </c>
      <c r="AO23" s="53">
        <f t="shared" si="7"/>
        <v>0</v>
      </c>
      <c r="AP23" s="95">
        <f>ROUND(SUMIFS(Table47[Rev. Based on PROB],Table47[Service],$B23,Table47[Projected 
Year],AP$1,Table47[Monthly revenue],AP$2),-3)/1000</f>
        <v>0</v>
      </c>
      <c r="AQ23" s="165" t="e">
        <f>SUMPRODUCT(Table47[Probability]*Table47[Rev. Based on PROB]*(Table47[Service]=$B23)*(Table47[Projected 
Year]=AP$1)*(Table47[Monthly revenue]=AP$2))/MAX(1,SUMPRODUCT(Table47[Rev. Based on PROB]*(Table47[Service]=$B23)*(Table47[Projected 
Year]=AP$1)*(Table47[Monthly revenue]=AP$2)))</f>
        <v>#REF!</v>
      </c>
      <c r="AR23" s="166" t="e">
        <f>SUMPRODUCT(Table47[Rev. Based on PROB]*Table47[Expected CMR]*(Table47[Projected 
Year]=AP$1)*(Table47[Monthly revenue]=AP$2)*(Table47[Service]=$B23))/MAX(1,AP23*1000)</f>
        <v>#REF!</v>
      </c>
      <c r="AS23" s="98">
        <f>ROUND(SUMIFS(Table47[Rev. Based on PROB],Table47[Service],$B23,Table47[Projected 
Year],AS$1,Table47[Monthly revenue],AS$2),-3)/1000</f>
        <v>0</v>
      </c>
      <c r="AT23" s="165" t="e">
        <f>SUMPRODUCT(Table47[Probability]*Table47[Rev. Based on PROB]*(Table47[Service]=$B23)*(Table47[Projected 
Year]=AS$1)*(Table47[Monthly revenue]=AS$2))/MAX(1,SUMPRODUCT(Table47[Rev. Based on PROB]*(Table47[Service]=$B23)*(Table47[Projected 
Year]=AS$1)*(Table47[Monthly revenue]=AS$2)))</f>
        <v>#REF!</v>
      </c>
      <c r="AU23" s="166" t="e">
        <f>SUMPRODUCT(Table47[Rev. Based on PROB]*Table47[Expected CMR]*(Table47[Projected 
Year]=AS$1)*(Table47[Monthly revenue]=AS$2)*(Table47[Service]=$B23))/MAX(1,AS23*1000)</f>
        <v>#REF!</v>
      </c>
      <c r="AV23" s="95">
        <f>ROUND(SUMIFS(Table47[Rev. Based on PROB],Table47[Service],$B23,Table47[Projected 
Year],AV$1,Table47[Monthly revenue],AV$2),-3)/1000</f>
        <v>0</v>
      </c>
      <c r="AW23" s="165" t="e">
        <f>SUMPRODUCT(Table47[Probability]*Table47[Rev. Based on PROB]*(Table47[Service]=$B23)*(Table47[Projected 
Year]=AV$1)*(Table47[Monthly revenue]=AV$2))/MAX(1,SUMPRODUCT(Table47[Rev. Based on PROB]*(Table47[Service]=$B23)*(Table47[Projected 
Year]=AV$1)*(Table47[Monthly revenue]=AV$2)))</f>
        <v>#REF!</v>
      </c>
      <c r="AX23" s="166" t="e">
        <f>SUMPRODUCT(Table47[Rev. Based on PROB]*Table47[Expected CMR]*(Table47[Projected 
Year]=AV$1)*(Table47[Monthly revenue]=AV$2)*(Table47[Service]=$B23))/MAX(1,AV23*1000)</f>
        <v>#REF!</v>
      </c>
      <c r="AY23" s="95">
        <f>ROUND(SUMIFS(Table47[Rev. Based on PROB],Table47[Service],$B23,Table47[Projected 
Year],AY$1,Table47[Monthly revenue],AY$2),-3)/1000</f>
        <v>0</v>
      </c>
      <c r="AZ23" s="165" t="e">
        <f>SUMPRODUCT(Table47[Probability]*Table47[Rev. Based on PROB]*(Table47[Service]=$B23)*(Table47[Projected 
Year]=AY$1)*(Table47[Monthly revenue]=AY$2))/MAX(1,SUMPRODUCT(Table47[Rev. Based on PROB]*(Table47[Service]=$B23)*(Table47[Projected 
Year]=AY$1)*(Table47[Monthly revenue]=AY$2)))</f>
        <v>#REF!</v>
      </c>
      <c r="BA23" s="166" t="e">
        <f>SUMPRODUCT(Table47[Rev. Based on PROB]*Table47[Expected CMR]*(Table47[Projected 
Year]=AY$1)*(Table47[Monthly revenue]=AY$2)*(Table47[Service]=$B23))/MAX(1,AY23*1000)</f>
        <v>#REF!</v>
      </c>
      <c r="BB23" s="95">
        <f>ROUND(SUMIFS(Table47[Rev. Based on PROB],Table47[Service],$B23,Table47[Projected 
Year],BB$1,Table47[Monthly revenue],BB$2),-3)/1000</f>
        <v>0</v>
      </c>
      <c r="BC23" s="165" t="e">
        <f>SUMPRODUCT(Table47[Probability]*Table47[Rev. Based on PROB]*(Table47[Service]=$B23)*(Table47[Projected 
Year]=BB$1)*(Table47[Monthly revenue]=BB$2))/MAX(1,SUMPRODUCT(Table47[Rev. Based on PROB]*(Table47[Service]=$B23)*(Table47[Projected 
Year]=BB$1)*(Table47[Monthly revenue]=BB$2)))</f>
        <v>#REF!</v>
      </c>
      <c r="BD23" s="166" t="e">
        <f>SUMPRODUCT(Table47[Rev. Based on PROB]*Table47[Expected CMR]*(Table47[Projected 
Year]=BB$1)*(Table47[Monthly revenue]=BB$2)*(Table47[Service]=$B23))/MAX(1,BB23*1000)</f>
        <v>#REF!</v>
      </c>
      <c r="BE23" s="95">
        <f>ROUND(SUMIFS(Table47[Rev. Based on PROB],Table47[Service],$B23,Table47[Projected 
Year],BE$1,Table47[Monthly revenue],BE$2),-3)/1000</f>
        <v>0</v>
      </c>
      <c r="BF23" s="165" t="e">
        <f>SUMPRODUCT(Table47[Probability]*Table47[Rev. Based on PROB]*(Table47[Service]=$B23)*(Table47[Projected 
Year]=BE$1)*(Table47[Monthly revenue]=BE$2))/MAX(1,SUMPRODUCT(Table47[Rev. Based on PROB]*(Table47[Service]=$B23)*(Table47[Projected 
Year]=BE$1)*(Table47[Monthly revenue]=BE$2)))</f>
        <v>#REF!</v>
      </c>
      <c r="BG23" s="166" t="e">
        <f>SUMPRODUCT(Table47[Rev. Based on PROB]*Table47[Expected CMR]*(Table47[Projected 
Year]=BE$1)*(Table47[Monthly revenue]=BE$2)*(Table47[Service]=$B23))/MAX(1,BE23*1000)</f>
        <v>#REF!</v>
      </c>
      <c r="BH23" s="95">
        <f>ROUND(SUMIFS(Table47[Rev. Based on PROB],Table47[Service],$B23,Table47[Projected 
Year],BH$1,Table47[Monthly revenue],BH$2),-3)/1000</f>
        <v>0</v>
      </c>
      <c r="BI23" s="165" t="e">
        <f>SUMPRODUCT(Table47[Probability]*Table47[Rev. Based on PROB]*(Table47[Service]=$B23)*(Table47[Projected 
Year]=BH$1)*(Table47[Monthly revenue]=BH$2))/MAX(1,SUMPRODUCT(Table47[Rev. Based on PROB]*(Table47[Service]=$B23)*(Table47[Projected 
Year]=BH$1)*(Table47[Monthly revenue]=BH$2)))</f>
        <v>#REF!</v>
      </c>
      <c r="BJ23" s="166" t="e">
        <f>SUMPRODUCT(Table47[Rev. Based on PROB]*Table47[Expected CMR]*(Table47[Projected 
Year]=BH$1)*(Table47[Monthly revenue]=BH$2)*(Table47[Service]=$B23))/MAX(1,BH23*1000)</f>
        <v>#REF!</v>
      </c>
      <c r="BK23" s="95">
        <f>ROUND(SUMIFS(Table47[Rev. Based on PROB],Table47[Service],$B23,Table47[Projected 
Year],BK$1,Table47[Monthly revenue],BK$2),-3)/1000</f>
        <v>0</v>
      </c>
      <c r="BL23" s="165" t="e">
        <f>SUMPRODUCT(Table47[Probability]*Table47[Rev. Based on PROB]*(Table47[Service]=$B23)*(Table47[Projected 
Year]=BK$1)*(Table47[Monthly revenue]=BK$2))/MAX(1,SUMPRODUCT(Table47[Rev. Based on PROB]*(Table47[Service]=$B23)*(Table47[Projected 
Year]=BK$1)*(Table47[Monthly revenue]=BK$2)))</f>
        <v>#REF!</v>
      </c>
      <c r="BM23" s="166" t="e">
        <f>SUMPRODUCT(Table47[Rev. Based on PROB]*Table47[Expected CMR]*(Table47[Projected 
Year]=BK$1)*(Table47[Monthly revenue]=BK$2)*(Table47[Service]=$B23))/MAX(1,BK23*1000)</f>
        <v>#REF!</v>
      </c>
      <c r="BN23" s="95">
        <f>ROUND(SUMIFS(Table47[Rev. Based on PROB],Table47[Service],$B23,Table47[Projected 
Year],BN$1,Table47[Monthly revenue],BN$2),-3)/1000</f>
        <v>0</v>
      </c>
      <c r="BO23" s="165" t="e">
        <f>SUMPRODUCT(Table47[Probability]*Table47[Rev. Based on PROB]*(Table47[Service]=$B23)*(Table47[Projected 
Year]=BN$1)*(Table47[Monthly revenue]=BN$2))/MAX(1,SUMPRODUCT(Table47[Rev. Based on PROB]*(Table47[Service]=$B23)*(Table47[Projected 
Year]=BN$1)*(Table47[Monthly revenue]=BN$2)))</f>
        <v>#REF!</v>
      </c>
      <c r="BP23" s="166" t="e">
        <f>SUMPRODUCT(Table47[Rev. Based on PROB]*Table47[Expected CMR]*(Table47[Projected 
Year]=BN$1)*(Table47[Monthly revenue]=BN$2)*(Table47[Service]=$B23))/MAX(1,BN23*1000)</f>
        <v>#REF!</v>
      </c>
      <c r="BQ23" s="95">
        <f>ROUND(SUMIFS(Table47[Rev. Based on PROB],Table47[Service],$B23,Table47[Projected 
Year],BQ$1,Table47[Monthly revenue],BQ$2),-3)/1000</f>
        <v>0</v>
      </c>
      <c r="BR23" s="165" t="e">
        <f>SUMPRODUCT(Table47[Probability]*Table47[Rev. Based on PROB]*(Table47[Service]=$B23)*(Table47[Projected 
Year]=BQ$1)*(Table47[Monthly revenue]=BQ$2))/MAX(1,SUMPRODUCT(Table47[Rev. Based on PROB]*(Table47[Service]=$B23)*(Table47[Projected 
Year]=BQ$1)*(Table47[Monthly revenue]=BQ$2)))</f>
        <v>#REF!</v>
      </c>
      <c r="BS23" s="166" t="e">
        <f>SUMPRODUCT(Table47[Rev. Based on PROB]*Table47[Expected CMR]*(Table47[Projected 
Year]=BQ$1)*(Table47[Monthly revenue]=BQ$2)*(Table47[Service]=$B23))/MAX(1,BQ23*1000)</f>
        <v>#REF!</v>
      </c>
      <c r="BT23" s="95">
        <f>ROUND(SUMIFS(Table47[Rev. Based on PROB],Table47[Service],$B23,Table47[Projected 
Year],BT$1,Table47[Monthly revenue],BT$2),-3)/1000</f>
        <v>0</v>
      </c>
      <c r="BU23" s="165" t="e">
        <f>SUMPRODUCT(Table47[Probability]*Table47[Rev. Based on PROB]*(Table47[Service]=$B23)*(Table47[Projected 
Year]=BT$1)*(Table47[Monthly revenue]=BT$2))/MAX(1,SUMPRODUCT(Table47[Rev. Based on PROB]*(Table47[Service]=$B23)*(Table47[Projected 
Year]=BT$1)*(Table47[Monthly revenue]=BT$2)))</f>
        <v>#REF!</v>
      </c>
      <c r="BV23" s="166" t="e">
        <f>SUMPRODUCT(Table47[Rev. Based on PROB]*Table47[Expected CMR]*(Table47[Projected 
Year]=BT$1)*(Table47[Monthly revenue]=BT$2)*(Table47[Service]=$B23))/MAX(1,BT23*1000)</f>
        <v>#REF!</v>
      </c>
      <c r="BW23" s="95">
        <f>ROUND(SUMIFS(Table47[Rev. Based on PROB],Table47[Service],$B23,Table47[Projected 
Year],BW$1,Table47[Monthly revenue],BW$2),-3)/1000</f>
        <v>0</v>
      </c>
      <c r="BX23" s="165" t="e">
        <f>SUMPRODUCT(Table47[Probability]*Table47[Rev. Based on PROB]*(Table47[Service]=$B23)*(Table47[Projected 
Year]=BW$1)*(Table47[Monthly revenue]=BW$2))/MAX(1,SUMPRODUCT(Table47[Rev. Based on PROB]*(Table47[Service]=$B23)*(Table47[Projected 
Year]=BW$1)*(Table47[Monthly revenue]=BW$2)))</f>
        <v>#REF!</v>
      </c>
      <c r="BY23" s="166" t="e">
        <f>SUMPRODUCT(Table47[Rev. Based on PROB]*Table47[Expected CMR]*(Table47[Projected 
Year]=BW$1)*(Table47[Monthly revenue]=BW$2)*(Table47[Service]=$B23))/MAX(1,BW23*1000)</f>
        <v>#REF!</v>
      </c>
      <c r="BZ23" s="95">
        <f t="shared" si="4"/>
        <v>0</v>
      </c>
      <c r="CA23" s="95">
        <f t="shared" si="8"/>
        <v>0</v>
      </c>
      <c r="CB23" s="95">
        <f t="shared" si="9"/>
        <v>0</v>
      </c>
    </row>
    <row r="24" spans="1:80">
      <c r="A24" s="996"/>
      <c r="B24" s="980"/>
      <c r="C24" s="95">
        <f>ROUND(SUMIFS(Table4[Rev. Based on PROB],Table4[Service],$B24,Table4[Projected 
Year],C$1,Table4[Projected 
Month],C$2),-3)/1000</f>
        <v>0</v>
      </c>
      <c r="D24" s="165">
        <f>SUMPRODUCT(Table4[Probability]*Table4[Rev. Based on PROB]*(Table4[Service]=$B24)*(Table4[Projected 
Year]=C$1)*(Table4[Projected 
Month]=C$2))/MAX(1,SUMPRODUCT(Table4[Rev. Based on PROB]*(Table4[Service]=$B24)*(Table4[Projected 
Year]=C$1)*(Table4[Projected 
Month]=C$2)))</f>
        <v>0</v>
      </c>
      <c r="E24" s="166">
        <f>SUMPRODUCT(Table4[Rev. Based on PROB]*Table4[Expected CMR]*(Table4[Projected 
Year]=C$1)*(Table4[Projected 
Month]=C$2)*(Table4[Service]=$B24))/MAX(1,C24*1000)</f>
        <v>0</v>
      </c>
      <c r="F24" s="95">
        <f>ROUND(SUMIFS(Table4[Rev. Based on PROB],Table4[Service],$B24,Table4[Projected 
Year],F$1,Table4[Projected 
Month],F$2),-3)/1000</f>
        <v>0</v>
      </c>
      <c r="G24" s="165">
        <f>SUMPRODUCT(Table4[Probability]*Table4[Rev. Based on PROB]*(Table4[Service]=$B24)*(Table4[Projected 
Year]=F$1)*(Table4[Projected 
Month]=F$2))/MAX(1,SUMPRODUCT(Table4[Rev. Based on PROB]*(Table4[Service]=$B24)*(Table4[Projected 
Year]=F$1)*(Table4[Projected 
Month]=F$2)))</f>
        <v>0</v>
      </c>
      <c r="H24" s="166">
        <f>SUMPRODUCT(Table4[Rev. Based on PROB]*Table4[Expected CMR]*(Table4[Projected 
Year]=F$1)*(Table4[Projected 
Month]=F$2)*(Table4[Service]=$B24))/MAX(1,F24*1000)</f>
        <v>0</v>
      </c>
      <c r="I24" s="95">
        <f>ROUND(SUMIFS(Table4[Rev. Based on PROB],Table4[Service],$B24,Table4[Projected 
Year],I$1,Table4[Projected 
Month],I$2),-3)/1000</f>
        <v>0</v>
      </c>
      <c r="J24" s="165">
        <f>SUMPRODUCT(Table4[Probability]*Table4[Rev. Based on PROB]*(Table4[Service]=$B24)*(Table4[Projected 
Year]=I$1)*(Table4[Projected 
Month]=I$2))/MAX(1,SUMPRODUCT(Table4[Rev. Based on PROB]*(Table4[Service]=$B24)*(Table4[Projected 
Year]=I$1)*(Table4[Projected 
Month]=I$2)))</f>
        <v>0</v>
      </c>
      <c r="K24" s="166">
        <f>SUMPRODUCT(Table4[Rev. Based on PROB]*Table4[Expected CMR]*(Table4[Projected 
Year]=I$1)*(Table4[Projected 
Month]=I$2)*(Table4[Service]=$B24))/MAX(1,I24*1000)</f>
        <v>0</v>
      </c>
      <c r="L24" s="95">
        <f>ROUND(SUMIFS(Table4[Rev. Based on PROB],Table4[Service],$B24,Table4[Projected 
Year],L$1,Table4[Projected 
Month],L$2),-3)/1000</f>
        <v>0</v>
      </c>
      <c r="M24" s="165">
        <f>SUMPRODUCT(Table4[Probability]*Table4[Rev. Based on PROB]*(Table4[Service]=$B24)*(Table4[Projected 
Year]=L$1)*(Table4[Projected 
Month]=L$2))/MAX(1,SUMPRODUCT(Table4[Rev. Based on PROB]*(Table4[Service]=$B24)*(Table4[Projected 
Year]=L$1)*(Table4[Projected 
Month]=L$2)))</f>
        <v>0</v>
      </c>
      <c r="N24" s="166">
        <f>SUMPRODUCT(Table4[Rev. Based on PROB]*Table4[Expected CMR]*(Table4[Projected 
Year]=L$1)*(Table4[Projected 
Month]=L$2)*(Table4[Service]=$B24))/MAX(1,L24*1000)</f>
        <v>0</v>
      </c>
      <c r="O24" s="95">
        <f>ROUND(SUMIFS(Table4[Rev. Based on PROB],Table4[Service],$B24,Table4[Projected 
Year],O$1,Table4[Projected 
Month],O$2),-3)/1000</f>
        <v>0</v>
      </c>
      <c r="P24" s="165">
        <f>SUMPRODUCT(Table4[Probability]*Table4[Rev. Based on PROB]*(Table4[Service]=$B24)*(Table4[Projected 
Year]=O$1)*(Table4[Projected 
Month]=O$2))/MAX(1,SUMPRODUCT(Table4[Rev. Based on PROB]*(Table4[Service]=$B24)*(Table4[Projected 
Year]=O$1)*(Table4[Projected 
Month]=O$2)))</f>
        <v>0</v>
      </c>
      <c r="Q24" s="166">
        <f>SUMPRODUCT(Table4[Rev. Based on PROB]*Table4[Expected CMR]*(Table4[Projected 
Year]=O$1)*(Table4[Projected 
Month]=O$2)*(Table4[Service]=$B24))/MAX(1,O24*1000)</f>
        <v>0</v>
      </c>
      <c r="R24" s="95">
        <f>ROUND(SUMIFS(Table4[Rev. Based on PROB],Table4[Service],$B24,Table4[Projected 
Year],R$1,Table4[Projected 
Month],R$2),-3)/1000</f>
        <v>0</v>
      </c>
      <c r="S24" s="165">
        <f>SUMPRODUCT(Table4[Probability]*Table4[Rev. Based on PROB]*(Table4[Service]=$B24)*(Table4[Projected 
Year]=R$1)*(Table4[Projected 
Month]=R$2))/MAX(1,SUMPRODUCT(Table4[Rev. Based on PROB]*(Table4[Service]=$B24)*(Table4[Projected 
Year]=R$1)*(Table4[Projected 
Month]=R$2)))</f>
        <v>0</v>
      </c>
      <c r="T24" s="166">
        <f>SUMPRODUCT(Table4[Rev. Based on PROB]*Table4[Expected CMR]*(Table4[Projected 
Year]=R$1)*(Table4[Projected 
Month]=R$2)*(Table4[Service]=$B24))/MAX(1,R24*1000)</f>
        <v>0</v>
      </c>
      <c r="U24" s="95">
        <f>ROUND(SUMIFS(Table4[Rev. Based on PROB],Table4[Service],$B24,Table4[Projected 
Year],U$1,Table4[Projected 
Month],U$2),-3)/1000</f>
        <v>0</v>
      </c>
      <c r="V24" s="165">
        <f>SUMPRODUCT(Table4[Probability]*Table4[Rev. Based on PROB]*(Table4[Service]=$B24)*(Table4[Projected 
Year]=U$1)*(Table4[Projected 
Month]=U$2))/MAX(1,SUMPRODUCT(Table4[Rev. Based on PROB]*(Table4[Service]=$B24)*(Table4[Projected 
Year]=U$1)*(Table4[Projected 
Month]=U$2)))</f>
        <v>0</v>
      </c>
      <c r="W24" s="166">
        <f>SUMPRODUCT(Table4[Rev. Based on PROB]*Table4[Expected CMR]*(Table4[Projected 
Year]=U$1)*(Table4[Projected 
Month]=U$2)*(Table4[Service]=$B24))/MAX(1,U24*1000)</f>
        <v>0</v>
      </c>
      <c r="X24" s="95">
        <f>ROUND(SUMIFS(Table4[Rev. Based on PROB],Table4[Service],$B24,Table4[Projected 
Year],X$1,Table4[Projected 
Month],X$2),-3)/1000</f>
        <v>0</v>
      </c>
      <c r="Y24" s="165">
        <f>SUMPRODUCT(Table4[Probability]*Table4[Rev. Based on PROB]*(Table4[Service]=$B24)*(Table4[Projected 
Year]=X$1)*(Table4[Projected 
Month]=X$2))/MAX(1,SUMPRODUCT(Table4[Rev. Based on PROB]*(Table4[Service]=$B24)*(Table4[Projected 
Year]=X$1)*(Table4[Projected 
Month]=X$2)))</f>
        <v>0</v>
      </c>
      <c r="Z24" s="166">
        <f>SUMPRODUCT(Table4[Rev. Based on PROB]*Table4[Expected CMR]*(Table4[Projected 
Year]=X$1)*(Table4[Projected 
Month]=X$2)*(Table4[Service]=$B24))/MAX(1,X24*1000)</f>
        <v>0</v>
      </c>
      <c r="AA24" s="95">
        <f>ROUND(SUMIFS(Table4[Rev. Based on PROB],Table4[Service],$B24,Table4[Projected 
Year],AA$1,Table4[Projected 
Month],AA$2),-3)/1000</f>
        <v>0</v>
      </c>
      <c r="AB24" s="165">
        <f>SUMPRODUCT(Table4[Probability]*Table4[Rev. Based on PROB]*(Table4[Service]=$B24)*(Table4[Projected 
Year]=AA$1)*(Table4[Projected 
Month]=AA$2))/MAX(1,SUMPRODUCT(Table4[Rev. Based on PROB]*(Table4[Service]=$B24)*(Table4[Projected 
Year]=AA$1)*(Table4[Projected 
Month]=AA$2)))</f>
        <v>0</v>
      </c>
      <c r="AC24" s="166">
        <f>SUMPRODUCT(Table4[Rev. Based on PROB]*Table4[Expected CMR]*(Table4[Projected 
Year]=AA$1)*(Table4[Projected 
Month]=AA$2)*(Table4[Service]=$B24))/MAX(1,AA24*1000)</f>
        <v>0</v>
      </c>
      <c r="AD24" s="95">
        <f>ROUND(SUMIFS(Table4[Rev. Based on PROB],Table4[Service],$B24,Table4[Projected 
Year],AD$1,Table4[Projected 
Month],AD$2),-3)/1000</f>
        <v>0</v>
      </c>
      <c r="AE24" s="165">
        <f>SUMPRODUCT(Table4[Probability]*Table4[Rev. Based on PROB]*(Table4[Service]=$B24)*(Table4[Projected 
Year]=AD$1)*(Table4[Projected 
Month]=AD$2))/MAX(1,SUMPRODUCT(Table4[Rev. Based on PROB]*(Table4[Service]=$B24)*(Table4[Projected 
Year]=AD$1)*(Table4[Projected 
Month]=AD$2)))</f>
        <v>0</v>
      </c>
      <c r="AF24" s="166">
        <f>SUMPRODUCT(Table4[Rev. Based on PROB]*Table4[Expected CMR]*(Table4[Projected 
Year]=AD$1)*(Table4[Projected 
Month]=AD$2)*(Table4[Service]=$B24))/MAX(1,AD24*1000)</f>
        <v>0</v>
      </c>
      <c r="AG24" s="95">
        <f>ROUND(SUMIFS(Table4[Rev. Based on PROB],Table4[Service],$B24,Table4[Projected 
Year],AG$1,Table4[Projected 
Month],AG$2),-3)/1000</f>
        <v>0</v>
      </c>
      <c r="AH24" s="165">
        <f>SUMPRODUCT(Table4[Probability]*Table4[Rev. Based on PROB]*(Table4[Service]=$B24)*(Table4[Projected 
Year]=AG$1)*(Table4[Projected 
Month]=AG$2))/MAX(1,SUMPRODUCT(Table4[Rev. Based on PROB]*(Table4[Service]=$B24)*(Table4[Projected 
Year]=AG$1)*(Table4[Projected 
Month]=AG$2)))</f>
        <v>0</v>
      </c>
      <c r="AI24" s="166">
        <f>SUMPRODUCT(Table4[Rev. Based on PROB]*Table4[Expected CMR]*(Table4[Projected 
Year]=AG$1)*(Table4[Projected 
Month]=AG$2)*(Table4[Service]=$B24))/MAX(1,AG24*1000)</f>
        <v>0</v>
      </c>
      <c r="AJ24" s="95">
        <f>ROUND(SUMIFS(Table4[Rev. Based on PROB],Table4[Service],$B24,Table4[Projected 
Year],AJ$1,Table4[Projected 
Month],AJ$2),-3)/1000</f>
        <v>0</v>
      </c>
      <c r="AK24" s="165">
        <f>SUMPRODUCT(Table4[Probability]*Table4[Rev. Based on PROB]*(Table4[Service]=$B24)*(Table4[Projected 
Year]=AJ$1)*(Table4[Projected 
Month]=AJ$2))/MAX(1,SUMPRODUCT(Table4[Rev. Based on PROB]*(Table4[Service]=$B24)*(Table4[Projected 
Year]=AJ$1)*(Table4[Projected 
Month]=AJ$2)))</f>
        <v>0</v>
      </c>
      <c r="AL24" s="166">
        <f>SUMPRODUCT(Table4[Rev. Based on PROB]*Table4[Expected CMR]*(Table4[Projected 
Year]=AJ$1)*(Table4[Projected 
Month]=AJ$2)*(Table4[Service]=$B24))/MAX(1,AJ24*1000)</f>
        <v>0</v>
      </c>
      <c r="AM24" s="31"/>
      <c r="AN24" s="54"/>
      <c r="AO24" s="55"/>
      <c r="AP24" s="95">
        <f>ROUND(SUMIFS(Table47[Rev. Based on PROB],Table47[Service],$B24,Table47[Projected 
Year],AP$1,Table47[Monthly revenue],AP$2),-3)/1000</f>
        <v>0</v>
      </c>
      <c r="AQ24" s="167" t="e">
        <f>SUMPRODUCT(Table47[Probability]*Table47[Rev. Based on PROB]*(Table47[Service]=$B24)*(Table47[Projected 
Year]=AP$1)*(Table47[Monthly revenue]=AP$2))/MAX(1,SUMPRODUCT(Table47[Rev. Based on PROB]*(Table47[Service]=$B24)*(Table47[Projected 
Year]=AP$1)*(Table47[Monthly revenue]=AP$2)))</f>
        <v>#REF!</v>
      </c>
      <c r="AR24" s="168" t="e">
        <f>SUMPRODUCT(Table47[Rev. Based on PROB]*Table47[Expected CMR]*(Table47[Projected 
Year]=AP$1)*(Table47[Monthly revenue]=AP$2)*(Table47[Service]=$B24))/MAX(1,AP24*1000)</f>
        <v>#REF!</v>
      </c>
      <c r="AS24" s="98">
        <f>ROUND(SUMIFS(Table47[Rev. Based on PROB],Table47[Service],$B24,Table47[Projected 
Year],AS$1,Table47[Monthly revenue],AS$2),-3)/1000</f>
        <v>0</v>
      </c>
      <c r="AT24" s="167" t="e">
        <f>SUMPRODUCT(Table47[Probability]*Table47[Rev. Based on PROB]*(Table47[Service]=$B24)*(Table47[Projected 
Year]=AS$1)*(Table47[Monthly revenue]=AS$2))/MAX(1,SUMPRODUCT(Table47[Rev. Based on PROB]*(Table47[Service]=$B24)*(Table47[Projected 
Year]=AS$1)*(Table47[Monthly revenue]=AS$2)))</f>
        <v>#REF!</v>
      </c>
      <c r="AU24" s="168" t="e">
        <f>SUMPRODUCT(Table47[Rev. Based on PROB]*Table47[Expected CMR]*(Table47[Projected 
Year]=AS$1)*(Table47[Monthly revenue]=AS$2)*(Table47[Service]=$B24))/MAX(1,AS24*1000)</f>
        <v>#REF!</v>
      </c>
      <c r="AV24" s="95">
        <f>ROUND(SUMIFS(Table47[Rev. Based on PROB],Table47[Service],$B24,Table47[Projected 
Year],AV$1,Table47[Monthly revenue],AV$2),-3)/1000</f>
        <v>0</v>
      </c>
      <c r="AW24" s="167" t="e">
        <f>SUMPRODUCT(Table47[Probability]*Table47[Rev. Based on PROB]*(Table47[Service]=$B24)*(Table47[Projected 
Year]=AV$1)*(Table47[Monthly revenue]=AV$2))/MAX(1,SUMPRODUCT(Table47[Rev. Based on PROB]*(Table47[Service]=$B24)*(Table47[Projected 
Year]=AV$1)*(Table47[Monthly revenue]=AV$2)))</f>
        <v>#REF!</v>
      </c>
      <c r="AX24" s="168" t="e">
        <f>SUMPRODUCT(Table47[Rev. Based on PROB]*Table47[Expected CMR]*(Table47[Projected 
Year]=AV$1)*(Table47[Monthly revenue]=AV$2)*(Table47[Service]=$B24))/MAX(1,AV24*1000)</f>
        <v>#REF!</v>
      </c>
      <c r="AY24" s="95">
        <f>ROUND(SUMIFS(Table47[Rev. Based on PROB],Table47[Service],$B24,Table47[Projected 
Year],AY$1,Table47[Monthly revenue],AY$2),-3)/1000</f>
        <v>0</v>
      </c>
      <c r="AZ24" s="167" t="e">
        <f>SUMPRODUCT(Table47[Probability]*Table47[Rev. Based on PROB]*(Table47[Service]=$B24)*(Table47[Projected 
Year]=AY$1)*(Table47[Monthly revenue]=AY$2))/MAX(1,SUMPRODUCT(Table47[Rev. Based on PROB]*(Table47[Service]=$B24)*(Table47[Projected 
Year]=AY$1)*(Table47[Monthly revenue]=AY$2)))</f>
        <v>#REF!</v>
      </c>
      <c r="BA24" s="168" t="e">
        <f>SUMPRODUCT(Table47[Rev. Based on PROB]*Table47[Expected CMR]*(Table47[Projected 
Year]=AY$1)*(Table47[Monthly revenue]=AY$2)*(Table47[Service]=$B24))/MAX(1,AY24*1000)</f>
        <v>#REF!</v>
      </c>
      <c r="BB24" s="95">
        <f>ROUND(SUMIFS(Table47[Rev. Based on PROB],Table47[Service],$B24,Table47[Projected 
Year],BB$1,Table47[Monthly revenue],BB$2),-3)/1000</f>
        <v>0</v>
      </c>
      <c r="BC24" s="167" t="e">
        <f>SUMPRODUCT(Table47[Probability]*Table47[Rev. Based on PROB]*(Table47[Service]=$B24)*(Table47[Projected 
Year]=BB$1)*(Table47[Monthly revenue]=BB$2))/MAX(1,SUMPRODUCT(Table47[Rev. Based on PROB]*(Table47[Service]=$B24)*(Table47[Projected 
Year]=BB$1)*(Table47[Monthly revenue]=BB$2)))</f>
        <v>#REF!</v>
      </c>
      <c r="BD24" s="168" t="e">
        <f>SUMPRODUCT(Table47[Rev. Based on PROB]*Table47[Expected CMR]*(Table47[Projected 
Year]=BB$1)*(Table47[Monthly revenue]=BB$2)*(Table47[Service]=$B24))/MAX(1,BB24*1000)</f>
        <v>#REF!</v>
      </c>
      <c r="BE24" s="95">
        <f>ROUND(SUMIFS(Table47[Rev. Based on PROB],Table47[Service],$B24,Table47[Projected 
Year],BE$1,Table47[Monthly revenue],BE$2),-3)/1000</f>
        <v>0</v>
      </c>
      <c r="BF24" s="167" t="e">
        <f>SUMPRODUCT(Table47[Probability]*Table47[Rev. Based on PROB]*(Table47[Service]=$B24)*(Table47[Projected 
Year]=BE$1)*(Table47[Monthly revenue]=BE$2))/MAX(1,SUMPRODUCT(Table47[Rev. Based on PROB]*(Table47[Service]=$B24)*(Table47[Projected 
Year]=BE$1)*(Table47[Monthly revenue]=BE$2)))</f>
        <v>#REF!</v>
      </c>
      <c r="BG24" s="168" t="e">
        <f>SUMPRODUCT(Table47[Rev. Based on PROB]*Table47[Expected CMR]*(Table47[Projected 
Year]=BE$1)*(Table47[Monthly revenue]=BE$2)*(Table47[Service]=$B24))/MAX(1,BE24*1000)</f>
        <v>#REF!</v>
      </c>
      <c r="BH24" s="95">
        <f>ROUND(SUMIFS(Table47[Rev. Based on PROB],Table47[Service],$B24,Table47[Projected 
Year],BH$1,Table47[Monthly revenue],BH$2),-3)/1000</f>
        <v>0</v>
      </c>
      <c r="BI24" s="167" t="e">
        <f>SUMPRODUCT(Table47[Probability]*Table47[Rev. Based on PROB]*(Table47[Service]=$B24)*(Table47[Projected 
Year]=BH$1)*(Table47[Monthly revenue]=BH$2))/MAX(1,SUMPRODUCT(Table47[Rev. Based on PROB]*(Table47[Service]=$B24)*(Table47[Projected 
Year]=BH$1)*(Table47[Monthly revenue]=BH$2)))</f>
        <v>#REF!</v>
      </c>
      <c r="BJ24" s="168" t="e">
        <f>SUMPRODUCT(Table47[Rev. Based on PROB]*Table47[Expected CMR]*(Table47[Projected 
Year]=BH$1)*(Table47[Monthly revenue]=BH$2)*(Table47[Service]=$B24))/MAX(1,BH24*1000)</f>
        <v>#REF!</v>
      </c>
      <c r="BK24" s="95">
        <f>ROUND(SUMIFS(Table47[Rev. Based on PROB],Table47[Service],$B24,Table47[Projected 
Year],BK$1,Table47[Monthly revenue],BK$2),-3)/1000</f>
        <v>0</v>
      </c>
      <c r="BL24" s="167" t="e">
        <f>SUMPRODUCT(Table47[Probability]*Table47[Rev. Based on PROB]*(Table47[Service]=$B24)*(Table47[Projected 
Year]=BK$1)*(Table47[Monthly revenue]=BK$2))/MAX(1,SUMPRODUCT(Table47[Rev. Based on PROB]*(Table47[Service]=$B24)*(Table47[Projected 
Year]=BK$1)*(Table47[Monthly revenue]=BK$2)))</f>
        <v>#REF!</v>
      </c>
      <c r="BM24" s="168" t="e">
        <f>SUMPRODUCT(Table47[Rev. Based on PROB]*Table47[Expected CMR]*(Table47[Projected 
Year]=BK$1)*(Table47[Monthly revenue]=BK$2)*(Table47[Service]=$B24))/MAX(1,BK24*1000)</f>
        <v>#REF!</v>
      </c>
      <c r="BN24" s="95">
        <f>ROUND(SUMIFS(Table47[Rev. Based on PROB],Table47[Service],$B24,Table47[Projected 
Year],BN$1,Table47[Monthly revenue],BN$2),-3)/1000</f>
        <v>0</v>
      </c>
      <c r="BO24" s="167" t="e">
        <f>SUMPRODUCT(Table47[Probability]*Table47[Rev. Based on PROB]*(Table47[Service]=$B24)*(Table47[Projected 
Year]=BN$1)*(Table47[Monthly revenue]=BN$2))/MAX(1,SUMPRODUCT(Table47[Rev. Based on PROB]*(Table47[Service]=$B24)*(Table47[Projected 
Year]=BN$1)*(Table47[Monthly revenue]=BN$2)))</f>
        <v>#REF!</v>
      </c>
      <c r="BP24" s="168" t="e">
        <f>SUMPRODUCT(Table47[Rev. Based on PROB]*Table47[Expected CMR]*(Table47[Projected 
Year]=BN$1)*(Table47[Monthly revenue]=BN$2)*(Table47[Service]=$B24))/MAX(1,BN24*1000)</f>
        <v>#REF!</v>
      </c>
      <c r="BQ24" s="95">
        <f>ROUND(SUMIFS(Table47[Rev. Based on PROB],Table47[Service],$B24,Table47[Projected 
Year],BQ$1,Table47[Monthly revenue],BQ$2),-3)/1000</f>
        <v>0</v>
      </c>
      <c r="BR24" s="167" t="e">
        <f>SUMPRODUCT(Table47[Probability]*Table47[Rev. Based on PROB]*(Table47[Service]=$B24)*(Table47[Projected 
Year]=BQ$1)*(Table47[Monthly revenue]=BQ$2))/MAX(1,SUMPRODUCT(Table47[Rev. Based on PROB]*(Table47[Service]=$B24)*(Table47[Projected 
Year]=BQ$1)*(Table47[Monthly revenue]=BQ$2)))</f>
        <v>#REF!</v>
      </c>
      <c r="BS24" s="168" t="e">
        <f>SUMPRODUCT(Table47[Rev. Based on PROB]*Table47[Expected CMR]*(Table47[Projected 
Year]=BQ$1)*(Table47[Monthly revenue]=BQ$2)*(Table47[Service]=$B24))/MAX(1,BQ24*1000)</f>
        <v>#REF!</v>
      </c>
      <c r="BT24" s="95">
        <f>ROUND(SUMIFS(Table47[Rev. Based on PROB],Table47[Service],$B24,Table47[Projected 
Year],BT$1,Table47[Monthly revenue],BT$2),-3)/1000</f>
        <v>0</v>
      </c>
      <c r="BU24" s="167" t="e">
        <f>SUMPRODUCT(Table47[Probability]*Table47[Rev. Based on PROB]*(Table47[Service]=$B24)*(Table47[Projected 
Year]=BT$1)*(Table47[Monthly revenue]=BT$2))/MAX(1,SUMPRODUCT(Table47[Rev. Based on PROB]*(Table47[Service]=$B24)*(Table47[Projected 
Year]=BT$1)*(Table47[Monthly revenue]=BT$2)))</f>
        <v>#REF!</v>
      </c>
      <c r="BV24" s="168" t="e">
        <f>SUMPRODUCT(Table47[Rev. Based on PROB]*Table47[Expected CMR]*(Table47[Projected 
Year]=BT$1)*(Table47[Monthly revenue]=BT$2)*(Table47[Service]=$B24))/MAX(1,BT24*1000)</f>
        <v>#REF!</v>
      </c>
      <c r="BW24" s="95">
        <f>ROUND(SUMIFS(Table47[Rev. Based on PROB],Table47[Service],$B24,Table47[Projected 
Year],BW$1,Table47[Monthly revenue],BW$2),-3)/1000</f>
        <v>0</v>
      </c>
      <c r="BX24" s="167" t="e">
        <f>SUMPRODUCT(Table47[Probability]*Table47[Rev. Based on PROB]*(Table47[Service]=$B24)*(Table47[Projected 
Year]=BW$1)*(Table47[Monthly revenue]=BW$2))/MAX(1,SUMPRODUCT(Table47[Rev. Based on PROB]*(Table47[Service]=$B24)*(Table47[Projected 
Year]=BW$1)*(Table47[Monthly revenue]=BW$2)))</f>
        <v>#REF!</v>
      </c>
      <c r="BY24" s="168" t="e">
        <f>SUMPRODUCT(Table47[Rev. Based on PROB]*Table47[Expected CMR]*(Table47[Projected 
Year]=BW$1)*(Table47[Monthly revenue]=BW$2)*(Table47[Service]=$B24))/MAX(1,BW24*1000)</f>
        <v>#REF!</v>
      </c>
      <c r="BZ24" s="95">
        <f t="shared" si="4"/>
        <v>0</v>
      </c>
      <c r="CA24" s="95"/>
      <c r="CB24" s="95"/>
    </row>
    <row r="25" spans="1:80">
      <c r="A25" s="96" t="s">
        <v>301</v>
      </c>
      <c r="B25" s="97"/>
      <c r="C25" s="44">
        <f>SUM(C4:C23)</f>
        <v>0</v>
      </c>
      <c r="D25" s="45">
        <f>SUM(C$4*D$4,C$5*D$5,C$6*D$6,C$7*D$7,C$8*D$8,C$9*D$9,C$10*D$10,C$11*D$11,C$12*D$12,C$13*D$13,C$14*D$14,C$15*D$15,C$16*D$16,C$18*D$18,C$19*D$19,C$20*D$20,C$21*D$21,C$22*D$22,C$23*D$23)/MAX(1,C25)</f>
        <v>0</v>
      </c>
      <c r="E25" s="46">
        <f>SUM($AM$4*E$4,$AM$5*E$5,$AM$6*E$6,$AM$7*E$7,$AM$8*E$8,$AM$9*E$9,$AM$10*E$10,$AM$11*E$11,$AM$12*E$12,$AM$13*E$13,$AM$14*E$14,$AM$15*E$15,$AM$16*E$16,$AM$18*E$18,$AM$19*E$19,$AM$20*E$20,$AM$21*E$21,$AM$22*E$22,$AM$23*E$23)/MAX(1,$AM25)</f>
        <v>0</v>
      </c>
      <c r="F25" s="44">
        <f>SUM(F4:F23)</f>
        <v>0</v>
      </c>
      <c r="G25" s="45">
        <f>SUM(F$4*G$4,F$5*G$5,F$6*G$6,F$7*G$7,F$8*G$8,F$9*G$9,F$10*G$10,F$11*G$11,F$12*G$12,F$13*G$13,F$14*G$14,F$15*G$15,F$16*G$16,F$18*G$18,F$19*G$19,F$20*G$20,F$21*G$21,F$22*G$22,F$23*G$23)/MAX(1,F25)</f>
        <v>0</v>
      </c>
      <c r="H25" s="46">
        <f>SUM($AM$4*H$4,$AM$5*H$5,$AM$6*H$6,$AM$7*H$7,$AM$8*H$8,$AM$9*H$9,$AM$10*H$10,$AM$11*H$11,$AM$12*H$12,$AM$13*H$13,$AM$14*H$14,$AM$15*H$15,$AM$16*H$16,$AM$18*H$18,$AM$19*H$19,$AM$20*H$20,$AM$21*H$21,$AM$22*H$22,$AM$23*H$23)/MAX(1,$AM25)</f>
        <v>0</v>
      </c>
      <c r="I25" s="44">
        <f>SUM(I4:I23)</f>
        <v>0</v>
      </c>
      <c r="J25" s="45">
        <f>SUM(I$4*J$4,I$5*J$5,I$6*J$6,I$7*J$7,I$8*J$8,I$9*J$9,I$10*J$10,I$11*J$11,I$12*J$12,I$13*J$13,I$14*J$14,I$15*J$15,I$16*J$16,I$18*J$18,I$19*J$19,I$20*J$20,I$21*J$21,I$22*J$22,I$23*J$23)/MAX(1,I25)</f>
        <v>0</v>
      </c>
      <c r="K25" s="46">
        <f>SUM($AM$4*K$4,$AM$5*K$5,$AM$6*K$6,$AM$7*K$7,$AM$8*K$8,$AM$9*K$9,$AM$10*K$10,$AM$11*K$11,$AM$12*K$12,$AM$13*K$13,$AM$14*K$14,$AM$15*K$15,$AM$16*K$16,$AM$18*K$18,$AM$19*K$19,$AM$20*K$20,$AM$21*K$21,$AM$22*K$22,$AM$23*K$23)/MAX(1,$AM25)</f>
        <v>0</v>
      </c>
      <c r="L25" s="44">
        <f>SUM(L4:L23)</f>
        <v>0</v>
      </c>
      <c r="M25" s="45">
        <f>SUM(L$4*M$4,L$5*M$5,L$6*M$6,L$7*M$7,L$8*M$8,L$9*M$9,L$10*M$10,L$11*M$11,L$12*M$12,L$13*M$13,L$14*M$14,L$15*M$15,L$16*M$16,L$18*M$18,L$19*M$19,L$20*M$20,L$21*M$21,L$22*M$22,L$23*M$23)/MAX(1,L25)</f>
        <v>0</v>
      </c>
      <c r="N25" s="46">
        <f>SUM($AM$4*N$4,$AM$5*N$5,$AM$6*N$6,$AM$7*N$7,$AM$8*N$8,$AM$9*N$9,$AM$10*N$10,$AM$11*N$11,$AM$12*N$12,$AM$13*N$13,$AM$14*N$14,$AM$15*N$15,$AM$16*N$16,$AM$18*N$18,$AM$19*N$19,$AM$20*N$20,$AM$21*N$21,$AM$22*N$22,$AM$23*N$23)/MAX(1,$AM25)</f>
        <v>0</v>
      </c>
      <c r="O25" s="44">
        <f>SUM(O4:O23)</f>
        <v>0</v>
      </c>
      <c r="P25" s="45">
        <f>SUM(O$4*P$4,O$5*P$5,O$6*P$6,O$7*P$7,O$8*P$8,O$9*P$9,O$10*P$10,O$11*P$11,O$12*P$12,O$13*P$13,O$14*P$14,O$15*P$15,O$16*P$16,O$18*P$18,O$19*P$19,O$20*P$20,O$21*P$21,O$22*P$22,O$23*P$23)/MAX(1,O25)</f>
        <v>0</v>
      </c>
      <c r="Q25" s="46">
        <f>SUM($AM$4*Q$4,$AM$5*Q$5,$AM$6*Q$6,$AM$7*Q$7,$AM$8*Q$8,$AM$9*Q$9,$AM$10*Q$10,$AM$11*Q$11,$AM$12*Q$12,$AM$13*Q$13,$AM$14*Q$14,$AM$15*Q$15,$AM$16*Q$16,$AM$18*Q$18,$AM$19*Q$19,$AM$20*Q$20,$AM$21*Q$21,$AM$22*Q$22,$AM$23*Q$23)/MAX(1,$AM25)</f>
        <v>0</v>
      </c>
      <c r="R25" s="44">
        <f>SUM(R4:R24)</f>
        <v>0</v>
      </c>
      <c r="S25" s="45">
        <f>SUM(R$4*S$4,R$5*S$5,R$6*S$6,R$7*S$7,R$8*S$8,R$9*S$9,R$10*S$10,R$11*S$11,R$12*S$12,R$13*S$13,R$14*S$14,R$15*S$15,R$16*S$16,R$18*S$18,R$19*S$19,R$20*S$20,R$21*S$21,R$22*S$22,R$23*S$23)/MAX(1,R25)</f>
        <v>0</v>
      </c>
      <c r="T25" s="46">
        <f>SUM($AM$4*T$4,$AM$5*T$5,$AM$6*T$6,$AM$7*T$7,$AM$8*T$8,$AM$9*T$9,$AM$10*T$10,$AM$11*T$11,$AM$12*T$12,$AM$13*T$13,$AM$14*T$14,$AM$15*T$15,$AM$16*T$16,$AM$18*T$18,$AM$19*T$19,$AM$20*T$20,$AM$21*T$21,$AM$22*T$22,$AM$23*T$23)/MAX(1,$AM25)</f>
        <v>0</v>
      </c>
      <c r="U25" s="44">
        <f>SUM(U4:U23)</f>
        <v>0</v>
      </c>
      <c r="V25" s="45">
        <f>SUM(U$4*V$4,U$5*V$5,U$6*V$6,U$7*V$7,U$8*V$8,U$9*V$9,U$10*V$10,U$11*V$11,U$12*V$12,U$13*V$13,U$14*V$14,U$15*V$15,U$16*V$16,U$18*V$18,U$19*V$19,U$20*V$20,U$21*V$21,U$22*V$22,U$23*V$23)/MAX(1,U25)</f>
        <v>0</v>
      </c>
      <c r="W25" s="46">
        <f>SUM($AM$4*W$4,$AM$5*W$5,$AM$6*W$6,$AM$7*W$7,$AM$8*W$8,$AM$9*W$9,$AM$10*W$10,$AM$11*W$11,$AM$12*W$12,$AM$13*W$13,$AM$14*W$14,$AM$15*W$15,$AM$16*W$16,$AM$18*W$18,$AM$19*W$19,$AM$20*W$20,$AM$21*W$21,$AM$22*W$22,$AM$23*W$23)/MAX(1,$AM25)</f>
        <v>0</v>
      </c>
      <c r="X25" s="44">
        <f>SUM(X4:X23)</f>
        <v>0</v>
      </c>
      <c r="Y25" s="45">
        <f>SUM(X$4*Y$4,X$5*Y$5,X$6*Y$6,X$7*Y$7,X$8*Y$8,X$9*Y$9,X$10*Y$10,X$11*Y$11,X$12*Y$12,X$13*Y$13,X$14*Y$14,X$15*Y$15,X$16*Y$16,X$18*Y$18,X$19*Y$19,X$20*Y$20,X$21*Y$21,X$22*Y$22,X$23*Y$23)/MAX(1,X25)</f>
        <v>0</v>
      </c>
      <c r="Z25" s="46">
        <f>SUM($AM$4*Z$4,$AM$5*Z$5,$AM$6*Z$6,$AM$7*Z$7,$AM$8*Z$8,$AM$9*Z$9,$AM$10*Z$10,$AM$11*Z$11,$AM$12*Z$12,$AM$13*Z$13,$AM$14*Z$14,$AM$15*Z$15,$AM$16*Z$16,$AM$18*Z$18,$AM$19*Z$19,$AM$20*Z$20,$AM$21*Z$21,$AM$22*Z$22,$AM$23*Z$23)/MAX(1,$AM25)</f>
        <v>0</v>
      </c>
      <c r="AA25" s="44">
        <f>SUM(AA4:AA23)</f>
        <v>0</v>
      </c>
      <c r="AB25" s="45">
        <f>SUM(AA$4*AB$4,AA$5*AB$5,AA$6*AB$6,AA$7*AB$7,AA$8*AB$8,AA$9*AB$9,AA$10*AB$10,AA$11*AB$11,AA$12*AB$12,AA$13*AB$13,AA$14*AB$14,AA$15*AB$15,AA$16*AB$16,AA$18*AB$18,AA$19*AB$19,AA$20*AB$20,AA$21*AB$21,AA$22*AB$22,AA$23*AB$23)/MAX(1,AA25)</f>
        <v>0</v>
      </c>
      <c r="AC25" s="46">
        <f>SUM($AM$4*AC$4,$AM$5*AC$5,$AM$6*AC$6,$AM$7*AC$7,$AM$8*AC$8,$AM$9*AC$9,$AM$10*AC$10,$AM$11*AC$11,$AM$12*AC$12,$AM$13*AC$13,$AM$14*AC$14,$AM$15*AC$15,$AM$16*AC$16,$AM$18*AC$18,$AM$19*AC$19,$AM$20*AC$20,$AM$21*AC$21,$AM$22*AC$22,$AM$23*AC$23)/MAX(1,$AM25)</f>
        <v>0</v>
      </c>
      <c r="AD25" s="44">
        <f>SUM(AD4:AD23)</f>
        <v>0</v>
      </c>
      <c r="AE25" s="45">
        <f>SUM(AD$4*AE$4,AD$5*AE$5,AD$6*AE$6,AD$7*AE$7,AD$8*AE$8,AD$9*AE$9,AD$10*AE$10,AD$11*AE$11,AD$12*AE$12,AD$13*AE$13,AD$14*AE$14,AD$15*AE$15,AD$16*AE$16,AD$18*AE$18,AD$19*AE$19,AD$20*AE$20,AD$21*AE$21,AD$22*AE$22,AD$23*AE$23)/MAX(1,AD25)</f>
        <v>0</v>
      </c>
      <c r="AF25" s="46">
        <f>SUM($AM$4*AF$4,$AM$5*AF$5,$AM$6*AF$6,$AM$7*AF$7,$AM$8*AF$8,$AM$9*AF$9,$AM$10*AF$10,$AM$11*AF$11,$AM$12*AF$12,$AM$13*AF$13,$AM$14*AF$14,$AM$15*AF$15,$AM$16*AF$16,$AM$18*AF$18,$AM$19*AF$19,$AM$20*AF$20,$AM$21*AF$21,$AM$22*AF$22,$AM$23*AF$23)/MAX(1,$AM25)</f>
        <v>0</v>
      </c>
      <c r="AG25" s="44">
        <f>SUM(AG4:AG23)</f>
        <v>0</v>
      </c>
      <c r="AH25" s="45">
        <f>SUM(AG$4*AH$4,AG$5*AH$5,AG$6*AH$6,AG$7*AH$7,AG$8*AH$8,AG$9*AH$9,AG$10*AH$10,AG$11*AH$11,AG$12*AH$12,AG$13*AH$13,AG$14*AH$14,AG$15*AH$15,AG$16*AH$16,AG$18*AH$18,AG$19*AH$19,AG$20*AH$20,AG$21*AH$21,AG$22*AH$22,AG$23*AH$23)/MAX(1,AG25)</f>
        <v>0</v>
      </c>
      <c r="AI25" s="46">
        <f>SUM($AM$4*AI$4,$AM$5*AI$5,$AM$6*AI$6,$AM$7*AI$7,$AM$8*AI$8,$AM$9*AI$9,$AM$10*AI$10,$AM$11*AI$11,$AM$12*AI$12,$AM$13*AI$13,$AM$14*AI$14,$AM$15*AI$15,$AM$16*AI$16,$AM$18*AI$18,$AM$19*AI$19,$AM$20*AI$20,$AM$21*AI$21,$AM$22*AI$22,$AM$23*AI$23)/MAX(1,$AM25)</f>
        <v>0</v>
      </c>
      <c r="AJ25" s="44">
        <f>SUM(AJ4:AJ23)</f>
        <v>141</v>
      </c>
      <c r="AK25" s="45">
        <f>SUM(AJ$4*AK$4,AJ$5*AK$5,AJ$6*AK$6,AJ$7*AK$7,AJ$8*AK$8,AJ$9*AK$9,AJ$10*AK$10,AJ$11*AK$11,AJ$12*AK$12,AJ$13*AK$13,AJ$14*AK$14,AJ$15*AK$15,AJ$16*AK$16,AJ$18*AK$18,AJ$19*AK$19,AJ$20*AK$20,AJ$21*AK$21,AJ$22*AK$22,AJ$23*AK$23)/MAX(1,AJ25)</f>
        <v>1</v>
      </c>
      <c r="AL25" s="46">
        <f>SUM($AM$4*AL$4,$AM$5*AL$5,$AM$6*AL$6,$AM$7*AL$7,$AM$8*AL$8,$AM$9*AL$9,$AM$10*AL$10,$AM$11*AL$11,$AM$12*AL$12,$AM$13*AL$13,$AM$14*AL$14,$AM$15*AL$15,$AM$16*AL$16,$AM$18*AL$18,$AM$19*AL$19,$AM$20*AL$20,$AM$21*AL$21,$AM$22*AL$22,$AM$23*AL$23)/MAX(1,$AM25)</f>
        <v>0.38006691631205675</v>
      </c>
      <c r="AM25" s="44">
        <f>SUM(AM4:AM24)</f>
        <v>141</v>
      </c>
      <c r="AN25" s="45">
        <f>SUM(AM$4*AN$4,AM$5*AN$5,AM$6*AN$6,AM$7*AN$7,AM$8*AN$8,AM$9*AN$9,AM$10*AN$10,AM$11*AN$11,AM$12*AN$12,AM$13*AN$13,AM$14*AN$14,AM$15*AN$15,AM$16*AN$16,AM$18*AN$18,AM$19*AN$19,AM$20*AN$20,AM$21*AN$21,AM$22*AN$22,AM$23*AN$23)/MAX(1,AM25)</f>
        <v>1</v>
      </c>
      <c r="AO25" s="46">
        <f>SUM($AM$4*AO$4,$AM$5*AO$5,$AM$6*AO$6,$AM$7*AO$7,$AM$8*AO$8,$AM$9*AO$9,$AM$10*AO$10,$AM$11*AO$11,$AM$12*AO$12,$AM$13*AO$13,$AM$14*AO$14,$AM$15*AO$15,$AM$16*AO$16,$AM$18*AO$18,$AM$19*AO$19,$AM$20*AO$20,$AM$21*AO$21,$AM$22*AO$22,$AM$23*AO$23)/MAX(1,$AM25)</f>
        <v>0.38006691631205675</v>
      </c>
      <c r="AP25" s="44">
        <f>SUM(AP4:AP23)</f>
        <v>489</v>
      </c>
      <c r="AQ25" s="45" t="e">
        <f>SUM(AP$4*AQ$4,AP$5*AQ$5,AP$6*AQ$6,AP$7*AQ$7,AP$8*AQ$8,AP$9*AQ$9,AP$10*AQ$10,AP$11*AQ$11,AP$12*AQ$12,AP$13*AQ$13,AP$14*AQ$14,AP$15*AQ$15,AP$16*AQ$16,AP$18*AQ$18,AP$19*AQ$19,AP$20*AQ$20,AP$21*AQ$21,AP$22*AQ$22,AP$23*AQ$23)/MAX(1,AP25)</f>
        <v>#REF!</v>
      </c>
      <c r="AR25" s="46" t="e">
        <f>SUM($AM$4*AR$4,$AM$5*AR$5,$AM$6*AR$6,$AM$7*AR$7,$AM$8*AR$8,$AM$9*AR$9,$AM$10*AR$10,$AM$11*AR$11,$AM$12*AR$12,$AM$13*AR$13,$AM$14*AR$14,$AM$15*AR$15,$AM$16*AR$16,$AM$18*AR$18,$AM$19*AR$19,$AM$20*AR$20,$AM$21*AR$21,$AM$22*AR$22,$AM$23*AR$23)/MAX(1,$AM25)</f>
        <v>#REF!</v>
      </c>
      <c r="AS25" s="44">
        <f>SUM(AS4:AS23)</f>
        <v>314</v>
      </c>
      <c r="AT25" s="45" t="e">
        <f>SUM(AS$4*AT$4,AS$5*AT$5,AS$6*AT$6,AS$7*AT$7,AS$8*AT$8,AS$9*AT$9,AS$10*AT$10,AS$11*AT$11,AS$12*AT$12,AS$13*AT$13,AS$14*AT$14,AS$15*AT$15,AS$16*AT$16,AS$18*AT$18,AS$19*AT$19,AS$20*AT$20,AS$21*AT$21,AS$22*AT$22,AS$23*AT$23)/MAX(1,AS25)</f>
        <v>#REF!</v>
      </c>
      <c r="AU25" s="46" t="e">
        <f>SUM($AM$4*AU$4,$AM$5*AU$5,$AM$6*AU$6,$AM$7*AU$7,$AM$8*AU$8,$AM$9*AU$9,$AM$10*AU$10,$AM$11*AU$11,$AM$12*AU$12,$AM$13*AU$13,$AM$14*AU$14,$AM$15*AU$15,$AM$16*AU$16,$AM$18*AU$18,$AM$19*AU$19,$AM$20*AU$20,$AM$21*AU$21,$AM$22*AU$22,$AM$23*AU$23)/MAX(1,$AM25)</f>
        <v>#REF!</v>
      </c>
      <c r="AV25" s="44">
        <f>SUM(AV4:AV23)</f>
        <v>649</v>
      </c>
      <c r="AW25" s="45" t="e">
        <f>SUM(AV$4*AW$4,AV$5*AW$5,AV$6*AW$6,AV$7*AW$7,AV$8*AW$8,AV$9*AW$9,AV$10*AW$10,AV$11*AW$11,AV$12*AW$12,AV$13*AW$13,AV$14*AW$14,AV$15*AW$15,AV$16*AW$16,AV$18*AW$18,AV$19*AW$19,AV$20*AW$20,AV$21*AW$21,AV$22*AW$22,AV$23*AW$23)/MAX(1,AV25)</f>
        <v>#REF!</v>
      </c>
      <c r="AX25" s="46" t="e">
        <f>SUM($AM$4*AX$4,$AM$5*AX$5,$AM$6*AX$6,$AM$7*AX$7,$AM$8*AX$8,$AM$9*AX$9,$AM$10*AX$10,$AM$11*AX$11,$AM$12*AX$12,$AM$13*AX$13,$AM$14*AX$14,$AM$15*AX$15,$AM$16*AX$16,$AM$18*AX$18,$AM$19*AX$19,$AM$20*AX$20,$AM$21*AX$21,$AM$22*AX$22,$AM$23*AX$23)/MAX(1,$AM25)</f>
        <v>#REF!</v>
      </c>
      <c r="AY25" s="44">
        <f>SUM(AY4:AY23)</f>
        <v>633</v>
      </c>
      <c r="AZ25" s="45" t="e">
        <f>SUM(AY$4*AZ$4,AY$5*AZ$5,AY$6*AZ$6,AY$7*AZ$7,AY$8*AZ$8,AY$9*AZ$9,AY$10*AZ$10,AY$11*AZ$11,AY$12*AZ$12,AY$13*AZ$13,AY$14*AZ$14,AY$15*AZ$15,AY$16*AZ$16,AY$18*AZ$18,AY$19*AZ$19,AY$20*AZ$20,AY$21*AZ$21,AY$22*AZ$22,AY$23*AZ$23)/MAX(1,AY25)</f>
        <v>#REF!</v>
      </c>
      <c r="BA25" s="46" t="e">
        <f>SUM($AM$4*BA$4,$AM$5*BA$5,$AM$6*BA$6,$AM$7*BA$7,$AM$8*BA$8,$AM$9*BA$9,$AM$10*BA$10,$AM$11*BA$11,$AM$12*BA$12,$AM$13*BA$13,$AM$14*BA$14,$AM$15*BA$15,$AM$16*BA$16,$AM$18*BA$18,$AM$19*BA$19,$AM$20*BA$20,$AM$21*BA$21,$AM$22*BA$22,$AM$23*BA$23)/MAX(1,$AM25)</f>
        <v>#REF!</v>
      </c>
      <c r="BB25" s="44">
        <f>SUM(BB4:BB23)</f>
        <v>433</v>
      </c>
      <c r="BC25" s="45" t="e">
        <f>SUM(BB$4*BC$4,BB$5*BC$5,BB$6*BC$6,BB$7*BC$7,BB$8*BC$8,BB$9*BC$9,BB$10*BC$10,BB$11*BC$11,BB$12*BC$12,BB$13*BC$13,BB$14*BC$14,BB$15*BC$15,BB$16*BC$16,BB$18*BC$18,BB$19*BC$19,BB$20*BC$20,BB$21*BC$21,BB$22*BC$22,BB$23*BC$23)/MAX(1,BB25)</f>
        <v>#REF!</v>
      </c>
      <c r="BD25" s="46" t="e">
        <f>SUM($AM$4*BD$4,$AM$5*BD$5,$AM$6*BD$6,$AM$7*BD$7,$AM$8*BD$8,$AM$9*BD$9,$AM$10*BD$10,$AM$11*BD$11,$AM$12*BD$12,$AM$13*BD$13,$AM$14*BD$14,$AM$15*BD$15,$AM$16*BD$16,$AM$18*BD$18,$AM$19*BD$19,$AM$20*BD$20,$AM$21*BD$21,$AM$22*BD$22,$AM$23*BD$23)/MAX(1,$AM25)</f>
        <v>#REF!</v>
      </c>
      <c r="BE25" s="44">
        <f>SUM(BE4:BE23)</f>
        <v>552</v>
      </c>
      <c r="BF25" s="45" t="e">
        <f>SUM(BE$4*BF$4,BE$5*BF$5,BE$6*BF$6,BE$7*BF$7,BE$8*BF$8,BE$9*BF$9,BE$10*BF$10,BE$11*BF$11,BE$12*BF$12,BE$13*BF$13,BE$14*BF$14,BE$15*BF$15,BE$16*BF$16,BE$18*BF$18,BE$19*BF$19,BE$20*BF$20,BE$21*BF$21,BE$22*BF$22,BE$23*BF$23)/MAX(1,BE25)</f>
        <v>#REF!</v>
      </c>
      <c r="BG25" s="46" t="e">
        <f>SUM($AM$4*BG$4,$AM$5*BG$5,$AM$6*BG$6,$AM$7*BG$7,$AM$8*BG$8,$AM$9*BG$9,$AM$10*BG$10,$AM$11*BG$11,$AM$12*BG$12,$AM$13*BG$13,$AM$14*BG$14,$AM$15*BG$15,$AM$16*BG$16,$AM$18*BG$18,$AM$19*BG$19,$AM$20*BG$20,$AM$21*BG$21,$AM$22*BG$22,$AM$23*BG$23)/MAX(1,$AM25)</f>
        <v>#REF!</v>
      </c>
      <c r="BH25" s="44">
        <f>SUM(BH4:BH23)</f>
        <v>545</v>
      </c>
      <c r="BI25" s="45" t="e">
        <f>SUM(BH$4*BI$4,BH$5*BI$5,BH$6*BI$6,BH$7*BI$7,BH$8*BI$8,BH$9*BI$9,BH$10*BI$10,BH$11*BI$11,BH$12*BI$12,BH$13*BI$13,BH$14*BI$14,BH$15*BI$15,BH$16*BI$16,BH$18*BI$18,BH$19*BI$19,BH$20*BI$20,BH$21*BI$21,BH$22*BI$22,BH$23*BI$23)/MAX(1,BH25)</f>
        <v>#REF!</v>
      </c>
      <c r="BJ25" s="46" t="e">
        <f>SUM($AM$4*BJ$4,$AM$5*BJ$5,$AM$6*BJ$6,$AM$7*BJ$7,$AM$8*BJ$8,$AM$9*BJ$9,$AM$10*BJ$10,$AM$11*BJ$11,$AM$12*BJ$12,$AM$13*BJ$13,$AM$14*BJ$14,$AM$15*BJ$15,$AM$16*BJ$16,$AM$18*BJ$18,$AM$19*BJ$19,$AM$20*BJ$20,$AM$21*BJ$21,$AM$22*BJ$22,$AM$23*BJ$23)/MAX(1,$AM25)</f>
        <v>#REF!</v>
      </c>
      <c r="BK25" s="44" t="e">
        <f>SUM(BK4:BK23)</f>
        <v>#REF!</v>
      </c>
      <c r="BL25" s="45" t="e">
        <f>SUM(BK$4*BL$4,BK$5*BL$5,BK$6*BL$6,BK$7*BL$7,BK$8*BL$8,BK$9*BL$9,BK$10*BL$10,BK$11*BL$11,BK$12*BL$12,BK$13*BL$13,BK$14*BL$14,BK$15*BL$15,BK$16*BL$16,BK$18*BL$18,BK$19*BL$19,BK$20*BL$20,BK$21*BL$21,BK$22*BL$22,BK$23*BL$23)/MAX(1,BK25)</f>
        <v>#REF!</v>
      </c>
      <c r="BM25" s="46" t="e">
        <f>SUM($AM$4*BM$4,$AM$5*BM$5,$AM$6*BM$6,$AM$7*BM$7,$AM$8*BM$8,$AM$9*BM$9,$AM$10*BM$10,$AM$11*BM$11,$AM$12*BM$12,$AM$13*BM$13,$AM$14*BM$14,$AM$15*BM$15,$AM$16*BM$16,$AM$18*BM$18,$AM$19*BM$19,$AM$20*BM$20,$AM$21*BM$21,$AM$22*BM$22,$AM$23*BM$23)/MAX(1,$AM25)</f>
        <v>#REF!</v>
      </c>
      <c r="BN25" s="44">
        <f>SUM(BN4:BN23)</f>
        <v>498</v>
      </c>
      <c r="BO25" s="44" t="e">
        <f>SUM(BN$4*BO$4,BN$5*BO$5,BN$6*BO$6,BN$7*BO$7,BN$8*BO$8,BN$9*BO$9,BN$10*BO$10,BN$11*BO$11,BN$12*BO$12,BN$13*BO$13,BN$14*BO$14,BN$15*BO$15,BN$16*BO$16,BN$18*BO$18,BN$19*BO$19,BN$20*BO$20,BN$21*BO$21,BN$22*BO$22,BN$23*BO$23)/MAX(1,BN25)</f>
        <v>#REF!</v>
      </c>
      <c r="BP25" s="44" t="e">
        <f>SUM($AM$4*BP$4,$AM$5*BP$5,$AM$6*BP$6,$AM$7*BP$7,$AM$8*BP$8,$AM$9*BP$9,$AM$10*BP$10,$AM$11*BP$11,$AM$12*BP$12,$AM$13*BP$13,$AM$14*BP$14,$AM$15*BP$15,$AM$16*BP$16,$AM$18*BP$18,$AM$19*BP$19,$AM$20*BP$20,$AM$21*BP$21,$AM$22*BP$22,$AM$23*BP$23)/MAX(1,$AM25)</f>
        <v>#REF!</v>
      </c>
      <c r="BQ25" s="44">
        <f>SUM(BQ4:BQ23)</f>
        <v>565</v>
      </c>
      <c r="BR25" s="44" t="e">
        <f>SUM(BQ$4*BR$4,BQ$5*BR$5,BQ$6*BR$6,BQ$7*BR$7,BQ$8*BR$8,BQ$9*BR$9,BQ$10*BR$10,BQ$11*BR$11,BQ$12*BR$12,BQ$13*BR$13,BQ$14*BR$14,BQ$15*BR$15,BQ$16*BR$16,BQ$18*BR$18,BQ$19*BR$19,BQ$20*BR$20,BQ$21*BR$21,BQ$22*BR$22,BQ$23*BR$23)/MAX(1,BQ25)</f>
        <v>#REF!</v>
      </c>
      <c r="BS25" s="44" t="e">
        <f>SUM($AM$4*BS$4,$AM$5*BS$5,$AM$6*BS$6,$AM$7*BS$7,$AM$8*BS$8,$AM$9*BS$9,$AM$10*BS$10,$AM$11*BS$11,$AM$12*BS$12,$AM$13*BS$13,$AM$14*BS$14,$AM$15*BS$15,$AM$16*BS$16,$AM$18*BS$18,$AM$19*BS$19,$AM$20*BS$20,$AM$21*BS$21,$AM$22*BS$22,$AM$23*BS$23)/MAX(1,$AM25)</f>
        <v>#REF!</v>
      </c>
      <c r="BT25" s="44">
        <f>SUM(BT4:BT23)</f>
        <v>518</v>
      </c>
      <c r="BU25" s="44" t="e">
        <f>SUM(BT$4*BU$4,BT$5*BU$5,BT$6*BU$6,BT$7*BU$7,BT$8*BU$8,BT$9*BU$9,BT$10*BU$10,BT$11*BU$11,BT$12*BU$12,BT$13*BU$13,BT$14*BU$14,BT$15*BU$15,BT$16*BU$16,BT$18*BU$18,BT$19*BU$19,BT$20*BU$20,BT$21*BU$21,BT$22*BU$22,BT$23*BU$23)/MAX(1,BT25)</f>
        <v>#REF!</v>
      </c>
      <c r="BV25" s="44" t="e">
        <f>SUM($AM$4*BV$4,$AM$5*BV$5,$AM$6*BV$6,$AM$7*BV$7,$AM$8*BV$8,$AM$9*BV$9,$AM$10*BV$10,$AM$11*BV$11,$AM$12*BV$12,$AM$13*BV$13,$AM$14*BV$14,$AM$15*BV$15,$AM$16*BV$16,$AM$18*BV$18,$AM$19*BV$19,$AM$20*BV$20,$AM$21*BV$21,$AM$22*BV$22,$AM$23*BV$23)/MAX(1,$AM25)</f>
        <v>#REF!</v>
      </c>
      <c r="BW25" s="44">
        <f>SUM(BW4:BW23)</f>
        <v>437</v>
      </c>
      <c r="BX25" s="44" t="e">
        <f>SUM(BW$4*BX$4,BW$5*BX$5,BW$6*BX$6,BW$7*BX$7,BW$8*BX$8,BW$9*BX$9,BW$10*BX$10,BW$11*BX$11,BW$12*BX$12,BW$13*BX$13,BW$14*BX$14,BW$15*BX$15,BW$16*BX$16,BW$18*BX$18,BW$19*BX$19,BW$20*BX$20,BW$21*BX$21,BW$22*BX$22,BW$23*BX$23)/MAX(1,BW25)</f>
        <v>#REF!</v>
      </c>
      <c r="BY25" s="44" t="e">
        <f>SUM($AM$4*BY$4,$AM$5*BY$5,$AM$6*BY$6,$AM$7*BY$7,$AM$8*BY$8,$AM$9*BY$9,$AM$10*BY$10,$AM$11*BY$11,$AM$12*BY$12,$AM$13*BY$13,$AM$14*BY$14,$AM$15*BY$15,$AM$16*BY$16,$AM$18*BY$18,$AM$19*BY$19,$AM$20*BY$20,$AM$21*BY$21,$AM$22*BY$22,$AM$23*BY$23)/MAX(1,$AM25)</f>
        <v>#REF!</v>
      </c>
      <c r="BZ25" s="44" t="e">
        <f>SUM(BZ4:BZ24)</f>
        <v>#REF!</v>
      </c>
      <c r="CA25" s="44" t="e">
        <f>SUM(BZ$4*CA$4,BZ$5*CA$5,BZ$6*CA$6,BZ$7*CA$7,BZ$8*CA$8,BZ$9*CA$9,BZ$10*CA$10,BZ$11*CA$11,BZ$12*CA$12,BZ$13*CA$13,BZ$14*CA$14,BZ$15*CA$15,BZ$16*CA$16,BZ$18*CA$18,BZ$19*CA$19,BZ$20*CA$20,BZ$21*CA$21,BZ$22*CA$22,BZ$23*CA$23)/MAX(1,BZ25)</f>
        <v>#REF!</v>
      </c>
      <c r="CB25" s="44">
        <f>SUM($AM$4*CB$4,$AM$5*CB$5,$AM$6*CB$6,$AM$7*CB$7,$AM$8*CB$8,$AM$9*CB$9,$AM$10*CB$10,$AM$11*CB$11,$AM$12*CB$12,$AM$13*CB$13,$AM$14*CB$14,$AM$15*CB$15,$AM$16*CB$16,$AM$18*CB$18,$AM$19*CB$19,$AM$20*CB$20,$AM$21*CB$21,$AM$22*CB$22,$AM$23*CB$23)/MAX(1,$AM25)</f>
        <v>0.38006691631205675</v>
      </c>
    </row>
    <row r="26" spans="1:80">
      <c r="A26" s="980"/>
      <c r="B26" s="980"/>
      <c r="C26" s="980"/>
      <c r="D26" s="980"/>
      <c r="E26" s="980">
        <f>ROUND(C25*(1-E25),0)</f>
        <v>0</v>
      </c>
      <c r="F26" s="980"/>
      <c r="G26" s="980"/>
      <c r="H26" s="980">
        <f>ROUND(F25*(1-H25),0)</f>
        <v>0</v>
      </c>
      <c r="I26" s="980"/>
      <c r="J26" s="980"/>
      <c r="K26" s="980">
        <f>ROUND(I25*(1-K25),0)</f>
        <v>0</v>
      </c>
      <c r="L26" s="980"/>
      <c r="M26" s="980"/>
      <c r="N26" s="980">
        <f>ROUND(L25*(1-N25),0)</f>
        <v>0</v>
      </c>
      <c r="O26" s="980"/>
      <c r="P26" s="980"/>
      <c r="Q26" s="980">
        <f>ROUND(O25*(1-Q25),0)</f>
        <v>0</v>
      </c>
      <c r="R26" s="980"/>
      <c r="S26" s="980"/>
      <c r="T26" s="980">
        <f>ROUND(R25*(1-T25),0)</f>
        <v>0</v>
      </c>
      <c r="U26" s="980"/>
      <c r="V26" s="980"/>
      <c r="W26" s="980">
        <f>ROUND(U25*(1-W25),0)</f>
        <v>0</v>
      </c>
      <c r="X26" s="980"/>
      <c r="Y26" s="980"/>
      <c r="Z26" s="980">
        <f>ROUND(X25*(1-Z25),0)</f>
        <v>0</v>
      </c>
      <c r="AA26" s="980"/>
      <c r="AB26" s="980"/>
      <c r="AC26" s="980">
        <f>ROUND(AA25*(1-AC25),0)</f>
        <v>0</v>
      </c>
      <c r="AD26" s="980"/>
      <c r="AE26" s="980"/>
      <c r="AF26" s="980">
        <f>ROUND(AD25*(1-AF25),0)</f>
        <v>0</v>
      </c>
      <c r="AG26" s="980"/>
      <c r="AH26" s="980"/>
      <c r="AI26" s="980">
        <f>ROUND(AG25*(1-AI25),0)</f>
        <v>0</v>
      </c>
      <c r="AJ26" s="980"/>
      <c r="AK26" s="980"/>
      <c r="AL26" s="980">
        <f>ROUND(AJ25*(1-AL25),0)</f>
        <v>87</v>
      </c>
      <c r="AM26" s="980"/>
      <c r="AN26" s="980"/>
      <c r="AO26" s="980">
        <f>ROUND(AM25*(1-AO25),0)</f>
        <v>87</v>
      </c>
      <c r="AP26" s="980"/>
      <c r="AQ26" s="980"/>
      <c r="AR26" s="980" t="e">
        <f>ROUND(AP25*(1-AR25),0)</f>
        <v>#REF!</v>
      </c>
      <c r="AS26" s="980"/>
      <c r="AT26" s="980"/>
      <c r="AU26" s="980" t="e">
        <f>ROUND(AS25*(1-AU25),0)</f>
        <v>#REF!</v>
      </c>
      <c r="AV26" s="980"/>
      <c r="AW26" s="980"/>
      <c r="AX26" s="980" t="e">
        <f>ROUND(AV25*(1-AX25),0)</f>
        <v>#REF!</v>
      </c>
      <c r="AY26" s="980"/>
      <c r="AZ26" s="980"/>
      <c r="BA26" s="980" t="e">
        <f>ROUND(AY25*(1-BA25),0)</f>
        <v>#REF!</v>
      </c>
      <c r="BB26" s="980"/>
      <c r="BC26" s="980"/>
      <c r="BD26" s="980" t="e">
        <f>ROUND(BB25*(1-BD25),0)</f>
        <v>#REF!</v>
      </c>
      <c r="BE26" s="980"/>
      <c r="BF26" s="980"/>
      <c r="BG26" s="980" t="e">
        <f>ROUND(BE25*(1-BG25),0)</f>
        <v>#REF!</v>
      </c>
      <c r="BH26" s="980"/>
      <c r="BI26" s="980"/>
      <c r="BJ26" s="980" t="e">
        <f>ROUND(BH25*(1-BJ25),0)</f>
        <v>#REF!</v>
      </c>
      <c r="BK26" s="980"/>
      <c r="BL26" s="980"/>
      <c r="BM26" s="980" t="e">
        <f>ROUND(BK25*(1-BM25),0)</f>
        <v>#REF!</v>
      </c>
      <c r="BN26" s="980"/>
      <c r="BO26" s="980"/>
      <c r="BP26" s="980" t="e">
        <f>ROUND(BN25*(1-BP25),0)</f>
        <v>#REF!</v>
      </c>
      <c r="BQ26" s="980"/>
      <c r="BR26" s="980"/>
      <c r="BS26" s="980" t="e">
        <f>ROUND(BQ25*(1-BS25),0)</f>
        <v>#REF!</v>
      </c>
      <c r="BT26" s="980"/>
      <c r="BU26" s="980"/>
      <c r="BV26" s="980" t="e">
        <f>ROUND(BT25*(1-BV25),0)</f>
        <v>#REF!</v>
      </c>
      <c r="BW26" s="980"/>
      <c r="BX26" s="980"/>
      <c r="BY26" s="980" t="e">
        <f>ROUND(BW25*(1-BY25),0)</f>
        <v>#REF!</v>
      </c>
      <c r="BZ26" s="980"/>
      <c r="CA26" s="980"/>
      <c r="CB26" s="980" t="e">
        <f>ROUND(BZ25*(1-CB25),0)</f>
        <v>#REF!</v>
      </c>
    </row>
    <row r="27" spans="1:80">
      <c r="A27" s="980" t="s">
        <v>331</v>
      </c>
      <c r="B27" s="980"/>
      <c r="C27" s="98">
        <f>SUMIFS(Table4[Rev. Based on PROB],Table4[Projected 
Year],C1,Table4[Projected 
Month],C2)/1000</f>
        <v>0</v>
      </c>
      <c r="D27" s="980"/>
      <c r="E27" s="980"/>
      <c r="F27" s="98">
        <f>SUMIFS(Table4[Rev. Based on PROB],Table4[Projected 
Year],F1,Table4[Projected 
Month],F2)/1000</f>
        <v>0</v>
      </c>
      <c r="G27" s="980"/>
      <c r="H27" s="980"/>
      <c r="I27" s="98">
        <f>SUMIFS(Table4[Rev. Based on PROB],Table4[Projected 
Year],I1,Table4[Projected 
Month],I2)/1000</f>
        <v>0</v>
      </c>
      <c r="J27" s="980"/>
      <c r="K27" s="980"/>
      <c r="L27" s="98">
        <f>SUMIFS(Table4[Rev. Based on PROB],Table4[Projected 
Year],L1,Table4[Projected 
Month],L2)/1000</f>
        <v>0</v>
      </c>
      <c r="M27" s="980"/>
      <c r="N27" s="980"/>
      <c r="O27" s="98">
        <f>SUMIFS(Table4[Rev. Based on PROB],Table4[Projected 
Year],O1,Table4[Projected 
Month],O2)/1000</f>
        <v>0</v>
      </c>
      <c r="P27" s="980"/>
      <c r="Q27" s="980"/>
      <c r="R27" s="98">
        <f>SUMIFS(Table4[Rev. Based on PROB],Table4[Projected 
Year],R1,Table4[Projected 
Month],R2)/1000</f>
        <v>0</v>
      </c>
      <c r="S27" s="980"/>
      <c r="T27" s="980"/>
      <c r="U27" s="98">
        <f>SUMIFS(Table4[Rev. Based on PROB],Table4[Projected 
Year],U1,Table4[Projected 
Month],U2)/1000</f>
        <v>0</v>
      </c>
      <c r="V27" s="980"/>
      <c r="W27" s="980"/>
      <c r="X27" s="98">
        <f>SUMIFS(Table4[Rev. Based on PROB],Table4[Projected 
Year],X1,Table4[Projected 
Month],X2)/1000</f>
        <v>0</v>
      </c>
      <c r="Y27" s="980"/>
      <c r="Z27" s="980"/>
      <c r="AA27" s="98">
        <f>SUMIFS(Table4[Rev. Based on PROB],Table4[Projected 
Year],AA1,Table4[Projected 
Month],AA2)/1000</f>
        <v>0</v>
      </c>
      <c r="AB27" s="980"/>
      <c r="AC27" s="980"/>
      <c r="AD27" s="98">
        <f>SUMIFS(Table4[Rev. Based on PROB],Table4[Projected 
Year],AD1,Table4[Projected 
Month],AD2)/1000</f>
        <v>0</v>
      </c>
      <c r="AE27" s="980"/>
      <c r="AF27" s="980"/>
      <c r="AG27" s="98">
        <f>SUMIFS(Table4[Rev. Based on PROB],Table4[Projected 
Year],AG1,Table4[Projected 
Month],AG2)/1000</f>
        <v>0</v>
      </c>
      <c r="AH27" s="980"/>
      <c r="AI27" s="980"/>
      <c r="AJ27" s="98">
        <f>SUMIFS(Table4[Rev. Based on PROB],Table4[Projected 
Year],AJ1,Table4[Projected 
Month],AJ2)/1000</f>
        <v>140.95166999999998</v>
      </c>
      <c r="AK27" s="980"/>
      <c r="AL27" s="980"/>
      <c r="AM27" s="98">
        <f>SUMIFS(Table4[Rev. Based on PROB],Table4[Projected 
Year],AM1)/1000</f>
        <v>140.95166999999998</v>
      </c>
      <c r="AN27" s="980"/>
      <c r="AO27" s="980"/>
      <c r="AP27" s="98">
        <f>SUMIFS(Table47[Rev. Based on PROB],Table47[Projected 
Year],AP1,Table47[Monthly revenue],AP2)/1000</f>
        <v>488.84100000000001</v>
      </c>
      <c r="AQ27" s="980"/>
      <c r="AR27" s="980"/>
      <c r="AS27" s="98">
        <f>SUMIFS(Table47[Rev. Based on PROB],Table47[Projected 
Year],AS1,Table47[Monthly revenue],AS2)/1000</f>
        <v>313.93799999999999</v>
      </c>
      <c r="AT27" s="980"/>
      <c r="AU27" s="980"/>
      <c r="AV27" s="98">
        <f>SUMIFS(Table47[Rev. Based on PROB],Table47[Projected 
Year],AV1,Table47[Monthly revenue],AV2)/1000</f>
        <v>649.42399999999998</v>
      </c>
      <c r="AW27" s="980"/>
      <c r="AX27" s="980"/>
      <c r="AY27" s="98">
        <f>SUMIFS(Table47[Rev. Based on PROB],Table47[Projected 
Year],AY1,Table47[Monthly revenue],AY2)/1000</f>
        <v>632.54825000000005</v>
      </c>
      <c r="AZ27" s="980"/>
      <c r="BA27" s="980"/>
      <c r="BB27" s="98">
        <f>SUMIFS(Table47[Rev. Based on PROB],Table47[Projected 
Year],BB1,Table47[Monthly revenue],BB2)/1000</f>
        <v>433.01</v>
      </c>
      <c r="BC27" s="980"/>
      <c r="BD27" s="980"/>
      <c r="BE27" s="98">
        <f>SUMIFS(Table47[Rev. Based on PROB],Table47[Projected 
Year],BE1,Table47[Monthly revenue],BE2)/1000</f>
        <v>552.43150000000003</v>
      </c>
      <c r="BF27" s="980"/>
      <c r="BG27" s="980"/>
      <c r="BH27" s="98">
        <f>SUMIFS(Table47[Rev. Based on PROB],Table47[Projected 
Year],BH1,Table47[Monthly revenue],BH2)/1000</f>
        <v>543.89300000000003</v>
      </c>
      <c r="BI27" s="980"/>
      <c r="BJ27" s="980"/>
      <c r="BK27" s="98" t="e">
        <f>SUMIFS(Table47[Rev. Based on PROB],Table47[Projected 
Year],BK1,Table47[Monthly revenue],BK2)/1000</f>
        <v>#REF!</v>
      </c>
      <c r="BL27" s="980"/>
      <c r="BM27" s="980"/>
      <c r="BN27" s="98">
        <f>SUMIFS(Table47[Rev. Based on PROB],Table47[Projected 
Year],BN1,Table47[Monthly revenue],BN2)/1000</f>
        <v>498.25599999999997</v>
      </c>
      <c r="BO27" s="980"/>
      <c r="BP27" s="980"/>
      <c r="BQ27" s="98">
        <f>SUMIFS(Table47[Rev. Based on PROB],Table47[Projected 
Year],BQ1,Table47[Monthly revenue],BQ2)/1000</f>
        <v>635.21</v>
      </c>
      <c r="BR27" s="980"/>
      <c r="BS27" s="980"/>
      <c r="BT27" s="98">
        <f>SUMIFS(Table47[Rev. Based on PROB],Table47[Projected 
Year],BT1,Table47[Monthly revenue],BT2)/1000</f>
        <v>526.53545000000008</v>
      </c>
      <c r="BU27" s="980"/>
      <c r="BV27" s="980"/>
      <c r="BW27" s="98">
        <f>SUMIFS(Table47[Rev. Based on PROB],Table47[Projected 
Year],BW1,Table47[Monthly revenue],BW2)/1000</f>
        <v>507.07049999999998</v>
      </c>
      <c r="BX27" s="980"/>
      <c r="BY27" s="980"/>
      <c r="BZ27" s="98" t="e">
        <f>SUMIFS(Table47[Rev. Based on PROB],Table47[Projected 
Year],BZ1)/1000</f>
        <v>#REF!</v>
      </c>
      <c r="CA27" s="980"/>
      <c r="CB27" s="980"/>
    </row>
    <row r="28" spans="1:80">
      <c r="A28" s="980" t="s">
        <v>332</v>
      </c>
      <c r="B28" s="980"/>
      <c r="C28" s="997">
        <f>C25-C27</f>
        <v>0</v>
      </c>
      <c r="D28" s="980"/>
      <c r="E28" s="980"/>
      <c r="F28" s="997">
        <f>F25-F27</f>
        <v>0</v>
      </c>
      <c r="G28" s="980"/>
      <c r="H28" s="980"/>
      <c r="I28" s="997">
        <f>I25-I27</f>
        <v>0</v>
      </c>
      <c r="J28" s="980"/>
      <c r="K28" s="980"/>
      <c r="L28" s="997">
        <f>L25-L27</f>
        <v>0</v>
      </c>
      <c r="M28" s="980"/>
      <c r="N28" s="980"/>
      <c r="O28" s="997">
        <f>O25-O27</f>
        <v>0</v>
      </c>
      <c r="P28" s="980"/>
      <c r="Q28" s="980"/>
      <c r="R28" s="997">
        <f>R25-R27</f>
        <v>0</v>
      </c>
      <c r="S28" s="980"/>
      <c r="T28" s="980"/>
      <c r="U28" s="997">
        <f>U25-U27</f>
        <v>0</v>
      </c>
      <c r="V28" s="980"/>
      <c r="W28" s="980"/>
      <c r="X28" s="997">
        <f>X25-X27</f>
        <v>0</v>
      </c>
      <c r="Y28" s="980"/>
      <c r="Z28" s="980"/>
      <c r="AA28" s="997">
        <f>AA25-AA27</f>
        <v>0</v>
      </c>
      <c r="AB28" s="980"/>
      <c r="AC28" s="980"/>
      <c r="AD28" s="997">
        <f>AD25-AD27</f>
        <v>0</v>
      </c>
      <c r="AE28" s="980"/>
      <c r="AF28" s="980"/>
      <c r="AG28" s="997">
        <f>AG25-AG27</f>
        <v>0</v>
      </c>
      <c r="AH28" s="980"/>
      <c r="AI28" s="980"/>
      <c r="AJ28" s="997">
        <f>AJ25-AJ27</f>
        <v>4.83300000000213E-2</v>
      </c>
      <c r="AK28" s="980"/>
      <c r="AL28" s="980"/>
      <c r="AM28" s="997">
        <f>AM25-AM27</f>
        <v>4.83300000000213E-2</v>
      </c>
      <c r="AN28" s="980"/>
      <c r="AO28" s="980"/>
      <c r="AP28" s="997">
        <f>AP25-AP27</f>
        <v>0.15899999999999181</v>
      </c>
      <c r="AQ28" s="980"/>
      <c r="AR28" s="980"/>
      <c r="AS28" s="997">
        <f>AS25-AS27</f>
        <v>6.2000000000011823E-2</v>
      </c>
      <c r="AT28" s="980"/>
      <c r="AU28" s="980"/>
      <c r="AV28" s="997">
        <f>AV25-AV27</f>
        <v>-0.42399999999997817</v>
      </c>
      <c r="AW28" s="980"/>
      <c r="AX28" s="980"/>
      <c r="AY28" s="997">
        <f>AY25-AY27</f>
        <v>0.45174999999994725</v>
      </c>
      <c r="AZ28" s="980"/>
      <c r="BA28" s="980"/>
      <c r="BB28" s="997">
        <f>BB25-BB27</f>
        <v>-9.9999999999909051E-3</v>
      </c>
      <c r="BC28" s="980"/>
      <c r="BD28" s="980"/>
      <c r="BE28" s="997">
        <f>BE25-BE27</f>
        <v>-0.43150000000002819</v>
      </c>
      <c r="BF28" s="980"/>
      <c r="BG28" s="980"/>
      <c r="BH28" s="997">
        <f>BH25-BH27</f>
        <v>1.1069999999999709</v>
      </c>
      <c r="BI28" s="980"/>
      <c r="BJ28" s="980"/>
      <c r="BK28" s="997" t="e">
        <f>BK25-BK27</f>
        <v>#REF!</v>
      </c>
      <c r="BL28" s="980"/>
      <c r="BM28" s="980"/>
      <c r="BN28" s="997">
        <f>BN25-BN27</f>
        <v>-0.25599999999997181</v>
      </c>
      <c r="BO28" s="980"/>
      <c r="BP28" s="980"/>
      <c r="BQ28" s="997">
        <f>BQ25-BQ27</f>
        <v>-70.210000000000036</v>
      </c>
      <c r="BR28" s="980"/>
      <c r="BS28" s="980"/>
      <c r="BT28" s="997">
        <f>BT25-BT27</f>
        <v>-8.5354500000000826</v>
      </c>
      <c r="BU28" s="980"/>
      <c r="BV28" s="980"/>
      <c r="BW28" s="997">
        <f>BW25-BW27</f>
        <v>-70.070499999999981</v>
      </c>
      <c r="BX28" s="980"/>
      <c r="BY28" s="980"/>
      <c r="BZ28" s="997" t="e">
        <f>BZ25-BZ27</f>
        <v>#REF!</v>
      </c>
      <c r="CA28" s="980"/>
      <c r="CB28" s="980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584169D-733D-44D9-97EF-6D8710D332C7}">
          <x14:formula1>
            <xm:f>Validation!$N$3:$N$16</xm:f>
          </x14:formula1>
          <xm:sqref>B5 B15 B17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74"/>
  <sheetViews>
    <sheetView workbookViewId="0">
      <selection activeCell="A139" sqref="A139"/>
    </sheetView>
  </sheetViews>
  <sheetFormatPr defaultColWidth="8.85546875" defaultRowHeight="14.45"/>
  <cols>
    <col min="1" max="1" width="19" style="58" customWidth="1"/>
    <col min="2" max="2" width="22.42578125" style="58" bestFit="1" customWidth="1"/>
    <col min="3" max="3" width="14.5703125" style="58" bestFit="1" customWidth="1"/>
    <col min="4" max="4" width="28.140625" style="58" bestFit="1" customWidth="1"/>
    <col min="5" max="5" width="15.85546875" style="58" bestFit="1" customWidth="1"/>
    <col min="6" max="6" width="82.5703125" style="58" bestFit="1" customWidth="1"/>
    <col min="7" max="16384" width="8.85546875" style="58"/>
  </cols>
  <sheetData>
    <row r="2" spans="1:6" ht="23.45">
      <c r="A2" s="56" t="s">
        <v>503</v>
      </c>
      <c r="B2" s="56" t="s">
        <v>504</v>
      </c>
      <c r="C2" s="57" t="s">
        <v>505</v>
      </c>
      <c r="D2" s="56" t="s">
        <v>506</v>
      </c>
      <c r="E2" s="56" t="s">
        <v>507</v>
      </c>
      <c r="F2" s="56" t="s">
        <v>508</v>
      </c>
    </row>
    <row r="3" spans="1:6">
      <c r="A3" s="59" t="s">
        <v>283</v>
      </c>
      <c r="B3" s="59" t="s">
        <v>509</v>
      </c>
      <c r="C3" s="60" t="s">
        <v>510</v>
      </c>
      <c r="D3" s="61" t="s">
        <v>511</v>
      </c>
      <c r="E3" s="59" t="s">
        <v>512</v>
      </c>
      <c r="F3" s="59" t="s">
        <v>513</v>
      </c>
    </row>
    <row r="4" spans="1:6">
      <c r="A4" s="59" t="s">
        <v>283</v>
      </c>
      <c r="B4" s="59" t="s">
        <v>514</v>
      </c>
      <c r="C4" s="59" t="s">
        <v>515</v>
      </c>
      <c r="D4" s="61" t="s">
        <v>516</v>
      </c>
      <c r="E4" s="59" t="s">
        <v>512</v>
      </c>
      <c r="F4" s="59" t="s">
        <v>517</v>
      </c>
    </row>
    <row r="5" spans="1:6">
      <c r="A5" s="59" t="s">
        <v>518</v>
      </c>
      <c r="B5" s="59" t="s">
        <v>519</v>
      </c>
      <c r="C5" s="59" t="s">
        <v>520</v>
      </c>
      <c r="D5" s="61" t="s">
        <v>521</v>
      </c>
      <c r="E5" s="59" t="s">
        <v>512</v>
      </c>
      <c r="F5" s="59" t="s">
        <v>522</v>
      </c>
    </row>
    <row r="6" spans="1:6">
      <c r="A6" s="59" t="s">
        <v>157</v>
      </c>
      <c r="B6" s="59" t="s">
        <v>514</v>
      </c>
      <c r="C6" s="59" t="s">
        <v>523</v>
      </c>
      <c r="D6" s="61" t="s">
        <v>524</v>
      </c>
      <c r="E6" s="59" t="s">
        <v>512</v>
      </c>
      <c r="F6" s="59" t="s">
        <v>525</v>
      </c>
    </row>
    <row r="7" spans="1:6">
      <c r="A7" s="59" t="s">
        <v>457</v>
      </c>
      <c r="B7" s="59" t="s">
        <v>526</v>
      </c>
      <c r="C7" s="59" t="s">
        <v>527</v>
      </c>
      <c r="D7" s="61" t="s">
        <v>528</v>
      </c>
      <c r="E7" s="59" t="s">
        <v>512</v>
      </c>
      <c r="F7" s="59" t="s">
        <v>529</v>
      </c>
    </row>
    <row r="8" spans="1:6">
      <c r="A8" s="59" t="s">
        <v>457</v>
      </c>
      <c r="B8" s="59" t="s">
        <v>526</v>
      </c>
      <c r="C8" s="59" t="s">
        <v>527</v>
      </c>
      <c r="D8" s="61" t="s">
        <v>530</v>
      </c>
      <c r="E8" s="59" t="s">
        <v>512</v>
      </c>
      <c r="F8" s="59" t="s">
        <v>531</v>
      </c>
    </row>
    <row r="9" spans="1:6">
      <c r="A9" s="59" t="s">
        <v>457</v>
      </c>
      <c r="B9" s="59" t="s">
        <v>526</v>
      </c>
      <c r="C9" s="59" t="s">
        <v>527</v>
      </c>
      <c r="D9" s="61" t="s">
        <v>532</v>
      </c>
      <c r="E9" s="59" t="s">
        <v>512</v>
      </c>
      <c r="F9" s="59" t="s">
        <v>533</v>
      </c>
    </row>
    <row r="10" spans="1:6">
      <c r="A10" s="59" t="s">
        <v>457</v>
      </c>
      <c r="B10" s="59" t="s">
        <v>526</v>
      </c>
      <c r="C10" s="59" t="s">
        <v>527</v>
      </c>
      <c r="D10" s="61" t="s">
        <v>534</v>
      </c>
      <c r="E10" s="59" t="s">
        <v>512</v>
      </c>
      <c r="F10" s="63" t="s">
        <v>535</v>
      </c>
    </row>
    <row r="11" spans="1:6">
      <c r="A11" s="59" t="s">
        <v>457</v>
      </c>
      <c r="B11" s="59" t="s">
        <v>526</v>
      </c>
      <c r="C11" s="59" t="s">
        <v>527</v>
      </c>
      <c r="D11" s="92" t="s">
        <v>536</v>
      </c>
      <c r="E11" s="59" t="s">
        <v>512</v>
      </c>
      <c r="F11" s="63" t="s">
        <v>537</v>
      </c>
    </row>
    <row r="12" spans="1:6">
      <c r="A12" s="59" t="s">
        <v>457</v>
      </c>
      <c r="B12" s="59" t="s">
        <v>526</v>
      </c>
      <c r="C12" s="59" t="s">
        <v>527</v>
      </c>
      <c r="D12" s="61" t="s">
        <v>536</v>
      </c>
      <c r="E12" s="59" t="s">
        <v>512</v>
      </c>
      <c r="F12" s="59" t="s">
        <v>538</v>
      </c>
    </row>
    <row r="13" spans="1:6">
      <c r="A13" s="59" t="s">
        <v>457</v>
      </c>
      <c r="B13" s="59" t="s">
        <v>526</v>
      </c>
      <c r="C13" s="59" t="s">
        <v>527</v>
      </c>
      <c r="D13" s="61" t="s">
        <v>539</v>
      </c>
      <c r="E13" s="59" t="s">
        <v>512</v>
      </c>
      <c r="F13" s="59" t="s">
        <v>540</v>
      </c>
    </row>
    <row r="14" spans="1:6">
      <c r="A14" s="59" t="s">
        <v>457</v>
      </c>
      <c r="B14" s="59" t="s">
        <v>526</v>
      </c>
      <c r="C14" s="59" t="s">
        <v>527</v>
      </c>
      <c r="D14" s="61" t="s">
        <v>541</v>
      </c>
      <c r="E14" s="59" t="s">
        <v>512</v>
      </c>
      <c r="F14" s="59" t="s">
        <v>542</v>
      </c>
    </row>
    <row r="15" spans="1:6">
      <c r="A15" s="59" t="s">
        <v>457</v>
      </c>
      <c r="B15" s="59" t="s">
        <v>526</v>
      </c>
      <c r="C15" s="59" t="s">
        <v>527</v>
      </c>
      <c r="D15" s="61" t="s">
        <v>543</v>
      </c>
      <c r="E15" s="59" t="s">
        <v>512</v>
      </c>
      <c r="F15" s="59" t="s">
        <v>544</v>
      </c>
    </row>
    <row r="16" spans="1:6">
      <c r="A16" s="59" t="s">
        <v>457</v>
      </c>
      <c r="B16" s="59" t="s">
        <v>526</v>
      </c>
      <c r="C16" s="59" t="s">
        <v>527</v>
      </c>
      <c r="D16" s="61" t="s">
        <v>545</v>
      </c>
      <c r="E16" s="59" t="s">
        <v>512</v>
      </c>
      <c r="F16" s="59" t="s">
        <v>546</v>
      </c>
    </row>
    <row r="17" spans="1:6">
      <c r="A17" s="59" t="s">
        <v>283</v>
      </c>
      <c r="B17" s="59" t="s">
        <v>526</v>
      </c>
      <c r="C17" s="59" t="s">
        <v>547</v>
      </c>
      <c r="D17" s="61" t="s">
        <v>548</v>
      </c>
      <c r="E17" s="59" t="s">
        <v>512</v>
      </c>
      <c r="F17" s="59" t="s">
        <v>549</v>
      </c>
    </row>
    <row r="18" spans="1:6">
      <c r="A18" s="59" t="s">
        <v>283</v>
      </c>
      <c r="B18" s="59" t="s">
        <v>526</v>
      </c>
      <c r="C18" s="59" t="s">
        <v>547</v>
      </c>
      <c r="D18" s="61" t="s">
        <v>550</v>
      </c>
      <c r="E18" s="59" t="s">
        <v>512</v>
      </c>
      <c r="F18" s="59" t="s">
        <v>551</v>
      </c>
    </row>
    <row r="19" spans="1:6">
      <c r="A19" s="59" t="s">
        <v>283</v>
      </c>
      <c r="B19" s="59" t="s">
        <v>526</v>
      </c>
      <c r="C19" s="59" t="s">
        <v>547</v>
      </c>
      <c r="D19" s="61" t="s">
        <v>552</v>
      </c>
      <c r="E19" s="59" t="s">
        <v>512</v>
      </c>
      <c r="F19" s="59" t="s">
        <v>553</v>
      </c>
    </row>
    <row r="20" spans="1:6">
      <c r="A20" s="59" t="s">
        <v>283</v>
      </c>
      <c r="B20" s="59" t="s">
        <v>526</v>
      </c>
      <c r="C20" s="59" t="s">
        <v>547</v>
      </c>
      <c r="D20" s="61" t="s">
        <v>554</v>
      </c>
      <c r="E20" s="59" t="s">
        <v>512</v>
      </c>
      <c r="F20" s="59" t="s">
        <v>555</v>
      </c>
    </row>
    <row r="21" spans="1:6">
      <c r="A21" s="59" t="s">
        <v>311</v>
      </c>
      <c r="B21" s="59" t="s">
        <v>556</v>
      </c>
      <c r="C21" s="59" t="s">
        <v>557</v>
      </c>
      <c r="D21" s="92" t="s">
        <v>558</v>
      </c>
      <c r="E21" s="59" t="s">
        <v>512</v>
      </c>
      <c r="F21" s="59" t="s">
        <v>559</v>
      </c>
    </row>
    <row r="22" spans="1:6">
      <c r="A22" s="59" t="s">
        <v>560</v>
      </c>
      <c r="B22" s="59" t="s">
        <v>561</v>
      </c>
      <c r="C22" s="59" t="s">
        <v>562</v>
      </c>
      <c r="D22" s="61" t="s">
        <v>563</v>
      </c>
      <c r="E22" s="59" t="s">
        <v>512</v>
      </c>
      <c r="F22" s="63" t="s">
        <v>564</v>
      </c>
    </row>
    <row r="23" spans="1:6">
      <c r="A23" s="59" t="s">
        <v>560</v>
      </c>
      <c r="B23" s="59" t="s">
        <v>565</v>
      </c>
      <c r="C23" s="59" t="s">
        <v>566</v>
      </c>
      <c r="D23" s="61" t="s">
        <v>567</v>
      </c>
      <c r="E23" s="59" t="s">
        <v>512</v>
      </c>
      <c r="F23" s="63" t="s">
        <v>568</v>
      </c>
    </row>
    <row r="24" spans="1:6">
      <c r="A24" s="980" t="s">
        <v>569</v>
      </c>
      <c r="B24" s="980" t="s">
        <v>570</v>
      </c>
      <c r="C24" s="980"/>
      <c r="D24" s="92" t="s">
        <v>571</v>
      </c>
      <c r="E24" s="980" t="s">
        <v>512</v>
      </c>
      <c r="F24" s="980" t="s">
        <v>572</v>
      </c>
    </row>
    <row r="25" spans="1:6">
      <c r="A25" s="980" t="s">
        <v>573</v>
      </c>
      <c r="B25" s="980" t="s">
        <v>574</v>
      </c>
      <c r="C25" s="980" t="s">
        <v>575</v>
      </c>
      <c r="D25" s="92" t="s">
        <v>576</v>
      </c>
      <c r="E25" s="980" t="s">
        <v>577</v>
      </c>
      <c r="F25" s="980" t="s">
        <v>578</v>
      </c>
    </row>
    <row r="26" spans="1:6">
      <c r="A26" s="980" t="s">
        <v>311</v>
      </c>
      <c r="B26" s="980" t="s">
        <v>579</v>
      </c>
      <c r="C26" s="980" t="s">
        <v>580</v>
      </c>
      <c r="D26" s="92" t="s">
        <v>581</v>
      </c>
      <c r="E26" s="980" t="s">
        <v>512</v>
      </c>
      <c r="F26" s="980" t="s">
        <v>582</v>
      </c>
    </row>
    <row r="27" spans="1:6">
      <c r="A27" s="980" t="s">
        <v>560</v>
      </c>
      <c r="B27" s="980" t="s">
        <v>574</v>
      </c>
      <c r="C27" s="980" t="s">
        <v>583</v>
      </c>
      <c r="D27" s="92" t="s">
        <v>584</v>
      </c>
      <c r="E27" s="980" t="s">
        <v>512</v>
      </c>
      <c r="F27" s="998" t="s">
        <v>585</v>
      </c>
    </row>
    <row r="28" spans="1:6">
      <c r="A28" s="980" t="s">
        <v>342</v>
      </c>
      <c r="B28" s="980" t="s">
        <v>586</v>
      </c>
      <c r="C28" s="980" t="s">
        <v>587</v>
      </c>
      <c r="D28" s="92" t="s">
        <v>588</v>
      </c>
      <c r="E28" s="980" t="s">
        <v>512</v>
      </c>
      <c r="F28" s="980" t="s">
        <v>589</v>
      </c>
    </row>
    <row r="29" spans="1:6">
      <c r="A29" s="980" t="s">
        <v>342</v>
      </c>
      <c r="B29" s="980" t="s">
        <v>590</v>
      </c>
      <c r="C29" s="980" t="s">
        <v>591</v>
      </c>
      <c r="D29" s="92" t="s">
        <v>592</v>
      </c>
      <c r="E29" s="980" t="s">
        <v>512</v>
      </c>
      <c r="F29" s="980" t="s">
        <v>593</v>
      </c>
    </row>
    <row r="30" spans="1:6">
      <c r="A30" s="980" t="s">
        <v>342</v>
      </c>
      <c r="B30" s="980" t="s">
        <v>590</v>
      </c>
      <c r="C30" s="980" t="s">
        <v>594</v>
      </c>
      <c r="D30" s="92" t="s">
        <v>595</v>
      </c>
      <c r="E30" s="980" t="s">
        <v>512</v>
      </c>
      <c r="F30" s="980" t="s">
        <v>596</v>
      </c>
    </row>
    <row r="31" spans="1:6">
      <c r="A31" s="980" t="s">
        <v>342</v>
      </c>
      <c r="B31" s="980" t="s">
        <v>590</v>
      </c>
      <c r="C31" s="980" t="s">
        <v>597</v>
      </c>
      <c r="D31" s="92" t="s">
        <v>598</v>
      </c>
      <c r="E31" s="980" t="s">
        <v>512</v>
      </c>
      <c r="F31" s="980" t="s">
        <v>599</v>
      </c>
    </row>
    <row r="32" spans="1:6">
      <c r="A32" s="980" t="s">
        <v>342</v>
      </c>
      <c r="B32" s="980" t="s">
        <v>590</v>
      </c>
      <c r="C32" s="980" t="s">
        <v>600</v>
      </c>
      <c r="D32" s="92" t="s">
        <v>601</v>
      </c>
      <c r="E32" s="980" t="s">
        <v>512</v>
      </c>
      <c r="F32" s="980" t="s">
        <v>602</v>
      </c>
    </row>
    <row r="33" spans="1:6">
      <c r="A33" s="980" t="s">
        <v>342</v>
      </c>
      <c r="B33" s="980" t="s">
        <v>590</v>
      </c>
      <c r="C33" s="980" t="s">
        <v>603</v>
      </c>
      <c r="D33" s="92" t="s">
        <v>604</v>
      </c>
      <c r="E33" s="980" t="s">
        <v>512</v>
      </c>
      <c r="F33" s="980" t="s">
        <v>605</v>
      </c>
    </row>
    <row r="34" spans="1:6">
      <c r="A34" s="980" t="s">
        <v>342</v>
      </c>
      <c r="B34" s="980" t="s">
        <v>590</v>
      </c>
      <c r="C34" s="980" t="s">
        <v>606</v>
      </c>
      <c r="D34" s="92" t="s">
        <v>607</v>
      </c>
      <c r="E34" s="980" t="s">
        <v>512</v>
      </c>
      <c r="F34" s="980" t="s">
        <v>608</v>
      </c>
    </row>
    <row r="35" spans="1:6">
      <c r="A35" s="980" t="s">
        <v>342</v>
      </c>
      <c r="B35" s="980" t="s">
        <v>590</v>
      </c>
      <c r="C35" s="980" t="s">
        <v>609</v>
      </c>
      <c r="D35" s="92" t="s">
        <v>610</v>
      </c>
      <c r="E35" s="980" t="s">
        <v>512</v>
      </c>
      <c r="F35" s="998" t="s">
        <v>611</v>
      </c>
    </row>
    <row r="36" spans="1:6">
      <c r="A36" s="980" t="s">
        <v>342</v>
      </c>
      <c r="B36" s="980" t="s">
        <v>612</v>
      </c>
      <c r="C36" s="980" t="s">
        <v>613</v>
      </c>
      <c r="D36" s="92" t="s">
        <v>614</v>
      </c>
      <c r="E36" s="980" t="s">
        <v>512</v>
      </c>
      <c r="F36" s="980" t="s">
        <v>615</v>
      </c>
    </row>
    <row r="37" spans="1:6">
      <c r="A37" s="980" t="s">
        <v>342</v>
      </c>
      <c r="B37" s="980" t="s">
        <v>616</v>
      </c>
      <c r="C37" s="980" t="s">
        <v>617</v>
      </c>
      <c r="D37" s="92" t="s">
        <v>581</v>
      </c>
      <c r="E37" s="980" t="s">
        <v>512</v>
      </c>
      <c r="F37" s="980" t="s">
        <v>618</v>
      </c>
    </row>
    <row r="38" spans="1:6">
      <c r="A38" s="980" t="s">
        <v>342</v>
      </c>
      <c r="B38" s="980" t="s">
        <v>616</v>
      </c>
      <c r="C38" s="980" t="s">
        <v>619</v>
      </c>
      <c r="D38" s="92" t="s">
        <v>620</v>
      </c>
      <c r="E38" s="980" t="s">
        <v>512</v>
      </c>
      <c r="F38" s="998" t="s">
        <v>621</v>
      </c>
    </row>
    <row r="39" spans="1:6">
      <c r="A39" s="980" t="s">
        <v>622</v>
      </c>
      <c r="B39" s="980" t="s">
        <v>623</v>
      </c>
      <c r="C39" s="980" t="s">
        <v>624</v>
      </c>
      <c r="D39" s="92" t="s">
        <v>625</v>
      </c>
      <c r="E39" s="980" t="s">
        <v>512</v>
      </c>
      <c r="F39" s="980" t="s">
        <v>626</v>
      </c>
    </row>
    <row r="40" spans="1:6">
      <c r="A40" s="980" t="s">
        <v>622</v>
      </c>
      <c r="B40" s="980" t="s">
        <v>627</v>
      </c>
      <c r="C40" s="980" t="s">
        <v>628</v>
      </c>
      <c r="D40" s="92" t="s">
        <v>629</v>
      </c>
      <c r="E40" s="980" t="s">
        <v>512</v>
      </c>
      <c r="F40" s="980" t="s">
        <v>630</v>
      </c>
    </row>
    <row r="41" spans="1:6">
      <c r="A41" s="980" t="s">
        <v>622</v>
      </c>
      <c r="B41" s="980" t="s">
        <v>627</v>
      </c>
      <c r="C41" s="999">
        <v>441224216555</v>
      </c>
      <c r="D41" s="92" t="s">
        <v>631</v>
      </c>
      <c r="E41" s="980" t="s">
        <v>632</v>
      </c>
      <c r="F41" s="980" t="s">
        <v>633</v>
      </c>
    </row>
    <row r="42" spans="1:6">
      <c r="A42" s="980" t="s">
        <v>622</v>
      </c>
      <c r="B42" s="980" t="s">
        <v>627</v>
      </c>
      <c r="C42" s="980">
        <v>32303010</v>
      </c>
      <c r="D42" s="980"/>
      <c r="E42" s="980" t="s">
        <v>634</v>
      </c>
      <c r="F42" s="980" t="s">
        <v>635</v>
      </c>
    </row>
    <row r="43" spans="1:6">
      <c r="A43" s="980" t="s">
        <v>622</v>
      </c>
      <c r="B43" s="980" t="s">
        <v>636</v>
      </c>
      <c r="C43" s="980" t="s">
        <v>637</v>
      </c>
      <c r="D43" s="980"/>
      <c r="E43" s="980" t="s">
        <v>512</v>
      </c>
      <c r="F43" s="980" t="s">
        <v>638</v>
      </c>
    </row>
    <row r="44" spans="1:6">
      <c r="A44" s="980" t="s">
        <v>622</v>
      </c>
      <c r="B44" s="980" t="s">
        <v>639</v>
      </c>
      <c r="C44" s="980" t="s">
        <v>640</v>
      </c>
      <c r="D44" s="92" t="s">
        <v>641</v>
      </c>
      <c r="E44" s="980" t="s">
        <v>642</v>
      </c>
      <c r="F44" s="980" t="s">
        <v>643</v>
      </c>
    </row>
    <row r="45" spans="1:6">
      <c r="A45" s="980" t="s">
        <v>622</v>
      </c>
      <c r="B45" s="980" t="s">
        <v>644</v>
      </c>
      <c r="C45" s="980">
        <v>1224245270</v>
      </c>
      <c r="D45" s="980"/>
      <c r="E45" s="980" t="s">
        <v>645</v>
      </c>
      <c r="F45" s="980" t="s">
        <v>646</v>
      </c>
    </row>
    <row r="46" spans="1:6">
      <c r="A46" s="980" t="s">
        <v>622</v>
      </c>
      <c r="B46" s="980" t="s">
        <v>647</v>
      </c>
      <c r="C46" s="980" t="s">
        <v>648</v>
      </c>
      <c r="D46" s="980"/>
      <c r="E46" s="980" t="s">
        <v>512</v>
      </c>
      <c r="F46" s="980" t="s">
        <v>649</v>
      </c>
    </row>
    <row r="47" spans="1:6">
      <c r="A47" s="980" t="s">
        <v>622</v>
      </c>
      <c r="B47" s="980" t="s">
        <v>650</v>
      </c>
      <c r="C47" s="999">
        <v>966138133546</v>
      </c>
      <c r="D47" s="980"/>
      <c r="E47" s="980" t="s">
        <v>634</v>
      </c>
      <c r="F47" s="980" t="s">
        <v>651</v>
      </c>
    </row>
    <row r="48" spans="1:6">
      <c r="A48" s="980" t="s">
        <v>622</v>
      </c>
      <c r="B48" s="980" t="s">
        <v>650</v>
      </c>
      <c r="C48" s="999">
        <v>966138133563</v>
      </c>
      <c r="D48" s="980"/>
      <c r="E48" s="980" t="s">
        <v>634</v>
      </c>
      <c r="F48" s="980" t="s">
        <v>652</v>
      </c>
    </row>
    <row r="49" spans="1:6">
      <c r="A49" s="980" t="s">
        <v>622</v>
      </c>
      <c r="B49" s="980" t="s">
        <v>653</v>
      </c>
      <c r="C49" s="980" t="s">
        <v>654</v>
      </c>
      <c r="D49" s="92" t="s">
        <v>655</v>
      </c>
      <c r="E49" s="980" t="s">
        <v>512</v>
      </c>
      <c r="F49" s="980" t="s">
        <v>656</v>
      </c>
    </row>
    <row r="50" spans="1:6">
      <c r="A50" s="980" t="s">
        <v>622</v>
      </c>
      <c r="B50" s="980" t="s">
        <v>657</v>
      </c>
      <c r="C50" s="980" t="s">
        <v>658</v>
      </c>
      <c r="D50" s="92" t="s">
        <v>659</v>
      </c>
      <c r="E50" s="980" t="s">
        <v>512</v>
      </c>
      <c r="F50" s="980" t="s">
        <v>660</v>
      </c>
    </row>
    <row r="51" spans="1:6">
      <c r="A51" s="980" t="s">
        <v>622</v>
      </c>
      <c r="B51" s="980" t="s">
        <v>661</v>
      </c>
      <c r="C51" s="980" t="s">
        <v>662</v>
      </c>
      <c r="D51" s="92" t="s">
        <v>663</v>
      </c>
      <c r="E51" s="980" t="s">
        <v>512</v>
      </c>
      <c r="F51" s="980" t="s">
        <v>664</v>
      </c>
    </row>
    <row r="52" spans="1:6">
      <c r="A52" s="980" t="s">
        <v>622</v>
      </c>
      <c r="B52" s="980" t="s">
        <v>665</v>
      </c>
      <c r="C52" s="980" t="s">
        <v>666</v>
      </c>
      <c r="D52" s="92" t="s">
        <v>667</v>
      </c>
      <c r="E52" s="980" t="s">
        <v>512</v>
      </c>
      <c r="F52" s="980" t="s">
        <v>668</v>
      </c>
    </row>
    <row r="53" spans="1:6">
      <c r="A53" s="980" t="s">
        <v>669</v>
      </c>
      <c r="B53" s="980" t="s">
        <v>670</v>
      </c>
      <c r="C53" s="980" t="s">
        <v>671</v>
      </c>
      <c r="D53" s="92" t="s">
        <v>672</v>
      </c>
      <c r="E53" s="980" t="s">
        <v>512</v>
      </c>
      <c r="F53" s="998" t="s">
        <v>673</v>
      </c>
    </row>
    <row r="54" spans="1:6">
      <c r="A54" s="980" t="s">
        <v>674</v>
      </c>
      <c r="B54" s="980" t="s">
        <v>627</v>
      </c>
      <c r="C54" s="980" t="s">
        <v>675</v>
      </c>
      <c r="D54" s="92" t="s">
        <v>584</v>
      </c>
      <c r="E54" s="980" t="s">
        <v>512</v>
      </c>
      <c r="F54" s="998" t="s">
        <v>676</v>
      </c>
    </row>
    <row r="55" spans="1:6">
      <c r="A55" s="980" t="s">
        <v>342</v>
      </c>
      <c r="B55" s="980" t="s">
        <v>677</v>
      </c>
      <c r="C55" s="980"/>
      <c r="D55" s="92" t="s">
        <v>558</v>
      </c>
      <c r="E55" s="980" t="s">
        <v>512</v>
      </c>
      <c r="F55" s="980" t="s">
        <v>678</v>
      </c>
    </row>
    <row r="56" spans="1:6">
      <c r="A56" s="980" t="s">
        <v>622</v>
      </c>
      <c r="B56" s="980" t="s">
        <v>679</v>
      </c>
      <c r="C56" s="980">
        <v>4790812804</v>
      </c>
      <c r="D56" s="92" t="s">
        <v>680</v>
      </c>
      <c r="E56" s="980" t="s">
        <v>645</v>
      </c>
      <c r="F56" s="980" t="s">
        <v>646</v>
      </c>
    </row>
    <row r="57" spans="1:6">
      <c r="A57" s="980" t="s">
        <v>283</v>
      </c>
      <c r="B57" s="980" t="s">
        <v>681</v>
      </c>
      <c r="C57" s="980" t="s">
        <v>547</v>
      </c>
      <c r="D57" s="92" t="s">
        <v>682</v>
      </c>
      <c r="E57" s="980" t="s">
        <v>512</v>
      </c>
      <c r="F57" s="998" t="s">
        <v>683</v>
      </c>
    </row>
    <row r="58" spans="1:6">
      <c r="A58" s="980" t="s">
        <v>440</v>
      </c>
      <c r="B58" s="980" t="s">
        <v>684</v>
      </c>
      <c r="C58" s="980" t="s">
        <v>685</v>
      </c>
      <c r="D58" s="92" t="s">
        <v>686</v>
      </c>
      <c r="E58" s="980" t="s">
        <v>512</v>
      </c>
      <c r="F58" s="1000" t="s">
        <v>687</v>
      </c>
    </row>
    <row r="59" spans="1:6">
      <c r="A59" s="980" t="s">
        <v>688</v>
      </c>
      <c r="B59" s="980" t="s">
        <v>689</v>
      </c>
      <c r="C59" s="980"/>
      <c r="D59" s="92" t="s">
        <v>690</v>
      </c>
      <c r="E59" s="980" t="s">
        <v>512</v>
      </c>
      <c r="F59" s="1000" t="s">
        <v>691</v>
      </c>
    </row>
    <row r="60" spans="1:6">
      <c r="A60" s="980" t="s">
        <v>692</v>
      </c>
      <c r="B60" s="980" t="s">
        <v>693</v>
      </c>
      <c r="C60" s="980" t="s">
        <v>694</v>
      </c>
      <c r="D60" s="92" t="s">
        <v>695</v>
      </c>
      <c r="E60" s="980" t="s">
        <v>512</v>
      </c>
      <c r="F60" s="980" t="s">
        <v>696</v>
      </c>
    </row>
    <row r="61" spans="1:6">
      <c r="A61" s="980" t="s">
        <v>697</v>
      </c>
      <c r="B61" s="980" t="s">
        <v>698</v>
      </c>
      <c r="C61" s="980" t="s">
        <v>699</v>
      </c>
      <c r="D61" s="92" t="s">
        <v>700</v>
      </c>
      <c r="E61" s="980" t="s">
        <v>701</v>
      </c>
      <c r="F61" s="980" t="s">
        <v>702</v>
      </c>
    </row>
    <row r="62" spans="1:6">
      <c r="A62" s="980" t="s">
        <v>703</v>
      </c>
      <c r="B62" s="980" t="s">
        <v>704</v>
      </c>
      <c r="C62" s="980" t="s">
        <v>705</v>
      </c>
      <c r="D62" s="92" t="s">
        <v>706</v>
      </c>
      <c r="E62" s="980" t="s">
        <v>512</v>
      </c>
      <c r="F62" s="980" t="s">
        <v>707</v>
      </c>
    </row>
    <row r="63" spans="1:6">
      <c r="A63" s="980" t="s">
        <v>622</v>
      </c>
      <c r="B63" s="980" t="s">
        <v>708</v>
      </c>
      <c r="C63" s="980" t="s">
        <v>709</v>
      </c>
      <c r="D63" s="92" t="s">
        <v>710</v>
      </c>
      <c r="E63" s="980" t="s">
        <v>512</v>
      </c>
      <c r="F63" s="1001" t="s">
        <v>711</v>
      </c>
    </row>
    <row r="64" spans="1:6">
      <c r="A64" s="980" t="s">
        <v>440</v>
      </c>
      <c r="B64" s="980" t="s">
        <v>712</v>
      </c>
      <c r="C64" s="980" t="s">
        <v>713</v>
      </c>
      <c r="D64" s="92" t="s">
        <v>714</v>
      </c>
      <c r="E64" s="980" t="s">
        <v>512</v>
      </c>
      <c r="F64" s="980" t="s">
        <v>715</v>
      </c>
    </row>
    <row r="65" spans="1:6">
      <c r="A65" s="980" t="s">
        <v>716</v>
      </c>
      <c r="B65" s="980" t="s">
        <v>717</v>
      </c>
      <c r="C65" s="980" t="s">
        <v>718</v>
      </c>
      <c r="D65" s="92" t="s">
        <v>719</v>
      </c>
      <c r="E65" s="980" t="s">
        <v>512</v>
      </c>
      <c r="F65" s="980" t="s">
        <v>720</v>
      </c>
    </row>
    <row r="66" spans="1:6">
      <c r="A66" s="980" t="s">
        <v>440</v>
      </c>
      <c r="B66" s="980" t="s">
        <v>708</v>
      </c>
      <c r="C66" s="980" t="s">
        <v>721</v>
      </c>
      <c r="D66" s="92" t="s">
        <v>722</v>
      </c>
      <c r="E66" s="980" t="s">
        <v>512</v>
      </c>
      <c r="F66" s="980" t="s">
        <v>723</v>
      </c>
    </row>
    <row r="67" spans="1:6">
      <c r="A67" s="980" t="s">
        <v>622</v>
      </c>
      <c r="B67" s="980" t="s">
        <v>724</v>
      </c>
      <c r="C67" s="980" t="s">
        <v>725</v>
      </c>
      <c r="D67" s="92" t="s">
        <v>726</v>
      </c>
      <c r="E67" s="980" t="s">
        <v>512</v>
      </c>
      <c r="F67" s="1000" t="s">
        <v>727</v>
      </c>
    </row>
    <row r="68" spans="1:6">
      <c r="A68" s="980" t="s">
        <v>622</v>
      </c>
      <c r="B68" s="980" t="s">
        <v>728</v>
      </c>
      <c r="C68" s="980" t="s">
        <v>729</v>
      </c>
      <c r="D68" s="92" t="s">
        <v>730</v>
      </c>
      <c r="E68" s="980" t="s">
        <v>512</v>
      </c>
      <c r="F68" s="1000" t="s">
        <v>731</v>
      </c>
    </row>
    <row r="69" spans="1:6">
      <c r="A69" s="980" t="s">
        <v>622</v>
      </c>
      <c r="B69" s="980" t="s">
        <v>732</v>
      </c>
      <c r="C69" s="980" t="s">
        <v>733</v>
      </c>
      <c r="D69" s="92" t="s">
        <v>734</v>
      </c>
      <c r="E69" s="980" t="s">
        <v>512</v>
      </c>
      <c r="F69" s="980" t="s">
        <v>735</v>
      </c>
    </row>
    <row r="70" spans="1:6">
      <c r="A70" s="980" t="s">
        <v>622</v>
      </c>
      <c r="B70" s="980" t="s">
        <v>736</v>
      </c>
      <c r="C70" s="980" t="s">
        <v>637</v>
      </c>
      <c r="D70" s="92" t="s">
        <v>641</v>
      </c>
      <c r="E70" s="980" t="s">
        <v>512</v>
      </c>
      <c r="F70" s="998" t="s">
        <v>737</v>
      </c>
    </row>
    <row r="71" spans="1:6">
      <c r="A71" s="980" t="s">
        <v>622</v>
      </c>
      <c r="B71" s="980" t="s">
        <v>738</v>
      </c>
      <c r="C71" s="980" t="s">
        <v>739</v>
      </c>
      <c r="D71" s="92" t="s">
        <v>740</v>
      </c>
      <c r="E71" s="980" t="s">
        <v>512</v>
      </c>
      <c r="F71" s="980" t="s">
        <v>741</v>
      </c>
    </row>
    <row r="72" spans="1:6">
      <c r="A72" s="980" t="s">
        <v>342</v>
      </c>
      <c r="B72" s="980" t="s">
        <v>742</v>
      </c>
      <c r="C72" s="980" t="s">
        <v>743</v>
      </c>
      <c r="D72" s="92" t="s">
        <v>558</v>
      </c>
      <c r="E72" s="980" t="s">
        <v>512</v>
      </c>
      <c r="F72" s="980" t="s">
        <v>744</v>
      </c>
    </row>
    <row r="73" spans="1:6">
      <c r="A73" s="980" t="s">
        <v>342</v>
      </c>
      <c r="B73" s="980" t="s">
        <v>745</v>
      </c>
      <c r="C73" s="980" t="s">
        <v>746</v>
      </c>
      <c r="D73" s="92" t="s">
        <v>747</v>
      </c>
      <c r="E73" s="980" t="s">
        <v>512</v>
      </c>
      <c r="F73" s="998" t="s">
        <v>748</v>
      </c>
    </row>
    <row r="74" spans="1:6">
      <c r="A74" s="980" t="s">
        <v>749</v>
      </c>
      <c r="B74" s="980" t="s">
        <v>750</v>
      </c>
      <c r="C74" s="980" t="s">
        <v>751</v>
      </c>
      <c r="D74" s="92" t="s">
        <v>752</v>
      </c>
      <c r="E74" s="980" t="s">
        <v>512</v>
      </c>
      <c r="F74" s="998" t="s">
        <v>753</v>
      </c>
    </row>
    <row r="75" spans="1:6">
      <c r="A75" s="980" t="s">
        <v>433</v>
      </c>
      <c r="B75" s="980" t="s">
        <v>670</v>
      </c>
      <c r="C75" s="980" t="s">
        <v>754</v>
      </c>
      <c r="D75" s="92" t="s">
        <v>755</v>
      </c>
      <c r="E75" s="980" t="s">
        <v>512</v>
      </c>
      <c r="F75" s="998" t="s">
        <v>756</v>
      </c>
    </row>
    <row r="76" spans="1:6">
      <c r="A76" s="980" t="s">
        <v>757</v>
      </c>
      <c r="B76" s="980" t="s">
        <v>758</v>
      </c>
      <c r="C76" s="980" t="s">
        <v>759</v>
      </c>
      <c r="D76" s="92" t="s">
        <v>760</v>
      </c>
      <c r="E76" s="980" t="s">
        <v>512</v>
      </c>
      <c r="F76" s="980" t="s">
        <v>761</v>
      </c>
    </row>
    <row r="77" spans="1:6">
      <c r="A77" s="980" t="s">
        <v>762</v>
      </c>
      <c r="B77" s="980" t="s">
        <v>763</v>
      </c>
      <c r="C77" s="980" t="s">
        <v>764</v>
      </c>
      <c r="D77" s="92" t="s">
        <v>765</v>
      </c>
      <c r="E77" s="980" t="s">
        <v>512</v>
      </c>
      <c r="F77" s="980" t="s">
        <v>766</v>
      </c>
    </row>
    <row r="78" spans="1:6">
      <c r="A78" s="980" t="s">
        <v>762</v>
      </c>
      <c r="B78" s="980" t="s">
        <v>767</v>
      </c>
      <c r="C78" s="980" t="s">
        <v>768</v>
      </c>
      <c r="D78" s="92" t="s">
        <v>769</v>
      </c>
      <c r="E78" s="980" t="s">
        <v>512</v>
      </c>
      <c r="F78" s="998" t="s">
        <v>770</v>
      </c>
    </row>
    <row r="79" spans="1:6">
      <c r="A79" s="980" t="s">
        <v>364</v>
      </c>
      <c r="B79" s="980" t="s">
        <v>771</v>
      </c>
      <c r="C79" s="980" t="s">
        <v>772</v>
      </c>
      <c r="D79" s="92" t="s">
        <v>773</v>
      </c>
      <c r="E79" s="980" t="s">
        <v>512</v>
      </c>
      <c r="F79" s="980" t="s">
        <v>774</v>
      </c>
    </row>
    <row r="80" spans="1:6">
      <c r="A80" s="980" t="s">
        <v>364</v>
      </c>
      <c r="B80" s="980" t="s">
        <v>775</v>
      </c>
      <c r="C80" s="980" t="s">
        <v>776</v>
      </c>
      <c r="D80" s="92" t="s">
        <v>777</v>
      </c>
      <c r="E80" s="980" t="s">
        <v>512</v>
      </c>
      <c r="F80" s="998" t="s">
        <v>778</v>
      </c>
    </row>
    <row r="81" spans="1:6">
      <c r="A81" s="980" t="s">
        <v>364</v>
      </c>
      <c r="B81" s="980" t="s">
        <v>779</v>
      </c>
      <c r="C81" s="980" t="s">
        <v>780</v>
      </c>
      <c r="D81" s="92" t="s">
        <v>781</v>
      </c>
      <c r="E81" s="980" t="s">
        <v>512</v>
      </c>
      <c r="F81" s="998" t="s">
        <v>782</v>
      </c>
    </row>
    <row r="82" spans="1:6">
      <c r="A82" s="980" t="s">
        <v>421</v>
      </c>
      <c r="B82" s="980" t="s">
        <v>783</v>
      </c>
      <c r="C82" s="980" t="s">
        <v>784</v>
      </c>
      <c r="D82" s="92" t="s">
        <v>785</v>
      </c>
      <c r="E82" s="980" t="s">
        <v>512</v>
      </c>
      <c r="F82" s="980" t="s">
        <v>786</v>
      </c>
    </row>
    <row r="83" spans="1:6">
      <c r="A83" s="980" t="s">
        <v>421</v>
      </c>
      <c r="B83" s="980" t="s">
        <v>787</v>
      </c>
      <c r="C83" s="980" t="s">
        <v>788</v>
      </c>
      <c r="D83" s="92" t="s">
        <v>789</v>
      </c>
      <c r="E83" s="980" t="s">
        <v>512</v>
      </c>
      <c r="F83" s="980" t="s">
        <v>790</v>
      </c>
    </row>
    <row r="84" spans="1:6">
      <c r="A84" s="980" t="s">
        <v>421</v>
      </c>
      <c r="B84" s="980" t="s">
        <v>791</v>
      </c>
      <c r="C84" s="980" t="s">
        <v>792</v>
      </c>
      <c r="D84" s="92" t="s">
        <v>793</v>
      </c>
      <c r="E84" s="980" t="s">
        <v>512</v>
      </c>
      <c r="F84" s="980" t="s">
        <v>794</v>
      </c>
    </row>
    <row r="85" spans="1:6">
      <c r="A85" s="980" t="s">
        <v>421</v>
      </c>
      <c r="B85" s="980" t="s">
        <v>795</v>
      </c>
      <c r="C85" s="980" t="s">
        <v>796</v>
      </c>
      <c r="D85" s="92" t="s">
        <v>797</v>
      </c>
      <c r="E85" s="980" t="s">
        <v>798</v>
      </c>
      <c r="F85" s="980" t="s">
        <v>799</v>
      </c>
    </row>
    <row r="86" spans="1:6">
      <c r="A86" s="980" t="s">
        <v>421</v>
      </c>
      <c r="B86" s="980" t="s">
        <v>800</v>
      </c>
      <c r="C86" s="980" t="s">
        <v>801</v>
      </c>
      <c r="D86" s="92" t="s">
        <v>802</v>
      </c>
      <c r="E86" s="980" t="s">
        <v>798</v>
      </c>
      <c r="F86" s="980" t="s">
        <v>803</v>
      </c>
    </row>
    <row r="87" spans="1:6">
      <c r="A87" s="980" t="s">
        <v>804</v>
      </c>
      <c r="B87" s="980" t="s">
        <v>805</v>
      </c>
      <c r="C87" s="980" t="s">
        <v>806</v>
      </c>
      <c r="D87" s="92" t="s">
        <v>807</v>
      </c>
      <c r="E87" s="980" t="s">
        <v>512</v>
      </c>
      <c r="F87" s="998" t="s">
        <v>808</v>
      </c>
    </row>
    <row r="88" spans="1:6">
      <c r="A88" s="980" t="s">
        <v>804</v>
      </c>
      <c r="B88" s="980" t="s">
        <v>809</v>
      </c>
      <c r="C88" s="980" t="s">
        <v>810</v>
      </c>
      <c r="D88" s="92" t="s">
        <v>811</v>
      </c>
      <c r="E88" s="980" t="s">
        <v>512</v>
      </c>
      <c r="F88" s="980" t="s">
        <v>812</v>
      </c>
    </row>
    <row r="89" spans="1:6">
      <c r="A89" s="980" t="s">
        <v>804</v>
      </c>
      <c r="B89" s="980" t="s">
        <v>813</v>
      </c>
      <c r="C89" s="980" t="s">
        <v>814</v>
      </c>
      <c r="D89" s="92" t="s">
        <v>815</v>
      </c>
      <c r="E89" s="980" t="s">
        <v>512</v>
      </c>
      <c r="F89" s="980" t="s">
        <v>816</v>
      </c>
    </row>
    <row r="90" spans="1:6">
      <c r="A90" s="980" t="s">
        <v>804</v>
      </c>
      <c r="B90" s="980" t="s">
        <v>817</v>
      </c>
      <c r="C90" s="980" t="s">
        <v>818</v>
      </c>
      <c r="D90" s="92" t="s">
        <v>819</v>
      </c>
      <c r="E90" s="980" t="s">
        <v>512</v>
      </c>
      <c r="F90" s="980" t="s">
        <v>820</v>
      </c>
    </row>
    <row r="91" spans="1:6">
      <c r="A91" s="980" t="s">
        <v>821</v>
      </c>
      <c r="B91" s="980" t="s">
        <v>822</v>
      </c>
      <c r="C91" s="980" t="s">
        <v>823</v>
      </c>
      <c r="D91" s="92" t="s">
        <v>824</v>
      </c>
      <c r="E91" s="980" t="s">
        <v>512</v>
      </c>
      <c r="F91" s="980" t="s">
        <v>825</v>
      </c>
    </row>
    <row r="92" spans="1:6">
      <c r="A92" s="980" t="s">
        <v>821</v>
      </c>
      <c r="B92" s="980" t="s">
        <v>826</v>
      </c>
      <c r="C92" s="980" t="s">
        <v>827</v>
      </c>
      <c r="D92" s="92" t="s">
        <v>828</v>
      </c>
      <c r="E92" s="980" t="s">
        <v>512</v>
      </c>
      <c r="F92" s="980" t="s">
        <v>829</v>
      </c>
    </row>
    <row r="93" spans="1:6">
      <c r="A93" s="980" t="s">
        <v>830</v>
      </c>
      <c r="B93" s="980" t="s">
        <v>831</v>
      </c>
      <c r="C93" s="980" t="s">
        <v>832</v>
      </c>
      <c r="D93" s="92" t="s">
        <v>833</v>
      </c>
      <c r="E93" s="980" t="s">
        <v>512</v>
      </c>
      <c r="F93" s="980" t="s">
        <v>834</v>
      </c>
    </row>
    <row r="94" spans="1:6">
      <c r="A94" s="980" t="s">
        <v>269</v>
      </c>
      <c r="B94" s="980" t="s">
        <v>835</v>
      </c>
      <c r="C94" s="980" t="s">
        <v>836</v>
      </c>
      <c r="D94" s="92" t="s">
        <v>837</v>
      </c>
      <c r="E94" s="980" t="s">
        <v>512</v>
      </c>
      <c r="F94" s="980" t="s">
        <v>838</v>
      </c>
    </row>
    <row r="95" spans="1:6">
      <c r="A95" s="980" t="s">
        <v>622</v>
      </c>
      <c r="B95" s="980" t="s">
        <v>839</v>
      </c>
      <c r="C95" s="980" t="s">
        <v>840</v>
      </c>
      <c r="D95" s="92" t="s">
        <v>841</v>
      </c>
      <c r="E95" s="980" t="s">
        <v>512</v>
      </c>
      <c r="F95" s="998" t="s">
        <v>842</v>
      </c>
    </row>
    <row r="96" spans="1:6">
      <c r="A96" s="980" t="s">
        <v>622</v>
      </c>
      <c r="B96" s="980" t="s">
        <v>843</v>
      </c>
      <c r="C96" s="980" t="s">
        <v>844</v>
      </c>
      <c r="D96" s="92" t="s">
        <v>845</v>
      </c>
      <c r="E96" s="980" t="s">
        <v>512</v>
      </c>
      <c r="F96" s="980" t="s">
        <v>846</v>
      </c>
    </row>
    <row r="97" spans="1:6">
      <c r="A97" s="980" t="s">
        <v>847</v>
      </c>
      <c r="B97" s="980" t="s">
        <v>848</v>
      </c>
      <c r="C97" s="980" t="s">
        <v>849</v>
      </c>
      <c r="D97" s="92" t="s">
        <v>850</v>
      </c>
      <c r="E97" s="980" t="s">
        <v>512</v>
      </c>
      <c r="F97" s="998" t="s">
        <v>851</v>
      </c>
    </row>
    <row r="98" spans="1:6">
      <c r="A98" s="980" t="s">
        <v>852</v>
      </c>
      <c r="B98" s="980" t="s">
        <v>853</v>
      </c>
      <c r="C98" s="980" t="s">
        <v>854</v>
      </c>
      <c r="D98" s="92" t="s">
        <v>855</v>
      </c>
      <c r="E98" s="980" t="s">
        <v>512</v>
      </c>
      <c r="F98" s="980" t="s">
        <v>856</v>
      </c>
    </row>
    <row r="99" spans="1:6">
      <c r="A99" s="980" t="s">
        <v>457</v>
      </c>
      <c r="B99" s="980" t="s">
        <v>857</v>
      </c>
      <c r="C99" s="980" t="s">
        <v>858</v>
      </c>
      <c r="D99" s="92" t="s">
        <v>859</v>
      </c>
      <c r="E99" s="980" t="s">
        <v>512</v>
      </c>
      <c r="F99" s="980" t="s">
        <v>860</v>
      </c>
    </row>
    <row r="100" spans="1:6">
      <c r="A100" s="980" t="s">
        <v>457</v>
      </c>
      <c r="B100" s="980" t="s">
        <v>861</v>
      </c>
      <c r="C100" s="980" t="s">
        <v>862</v>
      </c>
      <c r="D100" s="92" t="s">
        <v>863</v>
      </c>
      <c r="E100" s="980" t="s">
        <v>512</v>
      </c>
      <c r="F100" s="980" t="s">
        <v>864</v>
      </c>
    </row>
    <row r="101" spans="1:6">
      <c r="A101" s="980" t="s">
        <v>457</v>
      </c>
      <c r="B101" s="980" t="s">
        <v>865</v>
      </c>
      <c r="C101" s="980" t="s">
        <v>866</v>
      </c>
      <c r="D101" s="92" t="s">
        <v>867</v>
      </c>
      <c r="E101" s="980" t="s">
        <v>512</v>
      </c>
      <c r="F101" s="980" t="s">
        <v>868</v>
      </c>
    </row>
    <row r="102" spans="1:6">
      <c r="A102" s="980" t="s">
        <v>869</v>
      </c>
      <c r="B102" s="980" t="s">
        <v>870</v>
      </c>
      <c r="C102" s="980" t="s">
        <v>871</v>
      </c>
      <c r="D102" s="92" t="s">
        <v>872</v>
      </c>
      <c r="E102" s="980" t="s">
        <v>512</v>
      </c>
      <c r="F102" s="980" t="s">
        <v>873</v>
      </c>
    </row>
    <row r="103" spans="1:6">
      <c r="A103" s="980" t="s">
        <v>869</v>
      </c>
      <c r="B103" s="980" t="s">
        <v>874</v>
      </c>
      <c r="C103" s="980" t="s">
        <v>875</v>
      </c>
      <c r="D103" s="92" t="s">
        <v>876</v>
      </c>
      <c r="E103" s="980" t="s">
        <v>512</v>
      </c>
      <c r="F103" s="980" t="s">
        <v>877</v>
      </c>
    </row>
    <row r="104" spans="1:6">
      <c r="A104" s="980" t="s">
        <v>869</v>
      </c>
      <c r="B104" s="980" t="s">
        <v>693</v>
      </c>
      <c r="C104" s="980" t="s">
        <v>878</v>
      </c>
      <c r="D104" s="92" t="s">
        <v>879</v>
      </c>
      <c r="E104" s="980" t="s">
        <v>512</v>
      </c>
      <c r="F104" s="980" t="s">
        <v>880</v>
      </c>
    </row>
    <row r="105" spans="1:6">
      <c r="A105" s="980" t="s">
        <v>440</v>
      </c>
      <c r="B105" s="980" t="s">
        <v>881</v>
      </c>
      <c r="C105" s="980" t="s">
        <v>882</v>
      </c>
      <c r="D105" s="92" t="s">
        <v>883</v>
      </c>
      <c r="E105" s="980" t="s">
        <v>512</v>
      </c>
      <c r="F105" s="980" t="s">
        <v>884</v>
      </c>
    </row>
    <row r="106" spans="1:6">
      <c r="A106" s="980" t="s">
        <v>440</v>
      </c>
      <c r="B106" s="980" t="s">
        <v>885</v>
      </c>
      <c r="C106" s="980" t="s">
        <v>886</v>
      </c>
      <c r="D106" s="92" t="s">
        <v>887</v>
      </c>
      <c r="E106" s="980" t="s">
        <v>512</v>
      </c>
      <c r="F106" s="980" t="s">
        <v>888</v>
      </c>
    </row>
    <row r="107" spans="1:6">
      <c r="A107" s="980" t="s">
        <v>440</v>
      </c>
      <c r="B107" s="980" t="s">
        <v>889</v>
      </c>
      <c r="C107" s="980" t="s">
        <v>890</v>
      </c>
      <c r="D107" s="92" t="s">
        <v>891</v>
      </c>
      <c r="E107" s="980" t="s">
        <v>512</v>
      </c>
      <c r="F107" s="980" t="s">
        <v>892</v>
      </c>
    </row>
    <row r="108" spans="1:6">
      <c r="A108" s="980" t="s">
        <v>669</v>
      </c>
      <c r="B108" s="980" t="s">
        <v>893</v>
      </c>
      <c r="C108" s="980" t="s">
        <v>894</v>
      </c>
      <c r="D108" s="92" t="s">
        <v>895</v>
      </c>
      <c r="E108" s="980" t="s">
        <v>512</v>
      </c>
      <c r="F108" s="980" t="s">
        <v>896</v>
      </c>
    </row>
    <row r="109" spans="1:6">
      <c r="A109" s="980" t="s">
        <v>669</v>
      </c>
      <c r="B109" s="980" t="s">
        <v>893</v>
      </c>
      <c r="C109" s="980" t="s">
        <v>897</v>
      </c>
      <c r="D109" s="92" t="s">
        <v>898</v>
      </c>
      <c r="E109" s="980" t="s">
        <v>899</v>
      </c>
      <c r="F109" s="980" t="s">
        <v>900</v>
      </c>
    </row>
    <row r="110" spans="1:6">
      <c r="A110" s="980" t="s">
        <v>669</v>
      </c>
      <c r="B110" s="980" t="s">
        <v>893</v>
      </c>
      <c r="C110" s="980" t="s">
        <v>901</v>
      </c>
      <c r="D110" s="92" t="s">
        <v>163</v>
      </c>
      <c r="E110" s="980" t="s">
        <v>512</v>
      </c>
      <c r="F110" s="998" t="s">
        <v>902</v>
      </c>
    </row>
    <row r="111" spans="1:6">
      <c r="A111" s="980" t="s">
        <v>669</v>
      </c>
      <c r="B111" s="980" t="s">
        <v>903</v>
      </c>
      <c r="C111" s="980" t="s">
        <v>904</v>
      </c>
      <c r="D111" s="92" t="s">
        <v>905</v>
      </c>
      <c r="E111" s="980" t="s">
        <v>512</v>
      </c>
      <c r="F111" s="980" t="s">
        <v>906</v>
      </c>
    </row>
    <row r="112" spans="1:6">
      <c r="A112" s="980" t="s">
        <v>669</v>
      </c>
      <c r="B112" s="980" t="s">
        <v>907</v>
      </c>
      <c r="C112" s="980" t="s">
        <v>908</v>
      </c>
      <c r="D112" s="92" t="s">
        <v>909</v>
      </c>
      <c r="E112" s="980" t="s">
        <v>512</v>
      </c>
      <c r="F112" s="980" t="s">
        <v>910</v>
      </c>
    </row>
    <row r="113" spans="1:6">
      <c r="A113" s="980" t="s">
        <v>669</v>
      </c>
      <c r="B113" s="980" t="s">
        <v>907</v>
      </c>
      <c r="C113" s="980" t="s">
        <v>911</v>
      </c>
      <c r="D113" s="92" t="s">
        <v>912</v>
      </c>
      <c r="E113" s="980" t="s">
        <v>512</v>
      </c>
      <c r="F113" s="980" t="s">
        <v>913</v>
      </c>
    </row>
    <row r="114" spans="1:6">
      <c r="A114" s="980" t="s">
        <v>669</v>
      </c>
      <c r="B114" s="980" t="s">
        <v>627</v>
      </c>
      <c r="C114" s="980" t="s">
        <v>914</v>
      </c>
      <c r="D114" s="92" t="s">
        <v>915</v>
      </c>
      <c r="E114" s="980" t="s">
        <v>512</v>
      </c>
      <c r="F114" s="980" t="s">
        <v>916</v>
      </c>
    </row>
    <row r="115" spans="1:6">
      <c r="A115" s="980" t="s">
        <v>669</v>
      </c>
      <c r="B115" s="980" t="s">
        <v>917</v>
      </c>
      <c r="C115" s="980" t="s">
        <v>918</v>
      </c>
      <c r="D115" s="92" t="s">
        <v>919</v>
      </c>
      <c r="E115" s="980" t="s">
        <v>512</v>
      </c>
      <c r="F115" s="998" t="s">
        <v>920</v>
      </c>
    </row>
    <row r="116" spans="1:6">
      <c r="A116" s="980" t="s">
        <v>283</v>
      </c>
      <c r="B116" s="980" t="s">
        <v>921</v>
      </c>
      <c r="C116" s="980" t="s">
        <v>547</v>
      </c>
      <c r="D116" s="92" t="s">
        <v>922</v>
      </c>
      <c r="E116" s="980" t="s">
        <v>512</v>
      </c>
      <c r="F116" s="980" t="s">
        <v>923</v>
      </c>
    </row>
    <row r="117" spans="1:6">
      <c r="A117" s="980" t="s">
        <v>283</v>
      </c>
      <c r="B117" s="980" t="s">
        <v>924</v>
      </c>
      <c r="C117" s="980" t="s">
        <v>925</v>
      </c>
      <c r="D117" s="92" t="s">
        <v>926</v>
      </c>
      <c r="E117" s="980" t="s">
        <v>512</v>
      </c>
      <c r="F117" s="980" t="s">
        <v>927</v>
      </c>
    </row>
    <row r="118" spans="1:6">
      <c r="A118" s="980" t="s">
        <v>703</v>
      </c>
      <c r="B118" s="980" t="s">
        <v>708</v>
      </c>
      <c r="C118" s="980" t="s">
        <v>928</v>
      </c>
      <c r="D118" s="92" t="s">
        <v>929</v>
      </c>
      <c r="E118" s="980" t="s">
        <v>512</v>
      </c>
      <c r="F118" s="980" t="s">
        <v>930</v>
      </c>
    </row>
    <row r="119" spans="1:6">
      <c r="A119" s="980" t="s">
        <v>703</v>
      </c>
      <c r="B119" s="980" t="s">
        <v>514</v>
      </c>
      <c r="C119" s="980" t="s">
        <v>931</v>
      </c>
      <c r="D119" s="92" t="s">
        <v>932</v>
      </c>
      <c r="E119" s="980" t="s">
        <v>512</v>
      </c>
      <c r="F119" s="980" t="s">
        <v>933</v>
      </c>
    </row>
    <row r="120" spans="1:6">
      <c r="A120" s="980" t="s">
        <v>703</v>
      </c>
      <c r="B120" s="980" t="s">
        <v>889</v>
      </c>
      <c r="C120" s="980" t="s">
        <v>934</v>
      </c>
      <c r="D120" s="92" t="s">
        <v>935</v>
      </c>
      <c r="E120" s="980" t="s">
        <v>512</v>
      </c>
      <c r="F120" s="998" t="s">
        <v>936</v>
      </c>
    </row>
    <row r="121" spans="1:6">
      <c r="A121" s="980" t="s">
        <v>937</v>
      </c>
      <c r="B121" s="980" t="s">
        <v>938</v>
      </c>
      <c r="C121" s="980" t="s">
        <v>939</v>
      </c>
      <c r="D121" s="92" t="s">
        <v>940</v>
      </c>
      <c r="E121" s="980" t="s">
        <v>701</v>
      </c>
      <c r="F121" s="980" t="s">
        <v>941</v>
      </c>
    </row>
    <row r="122" spans="1:6">
      <c r="A122" s="980" t="s">
        <v>937</v>
      </c>
      <c r="B122" s="980" t="s">
        <v>942</v>
      </c>
      <c r="C122" s="980" t="s">
        <v>943</v>
      </c>
      <c r="D122" s="92" t="s">
        <v>944</v>
      </c>
      <c r="E122" s="980" t="s">
        <v>701</v>
      </c>
      <c r="F122" s="980" t="s">
        <v>945</v>
      </c>
    </row>
    <row r="123" spans="1:6">
      <c r="A123" s="980" t="s">
        <v>946</v>
      </c>
      <c r="B123" s="980" t="s">
        <v>947</v>
      </c>
      <c r="C123" s="980" t="s">
        <v>948</v>
      </c>
      <c r="D123" s="92" t="s">
        <v>949</v>
      </c>
      <c r="E123" s="980" t="s">
        <v>701</v>
      </c>
      <c r="F123" s="980" t="s">
        <v>950</v>
      </c>
    </row>
    <row r="124" spans="1:6">
      <c r="A124" s="980" t="s">
        <v>951</v>
      </c>
      <c r="B124" s="980" t="s">
        <v>952</v>
      </c>
      <c r="C124" s="980" t="s">
        <v>953</v>
      </c>
      <c r="D124" s="92" t="s">
        <v>954</v>
      </c>
      <c r="E124" s="980" t="s">
        <v>512</v>
      </c>
      <c r="F124" s="980" t="s">
        <v>955</v>
      </c>
    </row>
    <row r="125" spans="1:6">
      <c r="A125" s="980" t="s">
        <v>951</v>
      </c>
      <c r="B125" s="980" t="s">
        <v>956</v>
      </c>
      <c r="C125" s="980" t="s">
        <v>957</v>
      </c>
      <c r="D125" s="92" t="s">
        <v>958</v>
      </c>
      <c r="E125" s="980" t="s">
        <v>512</v>
      </c>
      <c r="F125" s="980" t="s">
        <v>959</v>
      </c>
    </row>
    <row r="126" spans="1:6">
      <c r="A126" s="980" t="s">
        <v>960</v>
      </c>
      <c r="B126" s="980" t="s">
        <v>961</v>
      </c>
      <c r="C126" s="980" t="s">
        <v>962</v>
      </c>
      <c r="D126" s="92" t="s">
        <v>963</v>
      </c>
      <c r="E126" s="980" t="s">
        <v>512</v>
      </c>
      <c r="F126" s="980" t="s">
        <v>964</v>
      </c>
    </row>
    <row r="127" spans="1:6">
      <c r="A127" s="980" t="s">
        <v>965</v>
      </c>
      <c r="B127" s="980" t="s">
        <v>966</v>
      </c>
      <c r="C127" s="980" t="s">
        <v>967</v>
      </c>
      <c r="D127" s="92" t="s">
        <v>968</v>
      </c>
      <c r="E127" s="980" t="s">
        <v>512</v>
      </c>
      <c r="F127" s="980" t="s">
        <v>969</v>
      </c>
    </row>
    <row r="128" spans="1:6">
      <c r="A128" s="980" t="s">
        <v>970</v>
      </c>
      <c r="B128" s="980" t="s">
        <v>971</v>
      </c>
      <c r="C128" s="980" t="s">
        <v>972</v>
      </c>
      <c r="D128" s="92" t="s">
        <v>973</v>
      </c>
      <c r="E128" s="980" t="s">
        <v>512</v>
      </c>
      <c r="F128" s="980" t="s">
        <v>974</v>
      </c>
    </row>
    <row r="129" spans="1:6">
      <c r="A129" s="980" t="s">
        <v>970</v>
      </c>
      <c r="B129" s="980" t="s">
        <v>975</v>
      </c>
      <c r="C129" s="980" t="s">
        <v>976</v>
      </c>
      <c r="D129" s="92" t="s">
        <v>977</v>
      </c>
      <c r="E129" s="980" t="s">
        <v>512</v>
      </c>
      <c r="F129" s="980" t="s">
        <v>978</v>
      </c>
    </row>
    <row r="130" spans="1:6">
      <c r="A130" s="980" t="s">
        <v>979</v>
      </c>
      <c r="B130" s="980" t="s">
        <v>885</v>
      </c>
      <c r="C130" s="980" t="s">
        <v>980</v>
      </c>
      <c r="D130" s="92" t="s">
        <v>981</v>
      </c>
      <c r="E130" s="980" t="s">
        <v>512</v>
      </c>
      <c r="F130" s="980" t="s">
        <v>982</v>
      </c>
    </row>
    <row r="131" spans="1:6">
      <c r="A131" s="980" t="s">
        <v>983</v>
      </c>
      <c r="B131" s="980" t="s">
        <v>984</v>
      </c>
      <c r="C131" s="980" t="s">
        <v>985</v>
      </c>
      <c r="D131" s="92" t="s">
        <v>986</v>
      </c>
      <c r="E131" s="980" t="s">
        <v>512</v>
      </c>
      <c r="F131" s="980" t="s">
        <v>987</v>
      </c>
    </row>
    <row r="132" spans="1:6">
      <c r="A132" s="980" t="s">
        <v>692</v>
      </c>
      <c r="B132" s="980" t="s">
        <v>988</v>
      </c>
      <c r="C132" s="980" t="s">
        <v>989</v>
      </c>
      <c r="D132" s="92" t="s">
        <v>990</v>
      </c>
      <c r="E132" s="980" t="s">
        <v>512</v>
      </c>
      <c r="F132" s="980" t="s">
        <v>991</v>
      </c>
    </row>
    <row r="133" spans="1:6">
      <c r="A133" s="980" t="s">
        <v>560</v>
      </c>
      <c r="B133" s="980" t="s">
        <v>992</v>
      </c>
      <c r="C133" s="980" t="s">
        <v>993</v>
      </c>
      <c r="D133" s="92" t="s">
        <v>994</v>
      </c>
      <c r="E133" s="980" t="s">
        <v>512</v>
      </c>
      <c r="F133" s="980" t="s">
        <v>995</v>
      </c>
    </row>
    <row r="134" spans="1:6">
      <c r="A134" s="980" t="s">
        <v>996</v>
      </c>
      <c r="B134" s="980" t="s">
        <v>997</v>
      </c>
      <c r="C134" s="980" t="s">
        <v>998</v>
      </c>
      <c r="D134" s="92" t="s">
        <v>999</v>
      </c>
      <c r="E134" s="980" t="s">
        <v>512</v>
      </c>
      <c r="F134" s="980" t="s">
        <v>1000</v>
      </c>
    </row>
    <row r="135" spans="1:6">
      <c r="A135" s="980" t="s">
        <v>1001</v>
      </c>
      <c r="B135" s="980" t="s">
        <v>1002</v>
      </c>
      <c r="C135" s="980" t="s">
        <v>1003</v>
      </c>
      <c r="D135" s="92" t="s">
        <v>1004</v>
      </c>
      <c r="E135" s="980" t="s">
        <v>512</v>
      </c>
      <c r="F135" s="980" t="s">
        <v>1005</v>
      </c>
    </row>
    <row r="136" spans="1:6">
      <c r="A136" s="980" t="s">
        <v>1006</v>
      </c>
      <c r="B136" s="980" t="s">
        <v>1007</v>
      </c>
      <c r="C136" s="980" t="s">
        <v>1008</v>
      </c>
      <c r="D136" s="92" t="s">
        <v>1009</v>
      </c>
      <c r="E136" s="980" t="s">
        <v>512</v>
      </c>
      <c r="F136" s="980" t="s">
        <v>1010</v>
      </c>
    </row>
    <row r="137" spans="1:6">
      <c r="A137" s="980" t="s">
        <v>1011</v>
      </c>
      <c r="B137" s="980" t="s">
        <v>775</v>
      </c>
      <c r="C137" s="980" t="s">
        <v>1012</v>
      </c>
      <c r="D137" s="92" t="s">
        <v>1013</v>
      </c>
      <c r="E137" s="980" t="s">
        <v>701</v>
      </c>
      <c r="F137" s="980" t="s">
        <v>1014</v>
      </c>
    </row>
    <row r="138" spans="1:6">
      <c r="A138" s="980" t="s">
        <v>1015</v>
      </c>
      <c r="B138" s="980" t="s">
        <v>1016</v>
      </c>
      <c r="C138" s="980" t="s">
        <v>1017</v>
      </c>
      <c r="D138" s="92" t="s">
        <v>1018</v>
      </c>
      <c r="E138" s="980" t="s">
        <v>512</v>
      </c>
      <c r="F138" s="980" t="s">
        <v>1019</v>
      </c>
    </row>
    <row r="139" spans="1:6">
      <c r="A139" s="980" t="s">
        <v>457</v>
      </c>
      <c r="B139" s="980" t="s">
        <v>1020</v>
      </c>
      <c r="C139" s="980" t="s">
        <v>1021</v>
      </c>
      <c r="D139" s="92" t="s">
        <v>1022</v>
      </c>
      <c r="E139" s="980" t="s">
        <v>512</v>
      </c>
      <c r="F139" s="980" t="s">
        <v>1023</v>
      </c>
    </row>
    <row r="140" spans="1:6">
      <c r="A140" s="980" t="s">
        <v>185</v>
      </c>
      <c r="B140" s="980" t="s">
        <v>1024</v>
      </c>
      <c r="C140" s="980" t="s">
        <v>1025</v>
      </c>
      <c r="D140" s="92" t="s">
        <v>1026</v>
      </c>
      <c r="E140" s="980" t="s">
        <v>512</v>
      </c>
      <c r="F140" s="980" t="s">
        <v>1027</v>
      </c>
    </row>
    <row r="141" spans="1:6">
      <c r="A141" s="980" t="s">
        <v>1028</v>
      </c>
      <c r="B141" s="980" t="s">
        <v>1029</v>
      </c>
      <c r="C141" s="980" t="s">
        <v>1030</v>
      </c>
      <c r="D141" s="92" t="s">
        <v>1031</v>
      </c>
      <c r="E141" s="980" t="s">
        <v>512</v>
      </c>
      <c r="F141" s="980" t="s">
        <v>1032</v>
      </c>
    </row>
    <row r="142" spans="1:6">
      <c r="A142" s="980" t="s">
        <v>57</v>
      </c>
      <c r="B142" s="980" t="s">
        <v>1033</v>
      </c>
      <c r="C142" s="980" t="s">
        <v>1034</v>
      </c>
      <c r="D142" s="92" t="s">
        <v>1035</v>
      </c>
      <c r="E142" s="980" t="s">
        <v>512</v>
      </c>
      <c r="F142" s="980" t="s">
        <v>1036</v>
      </c>
    </row>
    <row r="143" spans="1:6">
      <c r="A143" s="980" t="s">
        <v>57</v>
      </c>
      <c r="B143" s="980" t="s">
        <v>997</v>
      </c>
      <c r="C143" s="980" t="s">
        <v>1037</v>
      </c>
      <c r="D143" s="92" t="s">
        <v>1038</v>
      </c>
      <c r="E143" s="980" t="s">
        <v>512</v>
      </c>
      <c r="F143" s="980" t="s">
        <v>1039</v>
      </c>
    </row>
    <row r="144" spans="1:6">
      <c r="A144" s="980" t="s">
        <v>57</v>
      </c>
      <c r="B144" s="980" t="s">
        <v>1040</v>
      </c>
      <c r="C144" s="980" t="s">
        <v>1041</v>
      </c>
      <c r="D144" s="92" t="s">
        <v>1042</v>
      </c>
      <c r="E144" s="980" t="s">
        <v>512</v>
      </c>
      <c r="F144" s="980" t="s">
        <v>1043</v>
      </c>
    </row>
    <row r="145" spans="1:6">
      <c r="A145" s="980" t="s">
        <v>57</v>
      </c>
      <c r="B145" s="980" t="s">
        <v>1044</v>
      </c>
      <c r="C145" s="980" t="s">
        <v>1045</v>
      </c>
      <c r="D145" s="92" t="s">
        <v>1046</v>
      </c>
      <c r="E145" s="980" t="s">
        <v>512</v>
      </c>
      <c r="F145" s="980" t="s">
        <v>1047</v>
      </c>
    </row>
    <row r="146" spans="1:6">
      <c r="A146" s="980" t="s">
        <v>57</v>
      </c>
      <c r="B146" s="980" t="s">
        <v>1048</v>
      </c>
      <c r="C146" s="980" t="s">
        <v>1049</v>
      </c>
      <c r="D146" s="92" t="s">
        <v>1050</v>
      </c>
      <c r="E146" s="980" t="s">
        <v>512</v>
      </c>
      <c r="F146" s="980" t="s">
        <v>1051</v>
      </c>
    </row>
    <row r="147" spans="1:6">
      <c r="A147" s="980" t="s">
        <v>57</v>
      </c>
      <c r="B147" s="980" t="s">
        <v>1052</v>
      </c>
      <c r="C147" s="980" t="s">
        <v>1053</v>
      </c>
      <c r="D147" s="92" t="s">
        <v>1054</v>
      </c>
      <c r="E147" s="980" t="s">
        <v>512</v>
      </c>
      <c r="F147" s="980" t="s">
        <v>1055</v>
      </c>
    </row>
    <row r="148" spans="1:6">
      <c r="A148" s="980" t="s">
        <v>57</v>
      </c>
      <c r="B148" s="980" t="s">
        <v>1056</v>
      </c>
      <c r="C148" s="980" t="s">
        <v>1057</v>
      </c>
      <c r="D148" s="92" t="s">
        <v>1058</v>
      </c>
      <c r="E148" s="980" t="s">
        <v>512</v>
      </c>
      <c r="F148" s="980" t="s">
        <v>1059</v>
      </c>
    </row>
    <row r="149" spans="1:6">
      <c r="A149" s="980" t="s">
        <v>57</v>
      </c>
      <c r="B149" s="980" t="s">
        <v>1060</v>
      </c>
      <c r="C149" s="980" t="s">
        <v>1061</v>
      </c>
      <c r="D149" s="92" t="s">
        <v>1062</v>
      </c>
      <c r="E149" s="980" t="s">
        <v>512</v>
      </c>
      <c r="F149" s="980" t="s">
        <v>1063</v>
      </c>
    </row>
    <row r="150" spans="1:6">
      <c r="A150" s="980" t="s">
        <v>57</v>
      </c>
      <c r="B150" s="980" t="s">
        <v>1064</v>
      </c>
      <c r="C150" s="980" t="s">
        <v>1065</v>
      </c>
      <c r="D150" s="92" t="s">
        <v>1066</v>
      </c>
      <c r="E150" s="980" t="s">
        <v>512</v>
      </c>
      <c r="F150" s="980" t="s">
        <v>1067</v>
      </c>
    </row>
    <row r="151" spans="1:6">
      <c r="A151" s="980" t="s">
        <v>57</v>
      </c>
      <c r="B151" s="980" t="s">
        <v>1068</v>
      </c>
      <c r="C151" s="980" t="s">
        <v>1069</v>
      </c>
      <c r="D151" s="92" t="s">
        <v>1070</v>
      </c>
      <c r="E151" s="980" t="s">
        <v>512</v>
      </c>
      <c r="F151" s="980" t="s">
        <v>1071</v>
      </c>
    </row>
    <row r="152" spans="1:6">
      <c r="A152" s="980" t="s">
        <v>560</v>
      </c>
      <c r="B152" s="980" t="s">
        <v>903</v>
      </c>
      <c r="C152" s="980" t="s">
        <v>1072</v>
      </c>
      <c r="D152" s="92" t="s">
        <v>1073</v>
      </c>
      <c r="E152" s="980" t="s">
        <v>512</v>
      </c>
      <c r="F152" s="980" t="s">
        <v>1074</v>
      </c>
    </row>
    <row r="153" spans="1:6">
      <c r="A153" s="980" t="s">
        <v>57</v>
      </c>
      <c r="B153" s="980" t="s">
        <v>903</v>
      </c>
      <c r="C153" s="980" t="s">
        <v>1075</v>
      </c>
      <c r="D153" s="92" t="s">
        <v>1076</v>
      </c>
      <c r="E153" s="980" t="s">
        <v>512</v>
      </c>
      <c r="F153" s="980" t="s">
        <v>1077</v>
      </c>
    </row>
    <row r="154" spans="1:6">
      <c r="A154" s="980" t="s">
        <v>57</v>
      </c>
      <c r="B154" s="980" t="s">
        <v>1078</v>
      </c>
      <c r="C154" s="980" t="s">
        <v>1079</v>
      </c>
      <c r="D154" s="92" t="s">
        <v>1080</v>
      </c>
      <c r="E154" s="980" t="s">
        <v>512</v>
      </c>
      <c r="F154" s="980" t="s">
        <v>1081</v>
      </c>
    </row>
    <row r="155" spans="1:6">
      <c r="A155" s="980" t="s">
        <v>57</v>
      </c>
      <c r="B155" s="980" t="s">
        <v>1082</v>
      </c>
      <c r="C155" s="980" t="s">
        <v>1083</v>
      </c>
      <c r="D155" s="92" t="s">
        <v>1084</v>
      </c>
      <c r="E155" s="980" t="s">
        <v>512</v>
      </c>
      <c r="F155" s="980" t="s">
        <v>1085</v>
      </c>
    </row>
    <row r="156" spans="1:6">
      <c r="A156" s="980" t="s">
        <v>57</v>
      </c>
      <c r="B156" s="980" t="s">
        <v>1086</v>
      </c>
      <c r="C156" s="980" t="s">
        <v>1087</v>
      </c>
      <c r="D156" s="92" t="s">
        <v>1088</v>
      </c>
      <c r="E156" s="980" t="s">
        <v>512</v>
      </c>
      <c r="F156" s="980" t="s">
        <v>1089</v>
      </c>
    </row>
    <row r="157" spans="1:6">
      <c r="A157" s="980" t="s">
        <v>57</v>
      </c>
      <c r="B157" s="980" t="s">
        <v>1090</v>
      </c>
      <c r="C157" s="980" t="s">
        <v>1091</v>
      </c>
      <c r="D157" s="92" t="s">
        <v>1092</v>
      </c>
      <c r="E157" s="980" t="s">
        <v>512</v>
      </c>
      <c r="F157" s="980" t="s">
        <v>1093</v>
      </c>
    </row>
    <row r="158" spans="1:6">
      <c r="A158" s="980" t="s">
        <v>57</v>
      </c>
      <c r="B158" s="980" t="s">
        <v>848</v>
      </c>
      <c r="C158" s="980" t="s">
        <v>1094</v>
      </c>
      <c r="D158" s="92" t="s">
        <v>1095</v>
      </c>
      <c r="E158" s="980" t="s">
        <v>512</v>
      </c>
      <c r="F158" s="998" t="s">
        <v>1096</v>
      </c>
    </row>
    <row r="159" spans="1:6">
      <c r="A159" s="980" t="s">
        <v>57</v>
      </c>
      <c r="B159" s="980" t="s">
        <v>1082</v>
      </c>
      <c r="C159" s="980" t="s">
        <v>1097</v>
      </c>
      <c r="D159" s="92" t="s">
        <v>429</v>
      </c>
      <c r="E159" s="980" t="s">
        <v>512</v>
      </c>
      <c r="F159" s="980" t="s">
        <v>1098</v>
      </c>
    </row>
    <row r="160" spans="1:6">
      <c r="A160" s="980" t="s">
        <v>57</v>
      </c>
      <c r="B160" s="980" t="s">
        <v>848</v>
      </c>
      <c r="C160" s="980" t="s">
        <v>1099</v>
      </c>
      <c r="D160" s="92" t="s">
        <v>1100</v>
      </c>
      <c r="E160" s="980" t="s">
        <v>512</v>
      </c>
      <c r="F160" s="980" t="s">
        <v>1101</v>
      </c>
    </row>
    <row r="161" spans="1:6">
      <c r="A161" s="980" t="s">
        <v>57</v>
      </c>
      <c r="B161" s="980" t="s">
        <v>848</v>
      </c>
      <c r="C161" s="980" t="s">
        <v>1102</v>
      </c>
      <c r="D161" s="92" t="s">
        <v>1103</v>
      </c>
      <c r="E161" s="980" t="s">
        <v>512</v>
      </c>
      <c r="F161" s="980" t="s">
        <v>1104</v>
      </c>
    </row>
    <row r="162" spans="1:6">
      <c r="A162" s="980" t="s">
        <v>57</v>
      </c>
      <c r="B162" s="980" t="s">
        <v>966</v>
      </c>
      <c r="C162" s="980" t="s">
        <v>1105</v>
      </c>
      <c r="D162" s="92" t="s">
        <v>1106</v>
      </c>
      <c r="E162" s="980" t="s">
        <v>512</v>
      </c>
      <c r="F162" s="980" t="s">
        <v>1107</v>
      </c>
    </row>
    <row r="163" spans="1:6">
      <c r="A163" s="980" t="s">
        <v>57</v>
      </c>
      <c r="B163" s="980" t="s">
        <v>1108</v>
      </c>
      <c r="C163" s="980" t="s">
        <v>1109</v>
      </c>
      <c r="D163" s="92" t="s">
        <v>1110</v>
      </c>
      <c r="E163" s="980" t="s">
        <v>512</v>
      </c>
      <c r="F163" s="980" t="s">
        <v>1111</v>
      </c>
    </row>
    <row r="164" spans="1:6">
      <c r="A164" s="980" t="s">
        <v>57</v>
      </c>
      <c r="B164" s="980" t="s">
        <v>848</v>
      </c>
      <c r="C164" s="980" t="s">
        <v>1112</v>
      </c>
      <c r="D164" s="92" t="s">
        <v>1113</v>
      </c>
      <c r="E164" s="980" t="s">
        <v>512</v>
      </c>
      <c r="F164" s="998" t="s">
        <v>1114</v>
      </c>
    </row>
    <row r="165" spans="1:6">
      <c r="A165" s="980" t="s">
        <v>57</v>
      </c>
      <c r="B165" s="980" t="s">
        <v>1115</v>
      </c>
      <c r="C165" s="980" t="s">
        <v>1116</v>
      </c>
      <c r="D165" s="92" t="s">
        <v>1117</v>
      </c>
      <c r="E165" s="980" t="s">
        <v>512</v>
      </c>
      <c r="F165" s="980" t="s">
        <v>1118</v>
      </c>
    </row>
    <row r="166" spans="1:6">
      <c r="A166" s="980" t="s">
        <v>57</v>
      </c>
      <c r="B166" s="980" t="s">
        <v>848</v>
      </c>
      <c r="C166" s="980" t="s">
        <v>1119</v>
      </c>
      <c r="D166" s="92" t="s">
        <v>1120</v>
      </c>
      <c r="E166" s="980" t="s">
        <v>512</v>
      </c>
      <c r="F166" s="980" t="s">
        <v>1121</v>
      </c>
    </row>
    <row r="167" spans="1:6">
      <c r="A167" s="980" t="s">
        <v>560</v>
      </c>
      <c r="B167" s="980" t="s">
        <v>885</v>
      </c>
      <c r="C167" s="980" t="s">
        <v>1122</v>
      </c>
      <c r="D167" s="92" t="s">
        <v>1123</v>
      </c>
      <c r="E167" s="980" t="s">
        <v>512</v>
      </c>
      <c r="F167" s="980" t="s">
        <v>1124</v>
      </c>
    </row>
    <row r="168" spans="1:6">
      <c r="A168" s="980" t="s">
        <v>560</v>
      </c>
      <c r="B168" s="980" t="s">
        <v>1125</v>
      </c>
      <c r="C168" s="980" t="s">
        <v>1126</v>
      </c>
      <c r="D168" s="92" t="s">
        <v>1127</v>
      </c>
      <c r="E168" s="980" t="s">
        <v>512</v>
      </c>
      <c r="F168" s="980" t="s">
        <v>1128</v>
      </c>
    </row>
    <row r="169" spans="1:6">
      <c r="A169" s="980" t="s">
        <v>560</v>
      </c>
      <c r="B169" s="980" t="s">
        <v>1129</v>
      </c>
      <c r="C169" s="980" t="s">
        <v>1130</v>
      </c>
      <c r="D169" s="92" t="s">
        <v>1131</v>
      </c>
      <c r="E169" s="980" t="s">
        <v>512</v>
      </c>
      <c r="F169" s="980" t="s">
        <v>1132</v>
      </c>
    </row>
    <row r="170" spans="1:6">
      <c r="A170" s="980" t="s">
        <v>1133</v>
      </c>
      <c r="B170" s="980" t="s">
        <v>1134</v>
      </c>
      <c r="C170" s="980" t="s">
        <v>1135</v>
      </c>
      <c r="D170" s="92" t="s">
        <v>1136</v>
      </c>
      <c r="E170" s="980" t="s">
        <v>512</v>
      </c>
      <c r="F170" s="980" t="s">
        <v>1137</v>
      </c>
    </row>
    <row r="171" spans="1:6">
      <c r="A171" s="980" t="s">
        <v>560</v>
      </c>
      <c r="B171" s="980" t="s">
        <v>1138</v>
      </c>
      <c r="C171" s="980" t="s">
        <v>1139</v>
      </c>
      <c r="D171" s="92" t="s">
        <v>1140</v>
      </c>
      <c r="E171" s="980" t="s">
        <v>512</v>
      </c>
      <c r="F171" s="980" t="s">
        <v>1141</v>
      </c>
    </row>
    <row r="172" spans="1:6">
      <c r="A172" s="980" t="s">
        <v>560</v>
      </c>
      <c r="B172" s="980" t="s">
        <v>885</v>
      </c>
      <c r="C172" s="980" t="s">
        <v>1142</v>
      </c>
      <c r="D172" s="92" t="s">
        <v>1143</v>
      </c>
      <c r="E172" s="980" t="s">
        <v>512</v>
      </c>
      <c r="F172" s="980" t="s">
        <v>1144</v>
      </c>
    </row>
    <row r="173" spans="1:6">
      <c r="A173" s="980" t="s">
        <v>560</v>
      </c>
      <c r="B173" s="980" t="s">
        <v>1145</v>
      </c>
      <c r="C173" s="980" t="s">
        <v>1146</v>
      </c>
      <c r="D173" s="92" t="s">
        <v>1147</v>
      </c>
      <c r="E173" s="980" t="s">
        <v>512</v>
      </c>
      <c r="F173" s="980" t="s">
        <v>1148</v>
      </c>
    </row>
    <row r="174" spans="1:6">
      <c r="A174" s="980" t="s">
        <v>622</v>
      </c>
      <c r="B174" s="980" t="s">
        <v>1149</v>
      </c>
      <c r="C174" s="980"/>
      <c r="D174" s="92" t="s">
        <v>1150</v>
      </c>
      <c r="E174" s="980" t="s">
        <v>512</v>
      </c>
      <c r="F174" s="62" t="s">
        <v>1151</v>
      </c>
    </row>
  </sheetData>
  <hyperlinks>
    <hyperlink ref="D3" r:id="rId1" xr:uid="{22066841-75E1-4FAC-85BC-2A152B920F73}"/>
    <hyperlink ref="D4" r:id="rId2" xr:uid="{1FBB7E36-8F0E-4EA6-BE05-68C7D2BBAEF5}"/>
    <hyperlink ref="D5" r:id="rId3" xr:uid="{9B693B8B-1FFA-4D16-BD6B-6118F26DD279}"/>
    <hyperlink ref="D6" r:id="rId4" xr:uid="{11CF0C31-A658-4A52-A777-E2DD63965BCA}"/>
    <hyperlink ref="D7" r:id="rId5" xr:uid="{E38B74C0-B45F-4069-915D-EF1DFA91B136}"/>
    <hyperlink ref="D8" r:id="rId6" xr:uid="{CC1DA63B-60CB-45BB-9263-0C0FB20F31F3}"/>
    <hyperlink ref="D9" r:id="rId7" xr:uid="{7845DDBE-70D4-4FE7-97CA-C5AD0FA3AB47}"/>
    <hyperlink ref="D10" r:id="rId8" xr:uid="{B550CB27-C6F3-4DAB-A86B-2A9FB0D2A857}"/>
    <hyperlink ref="D12" r:id="rId9" xr:uid="{DF8EB9B1-6CA0-4936-968D-1ED95646C900}"/>
    <hyperlink ref="D13" r:id="rId10" xr:uid="{6733BCF6-277F-4CCA-B94E-4D4A66E1AA60}"/>
    <hyperlink ref="D14" r:id="rId11" xr:uid="{7A2F132A-44F9-4ACC-B91F-E81E4C654C53}"/>
    <hyperlink ref="D15" r:id="rId12" xr:uid="{2DE597A3-49BC-4EDC-8BF1-C69E00CFFE24}"/>
    <hyperlink ref="D16" r:id="rId13" xr:uid="{CD5E195B-A593-44AD-A5B3-EABEBDFD9BC5}"/>
    <hyperlink ref="D17" r:id="rId14" xr:uid="{49FA30F1-FD71-455D-9E30-C76BA17E4C7B}"/>
    <hyperlink ref="D18" r:id="rId15" xr:uid="{2524D2AF-2553-4058-9658-F8B789BB0EAF}"/>
    <hyperlink ref="D19" r:id="rId16" xr:uid="{E3E61563-F912-42AC-A5A0-D42D69DB990F}"/>
    <hyperlink ref="D20" r:id="rId17" xr:uid="{0DD3BDE7-4927-4F80-88B0-D96579A6D0DB}"/>
    <hyperlink ref="D21" r:id="rId18" xr:uid="{C7EFEB97-B017-4700-B831-2077696EB656}"/>
    <hyperlink ref="D22" r:id="rId19" xr:uid="{D0898B35-DB89-44C0-B844-FD35AC77CCE4}"/>
    <hyperlink ref="D23" r:id="rId20" xr:uid="{F25AD7A1-6FD2-4ADF-B3C2-9F9766EB7CE8}"/>
    <hyperlink ref="D24" r:id="rId21" xr:uid="{66118E7A-048B-4089-8029-2E0F4ED69202}"/>
    <hyperlink ref="D25" r:id="rId22" xr:uid="{3871211C-D5B4-40F3-9E5D-A19C898DC300}"/>
    <hyperlink ref="D26" r:id="rId23" xr:uid="{C6EBD6F3-3909-4333-88A1-095E192E8BAE}"/>
    <hyperlink ref="D27" r:id="rId24" xr:uid="{9461BC60-B47A-44BC-8ADA-DAB688A03227}"/>
    <hyperlink ref="D28" r:id="rId25" xr:uid="{DD868CE1-A07C-4CF9-97AA-F4B0C5FE0AF1}"/>
    <hyperlink ref="D29" r:id="rId26" xr:uid="{57351C1D-95F2-477B-B38D-0348DB7F00DA}"/>
    <hyperlink ref="D30" r:id="rId27" xr:uid="{E9F10D31-7DF4-4EC0-854E-342E1F261CC7}"/>
    <hyperlink ref="D31" r:id="rId28" xr:uid="{B31702E6-1A96-472B-8281-82D556C43998}"/>
    <hyperlink ref="D32" r:id="rId29" xr:uid="{0248FF14-B7AC-4557-A427-6AB650857351}"/>
    <hyperlink ref="D33" r:id="rId30" xr:uid="{70A62ABD-9696-4D70-8DD7-906226B5C2C2}"/>
    <hyperlink ref="D34" r:id="rId31" xr:uid="{80B817BB-54F1-4677-B891-CC3B71C12122}"/>
    <hyperlink ref="D35" r:id="rId32" xr:uid="{11D9BDE0-9DFB-45EE-B09D-A9FE7A25C5AA}"/>
    <hyperlink ref="D36" r:id="rId33" xr:uid="{1C5180DC-BDFB-44E9-A17C-1C5383C8A7E3}"/>
    <hyperlink ref="D37" r:id="rId34" xr:uid="{59421D5E-1EF9-496F-A0F6-C9E8EA89606E}"/>
    <hyperlink ref="D38" r:id="rId35" xr:uid="{1BFFBB19-4DC5-48D5-AF08-D5FD3FE3DD95}"/>
    <hyperlink ref="D39" r:id="rId36" xr:uid="{865F9D0F-6E9A-4F24-B0E1-93063D866AF0}"/>
    <hyperlink ref="D49" r:id="rId37" xr:uid="{E1E3938F-8B63-49C6-BA21-CB28EAFCF0FB}"/>
    <hyperlink ref="D50" r:id="rId38" xr:uid="{0D9B55B9-E27C-42B4-9FB6-2698FA9436FE}"/>
    <hyperlink ref="D51" r:id="rId39" xr:uid="{3B5B4CB8-C1F6-42A7-A423-8CB8C985302D}"/>
    <hyperlink ref="D52" r:id="rId40" xr:uid="{B1AF49E0-178E-4F7A-9ED3-1D31417C64C3}"/>
    <hyperlink ref="D53" r:id="rId41" xr:uid="{A8B90B7F-5EFC-4D6C-985D-723C52F9B8C4}"/>
    <hyperlink ref="D54" r:id="rId42" xr:uid="{9124CE8C-A865-46C0-8CCE-8AC2871F0340}"/>
    <hyperlink ref="D55" r:id="rId43" xr:uid="{9AA37B8D-3925-4501-86EF-63D6AD27A44E}"/>
    <hyperlink ref="D40" r:id="rId44" xr:uid="{9F76237F-1010-4201-9B34-E21EC014D255}"/>
    <hyperlink ref="D41" r:id="rId45" xr:uid="{F50637D5-CB1C-47F5-AC41-0BA3CBF92F97}"/>
    <hyperlink ref="D44" r:id="rId46" xr:uid="{E9B97D91-C346-495A-8BE8-2FA9CE2E7214}"/>
    <hyperlink ref="D56" r:id="rId47" xr:uid="{B069BE65-3BE5-4A0B-B200-4F685F41F05A}"/>
    <hyperlink ref="D11" r:id="rId48" xr:uid="{BF587F65-FFC1-4E55-8B5F-025941974412}"/>
    <hyperlink ref="D57" r:id="rId49" xr:uid="{592754D8-975A-41A9-9EEC-E5EEAF7C5170}"/>
    <hyperlink ref="D58" r:id="rId50" xr:uid="{6EEB6061-E3F5-448D-8EC0-8334873D683B}"/>
    <hyperlink ref="D59" r:id="rId51" xr:uid="{CA9DD450-9207-4DBA-A07A-13A04365B1F0}"/>
    <hyperlink ref="D60" r:id="rId52" xr:uid="{CD80697B-3DA3-4CCE-A6ED-AA1B4FC5D9BC}"/>
    <hyperlink ref="D61" r:id="rId53" xr:uid="{89F89CF5-4AC5-4826-91BA-203C38DB2140}"/>
    <hyperlink ref="D62" r:id="rId54" xr:uid="{D07B6560-8F89-4D47-9871-B820797D5593}"/>
    <hyperlink ref="D63" r:id="rId55" xr:uid="{5E4F41BC-32D3-43DA-8DB1-06ED11F163BA}"/>
    <hyperlink ref="D64" r:id="rId56" xr:uid="{65508E94-0E26-43E0-87AD-2F981EAA8B67}"/>
    <hyperlink ref="D65" r:id="rId57" xr:uid="{E2D54D66-7A74-4784-A646-CD5FB1F1D0A0}"/>
    <hyperlink ref="D66" r:id="rId58" xr:uid="{DE301158-134C-4150-82E1-24455A1B2514}"/>
    <hyperlink ref="D67" r:id="rId59" xr:uid="{CF84C0B5-B1B5-4758-8290-B73D11821174}"/>
    <hyperlink ref="D68" r:id="rId60" xr:uid="{2FCC8680-225A-4B66-808E-39E5B3A3D93A}"/>
    <hyperlink ref="D69" r:id="rId61" xr:uid="{DF3E83F2-5870-44B2-A86D-C9D2758214DE}"/>
    <hyperlink ref="D70" r:id="rId62" xr:uid="{7EC2255F-2EDB-42C4-BD42-FA6B80391333}"/>
    <hyperlink ref="D71" r:id="rId63" xr:uid="{0412D175-0320-48C4-8857-1C762AB19C3B}"/>
    <hyperlink ref="D72" r:id="rId64" xr:uid="{0DFF4AA0-CA92-4EB1-A5DB-7875AD25504C}"/>
    <hyperlink ref="D73" r:id="rId65" xr:uid="{8ECF9C79-37D3-4DB9-8CAE-3CA1E1FA83E4}"/>
    <hyperlink ref="D74" r:id="rId66" xr:uid="{5E5CBA67-65CD-447E-B09E-A2BC70CA42C4}"/>
    <hyperlink ref="D75" r:id="rId67" xr:uid="{B192C7B3-0D2E-4776-8666-DF259DF06714}"/>
    <hyperlink ref="D76" r:id="rId68" xr:uid="{C46D1B61-228F-4419-8387-75F1B1E7F77B}"/>
    <hyperlink ref="D77" r:id="rId69" xr:uid="{ACA1D802-403A-4159-9DF9-6A6A41110363}"/>
    <hyperlink ref="D78" r:id="rId70" xr:uid="{E772D226-712A-4400-BAB2-10DDFAF8B237}"/>
    <hyperlink ref="D79" r:id="rId71" xr:uid="{ABD822D2-F15C-4C97-BB70-53463BCB67CB}"/>
    <hyperlink ref="D80" r:id="rId72" xr:uid="{FE7A13F2-925D-4D5C-B254-900E26F0EDB7}"/>
    <hyperlink ref="D81" r:id="rId73" xr:uid="{58B86B9D-398B-48CE-853B-82022971305F}"/>
    <hyperlink ref="D82" r:id="rId74" xr:uid="{4FB5591D-EE0D-46BC-A47F-25A6487BC4E5}"/>
    <hyperlink ref="D83" r:id="rId75" xr:uid="{A2CCEF1A-3E37-4F28-B45C-559FE97C6AFC}"/>
    <hyperlink ref="D84" r:id="rId76" xr:uid="{AEDA8E56-EFC5-4EAD-BB7A-6024C4FF27F2}"/>
    <hyperlink ref="D85" r:id="rId77" xr:uid="{FD4348BC-276E-452C-95D6-5804BE37A34A}"/>
    <hyperlink ref="D86" r:id="rId78" xr:uid="{3033FA18-3098-47B3-90F9-FEA40A1EADDE}"/>
    <hyperlink ref="D87" r:id="rId79" xr:uid="{FD276C2F-6F96-47F4-87BC-F5C957283563}"/>
    <hyperlink ref="D88" r:id="rId80" xr:uid="{D93B25F4-D717-4ACD-AD80-E27AB99935FB}"/>
    <hyperlink ref="D89" r:id="rId81" xr:uid="{F4BF375E-0D8F-4B97-B752-FDD138C20C84}"/>
    <hyperlink ref="D90" r:id="rId82" xr:uid="{3FEF31E2-6084-4C58-973A-DA04F292E599}"/>
    <hyperlink ref="D91" r:id="rId83" xr:uid="{377E712E-49BC-43A8-8511-0DECC772FC0E}"/>
    <hyperlink ref="D92" r:id="rId84" xr:uid="{FEEF8139-CF1A-43EB-B650-5EC8A9F95E65}"/>
    <hyperlink ref="D93" r:id="rId85" xr:uid="{4E9AA373-C903-425E-B370-BD0F72435D4C}"/>
    <hyperlink ref="D94" r:id="rId86" xr:uid="{390DFF96-C826-4612-A5F0-6A673EC7649F}"/>
    <hyperlink ref="D95" r:id="rId87" xr:uid="{C21751D9-CBA7-4F5D-8D4B-137317741798}"/>
    <hyperlink ref="D96" r:id="rId88" xr:uid="{F4B44661-384C-4974-A4E9-2959A40A94D7}"/>
    <hyperlink ref="D97" r:id="rId89" xr:uid="{9F8603E3-E22B-4681-B71E-956B2B6BBBF0}"/>
    <hyperlink ref="D98" r:id="rId90" xr:uid="{5A37E6A7-5AFD-4279-90F1-2079FEC26E78}"/>
    <hyperlink ref="D99" r:id="rId91" xr:uid="{4018A342-5E66-4D9B-850B-2A22A7DF2D36}"/>
    <hyperlink ref="D100" r:id="rId92" xr:uid="{15136717-02E3-4D94-94D0-97EC5CBA930C}"/>
    <hyperlink ref="D101" r:id="rId93" xr:uid="{27778C95-619A-4C9D-838A-5ED0B2515EBB}"/>
    <hyperlink ref="D102" r:id="rId94" xr:uid="{A50ED0F5-1F67-4377-B9C0-76FD23B29C32}"/>
    <hyperlink ref="D103" r:id="rId95" xr:uid="{4203D57E-A46B-4573-9CD2-27CD11F46DAE}"/>
    <hyperlink ref="D104" r:id="rId96" xr:uid="{40B73B26-E568-465E-BD7E-F2B03D33F309}"/>
    <hyperlink ref="D105" r:id="rId97" xr:uid="{46F80898-B07C-4EB4-9C87-2E384789D4A1}"/>
    <hyperlink ref="D106" r:id="rId98" xr:uid="{E8B69192-35E5-433A-8FCA-2373E67F079E}"/>
    <hyperlink ref="D107" r:id="rId99" xr:uid="{E1ED5215-26D5-45F0-86BC-550FFEA01E0B}"/>
    <hyperlink ref="D108" r:id="rId100" xr:uid="{61BE60D8-613E-45B0-8982-F65E999EBB05}"/>
    <hyperlink ref="D109" r:id="rId101" xr:uid="{C15493EF-688C-4016-914C-B60202D626B2}"/>
    <hyperlink ref="D110" r:id="rId102" xr:uid="{160E743A-C4BC-4EBE-9635-EC0CE33E8DEE}"/>
    <hyperlink ref="D111" r:id="rId103" xr:uid="{91D15EB1-5DCB-4367-9978-1039588D9E42}"/>
    <hyperlink ref="D112" r:id="rId104" xr:uid="{A8456687-951E-47A3-90D3-7859C6F28C00}"/>
    <hyperlink ref="D113" r:id="rId105" xr:uid="{BE76A32D-1352-42DF-8382-1892F5572BF2}"/>
    <hyperlink ref="D114" r:id="rId106" xr:uid="{B0932F86-99B8-4752-BE03-869F1ADE6CBD}"/>
    <hyperlink ref="D115" r:id="rId107" xr:uid="{1DF23997-12EA-46CC-AA80-D36B33D37397}"/>
    <hyperlink ref="D116" r:id="rId108" xr:uid="{B99D518B-AC5D-4683-8EE1-4B7EAF445702}"/>
    <hyperlink ref="D117" r:id="rId109" xr:uid="{BFE89A57-D278-4FDB-B0BD-C7615D9B97A6}"/>
    <hyperlink ref="D118" r:id="rId110" xr:uid="{44D6F490-697D-42C8-82F9-B116BCEF5EB4}"/>
    <hyperlink ref="D119" r:id="rId111" xr:uid="{3728AC31-2E0B-4389-A60D-B99F0DC1839B}"/>
    <hyperlink ref="D120" r:id="rId112" xr:uid="{DA47D48C-9DF8-4112-83F0-171D215F36AB}"/>
    <hyperlink ref="D121" r:id="rId113" xr:uid="{54300F2F-FF91-4B8F-BF1B-94620960C702}"/>
    <hyperlink ref="D122" r:id="rId114" xr:uid="{B3C6F019-41FF-42CC-92A5-E9F07FC0BCAA}"/>
    <hyperlink ref="D123" r:id="rId115" xr:uid="{94B5FBFA-1EF0-4C2C-B7D0-8E43EDF40E2C}"/>
    <hyperlink ref="D124" r:id="rId116" xr:uid="{EACD42F9-B7F0-47D8-900B-37A2D52AF490}"/>
    <hyperlink ref="D125" r:id="rId117" xr:uid="{037BFA7C-15F9-490E-B41E-E27FDAF67810}"/>
    <hyperlink ref="D126" r:id="rId118" xr:uid="{96A54A44-330F-4261-8371-870AF0FB6938}"/>
    <hyperlink ref="D127" r:id="rId119" xr:uid="{4DCC18FA-0328-4F25-99C0-4C7EE4C0DE1A}"/>
    <hyperlink ref="D128" r:id="rId120" xr:uid="{E82DD44E-C263-40F6-8FE7-4B5161E615E7}"/>
    <hyperlink ref="D129" r:id="rId121" xr:uid="{7B7CAD74-9098-41A8-8FA5-3D7E0A5C5098}"/>
    <hyperlink ref="D130" r:id="rId122" xr:uid="{EAD275D2-3DCC-4341-ADB1-DE2D858E83A3}"/>
    <hyperlink ref="D131" r:id="rId123" xr:uid="{1A8439BE-091C-4457-A91B-D890D50EF3FB}"/>
    <hyperlink ref="D132" r:id="rId124" xr:uid="{3B8F7817-CCE1-4674-82E2-1EC40F927BD7}"/>
    <hyperlink ref="D133" r:id="rId125" xr:uid="{7AFEABEF-F99E-4769-9268-1ED6DC800C7D}"/>
    <hyperlink ref="D134" r:id="rId126" xr:uid="{190BDA25-8D44-46EA-B146-0A7F502AF01B}"/>
    <hyperlink ref="D135" r:id="rId127" xr:uid="{765FF3AB-9D54-4819-A76A-B196FFA9488D}"/>
    <hyperlink ref="D136" r:id="rId128" xr:uid="{4D73E79C-C1EE-4814-95D9-B537B48EB40D}"/>
    <hyperlink ref="D137" r:id="rId129" xr:uid="{F256A254-2526-4470-A74C-1B1A5631C648}"/>
    <hyperlink ref="D138" r:id="rId130" xr:uid="{DF80EF79-EE2D-4535-ACFA-CC86FD6B3BC9}"/>
    <hyperlink ref="D139" r:id="rId131" xr:uid="{3263BF74-88CB-43CC-973A-2A669ED0C4C2}"/>
    <hyperlink ref="D140" r:id="rId132" xr:uid="{46F96C0C-255D-4516-BB43-1D8C67156276}"/>
    <hyperlink ref="D141" r:id="rId133" xr:uid="{63A76C09-A168-4EA7-8E9E-DE0519A6103B}"/>
    <hyperlink ref="D142" r:id="rId134" xr:uid="{2CE854E5-50C2-410A-81B0-0CF7C84594AB}"/>
    <hyperlink ref="D143" r:id="rId135" xr:uid="{1CDFA1D5-DE62-413C-9ECC-14AB2FBA3B86}"/>
    <hyperlink ref="D144" r:id="rId136" xr:uid="{3EE0CB9C-00CB-4352-80E4-25AC7B05C986}"/>
    <hyperlink ref="D145" r:id="rId137" xr:uid="{BEE9DC8B-40D0-472A-8157-C9575CA27228}"/>
    <hyperlink ref="D146" r:id="rId138" xr:uid="{9C76EBC1-0BAF-4115-929C-E4A99603BDE0}"/>
    <hyperlink ref="D147" r:id="rId139" xr:uid="{80E05D58-8D50-41D9-B872-6816693AC4CE}"/>
    <hyperlink ref="D148" r:id="rId140" xr:uid="{1F0811B0-56BB-4A7B-8F71-59F7A2EC91D6}"/>
    <hyperlink ref="D149" r:id="rId141" xr:uid="{DCD2AFAC-27DE-4BAC-8D84-345FE6560989}"/>
    <hyperlink ref="D150" r:id="rId142" xr:uid="{92EAD1FB-8783-4913-8522-892B2D447D95}"/>
    <hyperlink ref="D152" r:id="rId143" xr:uid="{AE87047C-0B7E-4343-A405-10889DC9DDB6}"/>
    <hyperlink ref="D151" r:id="rId144" xr:uid="{6AE6F621-781C-428C-8777-3E27135806C6}"/>
    <hyperlink ref="D153" r:id="rId145" xr:uid="{FD661752-6171-4597-BB73-2E51E2CEA972}"/>
    <hyperlink ref="D154" r:id="rId146" xr:uid="{42EEA4FB-A99F-4733-AFF3-10C5B7B100D7}"/>
    <hyperlink ref="D155" r:id="rId147" xr:uid="{1F95CF67-731A-416F-97C3-4571BFD92CD3}"/>
    <hyperlink ref="D156" r:id="rId148" xr:uid="{CBB1BF2F-6773-41B3-B733-BFFCAC1CA270}"/>
    <hyperlink ref="D157" r:id="rId149" xr:uid="{6745250C-377F-4B75-9483-D35598CAA6B8}"/>
    <hyperlink ref="D158" r:id="rId150" xr:uid="{F70F77A1-569E-4E16-B4B4-3B556E82C003}"/>
    <hyperlink ref="D159" r:id="rId151" xr:uid="{27384165-6B06-4540-A046-8AA3688E3DE7}"/>
    <hyperlink ref="D160" r:id="rId152" xr:uid="{59A6B4BC-5649-4119-AA59-09F6C7594DA8}"/>
    <hyperlink ref="D161" r:id="rId153" xr:uid="{4DB12176-DEBA-4E5A-89B3-E57761C1EAD2}"/>
    <hyperlink ref="D162" r:id="rId154" xr:uid="{17EAB6D1-6AE4-47D7-BF99-7508F5832F42}"/>
    <hyperlink ref="D163" r:id="rId155" xr:uid="{EC1AB227-1CD6-426C-B189-36CC9B8BD130}"/>
    <hyperlink ref="D164" r:id="rId156" xr:uid="{7C6E3A5F-D6F1-4598-A7CE-30B7DB1D9E4F}"/>
    <hyperlink ref="D165" r:id="rId157" xr:uid="{2839B454-C0AD-435D-8AB8-B7DB93DC1D9B}"/>
    <hyperlink ref="D166" r:id="rId158" xr:uid="{79CFA5F4-3C67-42B5-A094-26402578BA6A}"/>
    <hyperlink ref="D167" r:id="rId159" xr:uid="{EAE04788-BE3E-405B-991C-37A4F5F901B3}"/>
    <hyperlink ref="D168" r:id="rId160" xr:uid="{11B4476D-CB03-4836-86A1-FA3DB71AB703}"/>
    <hyperlink ref="D169" r:id="rId161" xr:uid="{C8C5945D-3C65-460D-A441-A6701AF410EF}"/>
    <hyperlink ref="D170" r:id="rId162" xr:uid="{7BD16D99-4717-4DFC-858F-E8EBC760F77A}"/>
    <hyperlink ref="D171" r:id="rId163" xr:uid="{437415ED-4659-436C-A87F-0C7EB858B331}"/>
    <hyperlink ref="D172" r:id="rId164" xr:uid="{52B7B24C-5441-46C3-94DE-2687C4216EAC}"/>
    <hyperlink ref="D173" r:id="rId165" xr:uid="{FFE35BF1-ED13-441E-9AC1-64172C479E27}"/>
    <hyperlink ref="D174" r:id="rId166" xr:uid="{7B262E2F-30B8-4335-9BE3-378CBAF24459}"/>
  </hyperlinks>
  <pageMargins left="0.7" right="0.7" top="0.75" bottom="0.75" header="0.3" footer="0.3"/>
  <tableParts count="1">
    <tablePart r:id="rId16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53"/>
  <sheetViews>
    <sheetView topLeftCell="A21" workbookViewId="0">
      <selection activeCell="D51" sqref="D51"/>
    </sheetView>
  </sheetViews>
  <sheetFormatPr defaultColWidth="8.7109375" defaultRowHeight="14.45"/>
  <cols>
    <col min="4" max="4" width="11" bestFit="1" customWidth="1"/>
    <col min="5" max="5" width="16.42578125" bestFit="1" customWidth="1"/>
    <col min="6" max="6" width="14.5703125" bestFit="1" customWidth="1"/>
    <col min="7" max="7" width="17.5703125" customWidth="1"/>
    <col min="8" max="8" width="11.85546875" bestFit="1" customWidth="1"/>
    <col min="9" max="9" width="13.5703125" bestFit="1" customWidth="1"/>
    <col min="10" max="11" width="7.42578125" bestFit="1" customWidth="1"/>
    <col min="12" max="12" width="22.42578125" bestFit="1" customWidth="1"/>
    <col min="14" max="14" width="19.42578125" bestFit="1" customWidth="1"/>
    <col min="15" max="15" width="19.42578125" customWidth="1"/>
  </cols>
  <sheetData>
    <row r="2" spans="2:17" ht="15" thickBot="1">
      <c r="B2" s="12" t="s">
        <v>300</v>
      </c>
      <c r="C2" s="13" t="s">
        <v>299</v>
      </c>
      <c r="D2" s="13" t="s">
        <v>11</v>
      </c>
      <c r="E2" s="13" t="s">
        <v>1152</v>
      </c>
      <c r="F2" s="13" t="s">
        <v>1153</v>
      </c>
      <c r="G2" s="13" t="s">
        <v>19</v>
      </c>
      <c r="H2" s="13" t="s">
        <v>1154</v>
      </c>
      <c r="I2" s="13" t="s">
        <v>12</v>
      </c>
      <c r="J2" s="13" t="s">
        <v>1155</v>
      </c>
      <c r="K2" s="13" t="s">
        <v>14</v>
      </c>
      <c r="L2" s="13" t="s">
        <v>10</v>
      </c>
      <c r="M2" s="13" t="s">
        <v>7</v>
      </c>
      <c r="N2" s="13" t="s">
        <v>1156</v>
      </c>
      <c r="O2" s="17" t="s">
        <v>1157</v>
      </c>
      <c r="P2" s="14" t="s">
        <v>1158</v>
      </c>
      <c r="Q2" s="18" t="s">
        <v>1159</v>
      </c>
    </row>
    <row r="3" spans="2:17">
      <c r="B3" s="15" t="s">
        <v>93</v>
      </c>
      <c r="C3" s="9">
        <v>2018</v>
      </c>
      <c r="D3" s="9" t="s">
        <v>57</v>
      </c>
      <c r="E3" s="9" t="s">
        <v>404</v>
      </c>
      <c r="F3" s="9" t="s">
        <v>63</v>
      </c>
      <c r="G3" s="9" t="s">
        <v>1160</v>
      </c>
      <c r="H3" s="9" t="s">
        <v>59</v>
      </c>
      <c r="I3" s="9" t="s">
        <v>1161</v>
      </c>
      <c r="J3" s="9" t="s">
        <v>193</v>
      </c>
      <c r="K3" s="9" t="s">
        <v>233</v>
      </c>
      <c r="L3" s="9" t="s">
        <v>225</v>
      </c>
      <c r="M3" s="9">
        <v>201800</v>
      </c>
      <c r="N3" s="10" t="s">
        <v>107</v>
      </c>
      <c r="O3" s="10" t="s">
        <v>100</v>
      </c>
      <c r="P3" s="11" t="s">
        <v>100</v>
      </c>
      <c r="Q3">
        <v>1</v>
      </c>
    </row>
    <row r="4" spans="2:17">
      <c r="B4" s="16" t="s">
        <v>80</v>
      </c>
      <c r="C4" s="1">
        <v>2019</v>
      </c>
      <c r="D4" s="1" t="s">
        <v>157</v>
      </c>
      <c r="E4" s="1" t="s">
        <v>347</v>
      </c>
      <c r="F4" s="1" t="s">
        <v>1162</v>
      </c>
      <c r="G4" s="1" t="s">
        <v>1163</v>
      </c>
      <c r="H4" s="1" t="s">
        <v>1164</v>
      </c>
      <c r="I4" s="1" t="s">
        <v>1165</v>
      </c>
      <c r="J4" s="1" t="s">
        <v>1166</v>
      </c>
      <c r="K4" s="1" t="s">
        <v>159</v>
      </c>
      <c r="L4" s="1" t="s">
        <v>104</v>
      </c>
      <c r="M4" s="1">
        <v>201801</v>
      </c>
      <c r="N4" s="7" t="s">
        <v>71</v>
      </c>
      <c r="O4" s="7" t="s">
        <v>144</v>
      </c>
      <c r="P4" s="3" t="s">
        <v>144</v>
      </c>
      <c r="Q4">
        <v>2</v>
      </c>
    </row>
    <row r="5" spans="2:17">
      <c r="B5" s="15" t="s">
        <v>230</v>
      </c>
      <c r="C5" s="1">
        <v>2020</v>
      </c>
      <c r="D5" s="1" t="s">
        <v>1167</v>
      </c>
      <c r="E5" s="1" t="s">
        <v>1168</v>
      </c>
      <c r="F5" s="1" t="s">
        <v>1169</v>
      </c>
      <c r="G5" s="1" t="s">
        <v>257</v>
      </c>
      <c r="H5" s="1" t="s">
        <v>226</v>
      </c>
      <c r="I5" s="1" t="s">
        <v>58</v>
      </c>
      <c r="J5" s="1" t="s">
        <v>234</v>
      </c>
      <c r="K5" s="1" t="s">
        <v>1170</v>
      </c>
      <c r="L5" s="1" t="s">
        <v>73</v>
      </c>
      <c r="M5" s="9">
        <v>201802</v>
      </c>
      <c r="N5" s="7" t="s">
        <v>62</v>
      </c>
      <c r="O5" s="7"/>
      <c r="P5" s="3" t="s">
        <v>1171</v>
      </c>
      <c r="Q5">
        <v>3</v>
      </c>
    </row>
    <row r="6" spans="2:17">
      <c r="B6" s="16" t="s">
        <v>139</v>
      </c>
      <c r="C6" s="1">
        <v>2021</v>
      </c>
      <c r="D6" s="1" t="s">
        <v>1172</v>
      </c>
      <c r="E6" s="1" t="s">
        <v>364</v>
      </c>
      <c r="F6" s="1" t="s">
        <v>1173</v>
      </c>
      <c r="G6" s="1" t="s">
        <v>65</v>
      </c>
      <c r="H6" s="1" t="s">
        <v>1174</v>
      </c>
      <c r="I6" s="1" t="s">
        <v>186</v>
      </c>
      <c r="J6" s="1" t="s">
        <v>1175</v>
      </c>
      <c r="K6" s="1" t="s">
        <v>1176</v>
      </c>
      <c r="L6" s="1" t="s">
        <v>484</v>
      </c>
      <c r="M6" s="1">
        <v>201803</v>
      </c>
      <c r="N6" s="7" t="s">
        <v>92</v>
      </c>
      <c r="O6" s="7"/>
      <c r="P6" s="3"/>
      <c r="Q6">
        <v>4</v>
      </c>
    </row>
    <row r="7" spans="2:17">
      <c r="B7" s="15" t="s">
        <v>89</v>
      </c>
      <c r="C7" s="1">
        <v>2022</v>
      </c>
      <c r="D7" s="1" t="s">
        <v>560</v>
      </c>
      <c r="E7" s="1" t="s">
        <v>489</v>
      </c>
      <c r="F7" s="1" t="s">
        <v>1177</v>
      </c>
      <c r="G7" s="1" t="s">
        <v>1178</v>
      </c>
      <c r="H7" s="1" t="s">
        <v>462</v>
      </c>
      <c r="I7" s="1" t="s">
        <v>1179</v>
      </c>
      <c r="J7" s="1" t="s">
        <v>240</v>
      </c>
      <c r="K7" s="1" t="s">
        <v>1180</v>
      </c>
      <c r="L7" s="1" t="s">
        <v>114</v>
      </c>
      <c r="M7" s="9">
        <v>201804</v>
      </c>
      <c r="N7" s="7" t="s">
        <v>88</v>
      </c>
      <c r="O7" s="7"/>
      <c r="P7" s="3"/>
      <c r="Q7">
        <v>5</v>
      </c>
    </row>
    <row r="8" spans="2:17">
      <c r="B8" s="16" t="s">
        <v>222</v>
      </c>
      <c r="C8" s="1">
        <v>2023</v>
      </c>
      <c r="D8" s="1" t="s">
        <v>283</v>
      </c>
      <c r="E8" s="1" t="s">
        <v>421</v>
      </c>
      <c r="F8" s="1" t="s">
        <v>1181</v>
      </c>
      <c r="G8" s="1" t="s">
        <v>1182</v>
      </c>
      <c r="H8" s="1"/>
      <c r="I8" s="1" t="s">
        <v>1183</v>
      </c>
      <c r="J8" s="1" t="s">
        <v>1184</v>
      </c>
      <c r="K8" s="1" t="s">
        <v>74</v>
      </c>
      <c r="L8" s="1" t="s">
        <v>137</v>
      </c>
      <c r="M8" s="1">
        <v>201805</v>
      </c>
      <c r="N8" s="7" t="s">
        <v>492</v>
      </c>
      <c r="O8" s="7"/>
      <c r="P8" s="3"/>
      <c r="Q8">
        <v>6</v>
      </c>
    </row>
    <row r="9" spans="2:17">
      <c r="B9" s="15" t="s">
        <v>219</v>
      </c>
      <c r="C9" s="1">
        <v>2024</v>
      </c>
      <c r="D9" s="1" t="s">
        <v>404</v>
      </c>
      <c r="E9" s="1" t="s">
        <v>1185</v>
      </c>
      <c r="F9" s="1" t="s">
        <v>1186</v>
      </c>
      <c r="G9" s="1" t="s">
        <v>463</v>
      </c>
      <c r="H9" s="1"/>
      <c r="I9" s="1" t="s">
        <v>1187</v>
      </c>
      <c r="J9" s="1" t="s">
        <v>1188</v>
      </c>
      <c r="K9" s="1" t="s">
        <v>60</v>
      </c>
      <c r="L9" s="1" t="s">
        <v>146</v>
      </c>
      <c r="M9" s="9">
        <v>201806</v>
      </c>
      <c r="N9" s="7" t="s">
        <v>83</v>
      </c>
      <c r="O9" s="7"/>
      <c r="P9" s="3"/>
    </row>
    <row r="10" spans="2:17">
      <c r="B10" s="16" t="s">
        <v>84</v>
      </c>
      <c r="C10" s="1">
        <v>2025</v>
      </c>
      <c r="D10" s="1" t="s">
        <v>347</v>
      </c>
      <c r="E10" s="1" t="s">
        <v>1189</v>
      </c>
      <c r="F10" s="1" t="s">
        <v>1190</v>
      </c>
      <c r="G10" s="1" t="s">
        <v>1191</v>
      </c>
      <c r="H10" s="1"/>
      <c r="I10" s="1" t="s">
        <v>1192</v>
      </c>
      <c r="J10" s="1" t="s">
        <v>217</v>
      </c>
      <c r="K10" s="1" t="s">
        <v>105</v>
      </c>
      <c r="L10" s="1" t="s">
        <v>117</v>
      </c>
      <c r="M10" s="1">
        <v>201807</v>
      </c>
      <c r="N10" s="7" t="s">
        <v>461</v>
      </c>
      <c r="O10" s="7"/>
      <c r="P10" s="3"/>
    </row>
    <row r="11" spans="2:17">
      <c r="B11" s="15" t="s">
        <v>229</v>
      </c>
      <c r="C11" s="1">
        <v>2026</v>
      </c>
      <c r="D11" s="1" t="s">
        <v>1168</v>
      </c>
      <c r="E11" s="1" t="s">
        <v>369</v>
      </c>
      <c r="F11" s="1"/>
      <c r="G11" s="1" t="s">
        <v>1193</v>
      </c>
      <c r="H11" s="1"/>
      <c r="I11" s="1" t="s">
        <v>1194</v>
      </c>
      <c r="J11" s="1" t="s">
        <v>258</v>
      </c>
      <c r="K11" s="1"/>
      <c r="L11" s="1" t="s">
        <v>235</v>
      </c>
      <c r="M11" s="9">
        <v>201808</v>
      </c>
      <c r="N11" s="7" t="s">
        <v>293</v>
      </c>
      <c r="O11" s="7"/>
      <c r="P11" s="3"/>
    </row>
    <row r="12" spans="2:17">
      <c r="B12" s="16" t="s">
        <v>102</v>
      </c>
      <c r="C12" s="1">
        <v>2027</v>
      </c>
      <c r="D12" s="1" t="s">
        <v>364</v>
      </c>
      <c r="E12" s="1" t="s">
        <v>421</v>
      </c>
      <c r="F12" s="1"/>
      <c r="G12" s="1"/>
      <c r="H12" s="1"/>
      <c r="I12" s="1"/>
      <c r="J12" s="1"/>
      <c r="K12" s="1"/>
      <c r="L12" s="1" t="s">
        <v>122</v>
      </c>
      <c r="M12" s="1">
        <v>201809</v>
      </c>
      <c r="N12" s="7" t="s">
        <v>281</v>
      </c>
      <c r="O12" s="7"/>
      <c r="P12" s="3"/>
    </row>
    <row r="13" spans="2:17">
      <c r="B13" s="15" t="s">
        <v>231</v>
      </c>
      <c r="C13" s="1">
        <v>2028</v>
      </c>
      <c r="D13" s="1" t="s">
        <v>489</v>
      </c>
      <c r="E13" s="1" t="s">
        <v>1195</v>
      </c>
      <c r="F13" s="1"/>
      <c r="G13" s="1"/>
      <c r="H13" s="1"/>
      <c r="I13" s="1"/>
      <c r="J13" s="1"/>
      <c r="K13" s="1"/>
      <c r="L13" s="1" t="s">
        <v>130</v>
      </c>
      <c r="M13" s="9">
        <v>201810</v>
      </c>
      <c r="N13" s="7" t="s">
        <v>209</v>
      </c>
      <c r="O13" s="7"/>
      <c r="P13" s="3"/>
    </row>
    <row r="14" spans="2:17">
      <c r="B14" s="16" t="s">
        <v>68</v>
      </c>
      <c r="C14" s="1">
        <v>2029</v>
      </c>
      <c r="D14" s="1" t="s">
        <v>1196</v>
      </c>
      <c r="E14" s="1" t="s">
        <v>1197</v>
      </c>
      <c r="F14" s="1"/>
      <c r="G14" s="1"/>
      <c r="H14" s="1"/>
      <c r="I14" s="1"/>
      <c r="J14" s="1"/>
      <c r="K14" s="1"/>
      <c r="L14" s="1" t="s">
        <v>156</v>
      </c>
      <c r="M14" s="1">
        <v>201811</v>
      </c>
      <c r="N14" s="7"/>
      <c r="O14" s="7"/>
      <c r="P14" s="3"/>
    </row>
    <row r="15" spans="2:17">
      <c r="B15" s="2" t="s">
        <v>346</v>
      </c>
      <c r="C15" s="1"/>
      <c r="D15" s="1" t="s">
        <v>560</v>
      </c>
      <c r="E15" s="1" t="s">
        <v>1198</v>
      </c>
      <c r="F15" s="1"/>
      <c r="G15" s="1"/>
      <c r="H15" s="1"/>
      <c r="I15" s="1"/>
      <c r="J15" s="1"/>
      <c r="K15" s="1"/>
      <c r="L15" s="1" t="s">
        <v>309</v>
      </c>
      <c r="M15" s="9">
        <v>201812</v>
      </c>
      <c r="N15" s="7"/>
      <c r="O15" s="7"/>
      <c r="P15" s="3"/>
    </row>
    <row r="16" spans="2:17">
      <c r="B16" s="2"/>
      <c r="C16" s="1"/>
      <c r="D16" s="1" t="s">
        <v>457</v>
      </c>
      <c r="E16" s="1" t="s">
        <v>433</v>
      </c>
      <c r="F16" s="1"/>
      <c r="G16" s="1"/>
      <c r="H16" s="1"/>
      <c r="I16" s="1"/>
      <c r="J16" s="1"/>
      <c r="K16" s="1"/>
      <c r="L16" s="1" t="s">
        <v>1199</v>
      </c>
      <c r="M16" s="1">
        <v>201813</v>
      </c>
      <c r="N16" s="7"/>
      <c r="O16" s="7"/>
      <c r="P16" s="3"/>
    </row>
    <row r="17" spans="2:16">
      <c r="B17" s="2"/>
      <c r="C17" s="1"/>
      <c r="D17" s="1" t="s">
        <v>421</v>
      </c>
      <c r="E17" s="1" t="s">
        <v>518</v>
      </c>
      <c r="F17" s="1"/>
      <c r="G17" s="1"/>
      <c r="H17" s="1"/>
      <c r="I17" s="1"/>
      <c r="J17" s="1"/>
      <c r="K17" s="1"/>
      <c r="L17" s="1" t="s">
        <v>1200</v>
      </c>
      <c r="M17" s="9">
        <v>201814</v>
      </c>
      <c r="N17" s="7"/>
      <c r="O17" s="7"/>
      <c r="P17" s="3"/>
    </row>
    <row r="18" spans="2:16">
      <c r="B18" s="2"/>
      <c r="C18" s="1"/>
      <c r="D18" s="1" t="s">
        <v>1198</v>
      </c>
      <c r="E18" s="1" t="s">
        <v>1201</v>
      </c>
      <c r="F18" s="1"/>
      <c r="G18" s="1"/>
      <c r="H18" s="1"/>
      <c r="I18" s="1"/>
      <c r="J18" s="1"/>
      <c r="K18" s="1"/>
      <c r="L18" s="1" t="s">
        <v>1202</v>
      </c>
      <c r="M18" s="1">
        <v>201815</v>
      </c>
      <c r="N18" s="7"/>
      <c r="O18" s="7"/>
      <c r="P18" s="3"/>
    </row>
    <row r="19" spans="2:16">
      <c r="B19" s="2"/>
      <c r="C19" s="1"/>
      <c r="D19" s="1" t="s">
        <v>1203</v>
      </c>
      <c r="E19" s="1" t="s">
        <v>1204</v>
      </c>
      <c r="F19" s="1"/>
      <c r="G19" s="1"/>
      <c r="H19" s="1"/>
      <c r="I19" s="1"/>
      <c r="J19" s="1"/>
      <c r="K19" s="1"/>
      <c r="L19" s="1" t="s">
        <v>1205</v>
      </c>
      <c r="M19" s="9">
        <v>201816</v>
      </c>
      <c r="N19" s="7"/>
      <c r="O19" s="7"/>
      <c r="P19" s="3"/>
    </row>
    <row r="20" spans="2:16">
      <c r="B20" s="2"/>
      <c r="C20" s="1"/>
      <c r="D20" s="1" t="s">
        <v>1206</v>
      </c>
      <c r="E20" s="1" t="s">
        <v>1207</v>
      </c>
      <c r="F20" s="1"/>
      <c r="G20" s="1"/>
      <c r="H20" s="1"/>
      <c r="I20" s="1"/>
      <c r="J20" s="1"/>
      <c r="K20" s="1"/>
      <c r="L20" s="1" t="s">
        <v>1208</v>
      </c>
      <c r="M20" s="1">
        <v>201817</v>
      </c>
      <c r="N20" s="7"/>
      <c r="O20" s="7"/>
      <c r="P20" s="3"/>
    </row>
    <row r="21" spans="2:16">
      <c r="B21" s="2"/>
      <c r="C21" s="1"/>
      <c r="D21" s="1" t="s">
        <v>1209</v>
      </c>
      <c r="E21" s="1" t="s">
        <v>1210</v>
      </c>
      <c r="F21" s="1"/>
      <c r="G21" s="1"/>
      <c r="H21" s="1"/>
      <c r="I21" s="1"/>
      <c r="J21" s="1"/>
      <c r="K21" s="1"/>
      <c r="L21" s="1" t="s">
        <v>1211</v>
      </c>
      <c r="M21" s="9">
        <v>201818</v>
      </c>
      <c r="N21" s="7"/>
      <c r="O21" s="7"/>
      <c r="P21" s="3"/>
    </row>
    <row r="22" spans="2:16">
      <c r="B22" s="2"/>
      <c r="C22" s="1"/>
      <c r="D22" s="1" t="s">
        <v>1212</v>
      </c>
      <c r="E22" s="1" t="s">
        <v>1213</v>
      </c>
      <c r="F22" s="1"/>
      <c r="G22" s="1"/>
      <c r="H22" s="1"/>
      <c r="I22" s="1"/>
      <c r="J22" s="1"/>
      <c r="K22" s="1"/>
      <c r="L22" s="1" t="s">
        <v>1214</v>
      </c>
      <c r="M22" s="1">
        <v>201819</v>
      </c>
      <c r="N22" s="7"/>
      <c r="O22" s="7"/>
      <c r="P22" s="3"/>
    </row>
    <row r="23" spans="2:16">
      <c r="B23" s="2"/>
      <c r="C23" s="1"/>
      <c r="D23" s="1" t="s">
        <v>329</v>
      </c>
      <c r="E23" s="1" t="s">
        <v>409</v>
      </c>
      <c r="F23" s="1"/>
      <c r="G23" s="1"/>
      <c r="H23" s="1"/>
      <c r="I23" s="1"/>
      <c r="J23" s="1"/>
      <c r="K23" s="1"/>
      <c r="L23" s="1" t="s">
        <v>1215</v>
      </c>
      <c r="M23" s="9">
        <v>201820</v>
      </c>
      <c r="N23" s="7"/>
      <c r="O23" s="7"/>
      <c r="P23" s="3"/>
    </row>
    <row r="24" spans="2:16">
      <c r="B24" s="2"/>
      <c r="C24" s="1"/>
      <c r="D24" s="1" t="s">
        <v>1216</v>
      </c>
      <c r="E24" s="1" t="s">
        <v>384</v>
      </c>
      <c r="F24" s="1"/>
      <c r="G24" s="1"/>
      <c r="H24" s="1"/>
      <c r="I24" s="1"/>
      <c r="J24" s="1"/>
      <c r="K24" s="1"/>
      <c r="L24" s="1" t="s">
        <v>1217</v>
      </c>
      <c r="M24" s="1">
        <v>201821</v>
      </c>
      <c r="N24" s="7"/>
      <c r="O24" s="7"/>
      <c r="P24" s="3"/>
    </row>
    <row r="25" spans="2:16">
      <c r="B25" s="2"/>
      <c r="C25" s="1"/>
      <c r="D25" s="1" t="s">
        <v>472</v>
      </c>
      <c r="E25" s="1" t="s">
        <v>979</v>
      </c>
      <c r="F25" s="1"/>
      <c r="G25" s="1"/>
      <c r="H25" s="1"/>
      <c r="I25" s="1"/>
      <c r="J25" s="1"/>
      <c r="K25" s="1"/>
      <c r="L25" s="1" t="s">
        <v>1218</v>
      </c>
      <c r="M25" s="9">
        <v>201822</v>
      </c>
      <c r="N25" s="7"/>
      <c r="O25" s="7"/>
      <c r="P25" s="3"/>
    </row>
    <row r="26" spans="2:16">
      <c r="B26" s="2"/>
      <c r="C26" s="1"/>
      <c r="D26" s="1" t="s">
        <v>1219</v>
      </c>
      <c r="E26" s="1"/>
      <c r="F26" s="1"/>
      <c r="G26" s="1"/>
      <c r="H26" s="1"/>
      <c r="I26" s="1"/>
      <c r="J26" s="1"/>
      <c r="K26" s="1"/>
      <c r="L26" s="1" t="s">
        <v>1220</v>
      </c>
      <c r="M26" s="1">
        <v>201823</v>
      </c>
      <c r="N26" s="7"/>
      <c r="O26" s="7"/>
      <c r="P26" s="3"/>
    </row>
    <row r="27" spans="2:16">
      <c r="B27" s="2"/>
      <c r="C27" s="1"/>
      <c r="D27" s="1" t="s">
        <v>409</v>
      </c>
      <c r="E27" s="1"/>
      <c r="F27" s="1"/>
      <c r="G27" s="1"/>
      <c r="H27" s="1"/>
      <c r="I27" s="1"/>
      <c r="J27" s="1"/>
      <c r="K27" s="1"/>
      <c r="L27" s="1" t="s">
        <v>1221</v>
      </c>
      <c r="M27" s="9">
        <v>201824</v>
      </c>
      <c r="N27" s="7"/>
      <c r="O27" s="7"/>
      <c r="P27" s="3"/>
    </row>
    <row r="28" spans="2:16">
      <c r="B28" s="2"/>
      <c r="C28" s="1"/>
      <c r="D28" s="1" t="s">
        <v>384</v>
      </c>
      <c r="E28" s="1"/>
      <c r="F28" s="1"/>
      <c r="G28" s="1"/>
      <c r="H28" s="1"/>
      <c r="I28" s="1"/>
      <c r="J28" s="1"/>
      <c r="K28" s="1"/>
      <c r="L28" s="1" t="s">
        <v>1222</v>
      </c>
      <c r="M28" s="1">
        <v>201825</v>
      </c>
      <c r="N28" s="7"/>
      <c r="O28" s="7"/>
      <c r="P28" s="3"/>
    </row>
    <row r="29" spans="2:16">
      <c r="B29" s="2"/>
      <c r="C29" s="1"/>
      <c r="D29" s="1" t="s">
        <v>1223</v>
      </c>
      <c r="E29" s="1"/>
      <c r="F29" s="1"/>
      <c r="G29" s="1"/>
      <c r="H29" s="1"/>
      <c r="I29" s="1"/>
      <c r="J29" s="1"/>
      <c r="K29" s="1"/>
      <c r="L29" s="1" t="s">
        <v>1224</v>
      </c>
      <c r="M29" s="9">
        <v>201826</v>
      </c>
      <c r="N29" s="7"/>
      <c r="O29" s="7"/>
      <c r="P29" s="3"/>
    </row>
    <row r="30" spans="2:16">
      <c r="B30" s="2"/>
      <c r="C30" s="1"/>
      <c r="D30" s="1" t="s">
        <v>430</v>
      </c>
      <c r="E30" s="1"/>
      <c r="F30" s="1"/>
      <c r="G30" s="1"/>
      <c r="H30" s="1"/>
      <c r="I30" s="1"/>
      <c r="J30" s="1"/>
      <c r="K30" s="1"/>
      <c r="L30" s="1" t="s">
        <v>1225</v>
      </c>
      <c r="M30" s="1">
        <v>201827</v>
      </c>
      <c r="N30" s="7"/>
      <c r="O30" s="7"/>
      <c r="P30" s="3"/>
    </row>
    <row r="31" spans="2:16">
      <c r="B31" s="2"/>
      <c r="C31" s="1"/>
      <c r="D31" s="1" t="s">
        <v>436</v>
      </c>
      <c r="E31" s="1"/>
      <c r="F31" s="1"/>
      <c r="G31" s="1"/>
      <c r="H31" s="1"/>
      <c r="I31" s="1"/>
      <c r="J31" s="1"/>
      <c r="K31" s="1"/>
      <c r="L31" s="1" t="s">
        <v>1226</v>
      </c>
      <c r="M31" s="9">
        <v>201828</v>
      </c>
      <c r="N31" s="7"/>
      <c r="O31" s="7"/>
      <c r="P31" s="3"/>
    </row>
    <row r="32" spans="2:16">
      <c r="B32" s="2"/>
      <c r="C32" s="1"/>
      <c r="D32" s="1" t="s">
        <v>444</v>
      </c>
      <c r="E32" s="1"/>
      <c r="F32" s="1"/>
      <c r="G32" s="1"/>
      <c r="H32" s="1"/>
      <c r="I32" s="1"/>
      <c r="J32" s="1"/>
      <c r="K32" s="1"/>
      <c r="L32" s="1" t="s">
        <v>1227</v>
      </c>
      <c r="M32" s="1">
        <v>201829</v>
      </c>
      <c r="N32" s="7"/>
      <c r="O32" s="7"/>
      <c r="P32" s="3"/>
    </row>
    <row r="33" spans="2:16">
      <c r="B33" s="2"/>
      <c r="C33" s="1"/>
      <c r="D33" s="1" t="s">
        <v>443</v>
      </c>
      <c r="E33" s="1"/>
      <c r="F33" s="1"/>
      <c r="G33" s="1"/>
      <c r="H33" s="1"/>
      <c r="I33" s="1"/>
      <c r="J33" s="1"/>
      <c r="K33" s="1"/>
      <c r="L33" s="1" t="s">
        <v>485</v>
      </c>
      <c r="M33" s="9">
        <v>201830</v>
      </c>
      <c r="N33" s="7"/>
      <c r="O33" s="7"/>
      <c r="P33" s="3"/>
    </row>
    <row r="34" spans="2:16">
      <c r="B34" s="2"/>
      <c r="C34" s="1"/>
      <c r="D34" s="1" t="s">
        <v>479</v>
      </c>
      <c r="E34" s="1"/>
      <c r="F34" s="1"/>
      <c r="G34" s="1"/>
      <c r="H34" s="1"/>
      <c r="I34" s="1"/>
      <c r="J34" s="1"/>
      <c r="K34" s="1"/>
      <c r="L34" s="1" t="s">
        <v>330</v>
      </c>
      <c r="M34" s="1">
        <v>201831</v>
      </c>
      <c r="N34" s="7"/>
      <c r="O34" s="7"/>
      <c r="P34" s="3"/>
    </row>
    <row r="35" spans="2:16">
      <c r="B35" s="2"/>
      <c r="C35" s="1"/>
      <c r="D35" s="1" t="s">
        <v>424</v>
      </c>
      <c r="E35" s="1"/>
      <c r="F35" s="1"/>
      <c r="G35" s="1"/>
      <c r="H35" s="1"/>
      <c r="I35" s="1"/>
      <c r="J35" s="1"/>
      <c r="K35" s="1"/>
      <c r="L35" s="1" t="s">
        <v>324</v>
      </c>
      <c r="M35" s="9">
        <v>201832</v>
      </c>
      <c r="N35" s="7"/>
      <c r="O35" s="7"/>
      <c r="P35" s="3"/>
    </row>
    <row r="36" spans="2:16">
      <c r="B36" s="2"/>
      <c r="C36" s="1"/>
      <c r="D36" s="1" t="s">
        <v>336</v>
      </c>
      <c r="E36" s="1"/>
      <c r="F36" s="1"/>
      <c r="G36" s="1"/>
      <c r="H36" s="1"/>
      <c r="I36" s="1"/>
      <c r="J36" s="1"/>
      <c r="K36" s="1"/>
      <c r="L36" s="1" t="s">
        <v>282</v>
      </c>
      <c r="M36" s="1">
        <v>201833</v>
      </c>
      <c r="N36" s="7"/>
      <c r="O36" s="7"/>
      <c r="P36" s="3"/>
    </row>
    <row r="37" spans="2:16">
      <c r="B37" s="2"/>
      <c r="C37" s="1"/>
      <c r="D37" s="1" t="s">
        <v>389</v>
      </c>
      <c r="E37" s="1"/>
      <c r="F37" s="1"/>
      <c r="G37" s="1"/>
      <c r="H37" s="1"/>
      <c r="I37" s="1"/>
      <c r="J37" s="1"/>
      <c r="K37" s="1"/>
      <c r="L37" s="1" t="s">
        <v>182</v>
      </c>
      <c r="M37" s="9">
        <v>201834</v>
      </c>
      <c r="N37" s="7"/>
      <c r="O37" s="7"/>
      <c r="P37" s="3"/>
    </row>
    <row r="38" spans="2:16">
      <c r="B38" s="2"/>
      <c r="C38" s="1"/>
      <c r="D38" s="1" t="s">
        <v>408</v>
      </c>
      <c r="E38" s="1"/>
      <c r="F38" s="1"/>
      <c r="G38" s="1"/>
      <c r="H38" s="1"/>
      <c r="I38" s="1"/>
      <c r="J38" s="1"/>
      <c r="K38" s="1"/>
      <c r="L38" s="1" t="s">
        <v>459</v>
      </c>
      <c r="M38" s="1">
        <v>618025</v>
      </c>
      <c r="N38" s="7"/>
      <c r="O38" s="7"/>
      <c r="P38" s="3"/>
    </row>
    <row r="39" spans="2:16">
      <c r="B39" s="2"/>
      <c r="C39" s="1"/>
      <c r="D39" s="1" t="s">
        <v>402</v>
      </c>
      <c r="E39" s="1"/>
      <c r="F39" s="1"/>
      <c r="G39" s="1"/>
      <c r="H39" s="1"/>
      <c r="I39" s="1"/>
      <c r="J39" s="1"/>
      <c r="K39" s="1"/>
      <c r="L39" s="1"/>
      <c r="M39" s="1">
        <v>618026</v>
      </c>
      <c r="N39" s="7"/>
      <c r="O39" s="7"/>
      <c r="P39" s="3"/>
    </row>
    <row r="40" spans="2:16">
      <c r="B40" s="2"/>
      <c r="C40" s="1"/>
      <c r="D40" s="1" t="s">
        <v>401</v>
      </c>
      <c r="E40" s="1"/>
      <c r="F40" s="1"/>
      <c r="G40" s="1"/>
      <c r="H40" s="1"/>
      <c r="I40" s="1"/>
      <c r="J40" s="1"/>
      <c r="K40" s="1"/>
      <c r="L40" s="1"/>
      <c r="M40" s="1">
        <v>618027</v>
      </c>
      <c r="N40" s="7"/>
      <c r="O40" s="7"/>
      <c r="P40" s="3"/>
    </row>
    <row r="41" spans="2:16">
      <c r="B41" s="2"/>
      <c r="C41" s="1"/>
      <c r="D41" s="1" t="s">
        <v>1228</v>
      </c>
      <c r="E41" s="1"/>
      <c r="F41" s="1"/>
      <c r="G41" s="1"/>
      <c r="H41" s="1"/>
      <c r="I41" s="1"/>
      <c r="J41" s="1"/>
      <c r="K41" s="1"/>
      <c r="L41" s="1"/>
      <c r="M41" s="1">
        <v>618028</v>
      </c>
      <c r="N41" s="7"/>
      <c r="O41" s="7"/>
      <c r="P41" s="3"/>
    </row>
    <row r="42" spans="2:16">
      <c r="B42" s="2"/>
      <c r="C42" s="1"/>
      <c r="D42" s="1" t="s">
        <v>254</v>
      </c>
      <c r="E42" s="1"/>
      <c r="F42" s="1"/>
      <c r="G42" s="1"/>
      <c r="H42" s="1"/>
      <c r="I42" s="1"/>
      <c r="J42" s="1"/>
      <c r="K42" s="1"/>
      <c r="L42" s="1"/>
      <c r="M42" s="1">
        <v>618029</v>
      </c>
      <c r="N42" s="7"/>
      <c r="O42" s="7"/>
      <c r="P42" s="3"/>
    </row>
    <row r="43" spans="2:16">
      <c r="B43" s="2"/>
      <c r="C43" s="1"/>
      <c r="D43" s="1" t="s">
        <v>1229</v>
      </c>
      <c r="E43" s="1"/>
      <c r="F43" s="1"/>
      <c r="G43" s="1"/>
      <c r="H43" s="1"/>
      <c r="I43" s="1"/>
      <c r="J43" s="1"/>
      <c r="K43" s="1"/>
      <c r="L43" s="1"/>
      <c r="M43" s="1">
        <v>618030</v>
      </c>
      <c r="N43" s="7"/>
      <c r="O43" s="7"/>
      <c r="P43" s="3"/>
    </row>
    <row r="44" spans="2:16">
      <c r="B44" s="2"/>
      <c r="C44" s="1"/>
      <c r="D44" s="1" t="s">
        <v>126</v>
      </c>
      <c r="E44" s="1"/>
      <c r="F44" s="1"/>
      <c r="G44" s="1"/>
      <c r="H44" s="1"/>
      <c r="I44" s="1"/>
      <c r="J44" s="1"/>
      <c r="K44" s="1"/>
      <c r="L44" s="1"/>
      <c r="M44" s="1">
        <v>618031</v>
      </c>
      <c r="N44" s="7"/>
      <c r="O44" s="7"/>
      <c r="P44" s="3"/>
    </row>
    <row r="45" spans="2:16">
      <c r="B45" s="2"/>
      <c r="C45" s="1"/>
      <c r="D45" s="1" t="s">
        <v>489</v>
      </c>
      <c r="E45" s="1"/>
      <c r="F45" s="1"/>
      <c r="G45" s="1"/>
      <c r="H45" s="1"/>
      <c r="I45" s="1"/>
      <c r="J45" s="1"/>
      <c r="K45" s="1"/>
      <c r="L45" s="1"/>
      <c r="M45" s="1">
        <v>618032</v>
      </c>
      <c r="N45" s="7"/>
      <c r="O45" s="7"/>
      <c r="P45" s="3"/>
    </row>
    <row r="46" spans="2:16">
      <c r="B46" s="2"/>
      <c r="C46" s="1"/>
      <c r="D46" s="1" t="s">
        <v>185</v>
      </c>
      <c r="E46" s="1"/>
      <c r="F46" s="1"/>
      <c r="G46" s="1"/>
      <c r="H46" s="1"/>
      <c r="I46" s="1"/>
      <c r="J46" s="1"/>
      <c r="K46" s="1"/>
      <c r="L46" s="1"/>
      <c r="M46" s="1">
        <v>618033</v>
      </c>
      <c r="N46" s="7"/>
      <c r="O46" s="7"/>
      <c r="P46" s="3"/>
    </row>
    <row r="47" spans="2:16">
      <c r="B47" s="2"/>
      <c r="C47" s="1"/>
      <c r="D47" s="1" t="s">
        <v>311</v>
      </c>
      <c r="E47" s="1"/>
      <c r="F47" s="1"/>
      <c r="G47" s="1"/>
      <c r="H47" s="1"/>
      <c r="I47" s="1"/>
      <c r="J47" s="1"/>
      <c r="K47" s="1"/>
      <c r="L47" s="1"/>
      <c r="M47" s="1">
        <v>618034</v>
      </c>
      <c r="N47" s="7"/>
      <c r="O47" s="7"/>
      <c r="P47" s="3"/>
    </row>
    <row r="48" spans="2:16">
      <c r="B48" s="107"/>
      <c r="C48" s="43"/>
      <c r="D48" s="43" t="s">
        <v>151</v>
      </c>
      <c r="E48" s="43"/>
      <c r="F48" s="43"/>
      <c r="G48" s="43"/>
      <c r="H48" s="43"/>
      <c r="I48" s="43"/>
      <c r="J48" s="43"/>
      <c r="K48" s="43"/>
      <c r="L48" s="43"/>
      <c r="M48" s="1">
        <v>618035</v>
      </c>
      <c r="N48" s="22"/>
      <c r="O48" s="22"/>
      <c r="P48" s="108"/>
    </row>
    <row r="49" spans="2:16">
      <c r="B49" s="107"/>
      <c r="C49" s="43"/>
      <c r="D49" s="43" t="s">
        <v>126</v>
      </c>
      <c r="E49" s="43"/>
      <c r="F49" s="43"/>
      <c r="G49" s="43"/>
      <c r="H49" s="43"/>
      <c r="I49" s="43"/>
      <c r="J49" s="43"/>
      <c r="K49" s="43"/>
      <c r="L49" s="43"/>
      <c r="M49" s="1">
        <v>618036</v>
      </c>
      <c r="N49" s="22"/>
      <c r="O49" s="22"/>
      <c r="P49" s="108"/>
    </row>
    <row r="50" spans="2:16">
      <c r="B50" s="107"/>
      <c r="C50" s="43"/>
      <c r="D50" s="43" t="s">
        <v>269</v>
      </c>
      <c r="E50" s="43"/>
      <c r="F50" s="43"/>
      <c r="G50" s="43"/>
      <c r="H50" s="43"/>
      <c r="I50" s="43"/>
      <c r="J50" s="43"/>
      <c r="K50" s="43"/>
      <c r="L50" s="43"/>
      <c r="M50" s="1">
        <v>618037</v>
      </c>
      <c r="N50" s="22"/>
      <c r="O50" s="22"/>
      <c r="P50" s="108"/>
    </row>
    <row r="51" spans="2:16">
      <c r="B51" s="107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1">
        <v>618038</v>
      </c>
      <c r="N51" s="22"/>
      <c r="O51" s="22"/>
      <c r="P51" s="108"/>
    </row>
    <row r="52" spans="2:16">
      <c r="B52" s="107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1">
        <v>618039</v>
      </c>
      <c r="N52" s="22"/>
      <c r="O52" s="22"/>
      <c r="P52" s="108"/>
    </row>
    <row r="53" spans="2:16" ht="15" thickBot="1">
      <c r="B53" s="4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618040</v>
      </c>
      <c r="N53" s="8"/>
      <c r="O53" s="8"/>
      <c r="P53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2EAE-63C0-4E16-BE03-E5BCDDD50C1E}">
  <dimension ref="A1:K69"/>
  <sheetViews>
    <sheetView zoomScale="120" zoomScaleNormal="120" workbookViewId="0">
      <selection activeCell="E22" sqref="E22:E39"/>
    </sheetView>
  </sheetViews>
  <sheetFormatPr defaultColWidth="9.140625" defaultRowHeight="13.15"/>
  <cols>
    <col min="1" max="1" width="30.42578125" style="122" bestFit="1" customWidth="1"/>
    <col min="2" max="2" width="15.85546875" style="122" bestFit="1" customWidth="1"/>
    <col min="3" max="3" width="17.5703125" style="122" bestFit="1" customWidth="1"/>
    <col min="4" max="4" width="14" style="122" bestFit="1" customWidth="1"/>
    <col min="5" max="5" width="14.42578125" style="122" bestFit="1" customWidth="1"/>
    <col min="6" max="6" width="41.85546875" style="122" bestFit="1" customWidth="1"/>
    <col min="7" max="8" width="13.140625" style="122" bestFit="1" customWidth="1"/>
    <col min="9" max="9" width="12" style="122" bestFit="1" customWidth="1"/>
    <col min="10" max="10" width="13.140625" style="122" bestFit="1" customWidth="1"/>
    <col min="11" max="11" width="14.42578125" style="122" bestFit="1" customWidth="1"/>
    <col min="12" max="16384" width="9.140625" style="122"/>
  </cols>
  <sheetData>
    <row r="1" spans="1:11">
      <c r="A1" s="118" t="s">
        <v>1230</v>
      </c>
      <c r="B1" s="119" t="s">
        <v>107</v>
      </c>
      <c r="C1" s="119" t="s">
        <v>1231</v>
      </c>
      <c r="D1" s="119" t="s">
        <v>1232</v>
      </c>
      <c r="E1" s="119" t="s">
        <v>1233</v>
      </c>
      <c r="F1" s="119" t="s">
        <v>1234</v>
      </c>
      <c r="G1" s="119" t="s">
        <v>1235</v>
      </c>
      <c r="H1" s="119" t="s">
        <v>1236</v>
      </c>
      <c r="I1" s="119" t="s">
        <v>1237</v>
      </c>
      <c r="J1" s="120" t="s">
        <v>135</v>
      </c>
      <c r="K1" s="121" t="s">
        <v>1238</v>
      </c>
    </row>
    <row r="2" spans="1:11" ht="14.45">
      <c r="A2" s="123" t="s">
        <v>1239</v>
      </c>
      <c r="B2" s="124">
        <v>59378</v>
      </c>
      <c r="C2" s="124">
        <v>30939</v>
      </c>
      <c r="D2" s="124">
        <v>30939</v>
      </c>
      <c r="E2" s="124">
        <v>31969</v>
      </c>
      <c r="F2" s="124"/>
      <c r="G2" s="124">
        <v>75242</v>
      </c>
      <c r="H2" s="124">
        <v>27816</v>
      </c>
      <c r="I2" s="124">
        <v>10620</v>
      </c>
      <c r="J2" s="125">
        <v>13900</v>
      </c>
    </row>
    <row r="3" spans="1:11" ht="14.45">
      <c r="A3" s="126" t="s">
        <v>1240</v>
      </c>
      <c r="B3" s="127">
        <v>24525</v>
      </c>
      <c r="C3" s="127">
        <v>7230</v>
      </c>
      <c r="D3" s="127">
        <v>22950</v>
      </c>
      <c r="E3" s="127">
        <v>23100</v>
      </c>
      <c r="F3" s="127"/>
      <c r="G3" s="127">
        <v>41224</v>
      </c>
      <c r="H3" s="127">
        <v>9215</v>
      </c>
      <c r="I3" s="127">
        <v>6600</v>
      </c>
      <c r="J3" s="128">
        <v>7895</v>
      </c>
    </row>
    <row r="4" spans="1:11">
      <c r="A4" s="131" t="s">
        <v>225</v>
      </c>
      <c r="B4" s="129">
        <v>1</v>
      </c>
      <c r="C4" s="129">
        <v>1</v>
      </c>
      <c r="D4" s="129"/>
      <c r="E4" s="129">
        <v>1</v>
      </c>
      <c r="F4" s="129"/>
      <c r="G4" s="129">
        <v>1</v>
      </c>
      <c r="H4" s="129">
        <v>1</v>
      </c>
      <c r="I4" s="129">
        <v>1</v>
      </c>
      <c r="J4" s="129">
        <v>1</v>
      </c>
      <c r="K4" s="130">
        <f>B4*$B$2+C4*$C$2+D4*$D$2+E4*$E$2+F4*$F$2+G4*$G$2+H4*$H$2+I4*$I$2+J4*$J$2</f>
        <v>249864</v>
      </c>
    </row>
    <row r="5" spans="1:11">
      <c r="A5" s="131" t="s">
        <v>1241</v>
      </c>
      <c r="B5" s="129">
        <v>1</v>
      </c>
      <c r="C5" s="129">
        <v>1</v>
      </c>
      <c r="D5" s="129"/>
      <c r="E5" s="129">
        <v>1</v>
      </c>
      <c r="F5" s="129"/>
      <c r="G5" s="129">
        <v>1</v>
      </c>
      <c r="H5" s="129">
        <v>1</v>
      </c>
      <c r="I5" s="129">
        <v>1</v>
      </c>
      <c r="J5" s="129">
        <v>1</v>
      </c>
      <c r="K5" s="130">
        <f t="shared" ref="K5:K14" si="0">B5*$B$2+C5*$C$2+D5*$D$2+E5*$E$2+F5*$F$2+G5*$G$2+H5*$H$2+I5*$I$2+J5*$J$2</f>
        <v>249864</v>
      </c>
    </row>
    <row r="6" spans="1:11">
      <c r="A6" s="131" t="s">
        <v>1242</v>
      </c>
      <c r="B6" s="129">
        <v>1</v>
      </c>
      <c r="C6" s="129">
        <v>1</v>
      </c>
      <c r="D6" s="129"/>
      <c r="E6" s="129">
        <v>1</v>
      </c>
      <c r="F6" s="129"/>
      <c r="G6" s="129">
        <v>1</v>
      </c>
      <c r="H6" s="129">
        <v>1</v>
      </c>
      <c r="I6" s="129">
        <v>1</v>
      </c>
      <c r="J6" s="129">
        <v>1</v>
      </c>
      <c r="K6" s="130">
        <f t="shared" si="0"/>
        <v>249864</v>
      </c>
    </row>
    <row r="7" spans="1:11">
      <c r="A7" s="131" t="s">
        <v>1243</v>
      </c>
      <c r="B7" s="129">
        <v>1</v>
      </c>
      <c r="C7" s="129">
        <v>1</v>
      </c>
      <c r="D7" s="129"/>
      <c r="E7" s="129">
        <v>1</v>
      </c>
      <c r="F7" s="129"/>
      <c r="G7" s="129">
        <v>1</v>
      </c>
      <c r="H7" s="129">
        <v>1</v>
      </c>
      <c r="I7" s="129">
        <v>1</v>
      </c>
      <c r="J7" s="129">
        <v>1</v>
      </c>
      <c r="K7" s="130">
        <f t="shared" si="0"/>
        <v>249864</v>
      </c>
    </row>
    <row r="8" spans="1:11">
      <c r="A8" s="131" t="s">
        <v>1244</v>
      </c>
      <c r="B8" s="129">
        <v>1</v>
      </c>
      <c r="C8" s="129">
        <v>1</v>
      </c>
      <c r="D8" s="129"/>
      <c r="E8" s="129">
        <v>1</v>
      </c>
      <c r="F8" s="129"/>
      <c r="G8" s="129">
        <v>1</v>
      </c>
      <c r="H8" s="129">
        <v>1</v>
      </c>
      <c r="I8" s="129"/>
      <c r="J8" s="129">
        <v>1</v>
      </c>
      <c r="K8" s="130">
        <f t="shared" si="0"/>
        <v>239244</v>
      </c>
    </row>
    <row r="9" spans="1:11">
      <c r="A9" s="131" t="s">
        <v>1245</v>
      </c>
      <c r="B9" s="129">
        <v>1</v>
      </c>
      <c r="C9" s="129"/>
      <c r="D9" s="129">
        <v>1</v>
      </c>
      <c r="E9" s="129">
        <v>1</v>
      </c>
      <c r="F9" s="129"/>
      <c r="G9" s="129">
        <v>1</v>
      </c>
      <c r="H9" s="129">
        <v>1</v>
      </c>
      <c r="I9" s="129"/>
      <c r="J9" s="129">
        <v>1</v>
      </c>
      <c r="K9" s="130">
        <f t="shared" si="0"/>
        <v>239244</v>
      </c>
    </row>
    <row r="10" spans="1:11">
      <c r="A10" s="131" t="s">
        <v>1246</v>
      </c>
      <c r="B10" s="129">
        <v>1</v>
      </c>
      <c r="C10" s="129"/>
      <c r="D10" s="129">
        <v>1</v>
      </c>
      <c r="E10" s="129">
        <v>1</v>
      </c>
      <c r="F10" s="129"/>
      <c r="G10" s="129">
        <v>1</v>
      </c>
      <c r="H10" s="129">
        <v>1</v>
      </c>
      <c r="I10" s="129"/>
      <c r="J10" s="129">
        <v>1</v>
      </c>
      <c r="K10" s="130">
        <f t="shared" si="0"/>
        <v>239244</v>
      </c>
    </row>
    <row r="11" spans="1:11">
      <c r="A11" s="131" t="s">
        <v>1247</v>
      </c>
      <c r="B11" s="129">
        <v>1</v>
      </c>
      <c r="C11" s="129"/>
      <c r="D11" s="129">
        <v>1</v>
      </c>
      <c r="E11" s="129">
        <v>1</v>
      </c>
      <c r="F11" s="129"/>
      <c r="G11" s="129">
        <v>1</v>
      </c>
      <c r="H11" s="129">
        <v>1</v>
      </c>
      <c r="I11" s="129"/>
      <c r="J11" s="129">
        <v>1</v>
      </c>
      <c r="K11" s="130">
        <f t="shared" si="0"/>
        <v>239244</v>
      </c>
    </row>
    <row r="12" spans="1:11">
      <c r="A12" s="131" t="s">
        <v>1248</v>
      </c>
      <c r="B12" s="129">
        <v>1</v>
      </c>
      <c r="C12" s="129"/>
      <c r="D12" s="129">
        <v>1</v>
      </c>
      <c r="E12" s="129">
        <v>1</v>
      </c>
      <c r="F12" s="129"/>
      <c r="G12" s="129">
        <v>1</v>
      </c>
      <c r="H12" s="129">
        <v>1</v>
      </c>
      <c r="I12" s="129"/>
      <c r="J12" s="129">
        <v>1</v>
      </c>
      <c r="K12" s="130">
        <f t="shared" si="0"/>
        <v>239244</v>
      </c>
    </row>
    <row r="13" spans="1:11">
      <c r="A13" s="131" t="s">
        <v>1241</v>
      </c>
      <c r="B13" s="129">
        <v>1</v>
      </c>
      <c r="C13" s="129"/>
      <c r="D13" s="129">
        <v>1</v>
      </c>
      <c r="E13" s="129">
        <v>1</v>
      </c>
      <c r="F13" s="129"/>
      <c r="G13" s="129">
        <v>1</v>
      </c>
      <c r="H13" s="129">
        <v>1</v>
      </c>
      <c r="I13" s="129"/>
      <c r="J13" s="129">
        <v>1</v>
      </c>
      <c r="K13" s="130">
        <f t="shared" si="0"/>
        <v>239244</v>
      </c>
    </row>
    <row r="14" spans="1:11">
      <c r="A14" s="132" t="s">
        <v>1249</v>
      </c>
      <c r="B14" s="133">
        <v>1</v>
      </c>
      <c r="C14" s="133"/>
      <c r="D14" s="133">
        <v>1</v>
      </c>
      <c r="E14" s="133">
        <v>1</v>
      </c>
      <c r="F14" s="133"/>
      <c r="G14" s="133">
        <v>1</v>
      </c>
      <c r="H14" s="133">
        <v>1</v>
      </c>
      <c r="I14" s="133"/>
      <c r="J14" s="133">
        <v>1</v>
      </c>
      <c r="K14" s="130">
        <f t="shared" si="0"/>
        <v>239244</v>
      </c>
    </row>
    <row r="15" spans="1:11" ht="14.45">
      <c r="A15" s="134" t="s">
        <v>1250</v>
      </c>
      <c r="B15" s="135">
        <f>B4*B2+B5*B2+B6*B2+B7*B2+B8*B2+B9*B2+B10*B2+B11*B2+B12*B2+B13*B2+B14*B2</f>
        <v>653158</v>
      </c>
      <c r="C15" s="135">
        <f>C4*C2+C5*C2+C6*C2+C7*C2+C8*C2+C9*C2+C10*C2+C11*C2+C12*C2+C13*C2+C14*C2</f>
        <v>154695</v>
      </c>
      <c r="D15" s="135">
        <f>D4*D2+D5*D2+D6*D2+D7*D2+D8*D2+D9*D2+D10*D2+D11*D2+D12*D2+D13*D2+D14*D2</f>
        <v>185634</v>
      </c>
      <c r="E15" s="135">
        <f>E4*E2+E5*E2+E6*E2+E7*E2+E8*E2+E9*E2+E10*E2+E11*E2+E12*E2+E13*E2+E14*E2</f>
        <v>351659</v>
      </c>
      <c r="F15" s="135"/>
      <c r="G15" s="135">
        <f>G4*G2+G5*G2+G6*G2+G7*G2+G8*G2+G9*G2+G10*G2+G11*G2+G12*G2+G13*G2+G14*G2</f>
        <v>827662</v>
      </c>
      <c r="H15" s="135">
        <f>H4*H2+H5*H2+H6*H2+H7*H2+H8*H2+H9*H2+H10*H2+H11*H2+H12*H2+H13*H2+H14*H2</f>
        <v>305976</v>
      </c>
      <c r="I15" s="135">
        <f>I4*I2+I5*I2+I6*I2+I7*I2+I8*I2+I9*I2+I10*I2+I11*I2+I12*I2+I13*I2+I14*I2</f>
        <v>42480</v>
      </c>
      <c r="J15" s="135">
        <f>J4*J2+J5*J2+J6*J2+J7*J2+J8*J2+J9*J2+J10*J2+J11*J2+J12*J2+J13*J2+J14*J2</f>
        <v>152900</v>
      </c>
      <c r="K15" s="136">
        <f>SUM(B15:J15)</f>
        <v>2674164</v>
      </c>
    </row>
    <row r="16" spans="1:11" ht="15" thickBot="1">
      <c r="A16" s="137" t="s">
        <v>1251</v>
      </c>
      <c r="B16" s="138">
        <f t="shared" ref="B16:J16" si="1">B4*B3+B5*B3+B6*B3+B7*B3+B8*B3+B9*B3+B10*B3+B11*B3+B12*B3+B13*B3+B159*B3</f>
        <v>245250</v>
      </c>
      <c r="C16" s="138">
        <f t="shared" si="1"/>
        <v>36150</v>
      </c>
      <c r="D16" s="138">
        <f t="shared" si="1"/>
        <v>114750</v>
      </c>
      <c r="E16" s="138">
        <f t="shared" si="1"/>
        <v>231000</v>
      </c>
      <c r="F16" s="138">
        <f t="shared" si="1"/>
        <v>0</v>
      </c>
      <c r="G16" s="138">
        <f t="shared" si="1"/>
        <v>412240</v>
      </c>
      <c r="H16" s="138">
        <f t="shared" si="1"/>
        <v>92150</v>
      </c>
      <c r="I16" s="138">
        <f t="shared" si="1"/>
        <v>26400</v>
      </c>
      <c r="J16" s="138">
        <f t="shared" si="1"/>
        <v>78950</v>
      </c>
      <c r="K16" s="139">
        <f>SUM(B16:J16)</f>
        <v>1236890</v>
      </c>
    </row>
    <row r="21" spans="1:6">
      <c r="A21" s="122" t="s">
        <v>304</v>
      </c>
      <c r="B21" s="140" t="s">
        <v>1252</v>
      </c>
      <c r="C21" s="122" t="s">
        <v>236</v>
      </c>
      <c r="D21" s="122" t="s">
        <v>61</v>
      </c>
      <c r="E21" s="122" t="s">
        <v>1253</v>
      </c>
      <c r="F21" s="122" t="s">
        <v>41</v>
      </c>
    </row>
    <row r="22" spans="1:6">
      <c r="A22" s="122" t="s">
        <v>225</v>
      </c>
      <c r="B22" s="141"/>
      <c r="C22" s="130">
        <v>500000</v>
      </c>
      <c r="D22" s="130"/>
      <c r="E22" s="130">
        <f>SUM(Table14[[#This Row],[Fixed price]:[Ad-hoc]])</f>
        <v>500000</v>
      </c>
      <c r="F22" s="122" t="s">
        <v>1254</v>
      </c>
    </row>
    <row r="23" spans="1:6">
      <c r="A23" s="122" t="s">
        <v>1241</v>
      </c>
      <c r="B23" s="141">
        <v>249864</v>
      </c>
      <c r="C23" s="130"/>
      <c r="D23" s="130">
        <v>125000</v>
      </c>
      <c r="E23" s="130">
        <f>SUM(Table14[[#This Row],[Fixed price]:[Ad-hoc]])</f>
        <v>374864</v>
      </c>
    </row>
    <row r="24" spans="1:6">
      <c r="A24" s="122" t="s">
        <v>1242</v>
      </c>
      <c r="B24" s="141">
        <v>249864</v>
      </c>
      <c r="C24" s="130"/>
      <c r="D24" s="130">
        <v>75000</v>
      </c>
      <c r="E24" s="130">
        <f>SUM(Table14[[#This Row],[Fixed price]:[Ad-hoc]])</f>
        <v>324864</v>
      </c>
    </row>
    <row r="25" spans="1:6">
      <c r="A25" s="122" t="s">
        <v>1244</v>
      </c>
      <c r="B25" s="141">
        <v>239244</v>
      </c>
      <c r="C25" s="130"/>
      <c r="D25" s="130">
        <v>200000</v>
      </c>
      <c r="E25" s="130">
        <f>SUM(Table14[[#This Row],[Fixed price]:[Ad-hoc]])</f>
        <v>439244</v>
      </c>
      <c r="F25" s="122" t="s">
        <v>1255</v>
      </c>
    </row>
    <row r="26" spans="1:6">
      <c r="A26" s="122" t="s">
        <v>1245</v>
      </c>
      <c r="B26" s="141">
        <v>239244</v>
      </c>
      <c r="C26" s="130"/>
      <c r="D26" s="130">
        <v>150000</v>
      </c>
      <c r="E26" s="130">
        <f>SUM(Table14[[#This Row],[Fixed price]:[Ad-hoc]])</f>
        <v>389244</v>
      </c>
    </row>
    <row r="27" spans="1:6">
      <c r="A27" s="122" t="s">
        <v>1246</v>
      </c>
      <c r="B27" s="141">
        <v>239244</v>
      </c>
      <c r="C27" s="130"/>
      <c r="D27" s="130">
        <v>150000</v>
      </c>
      <c r="E27" s="130">
        <f>SUM(Table14[[#This Row],[Fixed price]:[Ad-hoc]])</f>
        <v>389244</v>
      </c>
    </row>
    <row r="28" spans="1:6">
      <c r="A28" s="122" t="s">
        <v>1247</v>
      </c>
      <c r="B28" s="141">
        <v>239244</v>
      </c>
      <c r="C28" s="130"/>
      <c r="D28" s="130">
        <v>200000</v>
      </c>
      <c r="E28" s="130">
        <f>SUM(Table14[[#This Row],[Fixed price]:[Ad-hoc]])</f>
        <v>439244</v>
      </c>
    </row>
    <row r="29" spans="1:6">
      <c r="A29" s="122" t="s">
        <v>1248</v>
      </c>
      <c r="B29" s="141">
        <v>239244</v>
      </c>
      <c r="C29" s="130"/>
      <c r="D29" s="130">
        <v>100000</v>
      </c>
      <c r="E29" s="130">
        <f>SUM(Table14[[#This Row],[Fixed price]:[Ad-hoc]])</f>
        <v>339244</v>
      </c>
    </row>
    <row r="30" spans="1:6">
      <c r="A30" s="122" t="s">
        <v>1249</v>
      </c>
      <c r="B30" s="141">
        <v>239244</v>
      </c>
      <c r="C30" s="130"/>
      <c r="D30" s="130">
        <v>125000</v>
      </c>
      <c r="E30" s="130">
        <f>SUM(Table14[[#This Row],[Fixed price]:[Ad-hoc]])</f>
        <v>364244</v>
      </c>
    </row>
    <row r="31" spans="1:6">
      <c r="A31" s="122" t="s">
        <v>1256</v>
      </c>
      <c r="B31" s="141"/>
      <c r="C31" s="130">
        <v>500000</v>
      </c>
      <c r="D31" s="130"/>
      <c r="E31" s="130">
        <f>SUM(Table14[[#This Row],[Fixed price]:[Ad-hoc]])</f>
        <v>500000</v>
      </c>
    </row>
    <row r="32" spans="1:6">
      <c r="A32" s="122" t="s">
        <v>1257</v>
      </c>
      <c r="B32" s="141"/>
      <c r="C32" s="130">
        <v>500000</v>
      </c>
      <c r="E32" s="130">
        <f>SUM(Table14[[#This Row],[Fixed price]:[Ad-hoc]])</f>
        <v>500000</v>
      </c>
    </row>
    <row r="33" spans="1:5">
      <c r="A33" s="122" t="s">
        <v>260</v>
      </c>
      <c r="D33" s="130">
        <v>150000</v>
      </c>
      <c r="E33" s="130">
        <f>SUM(Table14[[#This Row],[Fixed price]:[Ad-hoc]])</f>
        <v>150000</v>
      </c>
    </row>
    <row r="34" spans="1:5">
      <c r="A34" s="122" t="s">
        <v>1258</v>
      </c>
      <c r="D34" s="130">
        <v>150000</v>
      </c>
      <c r="E34" s="130">
        <f>SUM(Table14[[#This Row],[Fixed price]:[Ad-hoc]])</f>
        <v>150000</v>
      </c>
    </row>
    <row r="35" spans="1:5">
      <c r="A35" s="122" t="s">
        <v>1259</v>
      </c>
      <c r="D35" s="130">
        <v>80000</v>
      </c>
      <c r="E35" s="130">
        <f>SUM(Table14[[#This Row],[Fixed price]:[Ad-hoc]])</f>
        <v>80000</v>
      </c>
    </row>
    <row r="36" spans="1:5" ht="14.45">
      <c r="A36" s="122" t="s">
        <v>296</v>
      </c>
      <c r="B36" s="130"/>
      <c r="D36" s="142">
        <v>540000</v>
      </c>
      <c r="E36" s="130">
        <f>SUM(Table14[[#This Row],[Fixed price]:[Ad-hoc]])</f>
        <v>540000</v>
      </c>
    </row>
    <row r="37" spans="1:5" ht="14.45">
      <c r="A37" s="122" t="s">
        <v>1260</v>
      </c>
      <c r="B37" s="130"/>
      <c r="D37" s="142">
        <v>80000</v>
      </c>
      <c r="E37" s="130">
        <f>SUM(Table14[[#This Row],[Fixed price]:[Ad-hoc]])</f>
        <v>80000</v>
      </c>
    </row>
    <row r="38" spans="1:5" ht="14.45">
      <c r="A38" s="122" t="s">
        <v>1261</v>
      </c>
      <c r="B38" s="130"/>
      <c r="D38" s="142">
        <v>800000</v>
      </c>
      <c r="E38" s="130">
        <f>SUM(Table14[[#This Row],[Fixed price]:[Ad-hoc]])</f>
        <v>800000</v>
      </c>
    </row>
    <row r="39" spans="1:5" ht="14.45">
      <c r="A39" s="122" t="s">
        <v>1262</v>
      </c>
      <c r="B39" s="130"/>
      <c r="D39" s="142">
        <v>80000</v>
      </c>
      <c r="E39" s="130">
        <f>SUM(Table14[[#This Row],[Fixed price]:[Ad-hoc]])</f>
        <v>80000</v>
      </c>
    </row>
    <row r="40" spans="1:5" ht="14.45">
      <c r="B40" s="130"/>
      <c r="D40" s="142"/>
      <c r="E40" s="130">
        <f>SUM(Table14[[#This Row],[Fixed price]:[Ad-hoc]])</f>
        <v>0</v>
      </c>
    </row>
    <row r="41" spans="1:5" ht="14.45">
      <c r="B41" s="130"/>
      <c r="D41" s="142"/>
      <c r="E41" s="130">
        <f>SUM(Table14[[#This Row],[Fixed price]:[Ad-hoc]])</f>
        <v>0</v>
      </c>
    </row>
    <row r="42" spans="1:5">
      <c r="A42" s="122" t="s">
        <v>301</v>
      </c>
      <c r="E42" s="130">
        <f>SUM(E22:E41)</f>
        <v>6440192</v>
      </c>
    </row>
    <row r="45" spans="1:5">
      <c r="A45" s="122" t="s">
        <v>1263</v>
      </c>
      <c r="B45" s="122" t="s">
        <v>1264</v>
      </c>
    </row>
    <row r="46" spans="1:5">
      <c r="A46" s="122" t="s">
        <v>1265</v>
      </c>
    </row>
    <row r="47" spans="1:5">
      <c r="A47" s="122" t="s">
        <v>1266</v>
      </c>
      <c r="B47" s="130">
        <v>40000</v>
      </c>
    </row>
    <row r="48" spans="1:5">
      <c r="A48" s="122" t="s">
        <v>1267</v>
      </c>
      <c r="B48" s="130">
        <v>45000</v>
      </c>
    </row>
    <row r="49" spans="1:2">
      <c r="A49" s="122" t="s">
        <v>1268</v>
      </c>
      <c r="B49" s="130">
        <v>22000</v>
      </c>
    </row>
    <row r="50" spans="1:2">
      <c r="A50" s="122" t="s">
        <v>1269</v>
      </c>
      <c r="B50" s="130">
        <v>65000</v>
      </c>
    </row>
    <row r="51" spans="1:2">
      <c r="A51" s="122" t="s">
        <v>1270</v>
      </c>
      <c r="B51" s="130">
        <v>6500</v>
      </c>
    </row>
    <row r="52" spans="1:2">
      <c r="A52" s="122" t="s">
        <v>1271</v>
      </c>
      <c r="B52" s="130">
        <v>10000</v>
      </c>
    </row>
    <row r="53" spans="1:2">
      <c r="A53" s="122" t="s">
        <v>301</v>
      </c>
      <c r="B53" s="130">
        <f>SUM(B47:B52)</f>
        <v>188500</v>
      </c>
    </row>
    <row r="55" spans="1:2">
      <c r="A55" s="122" t="s">
        <v>1272</v>
      </c>
    </row>
    <row r="56" spans="1:2">
      <c r="A56" s="122" t="s">
        <v>1273</v>
      </c>
      <c r="B56" s="130">
        <v>80000</v>
      </c>
    </row>
    <row r="57" spans="1:2">
      <c r="A57" s="122" t="s">
        <v>1274</v>
      </c>
      <c r="B57" s="130">
        <f>89000</f>
        <v>89000</v>
      </c>
    </row>
    <row r="58" spans="1:2">
      <c r="A58" s="122" t="s">
        <v>1274</v>
      </c>
      <c r="B58" s="130">
        <f>89000</f>
        <v>89000</v>
      </c>
    </row>
    <row r="59" spans="1:2">
      <c r="A59" s="122" t="s">
        <v>5</v>
      </c>
      <c r="B59" s="130">
        <v>50000</v>
      </c>
    </row>
    <row r="60" spans="1:2">
      <c r="A60" s="122" t="s">
        <v>1275</v>
      </c>
      <c r="B60" s="130">
        <f>15*180</f>
        <v>2700</v>
      </c>
    </row>
    <row r="61" spans="1:2">
      <c r="A61" s="122" t="s">
        <v>1275</v>
      </c>
      <c r="B61" s="130">
        <f>15*180</f>
        <v>2700</v>
      </c>
    </row>
    <row r="62" spans="1:2">
      <c r="A62" s="122" t="s">
        <v>1276</v>
      </c>
      <c r="B62" s="130">
        <v>82700</v>
      </c>
    </row>
    <row r="63" spans="1:2">
      <c r="A63" s="122" t="s">
        <v>1276</v>
      </c>
      <c r="B63" s="130">
        <v>82700</v>
      </c>
    </row>
    <row r="64" spans="1:2">
      <c r="A64" s="122" t="s">
        <v>1276</v>
      </c>
      <c r="B64" s="130">
        <v>82700</v>
      </c>
    </row>
    <row r="65" spans="1:2">
      <c r="B65" s="130">
        <f>SUM(B56:B64)</f>
        <v>561500</v>
      </c>
    </row>
    <row r="66" spans="1:2">
      <c r="B66" s="130"/>
    </row>
    <row r="67" spans="1:2">
      <c r="A67" s="122" t="s">
        <v>1277</v>
      </c>
      <c r="B67" s="130">
        <v>25000</v>
      </c>
    </row>
    <row r="69" spans="1:2">
      <c r="A69" s="122" t="s">
        <v>45</v>
      </c>
      <c r="B69" s="130">
        <f>B65+B53+B67</f>
        <v>775000</v>
      </c>
    </row>
  </sheetData>
  <pageMargins left="0.7" right="0.7" top="0.75" bottom="0.75" header="0.3" footer="0.3"/>
  <pageSetup orientation="portrait" r:id="rId1"/>
  <legacy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BD5A-22DE-41CE-9B1A-7E867230D4BD}">
  <sheetPr>
    <tabColor theme="7" tint="0.39997558519241921"/>
  </sheetPr>
  <dimension ref="A1:BY91"/>
  <sheetViews>
    <sheetView topLeftCell="A55" zoomScale="85" zoomScaleNormal="85" workbookViewId="0">
      <selection activeCell="G2" sqref="G2"/>
    </sheetView>
  </sheetViews>
  <sheetFormatPr defaultColWidth="8.7109375" defaultRowHeight="14.45"/>
  <cols>
    <col min="1" max="1" width="32" style="263" customWidth="1"/>
    <col min="2" max="2" width="7.5703125" style="264" hidden="1" customWidth="1"/>
    <col min="3" max="3" width="7.5703125" style="268" bestFit="1" customWidth="1"/>
    <col min="4" max="4" width="7.5703125" hidden="1" customWidth="1"/>
    <col min="5" max="5" width="10.5703125" style="267" hidden="1" customWidth="1"/>
    <col min="6" max="6" width="7.42578125" hidden="1" customWidth="1"/>
    <col min="7" max="7" width="9.42578125" hidden="1" customWidth="1"/>
    <col min="8" max="14" width="7.5703125" style="268" hidden="1" customWidth="1"/>
    <col min="15" max="17" width="10.42578125" style="268" hidden="1" customWidth="1"/>
    <col min="18" max="18" width="8.42578125" hidden="1" customWidth="1"/>
    <col min="19" max="19" width="5.5703125" hidden="1" customWidth="1"/>
    <col min="20" max="20" width="10.42578125" style="268" hidden="1" customWidth="1"/>
    <col min="21" max="21" width="5.5703125" style="268" bestFit="1" customWidth="1"/>
    <col min="22" max="22" width="8.42578125" style="268" bestFit="1" customWidth="1"/>
    <col min="23" max="23" width="8.42578125" style="268" customWidth="1"/>
    <col min="24" max="35" width="12.42578125" style="268" customWidth="1"/>
    <col min="36" max="36" width="12" hidden="1" customWidth="1"/>
    <col min="37" max="37" width="12.5703125" hidden="1" customWidth="1"/>
    <col min="38" max="38" width="11.5703125" hidden="1" customWidth="1"/>
    <col min="39" max="39" width="10.42578125" hidden="1" customWidth="1"/>
    <col min="40" max="43" width="6.5703125" style="268" bestFit="1" customWidth="1"/>
    <col min="44" max="44" width="8.5703125" style="268" bestFit="1" customWidth="1"/>
    <col min="45" max="45" width="6.5703125" style="268" bestFit="1" customWidth="1"/>
    <col min="46" max="46" width="11.5703125" style="268" bestFit="1" customWidth="1"/>
    <col min="47" max="49" width="11.42578125" style="268" bestFit="1" customWidth="1"/>
    <col min="50" max="50" width="11.42578125" hidden="1" customWidth="1"/>
    <col min="51" max="51" width="10.5703125" hidden="1" customWidth="1"/>
    <col min="52" max="52" width="11.5703125" hidden="1" customWidth="1"/>
    <col min="53" max="53" width="11.42578125" hidden="1" customWidth="1"/>
    <col min="54" max="54" width="14.5703125" hidden="1" customWidth="1"/>
    <col min="55" max="55" width="11.42578125" hidden="1" customWidth="1"/>
    <col min="56" max="56" width="7" hidden="1" customWidth="1"/>
    <col min="57" max="57" width="14.42578125" hidden="1" customWidth="1"/>
    <col min="58" max="58" width="9.42578125" hidden="1" customWidth="1"/>
    <col min="59" max="59" width="6.5703125" hidden="1" customWidth="1"/>
    <col min="60" max="60" width="9.5703125" hidden="1" customWidth="1"/>
    <col min="61" max="61" width="13.5703125" hidden="1" customWidth="1"/>
    <col min="62" max="62" width="7.42578125" hidden="1" customWidth="1"/>
    <col min="63" max="63" width="7.5703125" style="269" customWidth="1"/>
    <col min="64" max="64" width="11" hidden="1" customWidth="1"/>
    <col min="65" max="65" width="7.5703125" bestFit="1" customWidth="1"/>
    <col min="66" max="77" width="12.42578125" style="268" customWidth="1"/>
  </cols>
  <sheetData>
    <row r="1" spans="1:4">
      <c r="C1" s="265" t="s">
        <v>1278</v>
      </c>
      <c r="D1" s="266">
        <v>202012</v>
      </c>
    </row>
    <row r="2" spans="1:4">
      <c r="A2" s="263" t="s">
        <v>1279</v>
      </c>
      <c r="B2" s="270"/>
      <c r="C2" s="271"/>
      <c r="D2" s="272"/>
    </row>
    <row r="3" spans="1:4">
      <c r="A3" s="263" t="s">
        <v>1280</v>
      </c>
      <c r="B3" s="270"/>
      <c r="C3" s="271"/>
      <c r="D3" s="272"/>
    </row>
    <row r="4" spans="1:4">
      <c r="A4" s="263" t="s">
        <v>1281</v>
      </c>
      <c r="B4" s="270"/>
      <c r="C4" s="271"/>
      <c r="D4" s="272"/>
    </row>
    <row r="5" spans="1:4">
      <c r="A5" s="263" t="s">
        <v>1282</v>
      </c>
      <c r="B5" s="270"/>
      <c r="C5" s="271"/>
      <c r="D5" s="272"/>
    </row>
    <row r="6" spans="1:4">
      <c r="A6" s="263" t="s">
        <v>1283</v>
      </c>
      <c r="B6" s="270"/>
      <c r="C6" s="271"/>
      <c r="D6" s="272"/>
    </row>
    <row r="7" spans="1:4">
      <c r="A7" s="263" t="s">
        <v>1284</v>
      </c>
      <c r="B7" s="270"/>
      <c r="C7" s="271"/>
      <c r="D7" s="272"/>
    </row>
    <row r="8" spans="1:4">
      <c r="A8" s="263" t="s">
        <v>1285</v>
      </c>
      <c r="B8" s="270"/>
      <c r="C8" s="271"/>
      <c r="D8" s="272"/>
    </row>
    <row r="9" spans="1:4">
      <c r="A9" s="263" t="s">
        <v>1286</v>
      </c>
      <c r="B9" s="270"/>
      <c r="C9" s="271"/>
      <c r="D9" s="272"/>
    </row>
    <row r="10" spans="1:4">
      <c r="A10" s="263" t="s">
        <v>1287</v>
      </c>
      <c r="B10" s="270"/>
      <c r="C10" s="271"/>
      <c r="D10" s="272"/>
    </row>
    <row r="11" spans="1:4">
      <c r="A11" s="263" t="s">
        <v>1288</v>
      </c>
      <c r="B11" s="270"/>
      <c r="C11" s="271"/>
      <c r="D11" s="272"/>
    </row>
    <row r="12" spans="1:4">
      <c r="A12" s="263" t="s">
        <v>1289</v>
      </c>
      <c r="B12" s="270"/>
      <c r="C12" s="271"/>
      <c r="D12" s="272"/>
    </row>
    <row r="13" spans="1:4">
      <c r="A13" s="263" t="s">
        <v>1290</v>
      </c>
      <c r="B13" s="270"/>
      <c r="C13" s="271"/>
      <c r="D13" s="272"/>
    </row>
    <row r="14" spans="1:4">
      <c r="A14" s="263" t="s">
        <v>1291</v>
      </c>
      <c r="B14" s="270"/>
      <c r="C14" s="271"/>
      <c r="D14" s="272"/>
    </row>
    <row r="15" spans="1:4">
      <c r="A15" s="263" t="s">
        <v>1292</v>
      </c>
      <c r="B15" s="270"/>
      <c r="C15" s="271"/>
      <c r="D15" s="272"/>
    </row>
    <row r="16" spans="1:4">
      <c r="A16" s="263" t="s">
        <v>1293</v>
      </c>
      <c r="B16" s="270"/>
      <c r="C16" s="271"/>
      <c r="D16" s="272"/>
    </row>
    <row r="17" spans="1:1">
      <c r="A17" s="263" t="s">
        <v>1294</v>
      </c>
    </row>
    <row r="18" spans="1:1">
      <c r="A18" s="263" t="s">
        <v>1295</v>
      </c>
    </row>
    <row r="19" spans="1:1">
      <c r="A19" s="263" t="s">
        <v>1296</v>
      </c>
    </row>
    <row r="20" spans="1:1">
      <c r="A20" s="263" t="s">
        <v>1297</v>
      </c>
    </row>
    <row r="21" spans="1:1">
      <c r="A21" s="263" t="s">
        <v>1298</v>
      </c>
    </row>
    <row r="22" spans="1:1">
      <c r="A22" s="263" t="s">
        <v>1299</v>
      </c>
    </row>
    <row r="23" spans="1:1">
      <c r="A23" s="263" t="s">
        <v>1300</v>
      </c>
    </row>
    <row r="24" spans="1:1">
      <c r="A24" s="263" t="s">
        <v>1301</v>
      </c>
    </row>
    <row r="25" spans="1:1">
      <c r="A25" s="263" t="s">
        <v>1302</v>
      </c>
    </row>
    <row r="26" spans="1:1">
      <c r="A26" s="263" t="s">
        <v>1303</v>
      </c>
    </row>
    <row r="27" spans="1:1">
      <c r="A27" s="263" t="s">
        <v>1304</v>
      </c>
    </row>
    <row r="28" spans="1:1">
      <c r="A28" s="263" t="s">
        <v>1305</v>
      </c>
    </row>
    <row r="29" spans="1:1">
      <c r="A29" s="263" t="s">
        <v>1306</v>
      </c>
    </row>
    <row r="30" spans="1:1">
      <c r="A30" s="263" t="s">
        <v>1307</v>
      </c>
    </row>
    <row r="31" spans="1:1">
      <c r="A31" s="263" t="s">
        <v>1308</v>
      </c>
    </row>
    <row r="32" spans="1:1">
      <c r="A32" s="263" t="s">
        <v>1309</v>
      </c>
    </row>
    <row r="33" spans="1:1">
      <c r="A33" s="263" t="s">
        <v>1310</v>
      </c>
    </row>
    <row r="34" spans="1:1">
      <c r="A34" s="263" t="s">
        <v>1311</v>
      </c>
    </row>
    <row r="35" spans="1:1">
      <c r="A35" s="263" t="s">
        <v>1312</v>
      </c>
    </row>
    <row r="36" spans="1:1">
      <c r="A36" s="263" t="s">
        <v>1313</v>
      </c>
    </row>
    <row r="37" spans="1:1">
      <c r="A37" s="263" t="s">
        <v>1314</v>
      </c>
    </row>
    <row r="38" spans="1:1">
      <c r="A38" s="263" t="s">
        <v>1315</v>
      </c>
    </row>
    <row r="39" spans="1:1">
      <c r="A39" s="263" t="s">
        <v>1316</v>
      </c>
    </row>
    <row r="40" spans="1:1">
      <c r="A40" s="263" t="s">
        <v>1317</v>
      </c>
    </row>
    <row r="41" spans="1:1">
      <c r="A41" s="263" t="s">
        <v>1318</v>
      </c>
    </row>
    <row r="42" spans="1:1">
      <c r="A42" s="263" t="s">
        <v>1319</v>
      </c>
    </row>
    <row r="43" spans="1:1">
      <c r="A43" s="263" t="s">
        <v>1320</v>
      </c>
    </row>
    <row r="44" spans="1:1">
      <c r="A44" s="263" t="s">
        <v>1321</v>
      </c>
    </row>
    <row r="45" spans="1:1">
      <c r="A45" s="263" t="s">
        <v>1322</v>
      </c>
    </row>
    <row r="46" spans="1:1">
      <c r="A46" s="263" t="s">
        <v>1323</v>
      </c>
    </row>
    <row r="47" spans="1:1">
      <c r="A47" s="263" t="s">
        <v>1324</v>
      </c>
    </row>
    <row r="48" spans="1:1">
      <c r="A48" s="263" t="s">
        <v>1325</v>
      </c>
    </row>
    <row r="49" spans="1:1">
      <c r="A49" s="263" t="s">
        <v>1326</v>
      </c>
    </row>
    <row r="50" spans="1:1">
      <c r="A50" s="263" t="s">
        <v>1327</v>
      </c>
    </row>
    <row r="51" spans="1:1">
      <c r="A51" s="263" t="s">
        <v>1328</v>
      </c>
    </row>
    <row r="52" spans="1:1">
      <c r="A52" s="263" t="s">
        <v>1329</v>
      </c>
    </row>
    <row r="53" spans="1:1">
      <c r="A53" s="263" t="s">
        <v>1330</v>
      </c>
    </row>
    <row r="54" spans="1:1">
      <c r="A54" s="263" t="s">
        <v>1331</v>
      </c>
    </row>
    <row r="55" spans="1:1">
      <c r="A55" s="263" t="s">
        <v>1332</v>
      </c>
    </row>
    <row r="56" spans="1:1">
      <c r="A56" s="263" t="s">
        <v>1333</v>
      </c>
    </row>
    <row r="57" spans="1:1">
      <c r="A57" s="263" t="s">
        <v>1334</v>
      </c>
    </row>
    <row r="58" spans="1:1">
      <c r="A58" s="263" t="s">
        <v>1335</v>
      </c>
    </row>
    <row r="59" spans="1:1">
      <c r="A59" s="263" t="s">
        <v>1336</v>
      </c>
    </row>
    <row r="60" spans="1:1">
      <c r="A60" s="263" t="s">
        <v>1337</v>
      </c>
    </row>
    <row r="61" spans="1:1">
      <c r="A61" s="263" t="s">
        <v>1338</v>
      </c>
    </row>
    <row r="62" spans="1:1">
      <c r="A62" s="263" t="s">
        <v>1339</v>
      </c>
    </row>
    <row r="63" spans="1:1">
      <c r="A63" s="263" t="s">
        <v>1340</v>
      </c>
    </row>
    <row r="64" spans="1:1">
      <c r="A64" s="263" t="s">
        <v>1341</v>
      </c>
    </row>
    <row r="65" spans="1:77">
      <c r="A65" s="263" t="s">
        <v>1342</v>
      </c>
      <c r="B65" s="270"/>
      <c r="C65" s="271"/>
      <c r="D65" s="272"/>
      <c r="E65" s="273"/>
      <c r="F65" s="272"/>
      <c r="G65" s="272"/>
      <c r="H65" s="271"/>
      <c r="I65" s="271"/>
      <c r="J65" s="271"/>
      <c r="R65" s="274"/>
      <c r="S65" s="274"/>
      <c r="T65" s="271"/>
      <c r="AJ65" s="274"/>
      <c r="AK65" s="272"/>
      <c r="AL65" s="272"/>
      <c r="AM65" s="272"/>
      <c r="AN65" s="271"/>
      <c r="AO65" s="271"/>
      <c r="AP65" s="271"/>
      <c r="AQ65" s="271"/>
      <c r="AR65" s="271"/>
      <c r="AS65" s="271"/>
      <c r="AT65" s="271"/>
      <c r="AU65" s="271"/>
      <c r="AV65" s="271"/>
      <c r="AW65" s="271"/>
      <c r="AX65" s="275"/>
      <c r="AY65" s="275"/>
      <c r="AZ65" s="275"/>
      <c r="BA65" s="275"/>
      <c r="BB65" s="275"/>
      <c r="BC65" s="275"/>
      <c r="BD65" s="275"/>
      <c r="BE65" s="275"/>
      <c r="BF65" s="275"/>
      <c r="BG65" s="274"/>
      <c r="BH65" s="274"/>
      <c r="BI65" s="275"/>
      <c r="BJ65" s="272"/>
      <c r="BL65" s="274"/>
    </row>
    <row r="66" spans="1:77">
      <c r="A66" s="263" t="s">
        <v>1343</v>
      </c>
      <c r="B66" s="270"/>
      <c r="C66" s="271"/>
      <c r="D66" s="272"/>
      <c r="E66" s="273"/>
      <c r="F66" s="272"/>
      <c r="G66" s="272"/>
      <c r="H66" s="271"/>
      <c r="I66" s="271"/>
      <c r="J66" s="271"/>
      <c r="R66" s="274"/>
      <c r="S66" s="274"/>
      <c r="T66" s="271"/>
      <c r="AJ66" s="274"/>
      <c r="AK66" s="272"/>
      <c r="AL66" s="272"/>
      <c r="AM66" s="272"/>
      <c r="AN66" s="271"/>
      <c r="AO66" s="271"/>
      <c r="AP66" s="271"/>
      <c r="AQ66" s="271"/>
      <c r="AR66" s="271"/>
      <c r="AS66" s="271"/>
      <c r="AT66" s="271"/>
      <c r="AU66" s="271"/>
      <c r="AV66" s="271"/>
      <c r="AW66" s="271"/>
      <c r="AX66" s="275"/>
      <c r="AY66" s="275"/>
      <c r="AZ66" s="275"/>
      <c r="BA66" s="275"/>
      <c r="BB66" s="275"/>
      <c r="BC66" s="275"/>
      <c r="BD66" s="275"/>
      <c r="BE66" s="275"/>
      <c r="BF66" s="275"/>
      <c r="BG66" s="274"/>
      <c r="BH66" s="274"/>
      <c r="BI66" s="275"/>
      <c r="BJ66" s="272"/>
      <c r="BL66" s="274"/>
    </row>
    <row r="67" spans="1:77">
      <c r="A67" s="263" t="s">
        <v>1344</v>
      </c>
      <c r="B67" s="270"/>
      <c r="C67" s="271"/>
      <c r="D67" s="272"/>
      <c r="E67" s="273"/>
      <c r="F67" s="272"/>
      <c r="G67" s="272"/>
      <c r="H67" s="271"/>
      <c r="I67" s="271"/>
      <c r="J67" s="271"/>
      <c r="R67" s="274"/>
      <c r="S67" s="274"/>
      <c r="T67" s="271"/>
      <c r="AJ67" s="274"/>
      <c r="AK67" s="272"/>
      <c r="AL67" s="272"/>
      <c r="AM67" s="272"/>
      <c r="AN67" s="271"/>
      <c r="AO67" s="271"/>
      <c r="AP67" s="271"/>
      <c r="AQ67" s="271"/>
      <c r="AR67" s="271"/>
      <c r="AS67" s="271"/>
      <c r="AT67" s="271"/>
      <c r="AU67" s="271"/>
      <c r="AV67" s="271"/>
      <c r="AW67" s="271"/>
      <c r="AX67" s="275"/>
      <c r="AY67" s="275"/>
      <c r="AZ67" s="275"/>
      <c r="BA67" s="275"/>
      <c r="BB67" s="275"/>
      <c r="BC67" s="275"/>
      <c r="BD67" s="275"/>
      <c r="BE67" s="275"/>
      <c r="BF67" s="275"/>
      <c r="BG67" s="274"/>
      <c r="BH67" s="274"/>
      <c r="BI67" s="275"/>
      <c r="BJ67" s="272"/>
      <c r="BL67" s="274"/>
    </row>
    <row r="68" spans="1:77">
      <c r="A68" s="263" t="s">
        <v>1345</v>
      </c>
      <c r="B68" s="270"/>
      <c r="C68" s="271"/>
      <c r="D68" s="272"/>
      <c r="E68" s="273"/>
      <c r="F68" s="272"/>
      <c r="G68" s="272"/>
      <c r="H68" s="271"/>
      <c r="I68" s="271"/>
      <c r="J68" s="271"/>
      <c r="R68" s="274"/>
      <c r="S68" s="274"/>
      <c r="T68" s="271"/>
      <c r="AJ68" s="274"/>
      <c r="AK68" s="272"/>
      <c r="AL68" s="272"/>
      <c r="AM68" s="272"/>
      <c r="AN68" s="271"/>
      <c r="AO68" s="271"/>
      <c r="AP68" s="271"/>
      <c r="AQ68" s="271"/>
      <c r="AR68" s="271"/>
      <c r="AS68" s="271"/>
      <c r="AT68" s="271"/>
      <c r="AU68" s="271"/>
      <c r="AV68" s="271"/>
      <c r="AW68" s="271"/>
      <c r="AX68" s="275"/>
      <c r="AY68" s="275"/>
      <c r="AZ68" s="275"/>
      <c r="BA68" s="275"/>
      <c r="BB68" s="275"/>
      <c r="BC68" s="275"/>
      <c r="BD68" s="275"/>
      <c r="BE68" s="275"/>
      <c r="BF68" s="275"/>
      <c r="BG68" s="274"/>
      <c r="BH68" s="274"/>
      <c r="BI68" s="275"/>
      <c r="BJ68" s="272"/>
      <c r="BL68" s="274"/>
    </row>
    <row r="69" spans="1:77">
      <c r="A69" s="263" t="s">
        <v>1346</v>
      </c>
      <c r="B69" s="270"/>
      <c r="C69" s="271"/>
      <c r="D69" s="272"/>
      <c r="E69" s="273"/>
      <c r="F69" s="272"/>
      <c r="G69" s="272"/>
      <c r="H69" s="271"/>
      <c r="I69" s="271"/>
      <c r="J69" s="271"/>
      <c r="R69" s="274"/>
      <c r="S69" s="274"/>
      <c r="T69" s="271"/>
      <c r="AJ69" s="274"/>
      <c r="AK69" s="272"/>
      <c r="AL69" s="272"/>
      <c r="AM69" s="272"/>
      <c r="AN69" s="271"/>
      <c r="AO69" s="271"/>
      <c r="AP69" s="271"/>
      <c r="AQ69" s="271"/>
      <c r="AR69" s="271"/>
      <c r="AS69" s="271"/>
      <c r="AT69" s="271"/>
      <c r="AU69" s="271"/>
      <c r="AV69" s="271"/>
      <c r="AW69" s="271"/>
      <c r="AX69" s="275"/>
      <c r="AY69" s="275"/>
      <c r="AZ69" s="275"/>
      <c r="BA69" s="275"/>
      <c r="BB69" s="275"/>
      <c r="BC69" s="275"/>
      <c r="BD69" s="275"/>
      <c r="BE69" s="275"/>
      <c r="BF69" s="275"/>
      <c r="BG69" s="274"/>
      <c r="BH69" s="274"/>
      <c r="BI69" s="275"/>
      <c r="BJ69" s="272"/>
      <c r="BL69" s="274"/>
    </row>
    <row r="70" spans="1:77">
      <c r="A70" s="263" t="s">
        <v>1347</v>
      </c>
      <c r="B70" s="270"/>
      <c r="C70" s="271"/>
      <c r="D70" s="272"/>
      <c r="E70" s="273"/>
      <c r="F70" s="272"/>
      <c r="G70" s="272"/>
      <c r="H70" s="271"/>
      <c r="I70" s="271"/>
      <c r="J70" s="271"/>
      <c r="R70" s="274"/>
      <c r="S70" s="274"/>
      <c r="T70" s="271"/>
      <c r="AJ70" s="274"/>
      <c r="AK70" s="272"/>
      <c r="AL70" s="272"/>
      <c r="AM70" s="272"/>
      <c r="AN70" s="271"/>
      <c r="AO70" s="271"/>
      <c r="AP70" s="271"/>
      <c r="AQ70" s="271"/>
      <c r="AR70" s="271"/>
      <c r="AS70" s="271"/>
      <c r="AT70" s="271"/>
      <c r="AU70" s="271"/>
      <c r="AV70" s="271"/>
      <c r="AW70" s="271"/>
      <c r="AX70" s="275"/>
      <c r="AY70" s="275"/>
      <c r="AZ70" s="275"/>
      <c r="BA70" s="275"/>
      <c r="BB70" s="275"/>
      <c r="BC70" s="275"/>
      <c r="BD70" s="275"/>
      <c r="BE70" s="275"/>
      <c r="BF70" s="275"/>
      <c r="BG70" s="274"/>
      <c r="BH70" s="274"/>
      <c r="BI70" s="275"/>
      <c r="BJ70" s="272"/>
      <c r="BL70" s="274"/>
    </row>
    <row r="71" spans="1:77">
      <c r="A71" s="263" t="s">
        <v>1348</v>
      </c>
      <c r="B71" s="270"/>
      <c r="C71" s="271"/>
      <c r="D71" s="272"/>
      <c r="E71" s="273"/>
      <c r="F71" s="272"/>
      <c r="G71" s="272"/>
      <c r="H71" s="271"/>
      <c r="I71" s="271"/>
      <c r="J71" s="271"/>
      <c r="R71" s="274"/>
      <c r="S71" s="274"/>
      <c r="T71" s="271"/>
      <c r="AJ71" s="274"/>
      <c r="AK71" s="272"/>
      <c r="AL71" s="272"/>
      <c r="AM71" s="272"/>
      <c r="AN71" s="271"/>
      <c r="AO71" s="271"/>
      <c r="AP71" s="271"/>
      <c r="AQ71" s="271"/>
      <c r="AR71" s="271"/>
      <c r="AS71" s="271"/>
      <c r="AT71" s="271"/>
      <c r="AU71" s="271"/>
      <c r="AV71" s="271"/>
      <c r="AW71" s="271"/>
      <c r="AX71" s="275"/>
      <c r="AY71" s="275"/>
      <c r="AZ71" s="275"/>
      <c r="BA71" s="275"/>
      <c r="BB71" s="275"/>
      <c r="BC71" s="275"/>
      <c r="BD71" s="275"/>
      <c r="BE71" s="275"/>
      <c r="BF71" s="275"/>
      <c r="BG71" s="274"/>
      <c r="BH71" s="274"/>
      <c r="BI71" s="275"/>
      <c r="BJ71" s="272"/>
      <c r="BL71" s="274"/>
    </row>
    <row r="72" spans="1:77">
      <c r="A72" s="263" t="s">
        <v>1349</v>
      </c>
      <c r="B72" s="270"/>
      <c r="C72" s="271"/>
      <c r="D72" s="272"/>
      <c r="E72" s="273"/>
      <c r="F72" s="272"/>
      <c r="G72" s="272"/>
      <c r="H72" s="271"/>
      <c r="I72" s="271"/>
      <c r="J72" s="271"/>
      <c r="R72" s="274"/>
      <c r="S72" s="274"/>
      <c r="T72" s="271"/>
      <c r="AJ72" s="274"/>
      <c r="AK72" s="272"/>
      <c r="AL72" s="272"/>
      <c r="AM72" s="272"/>
      <c r="AN72" s="271"/>
      <c r="AO72" s="271"/>
      <c r="AP72" s="271"/>
      <c r="AQ72" s="271"/>
      <c r="AR72" s="271"/>
      <c r="AS72" s="271"/>
      <c r="AT72" s="271"/>
      <c r="AU72" s="271"/>
      <c r="AV72" s="271"/>
      <c r="AW72" s="271"/>
      <c r="AX72" s="275"/>
      <c r="AY72" s="275"/>
      <c r="AZ72" s="275"/>
      <c r="BA72" s="275"/>
      <c r="BB72" s="275"/>
      <c r="BC72" s="275"/>
      <c r="BD72" s="275"/>
      <c r="BE72" s="275"/>
      <c r="BF72" s="275"/>
      <c r="BG72" s="274"/>
      <c r="BH72" s="274"/>
      <c r="BI72" s="275"/>
      <c r="BJ72" s="272"/>
      <c r="BL72" s="274"/>
    </row>
    <row r="73" spans="1:77">
      <c r="A73" s="263" t="s">
        <v>1350</v>
      </c>
      <c r="B73" s="270"/>
      <c r="C73" s="271"/>
      <c r="D73" s="272"/>
      <c r="E73" s="273"/>
      <c r="F73" s="272"/>
      <c r="G73" s="272"/>
      <c r="H73" s="271"/>
      <c r="I73" s="271"/>
      <c r="J73" s="271"/>
      <c r="R73" s="274"/>
      <c r="S73" s="274"/>
      <c r="T73" s="271"/>
      <c r="AJ73" s="274"/>
      <c r="AK73" s="272"/>
      <c r="AL73" s="272"/>
      <c r="AM73" s="272"/>
      <c r="AN73" s="271"/>
      <c r="AO73" s="271"/>
      <c r="AP73" s="271"/>
      <c r="AQ73" s="271"/>
      <c r="AR73" s="271"/>
      <c r="AS73" s="271"/>
      <c r="AT73" s="271"/>
      <c r="AU73" s="271"/>
      <c r="AV73" s="271"/>
      <c r="AW73" s="271"/>
      <c r="AX73" s="275"/>
      <c r="AY73" s="275"/>
      <c r="AZ73" s="275"/>
      <c r="BA73" s="275"/>
      <c r="BB73" s="275"/>
      <c r="BC73" s="275"/>
      <c r="BD73" s="275"/>
      <c r="BE73" s="275"/>
      <c r="BF73" s="275"/>
      <c r="BG73" s="274"/>
      <c r="BH73" s="274"/>
      <c r="BI73" s="275"/>
      <c r="BJ73" s="272"/>
      <c r="BL73" s="274"/>
    </row>
    <row r="74" spans="1:77">
      <c r="A74" s="263" t="s">
        <v>1351</v>
      </c>
      <c r="B74" s="270"/>
      <c r="C74" s="271"/>
      <c r="D74" s="272"/>
      <c r="E74" s="273"/>
      <c r="F74" s="272"/>
      <c r="G74" s="272"/>
      <c r="H74" s="271"/>
      <c r="I74" s="271"/>
      <c r="J74" s="271"/>
      <c r="R74" s="274"/>
      <c r="S74" s="274"/>
      <c r="T74" s="271"/>
      <c r="AJ74" s="274"/>
      <c r="AK74" s="272"/>
      <c r="AL74" s="272"/>
      <c r="AM74" s="272"/>
      <c r="AN74" s="271"/>
      <c r="AO74" s="271"/>
      <c r="AP74" s="271"/>
      <c r="AQ74" s="271"/>
      <c r="AR74" s="271"/>
      <c r="AS74" s="271"/>
      <c r="AT74" s="271"/>
      <c r="AU74" s="271"/>
      <c r="AV74" s="271"/>
      <c r="AW74" s="271"/>
      <c r="AX74" s="275"/>
      <c r="AY74" s="275"/>
      <c r="AZ74" s="275"/>
      <c r="BA74" s="275"/>
      <c r="BB74" s="275"/>
      <c r="BC74" s="275"/>
      <c r="BD74" s="275"/>
      <c r="BE74" s="275"/>
      <c r="BF74" s="275"/>
      <c r="BG74" s="274"/>
      <c r="BH74" s="274"/>
      <c r="BI74" s="275"/>
      <c r="BJ74" s="272"/>
      <c r="BL74" s="274"/>
    </row>
    <row r="75" spans="1:77">
      <c r="A75" s="263" t="s">
        <v>1352</v>
      </c>
      <c r="B75" s="270"/>
      <c r="C75" s="271"/>
      <c r="D75" s="272"/>
      <c r="E75" s="273"/>
      <c r="F75" s="272"/>
      <c r="G75" s="272"/>
      <c r="H75" s="271"/>
      <c r="I75" s="271"/>
      <c r="J75" s="271"/>
      <c r="R75" s="274"/>
      <c r="S75" s="274"/>
      <c r="T75" s="271"/>
      <c r="AJ75" s="274"/>
      <c r="AK75" s="272"/>
      <c r="AL75" s="272"/>
      <c r="AM75" s="272"/>
      <c r="AN75" s="271"/>
      <c r="AO75" s="271"/>
      <c r="AP75" s="271"/>
      <c r="AQ75" s="271"/>
      <c r="AR75" s="271"/>
      <c r="AS75" s="271"/>
      <c r="AT75" s="271"/>
      <c r="AU75" s="271"/>
      <c r="AV75" s="271"/>
      <c r="AW75" s="271"/>
      <c r="AX75" s="275"/>
      <c r="AY75" s="275"/>
      <c r="AZ75" s="275"/>
      <c r="BA75" s="275"/>
      <c r="BB75" s="275"/>
      <c r="BC75" s="275"/>
      <c r="BD75" s="275"/>
      <c r="BE75" s="275"/>
      <c r="BF75" s="275"/>
      <c r="BG75" s="274"/>
      <c r="BH75" s="274"/>
      <c r="BI75" s="275"/>
      <c r="BJ75" s="272"/>
      <c r="BL75" s="274"/>
    </row>
    <row r="76" spans="1:77">
      <c r="A76" s="263" t="s">
        <v>1353</v>
      </c>
      <c r="B76" s="270"/>
      <c r="C76" s="271"/>
      <c r="D76" s="272"/>
      <c r="E76" s="273"/>
      <c r="F76" s="272"/>
      <c r="G76" s="272"/>
      <c r="H76" s="271"/>
      <c r="I76" s="271"/>
      <c r="J76" s="271"/>
      <c r="R76" s="274"/>
      <c r="S76" s="274"/>
      <c r="T76" s="271"/>
      <c r="AJ76" s="274"/>
      <c r="AK76" s="272"/>
      <c r="AL76" s="272"/>
      <c r="AM76" s="272"/>
      <c r="AN76" s="271"/>
      <c r="AO76" s="271"/>
      <c r="AP76" s="271"/>
      <c r="AQ76" s="271"/>
      <c r="AR76" s="271"/>
      <c r="AS76" s="271"/>
      <c r="AT76" s="271"/>
      <c r="AU76" s="271"/>
      <c r="AV76" s="271"/>
      <c r="AW76" s="271"/>
      <c r="AX76" s="275"/>
      <c r="AY76" s="275"/>
      <c r="AZ76" s="275"/>
      <c r="BA76" s="275"/>
      <c r="BB76" s="275"/>
      <c r="BC76" s="275"/>
      <c r="BD76" s="275"/>
      <c r="BE76" s="275"/>
      <c r="BF76" s="275"/>
      <c r="BG76" s="274"/>
      <c r="BH76" s="274"/>
      <c r="BI76" s="275"/>
      <c r="BJ76" s="272"/>
      <c r="BL76" s="274"/>
    </row>
    <row r="77" spans="1:77">
      <c r="A77" s="263" t="s">
        <v>1354</v>
      </c>
      <c r="B77" s="270"/>
      <c r="C77" s="271"/>
      <c r="D77" s="272"/>
      <c r="E77" s="273"/>
      <c r="F77" s="272"/>
      <c r="G77" s="272"/>
      <c r="H77" s="271"/>
      <c r="I77" s="271"/>
      <c r="J77" s="271"/>
      <c r="R77" s="274"/>
      <c r="S77" s="274"/>
      <c r="T77" s="271"/>
      <c r="AJ77" s="274"/>
      <c r="AK77" s="272"/>
      <c r="AL77" s="272"/>
      <c r="AM77" s="272"/>
      <c r="AN77" s="271"/>
      <c r="AO77" s="271"/>
      <c r="AP77" s="271"/>
      <c r="AQ77" s="271"/>
      <c r="AR77" s="271"/>
      <c r="AS77" s="271"/>
      <c r="AT77" s="271"/>
      <c r="AU77" s="271"/>
      <c r="AV77" s="271"/>
      <c r="AW77" s="271"/>
      <c r="AX77" s="275"/>
      <c r="AY77" s="275"/>
      <c r="AZ77" s="275"/>
      <c r="BA77" s="275"/>
      <c r="BB77" s="275"/>
      <c r="BC77" s="275"/>
      <c r="BD77" s="275"/>
      <c r="BE77" s="275"/>
      <c r="BF77" s="275"/>
      <c r="BG77" s="274"/>
      <c r="BH77" s="274"/>
      <c r="BI77" s="275"/>
      <c r="BJ77" s="272"/>
      <c r="BL77" s="274"/>
    </row>
    <row r="78" spans="1:77">
      <c r="A78" s="263" t="s">
        <v>1355</v>
      </c>
      <c r="B78" s="276"/>
      <c r="C78" s="277" t="s">
        <v>1356</v>
      </c>
      <c r="D78" s="272"/>
      <c r="E78" s="273"/>
      <c r="F78" s="272"/>
      <c r="G78" s="272"/>
      <c r="H78" s="271"/>
      <c r="I78" s="271"/>
      <c r="J78" s="271"/>
      <c r="R78" s="274"/>
      <c r="S78" s="274"/>
      <c r="T78" s="271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 s="274"/>
      <c r="AK78" s="272"/>
      <c r="AL78" s="272"/>
      <c r="AM78" s="272"/>
      <c r="AN78" s="271"/>
      <c r="AO78" s="271"/>
      <c r="AP78" s="271"/>
      <c r="AQ78" s="271"/>
      <c r="AR78" s="278" t="s">
        <v>1357</v>
      </c>
      <c r="AS78" s="271"/>
      <c r="AT78" s="278" t="s">
        <v>1358</v>
      </c>
      <c r="AU78" s="278" t="s">
        <v>1359</v>
      </c>
      <c r="AV78" s="278" t="s">
        <v>1360</v>
      </c>
      <c r="AW78" s="278" t="s">
        <v>1361</v>
      </c>
      <c r="AX78" s="275"/>
      <c r="AY78" s="275"/>
      <c r="AZ78" s="275"/>
      <c r="BA78" s="275"/>
      <c r="BB78" s="275"/>
      <c r="BC78" s="275"/>
      <c r="BD78" s="275"/>
      <c r="BE78" s="275"/>
      <c r="BF78" s="275"/>
      <c r="BG78" s="274"/>
      <c r="BH78" s="274"/>
      <c r="BI78" s="275"/>
      <c r="BJ78" s="272"/>
      <c r="BL78" s="274"/>
      <c r="BN78" s="279" t="s">
        <v>1362</v>
      </c>
      <c r="BO78" s="279" t="str">
        <f t="shared" ref="BO78:BY78" si="0">IF(RIGHT(BN78,2)*1=12,"P"&amp;(MID(BN78,2,4)+1)*100+1,"P"&amp;RIGHT(BN78,6)+1)</f>
        <v>P202101</v>
      </c>
      <c r="BP78" s="279" t="str">
        <f t="shared" si="0"/>
        <v>P202102</v>
      </c>
      <c r="BQ78" s="279" t="str">
        <f t="shared" si="0"/>
        <v>P202103</v>
      </c>
      <c r="BR78" s="279" t="str">
        <f t="shared" si="0"/>
        <v>P202104</v>
      </c>
      <c r="BS78" s="279" t="str">
        <f t="shared" si="0"/>
        <v>P202105</v>
      </c>
      <c r="BT78" s="279" t="str">
        <f t="shared" si="0"/>
        <v>P202106</v>
      </c>
      <c r="BU78" s="279" t="str">
        <f t="shared" si="0"/>
        <v>P202107</v>
      </c>
      <c r="BV78" s="279" t="str">
        <f t="shared" si="0"/>
        <v>P202108</v>
      </c>
      <c r="BW78" s="279" t="str">
        <f t="shared" si="0"/>
        <v>P202109</v>
      </c>
      <c r="BX78" s="279" t="str">
        <f t="shared" si="0"/>
        <v>P202110</v>
      </c>
      <c r="BY78" s="279" t="str">
        <f t="shared" si="0"/>
        <v>P202111</v>
      </c>
    </row>
    <row r="79" spans="1:77">
      <c r="A79" s="263" t="s">
        <v>1363</v>
      </c>
      <c r="C79" s="268" t="s">
        <v>1356</v>
      </c>
      <c r="D79" t="s">
        <v>1364</v>
      </c>
      <c r="E79" s="267" t="s">
        <v>1365</v>
      </c>
      <c r="F79" t="s">
        <v>1366</v>
      </c>
      <c r="G79" t="s">
        <v>1367</v>
      </c>
      <c r="H79" s="268" t="s">
        <v>1368</v>
      </c>
      <c r="I79" s="268" t="s">
        <v>1369</v>
      </c>
      <c r="J79" s="268" t="s">
        <v>1370</v>
      </c>
      <c r="K79" s="268" t="s">
        <v>1371</v>
      </c>
      <c r="L79" s="268" t="s">
        <v>1372</v>
      </c>
      <c r="M79" s="268" t="s">
        <v>1373</v>
      </c>
      <c r="N79" s="268" t="s">
        <v>1374</v>
      </c>
      <c r="O79" s="268" t="s">
        <v>1375</v>
      </c>
      <c r="P79" s="268" t="s">
        <v>1376</v>
      </c>
      <c r="Q79" s="268" t="s">
        <v>1377</v>
      </c>
      <c r="R79" t="s">
        <v>1378</v>
      </c>
      <c r="S79" t="s">
        <v>1379</v>
      </c>
      <c r="T79" s="268" t="s">
        <v>1380</v>
      </c>
      <c r="V79" s="268" t="s">
        <v>1381</v>
      </c>
      <c r="X79" s="267" t="s">
        <v>1382</v>
      </c>
      <c r="Y79" s="267" t="s">
        <v>1382</v>
      </c>
      <c r="Z79" s="267" t="s">
        <v>1382</v>
      </c>
      <c r="AA79" s="267" t="s">
        <v>1382</v>
      </c>
      <c r="AB79" s="267" t="s">
        <v>1382</v>
      </c>
      <c r="AC79" s="267" t="s">
        <v>1382</v>
      </c>
      <c r="AD79" s="267" t="s">
        <v>1382</v>
      </c>
      <c r="AE79" s="267" t="s">
        <v>1382</v>
      </c>
      <c r="AF79" s="267" t="s">
        <v>1382</v>
      </c>
      <c r="AG79" s="267" t="s">
        <v>1382</v>
      </c>
      <c r="AH79" s="267" t="s">
        <v>1382</v>
      </c>
      <c r="AI79" s="267" t="s">
        <v>1382</v>
      </c>
      <c r="AJ79" t="s">
        <v>1383</v>
      </c>
      <c r="AK79" t="s">
        <v>1384</v>
      </c>
      <c r="AL79" t="s">
        <v>1385</v>
      </c>
      <c r="AM79" t="s">
        <v>1386</v>
      </c>
      <c r="AN79" s="268" t="s">
        <v>1387</v>
      </c>
      <c r="AO79" s="268" t="s">
        <v>1388</v>
      </c>
      <c r="AP79" s="268" t="s">
        <v>1389</v>
      </c>
      <c r="AQ79" s="268" t="s">
        <v>1390</v>
      </c>
      <c r="AR79" s="268" t="s">
        <v>1391</v>
      </c>
      <c r="AS79" s="268" t="s">
        <v>1392</v>
      </c>
      <c r="AT79" s="268" t="s">
        <v>1393</v>
      </c>
      <c r="AU79" s="268" t="s">
        <v>1394</v>
      </c>
      <c r="AV79" s="268" t="s">
        <v>1395</v>
      </c>
      <c r="AW79" s="268" t="s">
        <v>1396</v>
      </c>
      <c r="AX79" t="s">
        <v>1397</v>
      </c>
      <c r="AY79" t="s">
        <v>1398</v>
      </c>
      <c r="AZ79" t="s">
        <v>1399</v>
      </c>
      <c r="BA79" t="s">
        <v>1400</v>
      </c>
      <c r="BB79" t="s">
        <v>1401</v>
      </c>
      <c r="BC79" t="s">
        <v>1402</v>
      </c>
      <c r="BD79" t="s">
        <v>1403</v>
      </c>
      <c r="BE79" t="s">
        <v>1404</v>
      </c>
      <c r="BF79" t="s">
        <v>1405</v>
      </c>
      <c r="BG79" t="s">
        <v>1406</v>
      </c>
      <c r="BH79" t="s">
        <v>1407</v>
      </c>
      <c r="BJ79" t="s">
        <v>1408</v>
      </c>
      <c r="BK79" s="269" t="s">
        <v>1409</v>
      </c>
      <c r="BL79" t="s">
        <v>1410</v>
      </c>
      <c r="BN79" s="280"/>
      <c r="BO79" s="280"/>
      <c r="BP79" s="280"/>
      <c r="BQ79" s="280"/>
      <c r="BR79" s="280"/>
      <c r="BS79" s="280"/>
      <c r="BT79" s="280"/>
      <c r="BU79" s="280"/>
      <c r="BV79" s="280"/>
      <c r="BW79" s="280"/>
      <c r="BX79" s="280"/>
      <c r="BY79" s="280"/>
    </row>
    <row r="80" spans="1:77">
      <c r="A80" s="281" t="s">
        <v>1411</v>
      </c>
      <c r="X80" s="268">
        <v>202012</v>
      </c>
      <c r="Y80" s="268">
        <f>IF(RIGHT(X80,2)*1=12,(LEFT(X80,4)+1)*100+1,X80+1)</f>
        <v>202101</v>
      </c>
      <c r="Z80" s="268">
        <f t="shared" ref="Z80:AI80" si="1">IF(RIGHT(Y80,2)*1=12,(LEFT(Y80,4)+1)*100+1,Y80+1)</f>
        <v>202102</v>
      </c>
      <c r="AA80" s="268">
        <f t="shared" si="1"/>
        <v>202103</v>
      </c>
      <c r="AB80" s="268">
        <f t="shared" si="1"/>
        <v>202104</v>
      </c>
      <c r="AC80" s="268">
        <f t="shared" si="1"/>
        <v>202105</v>
      </c>
      <c r="AD80" s="268">
        <f t="shared" si="1"/>
        <v>202106</v>
      </c>
      <c r="AE80" s="268">
        <f t="shared" si="1"/>
        <v>202107</v>
      </c>
      <c r="AF80" s="268">
        <f t="shared" si="1"/>
        <v>202108</v>
      </c>
      <c r="AG80" s="268">
        <f t="shared" si="1"/>
        <v>202109</v>
      </c>
      <c r="AH80" s="268">
        <f t="shared" si="1"/>
        <v>202110</v>
      </c>
      <c r="AI80" s="268">
        <f t="shared" si="1"/>
        <v>202111</v>
      </c>
      <c r="BN80" s="282"/>
      <c r="BO80" s="282"/>
      <c r="BP80" s="282"/>
      <c r="BQ80" s="282"/>
      <c r="BR80" s="282"/>
      <c r="BS80" s="282"/>
      <c r="BT80" s="282"/>
      <c r="BU80" s="282"/>
      <c r="BV80" s="282"/>
      <c r="BW80" s="282"/>
      <c r="BX80" s="282"/>
      <c r="BY80" s="282"/>
    </row>
    <row r="81" spans="1:77">
      <c r="A81" s="281"/>
      <c r="X81" s="283">
        <f>X80</f>
        <v>202012</v>
      </c>
      <c r="Y81" s="283">
        <f t="shared" ref="Y81:AI81" si="2">Y80</f>
        <v>202101</v>
      </c>
      <c r="Z81" s="283">
        <f t="shared" si="2"/>
        <v>202102</v>
      </c>
      <c r="AA81" s="283">
        <f t="shared" si="2"/>
        <v>202103</v>
      </c>
      <c r="AB81" s="283">
        <f t="shared" si="2"/>
        <v>202104</v>
      </c>
      <c r="AC81" s="283">
        <f t="shared" si="2"/>
        <v>202105</v>
      </c>
      <c r="AD81" s="283">
        <f t="shared" si="2"/>
        <v>202106</v>
      </c>
      <c r="AE81" s="283">
        <f t="shared" si="2"/>
        <v>202107</v>
      </c>
      <c r="AF81" s="283">
        <f t="shared" si="2"/>
        <v>202108</v>
      </c>
      <c r="AG81" s="283">
        <f t="shared" si="2"/>
        <v>202109</v>
      </c>
      <c r="AH81" s="283">
        <f t="shared" si="2"/>
        <v>202110</v>
      </c>
      <c r="AI81" s="283">
        <f t="shared" si="2"/>
        <v>202111</v>
      </c>
      <c r="BN81" s="284" t="s">
        <v>1412</v>
      </c>
      <c r="BO81" s="284" t="s">
        <v>1412</v>
      </c>
      <c r="BP81" s="284" t="s">
        <v>1412</v>
      </c>
      <c r="BQ81" s="284" t="s">
        <v>1412</v>
      </c>
      <c r="BR81" s="284" t="s">
        <v>1412</v>
      </c>
      <c r="BS81" s="284" t="s">
        <v>1412</v>
      </c>
      <c r="BT81" s="284" t="s">
        <v>1412</v>
      </c>
      <c r="BU81" s="284" t="s">
        <v>1412</v>
      </c>
      <c r="BV81" s="284" t="s">
        <v>1412</v>
      </c>
      <c r="BW81" s="284" t="s">
        <v>1412</v>
      </c>
      <c r="BX81" s="284" t="s">
        <v>1412</v>
      </c>
      <c r="BY81" s="284" t="s">
        <v>1412</v>
      </c>
    </row>
    <row r="82" spans="1:77" s="287" customFormat="1">
      <c r="A82" s="285"/>
      <c r="B82" s="286"/>
      <c r="C82" s="283" t="s">
        <v>1413</v>
      </c>
      <c r="D82" s="287" t="s">
        <v>1414</v>
      </c>
      <c r="E82" s="288" t="s">
        <v>1415</v>
      </c>
      <c r="F82" s="287" t="s">
        <v>1416</v>
      </c>
      <c r="G82" s="287" t="s">
        <v>1417</v>
      </c>
      <c r="H82" s="283" t="s">
        <v>1418</v>
      </c>
      <c r="I82" s="283" t="s">
        <v>1419</v>
      </c>
      <c r="J82" s="283" t="s">
        <v>1420</v>
      </c>
      <c r="K82" s="283" t="s">
        <v>1421</v>
      </c>
      <c r="L82" s="283" t="s">
        <v>1422</v>
      </c>
      <c r="M82" s="283" t="s">
        <v>1423</v>
      </c>
      <c r="N82" s="283" t="s">
        <v>1424</v>
      </c>
      <c r="O82" s="283" t="s">
        <v>1425</v>
      </c>
      <c r="P82" s="283" t="s">
        <v>1426</v>
      </c>
      <c r="Q82" s="283" t="s">
        <v>1427</v>
      </c>
      <c r="R82" s="287" t="s">
        <v>1428</v>
      </c>
      <c r="S82" s="287" t="s">
        <v>1429</v>
      </c>
      <c r="T82" s="283" t="s">
        <v>1430</v>
      </c>
      <c r="U82" s="283" t="s">
        <v>11</v>
      </c>
      <c r="V82" s="283" t="s">
        <v>1431</v>
      </c>
      <c r="W82" s="283" t="s">
        <v>1432</v>
      </c>
      <c r="X82" s="283" t="s">
        <v>1433</v>
      </c>
      <c r="Y82" s="283" t="s">
        <v>1433</v>
      </c>
      <c r="Z82" s="283" t="s">
        <v>1433</v>
      </c>
      <c r="AA82" s="283" t="s">
        <v>1433</v>
      </c>
      <c r="AB82" s="283" t="s">
        <v>1433</v>
      </c>
      <c r="AC82" s="283" t="s">
        <v>1433</v>
      </c>
      <c r="AD82" s="283" t="s">
        <v>1433</v>
      </c>
      <c r="AE82" s="283" t="s">
        <v>1433</v>
      </c>
      <c r="AF82" s="283" t="s">
        <v>1433</v>
      </c>
      <c r="AG82" s="283" t="s">
        <v>1433</v>
      </c>
      <c r="AH82" s="283" t="s">
        <v>1433</v>
      </c>
      <c r="AI82" s="283" t="s">
        <v>1433</v>
      </c>
      <c r="AJ82" s="287" t="s">
        <v>1434</v>
      </c>
      <c r="AL82" s="287" t="s">
        <v>1435</v>
      </c>
      <c r="AM82" s="287" t="s">
        <v>1436</v>
      </c>
      <c r="AN82" s="283" t="s">
        <v>1437</v>
      </c>
      <c r="AO82" s="283" t="s">
        <v>1153</v>
      </c>
      <c r="AP82" s="283" t="s">
        <v>1438</v>
      </c>
      <c r="AQ82" s="283" t="s">
        <v>1439</v>
      </c>
      <c r="AR82" s="283" t="s">
        <v>1440</v>
      </c>
      <c r="AS82" s="283" t="s">
        <v>1441</v>
      </c>
      <c r="AT82" s="283" t="s">
        <v>1442</v>
      </c>
      <c r="AU82" s="283" t="s">
        <v>1443</v>
      </c>
      <c r="AV82" s="283" t="s">
        <v>1444</v>
      </c>
      <c r="AW82" s="283" t="s">
        <v>16</v>
      </c>
      <c r="AX82" s="287" t="s">
        <v>1445</v>
      </c>
      <c r="AY82" s="287" t="s">
        <v>1446</v>
      </c>
      <c r="AZ82" s="287" t="s">
        <v>1447</v>
      </c>
      <c r="BA82" s="287" t="s">
        <v>1448</v>
      </c>
      <c r="BB82" s="287" t="s">
        <v>1449</v>
      </c>
      <c r="BC82" s="287" t="s">
        <v>1450</v>
      </c>
      <c r="BD82" s="287" t="s">
        <v>1451</v>
      </c>
      <c r="BF82" s="287" t="s">
        <v>1452</v>
      </c>
      <c r="BG82" s="287" t="s">
        <v>1453</v>
      </c>
      <c r="BH82" s="287" t="s">
        <v>1454</v>
      </c>
      <c r="BI82" s="287" t="s">
        <v>1455</v>
      </c>
      <c r="BJ82" s="287" t="s">
        <v>1456</v>
      </c>
      <c r="BK82" s="283" t="s">
        <v>1457</v>
      </c>
      <c r="BL82" s="287" t="s">
        <v>1458</v>
      </c>
      <c r="BN82" s="284" t="s">
        <v>1433</v>
      </c>
      <c r="BO82" s="284" t="s">
        <v>1433</v>
      </c>
      <c r="BP82" s="284" t="s">
        <v>1433</v>
      </c>
      <c r="BQ82" s="284" t="s">
        <v>1433</v>
      </c>
      <c r="BR82" s="284" t="s">
        <v>1433</v>
      </c>
      <c r="BS82" s="284" t="s">
        <v>1433</v>
      </c>
      <c r="BT82" s="284" t="s">
        <v>1433</v>
      </c>
      <c r="BU82" s="284" t="s">
        <v>1433</v>
      </c>
      <c r="BV82" s="284" t="s">
        <v>1433</v>
      </c>
      <c r="BW82" s="284" t="s">
        <v>1433</v>
      </c>
      <c r="BX82" s="284" t="s">
        <v>1433</v>
      </c>
      <c r="BY82" s="284" t="s">
        <v>1433</v>
      </c>
    </row>
    <row r="83" spans="1:77" s="287" customFormat="1">
      <c r="A83" s="285" t="s">
        <v>1459</v>
      </c>
      <c r="B83" s="286"/>
      <c r="C83" s="283"/>
      <c r="E83" s="288"/>
      <c r="H83" s="283"/>
      <c r="I83" s="283"/>
      <c r="J83" s="283"/>
      <c r="K83" s="283"/>
      <c r="L83" s="283"/>
      <c r="M83" s="283"/>
      <c r="N83" s="283"/>
      <c r="O83" s="283"/>
      <c r="P83" s="283"/>
      <c r="Q83" s="283"/>
      <c r="T83" s="283"/>
      <c r="U83" s="283"/>
      <c r="V83" s="283"/>
      <c r="W83" s="283"/>
      <c r="X83" s="283"/>
      <c r="Y83" s="283"/>
      <c r="Z83" s="283"/>
      <c r="AA83" s="283"/>
      <c r="AB83" s="283"/>
      <c r="AC83" s="283"/>
      <c r="AD83" s="283"/>
      <c r="AE83" s="283"/>
      <c r="AF83" s="283"/>
      <c r="AG83" s="283"/>
      <c r="AH83" s="283"/>
      <c r="AI83" s="283"/>
      <c r="AN83" s="283"/>
      <c r="AO83" s="283"/>
      <c r="AP83" s="283"/>
      <c r="AQ83" s="283"/>
      <c r="AR83" s="283"/>
      <c r="AS83" s="283"/>
      <c r="AT83" s="283"/>
      <c r="AU83" s="283"/>
      <c r="AV83" s="283"/>
      <c r="AW83" s="283"/>
      <c r="BK83" s="283"/>
      <c r="BN83" s="284"/>
      <c r="BO83" s="284"/>
      <c r="BP83" s="284"/>
      <c r="BQ83" s="284"/>
      <c r="BR83" s="284"/>
      <c r="BS83" s="284"/>
      <c r="BT83" s="284"/>
      <c r="BU83" s="284"/>
      <c r="BV83" s="284"/>
      <c r="BW83" s="284"/>
      <c r="BX83" s="284"/>
      <c r="BY83" s="284"/>
    </row>
    <row r="84" spans="1:77">
      <c r="A84" s="263" t="s">
        <v>1460</v>
      </c>
      <c r="C84" s="268">
        <v>0</v>
      </c>
      <c r="H84" s="268" t="s">
        <v>1461</v>
      </c>
      <c r="I84" s="268" t="s">
        <v>1462</v>
      </c>
      <c r="L84" s="268" t="s">
        <v>1463</v>
      </c>
      <c r="N84" s="268" t="s">
        <v>1464</v>
      </c>
      <c r="O84" s="268" t="s">
        <v>1465</v>
      </c>
      <c r="P84" s="268">
        <v>21</v>
      </c>
      <c r="Q84" s="268">
        <v>50</v>
      </c>
      <c r="U84" s="268" t="s">
        <v>1466</v>
      </c>
      <c r="V84" s="268" t="s">
        <v>1467</v>
      </c>
      <c r="W84" s="268">
        <v>1</v>
      </c>
      <c r="X84" s="289">
        <f>IF($C84&gt;399,-BN84*$W84,BN84*$W84)</f>
        <v>0</v>
      </c>
      <c r="Y84" s="289">
        <f t="shared" ref="Y84:AI84" si="3">IF($C84&gt;399,-BO84*$W84,BO84*$W84)</f>
        <v>0</v>
      </c>
      <c r="Z84" s="289">
        <f t="shared" si="3"/>
        <v>0</v>
      </c>
      <c r="AA84" s="289">
        <f t="shared" si="3"/>
        <v>0</v>
      </c>
      <c r="AB84" s="289">
        <f t="shared" si="3"/>
        <v>0</v>
      </c>
      <c r="AC84" s="289">
        <f t="shared" si="3"/>
        <v>0</v>
      </c>
      <c r="AD84" s="289">
        <f t="shared" si="3"/>
        <v>0</v>
      </c>
      <c r="AE84" s="289">
        <f t="shared" si="3"/>
        <v>0</v>
      </c>
      <c r="AF84" s="289">
        <f t="shared" si="3"/>
        <v>0</v>
      </c>
      <c r="AG84" s="289">
        <f t="shared" si="3"/>
        <v>0</v>
      </c>
      <c r="AH84" s="289">
        <f t="shared" si="3"/>
        <v>0</v>
      </c>
      <c r="AI84" s="289">
        <f t="shared" si="3"/>
        <v>0</v>
      </c>
      <c r="AN84" s="268" t="s">
        <v>148</v>
      </c>
      <c r="AO84" s="268" t="s">
        <v>1278</v>
      </c>
      <c r="AR84" s="268">
        <v>0</v>
      </c>
      <c r="AT84" s="271">
        <v>0</v>
      </c>
      <c r="AU84" s="271">
        <v>0</v>
      </c>
      <c r="AV84" s="271">
        <v>0</v>
      </c>
      <c r="AW84" s="271">
        <v>0</v>
      </c>
      <c r="BK84" s="269" t="str">
        <f>$D$1&amp;"F"</f>
        <v>202012F</v>
      </c>
      <c r="BN84" s="290">
        <v>0</v>
      </c>
      <c r="BO84" s="290">
        <v>0</v>
      </c>
      <c r="BP84" s="290">
        <v>0</v>
      </c>
      <c r="BQ84" s="290">
        <v>0</v>
      </c>
      <c r="BR84" s="290">
        <v>0</v>
      </c>
      <c r="BS84" s="290">
        <v>0</v>
      </c>
      <c r="BT84" s="290">
        <v>0</v>
      </c>
      <c r="BU84" s="290">
        <v>0</v>
      </c>
      <c r="BV84" s="290">
        <v>0</v>
      </c>
      <c r="BW84" s="290">
        <v>0</v>
      </c>
      <c r="BX84" s="290">
        <v>0</v>
      </c>
      <c r="BY84" s="290">
        <v>0</v>
      </c>
    </row>
    <row r="85" spans="1:77">
      <c r="A85" s="263" t="s">
        <v>1459</v>
      </c>
    </row>
    <row r="86" spans="1:77" ht="15" thickBot="1"/>
    <row r="87" spans="1:77">
      <c r="V87" s="291" t="s">
        <v>1468</v>
      </c>
      <c r="W87" s="292"/>
      <c r="X87" s="293">
        <f t="shared" ref="X87:AI87" si="4">SUM(X83:X85)</f>
        <v>0</v>
      </c>
      <c r="Y87" s="293">
        <f t="shared" si="4"/>
        <v>0</v>
      </c>
      <c r="Z87" s="293">
        <f t="shared" si="4"/>
        <v>0</v>
      </c>
      <c r="AA87" s="293">
        <f t="shared" si="4"/>
        <v>0</v>
      </c>
      <c r="AB87" s="293">
        <f t="shared" si="4"/>
        <v>0</v>
      </c>
      <c r="AC87" s="293">
        <f t="shared" si="4"/>
        <v>0</v>
      </c>
      <c r="AD87" s="293">
        <f t="shared" si="4"/>
        <v>0</v>
      </c>
      <c r="AE87" s="293">
        <f t="shared" si="4"/>
        <v>0</v>
      </c>
      <c r="AF87" s="293">
        <f t="shared" si="4"/>
        <v>0</v>
      </c>
      <c r="AG87" s="293">
        <f t="shared" si="4"/>
        <v>0</v>
      </c>
      <c r="AH87" s="293">
        <f t="shared" si="4"/>
        <v>0</v>
      </c>
      <c r="AI87" s="294">
        <f t="shared" si="4"/>
        <v>0</v>
      </c>
    </row>
    <row r="88" spans="1:77">
      <c r="V88" s="295" t="s">
        <v>1469</v>
      </c>
      <c r="W88" s="296"/>
      <c r="X88" s="297">
        <v>66043.799999999988</v>
      </c>
      <c r="Y88" s="297">
        <v>54386.682560000045</v>
      </c>
      <c r="Z88" s="297">
        <v>34103.402000000031</v>
      </c>
      <c r="AA88" s="297">
        <v>126425.04858800001</v>
      </c>
      <c r="AB88" s="297">
        <v>8657.1033600000083</v>
      </c>
      <c r="AC88" s="297">
        <v>22879.950719999993</v>
      </c>
      <c r="AD88" s="297">
        <v>18432.480240000004</v>
      </c>
      <c r="AE88" s="297">
        <v>63418.093708000029</v>
      </c>
      <c r="AF88" s="297">
        <v>61732.072000000044</v>
      </c>
      <c r="AG88" s="297">
        <v>169210.50553799997</v>
      </c>
      <c r="AH88" s="297">
        <v>87302.807359999919</v>
      </c>
      <c r="AI88" s="298">
        <v>85711.675137999991</v>
      </c>
    </row>
    <row r="89" spans="1:77" ht="15" thickBot="1">
      <c r="V89" s="299" t="s">
        <v>1470</v>
      </c>
      <c r="W89" s="300"/>
      <c r="X89" s="301">
        <f>+X87-X88</f>
        <v>-66043.799999999988</v>
      </c>
      <c r="Y89" s="301">
        <f t="shared" ref="Y89:AI89" si="5">+Y87-Y88</f>
        <v>-54386.682560000045</v>
      </c>
      <c r="Z89" s="301">
        <f t="shared" si="5"/>
        <v>-34103.402000000031</v>
      </c>
      <c r="AA89" s="301">
        <f t="shared" si="5"/>
        <v>-126425.04858800001</v>
      </c>
      <c r="AB89" s="301">
        <f t="shared" si="5"/>
        <v>-8657.1033600000083</v>
      </c>
      <c r="AC89" s="301">
        <f t="shared" si="5"/>
        <v>-22879.950719999993</v>
      </c>
      <c r="AD89" s="301">
        <f t="shared" si="5"/>
        <v>-18432.480240000004</v>
      </c>
      <c r="AE89" s="301">
        <f t="shared" si="5"/>
        <v>-63418.093708000029</v>
      </c>
      <c r="AF89" s="301">
        <f t="shared" si="5"/>
        <v>-61732.072000000044</v>
      </c>
      <c r="AG89" s="301">
        <f t="shared" si="5"/>
        <v>-169210.50553799997</v>
      </c>
      <c r="AH89" s="301">
        <f t="shared" si="5"/>
        <v>-87302.807359999919</v>
      </c>
      <c r="AI89" s="302">
        <f t="shared" si="5"/>
        <v>-85711.675137999991</v>
      </c>
    </row>
    <row r="90" spans="1:77" ht="15" thickBot="1">
      <c r="AI90" s="303"/>
      <c r="BY90" s="304"/>
    </row>
    <row r="91" spans="1:77" s="308" customFormat="1" ht="16.149999999999999" thickBot="1">
      <c r="A91" s="305"/>
      <c r="B91" s="306"/>
      <c r="C91" s="307"/>
      <c r="E91" s="309"/>
      <c r="H91" s="307"/>
      <c r="I91" s="307"/>
      <c r="J91" s="307"/>
      <c r="K91" s="307"/>
      <c r="L91" s="307"/>
      <c r="M91" s="307"/>
      <c r="N91" s="307"/>
      <c r="O91" s="307"/>
      <c r="P91" s="307"/>
      <c r="Q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10" t="s">
        <v>1471</v>
      </c>
      <c r="AH91" s="310"/>
      <c r="AI91" s="311">
        <f>SUM(X89:AI89)</f>
        <v>-798303.62121200003</v>
      </c>
      <c r="AN91" s="307"/>
      <c r="AO91" s="307"/>
      <c r="AP91" s="307"/>
      <c r="AQ91" s="307"/>
      <c r="AR91" s="307"/>
      <c r="AS91" s="307"/>
      <c r="AT91" s="307"/>
      <c r="AU91" s="307"/>
      <c r="AV91" s="307"/>
      <c r="AW91" s="307"/>
      <c r="BK91" s="310"/>
      <c r="BN91" s="307"/>
      <c r="BO91" s="307"/>
      <c r="BP91" s="307"/>
      <c r="BQ91" s="307"/>
      <c r="BR91" s="307"/>
      <c r="BS91" s="307"/>
      <c r="BT91" s="307"/>
      <c r="BU91" s="307"/>
      <c r="BV91" s="307"/>
      <c r="BW91" s="307"/>
      <c r="BX91" s="307"/>
      <c r="BY91" s="307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2C31-FF06-4FCB-8C92-1C4624DCDFBC}">
  <sheetPr>
    <tabColor theme="4" tint="0.59999389629810485"/>
  </sheetPr>
  <dimension ref="A1:C226"/>
  <sheetViews>
    <sheetView topLeftCell="B192" workbookViewId="0">
      <selection activeCell="F15" sqref="F15"/>
    </sheetView>
  </sheetViews>
  <sheetFormatPr defaultColWidth="8.7109375" defaultRowHeight="14.45"/>
  <cols>
    <col min="1" max="1" width="9.42578125" customWidth="1"/>
    <col min="2" max="2" width="12.42578125" customWidth="1"/>
    <col min="3" max="3" width="43" customWidth="1"/>
  </cols>
  <sheetData>
    <row r="1" spans="1:3" hidden="1">
      <c r="A1" t="s">
        <v>1472</v>
      </c>
    </row>
    <row r="2" spans="1:3" hidden="1">
      <c r="A2" t="s">
        <v>1473</v>
      </c>
    </row>
    <row r="3" spans="1:3" hidden="1">
      <c r="A3" t="s">
        <v>1355</v>
      </c>
      <c r="B3" t="s">
        <v>1474</v>
      </c>
      <c r="C3" t="s">
        <v>1386</v>
      </c>
    </row>
    <row r="4" spans="1:3">
      <c r="B4" s="312" t="s">
        <v>1359</v>
      </c>
      <c r="C4" s="313" t="s">
        <v>1475</v>
      </c>
    </row>
    <row r="5" spans="1:3" hidden="1">
      <c r="A5" t="s">
        <v>1459</v>
      </c>
    </row>
    <row r="6" spans="1:3">
      <c r="A6" t="s">
        <v>1476</v>
      </c>
      <c r="B6" s="314" t="s">
        <v>1477</v>
      </c>
      <c r="C6" s="315" t="s">
        <v>1477</v>
      </c>
    </row>
    <row r="7" spans="1:3">
      <c r="A7" t="s">
        <v>1476</v>
      </c>
      <c r="B7" s="314" t="s">
        <v>1478</v>
      </c>
      <c r="C7" s="315" t="s">
        <v>1478</v>
      </c>
    </row>
    <row r="8" spans="1:3">
      <c r="A8" t="s">
        <v>1476</v>
      </c>
      <c r="B8" s="314" t="s">
        <v>1479</v>
      </c>
      <c r="C8" s="315" t="s">
        <v>1479</v>
      </c>
    </row>
    <row r="9" spans="1:3">
      <c r="A9" t="s">
        <v>1476</v>
      </c>
      <c r="B9" s="314" t="s">
        <v>1480</v>
      </c>
      <c r="C9" s="315" t="s">
        <v>1481</v>
      </c>
    </row>
    <row r="10" spans="1:3">
      <c r="A10" t="s">
        <v>1476</v>
      </c>
      <c r="B10" s="314" t="s">
        <v>1482</v>
      </c>
      <c r="C10" s="315" t="s">
        <v>1482</v>
      </c>
    </row>
    <row r="11" spans="1:3">
      <c r="A11" t="s">
        <v>1476</v>
      </c>
      <c r="B11" s="314" t="s">
        <v>1483</v>
      </c>
      <c r="C11" s="315" t="s">
        <v>1483</v>
      </c>
    </row>
    <row r="12" spans="1:3">
      <c r="A12" t="s">
        <v>1476</v>
      </c>
      <c r="B12" s="314" t="s">
        <v>1484</v>
      </c>
      <c r="C12" s="315" t="s">
        <v>1485</v>
      </c>
    </row>
    <row r="13" spans="1:3">
      <c r="A13" t="s">
        <v>1476</v>
      </c>
      <c r="B13" s="314" t="s">
        <v>1486</v>
      </c>
      <c r="C13" s="315" t="s">
        <v>1487</v>
      </c>
    </row>
    <row r="14" spans="1:3">
      <c r="A14" t="s">
        <v>1476</v>
      </c>
      <c r="B14" s="314" t="s">
        <v>1488</v>
      </c>
      <c r="C14" s="315" t="s">
        <v>1488</v>
      </c>
    </row>
    <row r="15" spans="1:3">
      <c r="A15" t="s">
        <v>1476</v>
      </c>
      <c r="B15" s="314" t="s">
        <v>1489</v>
      </c>
      <c r="C15" s="315" t="s">
        <v>1490</v>
      </c>
    </row>
    <row r="16" spans="1:3">
      <c r="A16" t="s">
        <v>1476</v>
      </c>
      <c r="B16" s="314" t="s">
        <v>1491</v>
      </c>
      <c r="C16" s="315" t="s">
        <v>1492</v>
      </c>
    </row>
    <row r="17" spans="1:3">
      <c r="A17" t="s">
        <v>1476</v>
      </c>
      <c r="B17" s="314" t="s">
        <v>1493</v>
      </c>
      <c r="C17" s="315" t="s">
        <v>1493</v>
      </c>
    </row>
    <row r="18" spans="1:3">
      <c r="A18" t="s">
        <v>1476</v>
      </c>
      <c r="B18" s="314" t="s">
        <v>1494</v>
      </c>
      <c r="C18" s="315" t="s">
        <v>1494</v>
      </c>
    </row>
    <row r="19" spans="1:3">
      <c r="A19" t="s">
        <v>1476</v>
      </c>
      <c r="B19" s="314" t="s">
        <v>1495</v>
      </c>
      <c r="C19" s="315" t="s">
        <v>1496</v>
      </c>
    </row>
    <row r="20" spans="1:3">
      <c r="A20" t="s">
        <v>1476</v>
      </c>
      <c r="B20" s="314" t="s">
        <v>1497</v>
      </c>
      <c r="C20" s="315" t="s">
        <v>1498</v>
      </c>
    </row>
    <row r="21" spans="1:3">
      <c r="A21" t="s">
        <v>1476</v>
      </c>
      <c r="B21" s="314" t="s">
        <v>1499</v>
      </c>
      <c r="C21" s="315" t="s">
        <v>1500</v>
      </c>
    </row>
    <row r="22" spans="1:3">
      <c r="A22" t="s">
        <v>1476</v>
      </c>
      <c r="B22" s="314" t="s">
        <v>1501</v>
      </c>
      <c r="C22" s="315" t="s">
        <v>1502</v>
      </c>
    </row>
    <row r="23" spans="1:3">
      <c r="A23" t="s">
        <v>1476</v>
      </c>
      <c r="B23" s="314" t="s">
        <v>1503</v>
      </c>
      <c r="C23" s="315" t="s">
        <v>1504</v>
      </c>
    </row>
    <row r="24" spans="1:3">
      <c r="A24" t="s">
        <v>1476</v>
      </c>
      <c r="B24" s="314" t="s">
        <v>1505</v>
      </c>
      <c r="C24" s="315" t="s">
        <v>1506</v>
      </c>
    </row>
    <row r="25" spans="1:3">
      <c r="A25" t="s">
        <v>1476</v>
      </c>
      <c r="B25" s="314" t="s">
        <v>1507</v>
      </c>
      <c r="C25" s="315" t="s">
        <v>1508</v>
      </c>
    </row>
    <row r="26" spans="1:3">
      <c r="A26" t="s">
        <v>1476</v>
      </c>
      <c r="B26" s="314" t="s">
        <v>1509</v>
      </c>
      <c r="C26" s="315" t="s">
        <v>1510</v>
      </c>
    </row>
    <row r="27" spans="1:3">
      <c r="A27" t="s">
        <v>1476</v>
      </c>
      <c r="B27" s="314" t="s">
        <v>1511</v>
      </c>
      <c r="C27" s="315" t="s">
        <v>1511</v>
      </c>
    </row>
    <row r="28" spans="1:3">
      <c r="A28" t="s">
        <v>1476</v>
      </c>
      <c r="B28" s="314" t="s">
        <v>1512</v>
      </c>
      <c r="C28" s="315" t="s">
        <v>1513</v>
      </c>
    </row>
    <row r="29" spans="1:3">
      <c r="A29" t="s">
        <v>1476</v>
      </c>
      <c r="B29" s="314" t="s">
        <v>1514</v>
      </c>
      <c r="C29" s="315" t="s">
        <v>1514</v>
      </c>
    </row>
    <row r="30" spans="1:3">
      <c r="A30" t="s">
        <v>1476</v>
      </c>
      <c r="B30" s="314" t="s">
        <v>1515</v>
      </c>
      <c r="C30" s="315" t="s">
        <v>1516</v>
      </c>
    </row>
    <row r="31" spans="1:3">
      <c r="A31" t="s">
        <v>1476</v>
      </c>
      <c r="B31" s="314" t="s">
        <v>1517</v>
      </c>
      <c r="C31" s="315" t="s">
        <v>1517</v>
      </c>
    </row>
    <row r="32" spans="1:3">
      <c r="A32" t="s">
        <v>1476</v>
      </c>
      <c r="B32" s="314" t="s">
        <v>1518</v>
      </c>
      <c r="C32" s="315" t="s">
        <v>1518</v>
      </c>
    </row>
    <row r="33" spans="1:3">
      <c r="A33" t="s">
        <v>1476</v>
      </c>
      <c r="B33" s="314" t="s">
        <v>1519</v>
      </c>
      <c r="C33" s="315" t="s">
        <v>1520</v>
      </c>
    </row>
    <row r="34" spans="1:3">
      <c r="A34" t="s">
        <v>1476</v>
      </c>
      <c r="B34" s="314" t="s">
        <v>1521</v>
      </c>
      <c r="C34" s="315" t="s">
        <v>1522</v>
      </c>
    </row>
    <row r="35" spans="1:3">
      <c r="A35" t="s">
        <v>1476</v>
      </c>
      <c r="B35" s="314" t="s">
        <v>1523</v>
      </c>
      <c r="C35" s="315" t="s">
        <v>1524</v>
      </c>
    </row>
    <row r="36" spans="1:3">
      <c r="A36" t="s">
        <v>1476</v>
      </c>
      <c r="B36" s="314" t="s">
        <v>1525</v>
      </c>
      <c r="C36" s="315" t="s">
        <v>1525</v>
      </c>
    </row>
    <row r="37" spans="1:3">
      <c r="A37" t="s">
        <v>1476</v>
      </c>
      <c r="B37" s="314" t="s">
        <v>1526</v>
      </c>
      <c r="C37" s="315" t="s">
        <v>1526</v>
      </c>
    </row>
    <row r="38" spans="1:3">
      <c r="A38" t="s">
        <v>1476</v>
      </c>
      <c r="B38" s="314" t="s">
        <v>1527</v>
      </c>
      <c r="C38" s="315" t="s">
        <v>1528</v>
      </c>
    </row>
    <row r="39" spans="1:3">
      <c r="A39" t="s">
        <v>1476</v>
      </c>
      <c r="B39" s="314" t="s">
        <v>1529</v>
      </c>
      <c r="C39" s="315" t="s">
        <v>1530</v>
      </c>
    </row>
    <row r="40" spans="1:3">
      <c r="A40" t="s">
        <v>1476</v>
      </c>
      <c r="B40" s="314" t="s">
        <v>1531</v>
      </c>
      <c r="C40" s="315" t="s">
        <v>1532</v>
      </c>
    </row>
    <row r="41" spans="1:3">
      <c r="A41" t="s">
        <v>1476</v>
      </c>
      <c r="B41" s="314" t="s">
        <v>1533</v>
      </c>
      <c r="C41" s="315" t="s">
        <v>1534</v>
      </c>
    </row>
    <row r="42" spans="1:3">
      <c r="A42" t="s">
        <v>1476</v>
      </c>
      <c r="B42" s="314" t="s">
        <v>1535</v>
      </c>
      <c r="C42" s="315" t="s">
        <v>1535</v>
      </c>
    </row>
    <row r="43" spans="1:3">
      <c r="A43" t="s">
        <v>1476</v>
      </c>
      <c r="B43" s="314" t="s">
        <v>1536</v>
      </c>
      <c r="C43" s="315" t="s">
        <v>1536</v>
      </c>
    </row>
    <row r="44" spans="1:3">
      <c r="A44" t="s">
        <v>1476</v>
      </c>
      <c r="B44" s="314" t="s">
        <v>1537</v>
      </c>
      <c r="C44" s="315" t="s">
        <v>1537</v>
      </c>
    </row>
    <row r="45" spans="1:3">
      <c r="A45" t="s">
        <v>1476</v>
      </c>
      <c r="B45" s="314" t="s">
        <v>1538</v>
      </c>
      <c r="C45" s="315" t="s">
        <v>1539</v>
      </c>
    </row>
    <row r="46" spans="1:3">
      <c r="A46" t="s">
        <v>1476</v>
      </c>
      <c r="B46" s="314" t="s">
        <v>1540</v>
      </c>
      <c r="C46" s="315" t="s">
        <v>1540</v>
      </c>
    </row>
    <row r="47" spans="1:3">
      <c r="A47" t="s">
        <v>1476</v>
      </c>
      <c r="B47" s="314" t="s">
        <v>1541</v>
      </c>
      <c r="C47" s="315" t="s">
        <v>1542</v>
      </c>
    </row>
    <row r="48" spans="1:3">
      <c r="A48" t="s">
        <v>1476</v>
      </c>
      <c r="B48" s="314" t="s">
        <v>1543</v>
      </c>
      <c r="C48" s="315" t="s">
        <v>1544</v>
      </c>
    </row>
    <row r="49" spans="1:3">
      <c r="A49" t="s">
        <v>1476</v>
      </c>
      <c r="B49" s="314" t="s">
        <v>1545</v>
      </c>
      <c r="C49" s="315" t="s">
        <v>1545</v>
      </c>
    </row>
    <row r="50" spans="1:3">
      <c r="A50" t="s">
        <v>1476</v>
      </c>
      <c r="B50" s="314" t="s">
        <v>1546</v>
      </c>
      <c r="C50" s="315" t="s">
        <v>1546</v>
      </c>
    </row>
    <row r="51" spans="1:3">
      <c r="A51" t="s">
        <v>1476</v>
      </c>
      <c r="B51" s="314" t="s">
        <v>1547</v>
      </c>
      <c r="C51" s="315" t="s">
        <v>1547</v>
      </c>
    </row>
    <row r="52" spans="1:3">
      <c r="A52" t="s">
        <v>1476</v>
      </c>
      <c r="B52" s="314" t="s">
        <v>1548</v>
      </c>
      <c r="C52" s="315" t="s">
        <v>1549</v>
      </c>
    </row>
    <row r="53" spans="1:3">
      <c r="A53" t="s">
        <v>1476</v>
      </c>
      <c r="B53" s="314" t="s">
        <v>1550</v>
      </c>
      <c r="C53" s="315" t="s">
        <v>1550</v>
      </c>
    </row>
    <row r="54" spans="1:3">
      <c r="A54" t="s">
        <v>1476</v>
      </c>
      <c r="B54" s="314" t="s">
        <v>1551</v>
      </c>
      <c r="C54" s="315" t="s">
        <v>1551</v>
      </c>
    </row>
    <row r="55" spans="1:3">
      <c r="A55" t="s">
        <v>1476</v>
      </c>
      <c r="B55" s="314" t="s">
        <v>1552</v>
      </c>
      <c r="C55" s="315" t="s">
        <v>1553</v>
      </c>
    </row>
    <row r="56" spans="1:3">
      <c r="A56" t="s">
        <v>1476</v>
      </c>
      <c r="B56" s="314" t="s">
        <v>1554</v>
      </c>
      <c r="C56" s="315" t="s">
        <v>1555</v>
      </c>
    </row>
    <row r="57" spans="1:3">
      <c r="A57" t="s">
        <v>1476</v>
      </c>
      <c r="B57" s="314" t="s">
        <v>1556</v>
      </c>
      <c r="C57" s="315" t="s">
        <v>1557</v>
      </c>
    </row>
    <row r="58" spans="1:3">
      <c r="A58" t="s">
        <v>1476</v>
      </c>
      <c r="B58" s="314" t="s">
        <v>1558</v>
      </c>
      <c r="C58" s="315" t="s">
        <v>1559</v>
      </c>
    </row>
    <row r="59" spans="1:3">
      <c r="A59" t="s">
        <v>1476</v>
      </c>
      <c r="B59" s="314" t="s">
        <v>1560</v>
      </c>
      <c r="C59" s="315" t="s">
        <v>1561</v>
      </c>
    </row>
    <row r="60" spans="1:3">
      <c r="A60" t="s">
        <v>1476</v>
      </c>
      <c r="B60" s="314" t="s">
        <v>1562</v>
      </c>
      <c r="C60" s="315" t="s">
        <v>1563</v>
      </c>
    </row>
    <row r="61" spans="1:3">
      <c r="A61" t="s">
        <v>1476</v>
      </c>
      <c r="B61" s="314" t="s">
        <v>1564</v>
      </c>
      <c r="C61" s="315" t="s">
        <v>1565</v>
      </c>
    </row>
    <row r="62" spans="1:3">
      <c r="A62" t="s">
        <v>1476</v>
      </c>
      <c r="B62" s="314" t="s">
        <v>1566</v>
      </c>
      <c r="C62" s="315" t="s">
        <v>1566</v>
      </c>
    </row>
    <row r="63" spans="1:3">
      <c r="A63" t="s">
        <v>1476</v>
      </c>
      <c r="B63" s="314" t="s">
        <v>1567</v>
      </c>
      <c r="C63" s="315" t="s">
        <v>1568</v>
      </c>
    </row>
    <row r="64" spans="1:3">
      <c r="A64" t="s">
        <v>1476</v>
      </c>
      <c r="B64" s="314" t="s">
        <v>1569</v>
      </c>
      <c r="C64" s="315" t="s">
        <v>1570</v>
      </c>
    </row>
    <row r="65" spans="1:3">
      <c r="A65" t="s">
        <v>1476</v>
      </c>
      <c r="B65" s="314" t="s">
        <v>1571</v>
      </c>
      <c r="C65" s="315" t="s">
        <v>1572</v>
      </c>
    </row>
    <row r="66" spans="1:3">
      <c r="A66" t="s">
        <v>1476</v>
      </c>
      <c r="B66" s="314" t="s">
        <v>1573</v>
      </c>
      <c r="C66" s="315" t="s">
        <v>1574</v>
      </c>
    </row>
    <row r="67" spans="1:3">
      <c r="A67" t="s">
        <v>1476</v>
      </c>
      <c r="B67" s="314" t="s">
        <v>1575</v>
      </c>
      <c r="C67" s="315" t="s">
        <v>1576</v>
      </c>
    </row>
    <row r="68" spans="1:3">
      <c r="A68" t="s">
        <v>1476</v>
      </c>
      <c r="B68" s="314" t="s">
        <v>1577</v>
      </c>
      <c r="C68" s="315" t="s">
        <v>1578</v>
      </c>
    </row>
    <row r="69" spans="1:3">
      <c r="A69" t="s">
        <v>1476</v>
      </c>
      <c r="B69" s="314" t="s">
        <v>1579</v>
      </c>
      <c r="C69" s="315" t="s">
        <v>1579</v>
      </c>
    </row>
    <row r="70" spans="1:3">
      <c r="A70" t="s">
        <v>1476</v>
      </c>
      <c r="B70" s="314" t="s">
        <v>979</v>
      </c>
      <c r="C70" s="315" t="s">
        <v>1580</v>
      </c>
    </row>
    <row r="71" spans="1:3">
      <c r="A71" t="s">
        <v>1476</v>
      </c>
      <c r="B71" s="314" t="s">
        <v>457</v>
      </c>
      <c r="C71" s="315" t="s">
        <v>457</v>
      </c>
    </row>
    <row r="72" spans="1:3">
      <c r="A72" t="s">
        <v>1476</v>
      </c>
      <c r="B72" s="314" t="s">
        <v>1581</v>
      </c>
      <c r="C72" s="315" t="s">
        <v>1582</v>
      </c>
    </row>
    <row r="73" spans="1:3">
      <c r="A73" t="s">
        <v>1476</v>
      </c>
      <c r="B73" s="314" t="s">
        <v>1229</v>
      </c>
      <c r="C73" s="315" t="s">
        <v>1229</v>
      </c>
    </row>
    <row r="74" spans="1:3">
      <c r="A74" t="s">
        <v>1476</v>
      </c>
      <c r="B74" s="314" t="s">
        <v>1583</v>
      </c>
      <c r="C74" s="315" t="s">
        <v>1584</v>
      </c>
    </row>
    <row r="75" spans="1:3">
      <c r="A75" t="s">
        <v>1476</v>
      </c>
      <c r="B75" s="314" t="s">
        <v>1198</v>
      </c>
      <c r="C75" s="315" t="s">
        <v>398</v>
      </c>
    </row>
    <row r="76" spans="1:3">
      <c r="A76" t="s">
        <v>1476</v>
      </c>
      <c r="B76" s="314" t="s">
        <v>1585</v>
      </c>
      <c r="C76" s="315" t="s">
        <v>1585</v>
      </c>
    </row>
    <row r="77" spans="1:3">
      <c r="A77" t="s">
        <v>1476</v>
      </c>
      <c r="B77" s="314" t="s">
        <v>1586</v>
      </c>
      <c r="C77" s="315" t="s">
        <v>1587</v>
      </c>
    </row>
    <row r="78" spans="1:3">
      <c r="A78" t="s">
        <v>1476</v>
      </c>
      <c r="B78" s="314" t="s">
        <v>1588</v>
      </c>
      <c r="C78" s="315" t="s">
        <v>1589</v>
      </c>
    </row>
    <row r="79" spans="1:3">
      <c r="A79" t="s">
        <v>1476</v>
      </c>
      <c r="B79" s="314" t="s">
        <v>965</v>
      </c>
      <c r="C79" s="315" t="s">
        <v>965</v>
      </c>
    </row>
    <row r="80" spans="1:3">
      <c r="A80" t="s">
        <v>1476</v>
      </c>
      <c r="B80" s="314" t="s">
        <v>1590</v>
      </c>
      <c r="C80" s="315" t="s">
        <v>1590</v>
      </c>
    </row>
    <row r="81" spans="1:3">
      <c r="A81" t="s">
        <v>1476</v>
      </c>
      <c r="B81" s="314" t="s">
        <v>1591</v>
      </c>
      <c r="C81" s="315" t="s">
        <v>1592</v>
      </c>
    </row>
    <row r="82" spans="1:3">
      <c r="A82" t="s">
        <v>1476</v>
      </c>
      <c r="B82" s="314" t="s">
        <v>1593</v>
      </c>
      <c r="C82" s="315" t="s">
        <v>1594</v>
      </c>
    </row>
    <row r="83" spans="1:3">
      <c r="A83" t="s">
        <v>1476</v>
      </c>
      <c r="B83" s="314" t="s">
        <v>1595</v>
      </c>
      <c r="C83" s="315" t="s">
        <v>1596</v>
      </c>
    </row>
    <row r="84" spans="1:3">
      <c r="A84" t="s">
        <v>1476</v>
      </c>
      <c r="B84" s="314" t="s">
        <v>1597</v>
      </c>
      <c r="C84" s="315" t="s">
        <v>1597</v>
      </c>
    </row>
    <row r="85" spans="1:3">
      <c r="A85" t="s">
        <v>1476</v>
      </c>
      <c r="B85" s="314" t="s">
        <v>1598</v>
      </c>
      <c r="C85" s="315" t="s">
        <v>1599</v>
      </c>
    </row>
    <row r="86" spans="1:3">
      <c r="A86" t="s">
        <v>1476</v>
      </c>
      <c r="B86" s="314" t="s">
        <v>1600</v>
      </c>
      <c r="C86" s="315" t="s">
        <v>1601</v>
      </c>
    </row>
    <row r="87" spans="1:3">
      <c r="A87" t="s">
        <v>1476</v>
      </c>
      <c r="B87" s="314" t="s">
        <v>1602</v>
      </c>
      <c r="C87" s="315" t="s">
        <v>1602</v>
      </c>
    </row>
    <row r="88" spans="1:3">
      <c r="A88" t="s">
        <v>1476</v>
      </c>
      <c r="B88" s="314" t="s">
        <v>1603</v>
      </c>
      <c r="C88" s="315" t="s">
        <v>1603</v>
      </c>
    </row>
    <row r="89" spans="1:3">
      <c r="A89" t="s">
        <v>1476</v>
      </c>
      <c r="B89" s="314" t="s">
        <v>1604</v>
      </c>
      <c r="C89" s="315" t="s">
        <v>1605</v>
      </c>
    </row>
    <row r="90" spans="1:3">
      <c r="A90" t="s">
        <v>1476</v>
      </c>
      <c r="B90" s="314" t="s">
        <v>1606</v>
      </c>
      <c r="C90" s="315" t="s">
        <v>1607</v>
      </c>
    </row>
    <row r="91" spans="1:3">
      <c r="A91" t="s">
        <v>1476</v>
      </c>
      <c r="B91" s="314" t="s">
        <v>1608</v>
      </c>
      <c r="C91" s="315" t="s">
        <v>1608</v>
      </c>
    </row>
    <row r="92" spans="1:3">
      <c r="A92" t="s">
        <v>1476</v>
      </c>
      <c r="B92" s="314" t="s">
        <v>1609</v>
      </c>
      <c r="C92" s="315" t="s">
        <v>1609</v>
      </c>
    </row>
    <row r="93" spans="1:3">
      <c r="A93" t="s">
        <v>1476</v>
      </c>
      <c r="B93" s="314" t="s">
        <v>1610</v>
      </c>
      <c r="C93" s="315" t="s">
        <v>1611</v>
      </c>
    </row>
    <row r="94" spans="1:3">
      <c r="A94" t="s">
        <v>1476</v>
      </c>
      <c r="B94" s="314" t="s">
        <v>1612</v>
      </c>
      <c r="C94" s="315" t="s">
        <v>1613</v>
      </c>
    </row>
    <row r="95" spans="1:3">
      <c r="A95" t="s">
        <v>1476</v>
      </c>
      <c r="B95" s="314" t="s">
        <v>1614</v>
      </c>
      <c r="C95" s="315" t="s">
        <v>1615</v>
      </c>
    </row>
    <row r="96" spans="1:3">
      <c r="A96" t="s">
        <v>1476</v>
      </c>
      <c r="B96" s="314" t="s">
        <v>1616</v>
      </c>
      <c r="C96" s="315" t="s">
        <v>1617</v>
      </c>
    </row>
    <row r="97" spans="1:3">
      <c r="A97" t="s">
        <v>1476</v>
      </c>
      <c r="B97" s="314" t="s">
        <v>1618</v>
      </c>
      <c r="C97" s="315" t="s">
        <v>1618</v>
      </c>
    </row>
    <row r="98" spans="1:3">
      <c r="A98" t="s">
        <v>1476</v>
      </c>
      <c r="B98" s="314" t="s">
        <v>1619</v>
      </c>
      <c r="C98" s="315" t="s">
        <v>1620</v>
      </c>
    </row>
    <row r="99" spans="1:3">
      <c r="A99" t="s">
        <v>1476</v>
      </c>
      <c r="B99" s="314" t="s">
        <v>1621</v>
      </c>
      <c r="C99" s="315" t="s">
        <v>1622</v>
      </c>
    </row>
    <row r="100" spans="1:3">
      <c r="A100" t="s">
        <v>1476</v>
      </c>
      <c r="B100" s="314" t="s">
        <v>1623</v>
      </c>
      <c r="C100" s="315" t="s">
        <v>1623</v>
      </c>
    </row>
    <row r="101" spans="1:3">
      <c r="A101" t="s">
        <v>1476</v>
      </c>
      <c r="B101" s="314" t="s">
        <v>1624</v>
      </c>
      <c r="C101" s="315" t="s">
        <v>1624</v>
      </c>
    </row>
    <row r="102" spans="1:3">
      <c r="A102" t="s">
        <v>1476</v>
      </c>
      <c r="B102" s="314" t="s">
        <v>1625</v>
      </c>
      <c r="C102" s="315" t="s">
        <v>1626</v>
      </c>
    </row>
    <row r="103" spans="1:3">
      <c r="A103" t="s">
        <v>1476</v>
      </c>
      <c r="B103" s="314" t="s">
        <v>1627</v>
      </c>
      <c r="C103" s="315" t="s">
        <v>1628</v>
      </c>
    </row>
    <row r="104" spans="1:3">
      <c r="A104" t="s">
        <v>1476</v>
      </c>
      <c r="B104" s="314" t="s">
        <v>1629</v>
      </c>
      <c r="C104" s="315" t="s">
        <v>1629</v>
      </c>
    </row>
    <row r="105" spans="1:3">
      <c r="A105" t="s">
        <v>1476</v>
      </c>
      <c r="B105" s="314" t="s">
        <v>1630</v>
      </c>
      <c r="C105" s="315" t="s">
        <v>1630</v>
      </c>
    </row>
    <row r="106" spans="1:3">
      <c r="A106" t="s">
        <v>1476</v>
      </c>
      <c r="B106" s="314" t="s">
        <v>1631</v>
      </c>
      <c r="C106" s="315" t="s">
        <v>1632</v>
      </c>
    </row>
    <row r="107" spans="1:3">
      <c r="A107" t="s">
        <v>1476</v>
      </c>
      <c r="B107" s="314" t="s">
        <v>1633</v>
      </c>
      <c r="C107" s="315" t="s">
        <v>1633</v>
      </c>
    </row>
    <row r="108" spans="1:3">
      <c r="A108" t="s">
        <v>1476</v>
      </c>
      <c r="B108" s="314" t="s">
        <v>1634</v>
      </c>
      <c r="C108" s="315" t="s">
        <v>1635</v>
      </c>
    </row>
    <row r="109" spans="1:3">
      <c r="A109" t="s">
        <v>1476</v>
      </c>
      <c r="B109" s="314" t="s">
        <v>1636</v>
      </c>
      <c r="C109" s="315" t="s">
        <v>1637</v>
      </c>
    </row>
    <row r="110" spans="1:3">
      <c r="A110" t="s">
        <v>1476</v>
      </c>
      <c r="B110" s="314" t="s">
        <v>1638</v>
      </c>
      <c r="C110" s="315" t="s">
        <v>1638</v>
      </c>
    </row>
    <row r="111" spans="1:3">
      <c r="A111" t="s">
        <v>1476</v>
      </c>
      <c r="B111" s="314" t="s">
        <v>1639</v>
      </c>
      <c r="C111" s="315" t="s">
        <v>1640</v>
      </c>
    </row>
    <row r="112" spans="1:3">
      <c r="A112" t="s">
        <v>1476</v>
      </c>
      <c r="B112" s="314" t="s">
        <v>1641</v>
      </c>
      <c r="C112" s="315" t="s">
        <v>1641</v>
      </c>
    </row>
    <row r="113" spans="1:3">
      <c r="A113" t="s">
        <v>1476</v>
      </c>
      <c r="B113" s="314" t="s">
        <v>1642</v>
      </c>
      <c r="C113" s="315" t="s">
        <v>1643</v>
      </c>
    </row>
    <row r="114" spans="1:3">
      <c r="A114" t="s">
        <v>1476</v>
      </c>
      <c r="B114" s="314" t="s">
        <v>1644</v>
      </c>
      <c r="C114" s="315" t="s">
        <v>1644</v>
      </c>
    </row>
    <row r="115" spans="1:3">
      <c r="A115" t="s">
        <v>1476</v>
      </c>
      <c r="B115" s="314" t="s">
        <v>1645</v>
      </c>
      <c r="C115" s="315" t="s">
        <v>1646</v>
      </c>
    </row>
    <row r="116" spans="1:3">
      <c r="A116" t="s">
        <v>1476</v>
      </c>
      <c r="B116" s="314" t="s">
        <v>1647</v>
      </c>
      <c r="C116" s="315" t="s">
        <v>1648</v>
      </c>
    </row>
    <row r="117" spans="1:3">
      <c r="A117" t="s">
        <v>1476</v>
      </c>
      <c r="B117" s="314" t="s">
        <v>1649</v>
      </c>
      <c r="C117" s="315" t="s">
        <v>1649</v>
      </c>
    </row>
    <row r="118" spans="1:3">
      <c r="A118" t="s">
        <v>1476</v>
      </c>
      <c r="B118" s="314" t="s">
        <v>1650</v>
      </c>
      <c r="C118" s="315" t="s">
        <v>1651</v>
      </c>
    </row>
    <row r="119" spans="1:3">
      <c r="A119" t="s">
        <v>1476</v>
      </c>
      <c r="B119" s="314" t="s">
        <v>1652</v>
      </c>
      <c r="C119" s="315" t="s">
        <v>1653</v>
      </c>
    </row>
    <row r="120" spans="1:3">
      <c r="A120" t="s">
        <v>1476</v>
      </c>
      <c r="B120" s="314" t="s">
        <v>1654</v>
      </c>
      <c r="C120" s="315" t="s">
        <v>1655</v>
      </c>
    </row>
    <row r="121" spans="1:3">
      <c r="A121" t="s">
        <v>1476</v>
      </c>
      <c r="B121" s="314" t="s">
        <v>1656</v>
      </c>
      <c r="C121" s="315" t="s">
        <v>1657</v>
      </c>
    </row>
    <row r="122" spans="1:3">
      <c r="A122" t="s">
        <v>1476</v>
      </c>
      <c r="B122" s="314" t="s">
        <v>1658</v>
      </c>
      <c r="C122" s="315" t="s">
        <v>1659</v>
      </c>
    </row>
    <row r="123" spans="1:3">
      <c r="A123" t="s">
        <v>1476</v>
      </c>
      <c r="B123" s="314" t="s">
        <v>1660</v>
      </c>
      <c r="C123" s="315" t="s">
        <v>1661</v>
      </c>
    </row>
    <row r="124" spans="1:3">
      <c r="A124" t="s">
        <v>1476</v>
      </c>
      <c r="B124" s="314" t="s">
        <v>1662</v>
      </c>
      <c r="C124" s="315" t="s">
        <v>1662</v>
      </c>
    </row>
    <row r="125" spans="1:3">
      <c r="A125" t="s">
        <v>1476</v>
      </c>
      <c r="B125" s="314" t="s">
        <v>1663</v>
      </c>
      <c r="C125" s="315" t="s">
        <v>1664</v>
      </c>
    </row>
    <row r="126" spans="1:3">
      <c r="A126" t="s">
        <v>1476</v>
      </c>
      <c r="B126" s="314" t="s">
        <v>1665</v>
      </c>
      <c r="C126" s="315" t="s">
        <v>1666</v>
      </c>
    </row>
    <row r="127" spans="1:3">
      <c r="A127" t="s">
        <v>1476</v>
      </c>
      <c r="B127" s="314" t="s">
        <v>1667</v>
      </c>
      <c r="C127" s="315" t="s">
        <v>1668</v>
      </c>
    </row>
    <row r="128" spans="1:3">
      <c r="A128" t="s">
        <v>1476</v>
      </c>
      <c r="B128" s="314" t="s">
        <v>1669</v>
      </c>
      <c r="C128" s="315" t="s">
        <v>1669</v>
      </c>
    </row>
    <row r="129" spans="1:3">
      <c r="A129" t="s">
        <v>1476</v>
      </c>
      <c r="B129" s="314" t="s">
        <v>1670</v>
      </c>
      <c r="C129" s="315" t="s">
        <v>1670</v>
      </c>
    </row>
    <row r="130" spans="1:3">
      <c r="A130" t="s">
        <v>1476</v>
      </c>
      <c r="B130" s="314" t="s">
        <v>1671</v>
      </c>
      <c r="C130" s="315" t="s">
        <v>1671</v>
      </c>
    </row>
    <row r="131" spans="1:3">
      <c r="A131" t="s">
        <v>1476</v>
      </c>
      <c r="B131" s="314" t="s">
        <v>1672</v>
      </c>
      <c r="C131" s="315" t="s">
        <v>1672</v>
      </c>
    </row>
    <row r="132" spans="1:3">
      <c r="A132" t="s">
        <v>1476</v>
      </c>
      <c r="B132" s="314" t="s">
        <v>1673</v>
      </c>
      <c r="C132" s="315" t="s">
        <v>1674</v>
      </c>
    </row>
    <row r="133" spans="1:3">
      <c r="A133" t="s">
        <v>1476</v>
      </c>
      <c r="B133" s="314" t="s">
        <v>1675</v>
      </c>
      <c r="C133" s="315" t="s">
        <v>1676</v>
      </c>
    </row>
    <row r="134" spans="1:3">
      <c r="A134" t="s">
        <v>1476</v>
      </c>
      <c r="B134" s="314" t="s">
        <v>1677</v>
      </c>
      <c r="C134" s="315" t="s">
        <v>1678</v>
      </c>
    </row>
    <row r="135" spans="1:3">
      <c r="A135" t="s">
        <v>1476</v>
      </c>
      <c r="B135" s="314" t="s">
        <v>1203</v>
      </c>
      <c r="C135" s="315" t="s">
        <v>1679</v>
      </c>
    </row>
    <row r="136" spans="1:3">
      <c r="A136" t="s">
        <v>1476</v>
      </c>
      <c r="B136" s="314" t="s">
        <v>1680</v>
      </c>
      <c r="C136" s="315" t="s">
        <v>1681</v>
      </c>
    </row>
    <row r="137" spans="1:3">
      <c r="A137" t="s">
        <v>1476</v>
      </c>
      <c r="B137" s="314" t="s">
        <v>1682</v>
      </c>
      <c r="C137" s="315" t="s">
        <v>1682</v>
      </c>
    </row>
    <row r="138" spans="1:3">
      <c r="A138" t="s">
        <v>1476</v>
      </c>
      <c r="B138" s="314" t="s">
        <v>1683</v>
      </c>
      <c r="C138" s="315" t="s">
        <v>1684</v>
      </c>
    </row>
    <row r="139" spans="1:3">
      <c r="A139" t="s">
        <v>1476</v>
      </c>
      <c r="B139" s="314" t="s">
        <v>1685</v>
      </c>
      <c r="C139" s="315" t="s">
        <v>1686</v>
      </c>
    </row>
    <row r="140" spans="1:3">
      <c r="A140" t="s">
        <v>1476</v>
      </c>
      <c r="B140" s="314" t="s">
        <v>1687</v>
      </c>
      <c r="C140" s="315" t="s">
        <v>1687</v>
      </c>
    </row>
    <row r="141" spans="1:3">
      <c r="A141" t="s">
        <v>1476</v>
      </c>
      <c r="B141" s="314" t="s">
        <v>1688</v>
      </c>
      <c r="C141" s="315" t="s">
        <v>1689</v>
      </c>
    </row>
    <row r="142" spans="1:3">
      <c r="A142" t="s">
        <v>1476</v>
      </c>
      <c r="B142" s="314" t="s">
        <v>1690</v>
      </c>
      <c r="C142" s="315" t="s">
        <v>1690</v>
      </c>
    </row>
    <row r="143" spans="1:3">
      <c r="A143" t="s">
        <v>1476</v>
      </c>
      <c r="B143" s="314" t="s">
        <v>1691</v>
      </c>
      <c r="C143" s="315" t="s">
        <v>1692</v>
      </c>
    </row>
    <row r="144" spans="1:3">
      <c r="A144" t="s">
        <v>1476</v>
      </c>
      <c r="B144" s="314" t="s">
        <v>1693</v>
      </c>
      <c r="C144" s="315" t="s">
        <v>1694</v>
      </c>
    </row>
    <row r="145" spans="1:3">
      <c r="A145" t="s">
        <v>1476</v>
      </c>
      <c r="B145" s="314" t="s">
        <v>1695</v>
      </c>
      <c r="C145" s="315" t="s">
        <v>1696</v>
      </c>
    </row>
    <row r="146" spans="1:3">
      <c r="A146" t="s">
        <v>1476</v>
      </c>
      <c r="B146" s="314" t="s">
        <v>1697</v>
      </c>
      <c r="C146" s="315" t="s">
        <v>1698</v>
      </c>
    </row>
    <row r="147" spans="1:3">
      <c r="A147" t="s">
        <v>1476</v>
      </c>
      <c r="B147" s="314" t="s">
        <v>1699</v>
      </c>
      <c r="C147" s="315" t="s">
        <v>1699</v>
      </c>
    </row>
    <row r="148" spans="1:3">
      <c r="A148" t="s">
        <v>1476</v>
      </c>
      <c r="B148" s="314" t="s">
        <v>1700</v>
      </c>
      <c r="C148" s="315" t="s">
        <v>1701</v>
      </c>
    </row>
    <row r="149" spans="1:3">
      <c r="A149" t="s">
        <v>1476</v>
      </c>
      <c r="B149" s="314" t="s">
        <v>1702</v>
      </c>
      <c r="C149" s="315" t="s">
        <v>1703</v>
      </c>
    </row>
    <row r="150" spans="1:3">
      <c r="A150" t="s">
        <v>1476</v>
      </c>
      <c r="B150" s="314" t="s">
        <v>1704</v>
      </c>
      <c r="C150" s="315" t="s">
        <v>1704</v>
      </c>
    </row>
    <row r="151" spans="1:3">
      <c r="A151" t="s">
        <v>1476</v>
      </c>
      <c r="B151" s="314" t="s">
        <v>1705</v>
      </c>
      <c r="C151" s="315" t="s">
        <v>1706</v>
      </c>
    </row>
    <row r="152" spans="1:3">
      <c r="A152" t="s">
        <v>1476</v>
      </c>
      <c r="B152" s="314" t="s">
        <v>1707</v>
      </c>
      <c r="C152" s="315" t="s">
        <v>1708</v>
      </c>
    </row>
    <row r="153" spans="1:3">
      <c r="A153" t="s">
        <v>1476</v>
      </c>
      <c r="B153" s="314" t="s">
        <v>1709</v>
      </c>
      <c r="C153" s="315" t="s">
        <v>1709</v>
      </c>
    </row>
    <row r="154" spans="1:3">
      <c r="A154" t="s">
        <v>1476</v>
      </c>
      <c r="B154" s="314" t="s">
        <v>1710</v>
      </c>
      <c r="C154" s="315" t="s">
        <v>1711</v>
      </c>
    </row>
    <row r="155" spans="1:3">
      <c r="A155" t="s">
        <v>1476</v>
      </c>
      <c r="B155" s="314" t="s">
        <v>1712</v>
      </c>
      <c r="C155" s="315" t="s">
        <v>1713</v>
      </c>
    </row>
    <row r="156" spans="1:3">
      <c r="A156" t="s">
        <v>1476</v>
      </c>
      <c r="B156" s="314" t="s">
        <v>1714</v>
      </c>
      <c r="C156" s="315" t="s">
        <v>1714</v>
      </c>
    </row>
    <row r="157" spans="1:3">
      <c r="A157" t="s">
        <v>1476</v>
      </c>
      <c r="B157" s="314" t="s">
        <v>1715</v>
      </c>
      <c r="C157" s="315" t="s">
        <v>1715</v>
      </c>
    </row>
    <row r="158" spans="1:3">
      <c r="A158" t="s">
        <v>1476</v>
      </c>
      <c r="B158" s="314" t="s">
        <v>1716</v>
      </c>
      <c r="C158" s="315" t="s">
        <v>1717</v>
      </c>
    </row>
    <row r="159" spans="1:3">
      <c r="A159" t="s">
        <v>1476</v>
      </c>
      <c r="B159" s="314" t="s">
        <v>1718</v>
      </c>
      <c r="C159" s="315" t="s">
        <v>1719</v>
      </c>
    </row>
    <row r="160" spans="1:3">
      <c r="A160" t="s">
        <v>1476</v>
      </c>
      <c r="B160" s="314" t="s">
        <v>1720</v>
      </c>
      <c r="C160" s="315" t="s">
        <v>1721</v>
      </c>
    </row>
    <row r="161" spans="1:3">
      <c r="A161" t="s">
        <v>1476</v>
      </c>
      <c r="B161" s="314" t="s">
        <v>1722</v>
      </c>
      <c r="C161" s="315" t="s">
        <v>1723</v>
      </c>
    </row>
    <row r="162" spans="1:3">
      <c r="A162" t="s">
        <v>1476</v>
      </c>
      <c r="B162" s="314" t="s">
        <v>1724</v>
      </c>
      <c r="C162" s="315" t="s">
        <v>1725</v>
      </c>
    </row>
    <row r="163" spans="1:3">
      <c r="A163" t="s">
        <v>1476</v>
      </c>
      <c r="B163" s="314" t="s">
        <v>1726</v>
      </c>
      <c r="C163" s="315" t="s">
        <v>1726</v>
      </c>
    </row>
    <row r="164" spans="1:3">
      <c r="A164" t="s">
        <v>1476</v>
      </c>
      <c r="B164" s="314" t="s">
        <v>1727</v>
      </c>
      <c r="C164" s="315" t="s">
        <v>1728</v>
      </c>
    </row>
    <row r="165" spans="1:3">
      <c r="A165" t="s">
        <v>1476</v>
      </c>
      <c r="B165" s="314" t="s">
        <v>1729</v>
      </c>
      <c r="C165" s="315" t="s">
        <v>1730</v>
      </c>
    </row>
    <row r="166" spans="1:3">
      <c r="A166" t="s">
        <v>1476</v>
      </c>
      <c r="B166" s="314" t="s">
        <v>1731</v>
      </c>
      <c r="C166" s="315" t="s">
        <v>1732</v>
      </c>
    </row>
    <row r="167" spans="1:3">
      <c r="A167" t="s">
        <v>1476</v>
      </c>
      <c r="B167" s="314" t="s">
        <v>1219</v>
      </c>
      <c r="C167" s="315" t="s">
        <v>1733</v>
      </c>
    </row>
    <row r="168" spans="1:3">
      <c r="A168" t="s">
        <v>1476</v>
      </c>
      <c r="B168" s="314" t="s">
        <v>1734</v>
      </c>
      <c r="C168" s="315" t="s">
        <v>1734</v>
      </c>
    </row>
    <row r="169" spans="1:3">
      <c r="A169" t="s">
        <v>1476</v>
      </c>
      <c r="B169" s="314" t="s">
        <v>1735</v>
      </c>
      <c r="C169" s="315" t="s">
        <v>1736</v>
      </c>
    </row>
    <row r="170" spans="1:3">
      <c r="A170" t="s">
        <v>1476</v>
      </c>
      <c r="B170" s="314" t="s">
        <v>1737</v>
      </c>
      <c r="C170" s="315" t="s">
        <v>1738</v>
      </c>
    </row>
    <row r="171" spans="1:3">
      <c r="A171" t="s">
        <v>1476</v>
      </c>
      <c r="B171" s="314" t="s">
        <v>1739</v>
      </c>
      <c r="C171" s="315" t="s">
        <v>1740</v>
      </c>
    </row>
    <row r="172" spans="1:3">
      <c r="A172" t="s">
        <v>1476</v>
      </c>
      <c r="B172" s="314" t="s">
        <v>1741</v>
      </c>
      <c r="C172" s="315" t="s">
        <v>1741</v>
      </c>
    </row>
    <row r="173" spans="1:3">
      <c r="A173" t="s">
        <v>1476</v>
      </c>
      <c r="B173" s="314" t="s">
        <v>1742</v>
      </c>
      <c r="C173" s="315" t="s">
        <v>1743</v>
      </c>
    </row>
    <row r="174" spans="1:3">
      <c r="A174" t="s">
        <v>1476</v>
      </c>
      <c r="B174" s="314" t="s">
        <v>1744</v>
      </c>
      <c r="C174" s="315" t="s">
        <v>1745</v>
      </c>
    </row>
    <row r="175" spans="1:3">
      <c r="A175" t="s">
        <v>1476</v>
      </c>
      <c r="B175" s="314" t="s">
        <v>1746</v>
      </c>
      <c r="C175" s="315" t="s">
        <v>1747</v>
      </c>
    </row>
    <row r="176" spans="1:3">
      <c r="A176" t="s">
        <v>1476</v>
      </c>
      <c r="B176" s="314" t="s">
        <v>1748</v>
      </c>
      <c r="C176" s="315" t="s">
        <v>1748</v>
      </c>
    </row>
    <row r="177" spans="1:3">
      <c r="A177" t="s">
        <v>1476</v>
      </c>
      <c r="B177" s="314" t="s">
        <v>1749</v>
      </c>
      <c r="C177" s="315" t="s">
        <v>1750</v>
      </c>
    </row>
    <row r="178" spans="1:3">
      <c r="A178" t="s">
        <v>1476</v>
      </c>
      <c r="B178" s="314" t="s">
        <v>1751</v>
      </c>
      <c r="C178" s="315" t="s">
        <v>1751</v>
      </c>
    </row>
    <row r="179" spans="1:3">
      <c r="A179" t="s">
        <v>1476</v>
      </c>
      <c r="B179" s="314" t="s">
        <v>1752</v>
      </c>
      <c r="C179" s="315" t="s">
        <v>1753</v>
      </c>
    </row>
    <row r="180" spans="1:3">
      <c r="A180" t="s">
        <v>1476</v>
      </c>
      <c r="B180" s="314" t="s">
        <v>1754</v>
      </c>
      <c r="C180" s="315" t="s">
        <v>1755</v>
      </c>
    </row>
    <row r="181" spans="1:3">
      <c r="A181" t="s">
        <v>1476</v>
      </c>
      <c r="B181" s="314" t="s">
        <v>185</v>
      </c>
      <c r="C181" s="315" t="s">
        <v>1756</v>
      </c>
    </row>
    <row r="182" spans="1:3">
      <c r="A182" t="s">
        <v>1476</v>
      </c>
      <c r="B182" s="314" t="s">
        <v>1757</v>
      </c>
      <c r="C182" s="315" t="s">
        <v>1757</v>
      </c>
    </row>
    <row r="183" spans="1:3">
      <c r="A183" t="s">
        <v>1476</v>
      </c>
      <c r="B183" s="314" t="s">
        <v>1758</v>
      </c>
      <c r="C183" s="315" t="s">
        <v>1758</v>
      </c>
    </row>
    <row r="184" spans="1:3">
      <c r="A184" t="s">
        <v>1476</v>
      </c>
      <c r="B184" s="314" t="s">
        <v>1759</v>
      </c>
      <c r="C184" s="315" t="s">
        <v>1759</v>
      </c>
    </row>
    <row r="185" spans="1:3">
      <c r="A185" t="s">
        <v>1476</v>
      </c>
      <c r="B185" s="314" t="s">
        <v>1760</v>
      </c>
      <c r="C185" s="315" t="s">
        <v>1761</v>
      </c>
    </row>
    <row r="186" spans="1:3">
      <c r="A186" t="s">
        <v>1476</v>
      </c>
      <c r="B186" s="314" t="s">
        <v>1762</v>
      </c>
      <c r="C186" s="315" t="s">
        <v>1762</v>
      </c>
    </row>
    <row r="187" spans="1:3">
      <c r="A187" t="s">
        <v>1476</v>
      </c>
      <c r="B187" s="314" t="s">
        <v>1763</v>
      </c>
      <c r="C187" s="315" t="s">
        <v>1764</v>
      </c>
    </row>
    <row r="188" spans="1:3">
      <c r="A188" t="s">
        <v>1476</v>
      </c>
      <c r="B188" s="314" t="s">
        <v>1765</v>
      </c>
      <c r="C188" s="315" t="s">
        <v>1765</v>
      </c>
    </row>
    <row r="189" spans="1:3">
      <c r="A189" t="s">
        <v>1476</v>
      </c>
      <c r="B189" s="314" t="s">
        <v>1766</v>
      </c>
      <c r="C189" s="315" t="s">
        <v>1767</v>
      </c>
    </row>
    <row r="190" spans="1:3">
      <c r="A190" t="s">
        <v>1476</v>
      </c>
      <c r="B190" s="314" t="s">
        <v>1768</v>
      </c>
      <c r="C190" s="315" t="s">
        <v>1768</v>
      </c>
    </row>
    <row r="191" spans="1:3">
      <c r="A191" t="s">
        <v>1476</v>
      </c>
      <c r="B191" s="314" t="s">
        <v>1223</v>
      </c>
      <c r="C191" s="315" t="s">
        <v>1223</v>
      </c>
    </row>
    <row r="192" spans="1:3">
      <c r="A192" t="s">
        <v>1476</v>
      </c>
      <c r="B192" s="314" t="s">
        <v>1769</v>
      </c>
      <c r="C192" s="315" t="s">
        <v>1769</v>
      </c>
    </row>
    <row r="193" spans="1:3">
      <c r="A193" t="s">
        <v>1476</v>
      </c>
      <c r="B193" s="314" t="s">
        <v>1770</v>
      </c>
      <c r="C193" s="315" t="s">
        <v>1771</v>
      </c>
    </row>
    <row r="194" spans="1:3">
      <c r="A194" t="s">
        <v>1476</v>
      </c>
      <c r="B194" s="314" t="s">
        <v>1772</v>
      </c>
      <c r="C194" s="315" t="s">
        <v>1773</v>
      </c>
    </row>
    <row r="195" spans="1:3">
      <c r="A195" t="s">
        <v>1476</v>
      </c>
      <c r="B195" s="314" t="s">
        <v>1774</v>
      </c>
      <c r="C195" s="315" t="s">
        <v>1775</v>
      </c>
    </row>
    <row r="196" spans="1:3">
      <c r="A196" t="s">
        <v>1476</v>
      </c>
      <c r="B196" s="314" t="s">
        <v>1776</v>
      </c>
      <c r="C196" s="315" t="s">
        <v>172</v>
      </c>
    </row>
    <row r="197" spans="1:3">
      <c r="A197" t="s">
        <v>1476</v>
      </c>
      <c r="B197" s="314" t="s">
        <v>1777</v>
      </c>
      <c r="C197" s="315" t="s">
        <v>1778</v>
      </c>
    </row>
    <row r="198" spans="1:3">
      <c r="A198" t="s">
        <v>1476</v>
      </c>
      <c r="B198" s="314" t="s">
        <v>1779</v>
      </c>
      <c r="C198" s="315" t="s">
        <v>1779</v>
      </c>
    </row>
    <row r="199" spans="1:3">
      <c r="A199" t="s">
        <v>1476</v>
      </c>
      <c r="B199" s="314" t="s">
        <v>1780</v>
      </c>
      <c r="C199" s="315" t="s">
        <v>1780</v>
      </c>
    </row>
    <row r="200" spans="1:3">
      <c r="A200" t="s">
        <v>1476</v>
      </c>
      <c r="B200" s="314" t="s">
        <v>1781</v>
      </c>
      <c r="C200" s="315" t="s">
        <v>1781</v>
      </c>
    </row>
    <row r="201" spans="1:3">
      <c r="A201" t="s">
        <v>1476</v>
      </c>
      <c r="B201" s="314" t="s">
        <v>1782</v>
      </c>
      <c r="C201" s="315" t="s">
        <v>1783</v>
      </c>
    </row>
    <row r="202" spans="1:3">
      <c r="A202" t="s">
        <v>1476</v>
      </c>
      <c r="B202" s="314" t="s">
        <v>1784</v>
      </c>
      <c r="C202" s="315" t="s">
        <v>1785</v>
      </c>
    </row>
    <row r="203" spans="1:3">
      <c r="A203" t="s">
        <v>1476</v>
      </c>
      <c r="B203" s="314" t="s">
        <v>1786</v>
      </c>
      <c r="C203" s="315" t="s">
        <v>1786</v>
      </c>
    </row>
    <row r="204" spans="1:3">
      <c r="A204" t="s">
        <v>1476</v>
      </c>
      <c r="B204" s="314" t="s">
        <v>1787</v>
      </c>
      <c r="C204" s="315" t="s">
        <v>1788</v>
      </c>
    </row>
    <row r="205" spans="1:3">
      <c r="A205" t="s">
        <v>1476</v>
      </c>
      <c r="B205" s="314" t="s">
        <v>1789</v>
      </c>
      <c r="C205" s="315" t="s">
        <v>1790</v>
      </c>
    </row>
    <row r="206" spans="1:3">
      <c r="A206" t="s">
        <v>1476</v>
      </c>
      <c r="B206" s="314" t="s">
        <v>1791</v>
      </c>
      <c r="C206" s="315" t="s">
        <v>1792</v>
      </c>
    </row>
    <row r="207" spans="1:3">
      <c r="A207" t="s">
        <v>1476</v>
      </c>
      <c r="B207" s="314" t="s">
        <v>1793</v>
      </c>
      <c r="C207" s="315" t="s">
        <v>1794</v>
      </c>
    </row>
    <row r="208" spans="1:3">
      <c r="A208" t="s">
        <v>1476</v>
      </c>
      <c r="B208" s="314" t="s">
        <v>830</v>
      </c>
      <c r="C208" s="315" t="s">
        <v>1795</v>
      </c>
    </row>
    <row r="209" spans="1:3">
      <c r="A209" t="s">
        <v>1476</v>
      </c>
      <c r="B209" s="314" t="s">
        <v>1796</v>
      </c>
      <c r="C209" s="315" t="s">
        <v>1796</v>
      </c>
    </row>
    <row r="210" spans="1:3">
      <c r="A210" t="s">
        <v>1476</v>
      </c>
      <c r="B210" s="314" t="s">
        <v>1797</v>
      </c>
      <c r="C210" s="315" t="s">
        <v>1797</v>
      </c>
    </row>
    <row r="211" spans="1:3">
      <c r="A211" t="s">
        <v>1476</v>
      </c>
      <c r="B211" s="314" t="s">
        <v>1798</v>
      </c>
      <c r="C211" s="315" t="s">
        <v>1799</v>
      </c>
    </row>
    <row r="212" spans="1:3">
      <c r="A212" t="s">
        <v>1476</v>
      </c>
      <c r="B212" s="314" t="s">
        <v>1800</v>
      </c>
      <c r="C212" s="315" t="s">
        <v>1801</v>
      </c>
    </row>
    <row r="213" spans="1:3">
      <c r="A213" t="s">
        <v>1476</v>
      </c>
      <c r="B213" s="314" t="s">
        <v>1802</v>
      </c>
      <c r="C213" s="315" t="s">
        <v>1802</v>
      </c>
    </row>
    <row r="214" spans="1:3">
      <c r="A214" t="s">
        <v>1476</v>
      </c>
      <c r="B214" s="314" t="s">
        <v>1803</v>
      </c>
      <c r="C214" s="315" t="s">
        <v>1804</v>
      </c>
    </row>
    <row r="215" spans="1:3">
      <c r="A215" t="s">
        <v>1476</v>
      </c>
      <c r="B215" s="314" t="s">
        <v>1805</v>
      </c>
      <c r="C215" s="315" t="s">
        <v>1806</v>
      </c>
    </row>
    <row r="216" spans="1:3">
      <c r="A216" t="s">
        <v>1476</v>
      </c>
      <c r="B216" s="314" t="s">
        <v>1807</v>
      </c>
      <c r="C216" s="315" t="s">
        <v>1808</v>
      </c>
    </row>
    <row r="217" spans="1:3">
      <c r="A217" t="s">
        <v>1476</v>
      </c>
      <c r="B217" s="314" t="s">
        <v>1809</v>
      </c>
      <c r="C217" s="315" t="s">
        <v>1809</v>
      </c>
    </row>
    <row r="218" spans="1:3">
      <c r="A218" t="s">
        <v>1476</v>
      </c>
      <c r="B218" s="314" t="s">
        <v>1810</v>
      </c>
      <c r="C218" s="315" t="s">
        <v>1810</v>
      </c>
    </row>
    <row r="219" spans="1:3">
      <c r="A219" t="s">
        <v>1476</v>
      </c>
      <c r="B219" s="314" t="s">
        <v>1811</v>
      </c>
      <c r="C219" s="315" t="s">
        <v>1811</v>
      </c>
    </row>
    <row r="220" spans="1:3">
      <c r="A220" t="s">
        <v>1476</v>
      </c>
      <c r="B220" s="314" t="s">
        <v>1812</v>
      </c>
      <c r="C220" s="315" t="s">
        <v>1813</v>
      </c>
    </row>
    <row r="221" spans="1:3">
      <c r="A221" t="s">
        <v>1476</v>
      </c>
      <c r="B221" s="314" t="s">
        <v>1814</v>
      </c>
      <c r="C221" s="315" t="s">
        <v>1815</v>
      </c>
    </row>
    <row r="222" spans="1:3">
      <c r="A222" t="s">
        <v>1476</v>
      </c>
      <c r="B222" s="314" t="s">
        <v>1816</v>
      </c>
      <c r="C222" s="315" t="s">
        <v>1817</v>
      </c>
    </row>
    <row r="223" spans="1:3">
      <c r="A223" t="s">
        <v>1476</v>
      </c>
      <c r="B223" s="314" t="s">
        <v>1818</v>
      </c>
      <c r="C223" s="315" t="s">
        <v>1818</v>
      </c>
    </row>
    <row r="224" spans="1:3">
      <c r="A224" t="s">
        <v>1476</v>
      </c>
      <c r="B224" s="314" t="s">
        <v>1819</v>
      </c>
      <c r="C224" s="315" t="s">
        <v>1819</v>
      </c>
    </row>
    <row r="225" spans="1:3">
      <c r="A225" t="s">
        <v>1820</v>
      </c>
      <c r="B225" s="314" t="s">
        <v>1821</v>
      </c>
      <c r="C225" s="315" t="s">
        <v>1821</v>
      </c>
    </row>
    <row r="226" spans="1:3" hidden="1">
      <c r="A226" t="s">
        <v>1459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75EC-92DF-49E6-90B5-A74E136B07C7}">
  <sheetPr>
    <tabColor theme="4" tint="0.59999389629810485"/>
  </sheetPr>
  <dimension ref="A1:C1029"/>
  <sheetViews>
    <sheetView topLeftCell="B995" workbookViewId="0">
      <selection activeCell="F15" sqref="F15"/>
    </sheetView>
  </sheetViews>
  <sheetFormatPr defaultColWidth="8.7109375" defaultRowHeight="14.45"/>
  <cols>
    <col min="1" max="1" width="9.42578125" customWidth="1"/>
    <col min="2" max="2" width="45.5703125" customWidth="1"/>
    <col min="3" max="3" width="13.42578125" customWidth="1"/>
  </cols>
  <sheetData>
    <row r="1" spans="1:3" hidden="1">
      <c r="A1" t="s">
        <v>1822</v>
      </c>
    </row>
    <row r="2" spans="1:3" hidden="1">
      <c r="A2" t="s">
        <v>1473</v>
      </c>
    </row>
    <row r="3" spans="1:3" hidden="1">
      <c r="A3" t="s">
        <v>1355</v>
      </c>
      <c r="B3" t="s">
        <v>1386</v>
      </c>
      <c r="C3" t="s">
        <v>1474</v>
      </c>
    </row>
    <row r="4" spans="1:3">
      <c r="B4" s="313" t="s">
        <v>1823</v>
      </c>
      <c r="C4" s="313" t="s">
        <v>1824</v>
      </c>
    </row>
    <row r="5" spans="1:3" hidden="1">
      <c r="A5" t="s">
        <v>1459</v>
      </c>
    </row>
    <row r="6" spans="1:3">
      <c r="A6" t="s">
        <v>1476</v>
      </c>
      <c r="B6" s="314" t="s">
        <v>1825</v>
      </c>
      <c r="C6" s="315">
        <v>2005</v>
      </c>
    </row>
    <row r="7" spans="1:3">
      <c r="A7" t="s">
        <v>1476</v>
      </c>
      <c r="B7" s="314" t="s">
        <v>1826</v>
      </c>
      <c r="C7" s="315">
        <v>2006</v>
      </c>
    </row>
    <row r="8" spans="1:3">
      <c r="A8" t="s">
        <v>1476</v>
      </c>
      <c r="B8" s="314" t="s">
        <v>1827</v>
      </c>
      <c r="C8" s="315">
        <v>2600</v>
      </c>
    </row>
    <row r="9" spans="1:3">
      <c r="A9" t="s">
        <v>1476</v>
      </c>
      <c r="B9" s="314" t="s">
        <v>1828</v>
      </c>
      <c r="C9" s="315">
        <v>2609</v>
      </c>
    </row>
    <row r="10" spans="1:3">
      <c r="A10" t="s">
        <v>1476</v>
      </c>
      <c r="B10" s="314" t="s">
        <v>1829</v>
      </c>
      <c r="C10" s="315">
        <v>2610</v>
      </c>
    </row>
    <row r="11" spans="1:3">
      <c r="A11" t="s">
        <v>1476</v>
      </c>
      <c r="B11" s="314" t="s">
        <v>1830</v>
      </c>
      <c r="C11" s="315">
        <v>2611</v>
      </c>
    </row>
    <row r="12" spans="1:3">
      <c r="A12" t="s">
        <v>1476</v>
      </c>
      <c r="B12" s="314" t="s">
        <v>1831</v>
      </c>
      <c r="C12" s="315">
        <v>2612</v>
      </c>
    </row>
    <row r="13" spans="1:3">
      <c r="A13" t="s">
        <v>1476</v>
      </c>
      <c r="B13" s="314" t="s">
        <v>1832</v>
      </c>
      <c r="C13" s="315">
        <v>2613</v>
      </c>
    </row>
    <row r="14" spans="1:3">
      <c r="A14" t="s">
        <v>1476</v>
      </c>
      <c r="B14" s="314" t="s">
        <v>1833</v>
      </c>
      <c r="C14" s="315">
        <v>2614</v>
      </c>
    </row>
    <row r="15" spans="1:3">
      <c r="A15" t="s">
        <v>1476</v>
      </c>
      <c r="B15" s="314" t="s">
        <v>1834</v>
      </c>
      <c r="C15" s="315">
        <v>2615</v>
      </c>
    </row>
    <row r="16" spans="1:3">
      <c r="A16" t="s">
        <v>1476</v>
      </c>
      <c r="B16" s="314" t="s">
        <v>1835</v>
      </c>
      <c r="C16" s="315">
        <v>2616</v>
      </c>
    </row>
    <row r="17" spans="1:3">
      <c r="A17" t="s">
        <v>1476</v>
      </c>
      <c r="B17" s="314" t="s">
        <v>1836</v>
      </c>
      <c r="C17" s="315">
        <v>1149</v>
      </c>
    </row>
    <row r="18" spans="1:3">
      <c r="A18" t="s">
        <v>1476</v>
      </c>
      <c r="B18" s="314" t="s">
        <v>1837</v>
      </c>
      <c r="C18" s="315">
        <v>2007</v>
      </c>
    </row>
    <row r="19" spans="1:3">
      <c r="A19" t="s">
        <v>1476</v>
      </c>
      <c r="B19" s="314" t="s">
        <v>1837</v>
      </c>
      <c r="C19" s="315">
        <v>1360</v>
      </c>
    </row>
    <row r="20" spans="1:3">
      <c r="A20" t="s">
        <v>1476</v>
      </c>
      <c r="B20" s="314" t="s">
        <v>1838</v>
      </c>
      <c r="C20" s="315">
        <v>2008</v>
      </c>
    </row>
    <row r="21" spans="1:3">
      <c r="A21" t="s">
        <v>1476</v>
      </c>
      <c r="B21" s="314" t="s">
        <v>1839</v>
      </c>
      <c r="C21" s="315">
        <v>2009</v>
      </c>
    </row>
    <row r="22" spans="1:3">
      <c r="A22" t="s">
        <v>1476</v>
      </c>
      <c r="B22" s="314" t="s">
        <v>1840</v>
      </c>
      <c r="C22" s="315">
        <v>2010</v>
      </c>
    </row>
    <row r="23" spans="1:3">
      <c r="A23" t="s">
        <v>1476</v>
      </c>
      <c r="B23" s="314" t="s">
        <v>1841</v>
      </c>
      <c r="C23" s="315">
        <v>1132</v>
      </c>
    </row>
    <row r="24" spans="1:3">
      <c r="A24" t="s">
        <v>1476</v>
      </c>
      <c r="B24" s="314" t="s">
        <v>1842</v>
      </c>
      <c r="C24" s="315">
        <v>2011</v>
      </c>
    </row>
    <row r="25" spans="1:3">
      <c r="A25" t="s">
        <v>1476</v>
      </c>
      <c r="B25" s="314" t="s">
        <v>1843</v>
      </c>
      <c r="C25" s="315">
        <v>2661</v>
      </c>
    </row>
    <row r="26" spans="1:3">
      <c r="A26" t="s">
        <v>1476</v>
      </c>
      <c r="B26" s="314" t="s">
        <v>1844</v>
      </c>
      <c r="C26" s="315">
        <v>2012</v>
      </c>
    </row>
    <row r="27" spans="1:3">
      <c r="A27" t="s">
        <v>1476</v>
      </c>
      <c r="B27" s="314" t="s">
        <v>1845</v>
      </c>
      <c r="C27" s="315">
        <v>1800</v>
      </c>
    </row>
    <row r="28" spans="1:3">
      <c r="A28" t="s">
        <v>1476</v>
      </c>
      <c r="B28" s="314" t="s">
        <v>1846</v>
      </c>
      <c r="C28" s="315">
        <v>1142</v>
      </c>
    </row>
    <row r="29" spans="1:3">
      <c r="A29" t="s">
        <v>1476</v>
      </c>
      <c r="B29" s="314" t="s">
        <v>1847</v>
      </c>
      <c r="C29" s="315">
        <v>2722</v>
      </c>
    </row>
    <row r="30" spans="1:3">
      <c r="A30" t="s">
        <v>1476</v>
      </c>
      <c r="B30" s="314" t="s">
        <v>1848</v>
      </c>
      <c r="C30" s="315">
        <v>2013</v>
      </c>
    </row>
    <row r="31" spans="1:3">
      <c r="A31" t="s">
        <v>1476</v>
      </c>
      <c r="B31" s="314" t="s">
        <v>1849</v>
      </c>
      <c r="C31" s="315">
        <v>1364</v>
      </c>
    </row>
    <row r="32" spans="1:3">
      <c r="A32" t="s">
        <v>1476</v>
      </c>
      <c r="B32" s="314" t="s">
        <v>1850</v>
      </c>
      <c r="C32" s="315">
        <v>2653</v>
      </c>
    </row>
    <row r="33" spans="1:3">
      <c r="A33" t="s">
        <v>1476</v>
      </c>
      <c r="B33" s="314" t="s">
        <v>1851</v>
      </c>
      <c r="C33" s="315">
        <v>1413</v>
      </c>
    </row>
    <row r="34" spans="1:3">
      <c r="A34" t="s">
        <v>1476</v>
      </c>
      <c r="B34" s="314" t="s">
        <v>1852</v>
      </c>
      <c r="C34" s="315">
        <v>1365</v>
      </c>
    </row>
    <row r="35" spans="1:3">
      <c r="A35" t="s">
        <v>1476</v>
      </c>
      <c r="B35" s="314" t="s">
        <v>1853</v>
      </c>
      <c r="C35" s="315">
        <v>2014</v>
      </c>
    </row>
    <row r="36" spans="1:3">
      <c r="A36" t="s">
        <v>1476</v>
      </c>
      <c r="B36" s="314" t="s">
        <v>1854</v>
      </c>
      <c r="C36" s="315">
        <v>1807</v>
      </c>
    </row>
    <row r="37" spans="1:3">
      <c r="A37" t="s">
        <v>1476</v>
      </c>
      <c r="B37" s="314" t="s">
        <v>1855</v>
      </c>
      <c r="C37" s="315">
        <v>2015</v>
      </c>
    </row>
    <row r="38" spans="1:3">
      <c r="A38" t="s">
        <v>1476</v>
      </c>
      <c r="B38" s="314" t="s">
        <v>1856</v>
      </c>
      <c r="C38" s="315">
        <v>2016</v>
      </c>
    </row>
    <row r="39" spans="1:3">
      <c r="A39" t="s">
        <v>1476</v>
      </c>
      <c r="B39" s="314" t="s">
        <v>1857</v>
      </c>
      <c r="C39" s="315">
        <v>2017</v>
      </c>
    </row>
    <row r="40" spans="1:3">
      <c r="A40" t="s">
        <v>1476</v>
      </c>
      <c r="B40" s="314" t="s">
        <v>1858</v>
      </c>
      <c r="C40" s="315">
        <v>2018</v>
      </c>
    </row>
    <row r="41" spans="1:3">
      <c r="A41" t="s">
        <v>1476</v>
      </c>
      <c r="B41" s="314" t="s">
        <v>1859</v>
      </c>
      <c r="C41" s="315">
        <v>1110</v>
      </c>
    </row>
    <row r="42" spans="1:3">
      <c r="A42" t="s">
        <v>1476</v>
      </c>
      <c r="B42" s="314" t="s">
        <v>1860</v>
      </c>
      <c r="C42" s="315">
        <v>1111</v>
      </c>
    </row>
    <row r="43" spans="1:3">
      <c r="A43" t="s">
        <v>1476</v>
      </c>
      <c r="B43" s="314" t="s">
        <v>1861</v>
      </c>
      <c r="C43" s="315">
        <v>2019</v>
      </c>
    </row>
    <row r="44" spans="1:3">
      <c r="A44" t="s">
        <v>1476</v>
      </c>
      <c r="B44" s="314" t="s">
        <v>1862</v>
      </c>
      <c r="C44" s="315">
        <v>2020</v>
      </c>
    </row>
    <row r="45" spans="1:3">
      <c r="A45" t="s">
        <v>1476</v>
      </c>
      <c r="B45" s="314" t="s">
        <v>1863</v>
      </c>
      <c r="C45" s="315">
        <v>2021</v>
      </c>
    </row>
    <row r="46" spans="1:3">
      <c r="A46" t="s">
        <v>1476</v>
      </c>
      <c r="B46" s="314" t="s">
        <v>1864</v>
      </c>
      <c r="C46" s="315">
        <v>2022</v>
      </c>
    </row>
    <row r="47" spans="1:3">
      <c r="A47" t="s">
        <v>1476</v>
      </c>
      <c r="B47" s="314" t="s">
        <v>1865</v>
      </c>
      <c r="C47" s="315">
        <v>2023</v>
      </c>
    </row>
    <row r="48" spans="1:3">
      <c r="A48" t="s">
        <v>1476</v>
      </c>
      <c r="B48" s="314" t="s">
        <v>1866</v>
      </c>
      <c r="C48" s="315">
        <v>2024</v>
      </c>
    </row>
    <row r="49" spans="1:3">
      <c r="A49" t="s">
        <v>1476</v>
      </c>
      <c r="B49" s="314" t="s">
        <v>1866</v>
      </c>
      <c r="C49" s="315">
        <v>1379</v>
      </c>
    </row>
    <row r="50" spans="1:3">
      <c r="A50" t="s">
        <v>1476</v>
      </c>
      <c r="B50" s="314" t="s">
        <v>1867</v>
      </c>
      <c r="C50" s="315">
        <v>2025</v>
      </c>
    </row>
    <row r="51" spans="1:3">
      <c r="A51" t="s">
        <v>1476</v>
      </c>
      <c r="B51" s="314" t="s">
        <v>1868</v>
      </c>
      <c r="C51" s="315">
        <v>2026</v>
      </c>
    </row>
    <row r="52" spans="1:3">
      <c r="A52" t="s">
        <v>1476</v>
      </c>
      <c r="B52" s="314" t="s">
        <v>1869</v>
      </c>
      <c r="C52" s="315">
        <v>2027</v>
      </c>
    </row>
    <row r="53" spans="1:3">
      <c r="A53" t="s">
        <v>1476</v>
      </c>
      <c r="B53" s="314" t="s">
        <v>1870</v>
      </c>
      <c r="C53" s="315">
        <v>2028</v>
      </c>
    </row>
    <row r="54" spans="1:3">
      <c r="A54" t="s">
        <v>1476</v>
      </c>
      <c r="B54" s="314" t="s">
        <v>1871</v>
      </c>
      <c r="C54" s="315">
        <v>2742</v>
      </c>
    </row>
    <row r="55" spans="1:3">
      <c r="A55" t="s">
        <v>1476</v>
      </c>
      <c r="B55" s="314" t="s">
        <v>1872</v>
      </c>
      <c r="C55" s="315">
        <v>2029</v>
      </c>
    </row>
    <row r="56" spans="1:3">
      <c r="A56" t="s">
        <v>1476</v>
      </c>
      <c r="B56" s="314" t="s">
        <v>1873</v>
      </c>
      <c r="C56" s="315">
        <v>2030</v>
      </c>
    </row>
    <row r="57" spans="1:3">
      <c r="A57" t="s">
        <v>1476</v>
      </c>
      <c r="B57" s="314" t="s">
        <v>1874</v>
      </c>
      <c r="C57" s="315">
        <v>2031</v>
      </c>
    </row>
    <row r="58" spans="1:3">
      <c r="A58" t="s">
        <v>1476</v>
      </c>
      <c r="B58" s="314" t="s">
        <v>1875</v>
      </c>
      <c r="C58" s="315">
        <v>2032</v>
      </c>
    </row>
    <row r="59" spans="1:3">
      <c r="A59" t="s">
        <v>1476</v>
      </c>
      <c r="B59" s="314" t="s">
        <v>1876</v>
      </c>
      <c r="C59" s="315">
        <v>1148</v>
      </c>
    </row>
    <row r="60" spans="1:3">
      <c r="A60" t="s">
        <v>1476</v>
      </c>
      <c r="B60" s="314" t="s">
        <v>1877</v>
      </c>
      <c r="C60" s="315">
        <v>2033</v>
      </c>
    </row>
    <row r="61" spans="1:3">
      <c r="A61" t="s">
        <v>1476</v>
      </c>
      <c r="B61" s="314" t="s">
        <v>1878</v>
      </c>
      <c r="C61" s="315">
        <v>1006</v>
      </c>
    </row>
    <row r="62" spans="1:3">
      <c r="A62" t="s">
        <v>1476</v>
      </c>
      <c r="B62" s="314" t="s">
        <v>1879</v>
      </c>
      <c r="C62" s="315">
        <v>2681</v>
      </c>
    </row>
    <row r="63" spans="1:3">
      <c r="A63" t="s">
        <v>1476</v>
      </c>
      <c r="B63" s="314" t="s">
        <v>1880</v>
      </c>
      <c r="C63" s="315">
        <v>2034</v>
      </c>
    </row>
    <row r="64" spans="1:3">
      <c r="A64" t="s">
        <v>1476</v>
      </c>
      <c r="B64" s="314" t="s">
        <v>1881</v>
      </c>
      <c r="C64" s="315">
        <v>1007</v>
      </c>
    </row>
    <row r="65" spans="1:3">
      <c r="A65" t="s">
        <v>1476</v>
      </c>
      <c r="B65" s="314" t="s">
        <v>1882</v>
      </c>
      <c r="C65" s="315">
        <v>1008</v>
      </c>
    </row>
    <row r="66" spans="1:3">
      <c r="A66" t="s">
        <v>1476</v>
      </c>
      <c r="B66" s="314" t="s">
        <v>1883</v>
      </c>
      <c r="C66" s="315">
        <v>2035</v>
      </c>
    </row>
    <row r="67" spans="1:3">
      <c r="A67" t="s">
        <v>1476</v>
      </c>
      <c r="B67" s="314" t="s">
        <v>1884</v>
      </c>
      <c r="C67" s="315">
        <v>2036</v>
      </c>
    </row>
    <row r="68" spans="1:3">
      <c r="A68" t="s">
        <v>1476</v>
      </c>
      <c r="B68" s="314" t="s">
        <v>1884</v>
      </c>
      <c r="C68" s="315">
        <v>1387</v>
      </c>
    </row>
    <row r="69" spans="1:3">
      <c r="A69" t="s">
        <v>1476</v>
      </c>
      <c r="B69" s="314" t="s">
        <v>1885</v>
      </c>
      <c r="C69" s="315">
        <v>2037</v>
      </c>
    </row>
    <row r="70" spans="1:3">
      <c r="A70" t="s">
        <v>1476</v>
      </c>
      <c r="B70" s="314" t="s">
        <v>1886</v>
      </c>
      <c r="C70" s="315">
        <v>1009</v>
      </c>
    </row>
    <row r="71" spans="1:3">
      <c r="A71" t="s">
        <v>1476</v>
      </c>
      <c r="B71" s="314" t="s">
        <v>1887</v>
      </c>
      <c r="C71" s="315">
        <v>1010</v>
      </c>
    </row>
    <row r="72" spans="1:3">
      <c r="A72" t="s">
        <v>1476</v>
      </c>
      <c r="B72" s="314" t="s">
        <v>1888</v>
      </c>
      <c r="C72" s="315">
        <v>1011</v>
      </c>
    </row>
    <row r="73" spans="1:3">
      <c r="A73" t="s">
        <v>1476</v>
      </c>
      <c r="B73" s="314" t="s">
        <v>1889</v>
      </c>
      <c r="C73" s="315">
        <v>1012</v>
      </c>
    </row>
    <row r="74" spans="1:3">
      <c r="A74" t="s">
        <v>1476</v>
      </c>
      <c r="B74" s="314" t="s">
        <v>1890</v>
      </c>
      <c r="C74" s="315">
        <v>2038</v>
      </c>
    </row>
    <row r="75" spans="1:3">
      <c r="A75" t="s">
        <v>1476</v>
      </c>
      <c r="B75" s="314" t="s">
        <v>488</v>
      </c>
      <c r="C75" s="315">
        <v>2039</v>
      </c>
    </row>
    <row r="76" spans="1:3">
      <c r="A76" t="s">
        <v>1476</v>
      </c>
      <c r="B76" s="314" t="s">
        <v>1891</v>
      </c>
      <c r="C76" s="315">
        <v>2040</v>
      </c>
    </row>
    <row r="77" spans="1:3">
      <c r="A77" t="s">
        <v>1476</v>
      </c>
      <c r="B77" s="314" t="s">
        <v>1892</v>
      </c>
      <c r="C77" s="315">
        <v>2041</v>
      </c>
    </row>
    <row r="78" spans="1:3">
      <c r="A78" t="s">
        <v>1476</v>
      </c>
      <c r="B78" s="314" t="s">
        <v>1893</v>
      </c>
      <c r="C78" s="315">
        <v>2042</v>
      </c>
    </row>
    <row r="79" spans="1:3">
      <c r="A79" t="s">
        <v>1476</v>
      </c>
      <c r="B79" s="314" t="s">
        <v>1894</v>
      </c>
      <c r="C79" s="315">
        <v>2043</v>
      </c>
    </row>
    <row r="80" spans="1:3">
      <c r="A80" t="s">
        <v>1476</v>
      </c>
      <c r="B80" s="314" t="s">
        <v>1895</v>
      </c>
      <c r="C80" s="315">
        <v>2044</v>
      </c>
    </row>
    <row r="81" spans="1:3">
      <c r="A81" t="s">
        <v>1476</v>
      </c>
      <c r="B81" s="314" t="s">
        <v>1896</v>
      </c>
      <c r="C81" s="315">
        <v>2045</v>
      </c>
    </row>
    <row r="82" spans="1:3">
      <c r="A82" t="s">
        <v>1476</v>
      </c>
      <c r="B82" s="314" t="s">
        <v>1897</v>
      </c>
      <c r="C82" s="315">
        <v>1013</v>
      </c>
    </row>
    <row r="83" spans="1:3">
      <c r="A83" t="s">
        <v>1476</v>
      </c>
      <c r="B83" s="314" t="s">
        <v>347</v>
      </c>
      <c r="C83" s="315">
        <v>2046</v>
      </c>
    </row>
    <row r="84" spans="1:3">
      <c r="A84" t="s">
        <v>1476</v>
      </c>
      <c r="B84" s="314" t="s">
        <v>1898</v>
      </c>
      <c r="C84" s="315">
        <v>1492</v>
      </c>
    </row>
    <row r="85" spans="1:3">
      <c r="A85" t="s">
        <v>1476</v>
      </c>
      <c r="B85" s="314" t="s">
        <v>1899</v>
      </c>
      <c r="C85" s="315">
        <v>2047</v>
      </c>
    </row>
    <row r="86" spans="1:3">
      <c r="A86" t="s">
        <v>1476</v>
      </c>
      <c r="B86" s="314" t="s">
        <v>1900</v>
      </c>
      <c r="C86" s="315">
        <v>1014</v>
      </c>
    </row>
    <row r="87" spans="1:3">
      <c r="A87" t="s">
        <v>1476</v>
      </c>
      <c r="B87" s="314" t="s">
        <v>1901</v>
      </c>
      <c r="C87" s="315">
        <v>2048</v>
      </c>
    </row>
    <row r="88" spans="1:3">
      <c r="A88" t="s">
        <v>1476</v>
      </c>
      <c r="B88" s="314" t="s">
        <v>1902</v>
      </c>
      <c r="C88" s="315">
        <v>1412</v>
      </c>
    </row>
    <row r="89" spans="1:3">
      <c r="A89" t="s">
        <v>1476</v>
      </c>
      <c r="B89" s="314" t="s">
        <v>1903</v>
      </c>
      <c r="C89" s="315">
        <v>2049</v>
      </c>
    </row>
    <row r="90" spans="1:3">
      <c r="A90" t="s">
        <v>1476</v>
      </c>
      <c r="B90" s="314" t="s">
        <v>1904</v>
      </c>
      <c r="C90" s="315">
        <v>1015</v>
      </c>
    </row>
    <row r="91" spans="1:3">
      <c r="A91" t="s">
        <v>1476</v>
      </c>
      <c r="B91" s="314" t="s">
        <v>1905</v>
      </c>
      <c r="C91" s="315">
        <v>2050</v>
      </c>
    </row>
    <row r="92" spans="1:3">
      <c r="A92" t="s">
        <v>1476</v>
      </c>
      <c r="B92" s="314" t="s">
        <v>1906</v>
      </c>
      <c r="C92" s="315">
        <v>2051</v>
      </c>
    </row>
    <row r="93" spans="1:3">
      <c r="A93" t="s">
        <v>1476</v>
      </c>
      <c r="B93" s="314" t="s">
        <v>1907</v>
      </c>
      <c r="C93" s="315">
        <v>2713</v>
      </c>
    </row>
    <row r="94" spans="1:3">
      <c r="A94" t="s">
        <v>1476</v>
      </c>
      <c r="B94" s="314" t="s">
        <v>1908</v>
      </c>
      <c r="C94" s="315">
        <v>2052</v>
      </c>
    </row>
    <row r="95" spans="1:3">
      <c r="A95" t="s">
        <v>1476</v>
      </c>
      <c r="B95" s="314" t="s">
        <v>1909</v>
      </c>
      <c r="C95" s="315">
        <v>1458</v>
      </c>
    </row>
    <row r="96" spans="1:3">
      <c r="A96" t="s">
        <v>1476</v>
      </c>
      <c r="B96" s="314" t="s">
        <v>1910</v>
      </c>
      <c r="C96" s="315">
        <v>2053</v>
      </c>
    </row>
    <row r="97" spans="1:3">
      <c r="A97" t="s">
        <v>1476</v>
      </c>
      <c r="B97" s="314" t="s">
        <v>1911</v>
      </c>
      <c r="C97" s="315">
        <v>1496</v>
      </c>
    </row>
    <row r="98" spans="1:3">
      <c r="A98" t="s">
        <v>1476</v>
      </c>
      <c r="B98" s="314" t="s">
        <v>1912</v>
      </c>
      <c r="C98" s="315">
        <v>2054</v>
      </c>
    </row>
    <row r="99" spans="1:3">
      <c r="A99" t="s">
        <v>1476</v>
      </c>
      <c r="B99" s="314" t="s">
        <v>1913</v>
      </c>
      <c r="C99" s="315">
        <v>2055</v>
      </c>
    </row>
    <row r="100" spans="1:3">
      <c r="A100" t="s">
        <v>1476</v>
      </c>
      <c r="B100" s="314" t="s">
        <v>1914</v>
      </c>
      <c r="C100" s="315">
        <v>2715</v>
      </c>
    </row>
    <row r="101" spans="1:3">
      <c r="A101" t="s">
        <v>1476</v>
      </c>
      <c r="B101" s="314" t="s">
        <v>1915</v>
      </c>
      <c r="C101" s="315">
        <v>1016</v>
      </c>
    </row>
    <row r="102" spans="1:3">
      <c r="A102" t="s">
        <v>1476</v>
      </c>
      <c r="B102" s="314" t="s">
        <v>1916</v>
      </c>
      <c r="C102" s="315">
        <v>2056</v>
      </c>
    </row>
    <row r="103" spans="1:3">
      <c r="A103" t="s">
        <v>1476</v>
      </c>
      <c r="B103" s="314" t="s">
        <v>1917</v>
      </c>
      <c r="C103" s="315">
        <v>1158</v>
      </c>
    </row>
    <row r="104" spans="1:3">
      <c r="A104" t="s">
        <v>1476</v>
      </c>
      <c r="B104" s="314" t="s">
        <v>1918</v>
      </c>
      <c r="C104" s="315">
        <v>1504</v>
      </c>
    </row>
    <row r="105" spans="1:3">
      <c r="A105" t="s">
        <v>1476</v>
      </c>
      <c r="B105" s="314" t="s">
        <v>1919</v>
      </c>
      <c r="C105" s="315">
        <v>2057</v>
      </c>
    </row>
    <row r="106" spans="1:3">
      <c r="A106" t="s">
        <v>1476</v>
      </c>
      <c r="B106" s="314" t="s">
        <v>1920</v>
      </c>
      <c r="C106" s="315">
        <v>2753</v>
      </c>
    </row>
    <row r="107" spans="1:3">
      <c r="A107" t="s">
        <v>1476</v>
      </c>
      <c r="B107" s="314" t="s">
        <v>1921</v>
      </c>
      <c r="C107" s="315">
        <v>1405</v>
      </c>
    </row>
    <row r="108" spans="1:3">
      <c r="A108" t="s">
        <v>1476</v>
      </c>
      <c r="B108" s="314" t="s">
        <v>1922</v>
      </c>
      <c r="C108" s="315">
        <v>2058</v>
      </c>
    </row>
    <row r="109" spans="1:3">
      <c r="A109" t="s">
        <v>1476</v>
      </c>
      <c r="B109" s="314" t="s">
        <v>1923</v>
      </c>
      <c r="C109" s="315">
        <v>2059</v>
      </c>
    </row>
    <row r="110" spans="1:3">
      <c r="A110" t="s">
        <v>1476</v>
      </c>
      <c r="B110" s="314" t="s">
        <v>1924</v>
      </c>
      <c r="C110" s="315">
        <v>2060</v>
      </c>
    </row>
    <row r="111" spans="1:3">
      <c r="A111" t="s">
        <v>1476</v>
      </c>
      <c r="B111" s="314" t="s">
        <v>1925</v>
      </c>
      <c r="C111" s="315">
        <v>2061</v>
      </c>
    </row>
    <row r="112" spans="1:3">
      <c r="A112" t="s">
        <v>1476</v>
      </c>
      <c r="B112" s="314" t="s">
        <v>1926</v>
      </c>
      <c r="C112" s="315">
        <v>2062</v>
      </c>
    </row>
    <row r="113" spans="1:3">
      <c r="A113" t="s">
        <v>1476</v>
      </c>
      <c r="B113" s="314" t="s">
        <v>1927</v>
      </c>
      <c r="C113" s="315">
        <v>2063</v>
      </c>
    </row>
    <row r="114" spans="1:3">
      <c r="A114" t="s">
        <v>1476</v>
      </c>
      <c r="B114" s="314" t="s">
        <v>1928</v>
      </c>
      <c r="C114" s="315">
        <v>1376</v>
      </c>
    </row>
    <row r="115" spans="1:3">
      <c r="A115" t="s">
        <v>1476</v>
      </c>
      <c r="B115" s="314" t="s">
        <v>1929</v>
      </c>
      <c r="C115" s="315">
        <v>2064</v>
      </c>
    </row>
    <row r="116" spans="1:3">
      <c r="A116" t="s">
        <v>1476</v>
      </c>
      <c r="B116" s="314" t="s">
        <v>1930</v>
      </c>
      <c r="C116" s="315">
        <v>2065</v>
      </c>
    </row>
    <row r="117" spans="1:3">
      <c r="A117" t="s">
        <v>1476</v>
      </c>
      <c r="B117" s="314" t="s">
        <v>1931</v>
      </c>
      <c r="C117" s="315">
        <v>1017</v>
      </c>
    </row>
    <row r="118" spans="1:3">
      <c r="A118" t="s">
        <v>1476</v>
      </c>
      <c r="B118" s="314" t="s">
        <v>1932</v>
      </c>
      <c r="C118" s="315">
        <v>2668</v>
      </c>
    </row>
    <row r="119" spans="1:3">
      <c r="A119" t="s">
        <v>1476</v>
      </c>
      <c r="B119" s="314" t="s">
        <v>1933</v>
      </c>
      <c r="C119" s="315">
        <v>1361</v>
      </c>
    </row>
    <row r="120" spans="1:3">
      <c r="A120" t="s">
        <v>1476</v>
      </c>
      <c r="B120" s="314" t="s">
        <v>1934</v>
      </c>
      <c r="C120" s="315">
        <v>2066</v>
      </c>
    </row>
    <row r="121" spans="1:3">
      <c r="A121" t="s">
        <v>1476</v>
      </c>
      <c r="B121" s="314" t="s">
        <v>1935</v>
      </c>
      <c r="C121" s="315">
        <v>1018</v>
      </c>
    </row>
    <row r="122" spans="1:3">
      <c r="A122" t="s">
        <v>1476</v>
      </c>
      <c r="B122" s="314" t="s">
        <v>1936</v>
      </c>
      <c r="C122" s="315">
        <v>1151</v>
      </c>
    </row>
    <row r="123" spans="1:3">
      <c r="A123" t="s">
        <v>1476</v>
      </c>
      <c r="B123" s="314" t="s">
        <v>1936</v>
      </c>
      <c r="C123" s="315">
        <v>1126</v>
      </c>
    </row>
    <row r="124" spans="1:3">
      <c r="A124" t="s">
        <v>1476</v>
      </c>
      <c r="B124" s="314" t="s">
        <v>1937</v>
      </c>
      <c r="C124" s="315">
        <v>1019</v>
      </c>
    </row>
    <row r="125" spans="1:3">
      <c r="A125" t="s">
        <v>1476</v>
      </c>
      <c r="B125" s="314" t="s">
        <v>1938</v>
      </c>
      <c r="C125" s="315">
        <v>1127</v>
      </c>
    </row>
    <row r="126" spans="1:3">
      <c r="A126" t="s">
        <v>1476</v>
      </c>
      <c r="B126" s="314" t="s">
        <v>1938</v>
      </c>
      <c r="C126" s="315">
        <v>1153</v>
      </c>
    </row>
    <row r="127" spans="1:3">
      <c r="A127" t="s">
        <v>1476</v>
      </c>
      <c r="B127" s="314" t="s">
        <v>1939</v>
      </c>
      <c r="C127" s="315">
        <v>2067</v>
      </c>
    </row>
    <row r="128" spans="1:3">
      <c r="A128" t="s">
        <v>1476</v>
      </c>
      <c r="B128" s="314" t="s">
        <v>1940</v>
      </c>
      <c r="C128" s="315">
        <v>1152</v>
      </c>
    </row>
    <row r="129" spans="1:3">
      <c r="A129" t="s">
        <v>1476</v>
      </c>
      <c r="B129" s="314" t="s">
        <v>1940</v>
      </c>
      <c r="C129" s="315">
        <v>1121</v>
      </c>
    </row>
    <row r="130" spans="1:3">
      <c r="A130" t="s">
        <v>1476</v>
      </c>
      <c r="B130" s="314" t="s">
        <v>1941</v>
      </c>
      <c r="C130" s="315">
        <v>1020</v>
      </c>
    </row>
    <row r="131" spans="1:3">
      <c r="A131" t="s">
        <v>1476</v>
      </c>
      <c r="B131" s="314" t="s">
        <v>1942</v>
      </c>
      <c r="C131" s="315">
        <v>2068</v>
      </c>
    </row>
    <row r="132" spans="1:3">
      <c r="A132" t="s">
        <v>1476</v>
      </c>
      <c r="B132" s="314" t="s">
        <v>1943</v>
      </c>
      <c r="C132" s="315">
        <v>1406</v>
      </c>
    </row>
    <row r="133" spans="1:3">
      <c r="A133" t="s">
        <v>1476</v>
      </c>
      <c r="B133" s="314" t="s">
        <v>1944</v>
      </c>
      <c r="C133" s="315">
        <v>1407</v>
      </c>
    </row>
    <row r="134" spans="1:3">
      <c r="A134" t="s">
        <v>1476</v>
      </c>
      <c r="B134" s="314" t="s">
        <v>1945</v>
      </c>
      <c r="C134" s="315">
        <v>2069</v>
      </c>
    </row>
    <row r="135" spans="1:3">
      <c r="A135" t="s">
        <v>1476</v>
      </c>
      <c r="B135" s="314" t="s">
        <v>1946</v>
      </c>
      <c r="C135" s="315">
        <v>2743</v>
      </c>
    </row>
    <row r="136" spans="1:3">
      <c r="A136" t="s">
        <v>1476</v>
      </c>
      <c r="B136" s="314" t="s">
        <v>1947</v>
      </c>
      <c r="C136" s="315">
        <v>2617</v>
      </c>
    </row>
    <row r="137" spans="1:3">
      <c r="A137" t="s">
        <v>1476</v>
      </c>
      <c r="B137" s="314" t="s">
        <v>1948</v>
      </c>
      <c r="C137" s="315">
        <v>2618</v>
      </c>
    </row>
    <row r="138" spans="1:3">
      <c r="A138" t="s">
        <v>1476</v>
      </c>
      <c r="B138" s="314" t="s">
        <v>1949</v>
      </c>
      <c r="C138" s="315">
        <v>2619</v>
      </c>
    </row>
    <row r="139" spans="1:3">
      <c r="A139" t="s">
        <v>1476</v>
      </c>
      <c r="B139" s="314" t="s">
        <v>1950</v>
      </c>
      <c r="C139" s="315">
        <v>2620</v>
      </c>
    </row>
    <row r="140" spans="1:3">
      <c r="A140" t="s">
        <v>1476</v>
      </c>
      <c r="B140" s="314" t="s">
        <v>1951</v>
      </c>
      <c r="C140" s="315">
        <v>2621</v>
      </c>
    </row>
    <row r="141" spans="1:3">
      <c r="A141" t="s">
        <v>1476</v>
      </c>
      <c r="B141" s="314" t="s">
        <v>1952</v>
      </c>
      <c r="C141" s="315">
        <v>2622</v>
      </c>
    </row>
    <row r="142" spans="1:3">
      <c r="A142" t="s">
        <v>1476</v>
      </c>
      <c r="B142" s="314" t="s">
        <v>1953</v>
      </c>
      <c r="C142" s="315">
        <v>2623</v>
      </c>
    </row>
    <row r="143" spans="1:3">
      <c r="A143" t="s">
        <v>1476</v>
      </c>
      <c r="B143" s="314" t="s">
        <v>1954</v>
      </c>
      <c r="C143" s="315">
        <v>2624</v>
      </c>
    </row>
    <row r="144" spans="1:3">
      <c r="A144" t="s">
        <v>1476</v>
      </c>
      <c r="B144" s="314" t="s">
        <v>1955</v>
      </c>
      <c r="C144" s="315">
        <v>2070</v>
      </c>
    </row>
    <row r="145" spans="1:3">
      <c r="A145" t="s">
        <v>1476</v>
      </c>
      <c r="B145" s="314" t="s">
        <v>1956</v>
      </c>
      <c r="C145" s="315">
        <v>2071</v>
      </c>
    </row>
    <row r="146" spans="1:3">
      <c r="A146" t="s">
        <v>1476</v>
      </c>
      <c r="B146" s="314" t="s">
        <v>1956</v>
      </c>
      <c r="C146" s="315">
        <v>1150</v>
      </c>
    </row>
    <row r="147" spans="1:3">
      <c r="A147" t="s">
        <v>1476</v>
      </c>
      <c r="B147" s="314" t="s">
        <v>1957</v>
      </c>
      <c r="C147" s="315">
        <v>1021</v>
      </c>
    </row>
    <row r="148" spans="1:3">
      <c r="A148" t="s">
        <v>1476</v>
      </c>
      <c r="B148" s="314" t="s">
        <v>1958</v>
      </c>
      <c r="C148" s="315">
        <v>1022</v>
      </c>
    </row>
    <row r="149" spans="1:3">
      <c r="A149" t="s">
        <v>1476</v>
      </c>
      <c r="B149" s="314" t="s">
        <v>1959</v>
      </c>
      <c r="C149" s="315">
        <v>2638</v>
      </c>
    </row>
    <row r="150" spans="1:3">
      <c r="A150" t="s">
        <v>1476</v>
      </c>
      <c r="B150" s="314" t="s">
        <v>1960</v>
      </c>
      <c r="C150" s="315">
        <v>2639</v>
      </c>
    </row>
    <row r="151" spans="1:3">
      <c r="A151" t="s">
        <v>1476</v>
      </c>
      <c r="B151" s="314" t="s">
        <v>1961</v>
      </c>
      <c r="C151" s="315">
        <v>2640</v>
      </c>
    </row>
    <row r="152" spans="1:3">
      <c r="A152" t="s">
        <v>1476</v>
      </c>
      <c r="B152" s="314" t="s">
        <v>1962</v>
      </c>
      <c r="C152" s="315">
        <v>1115</v>
      </c>
    </row>
    <row r="153" spans="1:3">
      <c r="A153" t="s">
        <v>1476</v>
      </c>
      <c r="B153" s="314" t="s">
        <v>1963</v>
      </c>
      <c r="C153" s="315">
        <v>2072</v>
      </c>
    </row>
    <row r="154" spans="1:3">
      <c r="A154" t="s">
        <v>1476</v>
      </c>
      <c r="B154" s="314" t="s">
        <v>1964</v>
      </c>
      <c r="C154" s="315">
        <v>2073</v>
      </c>
    </row>
    <row r="155" spans="1:3">
      <c r="A155" t="s">
        <v>1476</v>
      </c>
      <c r="B155" s="314" t="s">
        <v>1965</v>
      </c>
      <c r="C155" s="315">
        <v>2074</v>
      </c>
    </row>
    <row r="156" spans="1:3">
      <c r="A156" t="s">
        <v>1476</v>
      </c>
      <c r="B156" s="314" t="s">
        <v>1966</v>
      </c>
      <c r="C156" s="315">
        <v>1801</v>
      </c>
    </row>
    <row r="157" spans="1:3">
      <c r="A157" t="s">
        <v>1476</v>
      </c>
      <c r="B157" s="314" t="s">
        <v>1967</v>
      </c>
      <c r="C157" s="315">
        <v>2075</v>
      </c>
    </row>
    <row r="158" spans="1:3">
      <c r="A158" t="s">
        <v>1476</v>
      </c>
      <c r="B158" s="314" t="s">
        <v>1967</v>
      </c>
      <c r="C158" s="315">
        <v>1023</v>
      </c>
    </row>
    <row r="159" spans="1:3">
      <c r="A159" t="s">
        <v>1476</v>
      </c>
      <c r="B159" s="314" t="s">
        <v>1968</v>
      </c>
      <c r="C159" s="315">
        <v>2641</v>
      </c>
    </row>
    <row r="160" spans="1:3">
      <c r="A160" t="s">
        <v>1476</v>
      </c>
      <c r="B160" s="314" t="s">
        <v>1969</v>
      </c>
      <c r="C160" s="315">
        <v>1805</v>
      </c>
    </row>
    <row r="161" spans="1:3">
      <c r="A161" t="s">
        <v>1476</v>
      </c>
      <c r="B161" s="314" t="s">
        <v>1969</v>
      </c>
      <c r="C161" s="315">
        <v>1459</v>
      </c>
    </row>
    <row r="162" spans="1:3">
      <c r="A162" t="s">
        <v>1476</v>
      </c>
      <c r="B162" s="314" t="s">
        <v>73</v>
      </c>
      <c r="C162" s="315">
        <v>1352</v>
      </c>
    </row>
    <row r="163" spans="1:3">
      <c r="A163" t="s">
        <v>1476</v>
      </c>
      <c r="B163" s="314" t="s">
        <v>73</v>
      </c>
      <c r="C163" s="315">
        <v>2076</v>
      </c>
    </row>
    <row r="164" spans="1:3">
      <c r="A164" t="s">
        <v>1476</v>
      </c>
      <c r="B164" s="314" t="s">
        <v>1970</v>
      </c>
      <c r="C164" s="315">
        <v>2077</v>
      </c>
    </row>
    <row r="165" spans="1:3">
      <c r="A165" t="s">
        <v>1476</v>
      </c>
      <c r="B165" s="314" t="s">
        <v>104</v>
      </c>
      <c r="C165" s="315">
        <v>2078</v>
      </c>
    </row>
    <row r="166" spans="1:3">
      <c r="A166" t="s">
        <v>1476</v>
      </c>
      <c r="B166" s="314" t="s">
        <v>85</v>
      </c>
      <c r="C166" s="315">
        <v>2079</v>
      </c>
    </row>
    <row r="167" spans="1:3">
      <c r="A167" t="s">
        <v>1476</v>
      </c>
      <c r="B167" s="314" t="s">
        <v>1971</v>
      </c>
      <c r="C167" s="315">
        <v>2080</v>
      </c>
    </row>
    <row r="168" spans="1:3">
      <c r="A168" t="s">
        <v>1476</v>
      </c>
      <c r="B168" s="314" t="s">
        <v>1972</v>
      </c>
      <c r="C168" s="315">
        <v>2081</v>
      </c>
    </row>
    <row r="169" spans="1:3">
      <c r="A169" t="s">
        <v>1476</v>
      </c>
      <c r="B169" s="314" t="s">
        <v>1973</v>
      </c>
      <c r="C169" s="315">
        <v>2082</v>
      </c>
    </row>
    <row r="170" spans="1:3">
      <c r="A170" t="s">
        <v>1476</v>
      </c>
      <c r="B170" s="314" t="s">
        <v>1974</v>
      </c>
      <c r="C170" s="315">
        <v>2083</v>
      </c>
    </row>
    <row r="171" spans="1:3">
      <c r="A171" t="s">
        <v>1476</v>
      </c>
      <c r="B171" s="314" t="s">
        <v>1975</v>
      </c>
      <c r="C171" s="315">
        <v>2084</v>
      </c>
    </row>
    <row r="172" spans="1:3">
      <c r="A172" t="s">
        <v>1476</v>
      </c>
      <c r="B172" s="314" t="s">
        <v>117</v>
      </c>
      <c r="C172" s="315">
        <v>2085</v>
      </c>
    </row>
    <row r="173" spans="1:3">
      <c r="A173" t="s">
        <v>1476</v>
      </c>
      <c r="B173" s="314" t="s">
        <v>1976</v>
      </c>
      <c r="C173" s="315">
        <v>2086</v>
      </c>
    </row>
    <row r="174" spans="1:3">
      <c r="A174" t="s">
        <v>1476</v>
      </c>
      <c r="B174" s="314" t="s">
        <v>56</v>
      </c>
      <c r="C174" s="315">
        <v>2087</v>
      </c>
    </row>
    <row r="175" spans="1:3">
      <c r="A175" t="s">
        <v>1476</v>
      </c>
      <c r="B175" s="314" t="s">
        <v>1977</v>
      </c>
      <c r="C175" s="315">
        <v>2088</v>
      </c>
    </row>
    <row r="176" spans="1:3">
      <c r="A176" t="s">
        <v>1476</v>
      </c>
      <c r="B176" s="314" t="s">
        <v>1978</v>
      </c>
      <c r="C176" s="315">
        <v>2089</v>
      </c>
    </row>
    <row r="177" spans="1:3">
      <c r="A177" t="s">
        <v>1476</v>
      </c>
      <c r="B177" s="314" t="s">
        <v>1979</v>
      </c>
      <c r="C177" s="315">
        <v>2090</v>
      </c>
    </row>
    <row r="178" spans="1:3">
      <c r="A178" t="s">
        <v>1476</v>
      </c>
      <c r="B178" s="314" t="s">
        <v>1980</v>
      </c>
      <c r="C178" s="315">
        <v>2091</v>
      </c>
    </row>
    <row r="179" spans="1:3">
      <c r="A179" t="s">
        <v>1476</v>
      </c>
      <c r="B179" s="314" t="s">
        <v>122</v>
      </c>
      <c r="C179" s="315">
        <v>2092</v>
      </c>
    </row>
    <row r="180" spans="1:3">
      <c r="A180" t="s">
        <v>1476</v>
      </c>
      <c r="B180" s="314" t="s">
        <v>130</v>
      </c>
      <c r="C180" s="315">
        <v>2093</v>
      </c>
    </row>
    <row r="181" spans="1:3">
      <c r="A181" t="s">
        <v>1476</v>
      </c>
      <c r="B181" s="314" t="s">
        <v>130</v>
      </c>
      <c r="C181" s="315">
        <v>1075</v>
      </c>
    </row>
    <row r="182" spans="1:3">
      <c r="A182" t="s">
        <v>1476</v>
      </c>
      <c r="B182" s="314" t="s">
        <v>137</v>
      </c>
      <c r="C182" s="315">
        <v>2094</v>
      </c>
    </row>
    <row r="183" spans="1:3">
      <c r="A183" t="s">
        <v>1476</v>
      </c>
      <c r="B183" s="314" t="s">
        <v>1981</v>
      </c>
      <c r="C183" s="315">
        <v>2095</v>
      </c>
    </row>
    <row r="184" spans="1:3">
      <c r="A184" t="s">
        <v>1476</v>
      </c>
      <c r="B184" s="314" t="s">
        <v>146</v>
      </c>
      <c r="C184" s="315">
        <v>2096</v>
      </c>
    </row>
    <row r="185" spans="1:3">
      <c r="A185" t="s">
        <v>1476</v>
      </c>
      <c r="B185" s="314" t="s">
        <v>1982</v>
      </c>
      <c r="C185" s="315">
        <v>2097</v>
      </c>
    </row>
    <row r="186" spans="1:3">
      <c r="A186" t="s">
        <v>1476</v>
      </c>
      <c r="B186" s="314" t="s">
        <v>1983</v>
      </c>
      <c r="C186" s="315">
        <v>2098</v>
      </c>
    </row>
    <row r="187" spans="1:3">
      <c r="A187" t="s">
        <v>1476</v>
      </c>
      <c r="B187" s="314" t="s">
        <v>313</v>
      </c>
      <c r="C187" s="315">
        <v>2099</v>
      </c>
    </row>
    <row r="188" spans="1:3">
      <c r="A188" t="s">
        <v>1476</v>
      </c>
      <c r="B188" s="314" t="s">
        <v>1984</v>
      </c>
      <c r="C188" s="315">
        <v>2100</v>
      </c>
    </row>
    <row r="189" spans="1:3">
      <c r="A189" t="s">
        <v>1476</v>
      </c>
      <c r="B189" s="314" t="s">
        <v>235</v>
      </c>
      <c r="C189" s="315">
        <v>1357</v>
      </c>
    </row>
    <row r="190" spans="1:3">
      <c r="A190" t="s">
        <v>1476</v>
      </c>
      <c r="B190" s="314" t="s">
        <v>235</v>
      </c>
      <c r="C190" s="315">
        <v>1414</v>
      </c>
    </row>
    <row r="191" spans="1:3">
      <c r="A191" t="s">
        <v>1476</v>
      </c>
      <c r="B191" s="314" t="s">
        <v>1985</v>
      </c>
      <c r="C191" s="315">
        <v>2101</v>
      </c>
    </row>
    <row r="192" spans="1:3">
      <c r="A192" t="s">
        <v>1476</v>
      </c>
      <c r="B192" s="314" t="s">
        <v>1986</v>
      </c>
      <c r="C192" s="315">
        <v>2102</v>
      </c>
    </row>
    <row r="193" spans="1:3">
      <c r="A193" t="s">
        <v>1476</v>
      </c>
      <c r="B193" s="314" t="s">
        <v>1987</v>
      </c>
      <c r="C193" s="315">
        <v>1356</v>
      </c>
    </row>
    <row r="194" spans="1:3">
      <c r="A194" t="s">
        <v>1476</v>
      </c>
      <c r="B194" s="314" t="s">
        <v>1988</v>
      </c>
      <c r="C194" s="315">
        <v>2103</v>
      </c>
    </row>
    <row r="195" spans="1:3">
      <c r="A195" t="s">
        <v>1476</v>
      </c>
      <c r="B195" s="314" t="s">
        <v>1989</v>
      </c>
      <c r="C195" s="315">
        <v>2104</v>
      </c>
    </row>
    <row r="196" spans="1:3">
      <c r="A196" t="s">
        <v>1476</v>
      </c>
      <c r="B196" s="314" t="s">
        <v>1989</v>
      </c>
      <c r="C196" s="315">
        <v>1363</v>
      </c>
    </row>
    <row r="197" spans="1:3">
      <c r="A197" t="s">
        <v>1476</v>
      </c>
      <c r="B197" s="314" t="s">
        <v>1990</v>
      </c>
      <c r="C197" s="315">
        <v>2105</v>
      </c>
    </row>
    <row r="198" spans="1:3">
      <c r="A198" t="s">
        <v>1476</v>
      </c>
      <c r="B198" s="314" t="s">
        <v>1256</v>
      </c>
      <c r="C198" s="315">
        <v>2106</v>
      </c>
    </row>
    <row r="199" spans="1:3">
      <c r="A199" t="s">
        <v>1476</v>
      </c>
      <c r="B199" s="314" t="s">
        <v>225</v>
      </c>
      <c r="C199" s="315">
        <v>2107</v>
      </c>
    </row>
    <row r="200" spans="1:3">
      <c r="A200" t="s">
        <v>1476</v>
      </c>
      <c r="B200" s="314" t="s">
        <v>1991</v>
      </c>
      <c r="C200" s="315">
        <v>2108</v>
      </c>
    </row>
    <row r="201" spans="1:3">
      <c r="A201" t="s">
        <v>1476</v>
      </c>
      <c r="B201" s="314" t="s">
        <v>1992</v>
      </c>
      <c r="C201" s="315">
        <v>2109</v>
      </c>
    </row>
    <row r="202" spans="1:3">
      <c r="A202" t="s">
        <v>1476</v>
      </c>
      <c r="B202" s="314" t="s">
        <v>484</v>
      </c>
      <c r="C202" s="315">
        <v>2110</v>
      </c>
    </row>
    <row r="203" spans="1:3">
      <c r="A203" t="s">
        <v>1476</v>
      </c>
      <c r="B203" s="314" t="s">
        <v>484</v>
      </c>
      <c r="C203" s="315">
        <v>1353</v>
      </c>
    </row>
    <row r="204" spans="1:3">
      <c r="A204" t="s">
        <v>1476</v>
      </c>
      <c r="B204" s="314" t="s">
        <v>484</v>
      </c>
      <c r="C204" s="315">
        <v>1415</v>
      </c>
    </row>
    <row r="205" spans="1:3">
      <c r="A205" t="s">
        <v>1476</v>
      </c>
      <c r="B205" s="314" t="s">
        <v>114</v>
      </c>
      <c r="C205" s="315">
        <v>1354</v>
      </c>
    </row>
    <row r="206" spans="1:3">
      <c r="A206" t="s">
        <v>1476</v>
      </c>
      <c r="B206" s="314" t="s">
        <v>114</v>
      </c>
      <c r="C206" s="315">
        <v>2111</v>
      </c>
    </row>
    <row r="207" spans="1:3">
      <c r="A207" t="s">
        <v>1476</v>
      </c>
      <c r="B207" s="314" t="s">
        <v>1993</v>
      </c>
      <c r="C207" s="315">
        <v>2112</v>
      </c>
    </row>
    <row r="208" spans="1:3">
      <c r="A208" t="s">
        <v>1476</v>
      </c>
      <c r="B208" s="314" t="s">
        <v>1993</v>
      </c>
      <c r="C208" s="315">
        <v>1337</v>
      </c>
    </row>
    <row r="209" spans="1:3">
      <c r="A209" t="s">
        <v>1476</v>
      </c>
      <c r="B209" s="314" t="s">
        <v>1994</v>
      </c>
      <c r="C209" s="315">
        <v>2113</v>
      </c>
    </row>
    <row r="210" spans="1:3">
      <c r="A210" t="s">
        <v>1476</v>
      </c>
      <c r="B210" s="314" t="s">
        <v>1995</v>
      </c>
      <c r="C210" s="315">
        <v>2604</v>
      </c>
    </row>
    <row r="211" spans="1:3">
      <c r="A211" t="s">
        <v>1476</v>
      </c>
      <c r="B211" s="314" t="s">
        <v>1996</v>
      </c>
      <c r="C211" s="315">
        <v>2114</v>
      </c>
    </row>
    <row r="212" spans="1:3">
      <c r="A212" t="s">
        <v>1476</v>
      </c>
      <c r="B212" s="314" t="s">
        <v>1997</v>
      </c>
      <c r="C212" s="315">
        <v>2115</v>
      </c>
    </row>
    <row r="213" spans="1:3">
      <c r="A213" t="s">
        <v>1476</v>
      </c>
      <c r="B213" s="314" t="s">
        <v>1998</v>
      </c>
      <c r="C213" s="315">
        <v>2116</v>
      </c>
    </row>
    <row r="214" spans="1:3">
      <c r="A214" t="s">
        <v>1476</v>
      </c>
      <c r="B214" s="314" t="s">
        <v>1999</v>
      </c>
      <c r="C214" s="315">
        <v>1116</v>
      </c>
    </row>
    <row r="215" spans="1:3">
      <c r="A215" t="s">
        <v>1476</v>
      </c>
      <c r="B215" s="314" t="s">
        <v>2000</v>
      </c>
      <c r="C215" s="315">
        <v>2117</v>
      </c>
    </row>
    <row r="216" spans="1:3">
      <c r="A216" t="s">
        <v>1476</v>
      </c>
      <c r="B216" s="314" t="s">
        <v>2001</v>
      </c>
      <c r="C216" s="315">
        <v>2118</v>
      </c>
    </row>
    <row r="217" spans="1:3">
      <c r="A217" t="s">
        <v>1476</v>
      </c>
      <c r="B217" s="314" t="s">
        <v>2002</v>
      </c>
      <c r="C217" s="315">
        <v>2119</v>
      </c>
    </row>
    <row r="218" spans="1:3">
      <c r="A218" t="s">
        <v>1476</v>
      </c>
      <c r="B218" s="314" t="s">
        <v>2003</v>
      </c>
      <c r="C218" s="315">
        <v>2120</v>
      </c>
    </row>
    <row r="219" spans="1:3">
      <c r="A219" t="s">
        <v>1476</v>
      </c>
      <c r="B219" s="314" t="s">
        <v>2004</v>
      </c>
      <c r="C219" s="315">
        <v>1024</v>
      </c>
    </row>
    <row r="220" spans="1:3">
      <c r="A220" t="s">
        <v>1476</v>
      </c>
      <c r="B220" s="314" t="s">
        <v>2005</v>
      </c>
      <c r="C220" s="315">
        <v>1025</v>
      </c>
    </row>
    <row r="221" spans="1:3">
      <c r="A221" t="s">
        <v>1476</v>
      </c>
      <c r="B221" s="314" t="s">
        <v>2006</v>
      </c>
      <c r="C221" s="315">
        <v>1122</v>
      </c>
    </row>
    <row r="222" spans="1:3">
      <c r="A222" t="s">
        <v>1476</v>
      </c>
      <c r="B222" s="314" t="s">
        <v>2007</v>
      </c>
      <c r="C222" s="315">
        <v>1468</v>
      </c>
    </row>
    <row r="223" spans="1:3">
      <c r="A223" t="s">
        <v>1476</v>
      </c>
      <c r="B223" s="314" t="s">
        <v>2008</v>
      </c>
      <c r="C223" s="315">
        <v>2121</v>
      </c>
    </row>
    <row r="224" spans="1:3">
      <c r="A224" t="s">
        <v>1476</v>
      </c>
      <c r="B224" s="314" t="s">
        <v>2008</v>
      </c>
      <c r="C224" s="315">
        <v>2003</v>
      </c>
    </row>
    <row r="225" spans="1:3">
      <c r="A225" t="s">
        <v>1476</v>
      </c>
      <c r="B225" s="314" t="s">
        <v>2009</v>
      </c>
      <c r="C225" s="315">
        <v>2122</v>
      </c>
    </row>
    <row r="226" spans="1:3">
      <c r="A226" t="s">
        <v>1476</v>
      </c>
      <c r="B226" s="314" t="s">
        <v>2010</v>
      </c>
      <c r="C226" s="315">
        <v>2735</v>
      </c>
    </row>
    <row r="227" spans="1:3">
      <c r="A227" t="s">
        <v>1476</v>
      </c>
      <c r="B227" s="314" t="s">
        <v>2011</v>
      </c>
      <c r="C227" s="315">
        <v>2123</v>
      </c>
    </row>
    <row r="228" spans="1:3">
      <c r="A228" t="s">
        <v>1476</v>
      </c>
      <c r="B228" s="314" t="s">
        <v>2012</v>
      </c>
      <c r="C228" s="315">
        <v>1477</v>
      </c>
    </row>
    <row r="229" spans="1:3">
      <c r="A229" t="s">
        <v>1476</v>
      </c>
      <c r="B229" s="314" t="s">
        <v>2013</v>
      </c>
      <c r="C229" s="315">
        <v>1478</v>
      </c>
    </row>
    <row r="230" spans="1:3">
      <c r="A230" t="s">
        <v>1476</v>
      </c>
      <c r="B230" s="314" t="s">
        <v>2014</v>
      </c>
      <c r="C230" s="315">
        <v>2683</v>
      </c>
    </row>
    <row r="231" spans="1:3">
      <c r="A231" t="s">
        <v>1476</v>
      </c>
      <c r="B231" s="314" t="s">
        <v>2015</v>
      </c>
      <c r="C231" s="315">
        <v>2124</v>
      </c>
    </row>
    <row r="232" spans="1:3">
      <c r="A232" t="s">
        <v>1476</v>
      </c>
      <c r="B232" s="314" t="s">
        <v>2016</v>
      </c>
      <c r="C232" s="315">
        <v>2125</v>
      </c>
    </row>
    <row r="233" spans="1:3">
      <c r="A233" t="s">
        <v>1476</v>
      </c>
      <c r="B233" s="314" t="s">
        <v>2017</v>
      </c>
      <c r="C233" s="315">
        <v>2126</v>
      </c>
    </row>
    <row r="234" spans="1:3">
      <c r="A234" t="s">
        <v>1476</v>
      </c>
      <c r="B234" s="314" t="s">
        <v>2018</v>
      </c>
      <c r="C234" s="315">
        <v>2127</v>
      </c>
    </row>
    <row r="235" spans="1:3">
      <c r="A235" t="s">
        <v>1476</v>
      </c>
      <c r="B235" s="314" t="s">
        <v>2019</v>
      </c>
      <c r="C235" s="315">
        <v>2625</v>
      </c>
    </row>
    <row r="236" spans="1:3">
      <c r="A236" t="s">
        <v>1476</v>
      </c>
      <c r="B236" s="314" t="s">
        <v>2020</v>
      </c>
      <c r="C236" s="315">
        <v>2128</v>
      </c>
    </row>
    <row r="237" spans="1:3">
      <c r="A237" t="s">
        <v>1476</v>
      </c>
      <c r="B237" s="314" t="s">
        <v>2021</v>
      </c>
      <c r="C237" s="315">
        <v>2129</v>
      </c>
    </row>
    <row r="238" spans="1:3">
      <c r="A238" t="s">
        <v>1476</v>
      </c>
      <c r="B238" s="314" t="s">
        <v>2022</v>
      </c>
      <c r="C238" s="315">
        <v>2673</v>
      </c>
    </row>
    <row r="239" spans="1:3">
      <c r="A239" t="s">
        <v>1476</v>
      </c>
      <c r="B239" s="314" t="s">
        <v>2023</v>
      </c>
      <c r="C239" s="315">
        <v>2130</v>
      </c>
    </row>
    <row r="240" spans="1:3">
      <c r="A240" t="s">
        <v>1476</v>
      </c>
      <c r="B240" s="314" t="s">
        <v>2024</v>
      </c>
      <c r="C240" s="315">
        <v>2131</v>
      </c>
    </row>
    <row r="241" spans="1:3">
      <c r="A241" t="s">
        <v>1476</v>
      </c>
      <c r="B241" s="314" t="s">
        <v>2025</v>
      </c>
      <c r="C241" s="315">
        <v>2132</v>
      </c>
    </row>
    <row r="242" spans="1:3">
      <c r="A242" t="s">
        <v>1476</v>
      </c>
      <c r="B242" s="314" t="s">
        <v>2026</v>
      </c>
      <c r="C242" s="315">
        <v>2133</v>
      </c>
    </row>
    <row r="243" spans="1:3">
      <c r="A243" t="s">
        <v>1476</v>
      </c>
      <c r="B243" s="314" t="s">
        <v>2027</v>
      </c>
      <c r="C243" s="315">
        <v>2134</v>
      </c>
    </row>
    <row r="244" spans="1:3">
      <c r="A244" t="s">
        <v>1476</v>
      </c>
      <c r="B244" s="314" t="s">
        <v>2028</v>
      </c>
      <c r="C244" s="315">
        <v>1026</v>
      </c>
    </row>
    <row r="245" spans="1:3">
      <c r="A245" t="s">
        <v>1476</v>
      </c>
      <c r="B245" s="314" t="s">
        <v>2029</v>
      </c>
      <c r="C245" s="315">
        <v>2135</v>
      </c>
    </row>
    <row r="246" spans="1:3">
      <c r="A246" t="s">
        <v>1476</v>
      </c>
      <c r="B246" s="314" t="s">
        <v>2030</v>
      </c>
      <c r="C246" s="315">
        <v>2136</v>
      </c>
    </row>
    <row r="247" spans="1:3">
      <c r="A247" t="s">
        <v>1476</v>
      </c>
      <c r="B247" s="314" t="s">
        <v>2031</v>
      </c>
      <c r="C247" s="315">
        <v>2137</v>
      </c>
    </row>
    <row r="248" spans="1:3">
      <c r="A248" t="s">
        <v>1476</v>
      </c>
      <c r="B248" s="314" t="s">
        <v>2032</v>
      </c>
      <c r="C248" s="315">
        <v>2138</v>
      </c>
    </row>
    <row r="249" spans="1:3">
      <c r="A249" t="s">
        <v>1476</v>
      </c>
      <c r="B249" s="314" t="s">
        <v>2033</v>
      </c>
      <c r="C249" s="315">
        <v>2139</v>
      </c>
    </row>
    <row r="250" spans="1:3">
      <c r="A250" t="s">
        <v>1476</v>
      </c>
      <c r="B250" s="314" t="s">
        <v>2034</v>
      </c>
      <c r="C250" s="315">
        <v>1441</v>
      </c>
    </row>
    <row r="251" spans="1:3">
      <c r="A251" t="s">
        <v>1476</v>
      </c>
      <c r="B251" s="314" t="s">
        <v>2035</v>
      </c>
      <c r="C251" s="315">
        <v>2140</v>
      </c>
    </row>
    <row r="252" spans="1:3">
      <c r="A252" t="s">
        <v>1476</v>
      </c>
      <c r="B252" s="314" t="s">
        <v>2036</v>
      </c>
      <c r="C252" s="315">
        <v>2141</v>
      </c>
    </row>
    <row r="253" spans="1:3">
      <c r="A253" t="s">
        <v>1476</v>
      </c>
      <c r="B253" s="314" t="s">
        <v>2037</v>
      </c>
      <c r="C253" s="315">
        <v>2142</v>
      </c>
    </row>
    <row r="254" spans="1:3">
      <c r="A254" t="s">
        <v>1476</v>
      </c>
      <c r="B254" s="314" t="s">
        <v>2038</v>
      </c>
      <c r="C254" s="315">
        <v>2143</v>
      </c>
    </row>
    <row r="255" spans="1:3">
      <c r="A255" t="s">
        <v>1476</v>
      </c>
      <c r="B255" s="314" t="s">
        <v>2039</v>
      </c>
      <c r="C255" s="315">
        <v>2144</v>
      </c>
    </row>
    <row r="256" spans="1:3">
      <c r="A256" t="s">
        <v>1476</v>
      </c>
      <c r="B256" s="314" t="s">
        <v>2040</v>
      </c>
      <c r="C256" s="315">
        <v>2145</v>
      </c>
    </row>
    <row r="257" spans="1:3">
      <c r="A257" t="s">
        <v>1476</v>
      </c>
      <c r="B257" s="314" t="s">
        <v>2041</v>
      </c>
      <c r="C257" s="315">
        <v>2146</v>
      </c>
    </row>
    <row r="258" spans="1:3">
      <c r="A258" t="s">
        <v>1476</v>
      </c>
      <c r="B258" s="314" t="s">
        <v>2042</v>
      </c>
      <c r="C258" s="315">
        <v>2148</v>
      </c>
    </row>
    <row r="259" spans="1:3">
      <c r="A259" t="s">
        <v>1476</v>
      </c>
      <c r="B259" s="314" t="s">
        <v>2043</v>
      </c>
      <c r="C259" s="315">
        <v>2149</v>
      </c>
    </row>
    <row r="260" spans="1:3">
      <c r="A260" t="s">
        <v>1476</v>
      </c>
      <c r="B260" s="314" t="s">
        <v>2044</v>
      </c>
      <c r="C260" s="315">
        <v>2150</v>
      </c>
    </row>
    <row r="261" spans="1:3">
      <c r="A261" t="s">
        <v>1476</v>
      </c>
      <c r="B261" s="314" t="s">
        <v>2045</v>
      </c>
      <c r="C261" s="315">
        <v>2151</v>
      </c>
    </row>
    <row r="262" spans="1:3">
      <c r="A262" t="s">
        <v>1476</v>
      </c>
      <c r="B262" s="314" t="s">
        <v>2046</v>
      </c>
      <c r="C262" s="315">
        <v>2152</v>
      </c>
    </row>
    <row r="263" spans="1:3">
      <c r="A263" t="s">
        <v>1476</v>
      </c>
      <c r="B263" s="314" t="s">
        <v>2047</v>
      </c>
      <c r="C263" s="315">
        <v>2153</v>
      </c>
    </row>
    <row r="264" spans="1:3">
      <c r="A264" t="s">
        <v>1476</v>
      </c>
      <c r="B264" s="314" t="s">
        <v>2048</v>
      </c>
      <c r="C264" s="315">
        <v>2154</v>
      </c>
    </row>
    <row r="265" spans="1:3">
      <c r="A265" t="s">
        <v>1476</v>
      </c>
      <c r="B265" s="314" t="s">
        <v>2049</v>
      </c>
      <c r="C265" s="315">
        <v>2155</v>
      </c>
    </row>
    <row r="266" spans="1:3">
      <c r="A266" t="s">
        <v>1476</v>
      </c>
      <c r="B266" s="314" t="s">
        <v>2050</v>
      </c>
      <c r="C266" s="315">
        <v>2156</v>
      </c>
    </row>
    <row r="267" spans="1:3">
      <c r="A267" t="s">
        <v>1476</v>
      </c>
      <c r="B267" s="314" t="s">
        <v>2051</v>
      </c>
      <c r="C267" s="315">
        <v>1131</v>
      </c>
    </row>
    <row r="268" spans="1:3">
      <c r="A268" t="s">
        <v>1476</v>
      </c>
      <c r="B268" s="314" t="s">
        <v>2052</v>
      </c>
      <c r="C268" s="315">
        <v>2157</v>
      </c>
    </row>
    <row r="269" spans="1:3">
      <c r="A269" t="s">
        <v>1476</v>
      </c>
      <c r="B269" s="314" t="s">
        <v>2053</v>
      </c>
      <c r="C269" s="315">
        <v>2158</v>
      </c>
    </row>
    <row r="270" spans="1:3">
      <c r="A270" t="s">
        <v>1476</v>
      </c>
      <c r="B270" s="314" t="s">
        <v>2054</v>
      </c>
      <c r="C270" s="315">
        <v>2159</v>
      </c>
    </row>
    <row r="271" spans="1:3">
      <c r="A271" t="s">
        <v>1476</v>
      </c>
      <c r="B271" s="314" t="s">
        <v>2055</v>
      </c>
      <c r="C271" s="315">
        <v>2160</v>
      </c>
    </row>
    <row r="272" spans="1:3">
      <c r="A272" t="s">
        <v>1476</v>
      </c>
      <c r="B272" s="314" t="s">
        <v>2056</v>
      </c>
      <c r="C272" s="315">
        <v>2161</v>
      </c>
    </row>
    <row r="273" spans="1:3">
      <c r="A273" t="s">
        <v>1476</v>
      </c>
      <c r="B273" s="314" t="s">
        <v>2057</v>
      </c>
      <c r="C273" s="315">
        <v>1465</v>
      </c>
    </row>
    <row r="274" spans="1:3">
      <c r="A274" t="s">
        <v>1476</v>
      </c>
      <c r="B274" s="314" t="s">
        <v>2058</v>
      </c>
      <c r="C274" s="315">
        <v>2162</v>
      </c>
    </row>
    <row r="275" spans="1:3">
      <c r="A275" t="s">
        <v>1476</v>
      </c>
      <c r="B275" s="314" t="s">
        <v>2059</v>
      </c>
      <c r="C275" s="315">
        <v>2163</v>
      </c>
    </row>
    <row r="276" spans="1:3">
      <c r="A276" t="s">
        <v>1476</v>
      </c>
      <c r="B276" s="314" t="s">
        <v>2060</v>
      </c>
      <c r="C276" s="315">
        <v>2680</v>
      </c>
    </row>
    <row r="277" spans="1:3">
      <c r="A277" t="s">
        <v>1476</v>
      </c>
      <c r="B277" s="314" t="s">
        <v>2061</v>
      </c>
      <c r="C277" s="315">
        <v>2164</v>
      </c>
    </row>
    <row r="278" spans="1:3">
      <c r="A278" t="s">
        <v>1476</v>
      </c>
      <c r="B278" s="314" t="s">
        <v>2062</v>
      </c>
      <c r="C278" s="315">
        <v>2165</v>
      </c>
    </row>
    <row r="279" spans="1:3">
      <c r="A279" t="s">
        <v>1476</v>
      </c>
      <c r="B279" s="314" t="s">
        <v>2063</v>
      </c>
      <c r="C279" s="315">
        <v>2166</v>
      </c>
    </row>
    <row r="280" spans="1:3">
      <c r="A280" t="s">
        <v>1476</v>
      </c>
      <c r="B280" s="314" t="s">
        <v>2064</v>
      </c>
      <c r="C280" s="315">
        <v>2167</v>
      </c>
    </row>
    <row r="281" spans="1:3">
      <c r="A281" t="s">
        <v>1476</v>
      </c>
      <c r="B281" s="314" t="s">
        <v>2065</v>
      </c>
      <c r="C281" s="315">
        <v>2168</v>
      </c>
    </row>
    <row r="282" spans="1:3">
      <c r="A282" t="s">
        <v>1476</v>
      </c>
      <c r="B282" s="314" t="s">
        <v>2066</v>
      </c>
      <c r="C282" s="315">
        <v>1439</v>
      </c>
    </row>
    <row r="283" spans="1:3">
      <c r="A283" t="s">
        <v>1476</v>
      </c>
      <c r="B283" s="314" t="s">
        <v>2067</v>
      </c>
      <c r="C283" s="315">
        <v>2169</v>
      </c>
    </row>
    <row r="284" spans="1:3">
      <c r="A284" t="s">
        <v>1476</v>
      </c>
      <c r="B284" s="314" t="s">
        <v>2068</v>
      </c>
      <c r="C284" s="315">
        <v>1027</v>
      </c>
    </row>
    <row r="285" spans="1:3">
      <c r="A285" t="s">
        <v>1476</v>
      </c>
      <c r="B285" s="314" t="s">
        <v>2069</v>
      </c>
      <c r="C285" s="315">
        <v>1028</v>
      </c>
    </row>
    <row r="286" spans="1:3">
      <c r="A286" t="s">
        <v>1476</v>
      </c>
      <c r="B286" s="314" t="s">
        <v>2070</v>
      </c>
      <c r="C286" s="315">
        <v>2170</v>
      </c>
    </row>
    <row r="287" spans="1:3">
      <c r="A287" t="s">
        <v>1476</v>
      </c>
      <c r="B287" s="314" t="s">
        <v>2071</v>
      </c>
      <c r="C287" s="315">
        <v>1029</v>
      </c>
    </row>
    <row r="288" spans="1:3">
      <c r="A288" t="s">
        <v>1476</v>
      </c>
      <c r="B288" s="314" t="s">
        <v>2072</v>
      </c>
      <c r="C288" s="315">
        <v>2667</v>
      </c>
    </row>
    <row r="289" spans="1:3">
      <c r="A289" t="s">
        <v>1476</v>
      </c>
      <c r="B289" s="314" t="s">
        <v>2073</v>
      </c>
      <c r="C289" s="315">
        <v>2171</v>
      </c>
    </row>
    <row r="290" spans="1:3">
      <c r="A290" t="s">
        <v>1476</v>
      </c>
      <c r="B290" s="314" t="s">
        <v>2074</v>
      </c>
      <c r="C290" s="315">
        <v>2172</v>
      </c>
    </row>
    <row r="291" spans="1:3">
      <c r="A291" t="s">
        <v>1476</v>
      </c>
      <c r="B291" s="314" t="s">
        <v>318</v>
      </c>
      <c r="C291" s="315">
        <v>2173</v>
      </c>
    </row>
    <row r="292" spans="1:3">
      <c r="A292" t="s">
        <v>1476</v>
      </c>
      <c r="B292" s="314" t="s">
        <v>2075</v>
      </c>
      <c r="C292" s="315">
        <v>2174</v>
      </c>
    </row>
    <row r="293" spans="1:3">
      <c r="A293" t="s">
        <v>1476</v>
      </c>
      <c r="B293" s="314" t="s">
        <v>2076</v>
      </c>
      <c r="C293" s="315">
        <v>1156</v>
      </c>
    </row>
    <row r="294" spans="1:3">
      <c r="A294" t="s">
        <v>1476</v>
      </c>
      <c r="B294" s="314" t="s">
        <v>2077</v>
      </c>
      <c r="C294" s="315">
        <v>1130</v>
      </c>
    </row>
    <row r="295" spans="1:3">
      <c r="A295" t="s">
        <v>1476</v>
      </c>
      <c r="B295" s="314" t="s">
        <v>2078</v>
      </c>
      <c r="C295" s="315">
        <v>2628</v>
      </c>
    </row>
    <row r="296" spans="1:3">
      <c r="A296" t="s">
        <v>1476</v>
      </c>
      <c r="B296" s="314" t="s">
        <v>2079</v>
      </c>
      <c r="C296" s="315">
        <v>2629</v>
      </c>
    </row>
    <row r="297" spans="1:3">
      <c r="A297" t="s">
        <v>1476</v>
      </c>
      <c r="B297" s="314" t="s">
        <v>2080</v>
      </c>
      <c r="C297" s="315">
        <v>2630</v>
      </c>
    </row>
    <row r="298" spans="1:3">
      <c r="A298" t="s">
        <v>1476</v>
      </c>
      <c r="B298" s="314" t="s">
        <v>2081</v>
      </c>
      <c r="C298" s="315">
        <v>1403</v>
      </c>
    </row>
    <row r="299" spans="1:3">
      <c r="A299" t="s">
        <v>1476</v>
      </c>
      <c r="B299" s="314" t="s">
        <v>2082</v>
      </c>
      <c r="C299" s="315">
        <v>2175</v>
      </c>
    </row>
    <row r="300" spans="1:3">
      <c r="A300" t="s">
        <v>1476</v>
      </c>
      <c r="B300" s="314" t="s">
        <v>2083</v>
      </c>
      <c r="C300" s="315">
        <v>2176</v>
      </c>
    </row>
    <row r="301" spans="1:3">
      <c r="A301" t="s">
        <v>1476</v>
      </c>
      <c r="B301" s="314" t="s">
        <v>2084</v>
      </c>
      <c r="C301" s="315">
        <v>2177</v>
      </c>
    </row>
    <row r="302" spans="1:3">
      <c r="A302" t="s">
        <v>1476</v>
      </c>
      <c r="B302" s="314" t="s">
        <v>2085</v>
      </c>
      <c r="C302" s="315">
        <v>2178</v>
      </c>
    </row>
    <row r="303" spans="1:3">
      <c r="A303" t="s">
        <v>1476</v>
      </c>
      <c r="B303" s="314" t="s">
        <v>2086</v>
      </c>
      <c r="C303" s="315">
        <v>2179</v>
      </c>
    </row>
    <row r="304" spans="1:3">
      <c r="A304" t="s">
        <v>1476</v>
      </c>
      <c r="B304" s="314" t="s">
        <v>2087</v>
      </c>
      <c r="C304" s="315">
        <v>2297</v>
      </c>
    </row>
    <row r="305" spans="1:3">
      <c r="A305" t="s">
        <v>1476</v>
      </c>
      <c r="B305" s="314" t="s">
        <v>2088</v>
      </c>
      <c r="C305" s="315">
        <v>2180</v>
      </c>
    </row>
    <row r="306" spans="1:3">
      <c r="A306" t="s">
        <v>1476</v>
      </c>
      <c r="B306" s="314" t="s">
        <v>2089</v>
      </c>
      <c r="C306" s="315">
        <v>2704</v>
      </c>
    </row>
    <row r="307" spans="1:3">
      <c r="A307" t="s">
        <v>1476</v>
      </c>
      <c r="B307" s="314" t="s">
        <v>2090</v>
      </c>
      <c r="C307" s="315">
        <v>2678</v>
      </c>
    </row>
    <row r="308" spans="1:3">
      <c r="A308" t="s">
        <v>1476</v>
      </c>
      <c r="B308" s="314" t="s">
        <v>2091</v>
      </c>
      <c r="C308" s="315">
        <v>2181</v>
      </c>
    </row>
    <row r="309" spans="1:3">
      <c r="A309" t="s">
        <v>1476</v>
      </c>
      <c r="B309" s="314" t="s">
        <v>2092</v>
      </c>
      <c r="C309" s="315">
        <v>2182</v>
      </c>
    </row>
    <row r="310" spans="1:3">
      <c r="A310" t="s">
        <v>1476</v>
      </c>
      <c r="B310" s="314" t="s">
        <v>2093</v>
      </c>
      <c r="C310" s="315">
        <v>2651</v>
      </c>
    </row>
    <row r="311" spans="1:3">
      <c r="A311" t="s">
        <v>1476</v>
      </c>
      <c r="B311" s="314" t="s">
        <v>2094</v>
      </c>
      <c r="C311" s="315">
        <v>2183</v>
      </c>
    </row>
    <row r="312" spans="1:3">
      <c r="A312" t="s">
        <v>1476</v>
      </c>
      <c r="B312" s="314" t="s">
        <v>2095</v>
      </c>
      <c r="C312" s="315">
        <v>2184</v>
      </c>
    </row>
    <row r="313" spans="1:3">
      <c r="A313" t="s">
        <v>1476</v>
      </c>
      <c r="B313" s="314" t="s">
        <v>2096</v>
      </c>
      <c r="C313" s="315">
        <v>1134</v>
      </c>
    </row>
    <row r="314" spans="1:3">
      <c r="A314" t="s">
        <v>1476</v>
      </c>
      <c r="B314" s="314" t="s">
        <v>2097</v>
      </c>
      <c r="C314" s="315">
        <v>2185</v>
      </c>
    </row>
    <row r="315" spans="1:3">
      <c r="A315" t="s">
        <v>1476</v>
      </c>
      <c r="B315" s="314" t="s">
        <v>2098</v>
      </c>
      <c r="C315" s="315">
        <v>2186</v>
      </c>
    </row>
    <row r="316" spans="1:3">
      <c r="A316" t="s">
        <v>1476</v>
      </c>
      <c r="B316" s="314" t="s">
        <v>2099</v>
      </c>
      <c r="C316" s="315">
        <v>2187</v>
      </c>
    </row>
    <row r="317" spans="1:3">
      <c r="A317" t="s">
        <v>1476</v>
      </c>
      <c r="B317" s="314" t="s">
        <v>2100</v>
      </c>
      <c r="C317" s="315">
        <v>2705</v>
      </c>
    </row>
    <row r="318" spans="1:3">
      <c r="A318" t="s">
        <v>1476</v>
      </c>
      <c r="B318" s="314" t="s">
        <v>2101</v>
      </c>
      <c r="C318" s="315">
        <v>2188</v>
      </c>
    </row>
    <row r="319" spans="1:3">
      <c r="A319" t="s">
        <v>1476</v>
      </c>
      <c r="B319" s="314" t="s">
        <v>2102</v>
      </c>
      <c r="C319" s="315">
        <v>2189</v>
      </c>
    </row>
    <row r="320" spans="1:3">
      <c r="A320" t="s">
        <v>1476</v>
      </c>
      <c r="B320" s="314" t="s">
        <v>2103</v>
      </c>
      <c r="C320" s="315">
        <v>2190</v>
      </c>
    </row>
    <row r="321" spans="1:3">
      <c r="A321" t="s">
        <v>1476</v>
      </c>
      <c r="B321" s="314" t="s">
        <v>2104</v>
      </c>
      <c r="C321" s="315">
        <v>2191</v>
      </c>
    </row>
    <row r="322" spans="1:3">
      <c r="A322" t="s">
        <v>1476</v>
      </c>
      <c r="B322" s="314" t="s">
        <v>2105</v>
      </c>
      <c r="C322" s="315">
        <v>2192</v>
      </c>
    </row>
    <row r="323" spans="1:3">
      <c r="A323" t="s">
        <v>1476</v>
      </c>
      <c r="B323" s="314" t="s">
        <v>2106</v>
      </c>
      <c r="C323" s="315">
        <v>2193</v>
      </c>
    </row>
    <row r="324" spans="1:3">
      <c r="A324" t="s">
        <v>1476</v>
      </c>
      <c r="B324" s="314" t="s">
        <v>2107</v>
      </c>
      <c r="C324" s="315">
        <v>2194</v>
      </c>
    </row>
    <row r="325" spans="1:3">
      <c r="A325" t="s">
        <v>1476</v>
      </c>
      <c r="B325" s="314" t="s">
        <v>2108</v>
      </c>
      <c r="C325" s="315">
        <v>1141</v>
      </c>
    </row>
    <row r="326" spans="1:3">
      <c r="A326" t="s">
        <v>1476</v>
      </c>
      <c r="B326" s="314" t="s">
        <v>2109</v>
      </c>
      <c r="C326" s="315">
        <v>2195</v>
      </c>
    </row>
    <row r="327" spans="1:3">
      <c r="A327" t="s">
        <v>1476</v>
      </c>
      <c r="B327" s="314" t="s">
        <v>2110</v>
      </c>
      <c r="C327" s="315">
        <v>2196</v>
      </c>
    </row>
    <row r="328" spans="1:3">
      <c r="A328" t="s">
        <v>1476</v>
      </c>
      <c r="B328" s="314" t="s">
        <v>2111</v>
      </c>
      <c r="C328" s="315">
        <v>2197</v>
      </c>
    </row>
    <row r="329" spans="1:3">
      <c r="A329" t="s">
        <v>1476</v>
      </c>
      <c r="B329" s="314" t="s">
        <v>2112</v>
      </c>
      <c r="C329" s="315">
        <v>2694</v>
      </c>
    </row>
    <row r="330" spans="1:3">
      <c r="A330" t="s">
        <v>1476</v>
      </c>
      <c r="B330" s="314" t="s">
        <v>2113</v>
      </c>
      <c r="C330" s="315">
        <v>2695</v>
      </c>
    </row>
    <row r="331" spans="1:3">
      <c r="A331" t="s">
        <v>1476</v>
      </c>
      <c r="B331" s="314" t="s">
        <v>2114</v>
      </c>
      <c r="C331" s="315">
        <v>2198</v>
      </c>
    </row>
    <row r="332" spans="1:3">
      <c r="A332" t="s">
        <v>1476</v>
      </c>
      <c r="B332" s="314" t="s">
        <v>2115</v>
      </c>
      <c r="C332" s="315">
        <v>2199</v>
      </c>
    </row>
    <row r="333" spans="1:3">
      <c r="A333" t="s">
        <v>1476</v>
      </c>
      <c r="B333" s="314" t="s">
        <v>2116</v>
      </c>
      <c r="C333" s="315">
        <v>2200</v>
      </c>
    </row>
    <row r="334" spans="1:3">
      <c r="A334" t="s">
        <v>1476</v>
      </c>
      <c r="B334" s="314" t="s">
        <v>2117</v>
      </c>
      <c r="C334" s="315">
        <v>2201</v>
      </c>
    </row>
    <row r="335" spans="1:3">
      <c r="A335" t="s">
        <v>1476</v>
      </c>
      <c r="B335" s="314" t="s">
        <v>2118</v>
      </c>
      <c r="C335" s="315">
        <v>2202</v>
      </c>
    </row>
    <row r="336" spans="1:3">
      <c r="A336" t="s">
        <v>1476</v>
      </c>
      <c r="B336" s="314" t="s">
        <v>2119</v>
      </c>
      <c r="C336" s="315">
        <v>2203</v>
      </c>
    </row>
    <row r="337" spans="1:3">
      <c r="A337" t="s">
        <v>1476</v>
      </c>
      <c r="B337" s="314" t="s">
        <v>2120</v>
      </c>
      <c r="C337" s="315">
        <v>2724</v>
      </c>
    </row>
    <row r="338" spans="1:3">
      <c r="A338" t="s">
        <v>1476</v>
      </c>
      <c r="B338" s="314" t="s">
        <v>2121</v>
      </c>
      <c r="C338" s="315">
        <v>2204</v>
      </c>
    </row>
    <row r="339" spans="1:3">
      <c r="A339" t="s">
        <v>1476</v>
      </c>
      <c r="B339" s="314" t="s">
        <v>2122</v>
      </c>
      <c r="C339" s="315">
        <v>2205</v>
      </c>
    </row>
    <row r="340" spans="1:3">
      <c r="A340" t="s">
        <v>1476</v>
      </c>
      <c r="B340" s="314" t="s">
        <v>2122</v>
      </c>
      <c r="C340" s="315">
        <v>1371</v>
      </c>
    </row>
    <row r="341" spans="1:3">
      <c r="A341" t="s">
        <v>1476</v>
      </c>
      <c r="B341" s="314" t="s">
        <v>2123</v>
      </c>
      <c r="C341" s="315">
        <v>2206</v>
      </c>
    </row>
    <row r="342" spans="1:3">
      <c r="A342" t="s">
        <v>1476</v>
      </c>
      <c r="B342" s="314" t="s">
        <v>2124</v>
      </c>
      <c r="C342" s="315">
        <v>2207</v>
      </c>
    </row>
    <row r="343" spans="1:3">
      <c r="A343" t="s">
        <v>1476</v>
      </c>
      <c r="B343" s="314" t="s">
        <v>2125</v>
      </c>
      <c r="C343" s="315">
        <v>2208</v>
      </c>
    </row>
    <row r="344" spans="1:3">
      <c r="A344" t="s">
        <v>1476</v>
      </c>
      <c r="B344" s="314" t="s">
        <v>2126</v>
      </c>
      <c r="C344" s="315">
        <v>2209</v>
      </c>
    </row>
    <row r="345" spans="1:3">
      <c r="A345" t="s">
        <v>1476</v>
      </c>
      <c r="B345" s="314" t="s">
        <v>2127</v>
      </c>
      <c r="C345" s="315">
        <v>2211</v>
      </c>
    </row>
    <row r="346" spans="1:3">
      <c r="A346" t="s">
        <v>1476</v>
      </c>
      <c r="B346" s="314" t="s">
        <v>2128</v>
      </c>
      <c r="C346" s="315">
        <v>2210</v>
      </c>
    </row>
    <row r="347" spans="1:3">
      <c r="A347" t="s">
        <v>1476</v>
      </c>
      <c r="B347" s="314" t="s">
        <v>2129</v>
      </c>
      <c r="C347" s="315">
        <v>2212</v>
      </c>
    </row>
    <row r="348" spans="1:3">
      <c r="A348" t="s">
        <v>1476</v>
      </c>
      <c r="B348" s="314" t="s">
        <v>2130</v>
      </c>
      <c r="C348" s="315">
        <v>2213</v>
      </c>
    </row>
    <row r="349" spans="1:3">
      <c r="A349" t="s">
        <v>1476</v>
      </c>
      <c r="B349" s="314" t="s">
        <v>2131</v>
      </c>
      <c r="C349" s="315">
        <v>2214</v>
      </c>
    </row>
    <row r="350" spans="1:3">
      <c r="A350" t="s">
        <v>1476</v>
      </c>
      <c r="B350" s="314" t="s">
        <v>2132</v>
      </c>
      <c r="C350" s="315">
        <v>2693</v>
      </c>
    </row>
    <row r="351" spans="1:3">
      <c r="A351" t="s">
        <v>1476</v>
      </c>
      <c r="B351" s="314" t="s">
        <v>2133</v>
      </c>
      <c r="C351" s="315">
        <v>2710</v>
      </c>
    </row>
    <row r="352" spans="1:3">
      <c r="A352" t="s">
        <v>1476</v>
      </c>
      <c r="B352" s="314" t="s">
        <v>2134</v>
      </c>
      <c r="C352" s="315">
        <v>2215</v>
      </c>
    </row>
    <row r="353" spans="1:3">
      <c r="A353" t="s">
        <v>1476</v>
      </c>
      <c r="B353" s="314" t="s">
        <v>2135</v>
      </c>
      <c r="C353" s="315">
        <v>2216</v>
      </c>
    </row>
    <row r="354" spans="1:3">
      <c r="A354" t="s">
        <v>1476</v>
      </c>
      <c r="B354" s="314" t="s">
        <v>2136</v>
      </c>
      <c r="C354" s="315">
        <v>2217</v>
      </c>
    </row>
    <row r="355" spans="1:3">
      <c r="A355" t="s">
        <v>1476</v>
      </c>
      <c r="B355" s="314" t="s">
        <v>2137</v>
      </c>
      <c r="C355" s="315">
        <v>1155</v>
      </c>
    </row>
    <row r="356" spans="1:3">
      <c r="A356" t="s">
        <v>1476</v>
      </c>
      <c r="B356" s="314" t="s">
        <v>2138</v>
      </c>
      <c r="C356" s="315">
        <v>2218</v>
      </c>
    </row>
    <row r="357" spans="1:3">
      <c r="A357" t="s">
        <v>1476</v>
      </c>
      <c r="B357" s="314" t="s">
        <v>2139</v>
      </c>
      <c r="C357" s="315">
        <v>2677</v>
      </c>
    </row>
    <row r="358" spans="1:3">
      <c r="A358" t="s">
        <v>1476</v>
      </c>
      <c r="B358" s="314" t="s">
        <v>2140</v>
      </c>
      <c r="C358" s="315">
        <v>2219</v>
      </c>
    </row>
    <row r="359" spans="1:3">
      <c r="A359" t="s">
        <v>1476</v>
      </c>
      <c r="B359" s="314" t="s">
        <v>2141</v>
      </c>
      <c r="C359" s="315">
        <v>2220</v>
      </c>
    </row>
    <row r="360" spans="1:3">
      <c r="A360" t="s">
        <v>1476</v>
      </c>
      <c r="B360" s="314" t="s">
        <v>2142</v>
      </c>
      <c r="C360" s="315">
        <v>2221</v>
      </c>
    </row>
    <row r="361" spans="1:3">
      <c r="A361" t="s">
        <v>1476</v>
      </c>
      <c r="B361" s="314" t="s">
        <v>2143</v>
      </c>
      <c r="C361" s="315">
        <v>1030</v>
      </c>
    </row>
    <row r="362" spans="1:3">
      <c r="A362" t="s">
        <v>1476</v>
      </c>
      <c r="B362" s="314" t="s">
        <v>2144</v>
      </c>
      <c r="C362" s="315">
        <v>2222</v>
      </c>
    </row>
    <row r="363" spans="1:3">
      <c r="A363" t="s">
        <v>1476</v>
      </c>
      <c r="B363" s="314" t="s">
        <v>2145</v>
      </c>
      <c r="C363" s="315">
        <v>2223</v>
      </c>
    </row>
    <row r="364" spans="1:3">
      <c r="A364" t="s">
        <v>1476</v>
      </c>
      <c r="B364" s="314" t="s">
        <v>2146</v>
      </c>
      <c r="C364" s="315">
        <v>1341</v>
      </c>
    </row>
    <row r="365" spans="1:3">
      <c r="A365" t="s">
        <v>1476</v>
      </c>
      <c r="B365" s="314" t="s">
        <v>2147</v>
      </c>
      <c r="C365" s="315">
        <v>2224</v>
      </c>
    </row>
    <row r="366" spans="1:3">
      <c r="A366" t="s">
        <v>1476</v>
      </c>
      <c r="B366" s="314" t="s">
        <v>2148</v>
      </c>
      <c r="C366" s="315">
        <v>2676</v>
      </c>
    </row>
    <row r="367" spans="1:3">
      <c r="A367" t="s">
        <v>1476</v>
      </c>
      <c r="B367" s="314" t="s">
        <v>2149</v>
      </c>
      <c r="C367" s="315">
        <v>2225</v>
      </c>
    </row>
    <row r="368" spans="1:3">
      <c r="A368" t="s">
        <v>1476</v>
      </c>
      <c r="B368" s="314" t="s">
        <v>2150</v>
      </c>
      <c r="C368" s="315">
        <v>1499</v>
      </c>
    </row>
    <row r="369" spans="1:3">
      <c r="A369" t="s">
        <v>1476</v>
      </c>
      <c r="B369" s="314" t="s">
        <v>2151</v>
      </c>
      <c r="C369" s="315">
        <v>1384</v>
      </c>
    </row>
    <row r="370" spans="1:3">
      <c r="A370" t="s">
        <v>1476</v>
      </c>
      <c r="B370" s="314" t="s">
        <v>2152</v>
      </c>
      <c r="C370" s="315">
        <v>2226</v>
      </c>
    </row>
    <row r="371" spans="1:3">
      <c r="A371" t="s">
        <v>1476</v>
      </c>
      <c r="B371" s="314" t="s">
        <v>2153</v>
      </c>
      <c r="C371" s="315">
        <v>2227</v>
      </c>
    </row>
    <row r="372" spans="1:3">
      <c r="A372" t="s">
        <v>1476</v>
      </c>
      <c r="B372" s="314" t="s">
        <v>2154</v>
      </c>
      <c r="C372" s="315">
        <v>2228</v>
      </c>
    </row>
    <row r="373" spans="1:3">
      <c r="A373" t="s">
        <v>1476</v>
      </c>
      <c r="B373" s="314" t="s">
        <v>2155</v>
      </c>
      <c r="C373" s="315">
        <v>2229</v>
      </c>
    </row>
    <row r="374" spans="1:3">
      <c r="A374" t="s">
        <v>1476</v>
      </c>
      <c r="B374" s="314" t="s">
        <v>2156</v>
      </c>
      <c r="C374" s="315">
        <v>2738</v>
      </c>
    </row>
    <row r="375" spans="1:3">
      <c r="A375" t="s">
        <v>1476</v>
      </c>
      <c r="B375" s="314" t="s">
        <v>312</v>
      </c>
      <c r="C375" s="315">
        <v>2230</v>
      </c>
    </row>
    <row r="376" spans="1:3">
      <c r="A376" t="s">
        <v>1476</v>
      </c>
      <c r="B376" s="314" t="s">
        <v>2157</v>
      </c>
      <c r="C376" s="315">
        <v>2231</v>
      </c>
    </row>
    <row r="377" spans="1:3">
      <c r="A377" t="s">
        <v>1476</v>
      </c>
      <c r="B377" s="314" t="s">
        <v>2158</v>
      </c>
      <c r="C377" s="315">
        <v>1452</v>
      </c>
    </row>
    <row r="378" spans="1:3">
      <c r="A378" t="s">
        <v>1476</v>
      </c>
      <c r="B378" s="314" t="s">
        <v>2159</v>
      </c>
      <c r="C378" s="315">
        <v>2232</v>
      </c>
    </row>
    <row r="379" spans="1:3">
      <c r="A379" t="s">
        <v>1476</v>
      </c>
      <c r="B379" s="314" t="s">
        <v>2160</v>
      </c>
      <c r="C379" s="315">
        <v>2233</v>
      </c>
    </row>
    <row r="380" spans="1:3">
      <c r="A380" t="s">
        <v>1476</v>
      </c>
      <c r="B380" s="314" t="s">
        <v>2161</v>
      </c>
      <c r="C380" s="315">
        <v>2733</v>
      </c>
    </row>
    <row r="381" spans="1:3">
      <c r="A381" t="s">
        <v>1476</v>
      </c>
      <c r="B381" s="314" t="s">
        <v>2162</v>
      </c>
      <c r="C381" s="315">
        <v>1031</v>
      </c>
    </row>
    <row r="382" spans="1:3">
      <c r="A382" t="s">
        <v>1476</v>
      </c>
      <c r="B382" s="314" t="s">
        <v>2163</v>
      </c>
      <c r="C382" s="315">
        <v>2634</v>
      </c>
    </row>
    <row r="383" spans="1:3">
      <c r="A383" t="s">
        <v>1476</v>
      </c>
      <c r="B383" s="314" t="s">
        <v>2164</v>
      </c>
      <c r="C383" s="315">
        <v>2635</v>
      </c>
    </row>
    <row r="384" spans="1:3">
      <c r="A384" t="s">
        <v>1476</v>
      </c>
      <c r="B384" s="314" t="s">
        <v>2165</v>
      </c>
      <c r="C384" s="315">
        <v>2636</v>
      </c>
    </row>
    <row r="385" spans="1:3">
      <c r="A385" t="s">
        <v>1476</v>
      </c>
      <c r="B385" s="314" t="s">
        <v>2166</v>
      </c>
      <c r="C385" s="315">
        <v>2637</v>
      </c>
    </row>
    <row r="386" spans="1:3">
      <c r="A386" t="s">
        <v>1476</v>
      </c>
      <c r="B386" s="314" t="s">
        <v>2167</v>
      </c>
      <c r="C386" s="315">
        <v>1818</v>
      </c>
    </row>
    <row r="387" spans="1:3">
      <c r="A387" t="s">
        <v>1476</v>
      </c>
      <c r="B387" s="314" t="s">
        <v>2168</v>
      </c>
      <c r="C387" s="315">
        <v>1500</v>
      </c>
    </row>
    <row r="388" spans="1:3">
      <c r="A388" t="s">
        <v>1476</v>
      </c>
      <c r="B388" s="314" t="s">
        <v>2169</v>
      </c>
      <c r="C388" s="315">
        <v>2234</v>
      </c>
    </row>
    <row r="389" spans="1:3">
      <c r="A389" t="s">
        <v>1476</v>
      </c>
      <c r="B389" s="314" t="s">
        <v>2170</v>
      </c>
      <c r="C389" s="315">
        <v>2235</v>
      </c>
    </row>
    <row r="390" spans="1:3">
      <c r="A390" t="s">
        <v>1476</v>
      </c>
      <c r="B390" s="314" t="s">
        <v>2171</v>
      </c>
      <c r="C390" s="315">
        <v>2236</v>
      </c>
    </row>
    <row r="391" spans="1:3">
      <c r="A391" t="s">
        <v>1476</v>
      </c>
      <c r="B391" s="314" t="s">
        <v>2172</v>
      </c>
      <c r="C391" s="315">
        <v>2692</v>
      </c>
    </row>
    <row r="392" spans="1:3">
      <c r="A392" t="s">
        <v>1476</v>
      </c>
      <c r="B392" s="314" t="s">
        <v>2173</v>
      </c>
      <c r="C392" s="315">
        <v>2237</v>
      </c>
    </row>
    <row r="393" spans="1:3">
      <c r="A393" t="s">
        <v>1476</v>
      </c>
      <c r="B393" s="314" t="s">
        <v>2174</v>
      </c>
      <c r="C393" s="315">
        <v>1112</v>
      </c>
    </row>
    <row r="394" spans="1:3">
      <c r="A394" t="s">
        <v>1476</v>
      </c>
      <c r="B394" s="314" t="s">
        <v>2175</v>
      </c>
      <c r="C394" s="315">
        <v>2238</v>
      </c>
    </row>
    <row r="395" spans="1:3">
      <c r="A395" t="s">
        <v>1476</v>
      </c>
      <c r="B395" s="314" t="s">
        <v>2176</v>
      </c>
      <c r="C395" s="315">
        <v>2239</v>
      </c>
    </row>
    <row r="396" spans="1:3">
      <c r="A396" t="s">
        <v>1476</v>
      </c>
      <c r="B396" s="314" t="s">
        <v>2177</v>
      </c>
      <c r="C396" s="315">
        <v>1382</v>
      </c>
    </row>
    <row r="397" spans="1:3">
      <c r="A397" t="s">
        <v>1476</v>
      </c>
      <c r="B397" s="314" t="s">
        <v>2178</v>
      </c>
      <c r="C397" s="315">
        <v>1505</v>
      </c>
    </row>
    <row r="398" spans="1:3">
      <c r="A398" t="s">
        <v>1476</v>
      </c>
      <c r="B398" s="314" t="s">
        <v>2179</v>
      </c>
      <c r="C398" s="315">
        <v>1466</v>
      </c>
    </row>
    <row r="399" spans="1:3">
      <c r="A399" t="s">
        <v>1476</v>
      </c>
      <c r="B399" s="314" t="s">
        <v>2179</v>
      </c>
      <c r="C399" s="315">
        <v>2240</v>
      </c>
    </row>
    <row r="400" spans="1:3">
      <c r="A400" t="s">
        <v>1476</v>
      </c>
      <c r="B400" s="314" t="s">
        <v>2180</v>
      </c>
      <c r="C400" s="315">
        <v>2241</v>
      </c>
    </row>
    <row r="401" spans="1:3">
      <c r="A401" t="s">
        <v>1476</v>
      </c>
      <c r="B401" s="314" t="s">
        <v>2181</v>
      </c>
      <c r="C401" s="315">
        <v>1813</v>
      </c>
    </row>
    <row r="402" spans="1:3">
      <c r="A402" t="s">
        <v>1476</v>
      </c>
      <c r="B402" s="314" t="s">
        <v>2182</v>
      </c>
      <c r="C402" s="315">
        <v>1347</v>
      </c>
    </row>
    <row r="403" spans="1:3">
      <c r="A403" t="s">
        <v>1476</v>
      </c>
      <c r="B403" s="314" t="s">
        <v>2183</v>
      </c>
      <c r="C403" s="315">
        <v>2242</v>
      </c>
    </row>
    <row r="404" spans="1:3">
      <c r="A404" t="s">
        <v>1476</v>
      </c>
      <c r="B404" s="314" t="s">
        <v>2184</v>
      </c>
      <c r="C404" s="315">
        <v>2686</v>
      </c>
    </row>
    <row r="405" spans="1:3">
      <c r="A405" t="s">
        <v>1476</v>
      </c>
      <c r="B405" s="314" t="s">
        <v>2185</v>
      </c>
      <c r="C405" s="315">
        <v>2243</v>
      </c>
    </row>
    <row r="406" spans="1:3">
      <c r="A406" t="s">
        <v>1476</v>
      </c>
      <c r="B406" s="314" t="s">
        <v>2186</v>
      </c>
      <c r="C406" s="315">
        <v>1032</v>
      </c>
    </row>
    <row r="407" spans="1:3">
      <c r="A407" t="s">
        <v>1476</v>
      </c>
      <c r="B407" s="314" t="s">
        <v>2187</v>
      </c>
      <c r="C407" s="315">
        <v>2244</v>
      </c>
    </row>
    <row r="408" spans="1:3">
      <c r="A408" t="s">
        <v>1476</v>
      </c>
      <c r="B408" s="314" t="s">
        <v>2188</v>
      </c>
      <c r="C408" s="315">
        <v>2245</v>
      </c>
    </row>
    <row r="409" spans="1:3">
      <c r="A409" t="s">
        <v>1476</v>
      </c>
      <c r="B409" s="314" t="s">
        <v>2188</v>
      </c>
      <c r="C409" s="315">
        <v>1804</v>
      </c>
    </row>
    <row r="410" spans="1:3">
      <c r="A410" t="s">
        <v>1476</v>
      </c>
      <c r="B410" s="314" t="s">
        <v>2189</v>
      </c>
      <c r="C410" s="315">
        <v>1117</v>
      </c>
    </row>
    <row r="411" spans="1:3">
      <c r="A411" t="s">
        <v>1476</v>
      </c>
      <c r="B411" s="314" t="s">
        <v>2190</v>
      </c>
      <c r="C411" s="315">
        <v>1033</v>
      </c>
    </row>
    <row r="412" spans="1:3">
      <c r="A412" t="s">
        <v>1476</v>
      </c>
      <c r="B412" s="314" t="s">
        <v>2191</v>
      </c>
      <c r="C412" s="315">
        <v>2246</v>
      </c>
    </row>
    <row r="413" spans="1:3">
      <c r="A413" t="s">
        <v>1476</v>
      </c>
      <c r="B413" s="314" t="s">
        <v>2192</v>
      </c>
      <c r="C413" s="315">
        <v>2247</v>
      </c>
    </row>
    <row r="414" spans="1:3">
      <c r="A414" t="s">
        <v>1476</v>
      </c>
      <c r="B414" s="314" t="s">
        <v>2193</v>
      </c>
      <c r="C414" s="315">
        <v>1034</v>
      </c>
    </row>
    <row r="415" spans="1:3">
      <c r="A415" t="s">
        <v>1476</v>
      </c>
      <c r="B415" s="314" t="s">
        <v>2194</v>
      </c>
      <c r="C415" s="315">
        <v>2248</v>
      </c>
    </row>
    <row r="416" spans="1:3">
      <c r="A416" t="s">
        <v>1476</v>
      </c>
      <c r="B416" s="314" t="s">
        <v>2195</v>
      </c>
      <c r="C416" s="315">
        <v>1035</v>
      </c>
    </row>
    <row r="417" spans="1:3">
      <c r="A417" t="s">
        <v>1476</v>
      </c>
      <c r="B417" s="314" t="s">
        <v>2196</v>
      </c>
      <c r="C417" s="315">
        <v>2249</v>
      </c>
    </row>
    <row r="418" spans="1:3">
      <c r="A418" t="s">
        <v>1476</v>
      </c>
      <c r="B418" s="314" t="s">
        <v>2197</v>
      </c>
      <c r="C418" s="315">
        <v>2250</v>
      </c>
    </row>
    <row r="419" spans="1:3">
      <c r="A419" t="s">
        <v>1476</v>
      </c>
      <c r="B419" s="314" t="s">
        <v>2198</v>
      </c>
      <c r="C419" s="315">
        <v>2251</v>
      </c>
    </row>
    <row r="420" spans="1:3">
      <c r="A420" t="s">
        <v>1476</v>
      </c>
      <c r="B420" s="314" t="s">
        <v>2199</v>
      </c>
      <c r="C420" s="315">
        <v>2708</v>
      </c>
    </row>
    <row r="421" spans="1:3">
      <c r="A421" t="s">
        <v>1476</v>
      </c>
      <c r="B421" s="314" t="s">
        <v>2200</v>
      </c>
      <c r="C421" s="315">
        <v>2252</v>
      </c>
    </row>
    <row r="422" spans="1:3">
      <c r="A422" t="s">
        <v>1476</v>
      </c>
      <c r="B422" s="314" t="s">
        <v>2201</v>
      </c>
      <c r="C422" s="315">
        <v>2701</v>
      </c>
    </row>
    <row r="423" spans="1:3">
      <c r="A423" t="s">
        <v>1476</v>
      </c>
      <c r="B423" s="314" t="s">
        <v>2202</v>
      </c>
      <c r="C423" s="315">
        <v>2700</v>
      </c>
    </row>
    <row r="424" spans="1:3">
      <c r="A424" t="s">
        <v>1476</v>
      </c>
      <c r="B424" s="314" t="s">
        <v>2203</v>
      </c>
      <c r="C424" s="315">
        <v>2253</v>
      </c>
    </row>
    <row r="425" spans="1:3">
      <c r="A425" t="s">
        <v>1476</v>
      </c>
      <c r="B425" s="314" t="s">
        <v>2204</v>
      </c>
      <c r="C425" s="315">
        <v>2749</v>
      </c>
    </row>
    <row r="426" spans="1:3">
      <c r="A426" t="s">
        <v>1476</v>
      </c>
      <c r="B426" s="314" t="s">
        <v>2205</v>
      </c>
      <c r="C426" s="315">
        <v>2755</v>
      </c>
    </row>
    <row r="427" spans="1:3">
      <c r="A427" t="s">
        <v>1476</v>
      </c>
      <c r="B427" s="314" t="s">
        <v>2206</v>
      </c>
      <c r="C427" s="315">
        <v>2750</v>
      </c>
    </row>
    <row r="428" spans="1:3">
      <c r="A428" t="s">
        <v>1476</v>
      </c>
      <c r="B428" s="314" t="s">
        <v>2207</v>
      </c>
      <c r="C428" s="315">
        <v>2757</v>
      </c>
    </row>
    <row r="429" spans="1:3">
      <c r="A429" t="s">
        <v>1476</v>
      </c>
      <c r="B429" s="314" t="s">
        <v>2208</v>
      </c>
      <c r="C429" s="315">
        <v>2756</v>
      </c>
    </row>
    <row r="430" spans="1:3">
      <c r="A430" t="s">
        <v>1476</v>
      </c>
      <c r="B430" s="314" t="s">
        <v>2209</v>
      </c>
      <c r="C430" s="315">
        <v>2748</v>
      </c>
    </row>
    <row r="431" spans="1:3">
      <c r="A431" t="s">
        <v>1476</v>
      </c>
      <c r="B431" s="314" t="s">
        <v>2210</v>
      </c>
      <c r="C431" s="315">
        <v>2254</v>
      </c>
    </row>
    <row r="432" spans="1:3">
      <c r="A432" t="s">
        <v>1476</v>
      </c>
      <c r="B432" s="314" t="s">
        <v>2210</v>
      </c>
      <c r="C432" s="315">
        <v>1802</v>
      </c>
    </row>
    <row r="433" spans="1:3">
      <c r="A433" t="s">
        <v>1476</v>
      </c>
      <c r="B433" s="314" t="s">
        <v>2211</v>
      </c>
      <c r="C433" s="315">
        <v>2740</v>
      </c>
    </row>
    <row r="434" spans="1:3">
      <c r="A434" t="s">
        <v>1476</v>
      </c>
      <c r="B434" s="314" t="s">
        <v>2212</v>
      </c>
      <c r="C434" s="315">
        <v>2714</v>
      </c>
    </row>
    <row r="435" spans="1:3">
      <c r="A435" t="s">
        <v>1476</v>
      </c>
      <c r="B435" s="314" t="s">
        <v>2212</v>
      </c>
      <c r="C435" s="315">
        <v>2717</v>
      </c>
    </row>
    <row r="436" spans="1:3">
      <c r="A436" t="s">
        <v>1476</v>
      </c>
      <c r="B436" s="314" t="s">
        <v>2213</v>
      </c>
      <c r="C436" s="315">
        <v>2741</v>
      </c>
    </row>
    <row r="437" spans="1:3">
      <c r="A437" t="s">
        <v>1476</v>
      </c>
      <c r="B437" s="314" t="s">
        <v>2214</v>
      </c>
      <c r="C437" s="315">
        <v>2255</v>
      </c>
    </row>
    <row r="438" spans="1:3">
      <c r="A438" t="s">
        <v>1476</v>
      </c>
      <c r="B438" s="314" t="s">
        <v>2215</v>
      </c>
      <c r="C438" s="315">
        <v>2256</v>
      </c>
    </row>
    <row r="439" spans="1:3">
      <c r="A439" t="s">
        <v>1476</v>
      </c>
      <c r="B439" s="314" t="s">
        <v>2216</v>
      </c>
      <c r="C439" s="315">
        <v>2718</v>
      </c>
    </row>
    <row r="440" spans="1:3">
      <c r="A440" t="s">
        <v>1476</v>
      </c>
      <c r="B440" s="314" t="s">
        <v>2216</v>
      </c>
      <c r="C440" s="315">
        <v>1036</v>
      </c>
    </row>
    <row r="441" spans="1:3">
      <c r="A441" t="s">
        <v>1476</v>
      </c>
      <c r="B441" s="314" t="s">
        <v>2217</v>
      </c>
      <c r="C441" s="315">
        <v>2257</v>
      </c>
    </row>
    <row r="442" spans="1:3">
      <c r="A442" t="s">
        <v>1476</v>
      </c>
      <c r="B442" s="314" t="s">
        <v>2218</v>
      </c>
      <c r="C442" s="315">
        <v>1146</v>
      </c>
    </row>
    <row r="443" spans="1:3">
      <c r="A443" t="s">
        <v>1476</v>
      </c>
      <c r="B443" s="314" t="s">
        <v>2219</v>
      </c>
      <c r="C443" s="315">
        <v>2657</v>
      </c>
    </row>
    <row r="444" spans="1:3">
      <c r="A444" t="s">
        <v>1476</v>
      </c>
      <c r="B444" s="314" t="s">
        <v>2220</v>
      </c>
      <c r="C444" s="315">
        <v>2258</v>
      </c>
    </row>
    <row r="445" spans="1:3">
      <c r="A445" t="s">
        <v>1476</v>
      </c>
      <c r="B445" s="314" t="s">
        <v>2221</v>
      </c>
      <c r="C445" s="315">
        <v>1368</v>
      </c>
    </row>
    <row r="446" spans="1:3">
      <c r="A446" t="s">
        <v>1476</v>
      </c>
      <c r="B446" s="314" t="s">
        <v>2222</v>
      </c>
      <c r="C446" s="315">
        <v>2259</v>
      </c>
    </row>
    <row r="447" spans="1:3">
      <c r="A447" t="s">
        <v>1476</v>
      </c>
      <c r="B447" s="314" t="s">
        <v>2223</v>
      </c>
      <c r="C447" s="315">
        <v>2260</v>
      </c>
    </row>
    <row r="448" spans="1:3">
      <c r="A448" t="s">
        <v>1476</v>
      </c>
      <c r="B448" s="314" t="s">
        <v>2224</v>
      </c>
      <c r="C448" s="315">
        <v>2751</v>
      </c>
    </row>
    <row r="449" spans="1:3">
      <c r="A449" t="s">
        <v>1476</v>
      </c>
      <c r="B449" s="314" t="s">
        <v>2225</v>
      </c>
      <c r="C449" s="315">
        <v>2261</v>
      </c>
    </row>
    <row r="450" spans="1:3">
      <c r="A450" t="s">
        <v>1476</v>
      </c>
      <c r="B450" s="314" t="s">
        <v>330</v>
      </c>
      <c r="C450" s="315">
        <v>0</v>
      </c>
    </row>
    <row r="451" spans="1:3">
      <c r="A451" t="s">
        <v>1476</v>
      </c>
      <c r="B451" s="314" t="s">
        <v>2226</v>
      </c>
      <c r="C451" s="315">
        <v>1037</v>
      </c>
    </row>
    <row r="452" spans="1:3">
      <c r="A452" t="s">
        <v>1476</v>
      </c>
      <c r="B452" s="314" t="s">
        <v>2227</v>
      </c>
      <c r="C452" s="315">
        <v>1038</v>
      </c>
    </row>
    <row r="453" spans="1:3">
      <c r="A453" t="s">
        <v>1476</v>
      </c>
      <c r="B453" s="314" t="s">
        <v>2228</v>
      </c>
      <c r="C453" s="315">
        <v>2262</v>
      </c>
    </row>
    <row r="454" spans="1:3">
      <c r="A454" t="s">
        <v>1476</v>
      </c>
      <c r="B454" s="314" t="s">
        <v>2229</v>
      </c>
      <c r="C454" s="315">
        <v>1039</v>
      </c>
    </row>
    <row r="455" spans="1:3">
      <c r="A455" t="s">
        <v>1476</v>
      </c>
      <c r="B455" s="314" t="s">
        <v>2230</v>
      </c>
      <c r="C455" s="315">
        <v>1040</v>
      </c>
    </row>
    <row r="456" spans="1:3">
      <c r="A456" t="s">
        <v>1476</v>
      </c>
      <c r="B456" s="314" t="s">
        <v>2231</v>
      </c>
      <c r="C456" s="315">
        <v>1041</v>
      </c>
    </row>
    <row r="457" spans="1:3">
      <c r="A457" t="s">
        <v>1476</v>
      </c>
      <c r="B457" s="314" t="s">
        <v>2232</v>
      </c>
      <c r="C457" s="315">
        <v>2263</v>
      </c>
    </row>
    <row r="458" spans="1:3">
      <c r="A458" t="s">
        <v>1476</v>
      </c>
      <c r="B458" s="314" t="s">
        <v>2233</v>
      </c>
      <c r="C458" s="315">
        <v>2264</v>
      </c>
    </row>
    <row r="459" spans="1:3">
      <c r="A459" t="s">
        <v>1476</v>
      </c>
      <c r="B459" s="314" t="s">
        <v>2233</v>
      </c>
      <c r="C459" s="315">
        <v>1362</v>
      </c>
    </row>
    <row r="460" spans="1:3">
      <c r="A460" t="s">
        <v>1476</v>
      </c>
      <c r="B460" s="314" t="s">
        <v>2234</v>
      </c>
      <c r="C460" s="315">
        <v>2605</v>
      </c>
    </row>
    <row r="461" spans="1:3">
      <c r="A461" t="s">
        <v>1476</v>
      </c>
      <c r="B461" s="314" t="s">
        <v>2235</v>
      </c>
      <c r="C461" s="315">
        <v>2265</v>
      </c>
    </row>
    <row r="462" spans="1:3">
      <c r="A462" t="s">
        <v>1476</v>
      </c>
      <c r="B462" s="314" t="s">
        <v>2236</v>
      </c>
      <c r="C462" s="315">
        <v>2606</v>
      </c>
    </row>
    <row r="463" spans="1:3">
      <c r="A463" t="s">
        <v>1476</v>
      </c>
      <c r="B463" s="314" t="s">
        <v>2237</v>
      </c>
      <c r="C463" s="315">
        <v>2607</v>
      </c>
    </row>
    <row r="464" spans="1:3">
      <c r="A464" t="s">
        <v>1476</v>
      </c>
      <c r="B464" s="314" t="s">
        <v>2238</v>
      </c>
      <c r="C464" s="315">
        <v>2266</v>
      </c>
    </row>
    <row r="465" spans="1:3">
      <c r="A465" t="s">
        <v>1476</v>
      </c>
      <c r="B465" s="314" t="s">
        <v>2239</v>
      </c>
      <c r="C465" s="315">
        <v>2267</v>
      </c>
    </row>
    <row r="466" spans="1:3">
      <c r="A466" t="s">
        <v>1476</v>
      </c>
      <c r="B466" s="314" t="s">
        <v>2240</v>
      </c>
      <c r="C466" s="315">
        <v>2268</v>
      </c>
    </row>
    <row r="467" spans="1:3">
      <c r="A467" t="s">
        <v>1476</v>
      </c>
      <c r="B467" s="314" t="s">
        <v>2241</v>
      </c>
      <c r="C467" s="315">
        <v>2269</v>
      </c>
    </row>
    <row r="468" spans="1:3">
      <c r="A468" t="s">
        <v>1476</v>
      </c>
      <c r="B468" s="314" t="s">
        <v>2242</v>
      </c>
      <c r="C468" s="315">
        <v>2688</v>
      </c>
    </row>
    <row r="469" spans="1:3">
      <c r="A469" t="s">
        <v>1476</v>
      </c>
      <c r="B469" s="314" t="s">
        <v>2243</v>
      </c>
      <c r="C469" s="315">
        <v>1042</v>
      </c>
    </row>
    <row r="470" spans="1:3">
      <c r="A470" t="s">
        <v>1476</v>
      </c>
      <c r="B470" s="314" t="s">
        <v>2244</v>
      </c>
      <c r="C470" s="315">
        <v>2270</v>
      </c>
    </row>
    <row r="471" spans="1:3">
      <c r="A471" t="s">
        <v>1476</v>
      </c>
      <c r="B471" s="314" t="s">
        <v>2245</v>
      </c>
      <c r="C471" s="315">
        <v>2271</v>
      </c>
    </row>
    <row r="472" spans="1:3">
      <c r="A472" t="s">
        <v>1476</v>
      </c>
      <c r="B472" s="314" t="s">
        <v>2245</v>
      </c>
      <c r="C472" s="315">
        <v>1475</v>
      </c>
    </row>
    <row r="473" spans="1:3">
      <c r="A473" t="s">
        <v>1476</v>
      </c>
      <c r="B473" s="314" t="s">
        <v>2246</v>
      </c>
      <c r="C473" s="315">
        <v>2272</v>
      </c>
    </row>
    <row r="474" spans="1:3">
      <c r="A474" t="s">
        <v>1476</v>
      </c>
      <c r="B474" s="314" t="s">
        <v>2247</v>
      </c>
      <c r="C474" s="315">
        <v>1045</v>
      </c>
    </row>
    <row r="475" spans="1:3">
      <c r="A475" t="s">
        <v>1476</v>
      </c>
      <c r="B475" s="314" t="s">
        <v>2248</v>
      </c>
      <c r="C475" s="315">
        <v>2002</v>
      </c>
    </row>
    <row r="476" spans="1:3">
      <c r="A476" t="s">
        <v>1476</v>
      </c>
      <c r="B476" s="314" t="s">
        <v>2249</v>
      </c>
      <c r="C476" s="315">
        <v>2655</v>
      </c>
    </row>
    <row r="477" spans="1:3">
      <c r="A477" t="s">
        <v>1476</v>
      </c>
      <c r="B477" s="314" t="s">
        <v>2250</v>
      </c>
      <c r="C477" s="315">
        <v>2273</v>
      </c>
    </row>
    <row r="478" spans="1:3">
      <c r="A478" t="s">
        <v>1476</v>
      </c>
      <c r="B478" s="314" t="s">
        <v>2251</v>
      </c>
      <c r="C478" s="315">
        <v>2739</v>
      </c>
    </row>
    <row r="479" spans="1:3">
      <c r="A479" t="s">
        <v>1476</v>
      </c>
      <c r="B479" s="314" t="s">
        <v>2252</v>
      </c>
      <c r="C479" s="315">
        <v>2274</v>
      </c>
    </row>
    <row r="480" spans="1:3">
      <c r="A480" t="s">
        <v>1476</v>
      </c>
      <c r="B480" s="314" t="s">
        <v>2253</v>
      </c>
      <c r="C480" s="315">
        <v>2275</v>
      </c>
    </row>
    <row r="481" spans="1:3">
      <c r="A481" t="s">
        <v>1476</v>
      </c>
      <c r="B481" s="314" t="s">
        <v>2254</v>
      </c>
      <c r="C481" s="315">
        <v>2276</v>
      </c>
    </row>
    <row r="482" spans="1:3">
      <c r="A482" t="s">
        <v>1476</v>
      </c>
      <c r="B482" s="314" t="s">
        <v>2255</v>
      </c>
      <c r="C482" s="315">
        <v>1157</v>
      </c>
    </row>
    <row r="483" spans="1:3">
      <c r="A483" t="s">
        <v>1476</v>
      </c>
      <c r="B483" s="314" t="s">
        <v>2256</v>
      </c>
      <c r="C483" s="315">
        <v>1139</v>
      </c>
    </row>
    <row r="484" spans="1:3">
      <c r="A484" t="s">
        <v>1476</v>
      </c>
      <c r="B484" s="314" t="s">
        <v>2257</v>
      </c>
      <c r="C484" s="315">
        <v>2277</v>
      </c>
    </row>
    <row r="485" spans="1:3">
      <c r="A485" t="s">
        <v>1476</v>
      </c>
      <c r="B485" s="314" t="s">
        <v>2258</v>
      </c>
      <c r="C485" s="315">
        <v>1043</v>
      </c>
    </row>
    <row r="486" spans="1:3">
      <c r="A486" t="s">
        <v>1476</v>
      </c>
      <c r="B486" s="314" t="s">
        <v>2259</v>
      </c>
      <c r="C486" s="315">
        <v>1044</v>
      </c>
    </row>
    <row r="487" spans="1:3">
      <c r="A487" t="s">
        <v>1476</v>
      </c>
      <c r="B487" s="314" t="s">
        <v>2260</v>
      </c>
      <c r="C487" s="315">
        <v>1046</v>
      </c>
    </row>
    <row r="488" spans="1:3">
      <c r="A488" t="s">
        <v>1476</v>
      </c>
      <c r="B488" s="314" t="s">
        <v>2261</v>
      </c>
      <c r="C488" s="315">
        <v>1411</v>
      </c>
    </row>
    <row r="489" spans="1:3">
      <c r="A489" t="s">
        <v>1476</v>
      </c>
      <c r="B489" s="314" t="s">
        <v>2262</v>
      </c>
      <c r="C489" s="315">
        <v>1455</v>
      </c>
    </row>
    <row r="490" spans="1:3">
      <c r="A490" t="s">
        <v>1476</v>
      </c>
      <c r="B490" s="314" t="s">
        <v>2263</v>
      </c>
      <c r="C490" s="315">
        <v>1453</v>
      </c>
    </row>
    <row r="491" spans="1:3">
      <c r="A491" t="s">
        <v>1476</v>
      </c>
      <c r="B491" s="314" t="s">
        <v>2264</v>
      </c>
      <c r="C491" s="315">
        <v>2278</v>
      </c>
    </row>
    <row r="492" spans="1:3">
      <c r="A492" t="s">
        <v>1476</v>
      </c>
      <c r="B492" s="314" t="s">
        <v>2264</v>
      </c>
      <c r="C492" s="315">
        <v>2669</v>
      </c>
    </row>
    <row r="493" spans="1:3">
      <c r="A493" t="s">
        <v>1476</v>
      </c>
      <c r="B493" s="314" t="s">
        <v>2265</v>
      </c>
      <c r="C493" s="315">
        <v>1119</v>
      </c>
    </row>
    <row r="494" spans="1:3">
      <c r="A494" t="s">
        <v>1476</v>
      </c>
      <c r="B494" s="314" t="s">
        <v>2266</v>
      </c>
      <c r="C494" s="315">
        <v>1806</v>
      </c>
    </row>
    <row r="495" spans="1:3">
      <c r="A495" t="s">
        <v>1476</v>
      </c>
      <c r="B495" s="314" t="s">
        <v>2267</v>
      </c>
      <c r="C495" s="315">
        <v>2730</v>
      </c>
    </row>
    <row r="496" spans="1:3">
      <c r="A496" t="s">
        <v>1476</v>
      </c>
      <c r="B496" s="314" t="s">
        <v>2268</v>
      </c>
      <c r="C496" s="315">
        <v>2279</v>
      </c>
    </row>
    <row r="497" spans="1:3">
      <c r="A497" t="s">
        <v>1476</v>
      </c>
      <c r="B497" s="314" t="s">
        <v>2269</v>
      </c>
      <c r="C497" s="315">
        <v>2280</v>
      </c>
    </row>
    <row r="498" spans="1:3">
      <c r="A498" t="s">
        <v>1476</v>
      </c>
      <c r="B498" s="314" t="s">
        <v>2270</v>
      </c>
      <c r="C498" s="315">
        <v>2281</v>
      </c>
    </row>
    <row r="499" spans="1:3">
      <c r="A499" t="s">
        <v>1476</v>
      </c>
      <c r="B499" s="314" t="s">
        <v>2271</v>
      </c>
      <c r="C499" s="315">
        <v>2282</v>
      </c>
    </row>
    <row r="500" spans="1:3">
      <c r="A500" t="s">
        <v>1476</v>
      </c>
      <c r="B500" s="314" t="s">
        <v>2272</v>
      </c>
      <c r="C500" s="315">
        <v>2283</v>
      </c>
    </row>
    <row r="501" spans="1:3">
      <c r="A501" t="s">
        <v>1476</v>
      </c>
      <c r="B501" s="314" t="s">
        <v>2273</v>
      </c>
      <c r="C501" s="315">
        <v>2284</v>
      </c>
    </row>
    <row r="502" spans="1:3">
      <c r="A502" t="s">
        <v>1476</v>
      </c>
      <c r="B502" s="314" t="s">
        <v>2274</v>
      </c>
      <c r="C502" s="315">
        <v>2285</v>
      </c>
    </row>
    <row r="503" spans="1:3">
      <c r="A503" t="s">
        <v>1476</v>
      </c>
      <c r="B503" s="314" t="s">
        <v>2275</v>
      </c>
      <c r="C503" s="315">
        <v>1358</v>
      </c>
    </row>
    <row r="504" spans="1:3">
      <c r="A504" t="s">
        <v>1476</v>
      </c>
      <c r="B504" s="314" t="s">
        <v>2276</v>
      </c>
      <c r="C504" s="315">
        <v>2719</v>
      </c>
    </row>
    <row r="505" spans="1:3">
      <c r="A505" t="s">
        <v>1476</v>
      </c>
      <c r="B505" s="314" t="s">
        <v>2277</v>
      </c>
      <c r="C505" s="315">
        <v>1372</v>
      </c>
    </row>
    <row r="506" spans="1:3">
      <c r="A506" t="s">
        <v>1476</v>
      </c>
      <c r="B506" s="314" t="s">
        <v>2278</v>
      </c>
      <c r="C506" s="315">
        <v>1047</v>
      </c>
    </row>
    <row r="507" spans="1:3">
      <c r="A507" t="s">
        <v>1476</v>
      </c>
      <c r="B507" s="314" t="s">
        <v>2279</v>
      </c>
      <c r="C507" s="315">
        <v>2286</v>
      </c>
    </row>
    <row r="508" spans="1:3">
      <c r="A508" t="s">
        <v>1476</v>
      </c>
      <c r="B508" s="314" t="s">
        <v>2280</v>
      </c>
      <c r="C508" s="315">
        <v>2287</v>
      </c>
    </row>
    <row r="509" spans="1:3">
      <c r="A509" t="s">
        <v>1476</v>
      </c>
      <c r="B509" s="314" t="s">
        <v>2281</v>
      </c>
      <c r="C509" s="315">
        <v>2288</v>
      </c>
    </row>
    <row r="510" spans="1:3">
      <c r="A510" t="s">
        <v>1476</v>
      </c>
      <c r="B510" s="314" t="s">
        <v>2282</v>
      </c>
      <c r="C510" s="315">
        <v>2289</v>
      </c>
    </row>
    <row r="511" spans="1:3">
      <c r="A511" t="s">
        <v>1476</v>
      </c>
      <c r="B511" s="314" t="s">
        <v>2283</v>
      </c>
      <c r="C511" s="315">
        <v>2290</v>
      </c>
    </row>
    <row r="512" spans="1:3">
      <c r="A512" t="s">
        <v>1476</v>
      </c>
      <c r="B512" s="314" t="s">
        <v>2284</v>
      </c>
      <c r="C512" s="315">
        <v>1048</v>
      </c>
    </row>
    <row r="513" spans="1:3">
      <c r="A513" t="s">
        <v>1476</v>
      </c>
      <c r="B513" s="314" t="s">
        <v>2285</v>
      </c>
      <c r="C513" s="315">
        <v>1049</v>
      </c>
    </row>
    <row r="514" spans="1:3">
      <c r="A514" t="s">
        <v>1476</v>
      </c>
      <c r="B514" s="314" t="s">
        <v>2286</v>
      </c>
      <c r="C514" s="315">
        <v>1050</v>
      </c>
    </row>
    <row r="515" spans="1:3">
      <c r="A515" t="s">
        <v>1476</v>
      </c>
      <c r="B515" s="314" t="s">
        <v>2287</v>
      </c>
      <c r="C515" s="315">
        <v>2698</v>
      </c>
    </row>
    <row r="516" spans="1:3">
      <c r="A516" t="s">
        <v>1476</v>
      </c>
      <c r="B516" s="314" t="s">
        <v>2288</v>
      </c>
      <c r="C516" s="315">
        <v>1051</v>
      </c>
    </row>
    <row r="517" spans="1:3">
      <c r="A517" t="s">
        <v>1476</v>
      </c>
      <c r="B517" s="314" t="s">
        <v>2289</v>
      </c>
      <c r="C517" s="315">
        <v>1052</v>
      </c>
    </row>
    <row r="518" spans="1:3">
      <c r="A518" t="s">
        <v>1476</v>
      </c>
      <c r="B518" s="314" t="s">
        <v>2290</v>
      </c>
      <c r="C518" s="315">
        <v>2699</v>
      </c>
    </row>
    <row r="519" spans="1:3">
      <c r="A519" t="s">
        <v>1476</v>
      </c>
      <c r="B519" s="314" t="s">
        <v>2291</v>
      </c>
      <c r="C519" s="315">
        <v>1803</v>
      </c>
    </row>
    <row r="520" spans="1:3">
      <c r="A520" t="s">
        <v>1476</v>
      </c>
      <c r="B520" s="314" t="s">
        <v>2292</v>
      </c>
      <c r="C520" s="315">
        <v>1380</v>
      </c>
    </row>
    <row r="521" spans="1:3">
      <c r="A521" t="s">
        <v>1476</v>
      </c>
      <c r="B521" s="314" t="s">
        <v>2292</v>
      </c>
      <c r="C521" s="315">
        <v>2291</v>
      </c>
    </row>
    <row r="522" spans="1:3">
      <c r="A522" t="s">
        <v>1476</v>
      </c>
      <c r="B522" s="314" t="s">
        <v>2293</v>
      </c>
      <c r="C522" s="315">
        <v>1443</v>
      </c>
    </row>
    <row r="523" spans="1:3">
      <c r="A523" t="s">
        <v>1476</v>
      </c>
      <c r="B523" s="314" t="s">
        <v>2294</v>
      </c>
      <c r="C523" s="315">
        <v>2737</v>
      </c>
    </row>
    <row r="524" spans="1:3">
      <c r="A524" t="s">
        <v>1476</v>
      </c>
      <c r="B524" s="314" t="s">
        <v>182</v>
      </c>
      <c r="C524" s="315">
        <v>2292</v>
      </c>
    </row>
    <row r="525" spans="1:3">
      <c r="A525" t="s">
        <v>1476</v>
      </c>
      <c r="B525" s="314" t="s">
        <v>2295</v>
      </c>
      <c r="C525" s="315">
        <v>2711</v>
      </c>
    </row>
    <row r="526" spans="1:3">
      <c r="A526" t="s">
        <v>1476</v>
      </c>
      <c r="B526" s="314" t="s">
        <v>2295</v>
      </c>
      <c r="C526" s="315">
        <v>1386</v>
      </c>
    </row>
    <row r="527" spans="1:3">
      <c r="A527" t="s">
        <v>1476</v>
      </c>
      <c r="B527" s="314" t="s">
        <v>2296</v>
      </c>
      <c r="C527" s="315">
        <v>1385</v>
      </c>
    </row>
    <row r="528" spans="1:3">
      <c r="A528" t="s">
        <v>1476</v>
      </c>
      <c r="B528" s="314" t="s">
        <v>2296</v>
      </c>
      <c r="C528" s="315">
        <v>2293</v>
      </c>
    </row>
    <row r="529" spans="1:3">
      <c r="A529" t="s">
        <v>1476</v>
      </c>
      <c r="B529" s="314" t="s">
        <v>2297</v>
      </c>
      <c r="C529" s="315">
        <v>1469</v>
      </c>
    </row>
    <row r="530" spans="1:3">
      <c r="A530" t="s">
        <v>1476</v>
      </c>
      <c r="B530" s="314" t="s">
        <v>2298</v>
      </c>
      <c r="C530" s="315">
        <v>2702</v>
      </c>
    </row>
    <row r="531" spans="1:3">
      <c r="A531" t="s">
        <v>1476</v>
      </c>
      <c r="B531" s="314" t="s">
        <v>2299</v>
      </c>
      <c r="C531" s="315">
        <v>2703</v>
      </c>
    </row>
    <row r="532" spans="1:3">
      <c r="A532" t="s">
        <v>1476</v>
      </c>
      <c r="B532" s="314" t="s">
        <v>2300</v>
      </c>
      <c r="C532" s="315">
        <v>2294</v>
      </c>
    </row>
    <row r="533" spans="1:3">
      <c r="A533" t="s">
        <v>1476</v>
      </c>
      <c r="B533" s="314" t="s">
        <v>2301</v>
      </c>
      <c r="C533" s="315">
        <v>2295</v>
      </c>
    </row>
    <row r="534" spans="1:3">
      <c r="A534" t="s">
        <v>1476</v>
      </c>
      <c r="B534" s="314" t="s">
        <v>2302</v>
      </c>
      <c r="C534" s="315">
        <v>2296</v>
      </c>
    </row>
    <row r="535" spans="1:3">
      <c r="A535" t="s">
        <v>1476</v>
      </c>
      <c r="B535" s="314" t="s">
        <v>2303</v>
      </c>
      <c r="C535" s="315">
        <v>2298</v>
      </c>
    </row>
    <row r="536" spans="1:3">
      <c r="A536" t="s">
        <v>1476</v>
      </c>
      <c r="B536" s="314" t="s">
        <v>2304</v>
      </c>
      <c r="C536" s="315">
        <v>2299</v>
      </c>
    </row>
    <row r="537" spans="1:3">
      <c r="A537" t="s">
        <v>1476</v>
      </c>
      <c r="B537" s="314" t="s">
        <v>2305</v>
      </c>
      <c r="C537" s="315">
        <v>2300</v>
      </c>
    </row>
    <row r="538" spans="1:3">
      <c r="A538" t="s">
        <v>1476</v>
      </c>
      <c r="B538" s="314" t="s">
        <v>2306</v>
      </c>
      <c r="C538" s="315">
        <v>2301</v>
      </c>
    </row>
    <row r="539" spans="1:3">
      <c r="A539" t="s">
        <v>1476</v>
      </c>
      <c r="B539" s="314" t="s">
        <v>2307</v>
      </c>
      <c r="C539" s="315">
        <v>2302</v>
      </c>
    </row>
    <row r="540" spans="1:3">
      <c r="A540" t="s">
        <v>1476</v>
      </c>
      <c r="B540" s="314" t="s">
        <v>2308</v>
      </c>
      <c r="C540" s="315">
        <v>1501</v>
      </c>
    </row>
    <row r="541" spans="1:3">
      <c r="A541" t="s">
        <v>1476</v>
      </c>
      <c r="B541" s="314" t="s">
        <v>2309</v>
      </c>
      <c r="C541" s="315">
        <v>1502</v>
      </c>
    </row>
    <row r="542" spans="1:3">
      <c r="A542" t="s">
        <v>1476</v>
      </c>
      <c r="B542" s="314" t="s">
        <v>2310</v>
      </c>
      <c r="C542" s="315">
        <v>1461</v>
      </c>
    </row>
    <row r="543" spans="1:3">
      <c r="A543" t="s">
        <v>1476</v>
      </c>
      <c r="B543" s="314" t="s">
        <v>2311</v>
      </c>
      <c r="C543" s="315">
        <v>1338</v>
      </c>
    </row>
    <row r="544" spans="1:3">
      <c r="A544" t="s">
        <v>1476</v>
      </c>
      <c r="B544" s="314" t="s">
        <v>2312</v>
      </c>
      <c r="C544" s="315">
        <v>1401</v>
      </c>
    </row>
    <row r="545" spans="1:3">
      <c r="A545" t="s">
        <v>1476</v>
      </c>
      <c r="B545" s="314" t="s">
        <v>2312</v>
      </c>
      <c r="C545" s="315">
        <v>2303</v>
      </c>
    </row>
    <row r="546" spans="1:3">
      <c r="A546" t="s">
        <v>1476</v>
      </c>
      <c r="B546" s="314" t="s">
        <v>2313</v>
      </c>
      <c r="C546" s="315">
        <v>2670</v>
      </c>
    </row>
    <row r="547" spans="1:3">
      <c r="A547" t="s">
        <v>1476</v>
      </c>
      <c r="B547" s="314" t="s">
        <v>2314</v>
      </c>
      <c r="C547" s="315">
        <v>2304</v>
      </c>
    </row>
    <row r="548" spans="1:3">
      <c r="A548" t="s">
        <v>1476</v>
      </c>
      <c r="B548" s="314" t="s">
        <v>2315</v>
      </c>
      <c r="C548" s="315">
        <v>2305</v>
      </c>
    </row>
    <row r="549" spans="1:3">
      <c r="A549" t="s">
        <v>1476</v>
      </c>
      <c r="B549" s="314" t="s">
        <v>2316</v>
      </c>
      <c r="C549" s="315">
        <v>2306</v>
      </c>
    </row>
    <row r="550" spans="1:3">
      <c r="A550" t="s">
        <v>1476</v>
      </c>
      <c r="B550" s="314" t="s">
        <v>2317</v>
      </c>
      <c r="C550" s="315">
        <v>2679</v>
      </c>
    </row>
    <row r="551" spans="1:3">
      <c r="A551" t="s">
        <v>1476</v>
      </c>
      <c r="B551" s="314" t="s">
        <v>2318</v>
      </c>
      <c r="C551" s="315">
        <v>1438</v>
      </c>
    </row>
    <row r="552" spans="1:3">
      <c r="A552" t="s">
        <v>1476</v>
      </c>
      <c r="B552" s="314" t="s">
        <v>2319</v>
      </c>
      <c r="C552" s="315">
        <v>2307</v>
      </c>
    </row>
    <row r="553" spans="1:3">
      <c r="A553" t="s">
        <v>1476</v>
      </c>
      <c r="B553" s="314" t="s">
        <v>2320</v>
      </c>
      <c r="C553" s="315">
        <v>2308</v>
      </c>
    </row>
    <row r="554" spans="1:3">
      <c r="A554" t="s">
        <v>1476</v>
      </c>
      <c r="B554" s="314" t="s">
        <v>2321</v>
      </c>
      <c r="C554" s="315">
        <v>1344</v>
      </c>
    </row>
    <row r="555" spans="1:3">
      <c r="A555" t="s">
        <v>1476</v>
      </c>
      <c r="B555" s="314" t="s">
        <v>2322</v>
      </c>
      <c r="C555" s="315">
        <v>1345</v>
      </c>
    </row>
    <row r="556" spans="1:3">
      <c r="A556" t="s">
        <v>1476</v>
      </c>
      <c r="B556" s="314" t="s">
        <v>2323</v>
      </c>
      <c r="C556" s="315">
        <v>2309</v>
      </c>
    </row>
    <row r="557" spans="1:3">
      <c r="A557" t="s">
        <v>1476</v>
      </c>
      <c r="B557" s="314" t="s">
        <v>2324</v>
      </c>
      <c r="C557" s="315">
        <v>2001</v>
      </c>
    </row>
    <row r="558" spans="1:3">
      <c r="A558" t="s">
        <v>1476</v>
      </c>
      <c r="B558" s="314" t="s">
        <v>2325</v>
      </c>
      <c r="C558" s="315">
        <v>1457</v>
      </c>
    </row>
    <row r="559" spans="1:3">
      <c r="A559" t="s">
        <v>1476</v>
      </c>
      <c r="B559" s="314" t="s">
        <v>2326</v>
      </c>
      <c r="C559" s="315">
        <v>2310</v>
      </c>
    </row>
    <row r="560" spans="1:3">
      <c r="A560" t="s">
        <v>1476</v>
      </c>
      <c r="B560" s="314" t="s">
        <v>2327</v>
      </c>
      <c r="C560" s="315">
        <v>2674</v>
      </c>
    </row>
    <row r="561" spans="1:3">
      <c r="A561" t="s">
        <v>1476</v>
      </c>
      <c r="B561" s="314" t="s">
        <v>2328</v>
      </c>
      <c r="C561" s="315">
        <v>2659</v>
      </c>
    </row>
    <row r="562" spans="1:3">
      <c r="A562" t="s">
        <v>1476</v>
      </c>
      <c r="B562" s="314" t="s">
        <v>2329</v>
      </c>
      <c r="C562" s="315">
        <v>2311</v>
      </c>
    </row>
    <row r="563" spans="1:3">
      <c r="A563" t="s">
        <v>1476</v>
      </c>
      <c r="B563" s="314" t="s">
        <v>2330</v>
      </c>
      <c r="C563" s="315">
        <v>1053</v>
      </c>
    </row>
    <row r="564" spans="1:3">
      <c r="A564" t="s">
        <v>1476</v>
      </c>
      <c r="B564" s="314" t="s">
        <v>2331</v>
      </c>
      <c r="C564" s="315">
        <v>2312</v>
      </c>
    </row>
    <row r="565" spans="1:3">
      <c r="A565" t="s">
        <v>1476</v>
      </c>
      <c r="B565" s="314" t="s">
        <v>2332</v>
      </c>
      <c r="C565" s="315">
        <v>1454</v>
      </c>
    </row>
    <row r="566" spans="1:3">
      <c r="A566" t="s">
        <v>1476</v>
      </c>
      <c r="B566" s="314" t="s">
        <v>2333</v>
      </c>
      <c r="C566" s="315">
        <v>2313</v>
      </c>
    </row>
    <row r="567" spans="1:3">
      <c r="A567" t="s">
        <v>1476</v>
      </c>
      <c r="B567" s="314" t="s">
        <v>2334</v>
      </c>
      <c r="C567" s="315">
        <v>1381</v>
      </c>
    </row>
    <row r="568" spans="1:3">
      <c r="A568" t="s">
        <v>1476</v>
      </c>
      <c r="B568" s="314" t="s">
        <v>2335</v>
      </c>
      <c r="C568" s="315">
        <v>1154</v>
      </c>
    </row>
    <row r="569" spans="1:3">
      <c r="A569" t="s">
        <v>1476</v>
      </c>
      <c r="B569" s="314" t="s">
        <v>2336</v>
      </c>
      <c r="C569" s="315">
        <v>2754</v>
      </c>
    </row>
    <row r="570" spans="1:3">
      <c r="A570" t="s">
        <v>1476</v>
      </c>
      <c r="B570" s="314" t="s">
        <v>2337</v>
      </c>
      <c r="C570" s="315">
        <v>2314</v>
      </c>
    </row>
    <row r="571" spans="1:3">
      <c r="A571" t="s">
        <v>1476</v>
      </c>
      <c r="B571" s="314" t="s">
        <v>2338</v>
      </c>
      <c r="C571" s="315">
        <v>2315</v>
      </c>
    </row>
    <row r="572" spans="1:3">
      <c r="A572" t="s">
        <v>1476</v>
      </c>
      <c r="B572" s="314" t="s">
        <v>2339</v>
      </c>
      <c r="C572" s="315">
        <v>2316</v>
      </c>
    </row>
    <row r="573" spans="1:3">
      <c r="A573" t="s">
        <v>1476</v>
      </c>
      <c r="B573" s="314" t="s">
        <v>2340</v>
      </c>
      <c r="C573" s="315">
        <v>2317</v>
      </c>
    </row>
    <row r="574" spans="1:3">
      <c r="A574" t="s">
        <v>1476</v>
      </c>
      <c r="B574" s="314" t="s">
        <v>2341</v>
      </c>
      <c r="C574" s="315">
        <v>1054</v>
      </c>
    </row>
    <row r="575" spans="1:3">
      <c r="A575" t="s">
        <v>1476</v>
      </c>
      <c r="B575" s="314" t="s">
        <v>2342</v>
      </c>
      <c r="C575" s="315">
        <v>1055</v>
      </c>
    </row>
    <row r="576" spans="1:3">
      <c r="A576" t="s">
        <v>1476</v>
      </c>
      <c r="B576" s="314" t="s">
        <v>2342</v>
      </c>
      <c r="C576" s="315">
        <v>2318</v>
      </c>
    </row>
    <row r="577" spans="1:3">
      <c r="A577" t="s">
        <v>1476</v>
      </c>
      <c r="B577" s="314" t="s">
        <v>2343</v>
      </c>
      <c r="C577" s="315">
        <v>1476</v>
      </c>
    </row>
    <row r="578" spans="1:3">
      <c r="A578" t="s">
        <v>1476</v>
      </c>
      <c r="B578" s="314" t="s">
        <v>2344</v>
      </c>
      <c r="C578" s="315">
        <v>2319</v>
      </c>
    </row>
    <row r="579" spans="1:3">
      <c r="A579" t="s">
        <v>1476</v>
      </c>
      <c r="B579" s="314" t="s">
        <v>2345</v>
      </c>
      <c r="C579" s="315">
        <v>2320</v>
      </c>
    </row>
    <row r="580" spans="1:3">
      <c r="A580" t="s">
        <v>1476</v>
      </c>
      <c r="B580" s="314" t="s">
        <v>2346</v>
      </c>
      <c r="C580" s="315">
        <v>2321</v>
      </c>
    </row>
    <row r="581" spans="1:3">
      <c r="A581" t="s">
        <v>1476</v>
      </c>
      <c r="B581" s="314" t="s">
        <v>2347</v>
      </c>
      <c r="C581" s="315">
        <v>1497</v>
      </c>
    </row>
    <row r="582" spans="1:3">
      <c r="A582" t="s">
        <v>1476</v>
      </c>
      <c r="B582" s="314" t="s">
        <v>2348</v>
      </c>
      <c r="C582" s="315">
        <v>2322</v>
      </c>
    </row>
    <row r="583" spans="1:3">
      <c r="A583" t="s">
        <v>1476</v>
      </c>
      <c r="B583" s="314" t="s">
        <v>2349</v>
      </c>
      <c r="C583" s="315">
        <v>2323</v>
      </c>
    </row>
    <row r="584" spans="1:3">
      <c r="A584" t="s">
        <v>1476</v>
      </c>
      <c r="B584" s="314" t="s">
        <v>2350</v>
      </c>
      <c r="C584" s="315">
        <v>2324</v>
      </c>
    </row>
    <row r="585" spans="1:3">
      <c r="A585" t="s">
        <v>1476</v>
      </c>
      <c r="B585" s="314" t="s">
        <v>2351</v>
      </c>
      <c r="C585" s="315">
        <v>2325</v>
      </c>
    </row>
    <row r="586" spans="1:3">
      <c r="A586" t="s">
        <v>1476</v>
      </c>
      <c r="B586" s="314" t="s">
        <v>2352</v>
      </c>
      <c r="C586" s="315">
        <v>2326</v>
      </c>
    </row>
    <row r="587" spans="1:3">
      <c r="A587" t="s">
        <v>1476</v>
      </c>
      <c r="B587" s="314" t="s">
        <v>2352</v>
      </c>
      <c r="C587" s="315">
        <v>1370</v>
      </c>
    </row>
    <row r="588" spans="1:3">
      <c r="A588" t="s">
        <v>1476</v>
      </c>
      <c r="B588" s="314" t="s">
        <v>2353</v>
      </c>
      <c r="C588" s="315">
        <v>2327</v>
      </c>
    </row>
    <row r="589" spans="1:3">
      <c r="A589" t="s">
        <v>1476</v>
      </c>
      <c r="B589" s="314" t="s">
        <v>2354</v>
      </c>
      <c r="C589" s="315">
        <v>2328</v>
      </c>
    </row>
    <row r="590" spans="1:3">
      <c r="A590" t="s">
        <v>1476</v>
      </c>
      <c r="B590" s="314" t="s">
        <v>2355</v>
      </c>
      <c r="C590" s="315">
        <v>2329</v>
      </c>
    </row>
    <row r="591" spans="1:3">
      <c r="A591" t="s">
        <v>1476</v>
      </c>
      <c r="B591" s="314" t="s">
        <v>2356</v>
      </c>
      <c r="C591" s="315">
        <v>2330</v>
      </c>
    </row>
    <row r="592" spans="1:3">
      <c r="A592" t="s">
        <v>1476</v>
      </c>
      <c r="B592" s="314" t="s">
        <v>2357</v>
      </c>
      <c r="C592" s="315">
        <v>1498</v>
      </c>
    </row>
    <row r="593" spans="1:3">
      <c r="A593" t="s">
        <v>1476</v>
      </c>
      <c r="B593" s="314" t="s">
        <v>2358</v>
      </c>
      <c r="C593" s="315">
        <v>2331</v>
      </c>
    </row>
    <row r="594" spans="1:3">
      <c r="A594" t="s">
        <v>1476</v>
      </c>
      <c r="B594" s="314" t="s">
        <v>2359</v>
      </c>
      <c r="C594" s="315">
        <v>2332</v>
      </c>
    </row>
    <row r="595" spans="1:3">
      <c r="A595" t="s">
        <v>1476</v>
      </c>
      <c r="B595" s="314" t="s">
        <v>2360</v>
      </c>
      <c r="C595" s="315">
        <v>2333</v>
      </c>
    </row>
    <row r="596" spans="1:3">
      <c r="A596" t="s">
        <v>1476</v>
      </c>
      <c r="B596" s="314" t="s">
        <v>2361</v>
      </c>
      <c r="C596" s="315">
        <v>2334</v>
      </c>
    </row>
    <row r="597" spans="1:3">
      <c r="A597" t="s">
        <v>1476</v>
      </c>
      <c r="B597" s="314" t="s">
        <v>2362</v>
      </c>
      <c r="C597" s="315">
        <v>2736</v>
      </c>
    </row>
    <row r="598" spans="1:3">
      <c r="A598" t="s">
        <v>1476</v>
      </c>
      <c r="B598" s="314" t="s">
        <v>2363</v>
      </c>
      <c r="C598" s="315">
        <v>2335</v>
      </c>
    </row>
    <row r="599" spans="1:3">
      <c r="A599" t="s">
        <v>1476</v>
      </c>
      <c r="B599" s="314" t="s">
        <v>2364</v>
      </c>
      <c r="C599" s="315">
        <v>2336</v>
      </c>
    </row>
    <row r="600" spans="1:3">
      <c r="A600" t="s">
        <v>1476</v>
      </c>
      <c r="B600" s="314" t="s">
        <v>2365</v>
      </c>
      <c r="C600" s="315">
        <v>1056</v>
      </c>
    </row>
    <row r="601" spans="1:3">
      <c r="A601" t="s">
        <v>1476</v>
      </c>
      <c r="B601" s="314" t="s">
        <v>2366</v>
      </c>
      <c r="C601" s="315">
        <v>2337</v>
      </c>
    </row>
    <row r="602" spans="1:3">
      <c r="A602" t="s">
        <v>1476</v>
      </c>
      <c r="B602" s="314" t="s">
        <v>2367</v>
      </c>
      <c r="C602" s="315">
        <v>1467</v>
      </c>
    </row>
    <row r="603" spans="1:3">
      <c r="A603" t="s">
        <v>1476</v>
      </c>
      <c r="B603" s="314" t="s">
        <v>2368</v>
      </c>
      <c r="C603" s="315">
        <v>2338</v>
      </c>
    </row>
    <row r="604" spans="1:3">
      <c r="A604" t="s">
        <v>1476</v>
      </c>
      <c r="B604" s="314" t="s">
        <v>2369</v>
      </c>
      <c r="C604" s="315">
        <v>2602</v>
      </c>
    </row>
    <row r="605" spans="1:3">
      <c r="A605" t="s">
        <v>1476</v>
      </c>
      <c r="B605" s="314" t="s">
        <v>2370</v>
      </c>
      <c r="C605" s="315">
        <v>2339</v>
      </c>
    </row>
    <row r="606" spans="1:3">
      <c r="A606" t="s">
        <v>1476</v>
      </c>
      <c r="B606" s="314" t="s">
        <v>2371</v>
      </c>
      <c r="C606" s="315">
        <v>2340</v>
      </c>
    </row>
    <row r="607" spans="1:3">
      <c r="A607" t="s">
        <v>1476</v>
      </c>
      <c r="B607" s="314" t="s">
        <v>2372</v>
      </c>
      <c r="C607" s="315">
        <v>2341</v>
      </c>
    </row>
    <row r="608" spans="1:3">
      <c r="A608" t="s">
        <v>1476</v>
      </c>
      <c r="B608" s="314" t="s">
        <v>2373</v>
      </c>
      <c r="C608" s="315">
        <v>2342</v>
      </c>
    </row>
    <row r="609" spans="1:3">
      <c r="A609" t="s">
        <v>1476</v>
      </c>
      <c r="B609" s="314" t="s">
        <v>2374</v>
      </c>
      <c r="C609" s="315">
        <v>1808</v>
      </c>
    </row>
    <row r="610" spans="1:3">
      <c r="A610" t="s">
        <v>1476</v>
      </c>
      <c r="B610" s="314" t="s">
        <v>2375</v>
      </c>
      <c r="C610" s="315">
        <v>2343</v>
      </c>
    </row>
    <row r="611" spans="1:3">
      <c r="A611" t="s">
        <v>1476</v>
      </c>
      <c r="B611" s="314" t="s">
        <v>2376</v>
      </c>
      <c r="C611" s="315">
        <v>2731</v>
      </c>
    </row>
    <row r="612" spans="1:3">
      <c r="A612" t="s">
        <v>1476</v>
      </c>
      <c r="B612" s="314" t="s">
        <v>2377</v>
      </c>
      <c r="C612" s="315">
        <v>2344</v>
      </c>
    </row>
    <row r="613" spans="1:3">
      <c r="A613" t="s">
        <v>1476</v>
      </c>
      <c r="B613" s="314" t="s">
        <v>2378</v>
      </c>
      <c r="C613" s="315">
        <v>2345</v>
      </c>
    </row>
    <row r="614" spans="1:3">
      <c r="A614" t="s">
        <v>1476</v>
      </c>
      <c r="B614" s="314" t="s">
        <v>2379</v>
      </c>
      <c r="C614" s="315">
        <v>2346</v>
      </c>
    </row>
    <row r="615" spans="1:3">
      <c r="A615" t="s">
        <v>1476</v>
      </c>
      <c r="B615" s="314" t="s">
        <v>2380</v>
      </c>
      <c r="C615" s="315">
        <v>2347</v>
      </c>
    </row>
    <row r="616" spans="1:3">
      <c r="A616" t="s">
        <v>1476</v>
      </c>
      <c r="B616" s="314" t="s">
        <v>2381</v>
      </c>
      <c r="C616" s="315">
        <v>2732</v>
      </c>
    </row>
    <row r="617" spans="1:3">
      <c r="A617" t="s">
        <v>1476</v>
      </c>
      <c r="B617" s="314" t="s">
        <v>2382</v>
      </c>
      <c r="C617" s="315">
        <v>2348</v>
      </c>
    </row>
    <row r="618" spans="1:3">
      <c r="A618" t="s">
        <v>1476</v>
      </c>
      <c r="B618" s="314" t="s">
        <v>2383</v>
      </c>
      <c r="C618" s="315">
        <v>2349</v>
      </c>
    </row>
    <row r="619" spans="1:3">
      <c r="A619" t="s">
        <v>1476</v>
      </c>
      <c r="B619" s="314" t="s">
        <v>2384</v>
      </c>
      <c r="C619" s="315">
        <v>1128</v>
      </c>
    </row>
    <row r="620" spans="1:3">
      <c r="A620" t="s">
        <v>1476</v>
      </c>
      <c r="B620" s="314" t="s">
        <v>2385</v>
      </c>
      <c r="C620" s="315">
        <v>1124</v>
      </c>
    </row>
    <row r="621" spans="1:3">
      <c r="A621" t="s">
        <v>1476</v>
      </c>
      <c r="B621" s="314" t="s">
        <v>2386</v>
      </c>
      <c r="C621" s="315">
        <v>1120</v>
      </c>
    </row>
    <row r="622" spans="1:3">
      <c r="A622" t="s">
        <v>1476</v>
      </c>
      <c r="B622" s="314" t="s">
        <v>2387</v>
      </c>
      <c r="C622" s="315">
        <v>1123</v>
      </c>
    </row>
    <row r="623" spans="1:3">
      <c r="A623" t="s">
        <v>1476</v>
      </c>
      <c r="B623" s="314" t="s">
        <v>2388</v>
      </c>
      <c r="C623" s="315">
        <v>2350</v>
      </c>
    </row>
    <row r="624" spans="1:3">
      <c r="A624" t="s">
        <v>1476</v>
      </c>
      <c r="B624" s="314" t="s">
        <v>2389</v>
      </c>
      <c r="C624" s="315">
        <v>2351</v>
      </c>
    </row>
    <row r="625" spans="1:3">
      <c r="A625" t="s">
        <v>1476</v>
      </c>
      <c r="B625" s="314" t="s">
        <v>2390</v>
      </c>
      <c r="C625" s="315">
        <v>2352</v>
      </c>
    </row>
    <row r="626" spans="1:3">
      <c r="A626" t="s">
        <v>1476</v>
      </c>
      <c r="B626" s="314" t="s">
        <v>2391</v>
      </c>
      <c r="C626" s="315">
        <v>1057</v>
      </c>
    </row>
    <row r="627" spans="1:3">
      <c r="A627" t="s">
        <v>1476</v>
      </c>
      <c r="B627" s="314" t="s">
        <v>2392</v>
      </c>
      <c r="C627" s="315">
        <v>2353</v>
      </c>
    </row>
    <row r="628" spans="1:3">
      <c r="A628" t="s">
        <v>1476</v>
      </c>
      <c r="B628" s="314" t="s">
        <v>2393</v>
      </c>
      <c r="C628" s="315">
        <v>2354</v>
      </c>
    </row>
    <row r="629" spans="1:3">
      <c r="A629" t="s">
        <v>1476</v>
      </c>
      <c r="B629" s="314" t="s">
        <v>2394</v>
      </c>
      <c r="C629" s="315">
        <v>1129</v>
      </c>
    </row>
    <row r="630" spans="1:3">
      <c r="A630" t="s">
        <v>1476</v>
      </c>
      <c r="B630" s="314" t="s">
        <v>2395</v>
      </c>
      <c r="C630" s="315">
        <v>2355</v>
      </c>
    </row>
    <row r="631" spans="1:3">
      <c r="A631" t="s">
        <v>1476</v>
      </c>
      <c r="B631" s="314" t="s">
        <v>2396</v>
      </c>
      <c r="C631" s="315">
        <v>2356</v>
      </c>
    </row>
    <row r="632" spans="1:3">
      <c r="A632" t="s">
        <v>1476</v>
      </c>
      <c r="B632" s="314" t="s">
        <v>2397</v>
      </c>
      <c r="C632" s="315">
        <v>2357</v>
      </c>
    </row>
    <row r="633" spans="1:3">
      <c r="A633" t="s">
        <v>1476</v>
      </c>
      <c r="B633" s="314" t="s">
        <v>2398</v>
      </c>
      <c r="C633" s="315">
        <v>2358</v>
      </c>
    </row>
    <row r="634" spans="1:3">
      <c r="A634" t="s">
        <v>1476</v>
      </c>
      <c r="B634" s="314" t="s">
        <v>2399</v>
      </c>
      <c r="C634" s="315">
        <v>2359</v>
      </c>
    </row>
    <row r="635" spans="1:3">
      <c r="A635" t="s">
        <v>1476</v>
      </c>
      <c r="B635" s="314" t="s">
        <v>2400</v>
      </c>
      <c r="C635" s="315">
        <v>2360</v>
      </c>
    </row>
    <row r="636" spans="1:3">
      <c r="A636" t="s">
        <v>1476</v>
      </c>
      <c r="B636" s="314" t="s">
        <v>2400</v>
      </c>
      <c r="C636" s="315">
        <v>1058</v>
      </c>
    </row>
    <row r="637" spans="1:3">
      <c r="A637" t="s">
        <v>1476</v>
      </c>
      <c r="B637" s="314" t="s">
        <v>2401</v>
      </c>
      <c r="C637" s="315">
        <v>2361</v>
      </c>
    </row>
    <row r="638" spans="1:3">
      <c r="A638" t="s">
        <v>1476</v>
      </c>
      <c r="B638" s="314" t="s">
        <v>2402</v>
      </c>
      <c r="C638" s="315">
        <v>2362</v>
      </c>
    </row>
    <row r="639" spans="1:3">
      <c r="A639" t="s">
        <v>1476</v>
      </c>
      <c r="B639" s="314" t="s">
        <v>2403</v>
      </c>
      <c r="C639" s="315">
        <v>2363</v>
      </c>
    </row>
    <row r="640" spans="1:3">
      <c r="A640" t="s">
        <v>1476</v>
      </c>
      <c r="B640" s="314" t="s">
        <v>2404</v>
      </c>
      <c r="C640" s="315">
        <v>2364</v>
      </c>
    </row>
    <row r="641" spans="1:3">
      <c r="A641" t="s">
        <v>1476</v>
      </c>
      <c r="B641" s="314" t="s">
        <v>2405</v>
      </c>
      <c r="C641" s="315">
        <v>2672</v>
      </c>
    </row>
    <row r="642" spans="1:3">
      <c r="A642" t="s">
        <v>1476</v>
      </c>
      <c r="B642" s="314" t="s">
        <v>2406</v>
      </c>
      <c r="C642" s="315">
        <v>2721</v>
      </c>
    </row>
    <row r="643" spans="1:3">
      <c r="A643" t="s">
        <v>1476</v>
      </c>
      <c r="B643" s="314" t="s">
        <v>2407</v>
      </c>
      <c r="C643" s="315">
        <v>2365</v>
      </c>
    </row>
    <row r="644" spans="1:3">
      <c r="A644" t="s">
        <v>1476</v>
      </c>
      <c r="B644" s="314" t="s">
        <v>2408</v>
      </c>
      <c r="C644" s="315">
        <v>2366</v>
      </c>
    </row>
    <row r="645" spans="1:3">
      <c r="A645" t="s">
        <v>1476</v>
      </c>
      <c r="B645" s="314" t="s">
        <v>2409</v>
      </c>
      <c r="C645" s="315">
        <v>2367</v>
      </c>
    </row>
    <row r="646" spans="1:3">
      <c r="A646" t="s">
        <v>1476</v>
      </c>
      <c r="B646" s="314" t="s">
        <v>2410</v>
      </c>
      <c r="C646" s="315">
        <v>2368</v>
      </c>
    </row>
    <row r="647" spans="1:3">
      <c r="A647" t="s">
        <v>1476</v>
      </c>
      <c r="B647" s="314" t="s">
        <v>2411</v>
      </c>
      <c r="C647" s="315">
        <v>2369</v>
      </c>
    </row>
    <row r="648" spans="1:3">
      <c r="A648" t="s">
        <v>1476</v>
      </c>
      <c r="B648" s="314" t="s">
        <v>2412</v>
      </c>
      <c r="C648" s="315">
        <v>1383</v>
      </c>
    </row>
    <row r="649" spans="1:3">
      <c r="A649" t="s">
        <v>1476</v>
      </c>
      <c r="B649" s="314" t="s">
        <v>2413</v>
      </c>
      <c r="C649" s="315">
        <v>2370</v>
      </c>
    </row>
    <row r="650" spans="1:3">
      <c r="A650" t="s">
        <v>1476</v>
      </c>
      <c r="B650" s="314" t="s">
        <v>2414</v>
      </c>
      <c r="C650" s="315">
        <v>1059</v>
      </c>
    </row>
    <row r="651" spans="1:3">
      <c r="A651" t="s">
        <v>1476</v>
      </c>
      <c r="B651" s="314" t="s">
        <v>2415</v>
      </c>
      <c r="C651" s="315">
        <v>1060</v>
      </c>
    </row>
    <row r="652" spans="1:3">
      <c r="A652" t="s">
        <v>1476</v>
      </c>
      <c r="B652" s="314" t="s">
        <v>2416</v>
      </c>
      <c r="C652" s="315">
        <v>1061</v>
      </c>
    </row>
    <row r="653" spans="1:3">
      <c r="A653" t="s">
        <v>1476</v>
      </c>
      <c r="B653" s="314" t="s">
        <v>2417</v>
      </c>
      <c r="C653" s="315">
        <v>1062</v>
      </c>
    </row>
    <row r="654" spans="1:3">
      <c r="A654" t="s">
        <v>1476</v>
      </c>
      <c r="B654" s="314" t="s">
        <v>2418</v>
      </c>
      <c r="C654" s="315">
        <v>1135</v>
      </c>
    </row>
    <row r="655" spans="1:3">
      <c r="A655" t="s">
        <v>1476</v>
      </c>
      <c r="B655" s="314" t="s">
        <v>2419</v>
      </c>
      <c r="C655" s="315">
        <v>2720</v>
      </c>
    </row>
    <row r="656" spans="1:3">
      <c r="A656" t="s">
        <v>1476</v>
      </c>
      <c r="B656" s="314" t="s">
        <v>2420</v>
      </c>
      <c r="C656" s="315">
        <v>1373</v>
      </c>
    </row>
    <row r="657" spans="1:3">
      <c r="A657" t="s">
        <v>1476</v>
      </c>
      <c r="B657" s="314" t="s">
        <v>2421</v>
      </c>
      <c r="C657" s="315">
        <v>1137</v>
      </c>
    </row>
    <row r="658" spans="1:3">
      <c r="A658" t="s">
        <v>1476</v>
      </c>
      <c r="B658" s="314" t="s">
        <v>2422</v>
      </c>
      <c r="C658" s="315">
        <v>1064</v>
      </c>
    </row>
    <row r="659" spans="1:3">
      <c r="A659" t="s">
        <v>1476</v>
      </c>
      <c r="B659" s="314" t="s">
        <v>2423</v>
      </c>
      <c r="C659" s="315">
        <v>1063</v>
      </c>
    </row>
    <row r="660" spans="1:3">
      <c r="A660" t="s">
        <v>1476</v>
      </c>
      <c r="B660" s="314" t="s">
        <v>2424</v>
      </c>
      <c r="C660" s="315">
        <v>1136</v>
      </c>
    </row>
    <row r="661" spans="1:3">
      <c r="A661" t="s">
        <v>1476</v>
      </c>
      <c r="B661" s="314" t="s">
        <v>1202</v>
      </c>
      <c r="C661" s="315">
        <v>1474</v>
      </c>
    </row>
    <row r="662" spans="1:3">
      <c r="A662" t="s">
        <v>1476</v>
      </c>
      <c r="B662" s="314" t="s">
        <v>1202</v>
      </c>
      <c r="C662" s="315">
        <v>2371</v>
      </c>
    </row>
    <row r="663" spans="1:3">
      <c r="A663" t="s">
        <v>1476</v>
      </c>
      <c r="B663" s="314" t="s">
        <v>2425</v>
      </c>
      <c r="C663" s="315">
        <v>2372</v>
      </c>
    </row>
    <row r="664" spans="1:3">
      <c r="A664" t="s">
        <v>1476</v>
      </c>
      <c r="B664" s="314" t="s">
        <v>2426</v>
      </c>
      <c r="C664" s="315">
        <v>2373</v>
      </c>
    </row>
    <row r="665" spans="1:3">
      <c r="A665" t="s">
        <v>1476</v>
      </c>
      <c r="B665" s="314" t="s">
        <v>2427</v>
      </c>
      <c r="C665" s="315">
        <v>2689</v>
      </c>
    </row>
    <row r="666" spans="1:3">
      <c r="A666" t="s">
        <v>1476</v>
      </c>
      <c r="B666" s="314" t="s">
        <v>2428</v>
      </c>
      <c r="C666" s="315">
        <v>2374</v>
      </c>
    </row>
    <row r="667" spans="1:3">
      <c r="A667" t="s">
        <v>1476</v>
      </c>
      <c r="B667" s="314" t="s">
        <v>2429</v>
      </c>
      <c r="C667" s="315">
        <v>2375</v>
      </c>
    </row>
    <row r="668" spans="1:3">
      <c r="A668" t="s">
        <v>1476</v>
      </c>
      <c r="B668" s="314" t="s">
        <v>2430</v>
      </c>
      <c r="C668" s="315">
        <v>2376</v>
      </c>
    </row>
    <row r="669" spans="1:3">
      <c r="A669" t="s">
        <v>1476</v>
      </c>
      <c r="B669" s="314" t="s">
        <v>2431</v>
      </c>
      <c r="C669" s="315">
        <v>2377</v>
      </c>
    </row>
    <row r="670" spans="1:3">
      <c r="A670" t="s">
        <v>1476</v>
      </c>
      <c r="B670" s="314" t="s">
        <v>2432</v>
      </c>
      <c r="C670" s="315">
        <v>2378</v>
      </c>
    </row>
    <row r="671" spans="1:3">
      <c r="A671" t="s">
        <v>1476</v>
      </c>
      <c r="B671" s="314" t="s">
        <v>2433</v>
      </c>
      <c r="C671" s="315">
        <v>2712</v>
      </c>
    </row>
    <row r="672" spans="1:3">
      <c r="A672" t="s">
        <v>1476</v>
      </c>
      <c r="B672" s="314" t="s">
        <v>1215</v>
      </c>
      <c r="C672" s="315">
        <v>2379</v>
      </c>
    </row>
    <row r="673" spans="1:3">
      <c r="A673" t="s">
        <v>1476</v>
      </c>
      <c r="B673" s="314" t="s">
        <v>2434</v>
      </c>
      <c r="C673" s="315">
        <v>2734</v>
      </c>
    </row>
    <row r="674" spans="1:3">
      <c r="A674" t="s">
        <v>1476</v>
      </c>
      <c r="B674" s="314" t="s">
        <v>2435</v>
      </c>
      <c r="C674" s="315">
        <v>2380</v>
      </c>
    </row>
    <row r="675" spans="1:3">
      <c r="A675" t="s">
        <v>1476</v>
      </c>
      <c r="B675" s="314" t="s">
        <v>2436</v>
      </c>
      <c r="C675" s="315">
        <v>2381</v>
      </c>
    </row>
    <row r="676" spans="1:3">
      <c r="A676" t="s">
        <v>1476</v>
      </c>
      <c r="B676" s="314" t="s">
        <v>1217</v>
      </c>
      <c r="C676" s="315">
        <v>2382</v>
      </c>
    </row>
    <row r="677" spans="1:3">
      <c r="A677" t="s">
        <v>1476</v>
      </c>
      <c r="B677" s="314" t="s">
        <v>1218</v>
      </c>
      <c r="C677" s="315">
        <v>2383</v>
      </c>
    </row>
    <row r="678" spans="1:3">
      <c r="A678" t="s">
        <v>1476</v>
      </c>
      <c r="B678" s="314" t="s">
        <v>2437</v>
      </c>
      <c r="C678" s="315">
        <v>2384</v>
      </c>
    </row>
    <row r="679" spans="1:3">
      <c r="A679" t="s">
        <v>1476</v>
      </c>
      <c r="B679" s="314" t="s">
        <v>2438</v>
      </c>
      <c r="C679" s="315">
        <v>2385</v>
      </c>
    </row>
    <row r="680" spans="1:3">
      <c r="A680" t="s">
        <v>1476</v>
      </c>
      <c r="B680" s="314" t="s">
        <v>2439</v>
      </c>
      <c r="C680" s="315">
        <v>2386</v>
      </c>
    </row>
    <row r="681" spans="1:3">
      <c r="A681" t="s">
        <v>1476</v>
      </c>
      <c r="B681" s="314" t="s">
        <v>2440</v>
      </c>
      <c r="C681" s="315">
        <v>2387</v>
      </c>
    </row>
    <row r="682" spans="1:3">
      <c r="A682" t="s">
        <v>1476</v>
      </c>
      <c r="B682" s="314" t="s">
        <v>2441</v>
      </c>
      <c r="C682" s="315">
        <v>1343</v>
      </c>
    </row>
    <row r="683" spans="1:3">
      <c r="A683" t="s">
        <v>1476</v>
      </c>
      <c r="B683" s="314" t="s">
        <v>2442</v>
      </c>
      <c r="C683" s="315">
        <v>1814</v>
      </c>
    </row>
    <row r="684" spans="1:3">
      <c r="A684" t="s">
        <v>1476</v>
      </c>
      <c r="B684" s="314" t="s">
        <v>2443</v>
      </c>
      <c r="C684" s="315">
        <v>2690</v>
      </c>
    </row>
    <row r="685" spans="1:3">
      <c r="A685" t="s">
        <v>1476</v>
      </c>
      <c r="B685" s="314" t="s">
        <v>2444</v>
      </c>
      <c r="C685" s="315">
        <v>2388</v>
      </c>
    </row>
    <row r="686" spans="1:3">
      <c r="A686" t="s">
        <v>1476</v>
      </c>
      <c r="B686" s="314" t="s">
        <v>2445</v>
      </c>
      <c r="C686" s="315">
        <v>2389</v>
      </c>
    </row>
    <row r="687" spans="1:3">
      <c r="A687" t="s">
        <v>1476</v>
      </c>
      <c r="B687" s="314" t="s">
        <v>2446</v>
      </c>
      <c r="C687" s="315">
        <v>2390</v>
      </c>
    </row>
    <row r="688" spans="1:3">
      <c r="A688" t="s">
        <v>1476</v>
      </c>
      <c r="B688" s="314" t="s">
        <v>2447</v>
      </c>
      <c r="C688" s="315">
        <v>2391</v>
      </c>
    </row>
    <row r="689" spans="1:3">
      <c r="A689" t="s">
        <v>1476</v>
      </c>
      <c r="B689" s="314" t="s">
        <v>2448</v>
      </c>
      <c r="C689" s="315">
        <v>1811</v>
      </c>
    </row>
    <row r="690" spans="1:3">
      <c r="A690" t="s">
        <v>1476</v>
      </c>
      <c r="B690" s="314" t="s">
        <v>2449</v>
      </c>
      <c r="C690" s="315">
        <v>2392</v>
      </c>
    </row>
    <row r="691" spans="1:3">
      <c r="A691" t="s">
        <v>1476</v>
      </c>
      <c r="B691" s="314" t="s">
        <v>2450</v>
      </c>
      <c r="C691" s="315">
        <v>2393</v>
      </c>
    </row>
    <row r="692" spans="1:3">
      <c r="A692" t="s">
        <v>1476</v>
      </c>
      <c r="B692" s="314" t="s">
        <v>2451</v>
      </c>
      <c r="C692" s="315">
        <v>2394</v>
      </c>
    </row>
    <row r="693" spans="1:3">
      <c r="A693" t="s">
        <v>1476</v>
      </c>
      <c r="B693" s="314" t="s">
        <v>2452</v>
      </c>
      <c r="C693" s="315">
        <v>2395</v>
      </c>
    </row>
    <row r="694" spans="1:3">
      <c r="A694" t="s">
        <v>1476</v>
      </c>
      <c r="B694" s="314" t="s">
        <v>2452</v>
      </c>
      <c r="C694" s="315">
        <v>1377</v>
      </c>
    </row>
    <row r="695" spans="1:3">
      <c r="A695" t="s">
        <v>1476</v>
      </c>
      <c r="B695" s="314" t="s">
        <v>2453</v>
      </c>
      <c r="C695" s="315">
        <v>2396</v>
      </c>
    </row>
    <row r="696" spans="1:3">
      <c r="A696" t="s">
        <v>1476</v>
      </c>
      <c r="B696" s="314" t="s">
        <v>2454</v>
      </c>
      <c r="C696" s="315">
        <v>1065</v>
      </c>
    </row>
    <row r="697" spans="1:3">
      <c r="A697" t="s">
        <v>1476</v>
      </c>
      <c r="B697" s="314" t="s">
        <v>2455</v>
      </c>
      <c r="C697" s="315">
        <v>2397</v>
      </c>
    </row>
    <row r="698" spans="1:3">
      <c r="A698" t="s">
        <v>1476</v>
      </c>
      <c r="B698" s="314" t="s">
        <v>485</v>
      </c>
      <c r="C698" s="315">
        <v>2398</v>
      </c>
    </row>
    <row r="699" spans="1:3">
      <c r="A699" t="s">
        <v>1476</v>
      </c>
      <c r="B699" s="314" t="s">
        <v>2456</v>
      </c>
      <c r="C699" s="315">
        <v>2399</v>
      </c>
    </row>
    <row r="700" spans="1:3">
      <c r="A700" t="s">
        <v>1476</v>
      </c>
      <c r="B700" s="314" t="s">
        <v>2457</v>
      </c>
      <c r="C700" s="315">
        <v>2400</v>
      </c>
    </row>
    <row r="701" spans="1:3">
      <c r="A701" t="s">
        <v>1476</v>
      </c>
      <c r="B701" s="314" t="s">
        <v>2457</v>
      </c>
      <c r="C701" s="315">
        <v>1066</v>
      </c>
    </row>
    <row r="702" spans="1:3">
      <c r="A702" t="s">
        <v>1476</v>
      </c>
      <c r="B702" s="314" t="s">
        <v>2458</v>
      </c>
      <c r="C702" s="315">
        <v>1067</v>
      </c>
    </row>
    <row r="703" spans="1:3">
      <c r="A703" t="s">
        <v>1476</v>
      </c>
      <c r="B703" s="314" t="s">
        <v>2459</v>
      </c>
      <c r="C703" s="315">
        <v>1068</v>
      </c>
    </row>
    <row r="704" spans="1:3">
      <c r="A704" t="s">
        <v>1476</v>
      </c>
      <c r="B704" s="314" t="s">
        <v>2460</v>
      </c>
      <c r="C704" s="315">
        <v>2401</v>
      </c>
    </row>
    <row r="705" spans="1:3">
      <c r="A705" t="s">
        <v>1476</v>
      </c>
      <c r="B705" s="314" t="s">
        <v>2461</v>
      </c>
      <c r="C705" s="315">
        <v>2402</v>
      </c>
    </row>
    <row r="706" spans="1:3">
      <c r="A706" t="s">
        <v>1476</v>
      </c>
      <c r="B706" s="314" t="s">
        <v>2462</v>
      </c>
      <c r="C706" s="315">
        <v>1070</v>
      </c>
    </row>
    <row r="707" spans="1:3">
      <c r="A707" t="s">
        <v>1476</v>
      </c>
      <c r="B707" s="314" t="s">
        <v>2463</v>
      </c>
      <c r="C707" s="315">
        <v>1071</v>
      </c>
    </row>
    <row r="708" spans="1:3">
      <c r="A708" t="s">
        <v>1476</v>
      </c>
      <c r="B708" s="314" t="s">
        <v>2464</v>
      </c>
      <c r="C708" s="315">
        <v>2403</v>
      </c>
    </row>
    <row r="709" spans="1:3">
      <c r="A709" t="s">
        <v>1476</v>
      </c>
      <c r="B709" s="314" t="s">
        <v>2465</v>
      </c>
      <c r="C709" s="315">
        <v>2752</v>
      </c>
    </row>
    <row r="710" spans="1:3">
      <c r="A710" t="s">
        <v>1476</v>
      </c>
      <c r="B710" s="314" t="s">
        <v>2466</v>
      </c>
      <c r="C710" s="315">
        <v>1072</v>
      </c>
    </row>
    <row r="711" spans="1:3">
      <c r="A711" t="s">
        <v>1476</v>
      </c>
      <c r="B711" s="314" t="s">
        <v>2467</v>
      </c>
      <c r="C711" s="315">
        <v>2404</v>
      </c>
    </row>
    <row r="712" spans="1:3">
      <c r="A712" t="s">
        <v>1476</v>
      </c>
      <c r="B712" s="314" t="s">
        <v>2468</v>
      </c>
      <c r="C712" s="315">
        <v>2405</v>
      </c>
    </row>
    <row r="713" spans="1:3">
      <c r="A713" t="s">
        <v>1476</v>
      </c>
      <c r="B713" s="314" t="s">
        <v>2468</v>
      </c>
      <c r="C713" s="315">
        <v>1493</v>
      </c>
    </row>
    <row r="714" spans="1:3">
      <c r="A714" t="s">
        <v>1476</v>
      </c>
      <c r="B714" s="314" t="s">
        <v>2469</v>
      </c>
      <c r="C714" s="315">
        <v>2746</v>
      </c>
    </row>
    <row r="715" spans="1:3">
      <c r="A715" t="s">
        <v>1476</v>
      </c>
      <c r="B715" s="314" t="s">
        <v>2470</v>
      </c>
      <c r="C715" s="315">
        <v>2406</v>
      </c>
    </row>
    <row r="716" spans="1:3">
      <c r="A716" t="s">
        <v>1476</v>
      </c>
      <c r="B716" s="314" t="s">
        <v>2471</v>
      </c>
      <c r="C716" s="315">
        <v>1073</v>
      </c>
    </row>
    <row r="717" spans="1:3">
      <c r="A717" t="s">
        <v>1476</v>
      </c>
      <c r="B717" s="314" t="s">
        <v>2472</v>
      </c>
      <c r="C717" s="315">
        <v>1074</v>
      </c>
    </row>
    <row r="718" spans="1:3">
      <c r="A718" t="s">
        <v>1476</v>
      </c>
      <c r="B718" s="314" t="s">
        <v>2473</v>
      </c>
      <c r="C718" s="315">
        <v>2407</v>
      </c>
    </row>
    <row r="719" spans="1:3">
      <c r="A719" t="s">
        <v>1476</v>
      </c>
      <c r="B719" s="314" t="s">
        <v>2474</v>
      </c>
      <c r="C719" s="315">
        <v>2408</v>
      </c>
    </row>
    <row r="720" spans="1:3">
      <c r="A720" t="s">
        <v>1476</v>
      </c>
      <c r="B720" s="314" t="s">
        <v>2475</v>
      </c>
      <c r="C720" s="315">
        <v>2409</v>
      </c>
    </row>
    <row r="721" spans="1:3">
      <c r="A721" t="s">
        <v>1476</v>
      </c>
      <c r="B721" s="314" t="s">
        <v>2476</v>
      </c>
      <c r="C721" s="315">
        <v>2410</v>
      </c>
    </row>
    <row r="722" spans="1:3">
      <c r="A722" t="s">
        <v>1476</v>
      </c>
      <c r="B722" s="314" t="s">
        <v>2477</v>
      </c>
      <c r="C722" s="315">
        <v>2411</v>
      </c>
    </row>
    <row r="723" spans="1:3">
      <c r="A723" t="s">
        <v>1476</v>
      </c>
      <c r="B723" s="314" t="s">
        <v>316</v>
      </c>
      <c r="C723" s="315">
        <v>2412</v>
      </c>
    </row>
    <row r="724" spans="1:3">
      <c r="A724" t="s">
        <v>1476</v>
      </c>
      <c r="B724" s="314" t="s">
        <v>2478</v>
      </c>
      <c r="C724" s="315">
        <v>2691</v>
      </c>
    </row>
    <row r="725" spans="1:3">
      <c r="A725" t="s">
        <v>1476</v>
      </c>
      <c r="B725" s="314" t="s">
        <v>1199</v>
      </c>
      <c r="C725" s="315">
        <v>2413</v>
      </c>
    </row>
    <row r="726" spans="1:3">
      <c r="A726" t="s">
        <v>1476</v>
      </c>
      <c r="B726" s="314" t="s">
        <v>309</v>
      </c>
      <c r="C726" s="315">
        <v>2414</v>
      </c>
    </row>
    <row r="727" spans="1:3">
      <c r="A727" t="s">
        <v>1476</v>
      </c>
      <c r="B727" s="314" t="s">
        <v>156</v>
      </c>
      <c r="C727" s="315">
        <v>2415</v>
      </c>
    </row>
    <row r="728" spans="1:3">
      <c r="A728" t="s">
        <v>1476</v>
      </c>
      <c r="B728" s="314" t="s">
        <v>2479</v>
      </c>
      <c r="C728" s="315">
        <v>1456</v>
      </c>
    </row>
    <row r="729" spans="1:3">
      <c r="A729" t="s">
        <v>1476</v>
      </c>
      <c r="B729" s="314" t="s">
        <v>2480</v>
      </c>
      <c r="C729" s="315">
        <v>2416</v>
      </c>
    </row>
    <row r="730" spans="1:3">
      <c r="A730" t="s">
        <v>1476</v>
      </c>
      <c r="B730" s="314" t="s">
        <v>2481</v>
      </c>
      <c r="C730" s="315">
        <v>2417</v>
      </c>
    </row>
    <row r="731" spans="1:3">
      <c r="A731" t="s">
        <v>1476</v>
      </c>
      <c r="B731" s="314" t="s">
        <v>2482</v>
      </c>
      <c r="C731" s="315">
        <v>1408</v>
      </c>
    </row>
    <row r="732" spans="1:3">
      <c r="A732" t="s">
        <v>1476</v>
      </c>
      <c r="B732" s="314" t="s">
        <v>2483</v>
      </c>
      <c r="C732" s="315">
        <v>1442</v>
      </c>
    </row>
    <row r="733" spans="1:3">
      <c r="A733" t="s">
        <v>1476</v>
      </c>
      <c r="B733" s="314" t="s">
        <v>2483</v>
      </c>
      <c r="C733" s="315">
        <v>2418</v>
      </c>
    </row>
    <row r="734" spans="1:3">
      <c r="A734" t="s">
        <v>1476</v>
      </c>
      <c r="B734" s="314" t="s">
        <v>2484</v>
      </c>
      <c r="C734" s="315">
        <v>1404</v>
      </c>
    </row>
    <row r="735" spans="1:3">
      <c r="A735" t="s">
        <v>1476</v>
      </c>
      <c r="B735" s="314" t="s">
        <v>2485</v>
      </c>
      <c r="C735" s="315">
        <v>2687</v>
      </c>
    </row>
    <row r="736" spans="1:3">
      <c r="A736" t="s">
        <v>1476</v>
      </c>
      <c r="B736" s="314" t="s">
        <v>2486</v>
      </c>
      <c r="C736" s="315">
        <v>2419</v>
      </c>
    </row>
    <row r="737" spans="1:3">
      <c r="A737" t="s">
        <v>1476</v>
      </c>
      <c r="B737" s="314" t="s">
        <v>2487</v>
      </c>
      <c r="C737" s="315">
        <v>2420</v>
      </c>
    </row>
    <row r="738" spans="1:3">
      <c r="A738" t="s">
        <v>1476</v>
      </c>
      <c r="B738" s="314" t="s">
        <v>2488</v>
      </c>
      <c r="C738" s="315">
        <v>2421</v>
      </c>
    </row>
    <row r="739" spans="1:3">
      <c r="A739" t="s">
        <v>1476</v>
      </c>
      <c r="B739" s="314" t="s">
        <v>2489</v>
      </c>
      <c r="C739" s="315">
        <v>2422</v>
      </c>
    </row>
    <row r="740" spans="1:3">
      <c r="A740" t="s">
        <v>1476</v>
      </c>
      <c r="B740" s="314" t="s">
        <v>2489</v>
      </c>
      <c r="C740" s="315">
        <v>1359</v>
      </c>
    </row>
    <row r="741" spans="1:3">
      <c r="A741" t="s">
        <v>1476</v>
      </c>
      <c r="B741" s="314" t="s">
        <v>2490</v>
      </c>
      <c r="C741" s="315">
        <v>1076</v>
      </c>
    </row>
    <row r="742" spans="1:3">
      <c r="A742" t="s">
        <v>1476</v>
      </c>
      <c r="B742" s="314" t="s">
        <v>2491</v>
      </c>
      <c r="C742" s="315">
        <v>2423</v>
      </c>
    </row>
    <row r="743" spans="1:3">
      <c r="A743" t="s">
        <v>1476</v>
      </c>
      <c r="B743" s="314" t="s">
        <v>2492</v>
      </c>
      <c r="C743" s="315">
        <v>2424</v>
      </c>
    </row>
    <row r="744" spans="1:3">
      <c r="A744" t="s">
        <v>1476</v>
      </c>
      <c r="B744" s="314" t="s">
        <v>2493</v>
      </c>
      <c r="C744" s="315">
        <v>2425</v>
      </c>
    </row>
    <row r="745" spans="1:3">
      <c r="A745" t="s">
        <v>1476</v>
      </c>
      <c r="B745" s="314" t="s">
        <v>2494</v>
      </c>
      <c r="C745" s="315">
        <v>2426</v>
      </c>
    </row>
    <row r="746" spans="1:3">
      <c r="A746" t="s">
        <v>1476</v>
      </c>
      <c r="B746" s="314" t="s">
        <v>2495</v>
      </c>
      <c r="C746" s="315">
        <v>2664</v>
      </c>
    </row>
    <row r="747" spans="1:3">
      <c r="A747" t="s">
        <v>1476</v>
      </c>
      <c r="B747" s="314" t="s">
        <v>2496</v>
      </c>
      <c r="C747" s="315">
        <v>2428</v>
      </c>
    </row>
    <row r="748" spans="1:3">
      <c r="A748" t="s">
        <v>1476</v>
      </c>
      <c r="B748" s="314" t="s">
        <v>2497</v>
      </c>
      <c r="C748" s="315">
        <v>2429</v>
      </c>
    </row>
    <row r="749" spans="1:3">
      <c r="A749" t="s">
        <v>1476</v>
      </c>
      <c r="B749" s="314" t="s">
        <v>2498</v>
      </c>
      <c r="C749" s="315">
        <v>1479</v>
      </c>
    </row>
    <row r="750" spans="1:3">
      <c r="A750" t="s">
        <v>1476</v>
      </c>
      <c r="B750" s="314" t="s">
        <v>2499</v>
      </c>
      <c r="C750" s="315">
        <v>1375</v>
      </c>
    </row>
    <row r="751" spans="1:3">
      <c r="A751" t="s">
        <v>1476</v>
      </c>
      <c r="B751" s="314" t="s">
        <v>2499</v>
      </c>
      <c r="C751" s="315">
        <v>2430</v>
      </c>
    </row>
    <row r="752" spans="1:3">
      <c r="A752" t="s">
        <v>1476</v>
      </c>
      <c r="B752" s="314" t="s">
        <v>2500</v>
      </c>
      <c r="C752" s="315">
        <v>2431</v>
      </c>
    </row>
    <row r="753" spans="1:3">
      <c r="A753" t="s">
        <v>1476</v>
      </c>
      <c r="B753" s="314" t="s">
        <v>2501</v>
      </c>
      <c r="C753" s="315">
        <v>2432</v>
      </c>
    </row>
    <row r="754" spans="1:3">
      <c r="A754" t="s">
        <v>1476</v>
      </c>
      <c r="B754" s="314" t="s">
        <v>2502</v>
      </c>
      <c r="C754" s="315">
        <v>1113</v>
      </c>
    </row>
    <row r="755" spans="1:3">
      <c r="A755" t="s">
        <v>1476</v>
      </c>
      <c r="B755" s="314" t="s">
        <v>2503</v>
      </c>
      <c r="C755" s="315">
        <v>2433</v>
      </c>
    </row>
    <row r="756" spans="1:3">
      <c r="A756" t="s">
        <v>1476</v>
      </c>
      <c r="B756" s="314" t="s">
        <v>2504</v>
      </c>
      <c r="C756" s="315">
        <v>2603</v>
      </c>
    </row>
    <row r="757" spans="1:3">
      <c r="A757" t="s">
        <v>1476</v>
      </c>
      <c r="B757" s="314" t="s">
        <v>2505</v>
      </c>
      <c r="C757" s="315">
        <v>2642</v>
      </c>
    </row>
    <row r="758" spans="1:3">
      <c r="A758" t="s">
        <v>1476</v>
      </c>
      <c r="B758" s="314" t="s">
        <v>2506</v>
      </c>
      <c r="C758" s="315">
        <v>2643</v>
      </c>
    </row>
    <row r="759" spans="1:3">
      <c r="A759" t="s">
        <v>1476</v>
      </c>
      <c r="B759" s="314" t="s">
        <v>2507</v>
      </c>
      <c r="C759" s="315">
        <v>2644</v>
      </c>
    </row>
    <row r="760" spans="1:3">
      <c r="A760" t="s">
        <v>1476</v>
      </c>
      <c r="B760" s="314" t="s">
        <v>2508</v>
      </c>
      <c r="C760" s="315">
        <v>2645</v>
      </c>
    </row>
    <row r="761" spans="1:3">
      <c r="A761" t="s">
        <v>1476</v>
      </c>
      <c r="B761" s="314" t="s">
        <v>2509</v>
      </c>
      <c r="C761" s="315">
        <v>2646</v>
      </c>
    </row>
    <row r="762" spans="1:3">
      <c r="A762" t="s">
        <v>1476</v>
      </c>
      <c r="B762" s="314" t="s">
        <v>2510</v>
      </c>
      <c r="C762" s="315">
        <v>2647</v>
      </c>
    </row>
    <row r="763" spans="1:3">
      <c r="A763" t="s">
        <v>1476</v>
      </c>
      <c r="B763" s="314" t="s">
        <v>2511</v>
      </c>
      <c r="C763" s="315">
        <v>2648</v>
      </c>
    </row>
    <row r="764" spans="1:3">
      <c r="A764" t="s">
        <v>1476</v>
      </c>
      <c r="B764" s="314" t="s">
        <v>2512</v>
      </c>
      <c r="C764" s="315">
        <v>2434</v>
      </c>
    </row>
    <row r="765" spans="1:3">
      <c r="A765" t="s">
        <v>1476</v>
      </c>
      <c r="B765" s="314" t="s">
        <v>2513</v>
      </c>
      <c r="C765" s="315">
        <v>2435</v>
      </c>
    </row>
    <row r="766" spans="1:3">
      <c r="A766" t="s">
        <v>1476</v>
      </c>
      <c r="B766" s="314" t="s">
        <v>2514</v>
      </c>
      <c r="C766" s="315">
        <v>2436</v>
      </c>
    </row>
    <row r="767" spans="1:3">
      <c r="A767" t="s">
        <v>1476</v>
      </c>
      <c r="B767" s="314" t="s">
        <v>2515</v>
      </c>
      <c r="C767" s="315">
        <v>2437</v>
      </c>
    </row>
    <row r="768" spans="1:3">
      <c r="A768" t="s">
        <v>1476</v>
      </c>
      <c r="B768" s="314" t="s">
        <v>2516</v>
      </c>
      <c r="C768" s="315">
        <v>2660</v>
      </c>
    </row>
    <row r="769" spans="1:3">
      <c r="A769" t="s">
        <v>1476</v>
      </c>
      <c r="B769" s="314" t="s">
        <v>2517</v>
      </c>
      <c r="C769" s="315">
        <v>2438</v>
      </c>
    </row>
    <row r="770" spans="1:3">
      <c r="A770" t="s">
        <v>1476</v>
      </c>
      <c r="B770" s="314" t="s">
        <v>2518</v>
      </c>
      <c r="C770" s="315">
        <v>1079</v>
      </c>
    </row>
    <row r="771" spans="1:3">
      <c r="A771" t="s">
        <v>1476</v>
      </c>
      <c r="B771" s="314" t="s">
        <v>2519</v>
      </c>
      <c r="C771" s="315">
        <v>1114</v>
      </c>
    </row>
    <row r="772" spans="1:3">
      <c r="A772" t="s">
        <v>1476</v>
      </c>
      <c r="B772" s="314" t="s">
        <v>2520</v>
      </c>
      <c r="C772" s="315">
        <v>1346</v>
      </c>
    </row>
    <row r="773" spans="1:3">
      <c r="A773" t="s">
        <v>1476</v>
      </c>
      <c r="B773" s="314" t="s">
        <v>2521</v>
      </c>
      <c r="C773" s="315">
        <v>1812</v>
      </c>
    </row>
    <row r="774" spans="1:3">
      <c r="A774" t="s">
        <v>1476</v>
      </c>
      <c r="B774" s="314" t="s">
        <v>2522</v>
      </c>
      <c r="C774" s="315">
        <v>2439</v>
      </c>
    </row>
    <row r="775" spans="1:3">
      <c r="A775" t="s">
        <v>1476</v>
      </c>
      <c r="B775" s="314" t="s">
        <v>2523</v>
      </c>
      <c r="C775" s="315">
        <v>2440</v>
      </c>
    </row>
    <row r="776" spans="1:3">
      <c r="A776" t="s">
        <v>1476</v>
      </c>
      <c r="B776" s="314" t="s">
        <v>2524</v>
      </c>
      <c r="C776" s="315">
        <v>2441</v>
      </c>
    </row>
    <row r="777" spans="1:3">
      <c r="A777" t="s">
        <v>1476</v>
      </c>
      <c r="B777" s="314" t="s">
        <v>2525</v>
      </c>
      <c r="C777" s="315">
        <v>2442</v>
      </c>
    </row>
    <row r="778" spans="1:3">
      <c r="A778" t="s">
        <v>1476</v>
      </c>
      <c r="B778" s="314" t="s">
        <v>2526</v>
      </c>
      <c r="C778" s="315">
        <v>1440</v>
      </c>
    </row>
    <row r="779" spans="1:3">
      <c r="A779" t="s">
        <v>1476</v>
      </c>
      <c r="B779" s="314" t="s">
        <v>2527</v>
      </c>
      <c r="C779" s="315">
        <v>2443</v>
      </c>
    </row>
    <row r="780" spans="1:3">
      <c r="A780" t="s">
        <v>1476</v>
      </c>
      <c r="B780" s="314" t="s">
        <v>2528</v>
      </c>
      <c r="C780" s="315">
        <v>2444</v>
      </c>
    </row>
    <row r="781" spans="1:3">
      <c r="A781" t="s">
        <v>1476</v>
      </c>
      <c r="B781" s="314" t="s">
        <v>2529</v>
      </c>
      <c r="C781" s="315">
        <v>2445</v>
      </c>
    </row>
    <row r="782" spans="1:3">
      <c r="A782" t="s">
        <v>1476</v>
      </c>
      <c r="B782" s="314" t="s">
        <v>2530</v>
      </c>
      <c r="C782" s="315">
        <v>2658</v>
      </c>
    </row>
    <row r="783" spans="1:3">
      <c r="A783" t="s">
        <v>1476</v>
      </c>
      <c r="B783" s="314" t="s">
        <v>2531</v>
      </c>
      <c r="C783" s="315">
        <v>2758</v>
      </c>
    </row>
    <row r="784" spans="1:3">
      <c r="A784" t="s">
        <v>1476</v>
      </c>
      <c r="B784" s="314" t="s">
        <v>2532</v>
      </c>
      <c r="C784" s="315">
        <v>1340</v>
      </c>
    </row>
    <row r="785" spans="1:3">
      <c r="A785" t="s">
        <v>1476</v>
      </c>
      <c r="B785" s="314" t="s">
        <v>2533</v>
      </c>
      <c r="C785" s="315">
        <v>1355</v>
      </c>
    </row>
    <row r="786" spans="1:3">
      <c r="A786" t="s">
        <v>1476</v>
      </c>
      <c r="B786" s="314" t="s">
        <v>2533</v>
      </c>
      <c r="C786" s="315">
        <v>2446</v>
      </c>
    </row>
    <row r="787" spans="1:3">
      <c r="A787" t="s">
        <v>1476</v>
      </c>
      <c r="B787" s="314" t="s">
        <v>2534</v>
      </c>
      <c r="C787" s="315">
        <v>2447</v>
      </c>
    </row>
    <row r="788" spans="1:3">
      <c r="A788" t="s">
        <v>1476</v>
      </c>
      <c r="B788" s="314" t="s">
        <v>2535</v>
      </c>
      <c r="C788" s="315">
        <v>2448</v>
      </c>
    </row>
    <row r="789" spans="1:3">
      <c r="A789" t="s">
        <v>1476</v>
      </c>
      <c r="B789" s="314" t="s">
        <v>2536</v>
      </c>
      <c r="C789" s="315">
        <v>2449</v>
      </c>
    </row>
    <row r="790" spans="1:3">
      <c r="A790" t="s">
        <v>1476</v>
      </c>
      <c r="B790" s="314" t="s">
        <v>2537</v>
      </c>
      <c r="C790" s="315">
        <v>2450</v>
      </c>
    </row>
    <row r="791" spans="1:3">
      <c r="A791" t="s">
        <v>1476</v>
      </c>
      <c r="B791" s="314" t="s">
        <v>2538</v>
      </c>
      <c r="C791" s="315">
        <v>2451</v>
      </c>
    </row>
    <row r="792" spans="1:3">
      <c r="A792" t="s">
        <v>1476</v>
      </c>
      <c r="B792" s="314" t="s">
        <v>2539</v>
      </c>
      <c r="C792" s="315">
        <v>2452</v>
      </c>
    </row>
    <row r="793" spans="1:3">
      <c r="A793" t="s">
        <v>1476</v>
      </c>
      <c r="B793" s="314" t="s">
        <v>2540</v>
      </c>
      <c r="C793" s="315">
        <v>2453</v>
      </c>
    </row>
    <row r="794" spans="1:3">
      <c r="A794" t="s">
        <v>1476</v>
      </c>
      <c r="B794" s="314" t="s">
        <v>2541</v>
      </c>
      <c r="C794" s="315">
        <v>2454</v>
      </c>
    </row>
    <row r="795" spans="1:3">
      <c r="A795" t="s">
        <v>1476</v>
      </c>
      <c r="B795" s="314" t="s">
        <v>2542</v>
      </c>
      <c r="C795" s="315">
        <v>1080</v>
      </c>
    </row>
    <row r="796" spans="1:3">
      <c r="A796" t="s">
        <v>1476</v>
      </c>
      <c r="B796" s="314" t="s">
        <v>2543</v>
      </c>
      <c r="C796" s="315">
        <v>1081</v>
      </c>
    </row>
    <row r="797" spans="1:3">
      <c r="A797" t="s">
        <v>1476</v>
      </c>
      <c r="B797" s="314" t="s">
        <v>2544</v>
      </c>
      <c r="C797" s="315">
        <v>2455</v>
      </c>
    </row>
    <row r="798" spans="1:3">
      <c r="A798" t="s">
        <v>1476</v>
      </c>
      <c r="B798" s="314" t="s">
        <v>2545</v>
      </c>
      <c r="C798" s="315">
        <v>2456</v>
      </c>
    </row>
    <row r="799" spans="1:3">
      <c r="A799" t="s">
        <v>1476</v>
      </c>
      <c r="B799" s="314" t="s">
        <v>282</v>
      </c>
      <c r="C799" s="315">
        <v>2457</v>
      </c>
    </row>
    <row r="800" spans="1:3">
      <c r="A800" t="s">
        <v>1476</v>
      </c>
      <c r="B800" s="314" t="s">
        <v>2546</v>
      </c>
      <c r="C800" s="315">
        <v>1817</v>
      </c>
    </row>
    <row r="801" spans="1:3">
      <c r="A801" t="s">
        <v>1476</v>
      </c>
      <c r="B801" s="314" t="s">
        <v>2547</v>
      </c>
      <c r="C801" s="315">
        <v>2458</v>
      </c>
    </row>
    <row r="802" spans="1:3">
      <c r="A802" t="s">
        <v>1476</v>
      </c>
      <c r="B802" s="314" t="s">
        <v>2548</v>
      </c>
      <c r="C802" s="315">
        <v>2459</v>
      </c>
    </row>
    <row r="803" spans="1:3">
      <c r="A803" t="s">
        <v>1476</v>
      </c>
      <c r="B803" s="314" t="s">
        <v>2549</v>
      </c>
      <c r="C803" s="315">
        <v>2460</v>
      </c>
    </row>
    <row r="804" spans="1:3">
      <c r="A804" t="s">
        <v>1476</v>
      </c>
      <c r="B804" s="314" t="s">
        <v>2550</v>
      </c>
      <c r="C804" s="315">
        <v>2461</v>
      </c>
    </row>
    <row r="805" spans="1:3">
      <c r="A805" t="s">
        <v>1476</v>
      </c>
      <c r="B805" s="314" t="s">
        <v>2551</v>
      </c>
      <c r="C805" s="315">
        <v>2462</v>
      </c>
    </row>
    <row r="806" spans="1:3">
      <c r="A806" t="s">
        <v>1476</v>
      </c>
      <c r="B806" s="314" t="s">
        <v>2552</v>
      </c>
      <c r="C806" s="315">
        <v>2463</v>
      </c>
    </row>
    <row r="807" spans="1:3">
      <c r="A807" t="s">
        <v>1476</v>
      </c>
      <c r="B807" s="314" t="s">
        <v>2553</v>
      </c>
      <c r="C807" s="315">
        <v>2464</v>
      </c>
    </row>
    <row r="808" spans="1:3">
      <c r="A808" t="s">
        <v>1476</v>
      </c>
      <c r="B808" s="314" t="s">
        <v>2554</v>
      </c>
      <c r="C808" s="315">
        <v>1159</v>
      </c>
    </row>
    <row r="809" spans="1:3">
      <c r="A809" t="s">
        <v>1476</v>
      </c>
      <c r="B809" s="314" t="s">
        <v>2555</v>
      </c>
      <c r="C809" s="315">
        <v>1367</v>
      </c>
    </row>
    <row r="810" spans="1:3">
      <c r="A810" t="s">
        <v>1476</v>
      </c>
      <c r="B810" s="314" t="s">
        <v>2556</v>
      </c>
      <c r="C810" s="315">
        <v>1348</v>
      </c>
    </row>
    <row r="811" spans="1:3">
      <c r="A811" t="s">
        <v>1476</v>
      </c>
      <c r="B811" s="314" t="s">
        <v>2557</v>
      </c>
      <c r="C811" s="315">
        <v>2465</v>
      </c>
    </row>
    <row r="812" spans="1:3">
      <c r="A812" t="s">
        <v>1476</v>
      </c>
      <c r="B812" s="314" t="s">
        <v>2558</v>
      </c>
      <c r="C812" s="315">
        <v>1460</v>
      </c>
    </row>
    <row r="813" spans="1:3">
      <c r="A813" t="s">
        <v>1476</v>
      </c>
      <c r="B813" s="314" t="s">
        <v>2559</v>
      </c>
      <c r="C813" s="315">
        <v>1366</v>
      </c>
    </row>
    <row r="814" spans="1:3">
      <c r="A814" t="s">
        <v>1476</v>
      </c>
      <c r="B814" s="314" t="s">
        <v>2560</v>
      </c>
      <c r="C814" s="315">
        <v>2466</v>
      </c>
    </row>
    <row r="815" spans="1:3">
      <c r="A815" t="s">
        <v>1476</v>
      </c>
      <c r="B815" s="314" t="s">
        <v>2561</v>
      </c>
      <c r="C815" s="315">
        <v>1809</v>
      </c>
    </row>
    <row r="816" spans="1:3">
      <c r="A816" t="s">
        <v>1476</v>
      </c>
      <c r="B816" s="314" t="s">
        <v>2562</v>
      </c>
      <c r="C816" s="315">
        <v>2467</v>
      </c>
    </row>
    <row r="817" spans="1:3">
      <c r="A817" t="s">
        <v>1476</v>
      </c>
      <c r="B817" s="314" t="s">
        <v>2563</v>
      </c>
      <c r="C817" s="315">
        <v>2468</v>
      </c>
    </row>
    <row r="818" spans="1:3">
      <c r="A818" t="s">
        <v>1476</v>
      </c>
      <c r="B818" s="314" t="s">
        <v>2564</v>
      </c>
      <c r="C818" s="315">
        <v>2469</v>
      </c>
    </row>
    <row r="819" spans="1:3">
      <c r="A819" t="s">
        <v>1476</v>
      </c>
      <c r="B819" s="314" t="s">
        <v>2565</v>
      </c>
      <c r="C819" s="315">
        <v>2470</v>
      </c>
    </row>
    <row r="820" spans="1:3">
      <c r="A820" t="s">
        <v>1476</v>
      </c>
      <c r="B820" s="314" t="s">
        <v>2566</v>
      </c>
      <c r="C820" s="315">
        <v>2471</v>
      </c>
    </row>
    <row r="821" spans="1:3">
      <c r="A821" t="s">
        <v>1476</v>
      </c>
      <c r="B821" s="314" t="s">
        <v>2567</v>
      </c>
      <c r="C821" s="315">
        <v>2472</v>
      </c>
    </row>
    <row r="822" spans="1:3">
      <c r="A822" t="s">
        <v>1476</v>
      </c>
      <c r="B822" s="314" t="s">
        <v>2568</v>
      </c>
      <c r="C822" s="315">
        <v>2473</v>
      </c>
    </row>
    <row r="823" spans="1:3">
      <c r="A823" t="s">
        <v>1476</v>
      </c>
      <c r="B823" s="314" t="s">
        <v>2569</v>
      </c>
      <c r="C823" s="315">
        <v>2474</v>
      </c>
    </row>
    <row r="824" spans="1:3">
      <c r="A824" t="s">
        <v>1476</v>
      </c>
      <c r="B824" s="314" t="s">
        <v>2570</v>
      </c>
      <c r="C824" s="315">
        <v>1082</v>
      </c>
    </row>
    <row r="825" spans="1:3">
      <c r="A825" t="s">
        <v>1476</v>
      </c>
      <c r="B825" s="314" t="s">
        <v>2571</v>
      </c>
      <c r="C825" s="315">
        <v>2475</v>
      </c>
    </row>
    <row r="826" spans="1:3">
      <c r="A826" t="s">
        <v>1476</v>
      </c>
      <c r="B826" s="314" t="s">
        <v>2572</v>
      </c>
      <c r="C826" s="315">
        <v>2476</v>
      </c>
    </row>
    <row r="827" spans="1:3">
      <c r="A827" t="s">
        <v>1476</v>
      </c>
      <c r="B827" s="314" t="s">
        <v>2573</v>
      </c>
      <c r="C827" s="315">
        <v>2477</v>
      </c>
    </row>
    <row r="828" spans="1:3">
      <c r="A828" t="s">
        <v>1476</v>
      </c>
      <c r="B828" s="314" t="s">
        <v>2574</v>
      </c>
      <c r="C828" s="315">
        <v>2478</v>
      </c>
    </row>
    <row r="829" spans="1:3">
      <c r="A829" t="s">
        <v>1476</v>
      </c>
      <c r="B829" s="314" t="s">
        <v>2575</v>
      </c>
      <c r="C829" s="315">
        <v>1083</v>
      </c>
    </row>
    <row r="830" spans="1:3">
      <c r="A830" t="s">
        <v>1476</v>
      </c>
      <c r="B830" s="314" t="s">
        <v>2576</v>
      </c>
      <c r="C830" s="315">
        <v>1084</v>
      </c>
    </row>
    <row r="831" spans="1:3">
      <c r="A831" t="s">
        <v>1476</v>
      </c>
      <c r="B831" s="314" t="s">
        <v>2577</v>
      </c>
      <c r="C831" s="315">
        <v>2479</v>
      </c>
    </row>
    <row r="832" spans="1:3">
      <c r="A832" t="s">
        <v>1476</v>
      </c>
      <c r="B832" s="314" t="s">
        <v>2578</v>
      </c>
      <c r="C832" s="315">
        <v>1085</v>
      </c>
    </row>
    <row r="833" spans="1:3">
      <c r="A833" t="s">
        <v>1476</v>
      </c>
      <c r="B833" s="314" t="s">
        <v>2579</v>
      </c>
      <c r="C833" s="315">
        <v>1086</v>
      </c>
    </row>
    <row r="834" spans="1:3">
      <c r="A834" t="s">
        <v>1476</v>
      </c>
      <c r="B834" s="314" t="s">
        <v>2580</v>
      </c>
      <c r="C834" s="315">
        <v>1087</v>
      </c>
    </row>
    <row r="835" spans="1:3">
      <c r="A835" t="s">
        <v>1476</v>
      </c>
      <c r="B835" s="314" t="s">
        <v>2581</v>
      </c>
      <c r="C835" s="315">
        <v>2480</v>
      </c>
    </row>
    <row r="836" spans="1:3">
      <c r="A836" t="s">
        <v>1476</v>
      </c>
      <c r="B836" s="314" t="s">
        <v>324</v>
      </c>
      <c r="C836" s="315">
        <v>2481</v>
      </c>
    </row>
    <row r="837" spans="1:3">
      <c r="A837" t="s">
        <v>1476</v>
      </c>
      <c r="B837" s="314" t="s">
        <v>2582</v>
      </c>
      <c r="C837" s="315">
        <v>2482</v>
      </c>
    </row>
    <row r="838" spans="1:3">
      <c r="A838" t="s">
        <v>1476</v>
      </c>
      <c r="B838" s="314" t="s">
        <v>2583</v>
      </c>
      <c r="C838" s="315">
        <v>2000</v>
      </c>
    </row>
    <row r="839" spans="1:3">
      <c r="A839" t="s">
        <v>1476</v>
      </c>
      <c r="B839" s="314" t="s">
        <v>2584</v>
      </c>
      <c r="C839" s="315">
        <v>2649</v>
      </c>
    </row>
    <row r="840" spans="1:3">
      <c r="A840" t="s">
        <v>1476</v>
      </c>
      <c r="B840" s="314" t="s">
        <v>2585</v>
      </c>
      <c r="C840" s="315">
        <v>2483</v>
      </c>
    </row>
    <row r="841" spans="1:3">
      <c r="A841" t="s">
        <v>1476</v>
      </c>
      <c r="B841" s="314" t="s">
        <v>2586</v>
      </c>
      <c r="C841" s="315">
        <v>2484</v>
      </c>
    </row>
    <row r="842" spans="1:3">
      <c r="A842" t="s">
        <v>1476</v>
      </c>
      <c r="B842" s="314" t="s">
        <v>2587</v>
      </c>
      <c r="C842" s="315">
        <v>2485</v>
      </c>
    </row>
    <row r="843" spans="1:3">
      <c r="A843" t="s">
        <v>1476</v>
      </c>
      <c r="B843" s="314" t="s">
        <v>2588</v>
      </c>
      <c r="C843" s="315">
        <v>2486</v>
      </c>
    </row>
    <row r="844" spans="1:3">
      <c r="A844" t="s">
        <v>1476</v>
      </c>
      <c r="B844" s="314" t="s">
        <v>2589</v>
      </c>
      <c r="C844" s="315">
        <v>2487</v>
      </c>
    </row>
    <row r="845" spans="1:3">
      <c r="A845" t="s">
        <v>1476</v>
      </c>
      <c r="B845" s="314" t="s">
        <v>2590</v>
      </c>
      <c r="C845" s="315">
        <v>1143</v>
      </c>
    </row>
    <row r="846" spans="1:3">
      <c r="A846" t="s">
        <v>1476</v>
      </c>
      <c r="B846" s="314" t="s">
        <v>2591</v>
      </c>
      <c r="C846" s="315">
        <v>2488</v>
      </c>
    </row>
    <row r="847" spans="1:3">
      <c r="A847" t="s">
        <v>1476</v>
      </c>
      <c r="B847" s="314" t="s">
        <v>2592</v>
      </c>
      <c r="C847" s="315">
        <v>2685</v>
      </c>
    </row>
    <row r="848" spans="1:3">
      <c r="A848" t="s">
        <v>1476</v>
      </c>
      <c r="B848" s="314" t="s">
        <v>2593</v>
      </c>
      <c r="C848" s="315">
        <v>2489</v>
      </c>
    </row>
    <row r="849" spans="1:3">
      <c r="A849" t="s">
        <v>1476</v>
      </c>
      <c r="B849" s="314" t="s">
        <v>2594</v>
      </c>
      <c r="C849" s="315">
        <v>2490</v>
      </c>
    </row>
    <row r="850" spans="1:3">
      <c r="A850" t="s">
        <v>1476</v>
      </c>
      <c r="B850" s="314" t="s">
        <v>448</v>
      </c>
      <c r="C850" s="315">
        <v>1088</v>
      </c>
    </row>
    <row r="851" spans="1:3">
      <c r="A851" t="s">
        <v>1476</v>
      </c>
      <c r="B851" s="314" t="s">
        <v>2595</v>
      </c>
      <c r="C851" s="315">
        <v>1089</v>
      </c>
    </row>
    <row r="852" spans="1:3">
      <c r="A852" t="s">
        <v>1476</v>
      </c>
      <c r="B852" s="314" t="s">
        <v>2596</v>
      </c>
      <c r="C852" s="315">
        <v>1090</v>
      </c>
    </row>
    <row r="853" spans="1:3">
      <c r="A853" t="s">
        <v>1476</v>
      </c>
      <c r="B853" s="314" t="s">
        <v>2597</v>
      </c>
      <c r="C853" s="315">
        <v>1145</v>
      </c>
    </row>
    <row r="854" spans="1:3">
      <c r="A854" t="s">
        <v>1476</v>
      </c>
      <c r="B854" s="314" t="s">
        <v>2598</v>
      </c>
      <c r="C854" s="315">
        <v>1091</v>
      </c>
    </row>
    <row r="855" spans="1:3">
      <c r="A855" t="s">
        <v>1476</v>
      </c>
      <c r="B855" s="314" t="s">
        <v>2598</v>
      </c>
      <c r="C855" s="315">
        <v>2491</v>
      </c>
    </row>
    <row r="856" spans="1:3">
      <c r="A856" t="s">
        <v>1476</v>
      </c>
      <c r="B856" s="314" t="s">
        <v>2599</v>
      </c>
      <c r="C856" s="315">
        <v>2492</v>
      </c>
    </row>
    <row r="857" spans="1:3">
      <c r="A857" t="s">
        <v>1476</v>
      </c>
      <c r="B857" s="314" t="s">
        <v>2600</v>
      </c>
      <c r="C857" s="315">
        <v>2650</v>
      </c>
    </row>
    <row r="858" spans="1:3">
      <c r="A858" t="s">
        <v>1476</v>
      </c>
      <c r="B858" s="314" t="s">
        <v>2601</v>
      </c>
      <c r="C858" s="315">
        <v>2493</v>
      </c>
    </row>
    <row r="859" spans="1:3">
      <c r="A859" t="s">
        <v>1476</v>
      </c>
      <c r="B859" s="314" t="s">
        <v>2602</v>
      </c>
      <c r="C859" s="315">
        <v>2682</v>
      </c>
    </row>
    <row r="860" spans="1:3">
      <c r="A860" t="s">
        <v>1476</v>
      </c>
      <c r="B860" s="314" t="s">
        <v>2603</v>
      </c>
      <c r="C860" s="315">
        <v>1462</v>
      </c>
    </row>
    <row r="861" spans="1:3">
      <c r="A861" t="s">
        <v>1476</v>
      </c>
      <c r="B861" s="314" t="s">
        <v>2604</v>
      </c>
      <c r="C861" s="315">
        <v>2494</v>
      </c>
    </row>
    <row r="862" spans="1:3">
      <c r="A862" t="s">
        <v>1476</v>
      </c>
      <c r="B862" s="314" t="s">
        <v>2605</v>
      </c>
      <c r="C862" s="315">
        <v>1342</v>
      </c>
    </row>
    <row r="863" spans="1:3">
      <c r="A863" t="s">
        <v>1476</v>
      </c>
      <c r="B863" s="314" t="s">
        <v>2606</v>
      </c>
      <c r="C863" s="315">
        <v>2747</v>
      </c>
    </row>
    <row r="864" spans="1:3">
      <c r="A864" t="s">
        <v>1476</v>
      </c>
      <c r="B864" s="314" t="s">
        <v>2607</v>
      </c>
      <c r="C864" s="315">
        <v>2495</v>
      </c>
    </row>
    <row r="865" spans="1:3">
      <c r="A865" t="s">
        <v>1476</v>
      </c>
      <c r="B865" s="314" t="s">
        <v>2608</v>
      </c>
      <c r="C865" s="315">
        <v>2496</v>
      </c>
    </row>
    <row r="866" spans="1:3">
      <c r="A866" t="s">
        <v>1476</v>
      </c>
      <c r="B866" s="314" t="s">
        <v>2609</v>
      </c>
      <c r="C866" s="315">
        <v>2671</v>
      </c>
    </row>
    <row r="867" spans="1:3">
      <c r="A867" t="s">
        <v>1476</v>
      </c>
      <c r="B867" s="314" t="s">
        <v>2610</v>
      </c>
      <c r="C867" s="315">
        <v>2725</v>
      </c>
    </row>
    <row r="868" spans="1:3">
      <c r="A868" t="s">
        <v>1476</v>
      </c>
      <c r="B868" s="314" t="s">
        <v>2611</v>
      </c>
      <c r="C868" s="315">
        <v>2726</v>
      </c>
    </row>
    <row r="869" spans="1:3">
      <c r="A869" t="s">
        <v>1476</v>
      </c>
      <c r="B869" s="314" t="s">
        <v>2612</v>
      </c>
      <c r="C869" s="315">
        <v>2727</v>
      </c>
    </row>
    <row r="870" spans="1:3">
      <c r="A870" t="s">
        <v>1476</v>
      </c>
      <c r="B870" s="314" t="s">
        <v>2613</v>
      </c>
      <c r="C870" s="315">
        <v>2728</v>
      </c>
    </row>
    <row r="871" spans="1:3">
      <c r="A871" t="s">
        <v>1476</v>
      </c>
      <c r="B871" s="314" t="s">
        <v>2614</v>
      </c>
      <c r="C871" s="315">
        <v>2729</v>
      </c>
    </row>
    <row r="872" spans="1:3">
      <c r="A872" t="s">
        <v>1476</v>
      </c>
      <c r="B872" s="314" t="s">
        <v>2615</v>
      </c>
      <c r="C872" s="315">
        <v>2497</v>
      </c>
    </row>
    <row r="873" spans="1:3">
      <c r="A873" t="s">
        <v>1476</v>
      </c>
      <c r="B873" s="314" t="s">
        <v>346</v>
      </c>
      <c r="C873" s="315">
        <v>2498</v>
      </c>
    </row>
    <row r="874" spans="1:3">
      <c r="A874" t="s">
        <v>1476</v>
      </c>
      <c r="B874" s="314" t="s">
        <v>2616</v>
      </c>
      <c r="C874" s="315">
        <v>2499</v>
      </c>
    </row>
    <row r="875" spans="1:3">
      <c r="A875" t="s">
        <v>1476</v>
      </c>
      <c r="B875" s="314" t="s">
        <v>2617</v>
      </c>
      <c r="C875" s="315">
        <v>2662</v>
      </c>
    </row>
    <row r="876" spans="1:3">
      <c r="A876" t="s">
        <v>1476</v>
      </c>
      <c r="B876" s="314" t="s">
        <v>2617</v>
      </c>
      <c r="C876" s="315">
        <v>2663</v>
      </c>
    </row>
    <row r="877" spans="1:3">
      <c r="A877" t="s">
        <v>1476</v>
      </c>
      <c r="B877" s="314" t="s">
        <v>2618</v>
      </c>
      <c r="C877" s="315">
        <v>2665</v>
      </c>
    </row>
    <row r="878" spans="1:3">
      <c r="A878" t="s">
        <v>1476</v>
      </c>
      <c r="B878" s="314" t="s">
        <v>2619</v>
      </c>
      <c r="C878" s="315">
        <v>2684</v>
      </c>
    </row>
    <row r="879" spans="1:3">
      <c r="A879" t="s">
        <v>1476</v>
      </c>
      <c r="B879" s="314" t="s">
        <v>2620</v>
      </c>
      <c r="C879" s="315">
        <v>2709</v>
      </c>
    </row>
    <row r="880" spans="1:3">
      <c r="A880" t="s">
        <v>1476</v>
      </c>
      <c r="B880" s="314" t="s">
        <v>2621</v>
      </c>
      <c r="C880" s="315">
        <v>2706</v>
      </c>
    </row>
    <row r="881" spans="1:3">
      <c r="A881" t="s">
        <v>1476</v>
      </c>
      <c r="B881" s="314" t="s">
        <v>2622</v>
      </c>
      <c r="C881" s="315">
        <v>2500</v>
      </c>
    </row>
    <row r="882" spans="1:3">
      <c r="A882" t="s">
        <v>1476</v>
      </c>
      <c r="B882" s="314" t="s">
        <v>2623</v>
      </c>
      <c r="C882" s="315">
        <v>2501</v>
      </c>
    </row>
    <row r="883" spans="1:3">
      <c r="A883" t="s">
        <v>1476</v>
      </c>
      <c r="B883" s="314" t="s">
        <v>2624</v>
      </c>
      <c r="C883" s="315">
        <v>2502</v>
      </c>
    </row>
    <row r="884" spans="1:3">
      <c r="A884" t="s">
        <v>1476</v>
      </c>
      <c r="B884" s="314" t="s">
        <v>2625</v>
      </c>
      <c r="C884" s="315">
        <v>2503</v>
      </c>
    </row>
    <row r="885" spans="1:3">
      <c r="A885" t="s">
        <v>1476</v>
      </c>
      <c r="B885" s="314" t="s">
        <v>2626</v>
      </c>
      <c r="C885" s="315">
        <v>1092</v>
      </c>
    </row>
    <row r="886" spans="1:3">
      <c r="A886" t="s">
        <v>1476</v>
      </c>
      <c r="B886" s="314" t="s">
        <v>2627</v>
      </c>
      <c r="C886" s="315">
        <v>2504</v>
      </c>
    </row>
    <row r="887" spans="1:3">
      <c r="A887" t="s">
        <v>1476</v>
      </c>
      <c r="B887" s="314" t="s">
        <v>2628</v>
      </c>
      <c r="C887" s="315">
        <v>1093</v>
      </c>
    </row>
    <row r="888" spans="1:3">
      <c r="A888" t="s">
        <v>1476</v>
      </c>
      <c r="B888" s="314" t="s">
        <v>2629</v>
      </c>
      <c r="C888" s="315">
        <v>2505</v>
      </c>
    </row>
    <row r="889" spans="1:3">
      <c r="A889" t="s">
        <v>1476</v>
      </c>
      <c r="B889" s="314" t="s">
        <v>2630</v>
      </c>
      <c r="C889" s="315">
        <v>1094</v>
      </c>
    </row>
    <row r="890" spans="1:3">
      <c r="A890" t="s">
        <v>1476</v>
      </c>
      <c r="B890" s="314" t="s">
        <v>2631</v>
      </c>
      <c r="C890" s="315">
        <v>1095</v>
      </c>
    </row>
    <row r="891" spans="1:3">
      <c r="A891" t="s">
        <v>1476</v>
      </c>
      <c r="B891" s="314" t="s">
        <v>2632</v>
      </c>
      <c r="C891" s="315">
        <v>1096</v>
      </c>
    </row>
    <row r="892" spans="1:3">
      <c r="A892" t="s">
        <v>1476</v>
      </c>
      <c r="B892" s="314" t="s">
        <v>2633</v>
      </c>
      <c r="C892" s="315">
        <v>2506</v>
      </c>
    </row>
    <row r="893" spans="1:3">
      <c r="A893" t="s">
        <v>1476</v>
      </c>
      <c r="B893" s="314" t="s">
        <v>2634</v>
      </c>
      <c r="C893" s="315">
        <v>2507</v>
      </c>
    </row>
    <row r="894" spans="1:3">
      <c r="A894" t="s">
        <v>1476</v>
      </c>
      <c r="B894" s="314" t="s">
        <v>2635</v>
      </c>
      <c r="C894" s="315">
        <v>2508</v>
      </c>
    </row>
    <row r="895" spans="1:3">
      <c r="A895" t="s">
        <v>1476</v>
      </c>
      <c r="B895" s="314" t="s">
        <v>2636</v>
      </c>
      <c r="C895" s="315">
        <v>2509</v>
      </c>
    </row>
    <row r="896" spans="1:3">
      <c r="A896" t="s">
        <v>1476</v>
      </c>
      <c r="B896" s="314" t="s">
        <v>2637</v>
      </c>
      <c r="C896" s="315">
        <v>2510</v>
      </c>
    </row>
    <row r="897" spans="1:3">
      <c r="A897" t="s">
        <v>1476</v>
      </c>
      <c r="B897" s="314" t="s">
        <v>2638</v>
      </c>
      <c r="C897" s="315">
        <v>2511</v>
      </c>
    </row>
    <row r="898" spans="1:3">
      <c r="A898" t="s">
        <v>1476</v>
      </c>
      <c r="B898" s="314" t="s">
        <v>2639</v>
      </c>
      <c r="C898" s="315">
        <v>2512</v>
      </c>
    </row>
    <row r="899" spans="1:3">
      <c r="A899" t="s">
        <v>1476</v>
      </c>
      <c r="B899" s="314" t="s">
        <v>2640</v>
      </c>
      <c r="C899" s="315">
        <v>1409</v>
      </c>
    </row>
    <row r="900" spans="1:3">
      <c r="A900" t="s">
        <v>1476</v>
      </c>
      <c r="B900" s="314" t="s">
        <v>2641</v>
      </c>
      <c r="C900" s="315">
        <v>1369</v>
      </c>
    </row>
    <row r="901" spans="1:3">
      <c r="A901" t="s">
        <v>1476</v>
      </c>
      <c r="B901" s="314" t="s">
        <v>2641</v>
      </c>
      <c r="C901" s="315">
        <v>2513</v>
      </c>
    </row>
    <row r="902" spans="1:3">
      <c r="A902" t="s">
        <v>1476</v>
      </c>
      <c r="B902" s="314" t="s">
        <v>2642</v>
      </c>
      <c r="C902" s="315">
        <v>2514</v>
      </c>
    </row>
    <row r="903" spans="1:3">
      <c r="A903" t="s">
        <v>1476</v>
      </c>
      <c r="B903" s="314" t="s">
        <v>2643</v>
      </c>
      <c r="C903" s="315">
        <v>2515</v>
      </c>
    </row>
    <row r="904" spans="1:3">
      <c r="A904" t="s">
        <v>1476</v>
      </c>
      <c r="B904" s="314" t="s">
        <v>2644</v>
      </c>
      <c r="C904" s="315">
        <v>1451</v>
      </c>
    </row>
    <row r="905" spans="1:3">
      <c r="A905" t="s">
        <v>1476</v>
      </c>
      <c r="B905" s="314" t="s">
        <v>2645</v>
      </c>
      <c r="C905" s="315">
        <v>2516</v>
      </c>
    </row>
    <row r="906" spans="1:3">
      <c r="A906" t="s">
        <v>1476</v>
      </c>
      <c r="B906" s="314" t="s">
        <v>2646</v>
      </c>
      <c r="C906" s="315">
        <v>2517</v>
      </c>
    </row>
    <row r="907" spans="1:3">
      <c r="A907" t="s">
        <v>1476</v>
      </c>
      <c r="B907" s="314" t="s">
        <v>2647</v>
      </c>
      <c r="C907" s="315">
        <v>2518</v>
      </c>
    </row>
    <row r="908" spans="1:3">
      <c r="A908" t="s">
        <v>1476</v>
      </c>
      <c r="B908" s="314" t="s">
        <v>2648</v>
      </c>
      <c r="C908" s="315">
        <v>2519</v>
      </c>
    </row>
    <row r="909" spans="1:3">
      <c r="A909" t="s">
        <v>1476</v>
      </c>
      <c r="B909" s="314" t="s">
        <v>2649</v>
      </c>
      <c r="C909" s="315">
        <v>2520</v>
      </c>
    </row>
    <row r="910" spans="1:3">
      <c r="A910" t="s">
        <v>1476</v>
      </c>
      <c r="B910" s="314" t="s">
        <v>2650</v>
      </c>
      <c r="C910" s="315">
        <v>2521</v>
      </c>
    </row>
    <row r="911" spans="1:3">
      <c r="A911" t="s">
        <v>1476</v>
      </c>
      <c r="B911" s="314" t="s">
        <v>2651</v>
      </c>
      <c r="C911" s="315">
        <v>2522</v>
      </c>
    </row>
    <row r="912" spans="1:3">
      <c r="A912" t="s">
        <v>1476</v>
      </c>
      <c r="B912" s="314" t="s">
        <v>2652</v>
      </c>
      <c r="C912" s="315">
        <v>2523</v>
      </c>
    </row>
    <row r="913" spans="1:3">
      <c r="A913" t="s">
        <v>1476</v>
      </c>
      <c r="B913" s="314" t="s">
        <v>2653</v>
      </c>
      <c r="C913" s="315">
        <v>2524</v>
      </c>
    </row>
    <row r="914" spans="1:3">
      <c r="A914" t="s">
        <v>1476</v>
      </c>
      <c r="B914" s="314" t="s">
        <v>2654</v>
      </c>
      <c r="C914" s="315">
        <v>2525</v>
      </c>
    </row>
    <row r="915" spans="1:3">
      <c r="A915" t="s">
        <v>1476</v>
      </c>
      <c r="B915" s="314" t="s">
        <v>2655</v>
      </c>
      <c r="C915" s="315">
        <v>2526</v>
      </c>
    </row>
    <row r="916" spans="1:3">
      <c r="A916" t="s">
        <v>1476</v>
      </c>
      <c r="B916" s="314" t="s">
        <v>2656</v>
      </c>
      <c r="C916" s="315">
        <v>1450</v>
      </c>
    </row>
    <row r="917" spans="1:3">
      <c r="A917" t="s">
        <v>1476</v>
      </c>
      <c r="B917" s="314" t="s">
        <v>2657</v>
      </c>
      <c r="C917" s="315">
        <v>2527</v>
      </c>
    </row>
    <row r="918" spans="1:3">
      <c r="A918" t="s">
        <v>1476</v>
      </c>
      <c r="B918" s="314" t="s">
        <v>2658</v>
      </c>
      <c r="C918" s="315">
        <v>2528</v>
      </c>
    </row>
    <row r="919" spans="1:3">
      <c r="A919" t="s">
        <v>1476</v>
      </c>
      <c r="B919" s="314" t="s">
        <v>2659</v>
      </c>
      <c r="C919" s="315">
        <v>2529</v>
      </c>
    </row>
    <row r="920" spans="1:3">
      <c r="A920" t="s">
        <v>1476</v>
      </c>
      <c r="B920" s="314" t="s">
        <v>2660</v>
      </c>
      <c r="C920" s="315">
        <v>2530</v>
      </c>
    </row>
    <row r="921" spans="1:3">
      <c r="A921" t="s">
        <v>1476</v>
      </c>
      <c r="B921" s="314" t="s">
        <v>2661</v>
      </c>
      <c r="C921" s="315">
        <v>1097</v>
      </c>
    </row>
    <row r="922" spans="1:3">
      <c r="A922" t="s">
        <v>1476</v>
      </c>
      <c r="B922" s="314" t="s">
        <v>2662</v>
      </c>
      <c r="C922" s="315">
        <v>2531</v>
      </c>
    </row>
    <row r="923" spans="1:3">
      <c r="A923" t="s">
        <v>1476</v>
      </c>
      <c r="B923" s="314" t="s">
        <v>2663</v>
      </c>
      <c r="C923" s="315">
        <v>2532</v>
      </c>
    </row>
    <row r="924" spans="1:3">
      <c r="A924" t="s">
        <v>1476</v>
      </c>
      <c r="B924" s="314" t="s">
        <v>2664</v>
      </c>
      <c r="C924" s="315">
        <v>2533</v>
      </c>
    </row>
    <row r="925" spans="1:3">
      <c r="A925" t="s">
        <v>1476</v>
      </c>
      <c r="B925" s="314" t="s">
        <v>2665</v>
      </c>
      <c r="C925" s="315">
        <v>2534</v>
      </c>
    </row>
    <row r="926" spans="1:3">
      <c r="A926" t="s">
        <v>1476</v>
      </c>
      <c r="B926" s="314" t="s">
        <v>2665</v>
      </c>
      <c r="C926" s="315">
        <v>1494</v>
      </c>
    </row>
    <row r="927" spans="1:3">
      <c r="A927" t="s">
        <v>1476</v>
      </c>
      <c r="B927" s="314" t="s">
        <v>2666</v>
      </c>
      <c r="C927" s="315">
        <v>2535</v>
      </c>
    </row>
    <row r="928" spans="1:3">
      <c r="A928" t="s">
        <v>1476</v>
      </c>
      <c r="B928" s="314" t="s">
        <v>2667</v>
      </c>
      <c r="C928" s="315">
        <v>1374</v>
      </c>
    </row>
    <row r="929" spans="1:3">
      <c r="A929" t="s">
        <v>1476</v>
      </c>
      <c r="B929" s="314" t="s">
        <v>2668</v>
      </c>
      <c r="C929" s="315">
        <v>1000</v>
      </c>
    </row>
    <row r="930" spans="1:3">
      <c r="A930" t="s">
        <v>1476</v>
      </c>
      <c r="B930" s="314" t="s">
        <v>2669</v>
      </c>
      <c r="C930" s="315">
        <v>2536</v>
      </c>
    </row>
    <row r="931" spans="1:3">
      <c r="A931" t="s">
        <v>1476</v>
      </c>
      <c r="B931" s="314" t="s">
        <v>2670</v>
      </c>
      <c r="C931" s="315">
        <v>2666</v>
      </c>
    </row>
    <row r="932" spans="1:3">
      <c r="A932" t="s">
        <v>1476</v>
      </c>
      <c r="B932" s="314" t="s">
        <v>2671</v>
      </c>
      <c r="C932" s="315">
        <v>2147</v>
      </c>
    </row>
    <row r="933" spans="1:3">
      <c r="A933" t="s">
        <v>1476</v>
      </c>
      <c r="B933" s="314" t="s">
        <v>2672</v>
      </c>
      <c r="C933" s="315">
        <v>2696</v>
      </c>
    </row>
    <row r="934" spans="1:3">
      <c r="A934" t="s">
        <v>1476</v>
      </c>
      <c r="B934" s="314" t="s">
        <v>2673</v>
      </c>
      <c r="C934" s="315">
        <v>1503</v>
      </c>
    </row>
    <row r="935" spans="1:3">
      <c r="A935" t="s">
        <v>1476</v>
      </c>
      <c r="B935" s="314" t="s">
        <v>2674</v>
      </c>
      <c r="C935" s="315">
        <v>2656</v>
      </c>
    </row>
    <row r="936" spans="1:3">
      <c r="A936" t="s">
        <v>1476</v>
      </c>
      <c r="B936" s="314" t="s">
        <v>2675</v>
      </c>
      <c r="C936" s="315">
        <v>2707</v>
      </c>
    </row>
    <row r="937" spans="1:3">
      <c r="A937" t="s">
        <v>1476</v>
      </c>
      <c r="B937" s="314" t="s">
        <v>2676</v>
      </c>
      <c r="C937" s="315">
        <v>2004</v>
      </c>
    </row>
    <row r="938" spans="1:3">
      <c r="A938" t="s">
        <v>1476</v>
      </c>
      <c r="B938" s="314" t="s">
        <v>2677</v>
      </c>
      <c r="C938" s="315">
        <v>2654</v>
      </c>
    </row>
    <row r="939" spans="1:3">
      <c r="A939" t="s">
        <v>1476</v>
      </c>
      <c r="B939" s="314" t="s">
        <v>2678</v>
      </c>
      <c r="C939" s="315">
        <v>1506</v>
      </c>
    </row>
    <row r="940" spans="1:3">
      <c r="A940" t="s">
        <v>1476</v>
      </c>
      <c r="B940" s="314" t="s">
        <v>2679</v>
      </c>
      <c r="C940" s="315">
        <v>2723</v>
      </c>
    </row>
    <row r="941" spans="1:3">
      <c r="A941" t="s">
        <v>1476</v>
      </c>
      <c r="B941" s="314" t="s">
        <v>2680</v>
      </c>
      <c r="C941" s="315">
        <v>1160</v>
      </c>
    </row>
    <row r="942" spans="1:3">
      <c r="A942" t="s">
        <v>1476</v>
      </c>
      <c r="B942" s="314" t="s">
        <v>2681</v>
      </c>
      <c r="C942" s="315">
        <v>2652</v>
      </c>
    </row>
    <row r="943" spans="1:3">
      <c r="A943" t="s">
        <v>1476</v>
      </c>
      <c r="B943" s="314" t="s">
        <v>2682</v>
      </c>
      <c r="C943" s="315">
        <v>1125</v>
      </c>
    </row>
    <row r="944" spans="1:3">
      <c r="A944" t="s">
        <v>1476</v>
      </c>
      <c r="B944" s="314" t="s">
        <v>2683</v>
      </c>
      <c r="C944" s="315">
        <v>2427</v>
      </c>
    </row>
    <row r="945" spans="1:3">
      <c r="A945" t="s">
        <v>1476</v>
      </c>
      <c r="B945" s="314" t="s">
        <v>2684</v>
      </c>
      <c r="C945" s="315">
        <v>1077</v>
      </c>
    </row>
    <row r="946" spans="1:3">
      <c r="A946" t="s">
        <v>1476</v>
      </c>
      <c r="B946" s="314" t="s">
        <v>2685</v>
      </c>
      <c r="C946" s="315">
        <v>1078</v>
      </c>
    </row>
    <row r="947" spans="1:3">
      <c r="A947" t="s">
        <v>1476</v>
      </c>
      <c r="B947" s="314" t="s">
        <v>2686</v>
      </c>
      <c r="C947" s="315">
        <v>2537</v>
      </c>
    </row>
    <row r="948" spans="1:3">
      <c r="A948" t="s">
        <v>1476</v>
      </c>
      <c r="B948" s="314" t="s">
        <v>2687</v>
      </c>
      <c r="C948" s="315">
        <v>2538</v>
      </c>
    </row>
    <row r="949" spans="1:3">
      <c r="A949" t="s">
        <v>1476</v>
      </c>
      <c r="B949" s="314" t="s">
        <v>2688</v>
      </c>
      <c r="C949" s="315">
        <v>2626</v>
      </c>
    </row>
    <row r="950" spans="1:3">
      <c r="A950" t="s">
        <v>1476</v>
      </c>
      <c r="B950" s="314" t="s">
        <v>2689</v>
      </c>
      <c r="C950" s="315">
        <v>1495</v>
      </c>
    </row>
    <row r="951" spans="1:3">
      <c r="A951" t="s">
        <v>1476</v>
      </c>
      <c r="B951" s="314" t="s">
        <v>2690</v>
      </c>
      <c r="C951" s="315">
        <v>2539</v>
      </c>
    </row>
    <row r="952" spans="1:3">
      <c r="A952" t="s">
        <v>1476</v>
      </c>
      <c r="B952" s="314" t="s">
        <v>2691</v>
      </c>
      <c r="C952" s="315">
        <v>2540</v>
      </c>
    </row>
    <row r="953" spans="1:3">
      <c r="A953" t="s">
        <v>1476</v>
      </c>
      <c r="B953" s="314" t="s">
        <v>2692</v>
      </c>
      <c r="C953" s="315">
        <v>1133</v>
      </c>
    </row>
    <row r="954" spans="1:3">
      <c r="A954" t="s">
        <v>1476</v>
      </c>
      <c r="B954" s="314" t="s">
        <v>2693</v>
      </c>
      <c r="C954" s="315">
        <v>2541</v>
      </c>
    </row>
    <row r="955" spans="1:3">
      <c r="A955" t="s">
        <v>1476</v>
      </c>
      <c r="B955" s="314" t="s">
        <v>2694</v>
      </c>
      <c r="C955" s="315">
        <v>2542</v>
      </c>
    </row>
    <row r="956" spans="1:3">
      <c r="A956" t="s">
        <v>1476</v>
      </c>
      <c r="B956" s="314" t="s">
        <v>2695</v>
      </c>
      <c r="C956" s="315">
        <v>2543</v>
      </c>
    </row>
    <row r="957" spans="1:3">
      <c r="A957" t="s">
        <v>1476</v>
      </c>
      <c r="B957" s="314" t="s">
        <v>2696</v>
      </c>
      <c r="C957" s="315">
        <v>2627</v>
      </c>
    </row>
    <row r="958" spans="1:3">
      <c r="A958" t="s">
        <v>1476</v>
      </c>
      <c r="B958" s="314" t="s">
        <v>2697</v>
      </c>
      <c r="C958" s="315">
        <v>1410</v>
      </c>
    </row>
    <row r="959" spans="1:3">
      <c r="A959" t="s">
        <v>1476</v>
      </c>
      <c r="B959" s="314" t="s">
        <v>2698</v>
      </c>
      <c r="C959" s="315">
        <v>2544</v>
      </c>
    </row>
    <row r="960" spans="1:3">
      <c r="A960" t="s">
        <v>1476</v>
      </c>
      <c r="B960" s="314" t="s">
        <v>2699</v>
      </c>
      <c r="C960" s="315">
        <v>2545</v>
      </c>
    </row>
    <row r="961" spans="1:3">
      <c r="A961" t="s">
        <v>1476</v>
      </c>
      <c r="B961" s="314" t="s">
        <v>2700</v>
      </c>
      <c r="C961" s="315">
        <v>2608</v>
      </c>
    </row>
    <row r="962" spans="1:3">
      <c r="A962" t="s">
        <v>1476</v>
      </c>
      <c r="B962" s="314" t="s">
        <v>2701</v>
      </c>
      <c r="C962" s="315">
        <v>1098</v>
      </c>
    </row>
    <row r="963" spans="1:3">
      <c r="A963" t="s">
        <v>1476</v>
      </c>
      <c r="B963" s="314" t="s">
        <v>2702</v>
      </c>
      <c r="C963" s="315">
        <v>2631</v>
      </c>
    </row>
    <row r="964" spans="1:3">
      <c r="A964" t="s">
        <v>1476</v>
      </c>
      <c r="B964" s="314" t="s">
        <v>2703</v>
      </c>
      <c r="C964" s="315">
        <v>2632</v>
      </c>
    </row>
    <row r="965" spans="1:3">
      <c r="A965" t="s">
        <v>1476</v>
      </c>
      <c r="B965" s="314" t="s">
        <v>2704</v>
      </c>
      <c r="C965" s="315">
        <v>2633</v>
      </c>
    </row>
    <row r="966" spans="1:3">
      <c r="A966" t="s">
        <v>1476</v>
      </c>
      <c r="B966" s="314" t="s">
        <v>2705</v>
      </c>
      <c r="C966" s="315">
        <v>1339</v>
      </c>
    </row>
    <row r="967" spans="1:3">
      <c r="A967" t="s">
        <v>1476</v>
      </c>
      <c r="B967" s="314" t="s">
        <v>2706</v>
      </c>
      <c r="C967" s="315">
        <v>2546</v>
      </c>
    </row>
    <row r="968" spans="1:3">
      <c r="A968" t="s">
        <v>1476</v>
      </c>
      <c r="B968" s="314" t="s">
        <v>2707</v>
      </c>
      <c r="C968" s="315">
        <v>1099</v>
      </c>
    </row>
    <row r="969" spans="1:3">
      <c r="A969" t="s">
        <v>1476</v>
      </c>
      <c r="B969" s="314" t="s">
        <v>2708</v>
      </c>
      <c r="C969" s="315">
        <v>2547</v>
      </c>
    </row>
    <row r="970" spans="1:3">
      <c r="A970" t="s">
        <v>1476</v>
      </c>
      <c r="B970" s="314" t="s">
        <v>2709</v>
      </c>
      <c r="C970" s="315">
        <v>2548</v>
      </c>
    </row>
    <row r="971" spans="1:3">
      <c r="A971" t="s">
        <v>1476</v>
      </c>
      <c r="B971" s="314" t="s">
        <v>2710</v>
      </c>
      <c r="C971" s="315">
        <v>2549</v>
      </c>
    </row>
    <row r="972" spans="1:3">
      <c r="A972" t="s">
        <v>1476</v>
      </c>
      <c r="B972" s="314" t="s">
        <v>5</v>
      </c>
      <c r="C972" s="315">
        <v>2550</v>
      </c>
    </row>
    <row r="973" spans="1:3">
      <c r="A973" t="s">
        <v>1476</v>
      </c>
      <c r="B973" s="314" t="s">
        <v>2711</v>
      </c>
      <c r="C973" s="315">
        <v>2744</v>
      </c>
    </row>
    <row r="974" spans="1:3">
      <c r="A974" t="s">
        <v>1476</v>
      </c>
      <c r="B974" s="314" t="s">
        <v>2712</v>
      </c>
      <c r="C974" s="315">
        <v>2716</v>
      </c>
    </row>
    <row r="975" spans="1:3">
      <c r="A975" t="s">
        <v>1476</v>
      </c>
      <c r="B975" s="314" t="s">
        <v>2713</v>
      </c>
      <c r="C975" s="315">
        <v>2551</v>
      </c>
    </row>
    <row r="976" spans="1:3">
      <c r="A976" t="s">
        <v>1476</v>
      </c>
      <c r="B976" s="314" t="s">
        <v>2713</v>
      </c>
      <c r="C976" s="315">
        <v>1100</v>
      </c>
    </row>
    <row r="977" spans="1:3">
      <c r="A977" t="s">
        <v>1476</v>
      </c>
      <c r="B977" s="314" t="s">
        <v>2714</v>
      </c>
      <c r="C977" s="315">
        <v>2552</v>
      </c>
    </row>
    <row r="978" spans="1:3">
      <c r="A978" t="s">
        <v>1476</v>
      </c>
      <c r="B978" s="314" t="s">
        <v>322</v>
      </c>
      <c r="C978" s="315">
        <v>2553</v>
      </c>
    </row>
    <row r="979" spans="1:3">
      <c r="A979" t="s">
        <v>1476</v>
      </c>
      <c r="B979" s="314" t="s">
        <v>2715</v>
      </c>
      <c r="C979" s="315">
        <v>2554</v>
      </c>
    </row>
    <row r="980" spans="1:3">
      <c r="A980" t="s">
        <v>1476</v>
      </c>
      <c r="B980" s="314" t="s">
        <v>2715</v>
      </c>
      <c r="C980" s="315">
        <v>1810</v>
      </c>
    </row>
    <row r="981" spans="1:3">
      <c r="A981" t="s">
        <v>1476</v>
      </c>
      <c r="B981" s="314" t="s">
        <v>2716</v>
      </c>
      <c r="C981" s="315">
        <v>2555</v>
      </c>
    </row>
    <row r="982" spans="1:3">
      <c r="A982" t="s">
        <v>1476</v>
      </c>
      <c r="B982" s="314" t="s">
        <v>2716</v>
      </c>
      <c r="C982" s="315">
        <v>1101</v>
      </c>
    </row>
    <row r="983" spans="1:3">
      <c r="A983" t="s">
        <v>1476</v>
      </c>
      <c r="B983" s="314" t="s">
        <v>189</v>
      </c>
      <c r="C983" s="315">
        <v>1140</v>
      </c>
    </row>
    <row r="984" spans="1:3">
      <c r="A984" t="s">
        <v>1476</v>
      </c>
      <c r="B984" s="314" t="s">
        <v>2717</v>
      </c>
      <c r="C984" s="315">
        <v>2556</v>
      </c>
    </row>
    <row r="985" spans="1:3">
      <c r="A985" t="s">
        <v>1476</v>
      </c>
      <c r="B985" s="314" t="s">
        <v>2718</v>
      </c>
      <c r="C985" s="315">
        <v>2697</v>
      </c>
    </row>
    <row r="986" spans="1:3">
      <c r="A986" t="s">
        <v>1476</v>
      </c>
      <c r="B986" s="314" t="s">
        <v>2719</v>
      </c>
      <c r="C986" s="315">
        <v>2557</v>
      </c>
    </row>
    <row r="987" spans="1:3">
      <c r="A987" t="s">
        <v>1476</v>
      </c>
      <c r="B987" s="314" t="s">
        <v>2719</v>
      </c>
      <c r="C987" s="315">
        <v>1437</v>
      </c>
    </row>
    <row r="988" spans="1:3">
      <c r="A988" t="s">
        <v>1476</v>
      </c>
      <c r="B988" s="314" t="s">
        <v>2720</v>
      </c>
      <c r="C988" s="315">
        <v>1102</v>
      </c>
    </row>
    <row r="989" spans="1:3">
      <c r="A989" t="s">
        <v>1476</v>
      </c>
      <c r="B989" s="314" t="s">
        <v>2721</v>
      </c>
      <c r="C989" s="315">
        <v>1103</v>
      </c>
    </row>
    <row r="990" spans="1:3">
      <c r="A990" t="s">
        <v>1476</v>
      </c>
      <c r="B990" s="314" t="s">
        <v>2722</v>
      </c>
      <c r="C990" s="315">
        <v>1104</v>
      </c>
    </row>
    <row r="991" spans="1:3">
      <c r="A991" t="s">
        <v>1476</v>
      </c>
      <c r="B991" s="314" t="s">
        <v>2722</v>
      </c>
      <c r="C991" s="315">
        <v>2558</v>
      </c>
    </row>
    <row r="992" spans="1:3">
      <c r="A992" t="s">
        <v>1476</v>
      </c>
      <c r="B992" s="314" t="s">
        <v>2723</v>
      </c>
      <c r="C992" s="315">
        <v>1118</v>
      </c>
    </row>
    <row r="993" spans="1:3">
      <c r="A993" t="s">
        <v>1476</v>
      </c>
      <c r="B993" s="314" t="s">
        <v>2724</v>
      </c>
      <c r="C993" s="315">
        <v>1144</v>
      </c>
    </row>
    <row r="994" spans="1:3">
      <c r="A994" t="s">
        <v>1476</v>
      </c>
      <c r="B994" s="314" t="s">
        <v>2725</v>
      </c>
      <c r="C994" s="315">
        <v>2559</v>
      </c>
    </row>
    <row r="995" spans="1:3">
      <c r="A995" t="s">
        <v>1476</v>
      </c>
      <c r="B995" s="314" t="s">
        <v>2726</v>
      </c>
      <c r="C995" s="315">
        <v>1147</v>
      </c>
    </row>
    <row r="996" spans="1:3">
      <c r="A996" t="s">
        <v>1476</v>
      </c>
      <c r="B996" s="314" t="s">
        <v>2727</v>
      </c>
      <c r="C996" s="315">
        <v>2560</v>
      </c>
    </row>
    <row r="997" spans="1:3">
      <c r="A997" t="s">
        <v>1476</v>
      </c>
      <c r="B997" s="314" t="s">
        <v>2728</v>
      </c>
      <c r="C997" s="315">
        <v>2561</v>
      </c>
    </row>
    <row r="998" spans="1:3">
      <c r="A998" t="s">
        <v>1476</v>
      </c>
      <c r="B998" s="314" t="s">
        <v>2729</v>
      </c>
      <c r="C998" s="315">
        <v>2562</v>
      </c>
    </row>
    <row r="999" spans="1:3">
      <c r="A999" t="s">
        <v>1476</v>
      </c>
      <c r="B999" s="314" t="s">
        <v>2730</v>
      </c>
      <c r="C999" s="315">
        <v>2563</v>
      </c>
    </row>
    <row r="1000" spans="1:3">
      <c r="A1000" t="s">
        <v>1476</v>
      </c>
      <c r="B1000" s="314" t="s">
        <v>2731</v>
      </c>
      <c r="C1000" s="315">
        <v>1105</v>
      </c>
    </row>
    <row r="1001" spans="1:3">
      <c r="A1001" t="s">
        <v>1476</v>
      </c>
      <c r="B1001" s="314" t="s">
        <v>413</v>
      </c>
      <c r="C1001" s="315">
        <v>1491</v>
      </c>
    </row>
    <row r="1002" spans="1:3">
      <c r="A1002" t="s">
        <v>1476</v>
      </c>
      <c r="B1002" s="314" t="s">
        <v>2732</v>
      </c>
      <c r="C1002" s="315">
        <v>2564</v>
      </c>
    </row>
    <row r="1003" spans="1:3">
      <c r="A1003" t="s">
        <v>1476</v>
      </c>
      <c r="B1003" s="314" t="s">
        <v>2733</v>
      </c>
      <c r="C1003" s="315">
        <v>1138</v>
      </c>
    </row>
    <row r="1004" spans="1:3">
      <c r="A1004" t="s">
        <v>1476</v>
      </c>
      <c r="B1004" s="314" t="s">
        <v>2734</v>
      </c>
      <c r="C1004" s="315">
        <v>1106</v>
      </c>
    </row>
    <row r="1005" spans="1:3">
      <c r="A1005" t="s">
        <v>1476</v>
      </c>
      <c r="B1005" s="314" t="s">
        <v>2735</v>
      </c>
      <c r="C1005" s="315">
        <v>1107</v>
      </c>
    </row>
    <row r="1006" spans="1:3">
      <c r="A1006" t="s">
        <v>1476</v>
      </c>
      <c r="B1006" s="314" t="s">
        <v>2735</v>
      </c>
      <c r="C1006" s="315">
        <v>2565</v>
      </c>
    </row>
    <row r="1007" spans="1:3">
      <c r="A1007" t="s">
        <v>1476</v>
      </c>
      <c r="B1007" s="314" t="s">
        <v>2736</v>
      </c>
      <c r="C1007" s="315">
        <v>2566</v>
      </c>
    </row>
    <row r="1008" spans="1:3">
      <c r="A1008" t="s">
        <v>1476</v>
      </c>
      <c r="B1008" s="314" t="s">
        <v>2737</v>
      </c>
      <c r="C1008" s="315">
        <v>2567</v>
      </c>
    </row>
    <row r="1009" spans="1:3">
      <c r="A1009" t="s">
        <v>1476</v>
      </c>
      <c r="B1009" s="314" t="s">
        <v>2737</v>
      </c>
      <c r="C1009" s="315">
        <v>1378</v>
      </c>
    </row>
    <row r="1010" spans="1:3">
      <c r="A1010" t="s">
        <v>1476</v>
      </c>
      <c r="B1010" s="314" t="s">
        <v>2738</v>
      </c>
      <c r="C1010" s="315">
        <v>1161</v>
      </c>
    </row>
    <row r="1011" spans="1:3">
      <c r="A1011" t="s">
        <v>1476</v>
      </c>
      <c r="B1011" s="314" t="s">
        <v>2739</v>
      </c>
      <c r="C1011" s="315">
        <v>1108</v>
      </c>
    </row>
    <row r="1012" spans="1:3">
      <c r="A1012" t="s">
        <v>1476</v>
      </c>
      <c r="B1012" s="314" t="s">
        <v>2740</v>
      </c>
      <c r="C1012" s="315">
        <v>2568</v>
      </c>
    </row>
    <row r="1013" spans="1:3">
      <c r="A1013" t="s">
        <v>1476</v>
      </c>
      <c r="B1013" s="314" t="s">
        <v>2741</v>
      </c>
      <c r="C1013" s="315">
        <v>2569</v>
      </c>
    </row>
    <row r="1014" spans="1:3">
      <c r="A1014" t="s">
        <v>1476</v>
      </c>
      <c r="B1014" s="314" t="s">
        <v>2742</v>
      </c>
      <c r="C1014" s="315">
        <v>2570</v>
      </c>
    </row>
    <row r="1015" spans="1:3">
      <c r="A1015" t="s">
        <v>1476</v>
      </c>
      <c r="B1015" s="314" t="s">
        <v>2743</v>
      </c>
      <c r="C1015" s="315">
        <v>2571</v>
      </c>
    </row>
    <row r="1016" spans="1:3">
      <c r="A1016" t="s">
        <v>1476</v>
      </c>
      <c r="B1016" s="314" t="s">
        <v>323</v>
      </c>
      <c r="C1016" s="315">
        <v>2745</v>
      </c>
    </row>
    <row r="1017" spans="1:3">
      <c r="A1017" t="s">
        <v>1476</v>
      </c>
      <c r="B1017" s="314" t="s">
        <v>2744</v>
      </c>
      <c r="C1017" s="315">
        <v>2572</v>
      </c>
    </row>
    <row r="1018" spans="1:3">
      <c r="A1018" t="s">
        <v>1476</v>
      </c>
      <c r="B1018" s="314" t="s">
        <v>2745</v>
      </c>
      <c r="C1018" s="315">
        <v>1109</v>
      </c>
    </row>
    <row r="1019" spans="1:3">
      <c r="A1019" t="s">
        <v>1476</v>
      </c>
      <c r="B1019" s="314" t="s">
        <v>2746</v>
      </c>
      <c r="C1019" s="315">
        <v>2573</v>
      </c>
    </row>
    <row r="1020" spans="1:3">
      <c r="A1020" t="s">
        <v>1476</v>
      </c>
      <c r="B1020" s="314" t="s">
        <v>2747</v>
      </c>
      <c r="C1020" s="315">
        <v>1816</v>
      </c>
    </row>
    <row r="1021" spans="1:3">
      <c r="A1021" t="s">
        <v>1476</v>
      </c>
      <c r="B1021" s="314" t="s">
        <v>2748</v>
      </c>
      <c r="C1021" s="315">
        <v>1815</v>
      </c>
    </row>
    <row r="1022" spans="1:3">
      <c r="A1022" t="s">
        <v>1476</v>
      </c>
      <c r="B1022" s="314" t="s">
        <v>2749</v>
      </c>
      <c r="C1022" s="315">
        <v>1402</v>
      </c>
    </row>
    <row r="1023" spans="1:3">
      <c r="A1023" t="s">
        <v>1476</v>
      </c>
      <c r="B1023" s="314" t="s">
        <v>2750</v>
      </c>
      <c r="C1023" s="315">
        <v>2601</v>
      </c>
    </row>
    <row r="1024" spans="1:3">
      <c r="A1024" t="s">
        <v>1476</v>
      </c>
      <c r="B1024" s="314" t="s">
        <v>2751</v>
      </c>
      <c r="C1024" s="315">
        <v>2574</v>
      </c>
    </row>
    <row r="1025" spans="1:3">
      <c r="A1025" t="s">
        <v>1476</v>
      </c>
      <c r="B1025" s="314" t="s">
        <v>2752</v>
      </c>
      <c r="C1025" s="315">
        <v>2575</v>
      </c>
    </row>
    <row r="1026" spans="1:3">
      <c r="A1026" t="s">
        <v>1476</v>
      </c>
      <c r="B1026" s="314" t="s">
        <v>2753</v>
      </c>
      <c r="C1026" s="315">
        <v>2576</v>
      </c>
    </row>
    <row r="1027" spans="1:3">
      <c r="A1027" t="s">
        <v>1476</v>
      </c>
      <c r="B1027" s="314" t="s">
        <v>2754</v>
      </c>
      <c r="C1027" s="315">
        <v>2577</v>
      </c>
    </row>
    <row r="1028" spans="1:3">
      <c r="A1028" t="s">
        <v>1820</v>
      </c>
      <c r="B1028" s="314" t="s">
        <v>2755</v>
      </c>
      <c r="C1028" s="315">
        <v>2675</v>
      </c>
    </row>
    <row r="1029" spans="1:3" hidden="1">
      <c r="A1029" t="s">
        <v>1459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DC85F-E2B4-4F4C-89E2-DE9B2ACAFC6C}">
  <sheetPr>
    <tabColor theme="4" tint="0.59999389629810485"/>
  </sheetPr>
  <dimension ref="A1:C96"/>
  <sheetViews>
    <sheetView topLeftCell="B62" workbookViewId="0">
      <selection activeCell="F15" sqref="F15"/>
    </sheetView>
  </sheetViews>
  <sheetFormatPr defaultColWidth="8.7109375" defaultRowHeight="14.45"/>
  <cols>
    <col min="1" max="1" width="9.42578125" customWidth="1"/>
    <col min="2" max="2" width="45.5703125" customWidth="1"/>
    <col min="3" max="3" width="13.42578125" customWidth="1"/>
  </cols>
  <sheetData>
    <row r="1" spans="1:3" hidden="1">
      <c r="A1" t="s">
        <v>2756</v>
      </c>
    </row>
    <row r="2" spans="1:3" hidden="1">
      <c r="A2" t="s">
        <v>1473</v>
      </c>
    </row>
    <row r="3" spans="1:3" hidden="1">
      <c r="A3" t="s">
        <v>1355</v>
      </c>
      <c r="B3" t="s">
        <v>1386</v>
      </c>
      <c r="C3" t="s">
        <v>2757</v>
      </c>
    </row>
    <row r="4" spans="1:3">
      <c r="B4" s="313" t="s">
        <v>2758</v>
      </c>
      <c r="C4" s="313" t="s">
        <v>1361</v>
      </c>
    </row>
    <row r="5" spans="1:3" hidden="1">
      <c r="A5" t="s">
        <v>1459</v>
      </c>
      <c r="C5" s="316"/>
    </row>
    <row r="6" spans="1:3">
      <c r="A6" t="s">
        <v>1476</v>
      </c>
      <c r="B6" s="314" t="s">
        <v>2759</v>
      </c>
      <c r="C6" s="317" t="s">
        <v>2760</v>
      </c>
    </row>
    <row r="7" spans="1:3">
      <c r="A7" t="s">
        <v>1476</v>
      </c>
      <c r="B7" s="314" t="s">
        <v>2761</v>
      </c>
      <c r="C7" s="317" t="s">
        <v>2762</v>
      </c>
    </row>
    <row r="8" spans="1:3">
      <c r="A8" t="s">
        <v>1476</v>
      </c>
      <c r="B8" s="314" t="s">
        <v>2763</v>
      </c>
      <c r="C8" s="317" t="s">
        <v>2764</v>
      </c>
    </row>
    <row r="9" spans="1:3">
      <c r="A9" t="s">
        <v>1476</v>
      </c>
      <c r="B9" s="314" t="s">
        <v>2765</v>
      </c>
      <c r="C9" s="317" t="s">
        <v>2766</v>
      </c>
    </row>
    <row r="10" spans="1:3">
      <c r="A10" t="s">
        <v>1476</v>
      </c>
      <c r="B10" s="314" t="s">
        <v>2767</v>
      </c>
      <c r="C10" s="317" t="s">
        <v>2768</v>
      </c>
    </row>
    <row r="11" spans="1:3">
      <c r="A11" t="s">
        <v>1476</v>
      </c>
      <c r="B11" s="314" t="s">
        <v>2769</v>
      </c>
      <c r="C11" s="317" t="s">
        <v>2770</v>
      </c>
    </row>
    <row r="12" spans="1:3">
      <c r="A12" t="s">
        <v>1476</v>
      </c>
      <c r="B12" s="314" t="s">
        <v>2771</v>
      </c>
      <c r="C12" s="317" t="s">
        <v>2772</v>
      </c>
    </row>
    <row r="13" spans="1:3">
      <c r="A13" t="s">
        <v>1476</v>
      </c>
      <c r="B13" s="314" t="s">
        <v>2773</v>
      </c>
      <c r="C13" s="317" t="s">
        <v>2774</v>
      </c>
    </row>
    <row r="14" spans="1:3">
      <c r="A14" t="s">
        <v>1476</v>
      </c>
      <c r="B14" s="314" t="s">
        <v>2775</v>
      </c>
      <c r="C14" s="317" t="s">
        <v>2776</v>
      </c>
    </row>
    <row r="15" spans="1:3">
      <c r="A15" t="s">
        <v>1476</v>
      </c>
      <c r="B15" s="314" t="s">
        <v>2777</v>
      </c>
      <c r="C15" s="317" t="s">
        <v>2778</v>
      </c>
    </row>
    <row r="16" spans="1:3">
      <c r="A16" t="s">
        <v>1476</v>
      </c>
      <c r="B16" s="314" t="s">
        <v>2779</v>
      </c>
      <c r="C16" s="317" t="s">
        <v>2780</v>
      </c>
    </row>
    <row r="17" spans="1:3">
      <c r="A17" t="s">
        <v>1476</v>
      </c>
      <c r="B17" s="314" t="s">
        <v>2781</v>
      </c>
      <c r="C17" s="317" t="s">
        <v>2782</v>
      </c>
    </row>
    <row r="18" spans="1:3">
      <c r="A18" t="s">
        <v>1476</v>
      </c>
      <c r="B18" s="314" t="s">
        <v>2783</v>
      </c>
      <c r="C18" s="317" t="s">
        <v>2784</v>
      </c>
    </row>
    <row r="19" spans="1:3">
      <c r="A19" t="s">
        <v>1476</v>
      </c>
      <c r="B19" s="314" t="s">
        <v>2785</v>
      </c>
      <c r="C19" s="317" t="s">
        <v>2786</v>
      </c>
    </row>
    <row r="20" spans="1:3">
      <c r="A20" t="s">
        <v>1476</v>
      </c>
      <c r="B20" s="314" t="s">
        <v>2787</v>
      </c>
      <c r="C20" s="317" t="s">
        <v>2788</v>
      </c>
    </row>
    <row r="21" spans="1:3">
      <c r="A21" t="s">
        <v>1476</v>
      </c>
      <c r="B21" s="314" t="s">
        <v>2789</v>
      </c>
      <c r="C21" s="317" t="s">
        <v>2790</v>
      </c>
    </row>
    <row r="22" spans="1:3">
      <c r="A22" t="s">
        <v>1476</v>
      </c>
      <c r="B22" s="314" t="s">
        <v>2791</v>
      </c>
      <c r="C22" s="317" t="s">
        <v>2792</v>
      </c>
    </row>
    <row r="23" spans="1:3">
      <c r="A23" t="s">
        <v>1476</v>
      </c>
      <c r="B23" s="314" t="s">
        <v>2793</v>
      </c>
      <c r="C23" s="317" t="s">
        <v>2794</v>
      </c>
    </row>
    <row r="24" spans="1:3">
      <c r="A24" t="s">
        <v>1476</v>
      </c>
      <c r="B24" s="314" t="s">
        <v>2795</v>
      </c>
      <c r="C24" s="317" t="s">
        <v>2796</v>
      </c>
    </row>
    <row r="25" spans="1:3">
      <c r="A25" t="s">
        <v>1476</v>
      </c>
      <c r="B25" s="314" t="s">
        <v>2797</v>
      </c>
      <c r="C25" s="317" t="s">
        <v>2798</v>
      </c>
    </row>
    <row r="26" spans="1:3">
      <c r="A26" t="s">
        <v>1476</v>
      </c>
      <c r="B26" s="314" t="s">
        <v>2799</v>
      </c>
      <c r="C26" s="317" t="s">
        <v>2800</v>
      </c>
    </row>
    <row r="27" spans="1:3">
      <c r="A27" t="s">
        <v>1476</v>
      </c>
      <c r="B27" s="314" t="s">
        <v>2801</v>
      </c>
      <c r="C27" s="317" t="s">
        <v>2802</v>
      </c>
    </row>
    <row r="28" spans="1:3">
      <c r="A28" t="s">
        <v>1476</v>
      </c>
      <c r="B28" s="314" t="s">
        <v>2803</v>
      </c>
      <c r="C28" s="317" t="s">
        <v>2804</v>
      </c>
    </row>
    <row r="29" spans="1:3">
      <c r="A29" t="s">
        <v>1476</v>
      </c>
      <c r="B29" s="314" t="s">
        <v>2805</v>
      </c>
      <c r="C29" s="317" t="s">
        <v>2806</v>
      </c>
    </row>
    <row r="30" spans="1:3">
      <c r="A30" t="s">
        <v>1476</v>
      </c>
      <c r="B30" s="314" t="s">
        <v>2807</v>
      </c>
      <c r="C30" s="317" t="s">
        <v>2808</v>
      </c>
    </row>
    <row r="31" spans="1:3">
      <c r="A31" t="s">
        <v>1476</v>
      </c>
      <c r="B31" s="314" t="s">
        <v>2809</v>
      </c>
      <c r="C31" s="317" t="s">
        <v>2810</v>
      </c>
    </row>
    <row r="32" spans="1:3">
      <c r="A32" t="s">
        <v>1476</v>
      </c>
      <c r="B32" s="314" t="s">
        <v>2811</v>
      </c>
      <c r="C32" s="317" t="s">
        <v>2812</v>
      </c>
    </row>
    <row r="33" spans="1:3">
      <c r="A33" t="s">
        <v>1476</v>
      </c>
      <c r="B33" s="314" t="s">
        <v>2813</v>
      </c>
      <c r="C33" s="317" t="s">
        <v>2814</v>
      </c>
    </row>
    <row r="34" spans="1:3">
      <c r="A34" t="s">
        <v>1476</v>
      </c>
      <c r="B34" s="314" t="s">
        <v>493</v>
      </c>
      <c r="C34" s="317" t="s">
        <v>2815</v>
      </c>
    </row>
    <row r="35" spans="1:3">
      <c r="A35" t="s">
        <v>1476</v>
      </c>
      <c r="B35" s="314" t="s">
        <v>2816</v>
      </c>
      <c r="C35" s="317" t="s">
        <v>2817</v>
      </c>
    </row>
    <row r="36" spans="1:3">
      <c r="A36" t="s">
        <v>1476</v>
      </c>
      <c r="B36" s="314" t="s">
        <v>2818</v>
      </c>
      <c r="C36" s="317" t="s">
        <v>2819</v>
      </c>
    </row>
    <row r="37" spans="1:3">
      <c r="A37" t="s">
        <v>1476</v>
      </c>
      <c r="B37" s="314" t="s">
        <v>2820</v>
      </c>
      <c r="C37" s="317" t="s">
        <v>2821</v>
      </c>
    </row>
    <row r="38" spans="1:3">
      <c r="A38" t="s">
        <v>1476</v>
      </c>
      <c r="B38" s="314" t="s">
        <v>2822</v>
      </c>
      <c r="C38" s="317" t="s">
        <v>2823</v>
      </c>
    </row>
    <row r="39" spans="1:3">
      <c r="A39" t="s">
        <v>1476</v>
      </c>
      <c r="B39" s="314" t="s">
        <v>2824</v>
      </c>
      <c r="C39" s="317" t="s">
        <v>2825</v>
      </c>
    </row>
    <row r="40" spans="1:3">
      <c r="A40" t="s">
        <v>1476</v>
      </c>
      <c r="B40" s="314" t="s">
        <v>2826</v>
      </c>
      <c r="C40" s="317" t="s">
        <v>2827</v>
      </c>
    </row>
    <row r="41" spans="1:3">
      <c r="A41" t="s">
        <v>1476</v>
      </c>
      <c r="B41" s="314" t="s">
        <v>2828</v>
      </c>
      <c r="C41" s="317" t="s">
        <v>2829</v>
      </c>
    </row>
    <row r="42" spans="1:3">
      <c r="A42" t="s">
        <v>1476</v>
      </c>
      <c r="B42" s="314" t="s">
        <v>2830</v>
      </c>
      <c r="C42" s="317" t="s">
        <v>2831</v>
      </c>
    </row>
    <row r="43" spans="1:3">
      <c r="A43" t="s">
        <v>1476</v>
      </c>
      <c r="B43" s="314" t="s">
        <v>2832</v>
      </c>
      <c r="C43" s="317" t="s">
        <v>2833</v>
      </c>
    </row>
    <row r="44" spans="1:3">
      <c r="A44" t="s">
        <v>1476</v>
      </c>
      <c r="B44" s="314" t="s">
        <v>2834</v>
      </c>
      <c r="C44" s="317" t="s">
        <v>2835</v>
      </c>
    </row>
    <row r="45" spans="1:3">
      <c r="A45" t="s">
        <v>1476</v>
      </c>
      <c r="B45" s="314" t="s">
        <v>2836</v>
      </c>
      <c r="C45" s="317" t="s">
        <v>2837</v>
      </c>
    </row>
    <row r="46" spans="1:3">
      <c r="A46" t="s">
        <v>1476</v>
      </c>
      <c r="B46" s="314" t="s">
        <v>2838</v>
      </c>
      <c r="C46" s="317" t="s">
        <v>2839</v>
      </c>
    </row>
    <row r="47" spans="1:3">
      <c r="A47" t="s">
        <v>1476</v>
      </c>
      <c r="B47" s="314" t="s">
        <v>2840</v>
      </c>
      <c r="C47" s="317" t="s">
        <v>2841</v>
      </c>
    </row>
    <row r="48" spans="1:3">
      <c r="A48" t="s">
        <v>1476</v>
      </c>
      <c r="B48" s="314" t="s">
        <v>2842</v>
      </c>
      <c r="C48" s="317" t="s">
        <v>2843</v>
      </c>
    </row>
    <row r="49" spans="1:3">
      <c r="A49" t="s">
        <v>1476</v>
      </c>
      <c r="B49" s="314" t="s">
        <v>2844</v>
      </c>
      <c r="C49" s="317" t="s">
        <v>2845</v>
      </c>
    </row>
    <row r="50" spans="1:3">
      <c r="A50" t="s">
        <v>1476</v>
      </c>
      <c r="B50" s="314" t="s">
        <v>2846</v>
      </c>
      <c r="C50" s="317" t="s">
        <v>2847</v>
      </c>
    </row>
    <row r="51" spans="1:3">
      <c r="A51" t="s">
        <v>1476</v>
      </c>
      <c r="B51" s="314" t="s">
        <v>2848</v>
      </c>
      <c r="C51" s="317" t="s">
        <v>2849</v>
      </c>
    </row>
    <row r="52" spans="1:3">
      <c r="A52" t="s">
        <v>1476</v>
      </c>
      <c r="B52" s="314" t="s">
        <v>2850</v>
      </c>
      <c r="C52" s="317" t="s">
        <v>2851</v>
      </c>
    </row>
    <row r="53" spans="1:3">
      <c r="A53" t="s">
        <v>1476</v>
      </c>
      <c r="B53" s="314" t="s">
        <v>2852</v>
      </c>
      <c r="C53" s="317" t="s">
        <v>2853</v>
      </c>
    </row>
    <row r="54" spans="1:3">
      <c r="A54" t="s">
        <v>1476</v>
      </c>
      <c r="B54" s="314" t="s">
        <v>2854</v>
      </c>
      <c r="C54" s="317" t="s">
        <v>2855</v>
      </c>
    </row>
    <row r="55" spans="1:3">
      <c r="A55" t="s">
        <v>1476</v>
      </c>
      <c r="B55" s="314" t="s">
        <v>330</v>
      </c>
      <c r="C55" s="317" t="s">
        <v>2856</v>
      </c>
    </row>
    <row r="56" spans="1:3">
      <c r="A56" t="s">
        <v>1476</v>
      </c>
      <c r="B56" s="314" t="s">
        <v>2857</v>
      </c>
      <c r="C56" s="317" t="s">
        <v>2858</v>
      </c>
    </row>
    <row r="57" spans="1:3">
      <c r="A57" t="s">
        <v>1476</v>
      </c>
      <c r="B57" s="314" t="s">
        <v>2859</v>
      </c>
      <c r="C57" s="317" t="s">
        <v>2860</v>
      </c>
    </row>
    <row r="58" spans="1:3">
      <c r="A58" t="s">
        <v>1476</v>
      </c>
      <c r="B58" s="314" t="s">
        <v>2861</v>
      </c>
      <c r="C58" s="317" t="s">
        <v>2862</v>
      </c>
    </row>
    <row r="59" spans="1:3">
      <c r="A59" t="s">
        <v>1476</v>
      </c>
      <c r="B59" s="314" t="s">
        <v>2863</v>
      </c>
      <c r="C59" s="317" t="s">
        <v>2864</v>
      </c>
    </row>
    <row r="60" spans="1:3">
      <c r="A60" t="s">
        <v>1476</v>
      </c>
      <c r="B60" s="314" t="s">
        <v>2865</v>
      </c>
      <c r="C60" s="317" t="s">
        <v>2866</v>
      </c>
    </row>
    <row r="61" spans="1:3">
      <c r="A61" t="s">
        <v>1476</v>
      </c>
      <c r="B61" s="314" t="s">
        <v>410</v>
      </c>
      <c r="C61" s="317" t="s">
        <v>2867</v>
      </c>
    </row>
    <row r="62" spans="1:3">
      <c r="A62" t="s">
        <v>1476</v>
      </c>
      <c r="B62" s="314" t="s">
        <v>2868</v>
      </c>
      <c r="C62" s="317" t="s">
        <v>2869</v>
      </c>
    </row>
    <row r="63" spans="1:3">
      <c r="A63" t="s">
        <v>1476</v>
      </c>
      <c r="B63" s="314" t="s">
        <v>2870</v>
      </c>
      <c r="C63" s="317" t="s">
        <v>2871</v>
      </c>
    </row>
    <row r="64" spans="1:3">
      <c r="A64" t="s">
        <v>1476</v>
      </c>
      <c r="B64" s="314" t="s">
        <v>2872</v>
      </c>
      <c r="C64" s="317" t="s">
        <v>2873</v>
      </c>
    </row>
    <row r="65" spans="1:3">
      <c r="A65" t="s">
        <v>1476</v>
      </c>
      <c r="B65" s="314" t="s">
        <v>2874</v>
      </c>
      <c r="C65" s="317" t="s">
        <v>2875</v>
      </c>
    </row>
    <row r="66" spans="1:3">
      <c r="A66" t="s">
        <v>1476</v>
      </c>
      <c r="B66" s="314" t="s">
        <v>2876</v>
      </c>
      <c r="C66" s="317" t="s">
        <v>2877</v>
      </c>
    </row>
    <row r="67" spans="1:3">
      <c r="A67" t="s">
        <v>1476</v>
      </c>
      <c r="B67" s="314" t="s">
        <v>2878</v>
      </c>
      <c r="C67" s="317" t="s">
        <v>2879</v>
      </c>
    </row>
    <row r="68" spans="1:3">
      <c r="A68" t="s">
        <v>1476</v>
      </c>
      <c r="B68" s="314" t="s">
        <v>2880</v>
      </c>
      <c r="C68" s="317" t="s">
        <v>2881</v>
      </c>
    </row>
    <row r="69" spans="1:3">
      <c r="A69" t="s">
        <v>1476</v>
      </c>
      <c r="B69" s="314" t="s">
        <v>92</v>
      </c>
      <c r="C69" s="317" t="s">
        <v>2882</v>
      </c>
    </row>
    <row r="70" spans="1:3">
      <c r="A70" t="s">
        <v>1476</v>
      </c>
      <c r="B70" s="314" t="s">
        <v>2883</v>
      </c>
      <c r="C70" s="317" t="s">
        <v>2884</v>
      </c>
    </row>
    <row r="71" spans="1:3">
      <c r="A71" t="s">
        <v>1476</v>
      </c>
      <c r="B71" s="314" t="s">
        <v>2885</v>
      </c>
      <c r="C71" s="317" t="s">
        <v>2886</v>
      </c>
    </row>
    <row r="72" spans="1:3">
      <c r="A72" t="s">
        <v>1476</v>
      </c>
      <c r="B72" s="314" t="s">
        <v>2887</v>
      </c>
      <c r="C72" s="317" t="s">
        <v>2888</v>
      </c>
    </row>
    <row r="73" spans="1:3">
      <c r="A73" t="s">
        <v>1476</v>
      </c>
      <c r="B73" s="314" t="s">
        <v>2889</v>
      </c>
      <c r="C73" s="317" t="s">
        <v>2890</v>
      </c>
    </row>
    <row r="74" spans="1:3">
      <c r="A74" t="s">
        <v>1476</v>
      </c>
      <c r="B74" s="314" t="s">
        <v>2891</v>
      </c>
      <c r="C74" s="317" t="s">
        <v>2892</v>
      </c>
    </row>
    <row r="75" spans="1:3">
      <c r="A75" t="s">
        <v>1476</v>
      </c>
      <c r="B75" s="314" t="s">
        <v>2893</v>
      </c>
      <c r="C75" s="317" t="s">
        <v>2894</v>
      </c>
    </row>
    <row r="76" spans="1:3">
      <c r="A76" t="s">
        <v>1476</v>
      </c>
      <c r="B76" s="314" t="s">
        <v>2895</v>
      </c>
      <c r="C76" s="317" t="s">
        <v>2896</v>
      </c>
    </row>
    <row r="77" spans="1:3">
      <c r="A77" t="s">
        <v>1476</v>
      </c>
      <c r="B77" s="314" t="s">
        <v>2897</v>
      </c>
      <c r="C77" s="317" t="s">
        <v>2898</v>
      </c>
    </row>
    <row r="78" spans="1:3">
      <c r="A78" t="s">
        <v>1476</v>
      </c>
      <c r="B78" s="314" t="s">
        <v>2899</v>
      </c>
      <c r="C78" s="317" t="s">
        <v>2900</v>
      </c>
    </row>
    <row r="79" spans="1:3">
      <c r="A79" t="s">
        <v>1476</v>
      </c>
      <c r="B79" s="314" t="s">
        <v>2901</v>
      </c>
      <c r="C79" s="317" t="s">
        <v>2902</v>
      </c>
    </row>
    <row r="80" spans="1:3">
      <c r="A80" t="s">
        <v>1476</v>
      </c>
      <c r="B80" s="314" t="s">
        <v>2903</v>
      </c>
      <c r="C80" s="317" t="s">
        <v>2904</v>
      </c>
    </row>
    <row r="81" spans="1:3">
      <c r="A81" t="s">
        <v>1476</v>
      </c>
      <c r="B81" s="314" t="s">
        <v>2905</v>
      </c>
      <c r="C81" s="317" t="s">
        <v>2906</v>
      </c>
    </row>
    <row r="82" spans="1:3">
      <c r="A82" t="s">
        <v>1476</v>
      </c>
      <c r="B82" s="314" t="s">
        <v>2907</v>
      </c>
      <c r="C82" s="317" t="s">
        <v>2908</v>
      </c>
    </row>
    <row r="83" spans="1:3">
      <c r="A83" t="s">
        <v>1476</v>
      </c>
      <c r="B83" s="314" t="s">
        <v>2909</v>
      </c>
      <c r="C83" s="317" t="s">
        <v>2910</v>
      </c>
    </row>
    <row r="84" spans="1:3">
      <c r="A84" t="s">
        <v>1476</v>
      </c>
      <c r="B84" s="314" t="s">
        <v>2911</v>
      </c>
      <c r="C84" s="317" t="s">
        <v>2912</v>
      </c>
    </row>
    <row r="85" spans="1:3">
      <c r="A85" t="s">
        <v>1476</v>
      </c>
      <c r="B85" s="314" t="s">
        <v>2913</v>
      </c>
      <c r="C85" s="317" t="s">
        <v>2914</v>
      </c>
    </row>
    <row r="86" spans="1:3">
      <c r="A86" t="s">
        <v>1476</v>
      </c>
      <c r="B86" s="314" t="s">
        <v>2915</v>
      </c>
      <c r="C86" s="317" t="s">
        <v>2916</v>
      </c>
    </row>
    <row r="87" spans="1:3">
      <c r="A87" t="s">
        <v>1476</v>
      </c>
      <c r="B87" s="314" t="s">
        <v>2917</v>
      </c>
      <c r="C87" s="317" t="s">
        <v>2918</v>
      </c>
    </row>
    <row r="88" spans="1:3">
      <c r="A88" t="s">
        <v>1476</v>
      </c>
      <c r="B88" s="314" t="s">
        <v>2919</v>
      </c>
      <c r="C88" s="317" t="s">
        <v>2920</v>
      </c>
    </row>
    <row r="89" spans="1:3">
      <c r="A89" t="s">
        <v>1476</v>
      </c>
      <c r="B89" s="314" t="s">
        <v>2921</v>
      </c>
      <c r="C89" s="317" t="s">
        <v>2922</v>
      </c>
    </row>
    <row r="90" spans="1:3">
      <c r="A90" t="s">
        <v>1476</v>
      </c>
      <c r="B90" s="314" t="s">
        <v>2923</v>
      </c>
      <c r="C90" s="317" t="s">
        <v>2924</v>
      </c>
    </row>
    <row r="91" spans="1:3">
      <c r="A91" t="s">
        <v>1476</v>
      </c>
      <c r="B91" s="314" t="s">
        <v>2925</v>
      </c>
      <c r="C91" s="317" t="s">
        <v>2926</v>
      </c>
    </row>
    <row r="92" spans="1:3">
      <c r="A92" t="s">
        <v>1476</v>
      </c>
      <c r="B92" s="314" t="s">
        <v>2927</v>
      </c>
      <c r="C92" s="317" t="s">
        <v>2928</v>
      </c>
    </row>
    <row r="93" spans="1:3">
      <c r="A93" t="s">
        <v>1476</v>
      </c>
      <c r="B93" s="314" t="s">
        <v>2929</v>
      </c>
      <c r="C93" s="317" t="s">
        <v>2930</v>
      </c>
    </row>
    <row r="94" spans="1:3">
      <c r="A94" t="s">
        <v>1476</v>
      </c>
      <c r="B94" s="314" t="s">
        <v>2695</v>
      </c>
      <c r="C94" s="317" t="s">
        <v>2931</v>
      </c>
    </row>
    <row r="95" spans="1:3">
      <c r="A95" t="s">
        <v>1820</v>
      </c>
      <c r="B95" s="314" t="s">
        <v>2932</v>
      </c>
      <c r="C95" s="317" t="s">
        <v>2933</v>
      </c>
    </row>
    <row r="96" spans="1:3" hidden="1">
      <c r="A96" t="s">
        <v>1459</v>
      </c>
      <c r="C96" s="3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AE9CF-7222-4944-A98B-31A7D645D691}">
  <sheetPr>
    <tabColor theme="4" tint="0.59999389629810485"/>
  </sheetPr>
  <dimension ref="A1:C10"/>
  <sheetViews>
    <sheetView topLeftCell="B4" workbookViewId="0">
      <selection activeCell="F15" sqref="F15"/>
    </sheetView>
  </sheetViews>
  <sheetFormatPr defaultColWidth="8.7109375" defaultRowHeight="14.45"/>
  <cols>
    <col min="1" max="1" width="9.42578125" customWidth="1"/>
    <col min="2" max="2" width="39.42578125" customWidth="1"/>
    <col min="3" max="3" width="12.5703125" customWidth="1"/>
  </cols>
  <sheetData>
    <row r="1" spans="1:3" hidden="1">
      <c r="A1" t="s">
        <v>2934</v>
      </c>
    </row>
    <row r="2" spans="1:3" hidden="1">
      <c r="A2" t="s">
        <v>1473</v>
      </c>
    </row>
    <row r="3" spans="1:3" hidden="1">
      <c r="A3" t="s">
        <v>1355</v>
      </c>
      <c r="B3" t="s">
        <v>1386</v>
      </c>
      <c r="C3" t="s">
        <v>1474</v>
      </c>
    </row>
    <row r="4" spans="1:3">
      <c r="B4" s="312" t="s">
        <v>2935</v>
      </c>
      <c r="C4" s="312" t="s">
        <v>1357</v>
      </c>
    </row>
    <row r="5" spans="1:3" hidden="1">
      <c r="A5" t="s">
        <v>1459</v>
      </c>
    </row>
    <row r="6" spans="1:3">
      <c r="A6" t="s">
        <v>1476</v>
      </c>
      <c r="B6" s="314" t="s">
        <v>290</v>
      </c>
      <c r="C6" s="315">
        <v>10</v>
      </c>
    </row>
    <row r="7" spans="1:3">
      <c r="A7" t="s">
        <v>1476</v>
      </c>
      <c r="B7" s="314" t="s">
        <v>257</v>
      </c>
      <c r="C7" s="315">
        <v>20</v>
      </c>
    </row>
    <row r="8" spans="1:3">
      <c r="A8" t="s">
        <v>1476</v>
      </c>
      <c r="B8" s="314" t="s">
        <v>297</v>
      </c>
      <c r="C8" s="315">
        <v>30</v>
      </c>
    </row>
    <row r="9" spans="1:3">
      <c r="A9" t="s">
        <v>1820</v>
      </c>
      <c r="B9" s="314" t="s">
        <v>296</v>
      </c>
      <c r="C9" s="315">
        <v>40</v>
      </c>
    </row>
    <row r="10" spans="1:3" hidden="1">
      <c r="A10" t="s">
        <v>1459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59D4-1DEC-4D86-93D1-BD6CBD140D86}">
  <sheetPr>
    <tabColor theme="4" tint="0.59999389629810485"/>
  </sheetPr>
  <dimension ref="A1:E26"/>
  <sheetViews>
    <sheetView topLeftCell="B4" workbookViewId="0">
      <selection activeCell="F15" sqref="F15"/>
    </sheetView>
  </sheetViews>
  <sheetFormatPr defaultColWidth="8.7109375" defaultRowHeight="14.45"/>
  <cols>
    <col min="1" max="1" width="9.42578125" customWidth="1"/>
    <col min="2" max="2" width="49.42578125" customWidth="1"/>
    <col min="3" max="3" width="14" customWidth="1"/>
    <col min="4" max="4" width="49.42578125" customWidth="1"/>
    <col min="5" max="5" width="14" customWidth="1"/>
  </cols>
  <sheetData>
    <row r="1" spans="1:5" hidden="1">
      <c r="A1" t="s">
        <v>2936</v>
      </c>
    </row>
    <row r="2" spans="1:5" hidden="1">
      <c r="A2" t="s">
        <v>1473</v>
      </c>
    </row>
    <row r="3" spans="1:5" hidden="1">
      <c r="A3" t="s">
        <v>1355</v>
      </c>
      <c r="B3" t="s">
        <v>1386</v>
      </c>
      <c r="C3" t="s">
        <v>1474</v>
      </c>
      <c r="D3" t="s">
        <v>1386</v>
      </c>
      <c r="E3" t="s">
        <v>2937</v>
      </c>
    </row>
    <row r="4" spans="1:5">
      <c r="B4" s="313" t="s">
        <v>2938</v>
      </c>
      <c r="C4" s="312" t="s">
        <v>1357</v>
      </c>
      <c r="D4" s="313" t="s">
        <v>2938</v>
      </c>
      <c r="E4" s="312" t="s">
        <v>1357</v>
      </c>
    </row>
    <row r="5" spans="1:5" hidden="1">
      <c r="A5" t="s">
        <v>1459</v>
      </c>
    </row>
    <row r="6" spans="1:5">
      <c r="A6" t="s">
        <v>1476</v>
      </c>
      <c r="B6" s="314" t="s">
        <v>2939</v>
      </c>
      <c r="C6" s="314" t="s">
        <v>2940</v>
      </c>
      <c r="D6" s="314" t="s">
        <v>2939</v>
      </c>
      <c r="E6" s="314" t="s">
        <v>2941</v>
      </c>
    </row>
    <row r="7" spans="1:5">
      <c r="A7" t="s">
        <v>1476</v>
      </c>
      <c r="B7" s="314" t="s">
        <v>2942</v>
      </c>
      <c r="C7" s="314" t="s">
        <v>2943</v>
      </c>
      <c r="D7" s="314" t="s">
        <v>2942</v>
      </c>
      <c r="E7" s="314" t="s">
        <v>2944</v>
      </c>
    </row>
    <row r="8" spans="1:5">
      <c r="A8" t="s">
        <v>1476</v>
      </c>
      <c r="B8" s="314" t="s">
        <v>2945</v>
      </c>
      <c r="C8" s="314" t="s">
        <v>2946</v>
      </c>
      <c r="D8" s="314" t="s">
        <v>2945</v>
      </c>
      <c r="E8" s="314" t="s">
        <v>2947</v>
      </c>
    </row>
    <row r="9" spans="1:5">
      <c r="A9" t="s">
        <v>1476</v>
      </c>
      <c r="B9" s="314" t="s">
        <v>2948</v>
      </c>
      <c r="C9" s="314" t="s">
        <v>2949</v>
      </c>
      <c r="D9" s="314" t="s">
        <v>2948</v>
      </c>
      <c r="E9" s="314" t="s">
        <v>2947</v>
      </c>
    </row>
    <row r="10" spans="1:5">
      <c r="A10" t="s">
        <v>1476</v>
      </c>
      <c r="B10" s="314" t="s">
        <v>2950</v>
      </c>
      <c r="C10" s="314" t="s">
        <v>2951</v>
      </c>
      <c r="D10" s="314" t="s">
        <v>2950</v>
      </c>
      <c r="E10" s="314" t="s">
        <v>2944</v>
      </c>
    </row>
    <row r="11" spans="1:5">
      <c r="A11" t="s">
        <v>1476</v>
      </c>
      <c r="B11" s="314" t="s">
        <v>2952</v>
      </c>
      <c r="C11" s="314" t="s">
        <v>2953</v>
      </c>
      <c r="D11" s="314" t="s">
        <v>2952</v>
      </c>
      <c r="E11" s="314" t="s">
        <v>2944</v>
      </c>
    </row>
    <row r="12" spans="1:5">
      <c r="A12" t="s">
        <v>1476</v>
      </c>
      <c r="B12" s="314" t="s">
        <v>2954</v>
      </c>
      <c r="C12" s="314" t="s">
        <v>2955</v>
      </c>
      <c r="D12" s="314" t="s">
        <v>2954</v>
      </c>
      <c r="E12" s="314" t="s">
        <v>2956</v>
      </c>
    </row>
    <row r="13" spans="1:5">
      <c r="A13" t="s">
        <v>1476</v>
      </c>
      <c r="B13" s="314" t="s">
        <v>2957</v>
      </c>
      <c r="C13" s="314" t="s">
        <v>2958</v>
      </c>
      <c r="D13" s="314" t="s">
        <v>2957</v>
      </c>
      <c r="E13" s="314" t="s">
        <v>2944</v>
      </c>
    </row>
    <row r="14" spans="1:5">
      <c r="A14" t="s">
        <v>1476</v>
      </c>
      <c r="B14" s="314" t="s">
        <v>2959</v>
      </c>
      <c r="C14" s="314" t="s">
        <v>263</v>
      </c>
      <c r="D14" s="314" t="s">
        <v>2959</v>
      </c>
      <c r="E14" s="314" t="s">
        <v>2941</v>
      </c>
    </row>
    <row r="15" spans="1:5">
      <c r="A15" t="s">
        <v>1476</v>
      </c>
      <c r="B15" s="314" t="s">
        <v>2960</v>
      </c>
      <c r="C15" s="314" t="s">
        <v>2961</v>
      </c>
      <c r="D15" s="314" t="s">
        <v>2960</v>
      </c>
      <c r="E15" s="314" t="s">
        <v>2956</v>
      </c>
    </row>
    <row r="16" spans="1:5">
      <c r="A16" t="s">
        <v>1476</v>
      </c>
      <c r="B16" s="314" t="s">
        <v>2962</v>
      </c>
      <c r="C16" s="314" t="s">
        <v>1278</v>
      </c>
      <c r="D16" s="314" t="s">
        <v>2962</v>
      </c>
      <c r="E16" s="314" t="s">
        <v>2941</v>
      </c>
    </row>
    <row r="17" spans="1:5">
      <c r="A17" t="s">
        <v>1476</v>
      </c>
      <c r="B17" s="314" t="s">
        <v>2963</v>
      </c>
      <c r="C17" s="314" t="s">
        <v>2964</v>
      </c>
      <c r="D17" s="314" t="s">
        <v>2963</v>
      </c>
      <c r="E17" s="314" t="s">
        <v>2956</v>
      </c>
    </row>
    <row r="18" spans="1:5">
      <c r="A18" t="s">
        <v>1476</v>
      </c>
      <c r="B18" s="314" t="s">
        <v>2965</v>
      </c>
      <c r="C18" s="314" t="s">
        <v>2966</v>
      </c>
      <c r="D18" s="314" t="s">
        <v>2965</v>
      </c>
      <c r="E18" s="314" t="s">
        <v>2941</v>
      </c>
    </row>
    <row r="19" spans="1:5">
      <c r="A19" t="s">
        <v>1476</v>
      </c>
      <c r="B19" s="314" t="s">
        <v>2967</v>
      </c>
      <c r="C19" s="314" t="s">
        <v>2968</v>
      </c>
      <c r="D19" s="314" t="s">
        <v>2967</v>
      </c>
      <c r="E19" s="314" t="s">
        <v>2944</v>
      </c>
    </row>
    <row r="20" spans="1:5">
      <c r="A20" t="s">
        <v>1476</v>
      </c>
      <c r="B20" s="314" t="s">
        <v>2969</v>
      </c>
      <c r="C20" s="314" t="s">
        <v>2970</v>
      </c>
      <c r="D20" s="314" t="s">
        <v>2969</v>
      </c>
      <c r="E20" s="314" t="s">
        <v>2956</v>
      </c>
    </row>
    <row r="21" spans="1:5">
      <c r="A21" t="s">
        <v>1476</v>
      </c>
      <c r="B21" s="314" t="s">
        <v>2971</v>
      </c>
      <c r="C21" s="314" t="s">
        <v>2972</v>
      </c>
      <c r="D21" s="314" t="s">
        <v>2971</v>
      </c>
      <c r="E21" s="314" t="s">
        <v>2956</v>
      </c>
    </row>
    <row r="22" spans="1:5">
      <c r="A22" t="s">
        <v>1476</v>
      </c>
      <c r="B22" s="314" t="s">
        <v>2973</v>
      </c>
      <c r="C22" s="314" t="s">
        <v>2974</v>
      </c>
      <c r="D22" s="314" t="s">
        <v>2973</v>
      </c>
      <c r="E22" s="314" t="s">
        <v>2956</v>
      </c>
    </row>
    <row r="23" spans="1:5">
      <c r="A23" t="s">
        <v>1476</v>
      </c>
      <c r="B23" s="314" t="s">
        <v>2975</v>
      </c>
      <c r="C23" s="314" t="s">
        <v>2976</v>
      </c>
      <c r="D23" s="314" t="s">
        <v>2975</v>
      </c>
      <c r="E23" s="314" t="s">
        <v>2956</v>
      </c>
    </row>
    <row r="24" spans="1:5">
      <c r="A24" t="s">
        <v>1476</v>
      </c>
      <c r="B24" s="314" t="s">
        <v>2977</v>
      </c>
      <c r="C24" s="314" t="s">
        <v>2978</v>
      </c>
      <c r="D24" s="314" t="s">
        <v>2977</v>
      </c>
      <c r="E24" s="314" t="s">
        <v>2944</v>
      </c>
    </row>
    <row r="25" spans="1:5">
      <c r="A25" t="s">
        <v>1820</v>
      </c>
      <c r="B25" s="314" t="s">
        <v>2979</v>
      </c>
      <c r="C25" s="314" t="s">
        <v>645</v>
      </c>
      <c r="D25" s="314" t="s">
        <v>2979</v>
      </c>
      <c r="E25" s="314" t="s">
        <v>2944</v>
      </c>
    </row>
    <row r="26" spans="1:5" hidden="1">
      <c r="A26" t="s">
        <v>1459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59C9-58FC-44EF-AE2A-30C5644431C9}">
  <sheetPr>
    <tabColor theme="5" tint="0.59999389629810485"/>
  </sheetPr>
  <dimension ref="A1:G5"/>
  <sheetViews>
    <sheetView workbookViewId="0">
      <selection activeCell="F15" sqref="F15"/>
    </sheetView>
  </sheetViews>
  <sheetFormatPr defaultColWidth="8.7109375" defaultRowHeight="14.45"/>
  <cols>
    <col min="1" max="1" width="10.5703125" bestFit="1" customWidth="1"/>
    <col min="2" max="2" width="8.42578125" bestFit="1" customWidth="1"/>
    <col min="3" max="3" width="33" bestFit="1" customWidth="1"/>
    <col min="4" max="4" width="20.42578125" bestFit="1" customWidth="1"/>
  </cols>
  <sheetData>
    <row r="1" spans="1:7">
      <c r="A1" s="97" t="s">
        <v>2980</v>
      </c>
      <c r="B1" s="97" t="s">
        <v>1413</v>
      </c>
      <c r="C1" s="97" t="s">
        <v>2981</v>
      </c>
      <c r="D1" s="97" t="s">
        <v>2982</v>
      </c>
      <c r="G1" t="s">
        <v>2980</v>
      </c>
    </row>
    <row r="2" spans="1:7">
      <c r="A2" t="s">
        <v>2983</v>
      </c>
      <c r="B2">
        <v>300</v>
      </c>
      <c r="C2" t="s">
        <v>2984</v>
      </c>
      <c r="G2" t="s">
        <v>2983</v>
      </c>
    </row>
    <row r="3" spans="1:7">
      <c r="A3" t="s">
        <v>2985</v>
      </c>
      <c r="B3">
        <v>320</v>
      </c>
      <c r="C3" s="262" t="s">
        <v>2986</v>
      </c>
      <c r="D3" t="s">
        <v>2987</v>
      </c>
      <c r="G3" t="s">
        <v>2988</v>
      </c>
    </row>
    <row r="4" spans="1:7">
      <c r="A4" t="s">
        <v>2988</v>
      </c>
      <c r="B4">
        <v>450</v>
      </c>
      <c r="C4" t="s">
        <v>2988</v>
      </c>
      <c r="G4" t="s">
        <v>2989</v>
      </c>
    </row>
    <row r="5" spans="1:7">
      <c r="A5" t="s">
        <v>2989</v>
      </c>
      <c r="B5">
        <v>770</v>
      </c>
      <c r="C5" t="s">
        <v>2990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3D776-79E7-4F03-8580-405222346AFC}">
  <dimension ref="A1:AG89"/>
  <sheetViews>
    <sheetView topLeftCell="E37" zoomScale="70" zoomScaleNormal="70" workbookViewId="0">
      <selection activeCell="Y48" sqref="Y48"/>
    </sheetView>
  </sheetViews>
  <sheetFormatPr defaultColWidth="9.42578125" defaultRowHeight="13.9"/>
  <cols>
    <col min="1" max="1" width="23.42578125" style="241" customWidth="1"/>
    <col min="2" max="2" width="7.5703125" style="241" customWidth="1"/>
    <col min="3" max="3" width="16.42578125" style="241" customWidth="1"/>
    <col min="4" max="4" width="7.5703125" style="241" customWidth="1"/>
    <col min="5" max="5" width="16.42578125" style="241" customWidth="1"/>
    <col min="6" max="6" width="20.42578125" style="241" customWidth="1"/>
    <col min="7" max="7" width="23.42578125" style="241" customWidth="1"/>
    <col min="8" max="9" width="7.5703125" style="241" customWidth="1"/>
    <col min="10" max="10" width="25.85546875" style="241" customWidth="1"/>
    <col min="11" max="11" width="7.5703125" style="241" customWidth="1"/>
    <col min="12" max="12" width="48.42578125" style="241" bestFit="1" customWidth="1"/>
    <col min="13" max="13" width="7.5703125" style="241" customWidth="1"/>
    <col min="14" max="16" width="11.140625" style="244" hidden="1" customWidth="1"/>
    <col min="17" max="20" width="11" style="244" hidden="1" customWidth="1"/>
    <col min="21" max="21" width="13.140625" style="244" bestFit="1" customWidth="1"/>
    <col min="22" max="23" width="13.5703125" style="244" bestFit="1" customWidth="1"/>
    <col min="24" max="32" width="14" style="244" customWidth="1"/>
    <col min="33" max="33" width="64.85546875" style="241" bestFit="1" customWidth="1"/>
    <col min="34" max="16384" width="9.42578125" style="241"/>
  </cols>
  <sheetData>
    <row r="1" spans="1:33" s="237" customFormat="1">
      <c r="A1" s="237" t="s">
        <v>2991</v>
      </c>
      <c r="B1" s="238" t="s">
        <v>1413</v>
      </c>
      <c r="C1" s="237" t="s">
        <v>2992</v>
      </c>
      <c r="D1" s="238" t="s">
        <v>1440</v>
      </c>
      <c r="E1" s="238" t="s">
        <v>1443</v>
      </c>
      <c r="F1" s="237" t="s">
        <v>2993</v>
      </c>
      <c r="G1" s="237" t="s">
        <v>2994</v>
      </c>
      <c r="H1" s="238" t="s">
        <v>1442</v>
      </c>
      <c r="I1" s="238" t="s">
        <v>2995</v>
      </c>
      <c r="J1" s="237" t="s">
        <v>10</v>
      </c>
      <c r="K1" s="238" t="s">
        <v>1444</v>
      </c>
      <c r="L1" s="237" t="s">
        <v>2996</v>
      </c>
      <c r="M1" s="238" t="s">
        <v>16</v>
      </c>
      <c r="N1" s="239" t="s">
        <v>2997</v>
      </c>
      <c r="O1" s="239" t="str">
        <f>IF(RIGHT(N1,2)*1=12,"P"&amp;(MID(N1,2,4)*1+1)*100+1,"P"&amp;RIGHT(N1,6)*1+1)</f>
        <v>P202007</v>
      </c>
      <c r="P1" s="239" t="str">
        <f t="shared" ref="P1:AF1" si="0">IF(RIGHT(O1,2)*1=12,"P"&amp;(MID(O1,2,4)*1+1)*100+1,"P"&amp;RIGHT(O1,6)*1+1)</f>
        <v>P202008</v>
      </c>
      <c r="Q1" s="239" t="str">
        <f t="shared" si="0"/>
        <v>P202009</v>
      </c>
      <c r="R1" s="239" t="str">
        <f t="shared" si="0"/>
        <v>P202010</v>
      </c>
      <c r="S1" s="240" t="str">
        <f t="shared" si="0"/>
        <v>P202011</v>
      </c>
      <c r="T1" s="240" t="str">
        <f t="shared" si="0"/>
        <v>P202012</v>
      </c>
      <c r="U1" s="240" t="str">
        <f t="shared" si="0"/>
        <v>P202101</v>
      </c>
      <c r="V1" s="240" t="str">
        <f t="shared" si="0"/>
        <v>P202102</v>
      </c>
      <c r="W1" s="240" t="str">
        <f t="shared" si="0"/>
        <v>P202103</v>
      </c>
      <c r="X1" s="240" t="str">
        <f t="shared" si="0"/>
        <v>P202104</v>
      </c>
      <c r="Y1" s="240" t="str">
        <f t="shared" si="0"/>
        <v>P202105</v>
      </c>
      <c r="Z1" s="240" t="str">
        <f t="shared" si="0"/>
        <v>P202106</v>
      </c>
      <c r="AA1" s="240" t="str">
        <f t="shared" si="0"/>
        <v>P202107</v>
      </c>
      <c r="AB1" s="240" t="str">
        <f t="shared" si="0"/>
        <v>P202108</v>
      </c>
      <c r="AC1" s="240" t="str">
        <f t="shared" si="0"/>
        <v>P202109</v>
      </c>
      <c r="AD1" s="240" t="str">
        <f t="shared" si="0"/>
        <v>P202110</v>
      </c>
      <c r="AE1" s="240" t="str">
        <f t="shared" si="0"/>
        <v>P202111</v>
      </c>
      <c r="AF1" s="240" t="str">
        <f t="shared" si="0"/>
        <v>P202112</v>
      </c>
      <c r="AG1" s="237" t="s">
        <v>41</v>
      </c>
    </row>
    <row r="2" spans="1:33">
      <c r="A2" s="241" t="s">
        <v>2983</v>
      </c>
      <c r="B2" s="242">
        <v>300</v>
      </c>
      <c r="C2" s="241" t="s">
        <v>290</v>
      </c>
      <c r="D2" s="243">
        <v>10</v>
      </c>
      <c r="E2" s="241" t="s">
        <v>1796</v>
      </c>
      <c r="F2" s="243" t="s">
        <v>1796</v>
      </c>
      <c r="H2" s="243" t="s">
        <v>148</v>
      </c>
      <c r="I2" s="243" t="s">
        <v>148</v>
      </c>
      <c r="J2" s="241" t="s">
        <v>73</v>
      </c>
      <c r="K2" s="243">
        <v>1352</v>
      </c>
      <c r="L2" s="241" t="s">
        <v>2791</v>
      </c>
      <c r="M2" s="243" t="s">
        <v>2792</v>
      </c>
      <c r="N2" s="244">
        <v>17694</v>
      </c>
      <c r="Q2" s="244">
        <v>17694</v>
      </c>
      <c r="U2" s="244">
        <v>53000</v>
      </c>
      <c r="AG2" s="241" t="s">
        <v>107</v>
      </c>
    </row>
    <row r="3" spans="1:33">
      <c r="A3" s="241" t="s">
        <v>2983</v>
      </c>
      <c r="B3" s="242">
        <v>300</v>
      </c>
      <c r="C3" s="241" t="s">
        <v>290</v>
      </c>
      <c r="D3" s="243">
        <v>10</v>
      </c>
      <c r="E3" s="241" t="s">
        <v>1796</v>
      </c>
      <c r="F3" s="243" t="s">
        <v>1796</v>
      </c>
      <c r="H3" s="243" t="s">
        <v>148</v>
      </c>
      <c r="I3" s="243"/>
      <c r="J3" s="241" t="s">
        <v>73</v>
      </c>
      <c r="K3" s="243">
        <v>1352</v>
      </c>
      <c r="L3" s="241" t="s">
        <v>2809</v>
      </c>
      <c r="M3" s="243" t="s">
        <v>2810</v>
      </c>
      <c r="U3" s="244">
        <v>27000</v>
      </c>
      <c r="AG3" s="241" t="s">
        <v>71</v>
      </c>
    </row>
    <row r="4" spans="1:33">
      <c r="A4" s="241" t="s">
        <v>2983</v>
      </c>
      <c r="B4" s="242">
        <v>300</v>
      </c>
      <c r="C4" s="241" t="s">
        <v>290</v>
      </c>
      <c r="D4" s="243">
        <v>10</v>
      </c>
      <c r="E4" s="241" t="s">
        <v>1796</v>
      </c>
      <c r="F4" s="243" t="s">
        <v>1796</v>
      </c>
      <c r="H4" s="243" t="s">
        <v>148</v>
      </c>
      <c r="I4" s="243"/>
      <c r="J4" s="241" t="s">
        <v>73</v>
      </c>
      <c r="K4" s="243">
        <v>1352</v>
      </c>
      <c r="L4" s="241" t="s">
        <v>2857</v>
      </c>
      <c r="M4" s="243" t="s">
        <v>2858</v>
      </c>
      <c r="U4" s="244">
        <v>28000</v>
      </c>
      <c r="AG4" s="241" t="s">
        <v>2998</v>
      </c>
    </row>
    <row r="5" spans="1:33">
      <c r="A5" s="241" t="s">
        <v>2983</v>
      </c>
      <c r="B5" s="242">
        <v>300</v>
      </c>
      <c r="C5" s="241" t="s">
        <v>290</v>
      </c>
      <c r="D5" s="243">
        <v>10</v>
      </c>
      <c r="E5" s="241" t="s">
        <v>1796</v>
      </c>
      <c r="F5" s="243" t="s">
        <v>1796</v>
      </c>
      <c r="H5" s="243" t="s">
        <v>148</v>
      </c>
      <c r="I5" s="243"/>
      <c r="J5" s="241" t="s">
        <v>73</v>
      </c>
      <c r="K5" s="243">
        <v>1352</v>
      </c>
      <c r="L5" s="241" t="s">
        <v>92</v>
      </c>
      <c r="M5" s="243" t="s">
        <v>2882</v>
      </c>
      <c r="U5" s="244">
        <v>15000</v>
      </c>
      <c r="X5" s="244">
        <v>15000</v>
      </c>
      <c r="AA5" s="244">
        <v>15000</v>
      </c>
      <c r="AD5" s="244">
        <v>15000</v>
      </c>
      <c r="AG5" s="241" t="s">
        <v>1235</v>
      </c>
    </row>
    <row r="6" spans="1:33">
      <c r="A6" s="241" t="s">
        <v>2983</v>
      </c>
      <c r="B6" s="242">
        <v>300</v>
      </c>
      <c r="C6" s="241" t="s">
        <v>290</v>
      </c>
      <c r="D6" s="243">
        <v>10</v>
      </c>
      <c r="E6" s="241" t="s">
        <v>1796</v>
      </c>
      <c r="F6" s="243" t="s">
        <v>1796</v>
      </c>
      <c r="H6" s="243" t="s">
        <v>148</v>
      </c>
      <c r="I6" s="243"/>
      <c r="J6" s="241" t="s">
        <v>73</v>
      </c>
      <c r="K6" s="243">
        <v>1352</v>
      </c>
      <c r="L6" s="241" t="s">
        <v>2907</v>
      </c>
      <c r="M6" s="243" t="s">
        <v>2908</v>
      </c>
      <c r="V6" s="244">
        <v>25000</v>
      </c>
      <c r="AG6" s="241" t="s">
        <v>1236</v>
      </c>
    </row>
    <row r="7" spans="1:33">
      <c r="A7" s="241" t="s">
        <v>2983</v>
      </c>
      <c r="B7" s="242">
        <v>300</v>
      </c>
      <c r="C7" s="241" t="s">
        <v>290</v>
      </c>
      <c r="D7" s="243">
        <v>10</v>
      </c>
      <c r="E7" s="241" t="s">
        <v>1796</v>
      </c>
      <c r="F7" s="243" t="s">
        <v>1796</v>
      </c>
      <c r="H7" s="243" t="s">
        <v>148</v>
      </c>
      <c r="I7" s="243"/>
      <c r="J7" s="241" t="s">
        <v>73</v>
      </c>
      <c r="K7" s="243">
        <v>1352</v>
      </c>
      <c r="L7" s="241" t="s">
        <v>2857</v>
      </c>
      <c r="M7" s="243" t="s">
        <v>2858</v>
      </c>
      <c r="Y7" s="244">
        <v>10000</v>
      </c>
      <c r="AG7" s="241" t="s">
        <v>135</v>
      </c>
    </row>
    <row r="8" spans="1:33">
      <c r="A8" s="241" t="s">
        <v>2983</v>
      </c>
      <c r="B8" s="242">
        <v>300</v>
      </c>
      <c r="C8" s="241" t="s">
        <v>290</v>
      </c>
      <c r="D8" s="243">
        <v>10</v>
      </c>
      <c r="E8" s="241" t="s">
        <v>1796</v>
      </c>
      <c r="F8" s="243" t="s">
        <v>1796</v>
      </c>
      <c r="H8" s="243" t="s">
        <v>148</v>
      </c>
      <c r="I8" s="243"/>
      <c r="J8" s="241" t="s">
        <v>117</v>
      </c>
      <c r="K8" s="243">
        <v>2085</v>
      </c>
      <c r="L8" s="241" t="s">
        <v>2791</v>
      </c>
      <c r="M8" s="243" t="s">
        <v>2792</v>
      </c>
      <c r="X8" s="244">
        <v>53000</v>
      </c>
      <c r="AG8" s="241" t="s">
        <v>107</v>
      </c>
    </row>
    <row r="9" spans="1:33">
      <c r="A9" s="241" t="s">
        <v>2983</v>
      </c>
      <c r="B9" s="242">
        <v>300</v>
      </c>
      <c r="C9" s="241" t="s">
        <v>290</v>
      </c>
      <c r="D9" s="243">
        <v>10</v>
      </c>
      <c r="E9" s="241" t="s">
        <v>1796</v>
      </c>
      <c r="F9" s="243" t="s">
        <v>1796</v>
      </c>
      <c r="H9" s="243" t="s">
        <v>148</v>
      </c>
      <c r="I9" s="243"/>
      <c r="J9" s="241" t="s">
        <v>117</v>
      </c>
      <c r="K9" s="243">
        <v>2085</v>
      </c>
      <c r="L9" s="241" t="s">
        <v>2809</v>
      </c>
      <c r="M9" s="243" t="s">
        <v>2810</v>
      </c>
      <c r="V9" s="244">
        <v>27000</v>
      </c>
      <c r="AG9" s="241" t="s">
        <v>71</v>
      </c>
    </row>
    <row r="10" spans="1:33">
      <c r="A10" s="241" t="s">
        <v>2983</v>
      </c>
      <c r="B10" s="242">
        <v>300</v>
      </c>
      <c r="C10" s="241" t="s">
        <v>290</v>
      </c>
      <c r="D10" s="243">
        <v>10</v>
      </c>
      <c r="E10" s="241" t="s">
        <v>1796</v>
      </c>
      <c r="F10" s="243" t="s">
        <v>1796</v>
      </c>
      <c r="H10" s="243" t="s">
        <v>148</v>
      </c>
      <c r="I10" s="243"/>
      <c r="J10" s="241" t="s">
        <v>117</v>
      </c>
      <c r="K10" s="243">
        <v>2085</v>
      </c>
      <c r="L10" s="241" t="s">
        <v>2857</v>
      </c>
      <c r="M10" s="243" t="s">
        <v>2858</v>
      </c>
      <c r="U10" s="244">
        <v>28000</v>
      </c>
      <c r="AG10" s="241" t="s">
        <v>2998</v>
      </c>
    </row>
    <row r="11" spans="1:33">
      <c r="A11" s="241" t="s">
        <v>2983</v>
      </c>
      <c r="B11" s="242">
        <v>300</v>
      </c>
      <c r="C11" s="241" t="s">
        <v>290</v>
      </c>
      <c r="D11" s="243">
        <v>10</v>
      </c>
      <c r="E11" s="241" t="s">
        <v>1796</v>
      </c>
      <c r="F11" s="243" t="s">
        <v>1796</v>
      </c>
      <c r="H11" s="243" t="s">
        <v>148</v>
      </c>
      <c r="I11" s="243"/>
      <c r="J11" s="241" t="s">
        <v>117</v>
      </c>
      <c r="K11" s="243">
        <v>2085</v>
      </c>
      <c r="L11" s="241" t="s">
        <v>92</v>
      </c>
      <c r="M11" s="243" t="s">
        <v>2882</v>
      </c>
      <c r="V11" s="244">
        <v>15000</v>
      </c>
      <c r="Y11" s="244">
        <v>15000</v>
      </c>
      <c r="AB11" s="244">
        <v>15000</v>
      </c>
      <c r="AE11" s="244">
        <v>15000</v>
      </c>
      <c r="AG11" s="241" t="s">
        <v>1235</v>
      </c>
    </row>
    <row r="12" spans="1:33">
      <c r="A12" s="241" t="s">
        <v>2983</v>
      </c>
      <c r="B12" s="242">
        <v>300</v>
      </c>
      <c r="C12" s="241" t="s">
        <v>290</v>
      </c>
      <c r="D12" s="243">
        <v>10</v>
      </c>
      <c r="E12" s="241" t="s">
        <v>1796</v>
      </c>
      <c r="F12" s="243" t="s">
        <v>1796</v>
      </c>
      <c r="H12" s="243" t="s">
        <v>148</v>
      </c>
      <c r="I12" s="243"/>
      <c r="J12" s="241" t="s">
        <v>117</v>
      </c>
      <c r="K12" s="243">
        <v>2085</v>
      </c>
      <c r="L12" s="241" t="s">
        <v>2907</v>
      </c>
      <c r="M12" s="243" t="s">
        <v>2908</v>
      </c>
      <c r="X12" s="244">
        <v>25000</v>
      </c>
      <c r="AG12" s="241" t="s">
        <v>1236</v>
      </c>
    </row>
    <row r="13" spans="1:33">
      <c r="A13" s="241" t="s">
        <v>2983</v>
      </c>
      <c r="B13" s="242">
        <v>300</v>
      </c>
      <c r="C13" s="241" t="s">
        <v>290</v>
      </c>
      <c r="D13" s="243">
        <v>10</v>
      </c>
      <c r="E13" s="241" t="s">
        <v>1796</v>
      </c>
      <c r="F13" s="243" t="s">
        <v>1796</v>
      </c>
      <c r="H13" s="243" t="s">
        <v>148</v>
      </c>
      <c r="I13" s="243"/>
      <c r="J13" s="241" t="s">
        <v>117</v>
      </c>
      <c r="K13" s="243">
        <v>2085</v>
      </c>
      <c r="L13" s="241" t="s">
        <v>2857</v>
      </c>
      <c r="M13" s="243" t="s">
        <v>2858</v>
      </c>
      <c r="V13" s="244">
        <v>10000</v>
      </c>
      <c r="AG13" s="241" t="s">
        <v>135</v>
      </c>
    </row>
    <row r="14" spans="1:33">
      <c r="A14" s="241" t="s">
        <v>2983</v>
      </c>
      <c r="B14" s="242">
        <v>300</v>
      </c>
      <c r="C14" s="241" t="s">
        <v>290</v>
      </c>
      <c r="D14" s="243">
        <v>10</v>
      </c>
      <c r="E14" s="241" t="s">
        <v>1796</v>
      </c>
      <c r="F14" s="243" t="s">
        <v>1796</v>
      </c>
      <c r="H14" s="243" t="s">
        <v>148</v>
      </c>
      <c r="I14" s="243"/>
      <c r="J14" s="241" t="s">
        <v>114</v>
      </c>
      <c r="K14" s="243">
        <v>1354</v>
      </c>
      <c r="L14" s="241" t="s">
        <v>2791</v>
      </c>
      <c r="M14" s="243" t="s">
        <v>2792</v>
      </c>
      <c r="AF14" s="244">
        <v>1</v>
      </c>
      <c r="AG14" s="241" t="s">
        <v>107</v>
      </c>
    </row>
    <row r="15" spans="1:33">
      <c r="A15" s="241" t="s">
        <v>2983</v>
      </c>
      <c r="B15" s="242">
        <v>300</v>
      </c>
      <c r="C15" s="241" t="s">
        <v>290</v>
      </c>
      <c r="D15" s="243">
        <v>10</v>
      </c>
      <c r="E15" s="241" t="s">
        <v>1796</v>
      </c>
      <c r="F15" s="243" t="s">
        <v>1796</v>
      </c>
      <c r="H15" s="243" t="s">
        <v>148</v>
      </c>
      <c r="I15" s="243"/>
      <c r="J15" s="241" t="s">
        <v>114</v>
      </c>
      <c r="K15" s="243">
        <v>1354</v>
      </c>
      <c r="L15" s="241" t="s">
        <v>2809</v>
      </c>
      <c r="M15" s="243" t="s">
        <v>2810</v>
      </c>
      <c r="AF15" s="244">
        <v>1</v>
      </c>
      <c r="AG15" s="241" t="s">
        <v>71</v>
      </c>
    </row>
    <row r="16" spans="1:33">
      <c r="A16" s="241" t="s">
        <v>2983</v>
      </c>
      <c r="B16" s="242">
        <v>300</v>
      </c>
      <c r="C16" s="241" t="s">
        <v>290</v>
      </c>
      <c r="D16" s="243">
        <v>10</v>
      </c>
      <c r="E16" s="241" t="s">
        <v>1796</v>
      </c>
      <c r="F16" s="243" t="s">
        <v>1796</v>
      </c>
      <c r="H16" s="243" t="s">
        <v>148</v>
      </c>
      <c r="I16" s="243"/>
      <c r="J16" s="241" t="s">
        <v>114</v>
      </c>
      <c r="K16" s="243">
        <v>1354</v>
      </c>
      <c r="L16" s="241" t="s">
        <v>2857</v>
      </c>
      <c r="M16" s="243" t="s">
        <v>2858</v>
      </c>
      <c r="W16" s="244">
        <v>1</v>
      </c>
      <c r="AG16" s="241" t="s">
        <v>2998</v>
      </c>
    </row>
    <row r="17" spans="1:33">
      <c r="A17" s="241" t="s">
        <v>2983</v>
      </c>
      <c r="B17" s="242">
        <v>300</v>
      </c>
      <c r="C17" s="241" t="s">
        <v>290</v>
      </c>
      <c r="D17" s="243">
        <v>10</v>
      </c>
      <c r="E17" s="241" t="s">
        <v>1796</v>
      </c>
      <c r="F17" s="243" t="s">
        <v>1796</v>
      </c>
      <c r="H17" s="243" t="s">
        <v>148</v>
      </c>
      <c r="I17" s="243"/>
      <c r="J17" s="241" t="s">
        <v>114</v>
      </c>
      <c r="K17" s="243">
        <v>1354</v>
      </c>
      <c r="L17" s="241" t="s">
        <v>92</v>
      </c>
      <c r="M17" s="243" t="s">
        <v>2882</v>
      </c>
      <c r="U17" s="244">
        <v>1</v>
      </c>
      <c r="X17" s="244">
        <v>1</v>
      </c>
      <c r="AA17" s="244">
        <v>1</v>
      </c>
      <c r="AD17" s="244">
        <v>1</v>
      </c>
      <c r="AG17" s="241" t="s">
        <v>1235</v>
      </c>
    </row>
    <row r="18" spans="1:33">
      <c r="A18" s="241" t="s">
        <v>2983</v>
      </c>
      <c r="B18" s="242">
        <v>300</v>
      </c>
      <c r="C18" s="241" t="s">
        <v>290</v>
      </c>
      <c r="D18" s="243">
        <v>10</v>
      </c>
      <c r="E18" s="241" t="s">
        <v>1796</v>
      </c>
      <c r="F18" s="243" t="s">
        <v>1796</v>
      </c>
      <c r="H18" s="243" t="s">
        <v>148</v>
      </c>
      <c r="I18" s="243"/>
      <c r="J18" s="241" t="s">
        <v>114</v>
      </c>
      <c r="K18" s="243">
        <v>1354</v>
      </c>
      <c r="L18" s="241" t="s">
        <v>2907</v>
      </c>
      <c r="M18" s="243" t="s">
        <v>2908</v>
      </c>
      <c r="W18" s="244">
        <v>1</v>
      </c>
      <c r="AG18" s="241" t="s">
        <v>1236</v>
      </c>
    </row>
    <row r="19" spans="1:33">
      <c r="A19" s="241" t="s">
        <v>2983</v>
      </c>
      <c r="B19" s="242">
        <v>300</v>
      </c>
      <c r="C19" s="241" t="s">
        <v>290</v>
      </c>
      <c r="D19" s="243">
        <v>10</v>
      </c>
      <c r="E19" s="241" t="s">
        <v>1796</v>
      </c>
      <c r="F19" s="243" t="s">
        <v>1796</v>
      </c>
      <c r="H19" s="243" t="s">
        <v>148</v>
      </c>
      <c r="I19" s="243"/>
      <c r="J19" s="241" t="s">
        <v>114</v>
      </c>
      <c r="K19" s="243">
        <v>1354</v>
      </c>
      <c r="L19" s="241" t="s">
        <v>2857</v>
      </c>
      <c r="M19" s="243" t="s">
        <v>2858</v>
      </c>
      <c r="W19" s="244">
        <v>1</v>
      </c>
      <c r="AD19" s="244">
        <v>1</v>
      </c>
      <c r="AG19" s="241" t="s">
        <v>135</v>
      </c>
    </row>
    <row r="20" spans="1:33">
      <c r="A20" s="241" t="s">
        <v>2983</v>
      </c>
      <c r="B20" s="242">
        <v>300</v>
      </c>
      <c r="C20" s="241" t="s">
        <v>290</v>
      </c>
      <c r="D20" s="243">
        <v>10</v>
      </c>
      <c r="E20" s="241" t="s">
        <v>1796</v>
      </c>
      <c r="F20" s="243" t="s">
        <v>1796</v>
      </c>
      <c r="H20" s="243" t="s">
        <v>148</v>
      </c>
      <c r="I20" s="243"/>
      <c r="J20" s="241" t="s">
        <v>146</v>
      </c>
      <c r="K20" s="243">
        <v>2096</v>
      </c>
      <c r="L20" s="241" t="s">
        <v>2791</v>
      </c>
      <c r="M20" s="243" t="s">
        <v>2792</v>
      </c>
      <c r="AF20" s="244">
        <v>50000</v>
      </c>
      <c r="AG20" s="241" t="s">
        <v>107</v>
      </c>
    </row>
    <row r="21" spans="1:33">
      <c r="A21" s="241" t="s">
        <v>2983</v>
      </c>
      <c r="B21" s="242">
        <v>300</v>
      </c>
      <c r="C21" s="241" t="s">
        <v>290</v>
      </c>
      <c r="D21" s="243">
        <v>10</v>
      </c>
      <c r="E21" s="241" t="s">
        <v>1796</v>
      </c>
      <c r="F21" s="243" t="s">
        <v>1796</v>
      </c>
      <c r="H21" s="243" t="s">
        <v>148</v>
      </c>
      <c r="I21" s="243"/>
      <c r="J21" s="241" t="s">
        <v>146</v>
      </c>
      <c r="K21" s="243">
        <v>2096</v>
      </c>
      <c r="L21" s="241" t="s">
        <v>2809</v>
      </c>
      <c r="M21" s="243" t="s">
        <v>2810</v>
      </c>
      <c r="AE21" s="244">
        <v>27000</v>
      </c>
      <c r="AG21" s="241" t="s">
        <v>71</v>
      </c>
    </row>
    <row r="22" spans="1:33">
      <c r="A22" s="241" t="s">
        <v>2983</v>
      </c>
      <c r="B22" s="242">
        <v>300</v>
      </c>
      <c r="C22" s="241" t="s">
        <v>290</v>
      </c>
      <c r="D22" s="243">
        <v>10</v>
      </c>
      <c r="E22" s="241" t="s">
        <v>1796</v>
      </c>
      <c r="F22" s="243" t="s">
        <v>1796</v>
      </c>
      <c r="H22" s="243" t="s">
        <v>148</v>
      </c>
      <c r="I22" s="243"/>
      <c r="J22" s="241" t="s">
        <v>146</v>
      </c>
      <c r="K22" s="243">
        <v>2096</v>
      </c>
      <c r="L22" s="241" t="s">
        <v>2857</v>
      </c>
      <c r="M22" s="243" t="s">
        <v>2858</v>
      </c>
      <c r="U22" s="244">
        <v>28000</v>
      </c>
      <c r="AG22" s="241" t="s">
        <v>2998</v>
      </c>
    </row>
    <row r="23" spans="1:33">
      <c r="A23" s="241" t="s">
        <v>2983</v>
      </c>
      <c r="B23" s="242">
        <v>300</v>
      </c>
      <c r="C23" s="241" t="s">
        <v>290</v>
      </c>
      <c r="D23" s="243">
        <v>10</v>
      </c>
      <c r="E23" s="241" t="s">
        <v>1796</v>
      </c>
      <c r="F23" s="243" t="s">
        <v>1796</v>
      </c>
      <c r="H23" s="243" t="s">
        <v>148</v>
      </c>
      <c r="I23" s="243"/>
      <c r="J23" s="241" t="s">
        <v>146</v>
      </c>
      <c r="K23" s="243">
        <v>2096</v>
      </c>
      <c r="L23" s="241" t="s">
        <v>92</v>
      </c>
      <c r="M23" s="243" t="s">
        <v>2882</v>
      </c>
      <c r="U23" s="244">
        <v>15000</v>
      </c>
      <c r="X23" s="244">
        <v>15000</v>
      </c>
      <c r="AA23" s="244">
        <v>15000</v>
      </c>
      <c r="AD23" s="244">
        <v>15000</v>
      </c>
      <c r="AG23" s="241" t="s">
        <v>1235</v>
      </c>
    </row>
    <row r="24" spans="1:33">
      <c r="A24" s="241" t="s">
        <v>2983</v>
      </c>
      <c r="B24" s="242">
        <v>300</v>
      </c>
      <c r="C24" s="241" t="s">
        <v>290</v>
      </c>
      <c r="D24" s="243">
        <v>10</v>
      </c>
      <c r="E24" s="241" t="s">
        <v>1796</v>
      </c>
      <c r="F24" s="243" t="s">
        <v>1796</v>
      </c>
      <c r="H24" s="243" t="s">
        <v>148</v>
      </c>
      <c r="I24" s="243"/>
      <c r="J24" s="241" t="s">
        <v>146</v>
      </c>
      <c r="K24" s="243">
        <v>2096</v>
      </c>
      <c r="L24" s="241" t="s">
        <v>2907</v>
      </c>
      <c r="M24" s="243" t="s">
        <v>2908</v>
      </c>
      <c r="AE24" s="244">
        <v>25000</v>
      </c>
      <c r="AG24" s="241" t="s">
        <v>1236</v>
      </c>
    </row>
    <row r="25" spans="1:33">
      <c r="A25" s="241" t="s">
        <v>2983</v>
      </c>
      <c r="B25" s="242">
        <v>300</v>
      </c>
      <c r="C25" s="241" t="s">
        <v>290</v>
      </c>
      <c r="D25" s="243">
        <v>10</v>
      </c>
      <c r="E25" s="241" t="s">
        <v>1796</v>
      </c>
      <c r="F25" s="243" t="s">
        <v>1796</v>
      </c>
      <c r="H25" s="243" t="s">
        <v>148</v>
      </c>
      <c r="I25" s="243"/>
      <c r="J25" s="241" t="s">
        <v>146</v>
      </c>
      <c r="K25" s="243">
        <v>2096</v>
      </c>
      <c r="L25" s="241" t="s">
        <v>2857</v>
      </c>
      <c r="M25" s="243" t="s">
        <v>2858</v>
      </c>
      <c r="AB25" s="244">
        <v>10000</v>
      </c>
      <c r="AG25" s="241" t="s">
        <v>135</v>
      </c>
    </row>
    <row r="26" spans="1:33">
      <c r="A26" s="241" t="s">
        <v>2983</v>
      </c>
      <c r="B26" s="242">
        <v>300</v>
      </c>
      <c r="C26" s="241" t="s">
        <v>290</v>
      </c>
      <c r="D26" s="243">
        <v>10</v>
      </c>
      <c r="E26" s="241" t="s">
        <v>1796</v>
      </c>
      <c r="F26" s="243" t="s">
        <v>1796</v>
      </c>
      <c r="H26" s="243" t="s">
        <v>148</v>
      </c>
      <c r="I26" s="243"/>
      <c r="J26" s="241" t="s">
        <v>146</v>
      </c>
      <c r="K26" s="243">
        <v>2096</v>
      </c>
      <c r="L26" s="254" t="s">
        <v>2857</v>
      </c>
      <c r="M26" s="243" t="s">
        <v>2858</v>
      </c>
      <c r="U26" s="244">
        <v>22000</v>
      </c>
      <c r="AG26" s="241" t="s">
        <v>2999</v>
      </c>
    </row>
    <row r="27" spans="1:33">
      <c r="A27" s="241" t="s">
        <v>2983</v>
      </c>
      <c r="B27" s="242">
        <v>300</v>
      </c>
      <c r="C27" s="241" t="s">
        <v>290</v>
      </c>
      <c r="D27" s="243">
        <v>10</v>
      </c>
      <c r="E27" s="241" t="s">
        <v>1796</v>
      </c>
      <c r="F27" s="243" t="s">
        <v>1796</v>
      </c>
      <c r="H27" s="243" t="s">
        <v>148</v>
      </c>
      <c r="I27" s="243"/>
      <c r="J27" s="241" t="s">
        <v>235</v>
      </c>
      <c r="K27" s="243">
        <v>1357</v>
      </c>
      <c r="L27" s="241" t="s">
        <v>2791</v>
      </c>
      <c r="M27" s="243" t="s">
        <v>2792</v>
      </c>
      <c r="AB27" s="244">
        <v>53000</v>
      </c>
      <c r="AG27" s="241" t="s">
        <v>107</v>
      </c>
    </row>
    <row r="28" spans="1:33">
      <c r="A28" s="241" t="s">
        <v>2983</v>
      </c>
      <c r="B28" s="242">
        <v>300</v>
      </c>
      <c r="C28" s="241" t="s">
        <v>290</v>
      </c>
      <c r="D28" s="243">
        <v>10</v>
      </c>
      <c r="E28" s="241" t="s">
        <v>1796</v>
      </c>
      <c r="F28" s="243" t="s">
        <v>1796</v>
      </c>
      <c r="H28" s="243" t="s">
        <v>148</v>
      </c>
      <c r="I28" s="243"/>
      <c r="J28" s="241" t="s">
        <v>235</v>
      </c>
      <c r="K28" s="243">
        <v>1357</v>
      </c>
      <c r="L28" s="241" t="s">
        <v>2809</v>
      </c>
      <c r="M28" s="243" t="s">
        <v>2810</v>
      </c>
      <c r="AF28" s="244">
        <v>27000</v>
      </c>
      <c r="AG28" s="241" t="s">
        <v>71</v>
      </c>
    </row>
    <row r="29" spans="1:33">
      <c r="A29" s="241" t="s">
        <v>2983</v>
      </c>
      <c r="B29" s="242">
        <v>300</v>
      </c>
      <c r="C29" s="241" t="s">
        <v>290</v>
      </c>
      <c r="D29" s="243">
        <v>10</v>
      </c>
      <c r="E29" s="241" t="s">
        <v>1796</v>
      </c>
      <c r="F29" s="243" t="s">
        <v>1796</v>
      </c>
      <c r="H29" s="243" t="s">
        <v>148</v>
      </c>
      <c r="I29" s="243"/>
      <c r="J29" s="241" t="s">
        <v>235</v>
      </c>
      <c r="K29" s="243">
        <v>1357</v>
      </c>
      <c r="L29" s="241" t="s">
        <v>2857</v>
      </c>
      <c r="M29" s="243" t="s">
        <v>2858</v>
      </c>
      <c r="AC29" s="244">
        <v>28000</v>
      </c>
      <c r="AG29" s="241" t="s">
        <v>2998</v>
      </c>
    </row>
    <row r="30" spans="1:33">
      <c r="A30" s="241" t="s">
        <v>2983</v>
      </c>
      <c r="B30" s="242">
        <v>300</v>
      </c>
      <c r="C30" s="241" t="s">
        <v>290</v>
      </c>
      <c r="D30" s="243">
        <v>10</v>
      </c>
      <c r="E30" s="241" t="s">
        <v>1796</v>
      </c>
      <c r="F30" s="243" t="s">
        <v>1796</v>
      </c>
      <c r="H30" s="243" t="s">
        <v>148</v>
      </c>
      <c r="I30" s="243"/>
      <c r="J30" s="241" t="s">
        <v>235</v>
      </c>
      <c r="K30" s="243">
        <v>1357</v>
      </c>
      <c r="L30" s="241" t="s">
        <v>92</v>
      </c>
      <c r="M30" s="243" t="s">
        <v>2882</v>
      </c>
      <c r="V30" s="244">
        <v>15000</v>
      </c>
      <c r="Y30" s="244">
        <v>15000</v>
      </c>
      <c r="AB30" s="244">
        <v>15000</v>
      </c>
      <c r="AE30" s="244">
        <v>15000</v>
      </c>
      <c r="AG30" s="241" t="s">
        <v>1235</v>
      </c>
    </row>
    <row r="31" spans="1:33">
      <c r="A31" s="241" t="s">
        <v>2983</v>
      </c>
      <c r="B31" s="242">
        <v>300</v>
      </c>
      <c r="C31" s="241" t="s">
        <v>290</v>
      </c>
      <c r="D31" s="243">
        <v>10</v>
      </c>
      <c r="E31" s="241" t="s">
        <v>1796</v>
      </c>
      <c r="F31" s="243" t="s">
        <v>1796</v>
      </c>
      <c r="H31" s="243" t="s">
        <v>148</v>
      </c>
      <c r="I31" s="243"/>
      <c r="J31" s="241" t="s">
        <v>235</v>
      </c>
      <c r="K31" s="243">
        <v>1357</v>
      </c>
      <c r="L31" s="241" t="s">
        <v>2907</v>
      </c>
      <c r="M31" s="243" t="s">
        <v>2908</v>
      </c>
      <c r="AE31" s="244">
        <v>25000</v>
      </c>
      <c r="AG31" s="241" t="s">
        <v>1236</v>
      </c>
    </row>
    <row r="32" spans="1:33">
      <c r="A32" s="241" t="s">
        <v>2983</v>
      </c>
      <c r="B32" s="242">
        <v>300</v>
      </c>
      <c r="C32" s="241" t="s">
        <v>290</v>
      </c>
      <c r="D32" s="243">
        <v>10</v>
      </c>
      <c r="E32" s="241" t="s">
        <v>1796</v>
      </c>
      <c r="F32" s="243" t="s">
        <v>1796</v>
      </c>
      <c r="H32" s="243" t="s">
        <v>148</v>
      </c>
      <c r="I32" s="243"/>
      <c r="J32" s="241" t="s">
        <v>235</v>
      </c>
      <c r="K32" s="243">
        <v>1357</v>
      </c>
      <c r="L32" s="241" t="s">
        <v>2857</v>
      </c>
      <c r="M32" s="243" t="s">
        <v>2858</v>
      </c>
      <c r="U32" s="244">
        <v>36000</v>
      </c>
      <c r="AF32" s="244">
        <v>20000</v>
      </c>
      <c r="AG32" s="241" t="s">
        <v>135</v>
      </c>
    </row>
    <row r="33" spans="1:33">
      <c r="A33" s="241" t="s">
        <v>2983</v>
      </c>
      <c r="B33" s="242">
        <v>300</v>
      </c>
      <c r="C33" s="241" t="s">
        <v>290</v>
      </c>
      <c r="D33" s="243">
        <v>10</v>
      </c>
      <c r="E33" s="241" t="s">
        <v>1796</v>
      </c>
      <c r="F33" s="243" t="s">
        <v>1796</v>
      </c>
      <c r="H33" s="243" t="s">
        <v>148</v>
      </c>
      <c r="I33" s="243"/>
      <c r="J33" s="241" t="s">
        <v>130</v>
      </c>
      <c r="K33" s="243">
        <v>2093</v>
      </c>
      <c r="L33" s="241" t="s">
        <v>2791</v>
      </c>
      <c r="M33" s="243" t="s">
        <v>2792</v>
      </c>
      <c r="AD33" s="244">
        <v>53000</v>
      </c>
      <c r="AG33" s="241" t="s">
        <v>107</v>
      </c>
    </row>
    <row r="34" spans="1:33">
      <c r="A34" s="241" t="s">
        <v>2983</v>
      </c>
      <c r="B34" s="242">
        <v>300</v>
      </c>
      <c r="C34" s="241" t="s">
        <v>290</v>
      </c>
      <c r="D34" s="243">
        <v>10</v>
      </c>
      <c r="E34" s="241" t="s">
        <v>1796</v>
      </c>
      <c r="F34" s="243" t="s">
        <v>1796</v>
      </c>
      <c r="H34" s="243" t="s">
        <v>148</v>
      </c>
      <c r="I34" s="243"/>
      <c r="J34" s="241" t="s">
        <v>130</v>
      </c>
      <c r="K34" s="243">
        <v>2093</v>
      </c>
      <c r="L34" s="241" t="s">
        <v>2809</v>
      </c>
      <c r="M34" s="243" t="s">
        <v>2810</v>
      </c>
      <c r="AD34" s="244">
        <v>27000</v>
      </c>
      <c r="AG34" s="241" t="s">
        <v>71</v>
      </c>
    </row>
    <row r="35" spans="1:33">
      <c r="A35" s="241" t="s">
        <v>2983</v>
      </c>
      <c r="B35" s="242">
        <v>300</v>
      </c>
      <c r="C35" s="241" t="s">
        <v>290</v>
      </c>
      <c r="D35" s="243">
        <v>10</v>
      </c>
      <c r="E35" s="241" t="s">
        <v>1796</v>
      </c>
      <c r="F35" s="243" t="s">
        <v>1796</v>
      </c>
      <c r="H35" s="243" t="s">
        <v>148</v>
      </c>
      <c r="I35" s="243"/>
      <c r="J35" s="241" t="s">
        <v>130</v>
      </c>
      <c r="K35" s="243">
        <v>2093</v>
      </c>
      <c r="L35" s="241" t="s">
        <v>2857</v>
      </c>
      <c r="M35" s="243" t="s">
        <v>2858</v>
      </c>
      <c r="AF35" s="244">
        <v>28000</v>
      </c>
      <c r="AG35" s="241" t="s">
        <v>2998</v>
      </c>
    </row>
    <row r="36" spans="1:33">
      <c r="A36" s="241" t="s">
        <v>2983</v>
      </c>
      <c r="B36" s="242">
        <v>300</v>
      </c>
      <c r="C36" s="241" t="s">
        <v>290</v>
      </c>
      <c r="D36" s="243">
        <v>10</v>
      </c>
      <c r="E36" s="241" t="s">
        <v>1796</v>
      </c>
      <c r="F36" s="243" t="s">
        <v>1796</v>
      </c>
      <c r="H36" s="243" t="s">
        <v>148</v>
      </c>
      <c r="I36" s="243"/>
      <c r="J36" s="241" t="s">
        <v>130</v>
      </c>
      <c r="K36" s="243">
        <v>2093</v>
      </c>
      <c r="L36" s="241" t="s">
        <v>92</v>
      </c>
      <c r="M36" s="243" t="s">
        <v>2882</v>
      </c>
      <c r="W36" s="244">
        <v>15000</v>
      </c>
      <c r="Z36" s="244">
        <v>15000</v>
      </c>
      <c r="AC36" s="244">
        <v>15000</v>
      </c>
      <c r="AF36" s="244">
        <v>15000</v>
      </c>
      <c r="AG36" s="241" t="s">
        <v>1235</v>
      </c>
    </row>
    <row r="37" spans="1:33">
      <c r="A37" s="241" t="s">
        <v>2983</v>
      </c>
      <c r="B37" s="242">
        <v>300</v>
      </c>
      <c r="C37" s="241" t="s">
        <v>290</v>
      </c>
      <c r="D37" s="243">
        <v>10</v>
      </c>
      <c r="E37" s="241" t="s">
        <v>1796</v>
      </c>
      <c r="F37" s="243" t="s">
        <v>1796</v>
      </c>
      <c r="H37" s="243" t="s">
        <v>148</v>
      </c>
      <c r="I37" s="243"/>
      <c r="J37" s="241" t="s">
        <v>130</v>
      </c>
      <c r="K37" s="243">
        <v>2093</v>
      </c>
      <c r="L37" s="241" t="s">
        <v>2907</v>
      </c>
      <c r="M37" s="243" t="s">
        <v>2908</v>
      </c>
      <c r="V37" s="244">
        <v>25000</v>
      </c>
      <c r="AG37" s="241" t="s">
        <v>1236</v>
      </c>
    </row>
    <row r="38" spans="1:33">
      <c r="A38" s="241" t="s">
        <v>2983</v>
      </c>
      <c r="B38" s="242">
        <v>300</v>
      </c>
      <c r="C38" s="241" t="s">
        <v>290</v>
      </c>
      <c r="D38" s="243">
        <v>10</v>
      </c>
      <c r="E38" s="241" t="s">
        <v>1796</v>
      </c>
      <c r="F38" s="243" t="s">
        <v>1796</v>
      </c>
      <c r="H38" s="243" t="s">
        <v>148</v>
      </c>
      <c r="I38" s="243"/>
      <c r="J38" s="241" t="s">
        <v>130</v>
      </c>
      <c r="K38" s="243">
        <v>2093</v>
      </c>
      <c r="L38" s="241" t="s">
        <v>2857</v>
      </c>
      <c r="M38" s="243" t="s">
        <v>2858</v>
      </c>
      <c r="AD38" s="244">
        <v>10000</v>
      </c>
      <c r="AG38" s="241" t="s">
        <v>135</v>
      </c>
    </row>
    <row r="39" spans="1:33">
      <c r="A39" s="241" t="s">
        <v>2983</v>
      </c>
      <c r="B39" s="242">
        <v>300</v>
      </c>
      <c r="C39" s="241" t="s">
        <v>290</v>
      </c>
      <c r="D39" s="243">
        <v>10</v>
      </c>
      <c r="E39" s="241" t="s">
        <v>1796</v>
      </c>
      <c r="F39" s="243" t="s">
        <v>1796</v>
      </c>
      <c r="H39" s="243" t="s">
        <v>148</v>
      </c>
      <c r="I39" s="243"/>
      <c r="J39" s="241" t="s">
        <v>122</v>
      </c>
      <c r="K39" s="243">
        <v>2092</v>
      </c>
      <c r="L39" s="241" t="s">
        <v>2791</v>
      </c>
      <c r="M39" s="243" t="s">
        <v>2792</v>
      </c>
      <c r="V39" s="244">
        <v>53000</v>
      </c>
      <c r="AG39" s="241" t="s">
        <v>107</v>
      </c>
    </row>
    <row r="40" spans="1:33">
      <c r="A40" s="241" t="s">
        <v>2983</v>
      </c>
      <c r="B40" s="242">
        <v>300</v>
      </c>
      <c r="C40" s="241" t="s">
        <v>290</v>
      </c>
      <c r="D40" s="243">
        <v>10</v>
      </c>
      <c r="E40" s="241" t="s">
        <v>1796</v>
      </c>
      <c r="F40" s="243" t="s">
        <v>1796</v>
      </c>
      <c r="H40" s="243" t="s">
        <v>148</v>
      </c>
      <c r="I40" s="243"/>
      <c r="J40" s="241" t="s">
        <v>122</v>
      </c>
      <c r="K40" s="243">
        <v>2092</v>
      </c>
      <c r="L40" s="241" t="s">
        <v>2809</v>
      </c>
      <c r="M40" s="243" t="s">
        <v>2810</v>
      </c>
      <c r="U40" s="261">
        <v>27000</v>
      </c>
      <c r="V40" s="261">
        <v>1</v>
      </c>
      <c r="W40" s="261"/>
      <c r="AG40" s="241" t="s">
        <v>71</v>
      </c>
    </row>
    <row r="41" spans="1:33">
      <c r="A41" s="241" t="s">
        <v>2983</v>
      </c>
      <c r="B41" s="242">
        <v>300</v>
      </c>
      <c r="C41" s="241" t="s">
        <v>290</v>
      </c>
      <c r="D41" s="243">
        <v>10</v>
      </c>
      <c r="E41" s="241" t="s">
        <v>1796</v>
      </c>
      <c r="F41" s="243" t="s">
        <v>1796</v>
      </c>
      <c r="H41" s="243" t="s">
        <v>148</v>
      </c>
      <c r="I41" s="243"/>
      <c r="J41" s="241" t="s">
        <v>122</v>
      </c>
      <c r="K41" s="243">
        <v>2092</v>
      </c>
      <c r="L41" s="241" t="s">
        <v>2857</v>
      </c>
      <c r="M41" s="243" t="s">
        <v>2858</v>
      </c>
      <c r="V41" s="261">
        <v>28000</v>
      </c>
      <c r="W41" s="261">
        <v>1</v>
      </c>
      <c r="AG41" s="241" t="s">
        <v>2998</v>
      </c>
    </row>
    <row r="42" spans="1:33">
      <c r="A42" s="241" t="s">
        <v>2983</v>
      </c>
      <c r="B42" s="242">
        <v>300</v>
      </c>
      <c r="C42" s="241" t="s">
        <v>290</v>
      </c>
      <c r="D42" s="243">
        <v>10</v>
      </c>
      <c r="E42" s="241" t="s">
        <v>1796</v>
      </c>
      <c r="F42" s="243" t="s">
        <v>1796</v>
      </c>
      <c r="H42" s="243" t="s">
        <v>148</v>
      </c>
      <c r="I42" s="243"/>
      <c r="J42" s="241" t="s">
        <v>122</v>
      </c>
      <c r="K42" s="243">
        <v>2092</v>
      </c>
      <c r="L42" s="241" t="s">
        <v>92</v>
      </c>
      <c r="M42" s="243" t="s">
        <v>2882</v>
      </c>
      <c r="AG42" s="241" t="s">
        <v>1235</v>
      </c>
    </row>
    <row r="43" spans="1:33">
      <c r="A43" s="241" t="s">
        <v>2983</v>
      </c>
      <c r="B43" s="242">
        <v>300</v>
      </c>
      <c r="C43" s="241" t="s">
        <v>290</v>
      </c>
      <c r="D43" s="243">
        <v>10</v>
      </c>
      <c r="E43" s="241" t="s">
        <v>1796</v>
      </c>
      <c r="F43" s="243" t="s">
        <v>1796</v>
      </c>
      <c r="H43" s="243" t="s">
        <v>148</v>
      </c>
      <c r="I43" s="243"/>
      <c r="J43" s="241" t="s">
        <v>122</v>
      </c>
      <c r="K43" s="243">
        <v>2092</v>
      </c>
      <c r="L43" s="241" t="s">
        <v>2907</v>
      </c>
      <c r="M43" s="243" t="s">
        <v>2908</v>
      </c>
      <c r="AE43" s="244">
        <v>25000</v>
      </c>
      <c r="AG43" s="241" t="s">
        <v>1236</v>
      </c>
    </row>
    <row r="44" spans="1:33">
      <c r="A44" s="241" t="s">
        <v>2983</v>
      </c>
      <c r="B44" s="242">
        <v>300</v>
      </c>
      <c r="C44" s="241" t="s">
        <v>290</v>
      </c>
      <c r="D44" s="243">
        <v>10</v>
      </c>
      <c r="E44" s="241" t="s">
        <v>1796</v>
      </c>
      <c r="F44" s="243" t="s">
        <v>1796</v>
      </c>
      <c r="H44" s="243" t="s">
        <v>148</v>
      </c>
      <c r="I44" s="243"/>
      <c r="J44" s="241" t="s">
        <v>122</v>
      </c>
      <c r="K44" s="243">
        <v>2092</v>
      </c>
      <c r="L44" s="241" t="s">
        <v>2857</v>
      </c>
      <c r="M44" s="243" t="s">
        <v>2858</v>
      </c>
      <c r="Y44" s="244">
        <v>10000</v>
      </c>
      <c r="AG44" s="241" t="s">
        <v>135</v>
      </c>
    </row>
    <row r="45" spans="1:33">
      <c r="A45" s="241" t="s">
        <v>2983</v>
      </c>
      <c r="B45" s="242">
        <v>300</v>
      </c>
      <c r="C45" s="241" t="s">
        <v>290</v>
      </c>
      <c r="D45" s="243">
        <v>10</v>
      </c>
      <c r="E45" s="241" t="s">
        <v>1796</v>
      </c>
      <c r="F45" s="243" t="s">
        <v>1796</v>
      </c>
      <c r="H45" s="243" t="s">
        <v>148</v>
      </c>
      <c r="I45" s="243"/>
      <c r="J45" s="241" t="s">
        <v>137</v>
      </c>
      <c r="K45" s="243">
        <v>2094</v>
      </c>
      <c r="L45" s="241" t="s">
        <v>2791</v>
      </c>
      <c r="M45" s="243" t="s">
        <v>2792</v>
      </c>
      <c r="X45" s="244">
        <v>53000</v>
      </c>
      <c r="AG45" s="241" t="s">
        <v>107</v>
      </c>
    </row>
    <row r="46" spans="1:33">
      <c r="A46" s="241" t="s">
        <v>2983</v>
      </c>
      <c r="B46" s="242">
        <v>300</v>
      </c>
      <c r="C46" s="241" t="s">
        <v>290</v>
      </c>
      <c r="D46" s="243">
        <v>10</v>
      </c>
      <c r="E46" s="241" t="s">
        <v>1796</v>
      </c>
      <c r="F46" s="243" t="s">
        <v>1796</v>
      </c>
      <c r="H46" s="243" t="s">
        <v>148</v>
      </c>
      <c r="I46" s="243"/>
      <c r="J46" s="241" t="s">
        <v>137</v>
      </c>
      <c r="K46" s="243">
        <v>2094</v>
      </c>
      <c r="L46" s="241" t="s">
        <v>2809</v>
      </c>
      <c r="M46" s="243" t="s">
        <v>2810</v>
      </c>
      <c r="X46" s="244">
        <v>27000</v>
      </c>
      <c r="AG46" s="241" t="s">
        <v>71</v>
      </c>
    </row>
    <row r="47" spans="1:33">
      <c r="A47" s="241" t="s">
        <v>2983</v>
      </c>
      <c r="B47" s="242">
        <v>300</v>
      </c>
      <c r="C47" s="241" t="s">
        <v>290</v>
      </c>
      <c r="D47" s="243">
        <v>10</v>
      </c>
      <c r="E47" s="241" t="s">
        <v>1796</v>
      </c>
      <c r="F47" s="243" t="s">
        <v>1796</v>
      </c>
      <c r="H47" s="243" t="s">
        <v>148</v>
      </c>
      <c r="I47" s="243"/>
      <c r="J47" s="241" t="s">
        <v>137</v>
      </c>
      <c r="K47" s="243">
        <v>2094</v>
      </c>
      <c r="L47" s="241" t="s">
        <v>2857</v>
      </c>
      <c r="M47" s="243" t="s">
        <v>2858</v>
      </c>
      <c r="V47" s="244">
        <v>28000</v>
      </c>
      <c r="AG47" s="241" t="s">
        <v>2998</v>
      </c>
    </row>
    <row r="48" spans="1:33">
      <c r="A48" s="241" t="s">
        <v>2983</v>
      </c>
      <c r="B48" s="242">
        <v>300</v>
      </c>
      <c r="C48" s="241" t="s">
        <v>290</v>
      </c>
      <c r="D48" s="243">
        <v>10</v>
      </c>
      <c r="E48" s="241" t="s">
        <v>1796</v>
      </c>
      <c r="F48" s="243" t="s">
        <v>1796</v>
      </c>
      <c r="H48" s="243" t="s">
        <v>148</v>
      </c>
      <c r="I48" s="243"/>
      <c r="J48" s="241" t="s">
        <v>137</v>
      </c>
      <c r="K48" s="243">
        <v>2094</v>
      </c>
      <c r="L48" s="241" t="s">
        <v>92</v>
      </c>
      <c r="M48" s="243" t="s">
        <v>2882</v>
      </c>
      <c r="W48" s="244">
        <v>15000</v>
      </c>
      <c r="Z48" s="244">
        <v>15000</v>
      </c>
      <c r="AC48" s="244">
        <v>15000</v>
      </c>
      <c r="AF48" s="244">
        <v>15000</v>
      </c>
      <c r="AG48" s="241" t="s">
        <v>1235</v>
      </c>
    </row>
    <row r="49" spans="1:33">
      <c r="A49" s="241" t="s">
        <v>2983</v>
      </c>
      <c r="B49" s="242">
        <v>300</v>
      </c>
      <c r="C49" s="241" t="s">
        <v>290</v>
      </c>
      <c r="D49" s="243">
        <v>10</v>
      </c>
      <c r="E49" s="241" t="s">
        <v>1796</v>
      </c>
      <c r="F49" s="243" t="s">
        <v>1796</v>
      </c>
      <c r="H49" s="243" t="s">
        <v>148</v>
      </c>
      <c r="I49" s="243"/>
      <c r="J49" s="241" t="s">
        <v>137</v>
      </c>
      <c r="K49" s="243">
        <v>2094</v>
      </c>
      <c r="L49" s="241" t="s">
        <v>2907</v>
      </c>
      <c r="M49" s="243" t="s">
        <v>2908</v>
      </c>
      <c r="W49" s="244">
        <v>25000</v>
      </c>
      <c r="AG49" s="241" t="s">
        <v>1236</v>
      </c>
    </row>
    <row r="50" spans="1:33">
      <c r="A50" s="241" t="s">
        <v>2983</v>
      </c>
      <c r="B50" s="242">
        <v>300</v>
      </c>
      <c r="C50" s="241" t="s">
        <v>290</v>
      </c>
      <c r="D50" s="243">
        <v>10</v>
      </c>
      <c r="E50" s="241" t="s">
        <v>1796</v>
      </c>
      <c r="F50" s="243" t="s">
        <v>1796</v>
      </c>
      <c r="H50" s="243" t="s">
        <v>148</v>
      </c>
      <c r="I50" s="243"/>
      <c r="J50" s="241" t="s">
        <v>137</v>
      </c>
      <c r="K50" s="243">
        <v>2094</v>
      </c>
      <c r="L50" s="241" t="s">
        <v>2857</v>
      </c>
      <c r="M50" s="243" t="s">
        <v>2858</v>
      </c>
      <c r="AC50" s="244">
        <v>10000</v>
      </c>
      <c r="AG50" s="241" t="s">
        <v>135</v>
      </c>
    </row>
    <row r="51" spans="1:33">
      <c r="A51" s="241" t="s">
        <v>2983</v>
      </c>
      <c r="B51" s="242">
        <v>300</v>
      </c>
      <c r="C51" s="241" t="s">
        <v>290</v>
      </c>
      <c r="D51" s="243">
        <v>10</v>
      </c>
      <c r="E51" s="241" t="s">
        <v>1796</v>
      </c>
      <c r="F51" s="243" t="s">
        <v>1796</v>
      </c>
      <c r="H51" s="243" t="s">
        <v>148</v>
      </c>
      <c r="I51" s="243"/>
      <c r="J51" s="241" t="s">
        <v>137</v>
      </c>
      <c r="K51" s="243">
        <v>2094</v>
      </c>
      <c r="L51" s="241" t="s">
        <v>2791</v>
      </c>
      <c r="M51" s="243" t="s">
        <v>2792</v>
      </c>
      <c r="U51" s="244">
        <v>30000</v>
      </c>
      <c r="AC51" s="244">
        <v>10000</v>
      </c>
      <c r="AG51" s="241" t="s">
        <v>3000</v>
      </c>
    </row>
    <row r="52" spans="1:33">
      <c r="A52" s="241" t="s">
        <v>2983</v>
      </c>
      <c r="B52" s="242">
        <v>300</v>
      </c>
      <c r="C52" s="241" t="s">
        <v>290</v>
      </c>
      <c r="D52" s="243">
        <v>10</v>
      </c>
      <c r="E52" s="241" t="s">
        <v>1796</v>
      </c>
      <c r="F52" s="243" t="s">
        <v>1796</v>
      </c>
      <c r="H52" s="243" t="s">
        <v>148</v>
      </c>
      <c r="I52" s="243"/>
      <c r="J52" s="241" t="s">
        <v>104</v>
      </c>
      <c r="K52" s="243">
        <v>2078</v>
      </c>
      <c r="L52" s="241" t="s">
        <v>2791</v>
      </c>
      <c r="M52" s="243" t="s">
        <v>2792</v>
      </c>
      <c r="AB52" s="244">
        <v>53000</v>
      </c>
      <c r="AG52" s="241" t="s">
        <v>107</v>
      </c>
    </row>
    <row r="53" spans="1:33">
      <c r="A53" s="241" t="s">
        <v>2983</v>
      </c>
      <c r="B53" s="242">
        <v>300</v>
      </c>
      <c r="C53" s="241" t="s">
        <v>290</v>
      </c>
      <c r="D53" s="243">
        <v>10</v>
      </c>
      <c r="E53" s="241" t="s">
        <v>1796</v>
      </c>
      <c r="F53" s="243" t="s">
        <v>1796</v>
      </c>
      <c r="H53" s="243" t="s">
        <v>148</v>
      </c>
      <c r="I53" s="243"/>
      <c r="J53" s="241" t="s">
        <v>104</v>
      </c>
      <c r="K53" s="243">
        <v>2078</v>
      </c>
      <c r="L53" s="241" t="s">
        <v>2809</v>
      </c>
      <c r="M53" s="243" t="s">
        <v>2810</v>
      </c>
      <c r="AB53" s="244">
        <v>27000</v>
      </c>
      <c r="AG53" s="241" t="s">
        <v>71</v>
      </c>
    </row>
    <row r="54" spans="1:33">
      <c r="A54" s="241" t="s">
        <v>2983</v>
      </c>
      <c r="B54" s="242">
        <v>300</v>
      </c>
      <c r="C54" s="241" t="s">
        <v>290</v>
      </c>
      <c r="D54" s="243">
        <v>10</v>
      </c>
      <c r="E54" s="241" t="s">
        <v>1796</v>
      </c>
      <c r="F54" s="243" t="s">
        <v>1796</v>
      </c>
      <c r="H54" s="243" t="s">
        <v>148</v>
      </c>
      <c r="I54" s="243"/>
      <c r="J54" s="241" t="s">
        <v>104</v>
      </c>
      <c r="K54" s="243">
        <v>2078</v>
      </c>
      <c r="L54" s="241" t="s">
        <v>2857</v>
      </c>
      <c r="M54" s="243" t="s">
        <v>2858</v>
      </c>
      <c r="AB54" s="244">
        <v>28000</v>
      </c>
      <c r="AG54" s="241" t="s">
        <v>2998</v>
      </c>
    </row>
    <row r="55" spans="1:33">
      <c r="A55" s="241" t="s">
        <v>2983</v>
      </c>
      <c r="B55" s="242">
        <v>300</v>
      </c>
      <c r="C55" s="241" t="s">
        <v>290</v>
      </c>
      <c r="D55" s="243">
        <v>10</v>
      </c>
      <c r="E55" s="241" t="s">
        <v>1796</v>
      </c>
      <c r="F55" s="243" t="s">
        <v>1796</v>
      </c>
      <c r="H55" s="243" t="s">
        <v>148</v>
      </c>
      <c r="I55" s="243"/>
      <c r="J55" s="241" t="s">
        <v>104</v>
      </c>
      <c r="K55" s="243">
        <v>2078</v>
      </c>
      <c r="L55" s="241" t="s">
        <v>92</v>
      </c>
      <c r="M55" s="243" t="s">
        <v>2882</v>
      </c>
      <c r="W55" s="244">
        <v>15000</v>
      </c>
      <c r="Z55" s="244">
        <v>15000</v>
      </c>
      <c r="AC55" s="244">
        <v>15000</v>
      </c>
      <c r="AF55" s="244">
        <v>15000</v>
      </c>
      <c r="AG55" s="241" t="s">
        <v>1235</v>
      </c>
    </row>
    <row r="56" spans="1:33">
      <c r="A56" s="241" t="s">
        <v>2983</v>
      </c>
      <c r="B56" s="242">
        <v>300</v>
      </c>
      <c r="C56" s="241" t="s">
        <v>290</v>
      </c>
      <c r="D56" s="243">
        <v>10</v>
      </c>
      <c r="E56" s="241" t="s">
        <v>1796</v>
      </c>
      <c r="F56" s="243" t="s">
        <v>1796</v>
      </c>
      <c r="H56" s="243" t="s">
        <v>148</v>
      </c>
      <c r="I56" s="243"/>
      <c r="J56" s="241" t="s">
        <v>104</v>
      </c>
      <c r="K56" s="243">
        <v>2078</v>
      </c>
      <c r="L56" s="241" t="s">
        <v>2907</v>
      </c>
      <c r="M56" s="243" t="s">
        <v>2908</v>
      </c>
      <c r="AB56" s="244">
        <v>25000</v>
      </c>
      <c r="AG56" s="241" t="s">
        <v>1236</v>
      </c>
    </row>
    <row r="57" spans="1:33">
      <c r="A57" s="241" t="s">
        <v>2983</v>
      </c>
      <c r="B57" s="242">
        <v>300</v>
      </c>
      <c r="C57" s="241" t="s">
        <v>290</v>
      </c>
      <c r="D57" s="243">
        <v>10</v>
      </c>
      <c r="E57" s="241" t="s">
        <v>1796</v>
      </c>
      <c r="F57" s="243" t="s">
        <v>1796</v>
      </c>
      <c r="H57" s="243" t="s">
        <v>148</v>
      </c>
      <c r="I57" s="243"/>
      <c r="J57" s="241" t="s">
        <v>104</v>
      </c>
      <c r="K57" s="243">
        <v>2078</v>
      </c>
      <c r="L57" s="241" t="s">
        <v>2857</v>
      </c>
      <c r="M57" s="243" t="s">
        <v>2858</v>
      </c>
      <c r="AC57" s="244">
        <v>10000</v>
      </c>
      <c r="AG57" s="241" t="s">
        <v>135</v>
      </c>
    </row>
    <row r="58" spans="1:33">
      <c r="A58" s="241" t="s">
        <v>2983</v>
      </c>
      <c r="B58" s="242">
        <v>300</v>
      </c>
      <c r="C58" s="241" t="s">
        <v>290</v>
      </c>
      <c r="D58" s="243">
        <v>10</v>
      </c>
      <c r="E58" s="241" t="s">
        <v>1612</v>
      </c>
      <c r="F58" s="243" t="s">
        <v>1613</v>
      </c>
      <c r="H58" s="243" t="s">
        <v>148</v>
      </c>
      <c r="I58" s="243" t="s">
        <v>148</v>
      </c>
      <c r="J58" s="241" t="s">
        <v>156</v>
      </c>
      <c r="K58" s="243">
        <v>2415</v>
      </c>
      <c r="L58" s="241" t="s">
        <v>2925</v>
      </c>
      <c r="M58" s="243" t="s">
        <v>2926</v>
      </c>
      <c r="U58" s="244">
        <v>25000</v>
      </c>
      <c r="AE58" s="244">
        <v>55000</v>
      </c>
    </row>
    <row r="59" spans="1:33">
      <c r="A59" s="241" t="s">
        <v>2983</v>
      </c>
      <c r="B59" s="242">
        <v>300</v>
      </c>
      <c r="C59" s="241" t="s">
        <v>3001</v>
      </c>
      <c r="D59" s="243">
        <v>40</v>
      </c>
      <c r="E59" s="241" t="s">
        <v>1535</v>
      </c>
      <c r="F59" s="243" t="s">
        <v>1535</v>
      </c>
      <c r="H59" s="243" t="s">
        <v>148</v>
      </c>
      <c r="I59" s="243" t="s">
        <v>148</v>
      </c>
      <c r="J59" s="241" t="s">
        <v>1202</v>
      </c>
      <c r="K59" s="243">
        <v>1474</v>
      </c>
      <c r="L59" s="241" t="s">
        <v>2925</v>
      </c>
      <c r="M59" s="243" t="s">
        <v>2926</v>
      </c>
      <c r="N59" s="244">
        <v>10000</v>
      </c>
      <c r="O59" s="244">
        <v>10000</v>
      </c>
      <c r="Q59" s="244">
        <v>35757</v>
      </c>
      <c r="AD59" s="244">
        <f>0.2*100000</f>
        <v>20000</v>
      </c>
      <c r="AE59" s="244">
        <f>0.2*100000</f>
        <v>20000</v>
      </c>
    </row>
    <row r="60" spans="1:33">
      <c r="A60" s="241" t="s">
        <v>2983</v>
      </c>
      <c r="B60" s="242">
        <v>300</v>
      </c>
      <c r="C60" s="241" t="s">
        <v>3001</v>
      </c>
      <c r="D60" s="243">
        <v>40</v>
      </c>
      <c r="E60" s="241" t="s">
        <v>1198</v>
      </c>
      <c r="F60" s="243" t="s">
        <v>398</v>
      </c>
      <c r="H60" s="243" t="s">
        <v>148</v>
      </c>
      <c r="I60" s="243" t="s">
        <v>148</v>
      </c>
      <c r="J60" s="241" t="s">
        <v>1202</v>
      </c>
      <c r="K60" s="243">
        <v>1474</v>
      </c>
      <c r="L60" s="241" t="s">
        <v>2925</v>
      </c>
      <c r="M60" s="243" t="s">
        <v>2926</v>
      </c>
      <c r="AC60" s="244">
        <f>0.2*50000</f>
        <v>10000</v>
      </c>
      <c r="AD60" s="244">
        <f>0.2*100000</f>
        <v>20000</v>
      </c>
      <c r="AE60" s="244">
        <f>0.2*100000</f>
        <v>20000</v>
      </c>
    </row>
    <row r="61" spans="1:33">
      <c r="A61" s="241" t="s">
        <v>2983</v>
      </c>
      <c r="B61" s="242">
        <v>300</v>
      </c>
      <c r="C61" s="241" t="s">
        <v>290</v>
      </c>
      <c r="D61" s="243">
        <v>10</v>
      </c>
      <c r="E61" s="241" t="s">
        <v>1612</v>
      </c>
      <c r="F61" s="243" t="s">
        <v>1613</v>
      </c>
      <c r="H61" s="243" t="s">
        <v>148</v>
      </c>
      <c r="I61" s="243" t="s">
        <v>148</v>
      </c>
      <c r="J61" s="241" t="s">
        <v>156</v>
      </c>
      <c r="K61" s="243">
        <v>2415</v>
      </c>
      <c r="L61" s="241" t="s">
        <v>2925</v>
      </c>
      <c r="M61" s="243" t="s">
        <v>2926</v>
      </c>
      <c r="AE61" s="244">
        <v>55000</v>
      </c>
    </row>
    <row r="62" spans="1:33">
      <c r="A62" s="241" t="s">
        <v>2983</v>
      </c>
      <c r="B62" s="242">
        <v>300</v>
      </c>
      <c r="C62" s="241" t="s">
        <v>290</v>
      </c>
      <c r="D62" s="243">
        <v>10</v>
      </c>
      <c r="E62" s="241" t="s">
        <v>1612</v>
      </c>
      <c r="F62" s="243" t="s">
        <v>1613</v>
      </c>
      <c r="H62" s="243" t="s">
        <v>148</v>
      </c>
      <c r="I62" s="243" t="s">
        <v>148</v>
      </c>
      <c r="J62" s="241" t="s">
        <v>156</v>
      </c>
      <c r="K62" s="243">
        <v>2415</v>
      </c>
      <c r="L62" s="241" t="s">
        <v>2925</v>
      </c>
      <c r="M62" s="243" t="s">
        <v>2926</v>
      </c>
      <c r="X62" s="244">
        <v>15000</v>
      </c>
    </row>
    <row r="63" spans="1:33">
      <c r="A63" s="241" t="s">
        <v>2983</v>
      </c>
      <c r="B63" s="242">
        <v>300</v>
      </c>
      <c r="C63" s="241" t="s">
        <v>290</v>
      </c>
      <c r="D63" s="243">
        <v>10</v>
      </c>
      <c r="E63" s="241" t="s">
        <v>1612</v>
      </c>
      <c r="F63" s="243" t="s">
        <v>1613</v>
      </c>
      <c r="H63" s="243" t="s">
        <v>148</v>
      </c>
      <c r="I63" s="243" t="s">
        <v>148</v>
      </c>
      <c r="J63" s="241" t="s">
        <v>156</v>
      </c>
      <c r="K63" s="243">
        <v>2415</v>
      </c>
      <c r="L63" s="241" t="s">
        <v>2925</v>
      </c>
      <c r="M63" s="243" t="s">
        <v>2926</v>
      </c>
      <c r="O63" s="244">
        <v>34112</v>
      </c>
      <c r="P63" s="244">
        <v>10231</v>
      </c>
      <c r="Q63" s="241"/>
      <c r="W63" s="244">
        <v>65000</v>
      </c>
    </row>
    <row r="64" spans="1:33">
      <c r="A64" s="241" t="s">
        <v>2983</v>
      </c>
      <c r="B64" s="242">
        <v>300</v>
      </c>
      <c r="C64" s="241" t="s">
        <v>290</v>
      </c>
      <c r="D64" s="243">
        <v>10</v>
      </c>
      <c r="E64" s="241" t="s">
        <v>1612</v>
      </c>
      <c r="F64" s="243" t="s">
        <v>1613</v>
      </c>
      <c r="H64" s="243" t="s">
        <v>148</v>
      </c>
      <c r="I64" s="243" t="s">
        <v>148</v>
      </c>
      <c r="J64" s="241" t="s">
        <v>309</v>
      </c>
      <c r="K64" s="243">
        <v>2414</v>
      </c>
      <c r="L64" s="241" t="s">
        <v>2925</v>
      </c>
      <c r="M64" s="243" t="s">
        <v>2926</v>
      </c>
      <c r="Q64" s="245"/>
      <c r="R64" s="246"/>
      <c r="S64" s="247"/>
      <c r="W64" s="244">
        <v>50000</v>
      </c>
    </row>
    <row r="65" spans="1:33">
      <c r="A65" s="241" t="s">
        <v>2983</v>
      </c>
      <c r="B65" s="242">
        <v>300</v>
      </c>
      <c r="C65" s="241" t="s">
        <v>290</v>
      </c>
      <c r="D65" s="243">
        <v>10</v>
      </c>
      <c r="E65" s="241" t="s">
        <v>1612</v>
      </c>
      <c r="F65" s="243" t="s">
        <v>1613</v>
      </c>
      <c r="H65" s="243" t="s">
        <v>148</v>
      </c>
      <c r="I65" s="243" t="s">
        <v>148</v>
      </c>
      <c r="J65" s="241" t="s">
        <v>309</v>
      </c>
      <c r="K65" s="243">
        <v>2414</v>
      </c>
      <c r="L65" s="241" t="s">
        <v>2925</v>
      </c>
      <c r="M65" s="243" t="s">
        <v>2926</v>
      </c>
      <c r="W65" s="244">
        <v>40000</v>
      </c>
    </row>
    <row r="66" spans="1:33">
      <c r="A66" s="241" t="s">
        <v>2983</v>
      </c>
      <c r="B66" s="242">
        <v>300</v>
      </c>
      <c r="C66" s="241" t="s">
        <v>290</v>
      </c>
      <c r="D66" s="243">
        <v>10</v>
      </c>
      <c r="E66" s="241" t="s">
        <v>1612</v>
      </c>
      <c r="F66" s="243" t="s">
        <v>1613</v>
      </c>
      <c r="H66" s="243" t="s">
        <v>148</v>
      </c>
      <c r="I66" s="243" t="s">
        <v>148</v>
      </c>
      <c r="J66" s="241" t="s">
        <v>309</v>
      </c>
      <c r="K66" s="243">
        <v>2414</v>
      </c>
      <c r="L66" s="241" t="s">
        <v>2925</v>
      </c>
      <c r="M66" s="243" t="s">
        <v>2926</v>
      </c>
      <c r="AC66" s="244">
        <v>75000</v>
      </c>
    </row>
    <row r="67" spans="1:33">
      <c r="A67" s="241" t="s">
        <v>2983</v>
      </c>
      <c r="B67" s="242">
        <v>300</v>
      </c>
      <c r="C67" s="241" t="s">
        <v>290</v>
      </c>
      <c r="D67" s="243">
        <v>10</v>
      </c>
      <c r="E67" s="241" t="s">
        <v>1612</v>
      </c>
      <c r="F67" s="243" t="s">
        <v>1613</v>
      </c>
      <c r="H67" s="243" t="s">
        <v>148</v>
      </c>
      <c r="I67" s="243" t="s">
        <v>148</v>
      </c>
      <c r="J67" s="241" t="s">
        <v>260</v>
      </c>
      <c r="K67" s="243" t="s">
        <v>148</v>
      </c>
      <c r="L67" s="241" t="s">
        <v>2925</v>
      </c>
      <c r="M67" s="243" t="s">
        <v>2926</v>
      </c>
      <c r="X67" s="244">
        <v>40000</v>
      </c>
    </row>
    <row r="68" spans="1:33">
      <c r="A68" s="241" t="s">
        <v>2983</v>
      </c>
      <c r="B68" s="242">
        <v>300</v>
      </c>
      <c r="C68" s="241" t="s">
        <v>290</v>
      </c>
      <c r="D68" s="243">
        <v>10</v>
      </c>
      <c r="E68" s="241" t="s">
        <v>1612</v>
      </c>
      <c r="F68" s="243" t="s">
        <v>1613</v>
      </c>
      <c r="H68" s="243" t="s">
        <v>148</v>
      </c>
      <c r="I68" s="243" t="s">
        <v>148</v>
      </c>
      <c r="J68" s="241" t="s">
        <v>260</v>
      </c>
      <c r="K68" s="243" t="s">
        <v>148</v>
      </c>
      <c r="L68" s="241" t="s">
        <v>2925</v>
      </c>
      <c r="M68" s="243" t="s">
        <v>2926</v>
      </c>
      <c r="AB68" s="244">
        <v>20000</v>
      </c>
    </row>
    <row r="69" spans="1:33">
      <c r="A69" s="241" t="s">
        <v>2983</v>
      </c>
      <c r="B69" s="242">
        <v>300</v>
      </c>
      <c r="C69" s="241" t="s">
        <v>297</v>
      </c>
      <c r="D69" s="243">
        <v>30</v>
      </c>
      <c r="E69" s="241" t="s">
        <v>1621</v>
      </c>
      <c r="F69" s="243" t="s">
        <v>1622</v>
      </c>
      <c r="H69" s="243" t="s">
        <v>148</v>
      </c>
      <c r="I69" s="243" t="s">
        <v>148</v>
      </c>
      <c r="J69" s="241" t="s">
        <v>1202</v>
      </c>
      <c r="K69" s="243">
        <v>1474</v>
      </c>
      <c r="L69" s="241" t="s">
        <v>92</v>
      </c>
      <c r="M69" s="243" t="s">
        <v>2882</v>
      </c>
      <c r="W69" s="244">
        <v>50000</v>
      </c>
      <c r="X69" s="244">
        <v>50000</v>
      </c>
      <c r="AG69" s="241">
        <v>100000</v>
      </c>
    </row>
    <row r="70" spans="1:33">
      <c r="A70" s="241" t="s">
        <v>2983</v>
      </c>
      <c r="B70" s="242">
        <v>320</v>
      </c>
      <c r="C70" s="241" t="s">
        <v>297</v>
      </c>
      <c r="D70" s="243">
        <v>30</v>
      </c>
      <c r="E70" s="241" t="s">
        <v>1625</v>
      </c>
      <c r="F70" s="243" t="s">
        <v>1626</v>
      </c>
      <c r="G70" s="241" t="s">
        <v>2957</v>
      </c>
      <c r="H70" s="243" t="s">
        <v>2958</v>
      </c>
      <c r="I70" s="243" t="s">
        <v>2944</v>
      </c>
      <c r="J70" s="241" t="s">
        <v>1202</v>
      </c>
      <c r="K70" s="243">
        <v>1474</v>
      </c>
      <c r="L70" s="241" t="s">
        <v>330</v>
      </c>
      <c r="M70" s="243" t="s">
        <v>2856</v>
      </c>
      <c r="T70" s="244">
        <v>13365</v>
      </c>
      <c r="U70" s="244">
        <v>13365</v>
      </c>
      <c r="V70" s="244">
        <v>13365</v>
      </c>
      <c r="W70" s="244">
        <v>13365</v>
      </c>
      <c r="X70" s="244">
        <v>13365</v>
      </c>
      <c r="Y70" s="244">
        <v>13365</v>
      </c>
      <c r="Z70" s="244">
        <v>13365</v>
      </c>
      <c r="AA70" s="244">
        <v>13365</v>
      </c>
      <c r="AB70" s="244">
        <v>13365</v>
      </c>
      <c r="AC70" s="244">
        <v>13365</v>
      </c>
      <c r="AD70" s="244">
        <v>13365</v>
      </c>
      <c r="AE70" s="244">
        <v>13365</v>
      </c>
      <c r="AG70" s="241">
        <v>13365</v>
      </c>
    </row>
    <row r="71" spans="1:33">
      <c r="A71" s="241" t="s">
        <v>2983</v>
      </c>
      <c r="B71" s="242">
        <v>320</v>
      </c>
      <c r="C71" s="241" t="s">
        <v>297</v>
      </c>
      <c r="D71" s="243">
        <v>30</v>
      </c>
      <c r="E71" s="241" t="s">
        <v>1625</v>
      </c>
      <c r="F71" s="243" t="s">
        <v>1626</v>
      </c>
      <c r="G71" s="241" t="s">
        <v>2939</v>
      </c>
      <c r="H71" s="243" t="s">
        <v>2940</v>
      </c>
      <c r="I71" s="243" t="s">
        <v>2941</v>
      </c>
      <c r="J71" s="241" t="s">
        <v>1202</v>
      </c>
      <c r="K71" s="243">
        <v>1474</v>
      </c>
      <c r="L71" s="241" t="s">
        <v>330</v>
      </c>
      <c r="M71" s="243" t="s">
        <v>2856</v>
      </c>
      <c r="T71" s="244">
        <v>7125</v>
      </c>
      <c r="U71" s="244">
        <v>7125</v>
      </c>
      <c r="V71" s="244">
        <v>7125</v>
      </c>
      <c r="W71" s="244">
        <v>7125</v>
      </c>
      <c r="X71" s="244">
        <v>7125</v>
      </c>
      <c r="Y71" s="244">
        <v>7125</v>
      </c>
      <c r="Z71" s="244">
        <v>7125</v>
      </c>
      <c r="AA71" s="244">
        <v>7125</v>
      </c>
      <c r="AB71" s="244">
        <v>7125</v>
      </c>
      <c r="AC71" s="244">
        <v>7125</v>
      </c>
      <c r="AD71" s="244">
        <v>7125</v>
      </c>
      <c r="AE71" s="244">
        <v>7125</v>
      </c>
      <c r="AG71" s="241">
        <v>7125</v>
      </c>
    </row>
    <row r="72" spans="1:33">
      <c r="A72" s="241" t="s">
        <v>2983</v>
      </c>
      <c r="B72" s="242">
        <v>300</v>
      </c>
      <c r="C72" s="241" t="s">
        <v>3001</v>
      </c>
      <c r="D72" s="243">
        <v>40</v>
      </c>
      <c r="E72" s="241" t="s">
        <v>1671</v>
      </c>
      <c r="F72" s="243" t="s">
        <v>1671</v>
      </c>
      <c r="H72" s="243" t="s">
        <v>148</v>
      </c>
      <c r="I72" s="243" t="s">
        <v>148</v>
      </c>
      <c r="J72" s="241" t="s">
        <v>1202</v>
      </c>
      <c r="K72" s="243">
        <v>1474</v>
      </c>
      <c r="L72" s="241" t="s">
        <v>2779</v>
      </c>
      <c r="M72" s="243" t="s">
        <v>2780</v>
      </c>
      <c r="Q72" s="244">
        <v>55250.63700000001</v>
      </c>
      <c r="W72" s="244">
        <v>60000</v>
      </c>
      <c r="X72" s="244">
        <f>0.2*60000</f>
        <v>12000</v>
      </c>
      <c r="AG72" s="241" t="s">
        <v>342</v>
      </c>
    </row>
    <row r="73" spans="1:33">
      <c r="A73" s="241" t="s">
        <v>2983</v>
      </c>
      <c r="B73" s="242">
        <v>300</v>
      </c>
      <c r="C73" s="241" t="s">
        <v>3001</v>
      </c>
      <c r="D73" s="243">
        <v>40</v>
      </c>
      <c r="E73" s="241" t="s">
        <v>1671</v>
      </c>
      <c r="F73" s="243" t="s">
        <v>1671</v>
      </c>
      <c r="H73" s="243" t="s">
        <v>148</v>
      </c>
      <c r="I73" s="243" t="s">
        <v>148</v>
      </c>
      <c r="J73" s="241" t="s">
        <v>1202</v>
      </c>
      <c r="K73" s="243">
        <v>1474</v>
      </c>
      <c r="L73" s="241" t="s">
        <v>2809</v>
      </c>
      <c r="M73" s="243" t="s">
        <v>2810</v>
      </c>
      <c r="N73" s="244">
        <v>25243</v>
      </c>
      <c r="O73" s="244">
        <v>87393.882000000012</v>
      </c>
      <c r="P73" s="244">
        <v>64118.934000000001</v>
      </c>
      <c r="Q73" s="244">
        <v>77220</v>
      </c>
      <c r="Y73" s="244">
        <f>0.2*30000</f>
        <v>6000</v>
      </c>
      <c r="AE73" s="244">
        <f>0.2*30000</f>
        <v>6000</v>
      </c>
      <c r="AG73" s="241" t="s">
        <v>342</v>
      </c>
    </row>
    <row r="74" spans="1:33">
      <c r="A74" s="241" t="s">
        <v>2983</v>
      </c>
      <c r="B74" s="242">
        <v>300</v>
      </c>
      <c r="C74" s="241" t="s">
        <v>3001</v>
      </c>
      <c r="D74" s="243">
        <v>40</v>
      </c>
      <c r="E74" s="241" t="s">
        <v>1718</v>
      </c>
      <c r="F74" s="243" t="s">
        <v>1719</v>
      </c>
      <c r="H74" s="243" t="s">
        <v>148</v>
      </c>
      <c r="I74" s="243" t="s">
        <v>148</v>
      </c>
      <c r="J74" s="241" t="s">
        <v>1202</v>
      </c>
      <c r="K74" s="243">
        <v>1474</v>
      </c>
      <c r="L74" s="241" t="s">
        <v>2820</v>
      </c>
      <c r="M74" s="243" t="s">
        <v>2821</v>
      </c>
      <c r="N74" s="244">
        <v>2858</v>
      </c>
      <c r="O74" s="244">
        <v>2586</v>
      </c>
      <c r="P74" s="244">
        <v>2586</v>
      </c>
      <c r="AC74" s="244">
        <f>125000*0.2</f>
        <v>25000</v>
      </c>
      <c r="AD74" s="244">
        <f>125000*0.2</f>
        <v>25000</v>
      </c>
      <c r="AE74" s="244">
        <f>125000*0.2</f>
        <v>25000</v>
      </c>
      <c r="AG74" s="241" t="s">
        <v>3002</v>
      </c>
    </row>
    <row r="75" spans="1:33">
      <c r="A75" s="241" t="s">
        <v>2983</v>
      </c>
      <c r="B75" s="242">
        <v>300</v>
      </c>
      <c r="C75" s="241" t="s">
        <v>3001</v>
      </c>
      <c r="D75" s="243">
        <v>40</v>
      </c>
      <c r="E75" s="241" t="s">
        <v>1718</v>
      </c>
      <c r="F75" s="243" t="s">
        <v>1719</v>
      </c>
      <c r="H75" s="243" t="s">
        <v>148</v>
      </c>
      <c r="I75" s="243" t="s">
        <v>148</v>
      </c>
      <c r="J75" s="241" t="s">
        <v>1202</v>
      </c>
      <c r="K75" s="243">
        <v>1474</v>
      </c>
      <c r="L75" s="241" t="s">
        <v>2791</v>
      </c>
      <c r="M75" s="243" t="s">
        <v>2792</v>
      </c>
      <c r="N75" s="244">
        <v>39607</v>
      </c>
      <c r="O75" s="244">
        <v>37573</v>
      </c>
      <c r="P75" s="244">
        <v>47573</v>
      </c>
      <c r="X75" s="244">
        <f>50000*0.2</f>
        <v>10000</v>
      </c>
      <c r="Y75" s="244">
        <f>50000*0.2</f>
        <v>10000</v>
      </c>
      <c r="Z75" s="244">
        <f>50000*0.2</f>
        <v>10000</v>
      </c>
      <c r="AG75" s="241" t="s">
        <v>3003</v>
      </c>
    </row>
    <row r="76" spans="1:33">
      <c r="A76" s="241" t="s">
        <v>2983</v>
      </c>
      <c r="B76" s="242">
        <v>300</v>
      </c>
      <c r="C76" s="241" t="s">
        <v>3001</v>
      </c>
      <c r="D76" s="243">
        <v>40</v>
      </c>
      <c r="E76" s="241" t="s">
        <v>1718</v>
      </c>
      <c r="F76" s="243" t="s">
        <v>1719</v>
      </c>
      <c r="H76" s="243" t="s">
        <v>148</v>
      </c>
      <c r="I76" s="243" t="s">
        <v>148</v>
      </c>
      <c r="J76" s="241" t="s">
        <v>1202</v>
      </c>
      <c r="K76" s="243">
        <v>1474</v>
      </c>
      <c r="L76" s="241" t="s">
        <v>2868</v>
      </c>
      <c r="M76" s="243" t="s">
        <v>2869</v>
      </c>
      <c r="W76" s="244">
        <f>0.2*75000</f>
        <v>15000</v>
      </c>
      <c r="Y76" s="244">
        <f>0.2*75000</f>
        <v>15000</v>
      </c>
      <c r="AA76" s="244">
        <f>0.2*75000</f>
        <v>15000</v>
      </c>
      <c r="AC76" s="244">
        <f>0.2*75000</f>
        <v>15000</v>
      </c>
      <c r="AD76" s="244">
        <f>0.2*100000</f>
        <v>20000</v>
      </c>
      <c r="AE76" s="244">
        <f>0.2*150000</f>
        <v>30000</v>
      </c>
    </row>
    <row r="77" spans="1:33">
      <c r="A77" s="241" t="s">
        <v>2983</v>
      </c>
      <c r="B77" s="242">
        <v>300</v>
      </c>
      <c r="C77" s="241" t="s">
        <v>3001</v>
      </c>
      <c r="D77" s="243">
        <v>40</v>
      </c>
      <c r="E77" s="241" t="s">
        <v>1718</v>
      </c>
      <c r="F77" s="243" t="s">
        <v>1719</v>
      </c>
      <c r="H77" s="243" t="s">
        <v>148</v>
      </c>
      <c r="I77" s="243" t="s">
        <v>148</v>
      </c>
      <c r="J77" s="241" t="s">
        <v>1202</v>
      </c>
      <c r="K77" s="243">
        <v>1474</v>
      </c>
      <c r="L77" s="241" t="s">
        <v>2811</v>
      </c>
      <c r="M77" s="243" t="s">
        <v>2812</v>
      </c>
      <c r="N77" s="244">
        <v>21957</v>
      </c>
      <c r="O77" s="244">
        <v>18290</v>
      </c>
      <c r="P77" s="244">
        <v>18290</v>
      </c>
      <c r="Y77" s="244">
        <v>50000</v>
      </c>
    </row>
    <row r="78" spans="1:33">
      <c r="A78" s="241" t="s">
        <v>2983</v>
      </c>
      <c r="B78" s="242">
        <v>300</v>
      </c>
      <c r="C78" s="241" t="s">
        <v>3001</v>
      </c>
      <c r="D78" s="243">
        <v>40</v>
      </c>
      <c r="E78" s="241" t="s">
        <v>1718</v>
      </c>
      <c r="F78" s="243" t="s">
        <v>1719</v>
      </c>
      <c r="H78" s="243" t="s">
        <v>148</v>
      </c>
      <c r="I78" s="243" t="s">
        <v>148</v>
      </c>
      <c r="J78" s="241" t="s">
        <v>1202</v>
      </c>
      <c r="K78" s="243">
        <v>1474</v>
      </c>
      <c r="L78" s="241" t="s">
        <v>2830</v>
      </c>
      <c r="M78" s="243" t="s">
        <v>2831</v>
      </c>
      <c r="Z78" s="244">
        <v>200000</v>
      </c>
      <c r="AG78" s="241" t="s">
        <v>1155</v>
      </c>
    </row>
    <row r="79" spans="1:33">
      <c r="A79" s="241" t="s">
        <v>2983</v>
      </c>
      <c r="B79" s="242">
        <v>300</v>
      </c>
      <c r="C79" s="241" t="s">
        <v>3001</v>
      </c>
      <c r="D79" s="243">
        <v>40</v>
      </c>
      <c r="E79" s="241" t="s">
        <v>1718</v>
      </c>
      <c r="F79" s="243" t="s">
        <v>1719</v>
      </c>
      <c r="H79" s="243" t="s">
        <v>148</v>
      </c>
      <c r="I79" s="243" t="s">
        <v>148</v>
      </c>
      <c r="J79" s="241" t="s">
        <v>1202</v>
      </c>
      <c r="K79" s="243">
        <v>1474</v>
      </c>
      <c r="L79" s="241" t="s">
        <v>2818</v>
      </c>
      <c r="M79" s="243" t="s">
        <v>2819</v>
      </c>
      <c r="AA79" s="244">
        <v>125000</v>
      </c>
      <c r="AB79" s="244">
        <v>125000</v>
      </c>
      <c r="AG79" s="241" t="s">
        <v>1155</v>
      </c>
    </row>
    <row r="80" spans="1:33">
      <c r="A80" s="241" t="s">
        <v>2983</v>
      </c>
      <c r="B80" s="242">
        <v>300</v>
      </c>
      <c r="C80" s="241" t="s">
        <v>3001</v>
      </c>
      <c r="D80" s="243">
        <v>40</v>
      </c>
      <c r="E80" s="241" t="s">
        <v>1718</v>
      </c>
      <c r="F80" s="243" t="s">
        <v>1719</v>
      </c>
      <c r="H80" s="243" t="s">
        <v>148</v>
      </c>
      <c r="I80" s="243" t="s">
        <v>148</v>
      </c>
      <c r="J80" s="241" t="s">
        <v>1202</v>
      </c>
      <c r="K80" s="243">
        <v>1474</v>
      </c>
      <c r="L80" s="241" t="s">
        <v>2925</v>
      </c>
      <c r="M80" s="243" t="s">
        <v>2926</v>
      </c>
      <c r="T80" s="248"/>
      <c r="U80" s="248">
        <v>100000</v>
      </c>
      <c r="V80" s="248">
        <v>40000</v>
      </c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50"/>
    </row>
    <row r="81" spans="1:33">
      <c r="A81" s="241" t="s">
        <v>2983</v>
      </c>
      <c r="B81" s="242">
        <v>300</v>
      </c>
      <c r="C81" s="241" t="s">
        <v>3001</v>
      </c>
      <c r="D81" s="243">
        <v>40</v>
      </c>
      <c r="E81" s="241" t="s">
        <v>1718</v>
      </c>
      <c r="F81" s="243" t="s">
        <v>1719</v>
      </c>
      <c r="H81" s="243" t="s">
        <v>148</v>
      </c>
      <c r="I81" s="243" t="s">
        <v>148</v>
      </c>
      <c r="J81" s="241" t="s">
        <v>1202</v>
      </c>
      <c r="K81" s="243">
        <v>1474</v>
      </c>
      <c r="L81" s="241" t="s">
        <v>410</v>
      </c>
      <c r="M81" s="243" t="s">
        <v>2867</v>
      </c>
      <c r="W81" s="249"/>
      <c r="X81" s="249"/>
      <c r="Y81" s="249"/>
      <c r="Z81" s="249"/>
      <c r="AA81" s="249"/>
      <c r="AB81" s="244">
        <v>175000</v>
      </c>
      <c r="AC81" s="244">
        <v>175000</v>
      </c>
      <c r="AD81" s="244">
        <v>175000</v>
      </c>
      <c r="AE81" s="244">
        <v>175000</v>
      </c>
    </row>
    <row r="82" spans="1:33">
      <c r="A82" s="241" t="s">
        <v>2983</v>
      </c>
      <c r="B82" s="242">
        <v>300</v>
      </c>
      <c r="C82" s="241" t="s">
        <v>3001</v>
      </c>
      <c r="D82" s="243">
        <v>40</v>
      </c>
      <c r="E82" s="241" t="s">
        <v>1759</v>
      </c>
      <c r="F82" s="243" t="s">
        <v>1759</v>
      </c>
      <c r="H82" s="243" t="s">
        <v>148</v>
      </c>
      <c r="I82" s="243" t="s">
        <v>148</v>
      </c>
      <c r="J82" s="241" t="s">
        <v>1202</v>
      </c>
      <c r="K82" s="243">
        <v>1474</v>
      </c>
      <c r="L82" s="241" t="s">
        <v>2809</v>
      </c>
      <c r="M82" s="243" t="s">
        <v>2810</v>
      </c>
      <c r="V82" s="245"/>
      <c r="W82" s="251"/>
      <c r="Z82" s="249"/>
    </row>
    <row r="83" spans="1:33">
      <c r="A83" s="241" t="s">
        <v>2983</v>
      </c>
      <c r="B83" s="242">
        <v>300</v>
      </c>
      <c r="C83" s="241" t="s">
        <v>3001</v>
      </c>
      <c r="D83" s="243">
        <v>40</v>
      </c>
      <c r="E83" s="241" t="s">
        <v>1768</v>
      </c>
      <c r="F83" s="243" t="s">
        <v>1768</v>
      </c>
      <c r="H83" s="243" t="s">
        <v>148</v>
      </c>
      <c r="I83" s="243" t="s">
        <v>148</v>
      </c>
      <c r="J83" s="241" t="s">
        <v>1202</v>
      </c>
      <c r="K83" s="243">
        <v>1474</v>
      </c>
      <c r="L83" s="241" t="s">
        <v>2773</v>
      </c>
      <c r="M83" s="243" t="s">
        <v>2774</v>
      </c>
      <c r="Y83" s="245"/>
      <c r="Z83" s="252"/>
      <c r="AA83" s="244">
        <f>0.2*35000</f>
        <v>7000</v>
      </c>
      <c r="AB83" s="244">
        <f>0.2*35000</f>
        <v>7000</v>
      </c>
      <c r="AC83" s="244">
        <f>0.2*35000</f>
        <v>7000</v>
      </c>
      <c r="AG83" s="241" t="s">
        <v>421</v>
      </c>
    </row>
    <row r="84" spans="1:33">
      <c r="A84" s="241" t="s">
        <v>2983</v>
      </c>
      <c r="B84" s="242">
        <v>300</v>
      </c>
      <c r="C84" s="241" t="s">
        <v>297</v>
      </c>
      <c r="D84" s="243">
        <v>30</v>
      </c>
      <c r="E84" s="241" t="s">
        <v>1802</v>
      </c>
      <c r="F84" s="243" t="s">
        <v>1802</v>
      </c>
      <c r="H84" s="243" t="s">
        <v>148</v>
      </c>
      <c r="I84" s="243" t="s">
        <v>148</v>
      </c>
      <c r="J84" s="241" t="s">
        <v>1202</v>
      </c>
      <c r="K84" s="243">
        <v>1474</v>
      </c>
      <c r="L84" s="241" t="s">
        <v>2857</v>
      </c>
      <c r="M84" s="243" t="s">
        <v>2858</v>
      </c>
      <c r="V84" s="244">
        <v>30000</v>
      </c>
      <c r="W84" s="244">
        <v>30000</v>
      </c>
    </row>
    <row r="85" spans="1:33" s="258" customFormat="1">
      <c r="A85" s="258" t="s">
        <v>3004</v>
      </c>
      <c r="B85" s="259"/>
      <c r="D85" s="260"/>
      <c r="F85" s="260"/>
      <c r="H85" s="260"/>
      <c r="I85" s="260"/>
      <c r="K85" s="260"/>
      <c r="M85" s="260"/>
      <c r="N85" s="257"/>
      <c r="O85" s="257"/>
      <c r="P85" s="257"/>
      <c r="Q85" s="257"/>
      <c r="R85" s="257"/>
      <c r="S85" s="257"/>
      <c r="T85" s="257"/>
      <c r="U85" s="257">
        <f t="shared" ref="U85:AF85" si="1">SUM(U2:U84)</f>
        <v>454491</v>
      </c>
      <c r="V85" s="257">
        <f t="shared" si="1"/>
        <v>316491</v>
      </c>
      <c r="W85" s="257">
        <f t="shared" si="1"/>
        <v>400494</v>
      </c>
      <c r="X85" s="257">
        <f t="shared" si="1"/>
        <v>335491</v>
      </c>
      <c r="Y85" s="257">
        <f t="shared" si="1"/>
        <v>151490</v>
      </c>
      <c r="Z85" s="257">
        <f t="shared" si="1"/>
        <v>275490</v>
      </c>
      <c r="AA85" s="257">
        <f t="shared" si="1"/>
        <v>197491</v>
      </c>
      <c r="AB85" s="257">
        <f t="shared" si="1"/>
        <v>573490</v>
      </c>
      <c r="AC85" s="257">
        <f t="shared" si="1"/>
        <v>430490</v>
      </c>
      <c r="AD85" s="257">
        <f t="shared" si="1"/>
        <v>400492</v>
      </c>
      <c r="AE85" s="257">
        <f t="shared" si="1"/>
        <v>538490</v>
      </c>
      <c r="AF85" s="257">
        <f t="shared" si="1"/>
        <v>170002</v>
      </c>
    </row>
    <row r="86" spans="1:33">
      <c r="A86" s="241" t="s">
        <v>2988</v>
      </c>
      <c r="B86" s="242">
        <v>450</v>
      </c>
      <c r="D86" s="243" t="s">
        <v>148</v>
      </c>
      <c r="F86" s="243" t="s">
        <v>148</v>
      </c>
      <c r="H86" s="243" t="s">
        <v>148</v>
      </c>
      <c r="I86" s="243" t="s">
        <v>148</v>
      </c>
      <c r="K86" s="243" t="s">
        <v>148</v>
      </c>
      <c r="M86" s="243" t="s">
        <v>148</v>
      </c>
      <c r="S86" s="253">
        <v>175667.408</v>
      </c>
      <c r="T86" s="244">
        <v>188719.2</v>
      </c>
      <c r="U86" s="244">
        <v>166603.83743999997</v>
      </c>
      <c r="V86" s="244">
        <v>148138.59799999997</v>
      </c>
      <c r="W86" s="244">
        <v>227649.21553700001</v>
      </c>
      <c r="X86" s="244">
        <v>112155.01663999999</v>
      </c>
      <c r="Y86" s="244">
        <v>135790.68928000002</v>
      </c>
      <c r="Z86" s="244">
        <v>116797.59976</v>
      </c>
      <c r="AA86" s="244">
        <v>187026.31041699997</v>
      </c>
      <c r="AB86" s="244">
        <v>170954.92799999999</v>
      </c>
      <c r="AC86" s="244">
        <v>353307.618587</v>
      </c>
      <c r="AD86" s="244">
        <v>280083.31264000008</v>
      </c>
      <c r="AE86" s="244">
        <v>278657.14898700005</v>
      </c>
      <c r="AG86" s="241" t="s">
        <v>3005</v>
      </c>
    </row>
    <row r="87" spans="1:33">
      <c r="A87" s="241" t="s">
        <v>2989</v>
      </c>
      <c r="B87" s="242">
        <v>770</v>
      </c>
      <c r="D87" s="243" t="s">
        <v>148</v>
      </c>
      <c r="F87" s="243" t="s">
        <v>148</v>
      </c>
      <c r="H87" s="243" t="s">
        <v>148</v>
      </c>
      <c r="I87" s="243" t="s">
        <v>148</v>
      </c>
      <c r="K87" s="243" t="s">
        <v>148</v>
      </c>
      <c r="M87" s="243" t="s">
        <v>148</v>
      </c>
      <c r="S87" s="253">
        <v>109011</v>
      </c>
      <c r="T87" s="244">
        <v>149011</v>
      </c>
      <c r="U87" s="244">
        <v>149011</v>
      </c>
      <c r="V87" s="244">
        <v>149011</v>
      </c>
      <c r="W87" s="244">
        <v>149011</v>
      </c>
      <c r="X87" s="244">
        <v>149011</v>
      </c>
      <c r="Y87" s="244">
        <v>149011</v>
      </c>
      <c r="Z87" s="244">
        <v>149011</v>
      </c>
      <c r="AA87" s="244">
        <v>149011</v>
      </c>
      <c r="AB87" s="244">
        <v>149011</v>
      </c>
      <c r="AC87" s="244">
        <v>149011</v>
      </c>
      <c r="AD87" s="244">
        <v>149011</v>
      </c>
      <c r="AE87" s="244">
        <v>149011</v>
      </c>
      <c r="AG87" s="241" t="s">
        <v>3006</v>
      </c>
    </row>
    <row r="88" spans="1:33">
      <c r="A88" s="241" t="s">
        <v>2989</v>
      </c>
      <c r="B88" s="242">
        <v>770</v>
      </c>
      <c r="D88" s="243" t="s">
        <v>148</v>
      </c>
      <c r="F88" s="243" t="s">
        <v>148</v>
      </c>
      <c r="H88" s="243" t="s">
        <v>148</v>
      </c>
      <c r="I88" s="243" t="s">
        <v>148</v>
      </c>
      <c r="K88" s="243" t="s">
        <v>148</v>
      </c>
      <c r="M88" s="243" t="s">
        <v>148</v>
      </c>
      <c r="S88" s="253">
        <v>7493</v>
      </c>
      <c r="T88" s="244">
        <v>7493</v>
      </c>
      <c r="U88" s="244">
        <v>7493</v>
      </c>
      <c r="V88" s="244">
        <v>7493</v>
      </c>
      <c r="W88" s="244">
        <v>7493</v>
      </c>
      <c r="X88" s="244">
        <v>7493</v>
      </c>
      <c r="Y88" s="244">
        <v>7493</v>
      </c>
      <c r="Z88" s="244">
        <v>7493</v>
      </c>
      <c r="AA88" s="244">
        <v>7493</v>
      </c>
      <c r="AB88" s="244">
        <v>7493</v>
      </c>
      <c r="AC88" s="244">
        <v>7493</v>
      </c>
      <c r="AD88" s="244">
        <v>7493</v>
      </c>
      <c r="AE88" s="244">
        <v>7493</v>
      </c>
      <c r="AG88" s="241" t="s">
        <v>3007</v>
      </c>
    </row>
    <row r="89" spans="1:33">
      <c r="A89" s="241" t="s">
        <v>2989</v>
      </c>
      <c r="B89" s="242">
        <v>770</v>
      </c>
      <c r="D89" s="243" t="s">
        <v>148</v>
      </c>
      <c r="F89" s="243" t="s">
        <v>148</v>
      </c>
      <c r="H89" s="243" t="s">
        <v>148</v>
      </c>
      <c r="I89" s="243" t="s">
        <v>148</v>
      </c>
      <c r="K89" s="243" t="s">
        <v>148</v>
      </c>
      <c r="M89" s="243" t="s">
        <v>148</v>
      </c>
      <c r="S89" s="253">
        <v>64267</v>
      </c>
      <c r="T89" s="244">
        <v>66333</v>
      </c>
      <c r="U89" s="244">
        <v>66333</v>
      </c>
      <c r="V89" s="244">
        <v>66333</v>
      </c>
      <c r="W89" s="244">
        <v>66333</v>
      </c>
      <c r="X89" s="244">
        <v>66333</v>
      </c>
      <c r="Y89" s="244">
        <v>66333</v>
      </c>
      <c r="Z89" s="244">
        <v>66333</v>
      </c>
      <c r="AA89" s="244">
        <v>66333</v>
      </c>
      <c r="AB89" s="244">
        <v>66333</v>
      </c>
      <c r="AC89" s="244">
        <v>66333</v>
      </c>
      <c r="AD89" s="244">
        <v>66333</v>
      </c>
      <c r="AE89" s="244">
        <v>66333</v>
      </c>
      <c r="AG89" s="241" t="s">
        <v>3008</v>
      </c>
    </row>
  </sheetData>
  <autoFilter ref="A1:AG89" xr:uid="{010F87B4-4DC9-4AD7-BD81-3CE62536EC09}"/>
  <conditionalFormatting sqref="D1:D1048576 H1:I1048576">
    <cfRule type="cellIs" dxfId="210" priority="1" operator="equal">
      <formula>"&lt;----"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BED9-A387-41A0-A60A-5019CD8C76C8}">
  <dimension ref="A1:AI89"/>
  <sheetViews>
    <sheetView topLeftCell="F1" zoomScale="56" zoomScaleNormal="56" workbookViewId="0">
      <pane ySplit="1" topLeftCell="A44" activePane="bottomLeft" state="frozen"/>
      <selection pane="bottomLeft" activeCell="AD70" sqref="AD70"/>
      <selection activeCell="G2" sqref="G2"/>
    </sheetView>
  </sheetViews>
  <sheetFormatPr defaultColWidth="9.42578125" defaultRowHeight="13.9"/>
  <cols>
    <col min="1" max="1" width="23.42578125" style="241" customWidth="1"/>
    <col min="2" max="2" width="7.5703125" style="241" customWidth="1"/>
    <col min="3" max="3" width="16.42578125" style="241" customWidth="1"/>
    <col min="4" max="4" width="7.5703125" style="241" customWidth="1"/>
    <col min="5" max="5" width="16.42578125" style="241" customWidth="1"/>
    <col min="6" max="6" width="20.42578125" style="241" customWidth="1"/>
    <col min="7" max="7" width="23.42578125" style="241" customWidth="1"/>
    <col min="8" max="9" width="7.5703125" style="241" customWidth="1"/>
    <col min="10" max="10" width="18.5703125" style="241" customWidth="1"/>
    <col min="11" max="11" width="7.5703125" style="241" customWidth="1"/>
    <col min="12" max="12" width="48.42578125" style="241" bestFit="1" customWidth="1"/>
    <col min="13" max="13" width="7.5703125" style="241" customWidth="1"/>
    <col min="14" max="16" width="11.140625" style="244" hidden="1" customWidth="1"/>
    <col min="17" max="22" width="11" style="244" hidden="1" customWidth="1"/>
    <col min="23" max="34" width="16.5703125" style="244" customWidth="1"/>
    <col min="35" max="35" width="27.42578125" style="241" customWidth="1"/>
    <col min="36" max="16384" width="9.42578125" style="241"/>
  </cols>
  <sheetData>
    <row r="1" spans="1:35" s="237" customFormat="1">
      <c r="A1" s="237" t="s">
        <v>2991</v>
      </c>
      <c r="B1" s="238" t="s">
        <v>1413</v>
      </c>
      <c r="C1" s="237" t="s">
        <v>2992</v>
      </c>
      <c r="D1" s="238" t="s">
        <v>1440</v>
      </c>
      <c r="E1" s="238" t="s">
        <v>1443</v>
      </c>
      <c r="F1" s="237" t="s">
        <v>2993</v>
      </c>
      <c r="G1" s="237" t="s">
        <v>2994</v>
      </c>
      <c r="H1" s="238" t="s">
        <v>1442</v>
      </c>
      <c r="I1" s="238" t="s">
        <v>2995</v>
      </c>
      <c r="J1" s="237" t="s">
        <v>10</v>
      </c>
      <c r="K1" s="238" t="s">
        <v>1444</v>
      </c>
      <c r="L1" s="237" t="s">
        <v>2996</v>
      </c>
      <c r="M1" s="238" t="s">
        <v>16</v>
      </c>
      <c r="N1" s="239" t="s">
        <v>2997</v>
      </c>
      <c r="O1" s="239" t="str">
        <f>IF(RIGHT(N1,2)*1=12,"P"&amp;(MID(N1,2,4)*1+1)*100+1,"P"&amp;RIGHT(N1,6)*1+1)</f>
        <v>P202007</v>
      </c>
      <c r="P1" s="239" t="str">
        <f t="shared" ref="P1:AH1" si="0">IF(RIGHT(O1,2)*1=12,"P"&amp;(MID(O1,2,4)*1+1)*100+1,"P"&amp;RIGHT(O1,6)*1+1)</f>
        <v>P202008</v>
      </c>
      <c r="Q1" s="239" t="str">
        <f t="shared" si="0"/>
        <v>P202009</v>
      </c>
      <c r="R1" s="239" t="str">
        <f t="shared" si="0"/>
        <v>P202010</v>
      </c>
      <c r="S1" s="240" t="str">
        <f t="shared" si="0"/>
        <v>P202011</v>
      </c>
      <c r="T1" s="240" t="str">
        <f t="shared" si="0"/>
        <v>P202012</v>
      </c>
      <c r="U1" s="240" t="str">
        <f t="shared" si="0"/>
        <v>P202101</v>
      </c>
      <c r="V1" s="240" t="str">
        <f t="shared" si="0"/>
        <v>P202102</v>
      </c>
      <c r="W1" s="240" t="str">
        <f t="shared" si="0"/>
        <v>P202103</v>
      </c>
      <c r="X1" s="240" t="str">
        <f t="shared" si="0"/>
        <v>P202104</v>
      </c>
      <c r="Y1" s="240" t="str">
        <f t="shared" si="0"/>
        <v>P202105</v>
      </c>
      <c r="Z1" s="240" t="str">
        <f t="shared" si="0"/>
        <v>P202106</v>
      </c>
      <c r="AA1" s="240" t="str">
        <f t="shared" si="0"/>
        <v>P202107</v>
      </c>
      <c r="AB1" s="240" t="str">
        <f t="shared" si="0"/>
        <v>P202108</v>
      </c>
      <c r="AC1" s="240" t="str">
        <f t="shared" si="0"/>
        <v>P202109</v>
      </c>
      <c r="AD1" s="240" t="str">
        <f t="shared" si="0"/>
        <v>P202110</v>
      </c>
      <c r="AE1" s="240" t="str">
        <f t="shared" si="0"/>
        <v>P202111</v>
      </c>
      <c r="AF1" s="240" t="str">
        <f t="shared" si="0"/>
        <v>P202112</v>
      </c>
      <c r="AG1" s="240" t="str">
        <f t="shared" si="0"/>
        <v>P202201</v>
      </c>
      <c r="AH1" s="240" t="str">
        <f t="shared" si="0"/>
        <v>P202202</v>
      </c>
      <c r="AI1" s="237" t="s">
        <v>41</v>
      </c>
    </row>
    <row r="2" spans="1:35">
      <c r="A2" s="241" t="s">
        <v>2983</v>
      </c>
      <c r="B2" s="242">
        <v>300</v>
      </c>
      <c r="C2" s="241" t="s">
        <v>290</v>
      </c>
      <c r="D2" s="243">
        <v>10</v>
      </c>
      <c r="E2" s="241" t="s">
        <v>1796</v>
      </c>
      <c r="F2" s="243" t="s">
        <v>1796</v>
      </c>
      <c r="H2" s="243" t="s">
        <v>148</v>
      </c>
      <c r="I2" s="243" t="s">
        <v>148</v>
      </c>
      <c r="J2" s="241" t="s">
        <v>73</v>
      </c>
      <c r="K2" s="243">
        <v>1352</v>
      </c>
      <c r="L2" s="241" t="s">
        <v>2791</v>
      </c>
      <c r="M2" s="243" t="s">
        <v>2792</v>
      </c>
      <c r="N2" s="244">
        <v>17694</v>
      </c>
      <c r="Q2" s="244">
        <v>17694</v>
      </c>
      <c r="U2" s="244">
        <v>50000</v>
      </c>
      <c r="V2" s="244">
        <v>0</v>
      </c>
      <c r="W2" s="244">
        <v>8784</v>
      </c>
      <c r="AG2" s="244">
        <v>50000</v>
      </c>
      <c r="AH2" s="244">
        <v>0</v>
      </c>
      <c r="AI2" s="241" t="s">
        <v>107</v>
      </c>
    </row>
    <row r="3" spans="1:35">
      <c r="A3" s="241" t="s">
        <v>2983</v>
      </c>
      <c r="B3" s="242">
        <v>300</v>
      </c>
      <c r="C3" s="241" t="s">
        <v>290</v>
      </c>
      <c r="D3" s="243">
        <v>10</v>
      </c>
      <c r="E3" s="241" t="s">
        <v>1796</v>
      </c>
      <c r="F3" s="243" t="s">
        <v>1796</v>
      </c>
      <c r="H3" s="243" t="s">
        <v>148</v>
      </c>
      <c r="I3" s="243"/>
      <c r="J3" s="241" t="s">
        <v>73</v>
      </c>
      <c r="K3" s="243">
        <v>1352</v>
      </c>
      <c r="L3" s="241" t="s">
        <v>2809</v>
      </c>
      <c r="M3" s="243" t="s">
        <v>2810</v>
      </c>
      <c r="U3" s="244">
        <v>3700</v>
      </c>
      <c r="V3" s="244">
        <v>12500</v>
      </c>
      <c r="W3" s="244">
        <v>14000</v>
      </c>
      <c r="AG3" s="244">
        <v>3700</v>
      </c>
      <c r="AH3" s="244">
        <v>12500</v>
      </c>
      <c r="AI3" s="241" t="s">
        <v>3009</v>
      </c>
    </row>
    <row r="4" spans="1:35">
      <c r="A4" s="241" t="s">
        <v>2983</v>
      </c>
      <c r="B4" s="242">
        <v>300</v>
      </c>
      <c r="C4" s="241" t="s">
        <v>290</v>
      </c>
      <c r="D4" s="243">
        <v>10</v>
      </c>
      <c r="E4" s="241" t="s">
        <v>1796</v>
      </c>
      <c r="F4" s="243" t="s">
        <v>1796</v>
      </c>
      <c r="H4" s="243" t="s">
        <v>148</v>
      </c>
      <c r="I4" s="243"/>
      <c r="J4" s="241" t="s">
        <v>73</v>
      </c>
      <c r="K4" s="243">
        <v>1352</v>
      </c>
      <c r="L4" s="241" t="s">
        <v>2857</v>
      </c>
      <c r="M4" s="243" t="s">
        <v>2858</v>
      </c>
      <c r="U4" s="244">
        <v>0</v>
      </c>
      <c r="V4" s="244">
        <v>3000</v>
      </c>
      <c r="W4" s="244">
        <v>28000</v>
      </c>
      <c r="AG4" s="244">
        <v>0</v>
      </c>
      <c r="AH4" s="244">
        <v>3000</v>
      </c>
      <c r="AI4" s="241" t="s">
        <v>2998</v>
      </c>
    </row>
    <row r="5" spans="1:35">
      <c r="A5" s="241" t="s">
        <v>2983</v>
      </c>
      <c r="B5" s="242">
        <v>300</v>
      </c>
      <c r="C5" s="241" t="s">
        <v>290</v>
      </c>
      <c r="D5" s="243">
        <v>10</v>
      </c>
      <c r="E5" s="241" t="s">
        <v>1796</v>
      </c>
      <c r="F5" s="243" t="s">
        <v>1796</v>
      </c>
      <c r="H5" s="243" t="s">
        <v>148</v>
      </c>
      <c r="I5" s="243"/>
      <c r="J5" s="241" t="s">
        <v>73</v>
      </c>
      <c r="K5" s="243">
        <v>1352</v>
      </c>
      <c r="L5" s="241" t="s">
        <v>92</v>
      </c>
      <c r="M5" s="243" t="s">
        <v>2882</v>
      </c>
      <c r="U5" s="244">
        <v>2000</v>
      </c>
      <c r="V5" s="244">
        <v>16624</v>
      </c>
      <c r="W5" s="244">
        <v>1900</v>
      </c>
      <c r="X5" s="324">
        <v>18910</v>
      </c>
      <c r="AA5" s="244">
        <v>18910</v>
      </c>
      <c r="AD5" s="244">
        <v>18910</v>
      </c>
      <c r="AG5" s="244">
        <v>2000</v>
      </c>
      <c r="AH5" s="244">
        <v>16624</v>
      </c>
      <c r="AI5" s="241" t="s">
        <v>1235</v>
      </c>
    </row>
    <row r="6" spans="1:35">
      <c r="A6" s="241" t="s">
        <v>2983</v>
      </c>
      <c r="B6" s="242">
        <v>300</v>
      </c>
      <c r="C6" s="241" t="s">
        <v>290</v>
      </c>
      <c r="D6" s="243">
        <v>10</v>
      </c>
      <c r="E6" s="241" t="s">
        <v>1796</v>
      </c>
      <c r="F6" s="243" t="s">
        <v>1796</v>
      </c>
      <c r="H6" s="243" t="s">
        <v>148</v>
      </c>
      <c r="I6" s="243"/>
      <c r="J6" s="241" t="s">
        <v>73</v>
      </c>
      <c r="K6" s="243">
        <v>1352</v>
      </c>
      <c r="L6" s="241" t="s">
        <v>2809</v>
      </c>
      <c r="M6" s="243" t="s">
        <v>2810</v>
      </c>
      <c r="AI6" s="241" t="s">
        <v>71</v>
      </c>
    </row>
    <row r="7" spans="1:35">
      <c r="A7" s="241" t="s">
        <v>2983</v>
      </c>
      <c r="B7" s="242">
        <v>300</v>
      </c>
      <c r="C7" s="241" t="s">
        <v>290</v>
      </c>
      <c r="D7" s="243">
        <v>10</v>
      </c>
      <c r="E7" s="241" t="s">
        <v>1796</v>
      </c>
      <c r="F7" s="243" t="s">
        <v>1796</v>
      </c>
      <c r="H7" s="243" t="s">
        <v>148</v>
      </c>
      <c r="I7" s="243"/>
      <c r="J7" s="241" t="s">
        <v>73</v>
      </c>
      <c r="K7" s="243">
        <v>1352</v>
      </c>
      <c r="L7" s="241" t="s">
        <v>2857</v>
      </c>
      <c r="M7" s="243" t="s">
        <v>2858</v>
      </c>
      <c r="Y7" s="244">
        <v>16649</v>
      </c>
      <c r="AI7" s="241" t="s">
        <v>135</v>
      </c>
    </row>
    <row r="8" spans="1:35">
      <c r="A8" s="241" t="s">
        <v>2983</v>
      </c>
      <c r="B8" s="242">
        <v>300</v>
      </c>
      <c r="C8" s="241" t="s">
        <v>290</v>
      </c>
      <c r="D8" s="243">
        <v>10</v>
      </c>
      <c r="E8" s="241" t="s">
        <v>1796</v>
      </c>
      <c r="F8" s="243" t="s">
        <v>1796</v>
      </c>
      <c r="H8" s="243" t="s">
        <v>148</v>
      </c>
      <c r="I8" s="243"/>
      <c r="J8" s="254" t="s">
        <v>117</v>
      </c>
      <c r="K8" s="321">
        <v>2085</v>
      </c>
      <c r="L8" s="254" t="s">
        <v>2791</v>
      </c>
      <c r="M8" s="321" t="s">
        <v>2792</v>
      </c>
      <c r="N8" s="261"/>
      <c r="O8" s="261"/>
      <c r="P8" s="261"/>
      <c r="Q8" s="261"/>
      <c r="R8" s="261"/>
      <c r="S8" s="261"/>
      <c r="T8" s="261"/>
      <c r="U8" s="261"/>
      <c r="V8" s="261"/>
      <c r="W8" s="318"/>
      <c r="X8" s="324">
        <v>16238</v>
      </c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241" t="s">
        <v>107</v>
      </c>
    </row>
    <row r="9" spans="1:35">
      <c r="A9" s="241" t="s">
        <v>2983</v>
      </c>
      <c r="B9" s="242">
        <v>300</v>
      </c>
      <c r="C9" s="241" t="s">
        <v>290</v>
      </c>
      <c r="D9" s="243">
        <v>10</v>
      </c>
      <c r="E9" s="241" t="s">
        <v>1796</v>
      </c>
      <c r="F9" s="243" t="s">
        <v>1796</v>
      </c>
      <c r="H9" s="243" t="s">
        <v>148</v>
      </c>
      <c r="I9" s="243"/>
      <c r="J9" s="254" t="s">
        <v>117</v>
      </c>
      <c r="K9" s="321">
        <v>2085</v>
      </c>
      <c r="L9" s="254" t="s">
        <v>2809</v>
      </c>
      <c r="M9" s="321" t="s">
        <v>2810</v>
      </c>
      <c r="N9" s="261"/>
      <c r="O9" s="261"/>
      <c r="P9" s="261"/>
      <c r="Q9" s="261"/>
      <c r="R9" s="261"/>
      <c r="S9" s="261"/>
      <c r="T9" s="261"/>
      <c r="U9" s="261"/>
      <c r="V9" s="261">
        <v>46771</v>
      </c>
      <c r="W9" s="318"/>
      <c r="X9" s="318"/>
      <c r="Y9" s="318"/>
      <c r="Z9" s="318"/>
      <c r="AA9" s="318"/>
      <c r="AB9" s="318"/>
      <c r="AC9" s="318"/>
      <c r="AD9" s="318"/>
      <c r="AE9" s="318"/>
      <c r="AF9" s="318"/>
      <c r="AG9" s="318"/>
      <c r="AH9" s="318">
        <v>46771</v>
      </c>
      <c r="AI9" s="241" t="s">
        <v>3009</v>
      </c>
    </row>
    <row r="10" spans="1:35">
      <c r="A10" s="241" t="s">
        <v>2983</v>
      </c>
      <c r="B10" s="242">
        <v>300</v>
      </c>
      <c r="C10" s="241" t="s">
        <v>290</v>
      </c>
      <c r="D10" s="243">
        <v>10</v>
      </c>
      <c r="E10" s="241" t="s">
        <v>1796</v>
      </c>
      <c r="F10" s="243" t="s">
        <v>1796</v>
      </c>
      <c r="H10" s="243" t="s">
        <v>148</v>
      </c>
      <c r="I10" s="243"/>
      <c r="J10" s="254" t="s">
        <v>117</v>
      </c>
      <c r="K10" s="321">
        <v>2085</v>
      </c>
      <c r="L10" s="254" t="s">
        <v>2857</v>
      </c>
      <c r="M10" s="321" t="s">
        <v>2858</v>
      </c>
      <c r="N10" s="261"/>
      <c r="O10" s="261"/>
      <c r="P10" s="261"/>
      <c r="Q10" s="261"/>
      <c r="R10" s="261"/>
      <c r="S10" s="261"/>
      <c r="T10" s="261"/>
      <c r="U10" s="261"/>
      <c r="V10" s="261">
        <v>24002</v>
      </c>
      <c r="W10" s="318"/>
      <c r="X10" s="318"/>
      <c r="Y10" s="318"/>
      <c r="Z10" s="318"/>
      <c r="AA10" s="318"/>
      <c r="AB10" s="318"/>
      <c r="AC10" s="318"/>
      <c r="AD10" s="318"/>
      <c r="AE10" s="318"/>
      <c r="AF10" s="318"/>
      <c r="AG10" s="318"/>
      <c r="AH10" s="318">
        <v>24002</v>
      </c>
      <c r="AI10" s="241" t="s">
        <v>2998</v>
      </c>
    </row>
    <row r="11" spans="1:35">
      <c r="A11" s="241" t="s">
        <v>2983</v>
      </c>
      <c r="B11" s="242">
        <v>300</v>
      </c>
      <c r="C11" s="241" t="s">
        <v>290</v>
      </c>
      <c r="D11" s="243">
        <v>10</v>
      </c>
      <c r="E11" s="241" t="s">
        <v>1796</v>
      </c>
      <c r="F11" s="243" t="s">
        <v>1796</v>
      </c>
      <c r="H11" s="243" t="s">
        <v>148</v>
      </c>
      <c r="I11" s="243"/>
      <c r="J11" s="254" t="s">
        <v>117</v>
      </c>
      <c r="K11" s="321">
        <v>2085</v>
      </c>
      <c r="L11" s="254" t="s">
        <v>92</v>
      </c>
      <c r="M11" s="321" t="s">
        <v>2882</v>
      </c>
      <c r="N11" s="261"/>
      <c r="O11" s="261"/>
      <c r="P11" s="261"/>
      <c r="Q11" s="261"/>
      <c r="R11" s="261"/>
      <c r="S11" s="261"/>
      <c r="T11" s="261"/>
      <c r="U11" s="261"/>
      <c r="V11" s="261">
        <v>18910</v>
      </c>
      <c r="W11" s="318"/>
      <c r="X11" s="318"/>
      <c r="Y11" s="318">
        <v>18910</v>
      </c>
      <c r="Z11" s="318"/>
      <c r="AA11" s="318"/>
      <c r="AB11" s="324">
        <v>18910</v>
      </c>
      <c r="AC11" s="318"/>
      <c r="AD11" s="318"/>
      <c r="AE11" s="318">
        <v>18910</v>
      </c>
      <c r="AF11" s="318"/>
      <c r="AG11" s="318"/>
      <c r="AH11" s="318">
        <v>18910</v>
      </c>
      <c r="AI11" s="241" t="s">
        <v>1235</v>
      </c>
    </row>
    <row r="12" spans="1:35">
      <c r="A12" s="241" t="s">
        <v>2983</v>
      </c>
      <c r="B12" s="242">
        <v>300</v>
      </c>
      <c r="C12" s="241" t="s">
        <v>290</v>
      </c>
      <c r="D12" s="243">
        <v>10</v>
      </c>
      <c r="E12" s="241" t="s">
        <v>1796</v>
      </c>
      <c r="F12" s="243" t="s">
        <v>1796</v>
      </c>
      <c r="H12" s="243" t="s">
        <v>148</v>
      </c>
      <c r="I12" s="243"/>
      <c r="J12" s="254" t="s">
        <v>117</v>
      </c>
      <c r="K12" s="321">
        <v>2085</v>
      </c>
      <c r="L12" s="254" t="s">
        <v>2809</v>
      </c>
      <c r="M12" s="321" t="s">
        <v>2810</v>
      </c>
      <c r="N12" s="261"/>
      <c r="O12" s="261"/>
      <c r="P12" s="261"/>
      <c r="Q12" s="261"/>
      <c r="R12" s="261"/>
      <c r="S12" s="261"/>
      <c r="T12" s="261"/>
      <c r="U12" s="261"/>
      <c r="V12" s="261"/>
      <c r="W12" s="318"/>
      <c r="X12" s="324">
        <v>22019</v>
      </c>
      <c r="Y12" s="318"/>
      <c r="Z12" s="318"/>
      <c r="AA12" s="318"/>
      <c r="AB12" s="318"/>
      <c r="AC12" s="318"/>
      <c r="AD12" s="318"/>
      <c r="AE12" s="318"/>
      <c r="AF12" s="318"/>
      <c r="AG12" s="318"/>
      <c r="AH12" s="318"/>
      <c r="AI12" s="241" t="s">
        <v>71</v>
      </c>
    </row>
    <row r="13" spans="1:35">
      <c r="A13" s="241" t="s">
        <v>2983</v>
      </c>
      <c r="B13" s="242">
        <v>300</v>
      </c>
      <c r="C13" s="241" t="s">
        <v>290</v>
      </c>
      <c r="D13" s="243">
        <v>10</v>
      </c>
      <c r="E13" s="241" t="s">
        <v>1796</v>
      </c>
      <c r="F13" s="243" t="s">
        <v>1796</v>
      </c>
      <c r="H13" s="243" t="s">
        <v>148</v>
      </c>
      <c r="I13" s="243"/>
      <c r="J13" s="254" t="s">
        <v>117</v>
      </c>
      <c r="K13" s="321">
        <v>2085</v>
      </c>
      <c r="L13" s="254" t="s">
        <v>2857</v>
      </c>
      <c r="M13" s="321" t="s">
        <v>2858</v>
      </c>
      <c r="N13" s="261"/>
      <c r="O13" s="261"/>
      <c r="P13" s="261"/>
      <c r="Q13" s="261"/>
      <c r="R13" s="261"/>
      <c r="S13" s="261"/>
      <c r="T13" s="261"/>
      <c r="U13" s="261"/>
      <c r="V13" s="261"/>
      <c r="W13" s="318">
        <v>16649</v>
      </c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241" t="s">
        <v>135</v>
      </c>
    </row>
    <row r="14" spans="1:35">
      <c r="A14" s="241" t="s">
        <v>2983</v>
      </c>
      <c r="B14" s="242">
        <v>300</v>
      </c>
      <c r="C14" s="241" t="s">
        <v>290</v>
      </c>
      <c r="D14" s="243">
        <v>10</v>
      </c>
      <c r="E14" s="241" t="s">
        <v>1796</v>
      </c>
      <c r="F14" s="243" t="s">
        <v>1796</v>
      </c>
      <c r="H14" s="243" t="s">
        <v>148</v>
      </c>
      <c r="I14" s="243"/>
      <c r="J14" s="254" t="s">
        <v>117</v>
      </c>
      <c r="K14" s="321">
        <v>2085</v>
      </c>
      <c r="L14" s="254" t="s">
        <v>2779</v>
      </c>
      <c r="M14" s="321" t="s">
        <v>2780</v>
      </c>
      <c r="N14" s="261"/>
      <c r="O14" s="261"/>
      <c r="P14" s="261"/>
      <c r="Q14" s="261"/>
      <c r="R14" s="261"/>
      <c r="S14" s="261"/>
      <c r="T14" s="261"/>
      <c r="U14" s="261"/>
      <c r="V14" s="261"/>
      <c r="W14" s="318">
        <v>19000</v>
      </c>
      <c r="X14" s="318"/>
      <c r="Y14" s="318"/>
      <c r="Z14" s="318"/>
      <c r="AA14" s="318"/>
      <c r="AB14" s="318"/>
      <c r="AC14" s="318"/>
      <c r="AD14" s="318"/>
      <c r="AE14" s="318"/>
      <c r="AF14" s="318"/>
      <c r="AG14" s="318"/>
      <c r="AH14" s="318"/>
      <c r="AI14" s="241" t="s">
        <v>135</v>
      </c>
    </row>
    <row r="15" spans="1:35">
      <c r="A15" s="241" t="s">
        <v>2983</v>
      </c>
      <c r="B15" s="242">
        <v>300</v>
      </c>
      <c r="C15" s="241" t="s">
        <v>290</v>
      </c>
      <c r="D15" s="243">
        <v>10</v>
      </c>
      <c r="E15" s="241" t="s">
        <v>1796</v>
      </c>
      <c r="F15" s="243" t="s">
        <v>1796</v>
      </c>
      <c r="H15" s="243" t="s">
        <v>148</v>
      </c>
      <c r="I15" s="243"/>
      <c r="J15" s="241" t="s">
        <v>114</v>
      </c>
      <c r="K15" s="243">
        <v>1354</v>
      </c>
      <c r="L15" s="241" t="s">
        <v>2791</v>
      </c>
      <c r="M15" s="243" t="s">
        <v>2792</v>
      </c>
      <c r="U15" s="318"/>
      <c r="V15" s="318"/>
      <c r="W15" s="318"/>
      <c r="X15" s="318"/>
      <c r="Y15" s="318"/>
      <c r="Z15" s="318"/>
      <c r="AA15" s="318"/>
      <c r="AB15" s="318"/>
      <c r="AC15" s="318"/>
      <c r="AD15" s="318"/>
      <c r="AE15" s="318"/>
      <c r="AF15" s="318"/>
      <c r="AG15" s="318"/>
      <c r="AH15" s="318"/>
      <c r="AI15" s="241" t="s">
        <v>107</v>
      </c>
    </row>
    <row r="16" spans="1:35">
      <c r="A16" s="241" t="s">
        <v>2983</v>
      </c>
      <c r="B16" s="242">
        <v>300</v>
      </c>
      <c r="C16" s="241" t="s">
        <v>290</v>
      </c>
      <c r="D16" s="243">
        <v>10</v>
      </c>
      <c r="E16" s="241" t="s">
        <v>1796</v>
      </c>
      <c r="F16" s="243" t="s">
        <v>1796</v>
      </c>
      <c r="H16" s="243" t="s">
        <v>148</v>
      </c>
      <c r="I16" s="243"/>
      <c r="J16" s="241" t="s">
        <v>114</v>
      </c>
      <c r="K16" s="243">
        <v>1354</v>
      </c>
      <c r="L16" s="241" t="s">
        <v>2809</v>
      </c>
      <c r="M16" s="243" t="s">
        <v>2810</v>
      </c>
      <c r="U16" s="318"/>
      <c r="V16" s="318"/>
      <c r="W16" s="318"/>
      <c r="X16" s="318"/>
      <c r="Y16" s="318"/>
      <c r="Z16" s="318"/>
      <c r="AA16" s="318"/>
      <c r="AB16" s="318"/>
      <c r="AC16" s="318"/>
      <c r="AD16" s="318"/>
      <c r="AE16" s="318"/>
      <c r="AF16" s="318"/>
      <c r="AG16" s="318"/>
      <c r="AH16" s="318"/>
      <c r="AI16" s="241" t="s">
        <v>3009</v>
      </c>
    </row>
    <row r="17" spans="1:35">
      <c r="A17" s="241" t="s">
        <v>2983</v>
      </c>
      <c r="B17" s="242">
        <v>300</v>
      </c>
      <c r="C17" s="241" t="s">
        <v>290</v>
      </c>
      <c r="D17" s="243">
        <v>10</v>
      </c>
      <c r="E17" s="241" t="s">
        <v>1796</v>
      </c>
      <c r="F17" s="243" t="s">
        <v>1796</v>
      </c>
      <c r="H17" s="243" t="s">
        <v>148</v>
      </c>
      <c r="I17" s="243"/>
      <c r="J17" s="241" t="s">
        <v>114</v>
      </c>
      <c r="K17" s="243">
        <v>1354</v>
      </c>
      <c r="L17" s="241" t="s">
        <v>2857</v>
      </c>
      <c r="M17" s="243" t="s">
        <v>2858</v>
      </c>
      <c r="U17" s="318"/>
      <c r="V17" s="318"/>
      <c r="W17" s="318"/>
      <c r="X17" s="324"/>
      <c r="Y17" s="318"/>
      <c r="Z17" s="318"/>
      <c r="AA17" s="318"/>
      <c r="AB17" s="318"/>
      <c r="AC17" s="318"/>
      <c r="AD17" s="318"/>
      <c r="AE17" s="318"/>
      <c r="AF17" s="318"/>
      <c r="AG17" s="318"/>
      <c r="AH17" s="318"/>
      <c r="AI17" s="241" t="s">
        <v>2998</v>
      </c>
    </row>
    <row r="18" spans="1:35">
      <c r="A18" s="241" t="s">
        <v>2983</v>
      </c>
      <c r="B18" s="242">
        <v>300</v>
      </c>
      <c r="C18" s="241" t="s">
        <v>290</v>
      </c>
      <c r="D18" s="243">
        <v>10</v>
      </c>
      <c r="E18" s="241" t="s">
        <v>1796</v>
      </c>
      <c r="F18" s="243" t="s">
        <v>1796</v>
      </c>
      <c r="H18" s="243" t="s">
        <v>148</v>
      </c>
      <c r="I18" s="243"/>
      <c r="J18" s="241" t="s">
        <v>114</v>
      </c>
      <c r="K18" s="243">
        <v>1354</v>
      </c>
      <c r="L18" s="241" t="s">
        <v>92</v>
      </c>
      <c r="M18" s="243" t="s">
        <v>2882</v>
      </c>
      <c r="U18" s="319"/>
      <c r="V18" s="318"/>
      <c r="W18" s="318"/>
      <c r="X18" s="324">
        <v>22000</v>
      </c>
      <c r="Y18" s="318"/>
      <c r="Z18" s="318"/>
      <c r="AA18" s="318"/>
      <c r="AB18" s="318"/>
      <c r="AC18" s="318"/>
      <c r="AD18" s="318"/>
      <c r="AE18" s="318"/>
      <c r="AF18" s="318"/>
      <c r="AG18" s="318"/>
      <c r="AH18" s="318"/>
      <c r="AI18" s="241" t="s">
        <v>1235</v>
      </c>
    </row>
    <row r="19" spans="1:35">
      <c r="A19" s="241" t="s">
        <v>2983</v>
      </c>
      <c r="B19" s="242">
        <v>300</v>
      </c>
      <c r="C19" s="241" t="s">
        <v>290</v>
      </c>
      <c r="D19" s="243">
        <v>10</v>
      </c>
      <c r="E19" s="241" t="s">
        <v>1796</v>
      </c>
      <c r="F19" s="243" t="s">
        <v>1796</v>
      </c>
      <c r="H19" s="243" t="s">
        <v>148</v>
      </c>
      <c r="I19" s="243"/>
      <c r="J19" s="241" t="s">
        <v>114</v>
      </c>
      <c r="K19" s="243">
        <v>1354</v>
      </c>
      <c r="L19" s="241" t="s">
        <v>2809</v>
      </c>
      <c r="M19" s="243" t="s">
        <v>2810</v>
      </c>
      <c r="U19" s="318"/>
      <c r="V19" s="318"/>
      <c r="W19" s="318"/>
      <c r="X19" s="318"/>
      <c r="Y19" s="318"/>
      <c r="Z19" s="318"/>
      <c r="AA19" s="318"/>
      <c r="AB19" s="318"/>
      <c r="AC19" s="318"/>
      <c r="AD19" s="318"/>
      <c r="AE19" s="318"/>
      <c r="AF19" s="318"/>
      <c r="AG19" s="318"/>
      <c r="AH19" s="318"/>
      <c r="AI19" s="241" t="s">
        <v>71</v>
      </c>
    </row>
    <row r="20" spans="1:35">
      <c r="A20" s="241" t="s">
        <v>2983</v>
      </c>
      <c r="B20" s="242">
        <v>300</v>
      </c>
      <c r="C20" s="241" t="s">
        <v>290</v>
      </c>
      <c r="D20" s="243">
        <v>10</v>
      </c>
      <c r="E20" s="241" t="s">
        <v>1796</v>
      </c>
      <c r="F20" s="243" t="s">
        <v>1796</v>
      </c>
      <c r="H20" s="243" t="s">
        <v>148</v>
      </c>
      <c r="I20" s="243"/>
      <c r="J20" s="241" t="s">
        <v>114</v>
      </c>
      <c r="K20" s="243">
        <v>1354</v>
      </c>
      <c r="L20" s="241" t="s">
        <v>2857</v>
      </c>
      <c r="M20" s="243" t="s">
        <v>2858</v>
      </c>
      <c r="U20" s="318"/>
      <c r="V20" s="318"/>
      <c r="W20" s="318">
        <v>13900</v>
      </c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318"/>
      <c r="AI20" s="241" t="s">
        <v>135</v>
      </c>
    </row>
    <row r="21" spans="1:35">
      <c r="A21" s="241" t="s">
        <v>2983</v>
      </c>
      <c r="B21" s="242">
        <v>300</v>
      </c>
      <c r="C21" s="241" t="s">
        <v>290</v>
      </c>
      <c r="D21" s="243">
        <v>10</v>
      </c>
      <c r="E21" s="241" t="s">
        <v>1796</v>
      </c>
      <c r="F21" s="243" t="s">
        <v>1796</v>
      </c>
      <c r="H21" s="243" t="s">
        <v>148</v>
      </c>
      <c r="I21" s="243"/>
      <c r="J21" s="241" t="s">
        <v>146</v>
      </c>
      <c r="K21" s="243">
        <v>2096</v>
      </c>
      <c r="L21" s="241" t="s">
        <v>2791</v>
      </c>
      <c r="M21" s="243" t="s">
        <v>2792</v>
      </c>
      <c r="W21" s="261"/>
      <c r="X21" s="261"/>
      <c r="Y21" s="261"/>
      <c r="Z21" s="261"/>
      <c r="AA21" s="261"/>
      <c r="AB21" s="261"/>
      <c r="AC21" s="261"/>
      <c r="AD21" s="261"/>
      <c r="AE21" s="261"/>
      <c r="AF21" s="261">
        <v>16238</v>
      </c>
      <c r="AG21" s="261"/>
      <c r="AH21" s="261"/>
      <c r="AI21" s="241" t="s">
        <v>107</v>
      </c>
    </row>
    <row r="22" spans="1:35">
      <c r="A22" s="241" t="s">
        <v>2983</v>
      </c>
      <c r="B22" s="242">
        <v>300</v>
      </c>
      <c r="C22" s="241" t="s">
        <v>290</v>
      </c>
      <c r="D22" s="243">
        <v>10</v>
      </c>
      <c r="E22" s="241" t="s">
        <v>1796</v>
      </c>
      <c r="F22" s="243" t="s">
        <v>1796</v>
      </c>
      <c r="H22" s="243" t="s">
        <v>148</v>
      </c>
      <c r="I22" s="243"/>
      <c r="J22" s="241" t="s">
        <v>146</v>
      </c>
      <c r="K22" s="243">
        <v>2096</v>
      </c>
      <c r="L22" s="241" t="s">
        <v>2809</v>
      </c>
      <c r="M22" s="243" t="s">
        <v>2810</v>
      </c>
      <c r="W22" s="261"/>
      <c r="X22" s="261"/>
      <c r="Y22" s="261"/>
      <c r="Z22" s="261"/>
      <c r="AA22" s="261"/>
      <c r="AB22" s="261"/>
      <c r="AC22" s="261"/>
      <c r="AD22" s="261"/>
      <c r="AE22" s="261">
        <v>46771</v>
      </c>
      <c r="AF22" s="261"/>
      <c r="AG22" s="261"/>
      <c r="AH22" s="261"/>
      <c r="AI22" s="241" t="s">
        <v>3009</v>
      </c>
    </row>
    <row r="23" spans="1:35">
      <c r="A23" s="241" t="s">
        <v>2983</v>
      </c>
      <c r="B23" s="242">
        <v>300</v>
      </c>
      <c r="C23" s="241" t="s">
        <v>290</v>
      </c>
      <c r="D23" s="243">
        <v>10</v>
      </c>
      <c r="E23" s="241" t="s">
        <v>1796</v>
      </c>
      <c r="F23" s="243" t="s">
        <v>1796</v>
      </c>
      <c r="H23" s="243" t="s">
        <v>148</v>
      </c>
      <c r="I23" s="243"/>
      <c r="J23" s="241" t="s">
        <v>146</v>
      </c>
      <c r="K23" s="243">
        <v>2096</v>
      </c>
      <c r="L23" s="241" t="s">
        <v>2857</v>
      </c>
      <c r="M23" s="243" t="s">
        <v>2858</v>
      </c>
      <c r="W23" s="261">
        <v>24002</v>
      </c>
      <c r="X23" s="261"/>
      <c r="Y23" s="261"/>
      <c r="Z23" s="261"/>
      <c r="AA23" s="261"/>
      <c r="AB23" s="261"/>
      <c r="AC23" s="261"/>
      <c r="AD23" s="261"/>
      <c r="AE23" s="261"/>
      <c r="AF23" s="261"/>
      <c r="AG23" s="261"/>
      <c r="AH23" s="261"/>
      <c r="AI23" s="241" t="s">
        <v>2998</v>
      </c>
    </row>
    <row r="24" spans="1:35">
      <c r="A24" s="241" t="s">
        <v>2983</v>
      </c>
      <c r="B24" s="242">
        <v>300</v>
      </c>
      <c r="C24" s="241" t="s">
        <v>290</v>
      </c>
      <c r="D24" s="243">
        <v>10</v>
      </c>
      <c r="E24" s="241" t="s">
        <v>1796</v>
      </c>
      <c r="F24" s="243" t="s">
        <v>1796</v>
      </c>
      <c r="H24" s="243" t="s">
        <v>148</v>
      </c>
      <c r="I24" s="243"/>
      <c r="J24" s="241" t="s">
        <v>146</v>
      </c>
      <c r="K24" s="243">
        <v>2096</v>
      </c>
      <c r="L24" s="241" t="s">
        <v>92</v>
      </c>
      <c r="M24" s="243" t="s">
        <v>2882</v>
      </c>
      <c r="U24" s="244">
        <v>4910</v>
      </c>
      <c r="W24" s="261">
        <v>18910</v>
      </c>
      <c r="X24" s="261"/>
      <c r="Y24" s="261">
        <v>18910</v>
      </c>
      <c r="Z24" s="261"/>
      <c r="AA24" s="261">
        <v>18910</v>
      </c>
      <c r="AB24" s="261"/>
      <c r="AC24" s="261"/>
      <c r="AD24" s="261">
        <v>18910</v>
      </c>
      <c r="AE24" s="261"/>
      <c r="AF24" s="261"/>
      <c r="AG24" s="261">
        <v>4910</v>
      </c>
      <c r="AH24" s="261"/>
      <c r="AI24" s="241" t="s">
        <v>1235</v>
      </c>
    </row>
    <row r="25" spans="1:35">
      <c r="A25" s="241" t="s">
        <v>2983</v>
      </c>
      <c r="B25" s="242">
        <v>300</v>
      </c>
      <c r="C25" s="241" t="s">
        <v>290</v>
      </c>
      <c r="D25" s="243">
        <v>10</v>
      </c>
      <c r="E25" s="241" t="s">
        <v>1796</v>
      </c>
      <c r="F25" s="243" t="s">
        <v>1796</v>
      </c>
      <c r="H25" s="243" t="s">
        <v>148</v>
      </c>
      <c r="I25" s="243"/>
      <c r="J25" s="241" t="s">
        <v>146</v>
      </c>
      <c r="K25" s="243">
        <v>2096</v>
      </c>
      <c r="L25" s="241" t="s">
        <v>2809</v>
      </c>
      <c r="M25" s="243" t="s">
        <v>2810</v>
      </c>
      <c r="W25" s="261"/>
      <c r="X25" s="261"/>
      <c r="Y25" s="261"/>
      <c r="Z25" s="261"/>
      <c r="AA25" s="261"/>
      <c r="AB25" s="261"/>
      <c r="AC25" s="261"/>
      <c r="AD25" s="261"/>
      <c r="AE25" s="261">
        <v>22019</v>
      </c>
      <c r="AF25" s="261"/>
      <c r="AG25" s="261"/>
      <c r="AH25" s="261"/>
      <c r="AI25" s="241" t="s">
        <v>71</v>
      </c>
    </row>
    <row r="26" spans="1:35">
      <c r="A26" s="241" t="s">
        <v>2983</v>
      </c>
      <c r="B26" s="242">
        <v>300</v>
      </c>
      <c r="C26" s="241" t="s">
        <v>290</v>
      </c>
      <c r="D26" s="243">
        <v>10</v>
      </c>
      <c r="E26" s="241" t="s">
        <v>1796</v>
      </c>
      <c r="F26" s="243" t="s">
        <v>1796</v>
      </c>
      <c r="H26" s="243" t="s">
        <v>148</v>
      </c>
      <c r="I26" s="243"/>
      <c r="J26" s="241" t="s">
        <v>146</v>
      </c>
      <c r="K26" s="243">
        <v>2096</v>
      </c>
      <c r="L26" s="320" t="s">
        <v>2857</v>
      </c>
      <c r="M26" s="243" t="s">
        <v>2858</v>
      </c>
      <c r="W26" s="261"/>
      <c r="X26" s="261"/>
      <c r="Y26" s="261"/>
      <c r="Z26" s="261"/>
      <c r="AA26" s="261"/>
      <c r="AB26" s="326">
        <v>16649</v>
      </c>
      <c r="AC26" s="261"/>
      <c r="AD26" s="261"/>
      <c r="AE26" s="261"/>
      <c r="AF26" s="261"/>
      <c r="AG26" s="261"/>
      <c r="AH26" s="261"/>
      <c r="AI26" s="241" t="s">
        <v>135</v>
      </c>
    </row>
    <row r="27" spans="1:35">
      <c r="A27" s="241" t="s">
        <v>2983</v>
      </c>
      <c r="B27" s="242">
        <v>300</v>
      </c>
      <c r="C27" s="241" t="s">
        <v>290</v>
      </c>
      <c r="D27" s="243">
        <v>10</v>
      </c>
      <c r="E27" s="241" t="s">
        <v>1796</v>
      </c>
      <c r="F27" s="243" t="s">
        <v>1796</v>
      </c>
      <c r="H27" s="243" t="s">
        <v>148</v>
      </c>
      <c r="I27" s="243"/>
      <c r="J27" s="241" t="s">
        <v>146</v>
      </c>
      <c r="K27" s="243">
        <v>2096</v>
      </c>
      <c r="L27" s="320" t="s">
        <v>2857</v>
      </c>
      <c r="M27" s="243" t="s">
        <v>2858</v>
      </c>
      <c r="U27" s="244">
        <v>22000</v>
      </c>
      <c r="W27" s="261"/>
      <c r="X27" s="261"/>
      <c r="Y27" s="261"/>
      <c r="Z27" s="261"/>
      <c r="AA27" s="261"/>
      <c r="AB27" s="261"/>
      <c r="AC27" s="261"/>
      <c r="AD27" s="261"/>
      <c r="AE27" s="261"/>
      <c r="AF27" s="261"/>
      <c r="AG27" s="261">
        <v>22000</v>
      </c>
      <c r="AH27" s="261"/>
      <c r="AI27" s="241" t="s">
        <v>2999</v>
      </c>
    </row>
    <row r="28" spans="1:35">
      <c r="A28" s="241" t="s">
        <v>2983</v>
      </c>
      <c r="B28" s="242">
        <v>300</v>
      </c>
      <c r="C28" s="241" t="s">
        <v>290</v>
      </c>
      <c r="D28" s="243">
        <v>10</v>
      </c>
      <c r="E28" s="241" t="s">
        <v>1796</v>
      </c>
      <c r="F28" s="243" t="s">
        <v>1796</v>
      </c>
      <c r="H28" s="243" t="s">
        <v>148</v>
      </c>
      <c r="I28" s="243"/>
      <c r="J28" s="241" t="s">
        <v>235</v>
      </c>
      <c r="K28" s="243">
        <v>1357</v>
      </c>
      <c r="L28" s="241" t="s">
        <v>2791</v>
      </c>
      <c r="M28" s="243" t="s">
        <v>2792</v>
      </c>
      <c r="AB28" s="325">
        <v>12299</v>
      </c>
      <c r="AI28" s="241" t="s">
        <v>107</v>
      </c>
    </row>
    <row r="29" spans="1:35">
      <c r="A29" s="241" t="s">
        <v>2983</v>
      </c>
      <c r="B29" s="242">
        <v>300</v>
      </c>
      <c r="C29" s="241" t="s">
        <v>290</v>
      </c>
      <c r="D29" s="243">
        <v>10</v>
      </c>
      <c r="E29" s="241" t="s">
        <v>1796</v>
      </c>
      <c r="F29" s="243" t="s">
        <v>1796</v>
      </c>
      <c r="H29" s="243" t="s">
        <v>148</v>
      </c>
      <c r="I29" s="243"/>
      <c r="J29" s="241" t="s">
        <v>235</v>
      </c>
      <c r="K29" s="243">
        <v>1357</v>
      </c>
      <c r="L29" s="241" t="s">
        <v>2809</v>
      </c>
      <c r="M29" s="243" t="s">
        <v>2810</v>
      </c>
      <c r="AF29" s="244">
        <v>25420</v>
      </c>
      <c r="AI29" s="241" t="s">
        <v>3009</v>
      </c>
    </row>
    <row r="30" spans="1:35">
      <c r="A30" s="241" t="s">
        <v>2983</v>
      </c>
      <c r="B30" s="242">
        <v>300</v>
      </c>
      <c r="C30" s="241" t="s">
        <v>290</v>
      </c>
      <c r="D30" s="243">
        <v>10</v>
      </c>
      <c r="E30" s="241" t="s">
        <v>1796</v>
      </c>
      <c r="F30" s="243" t="s">
        <v>1796</v>
      </c>
      <c r="H30" s="243" t="s">
        <v>148</v>
      </c>
      <c r="I30" s="243"/>
      <c r="J30" s="241" t="s">
        <v>235</v>
      </c>
      <c r="K30" s="243">
        <v>1357</v>
      </c>
      <c r="L30" s="241" t="s">
        <v>2857</v>
      </c>
      <c r="M30" s="243" t="s">
        <v>2858</v>
      </c>
      <c r="AC30" s="244">
        <v>18226</v>
      </c>
      <c r="AI30" s="241" t="s">
        <v>2998</v>
      </c>
    </row>
    <row r="31" spans="1:35">
      <c r="A31" s="241" t="s">
        <v>2983</v>
      </c>
      <c r="B31" s="242">
        <v>300</v>
      </c>
      <c r="C31" s="241" t="s">
        <v>290</v>
      </c>
      <c r="D31" s="243">
        <v>10</v>
      </c>
      <c r="E31" s="241" t="s">
        <v>1796</v>
      </c>
      <c r="F31" s="243" t="s">
        <v>1796</v>
      </c>
      <c r="H31" s="243" t="s">
        <v>148</v>
      </c>
      <c r="I31" s="243"/>
      <c r="J31" s="241" t="s">
        <v>235</v>
      </c>
      <c r="K31" s="243">
        <v>1357</v>
      </c>
      <c r="L31" s="241" t="s">
        <v>92</v>
      </c>
      <c r="M31" s="243" t="s">
        <v>2882</v>
      </c>
      <c r="W31" s="244">
        <f>48683/4</f>
        <v>12170.75</v>
      </c>
      <c r="Y31" s="244">
        <f>48683/4</f>
        <v>12170.75</v>
      </c>
      <c r="AB31" s="325">
        <f>48683/4</f>
        <v>12170.75</v>
      </c>
      <c r="AE31" s="244">
        <f>48683/4</f>
        <v>12170.75</v>
      </c>
      <c r="AI31" s="241" t="s">
        <v>1235</v>
      </c>
    </row>
    <row r="32" spans="1:35">
      <c r="A32" s="241" t="s">
        <v>2983</v>
      </c>
      <c r="B32" s="242">
        <v>300</v>
      </c>
      <c r="C32" s="241" t="s">
        <v>290</v>
      </c>
      <c r="D32" s="243">
        <v>10</v>
      </c>
      <c r="E32" s="241" t="s">
        <v>1796</v>
      </c>
      <c r="F32" s="243" t="s">
        <v>1796</v>
      </c>
      <c r="H32" s="243" t="s">
        <v>148</v>
      </c>
      <c r="I32" s="243"/>
      <c r="J32" s="241" t="s">
        <v>235</v>
      </c>
      <c r="K32" s="243">
        <v>1357</v>
      </c>
      <c r="L32" s="241" t="s">
        <v>2809</v>
      </c>
      <c r="M32" s="243" t="s">
        <v>2810</v>
      </c>
      <c r="AE32" s="244">
        <v>19583</v>
      </c>
      <c r="AI32" s="241" t="s">
        <v>71</v>
      </c>
    </row>
    <row r="33" spans="1:35">
      <c r="A33" s="241" t="s">
        <v>2983</v>
      </c>
      <c r="B33" s="242">
        <v>300</v>
      </c>
      <c r="C33" s="241" t="s">
        <v>290</v>
      </c>
      <c r="D33" s="243">
        <v>10</v>
      </c>
      <c r="E33" s="241" t="s">
        <v>1796</v>
      </c>
      <c r="F33" s="243" t="s">
        <v>1796</v>
      </c>
      <c r="H33" s="243" t="s">
        <v>148</v>
      </c>
      <c r="I33" s="243"/>
      <c r="J33" s="241" t="s">
        <v>235</v>
      </c>
      <c r="K33" s="243">
        <v>1357</v>
      </c>
      <c r="L33" s="241" t="s">
        <v>2857</v>
      </c>
      <c r="M33" s="243" t="s">
        <v>2858</v>
      </c>
      <c r="W33" s="244">
        <v>15000</v>
      </c>
      <c r="X33" s="325">
        <v>35000</v>
      </c>
      <c r="AF33" s="244">
        <v>23290</v>
      </c>
      <c r="AI33" s="241" t="s">
        <v>135</v>
      </c>
    </row>
    <row r="34" spans="1:35">
      <c r="A34" s="241" t="s">
        <v>2983</v>
      </c>
      <c r="B34" s="242">
        <v>300</v>
      </c>
      <c r="C34" s="241" t="s">
        <v>290</v>
      </c>
      <c r="D34" s="243">
        <v>10</v>
      </c>
      <c r="E34" s="241" t="s">
        <v>1796</v>
      </c>
      <c r="F34" s="243" t="s">
        <v>1796</v>
      </c>
      <c r="H34" s="243" t="s">
        <v>148</v>
      </c>
      <c r="I34" s="243"/>
      <c r="J34" s="241" t="s">
        <v>130</v>
      </c>
      <c r="K34" s="243">
        <v>2093</v>
      </c>
      <c r="L34" s="241" t="s">
        <v>2791</v>
      </c>
      <c r="M34" s="243" t="s">
        <v>2792</v>
      </c>
      <c r="AD34" s="244">
        <v>16238</v>
      </c>
      <c r="AI34" s="241" t="s">
        <v>107</v>
      </c>
    </row>
    <row r="35" spans="1:35">
      <c r="A35" s="241" t="s">
        <v>2983</v>
      </c>
      <c r="B35" s="242">
        <v>300</v>
      </c>
      <c r="C35" s="241" t="s">
        <v>290</v>
      </c>
      <c r="D35" s="243">
        <v>10</v>
      </c>
      <c r="E35" s="241" t="s">
        <v>1796</v>
      </c>
      <c r="F35" s="243" t="s">
        <v>1796</v>
      </c>
      <c r="H35" s="243" t="s">
        <v>148</v>
      </c>
      <c r="I35" s="243"/>
      <c r="J35" s="241" t="s">
        <v>130</v>
      </c>
      <c r="K35" s="243">
        <v>2093</v>
      </c>
      <c r="L35" s="241" t="s">
        <v>2809</v>
      </c>
      <c r="M35" s="243" t="s">
        <v>2810</v>
      </c>
      <c r="AD35" s="244">
        <v>46771</v>
      </c>
      <c r="AI35" s="241" t="s">
        <v>3009</v>
      </c>
    </row>
    <row r="36" spans="1:35">
      <c r="A36" s="241" t="s">
        <v>2983</v>
      </c>
      <c r="B36" s="242">
        <v>300</v>
      </c>
      <c r="C36" s="241" t="s">
        <v>290</v>
      </c>
      <c r="D36" s="243">
        <v>10</v>
      </c>
      <c r="E36" s="241" t="s">
        <v>1796</v>
      </c>
      <c r="F36" s="243" t="s">
        <v>1796</v>
      </c>
      <c r="H36" s="243" t="s">
        <v>148</v>
      </c>
      <c r="I36" s="243"/>
      <c r="J36" s="241" t="s">
        <v>130</v>
      </c>
      <c r="K36" s="243">
        <v>2093</v>
      </c>
      <c r="L36" s="241" t="s">
        <v>2857</v>
      </c>
      <c r="M36" s="243" t="s">
        <v>2858</v>
      </c>
      <c r="AF36" s="244">
        <v>20871</v>
      </c>
      <c r="AI36" s="241" t="s">
        <v>2998</v>
      </c>
    </row>
    <row r="37" spans="1:35">
      <c r="A37" s="241" t="s">
        <v>2983</v>
      </c>
      <c r="B37" s="242">
        <v>300</v>
      </c>
      <c r="C37" s="241" t="s">
        <v>290</v>
      </c>
      <c r="D37" s="243">
        <v>10</v>
      </c>
      <c r="E37" s="241" t="s">
        <v>1796</v>
      </c>
      <c r="F37" s="243" t="s">
        <v>1796</v>
      </c>
      <c r="H37" s="243" t="s">
        <v>148</v>
      </c>
      <c r="I37" s="243"/>
      <c r="J37" s="241" t="s">
        <v>130</v>
      </c>
      <c r="K37" s="243">
        <v>2093</v>
      </c>
      <c r="L37" s="241" t="s">
        <v>92</v>
      </c>
      <c r="M37" s="243" t="s">
        <v>2882</v>
      </c>
      <c r="W37" s="244">
        <f>18910-12400</f>
        <v>6510</v>
      </c>
      <c r="Z37" s="244">
        <v>18910</v>
      </c>
      <c r="AC37" s="244">
        <v>18910</v>
      </c>
      <c r="AF37" s="244">
        <v>18910</v>
      </c>
      <c r="AI37" s="241" t="s">
        <v>1235</v>
      </c>
    </row>
    <row r="38" spans="1:35">
      <c r="A38" s="241" t="s">
        <v>2983</v>
      </c>
      <c r="B38" s="242">
        <v>300</v>
      </c>
      <c r="C38" s="241" t="s">
        <v>290</v>
      </c>
      <c r="D38" s="243">
        <v>10</v>
      </c>
      <c r="E38" s="241" t="s">
        <v>1796</v>
      </c>
      <c r="F38" s="243" t="s">
        <v>1796</v>
      </c>
      <c r="H38" s="243" t="s">
        <v>148</v>
      </c>
      <c r="I38" s="243"/>
      <c r="J38" s="241" t="s">
        <v>130</v>
      </c>
      <c r="K38" s="243">
        <v>2093</v>
      </c>
      <c r="L38" s="241" t="s">
        <v>2809</v>
      </c>
      <c r="M38" s="243" t="s">
        <v>2810</v>
      </c>
      <c r="X38" s="325">
        <v>22019</v>
      </c>
      <c r="AI38" s="241" t="s">
        <v>71</v>
      </c>
    </row>
    <row r="39" spans="1:35">
      <c r="A39" s="241" t="s">
        <v>2983</v>
      </c>
      <c r="B39" s="242">
        <v>300</v>
      </c>
      <c r="C39" s="241" t="s">
        <v>290</v>
      </c>
      <c r="D39" s="243">
        <v>10</v>
      </c>
      <c r="E39" s="241" t="s">
        <v>1796</v>
      </c>
      <c r="F39" s="243" t="s">
        <v>1796</v>
      </c>
      <c r="H39" s="243" t="s">
        <v>148</v>
      </c>
      <c r="I39" s="243"/>
      <c r="J39" s="241" t="s">
        <v>130</v>
      </c>
      <c r="K39" s="243">
        <v>2093</v>
      </c>
      <c r="L39" s="241" t="s">
        <v>2857</v>
      </c>
      <c r="M39" s="243" t="s">
        <v>2858</v>
      </c>
      <c r="AD39" s="244">
        <v>16649</v>
      </c>
      <c r="AI39" s="241" t="s">
        <v>135</v>
      </c>
    </row>
    <row r="40" spans="1:35">
      <c r="A40" s="241" t="s">
        <v>2983</v>
      </c>
      <c r="B40" s="242">
        <v>300</v>
      </c>
      <c r="C40" s="241" t="s">
        <v>290</v>
      </c>
      <c r="D40" s="243">
        <v>10</v>
      </c>
      <c r="E40" s="241" t="s">
        <v>1796</v>
      </c>
      <c r="F40" s="243" t="s">
        <v>1796</v>
      </c>
      <c r="H40" s="243" t="s">
        <v>148</v>
      </c>
      <c r="I40" s="243"/>
      <c r="J40" s="241" t="s">
        <v>122</v>
      </c>
      <c r="K40" s="243">
        <v>2092</v>
      </c>
      <c r="L40" s="241" t="s">
        <v>2791</v>
      </c>
      <c r="M40" s="243" t="s">
        <v>2792</v>
      </c>
      <c r="U40" s="244">
        <v>7000</v>
      </c>
      <c r="V40" s="244">
        <v>9649</v>
      </c>
      <c r="AG40" s="244">
        <v>7000</v>
      </c>
      <c r="AH40" s="244">
        <v>9649</v>
      </c>
      <c r="AI40" s="241" t="s">
        <v>107</v>
      </c>
    </row>
    <row r="41" spans="1:35">
      <c r="A41" s="241" t="s">
        <v>2983</v>
      </c>
      <c r="B41" s="242">
        <v>300</v>
      </c>
      <c r="C41" s="241" t="s">
        <v>290</v>
      </c>
      <c r="D41" s="243">
        <v>10</v>
      </c>
      <c r="E41" s="241" t="s">
        <v>1796</v>
      </c>
      <c r="F41" s="243" t="s">
        <v>1796</v>
      </c>
      <c r="H41" s="243" t="s">
        <v>148</v>
      </c>
      <c r="I41" s="243"/>
      <c r="J41" s="241" t="s">
        <v>122</v>
      </c>
      <c r="K41" s="243">
        <v>2092</v>
      </c>
      <c r="L41" s="241" t="s">
        <v>2809</v>
      </c>
      <c r="M41" s="243" t="s">
        <v>2810</v>
      </c>
      <c r="U41" s="318"/>
      <c r="V41" s="318">
        <v>23000</v>
      </c>
      <c r="W41" s="318"/>
      <c r="AG41" s="318"/>
      <c r="AH41" s="318">
        <v>23000</v>
      </c>
      <c r="AI41" s="241" t="s">
        <v>3009</v>
      </c>
    </row>
    <row r="42" spans="1:35">
      <c r="A42" s="241" t="s">
        <v>2983</v>
      </c>
      <c r="B42" s="242">
        <v>300</v>
      </c>
      <c r="C42" s="241" t="s">
        <v>290</v>
      </c>
      <c r="D42" s="243">
        <v>10</v>
      </c>
      <c r="E42" s="241" t="s">
        <v>1796</v>
      </c>
      <c r="F42" s="243" t="s">
        <v>1796</v>
      </c>
      <c r="H42" s="243" t="s">
        <v>148</v>
      </c>
      <c r="I42" s="243"/>
      <c r="J42" s="241" t="s">
        <v>122</v>
      </c>
      <c r="K42" s="243">
        <v>2092</v>
      </c>
      <c r="L42" s="241" t="s">
        <v>2857</v>
      </c>
      <c r="M42" s="243" t="s">
        <v>2858</v>
      </c>
      <c r="U42" s="244">
        <v>20871</v>
      </c>
      <c r="V42" s="318">
        <v>23000</v>
      </c>
      <c r="W42" s="261"/>
      <c r="AG42" s="244">
        <v>20871</v>
      </c>
      <c r="AH42" s="318">
        <v>23000</v>
      </c>
      <c r="AI42" s="241" t="s">
        <v>2998</v>
      </c>
    </row>
    <row r="43" spans="1:35">
      <c r="A43" s="241" t="s">
        <v>2983</v>
      </c>
      <c r="B43" s="242">
        <v>300</v>
      </c>
      <c r="C43" s="241" t="s">
        <v>290</v>
      </c>
      <c r="D43" s="243">
        <v>10</v>
      </c>
      <c r="E43" s="241" t="s">
        <v>1796</v>
      </c>
      <c r="F43" s="243" t="s">
        <v>1796</v>
      </c>
      <c r="H43" s="243" t="s">
        <v>148</v>
      </c>
      <c r="I43" s="243"/>
      <c r="J43" s="241" t="s">
        <v>122</v>
      </c>
      <c r="K43" s="243">
        <v>2092</v>
      </c>
      <c r="L43" s="241" t="s">
        <v>92</v>
      </c>
      <c r="M43" s="243" t="s">
        <v>2882</v>
      </c>
      <c r="V43" s="244">
        <v>18910</v>
      </c>
      <c r="Y43" s="244">
        <v>18910</v>
      </c>
      <c r="AB43" s="325">
        <v>18910</v>
      </c>
      <c r="AE43" s="244">
        <v>18910</v>
      </c>
      <c r="AH43" s="244">
        <v>18910</v>
      </c>
      <c r="AI43" s="241" t="s">
        <v>1235</v>
      </c>
    </row>
    <row r="44" spans="1:35">
      <c r="A44" s="241" t="s">
        <v>2983</v>
      </c>
      <c r="B44" s="242">
        <v>300</v>
      </c>
      <c r="C44" s="241" t="s">
        <v>290</v>
      </c>
      <c r="D44" s="243">
        <v>10</v>
      </c>
      <c r="E44" s="241" t="s">
        <v>1796</v>
      </c>
      <c r="F44" s="243" t="s">
        <v>1796</v>
      </c>
      <c r="H44" s="243" t="s">
        <v>148</v>
      </c>
      <c r="I44" s="243"/>
      <c r="J44" s="241" t="s">
        <v>122</v>
      </c>
      <c r="K44" s="243">
        <v>2092</v>
      </c>
      <c r="L44" s="241" t="s">
        <v>2809</v>
      </c>
      <c r="M44" s="243" t="s">
        <v>2810</v>
      </c>
      <c r="U44" s="244">
        <v>10000</v>
      </c>
      <c r="V44" s="244">
        <v>12019</v>
      </c>
      <c r="AG44" s="244">
        <v>10000</v>
      </c>
      <c r="AH44" s="244">
        <v>12019</v>
      </c>
      <c r="AI44" s="241" t="s">
        <v>71</v>
      </c>
    </row>
    <row r="45" spans="1:35">
      <c r="A45" s="241" t="s">
        <v>2983</v>
      </c>
      <c r="B45" s="242">
        <v>300</v>
      </c>
      <c r="C45" s="241" t="s">
        <v>290</v>
      </c>
      <c r="D45" s="243">
        <v>10</v>
      </c>
      <c r="E45" s="241" t="s">
        <v>1796</v>
      </c>
      <c r="F45" s="243" t="s">
        <v>1796</v>
      </c>
      <c r="H45" s="243" t="s">
        <v>148</v>
      </c>
      <c r="I45" s="243"/>
      <c r="J45" s="241" t="s">
        <v>122</v>
      </c>
      <c r="K45" s="243">
        <v>2092</v>
      </c>
      <c r="L45" s="241" t="s">
        <v>2857</v>
      </c>
      <c r="M45" s="243" t="s">
        <v>2858</v>
      </c>
      <c r="V45" s="244">
        <v>15000</v>
      </c>
      <c r="AI45" s="241" t="s">
        <v>3010</v>
      </c>
    </row>
    <row r="46" spans="1:35">
      <c r="A46" s="241" t="s">
        <v>2983</v>
      </c>
      <c r="B46" s="242">
        <v>300</v>
      </c>
      <c r="C46" s="241" t="s">
        <v>290</v>
      </c>
      <c r="D46" s="243">
        <v>10</v>
      </c>
      <c r="E46" s="241" t="s">
        <v>1796</v>
      </c>
      <c r="F46" s="243" t="s">
        <v>1796</v>
      </c>
      <c r="H46" s="243" t="s">
        <v>148</v>
      </c>
      <c r="I46" s="243"/>
      <c r="J46" s="241" t="s">
        <v>122</v>
      </c>
      <c r="K46" s="243">
        <v>2092</v>
      </c>
      <c r="L46" s="241" t="s">
        <v>2857</v>
      </c>
      <c r="M46" s="243" t="s">
        <v>2858</v>
      </c>
      <c r="Y46" s="244">
        <v>16649</v>
      </c>
      <c r="AI46" s="241" t="s">
        <v>135</v>
      </c>
    </row>
    <row r="47" spans="1:35">
      <c r="A47" s="241" t="s">
        <v>2983</v>
      </c>
      <c r="B47" s="242">
        <v>300</v>
      </c>
      <c r="C47" s="241" t="s">
        <v>290</v>
      </c>
      <c r="D47" s="243">
        <v>10</v>
      </c>
      <c r="E47" s="241" t="s">
        <v>1796</v>
      </c>
      <c r="F47" s="243" t="s">
        <v>1796</v>
      </c>
      <c r="H47" s="243" t="s">
        <v>148</v>
      </c>
      <c r="I47" s="243"/>
      <c r="J47" s="241" t="s">
        <v>137</v>
      </c>
      <c r="K47" s="243">
        <v>2094</v>
      </c>
      <c r="L47" s="241" t="s">
        <v>2791</v>
      </c>
      <c r="M47" s="243" t="s">
        <v>2792</v>
      </c>
      <c r="X47" s="325">
        <v>16238</v>
      </c>
      <c r="AI47" s="241" t="s">
        <v>107</v>
      </c>
    </row>
    <row r="48" spans="1:35">
      <c r="A48" s="241" t="s">
        <v>2983</v>
      </c>
      <c r="B48" s="242">
        <v>300</v>
      </c>
      <c r="C48" s="241" t="s">
        <v>290</v>
      </c>
      <c r="D48" s="243">
        <v>10</v>
      </c>
      <c r="E48" s="241" t="s">
        <v>1796</v>
      </c>
      <c r="F48" s="243" t="s">
        <v>1796</v>
      </c>
      <c r="H48" s="243" t="s">
        <v>148</v>
      </c>
      <c r="I48" s="243"/>
      <c r="J48" s="241" t="s">
        <v>137</v>
      </c>
      <c r="K48" s="243">
        <v>2094</v>
      </c>
      <c r="L48" s="241" t="s">
        <v>2809</v>
      </c>
      <c r="M48" s="243" t="s">
        <v>2810</v>
      </c>
      <c r="X48" s="325">
        <v>46771</v>
      </c>
      <c r="AI48" s="241" t="s">
        <v>3009</v>
      </c>
    </row>
    <row r="49" spans="1:35">
      <c r="A49" s="241" t="s">
        <v>2983</v>
      </c>
      <c r="B49" s="242">
        <v>300</v>
      </c>
      <c r="C49" s="241" t="s">
        <v>290</v>
      </c>
      <c r="D49" s="243">
        <v>10</v>
      </c>
      <c r="E49" s="241" t="s">
        <v>1796</v>
      </c>
      <c r="F49" s="243" t="s">
        <v>1796</v>
      </c>
      <c r="H49" s="243" t="s">
        <v>148</v>
      </c>
      <c r="I49" s="243"/>
      <c r="J49" s="241" t="s">
        <v>137</v>
      </c>
      <c r="K49" s="243">
        <v>2094</v>
      </c>
      <c r="L49" s="241" t="s">
        <v>2857</v>
      </c>
      <c r="M49" s="243" t="s">
        <v>2858</v>
      </c>
      <c r="W49" s="244">
        <v>24002</v>
      </c>
      <c r="AI49" s="241" t="s">
        <v>2998</v>
      </c>
    </row>
    <row r="50" spans="1:35">
      <c r="A50" s="241" t="s">
        <v>2983</v>
      </c>
      <c r="B50" s="242">
        <v>300</v>
      </c>
      <c r="C50" s="241" t="s">
        <v>290</v>
      </c>
      <c r="D50" s="243">
        <v>10</v>
      </c>
      <c r="E50" s="241" t="s">
        <v>1796</v>
      </c>
      <c r="F50" s="243" t="s">
        <v>1796</v>
      </c>
      <c r="H50" s="243" t="s">
        <v>148</v>
      </c>
      <c r="I50" s="243"/>
      <c r="J50" s="241" t="s">
        <v>137</v>
      </c>
      <c r="K50" s="243">
        <v>2094</v>
      </c>
      <c r="L50" s="241" t="s">
        <v>92</v>
      </c>
      <c r="M50" s="243" t="s">
        <v>2882</v>
      </c>
      <c r="W50" s="244">
        <v>18910</v>
      </c>
      <c r="Z50" s="244">
        <v>18910</v>
      </c>
      <c r="AC50" s="244">
        <v>18910</v>
      </c>
      <c r="AF50" s="244">
        <v>18910</v>
      </c>
      <c r="AI50" s="241" t="s">
        <v>1235</v>
      </c>
    </row>
    <row r="51" spans="1:35">
      <c r="A51" s="241" t="s">
        <v>2983</v>
      </c>
      <c r="B51" s="242">
        <v>300</v>
      </c>
      <c r="C51" s="241" t="s">
        <v>290</v>
      </c>
      <c r="D51" s="243">
        <v>10</v>
      </c>
      <c r="E51" s="241" t="s">
        <v>1796</v>
      </c>
      <c r="F51" s="243" t="s">
        <v>1796</v>
      </c>
      <c r="H51" s="243" t="s">
        <v>148</v>
      </c>
      <c r="I51" s="243"/>
      <c r="J51" s="241" t="s">
        <v>137</v>
      </c>
      <c r="K51" s="243">
        <v>2094</v>
      </c>
      <c r="L51" s="241" t="s">
        <v>2809</v>
      </c>
      <c r="M51" s="243" t="s">
        <v>2810</v>
      </c>
      <c r="X51" s="325">
        <v>22019</v>
      </c>
      <c r="AI51" s="241" t="s">
        <v>71</v>
      </c>
    </row>
    <row r="52" spans="1:35">
      <c r="A52" s="241" t="s">
        <v>2983</v>
      </c>
      <c r="B52" s="242">
        <v>300</v>
      </c>
      <c r="C52" s="241" t="s">
        <v>290</v>
      </c>
      <c r="D52" s="243">
        <v>10</v>
      </c>
      <c r="E52" s="241" t="s">
        <v>1796</v>
      </c>
      <c r="F52" s="243" t="s">
        <v>1796</v>
      </c>
      <c r="H52" s="243" t="s">
        <v>148</v>
      </c>
      <c r="I52" s="243"/>
      <c r="J52" s="241" t="s">
        <v>137</v>
      </c>
      <c r="K52" s="243">
        <v>2094</v>
      </c>
      <c r="L52" s="241" t="s">
        <v>2857</v>
      </c>
      <c r="M52" s="243" t="s">
        <v>2858</v>
      </c>
      <c r="W52" s="318"/>
      <c r="X52" s="318"/>
      <c r="Y52" s="318"/>
      <c r="Z52" s="318"/>
      <c r="AA52" s="318"/>
      <c r="AB52" s="318"/>
      <c r="AC52" s="318">
        <v>16649</v>
      </c>
      <c r="AD52" s="318"/>
      <c r="AE52" s="318"/>
      <c r="AF52" s="318"/>
      <c r="AG52" s="318"/>
      <c r="AH52" s="318"/>
      <c r="AI52" s="241" t="s">
        <v>135</v>
      </c>
    </row>
    <row r="53" spans="1:35">
      <c r="A53" s="241" t="s">
        <v>2983</v>
      </c>
      <c r="B53" s="242">
        <v>300</v>
      </c>
      <c r="C53" s="241" t="s">
        <v>290</v>
      </c>
      <c r="D53" s="243">
        <v>10</v>
      </c>
      <c r="E53" s="241" t="s">
        <v>1796</v>
      </c>
      <c r="F53" s="243" t="s">
        <v>1796</v>
      </c>
      <c r="H53" s="243" t="s">
        <v>148</v>
      </c>
      <c r="I53" s="243"/>
      <c r="J53" s="241" t="s">
        <v>137</v>
      </c>
      <c r="K53" s="243">
        <v>2094</v>
      </c>
      <c r="L53" s="241" t="s">
        <v>2791</v>
      </c>
      <c r="M53" s="243" t="s">
        <v>2792</v>
      </c>
      <c r="U53" s="244">
        <v>30000</v>
      </c>
      <c r="W53" s="318"/>
      <c r="X53" s="318"/>
      <c r="Y53" s="318"/>
      <c r="Z53" s="318"/>
      <c r="AA53" s="318"/>
      <c r="AB53" s="318"/>
      <c r="AC53" s="318">
        <v>10000</v>
      </c>
      <c r="AD53" s="318"/>
      <c r="AE53" s="318"/>
      <c r="AF53" s="318"/>
      <c r="AG53" s="318">
        <v>30000</v>
      </c>
      <c r="AH53" s="318"/>
      <c r="AI53" s="241" t="s">
        <v>3000</v>
      </c>
    </row>
    <row r="54" spans="1:35">
      <c r="A54" s="241" t="s">
        <v>2983</v>
      </c>
      <c r="B54" s="242">
        <v>300</v>
      </c>
      <c r="C54" s="241" t="s">
        <v>290</v>
      </c>
      <c r="D54" s="243">
        <v>10</v>
      </c>
      <c r="E54" s="241" t="s">
        <v>1796</v>
      </c>
      <c r="F54" s="243" t="s">
        <v>1796</v>
      </c>
      <c r="H54" s="243" t="s">
        <v>148</v>
      </c>
      <c r="I54" s="243"/>
      <c r="J54" s="241" t="s">
        <v>104</v>
      </c>
      <c r="K54" s="243">
        <v>2078</v>
      </c>
      <c r="L54" s="241" t="s">
        <v>2791</v>
      </c>
      <c r="M54" s="243" t="s">
        <v>2792</v>
      </c>
      <c r="W54" s="318"/>
      <c r="X54" s="318"/>
      <c r="Y54" s="318"/>
      <c r="Z54" s="318"/>
      <c r="AA54" s="318"/>
      <c r="AB54" s="324">
        <v>16238</v>
      </c>
      <c r="AC54" s="318"/>
      <c r="AD54" s="318"/>
      <c r="AE54" s="318"/>
      <c r="AF54" s="318"/>
      <c r="AG54" s="318"/>
      <c r="AH54" s="318"/>
      <c r="AI54" s="241" t="s">
        <v>107</v>
      </c>
    </row>
    <row r="55" spans="1:35">
      <c r="A55" s="241" t="s">
        <v>2983</v>
      </c>
      <c r="B55" s="242">
        <v>300</v>
      </c>
      <c r="C55" s="241" t="s">
        <v>290</v>
      </c>
      <c r="D55" s="243">
        <v>10</v>
      </c>
      <c r="E55" s="241" t="s">
        <v>1796</v>
      </c>
      <c r="F55" s="243" t="s">
        <v>1796</v>
      </c>
      <c r="H55" s="243" t="s">
        <v>148</v>
      </c>
      <c r="I55" s="243"/>
      <c r="J55" s="241" t="s">
        <v>104</v>
      </c>
      <c r="K55" s="243">
        <v>2078</v>
      </c>
      <c r="L55" s="241" t="s">
        <v>2809</v>
      </c>
      <c r="M55" s="243" t="s">
        <v>2810</v>
      </c>
      <c r="W55" s="318"/>
      <c r="X55" s="318"/>
      <c r="Y55" s="318"/>
      <c r="Z55" s="318"/>
      <c r="AA55" s="318"/>
      <c r="AB55" s="324">
        <v>46771</v>
      </c>
      <c r="AC55" s="318"/>
      <c r="AD55" s="318"/>
      <c r="AE55" s="318"/>
      <c r="AF55" s="318"/>
      <c r="AG55" s="318"/>
      <c r="AH55" s="318"/>
      <c r="AI55" s="241" t="s">
        <v>3009</v>
      </c>
    </row>
    <row r="56" spans="1:35">
      <c r="A56" s="241" t="s">
        <v>2983</v>
      </c>
      <c r="B56" s="242">
        <v>300</v>
      </c>
      <c r="C56" s="241" t="s">
        <v>290</v>
      </c>
      <c r="D56" s="243">
        <v>10</v>
      </c>
      <c r="E56" s="241" t="s">
        <v>1796</v>
      </c>
      <c r="F56" s="243" t="s">
        <v>1796</v>
      </c>
      <c r="H56" s="243" t="s">
        <v>148</v>
      </c>
      <c r="I56" s="243"/>
      <c r="J56" s="241" t="s">
        <v>104</v>
      </c>
      <c r="K56" s="243">
        <v>2078</v>
      </c>
      <c r="L56" s="241" t="s">
        <v>2857</v>
      </c>
      <c r="M56" s="243" t="s">
        <v>2858</v>
      </c>
      <c r="W56" s="318"/>
      <c r="X56" s="318"/>
      <c r="Y56" s="318"/>
      <c r="Z56" s="318"/>
      <c r="AA56" s="318"/>
      <c r="AB56" s="324">
        <v>20871</v>
      </c>
      <c r="AC56" s="318"/>
      <c r="AD56" s="318"/>
      <c r="AE56" s="318"/>
      <c r="AF56" s="318"/>
      <c r="AG56" s="318"/>
      <c r="AH56" s="318"/>
      <c r="AI56" s="241" t="s">
        <v>2998</v>
      </c>
    </row>
    <row r="57" spans="1:35">
      <c r="A57" s="241" t="s">
        <v>2983</v>
      </c>
      <c r="B57" s="242">
        <v>300</v>
      </c>
      <c r="C57" s="241" t="s">
        <v>290</v>
      </c>
      <c r="D57" s="243">
        <v>10</v>
      </c>
      <c r="E57" s="241" t="s">
        <v>1796</v>
      </c>
      <c r="F57" s="243" t="s">
        <v>1796</v>
      </c>
      <c r="H57" s="243" t="s">
        <v>148</v>
      </c>
      <c r="I57" s="243"/>
      <c r="J57" s="241" t="s">
        <v>104</v>
      </c>
      <c r="K57" s="243">
        <v>2078</v>
      </c>
      <c r="L57" s="241" t="s">
        <v>92</v>
      </c>
      <c r="M57" s="243" t="s">
        <v>2882</v>
      </c>
      <c r="U57" s="244">
        <v>8910</v>
      </c>
      <c r="V57" s="244">
        <v>10000</v>
      </c>
      <c r="W57" s="318"/>
      <c r="X57" s="318"/>
      <c r="Y57" s="318"/>
      <c r="Z57" s="318">
        <v>18910</v>
      </c>
      <c r="AA57" s="318"/>
      <c r="AB57" s="324"/>
      <c r="AC57" s="318">
        <v>18910</v>
      </c>
      <c r="AD57" s="318"/>
      <c r="AE57" s="318"/>
      <c r="AF57" s="318">
        <v>18910</v>
      </c>
      <c r="AG57" s="318">
        <v>8910</v>
      </c>
      <c r="AH57" s="318">
        <v>10000</v>
      </c>
      <c r="AI57" s="241" t="s">
        <v>1235</v>
      </c>
    </row>
    <row r="58" spans="1:35">
      <c r="A58" s="241" t="s">
        <v>2983</v>
      </c>
      <c r="B58" s="242">
        <v>300</v>
      </c>
      <c r="C58" s="241" t="s">
        <v>290</v>
      </c>
      <c r="D58" s="243">
        <v>10</v>
      </c>
      <c r="E58" s="241" t="s">
        <v>1796</v>
      </c>
      <c r="F58" s="243" t="s">
        <v>1796</v>
      </c>
      <c r="H58" s="243" t="s">
        <v>148</v>
      </c>
      <c r="I58" s="243"/>
      <c r="J58" s="241" t="s">
        <v>104</v>
      </c>
      <c r="K58" s="243">
        <v>2078</v>
      </c>
      <c r="L58" s="241" t="s">
        <v>2809</v>
      </c>
      <c r="M58" s="243" t="s">
        <v>2810</v>
      </c>
      <c r="W58" s="318"/>
      <c r="X58" s="318"/>
      <c r="Y58" s="318"/>
      <c r="Z58" s="318"/>
      <c r="AA58" s="318"/>
      <c r="AB58" s="324">
        <v>22019</v>
      </c>
      <c r="AC58" s="318"/>
      <c r="AD58" s="318"/>
      <c r="AE58" s="318"/>
      <c r="AF58" s="318"/>
      <c r="AG58" s="318"/>
      <c r="AH58" s="318"/>
      <c r="AI58" s="241" t="s">
        <v>71</v>
      </c>
    </row>
    <row r="59" spans="1:35">
      <c r="A59" s="241" t="s">
        <v>2983</v>
      </c>
      <c r="B59" s="242">
        <v>300</v>
      </c>
      <c r="C59" s="241" t="s">
        <v>290</v>
      </c>
      <c r="D59" s="243">
        <v>10</v>
      </c>
      <c r="E59" s="241" t="s">
        <v>1796</v>
      </c>
      <c r="F59" s="243" t="s">
        <v>1796</v>
      </c>
      <c r="H59" s="243" t="s">
        <v>148</v>
      </c>
      <c r="I59" s="243"/>
      <c r="J59" s="241" t="s">
        <v>104</v>
      </c>
      <c r="K59" s="243">
        <v>2078</v>
      </c>
      <c r="L59" s="241" t="s">
        <v>2791</v>
      </c>
      <c r="M59" s="243" t="s">
        <v>2792</v>
      </c>
      <c r="W59" s="318">
        <v>20000</v>
      </c>
      <c r="X59" s="318"/>
      <c r="Y59" s="318"/>
      <c r="Z59" s="318"/>
      <c r="AA59" s="318"/>
      <c r="AB59" s="324">
        <v>22020</v>
      </c>
      <c r="AC59" s="318"/>
      <c r="AD59" s="318"/>
      <c r="AE59" s="318"/>
      <c r="AF59" s="318"/>
      <c r="AG59" s="318"/>
      <c r="AH59" s="318"/>
      <c r="AI59" s="241" t="s">
        <v>71</v>
      </c>
    </row>
    <row r="60" spans="1:35">
      <c r="A60" s="241" t="s">
        <v>2983</v>
      </c>
      <c r="B60" s="242">
        <v>300</v>
      </c>
      <c r="C60" s="241" t="s">
        <v>290</v>
      </c>
      <c r="D60" s="243">
        <v>10</v>
      </c>
      <c r="E60" s="241" t="s">
        <v>1796</v>
      </c>
      <c r="F60" s="243" t="s">
        <v>1796</v>
      </c>
      <c r="H60" s="243" t="s">
        <v>148</v>
      </c>
      <c r="I60" s="243"/>
      <c r="J60" s="241" t="s">
        <v>104</v>
      </c>
      <c r="K60" s="243">
        <v>2078</v>
      </c>
      <c r="L60" s="241" t="s">
        <v>2857</v>
      </c>
      <c r="M60" s="243" t="s">
        <v>2858</v>
      </c>
      <c r="W60" s="318">
        <v>16649</v>
      </c>
      <c r="X60" s="318"/>
      <c r="Y60" s="318"/>
      <c r="Z60" s="318"/>
      <c r="AA60" s="318"/>
      <c r="AB60" s="324">
        <v>16649</v>
      </c>
      <c r="AC60" s="318"/>
      <c r="AD60" s="318"/>
      <c r="AE60" s="318"/>
      <c r="AF60" s="318"/>
      <c r="AG60" s="318"/>
      <c r="AH60" s="318"/>
      <c r="AI60" s="241" t="s">
        <v>135</v>
      </c>
    </row>
    <row r="61" spans="1:35">
      <c r="A61" s="241" t="s">
        <v>2983</v>
      </c>
      <c r="B61" s="242">
        <v>300</v>
      </c>
      <c r="C61" s="241" t="s">
        <v>257</v>
      </c>
      <c r="D61" s="243">
        <v>20</v>
      </c>
      <c r="E61" s="241" t="s">
        <v>1718</v>
      </c>
      <c r="F61" s="243" t="s">
        <v>1719</v>
      </c>
      <c r="H61" s="243" t="s">
        <v>148</v>
      </c>
      <c r="I61" s="243"/>
      <c r="J61" s="241" t="s">
        <v>1202</v>
      </c>
      <c r="K61" s="243">
        <v>1474</v>
      </c>
      <c r="L61" s="241" t="s">
        <v>92</v>
      </c>
      <c r="M61" s="243" t="s">
        <v>2882</v>
      </c>
      <c r="W61" s="318">
        <v>1800</v>
      </c>
      <c r="X61" s="318"/>
      <c r="Y61" s="318"/>
      <c r="Z61" s="318"/>
      <c r="AA61" s="318"/>
      <c r="AB61" s="318"/>
      <c r="AC61" s="318"/>
      <c r="AD61" s="318"/>
      <c r="AE61" s="318"/>
      <c r="AF61" s="318"/>
      <c r="AG61" s="318"/>
      <c r="AH61" s="318"/>
    </row>
    <row r="62" spans="1:35" s="322" customFormat="1">
      <c r="A62" s="322" t="s">
        <v>2983</v>
      </c>
      <c r="B62" s="322">
        <v>300</v>
      </c>
      <c r="C62" s="322" t="s">
        <v>290</v>
      </c>
      <c r="D62" s="322">
        <v>10</v>
      </c>
      <c r="E62" s="322" t="s">
        <v>1612</v>
      </c>
      <c r="F62" s="322" t="s">
        <v>1613</v>
      </c>
      <c r="H62" s="322" t="s">
        <v>148</v>
      </c>
      <c r="I62" s="322" t="s">
        <v>148</v>
      </c>
      <c r="J62" s="322" t="s">
        <v>156</v>
      </c>
      <c r="K62" s="322">
        <v>2415</v>
      </c>
      <c r="L62" s="322" t="s">
        <v>2925</v>
      </c>
      <c r="M62" s="322" t="s">
        <v>2926</v>
      </c>
      <c r="N62" s="253"/>
      <c r="O62" s="253"/>
      <c r="P62" s="253"/>
      <c r="Q62" s="253"/>
      <c r="R62" s="253"/>
      <c r="S62" s="253"/>
      <c r="T62" s="253"/>
      <c r="U62" s="253">
        <v>25000</v>
      </c>
      <c r="V62" s="253"/>
      <c r="W62" s="244"/>
      <c r="X62" s="244"/>
      <c r="Y62" s="244"/>
      <c r="Z62" s="244"/>
      <c r="AA62" s="244"/>
      <c r="AB62" s="244"/>
      <c r="AC62" s="244"/>
      <c r="AD62" s="244"/>
      <c r="AE62" s="244">
        <v>55000</v>
      </c>
      <c r="AF62" s="244"/>
      <c r="AG62" s="244">
        <v>25000</v>
      </c>
      <c r="AH62" s="244"/>
    </row>
    <row r="63" spans="1:35" s="322" customFormat="1">
      <c r="A63" s="322" t="s">
        <v>2983</v>
      </c>
      <c r="B63" s="322">
        <v>300</v>
      </c>
      <c r="C63" s="322" t="s">
        <v>290</v>
      </c>
      <c r="D63" s="322">
        <v>10</v>
      </c>
      <c r="E63" s="322" t="s">
        <v>1612</v>
      </c>
      <c r="F63" s="322" t="s">
        <v>1613</v>
      </c>
      <c r="H63" s="322" t="s">
        <v>148</v>
      </c>
      <c r="I63" s="322" t="s">
        <v>148</v>
      </c>
      <c r="J63" s="322" t="s">
        <v>156</v>
      </c>
      <c r="K63" s="322">
        <v>2415</v>
      </c>
      <c r="L63" s="322" t="s">
        <v>2925</v>
      </c>
      <c r="M63" s="322" t="s">
        <v>2926</v>
      </c>
      <c r="N63" s="253"/>
      <c r="O63" s="253"/>
      <c r="P63" s="253"/>
      <c r="Q63" s="253"/>
      <c r="R63" s="253"/>
      <c r="S63" s="253"/>
      <c r="T63" s="253"/>
      <c r="U63" s="253"/>
      <c r="V63" s="253"/>
      <c r="W63" s="244"/>
      <c r="X63" s="244"/>
      <c r="Y63" s="244"/>
      <c r="Z63" s="244"/>
      <c r="AA63" s="244"/>
      <c r="AB63" s="244"/>
      <c r="AC63" s="244"/>
      <c r="AD63" s="244"/>
      <c r="AE63" s="244">
        <v>55000</v>
      </c>
      <c r="AF63" s="244"/>
      <c r="AG63" s="244"/>
      <c r="AH63" s="244"/>
    </row>
    <row r="64" spans="1:35" s="322" customFormat="1">
      <c r="A64" s="322" t="s">
        <v>2983</v>
      </c>
      <c r="B64" s="322">
        <v>300</v>
      </c>
      <c r="C64" s="322" t="s">
        <v>290</v>
      </c>
      <c r="D64" s="322">
        <v>10</v>
      </c>
      <c r="E64" s="322" t="s">
        <v>1612</v>
      </c>
      <c r="F64" s="322" t="s">
        <v>1613</v>
      </c>
      <c r="H64" s="322" t="s">
        <v>148</v>
      </c>
      <c r="I64" s="322" t="s">
        <v>148</v>
      </c>
      <c r="J64" s="322" t="s">
        <v>156</v>
      </c>
      <c r="K64" s="322">
        <v>2415</v>
      </c>
      <c r="L64" s="322" t="s">
        <v>2925</v>
      </c>
      <c r="M64" s="322" t="s">
        <v>2926</v>
      </c>
      <c r="N64" s="253"/>
      <c r="O64" s="253"/>
      <c r="P64" s="253"/>
      <c r="Q64" s="253"/>
      <c r="R64" s="253"/>
      <c r="S64" s="253"/>
      <c r="T64" s="253"/>
      <c r="U64" s="253"/>
      <c r="V64" s="253"/>
      <c r="W64" s="244"/>
      <c r="X64" s="325">
        <v>15000</v>
      </c>
      <c r="Y64" s="244"/>
      <c r="Z64" s="244"/>
      <c r="AA64" s="244"/>
      <c r="AB64" s="244"/>
      <c r="AC64" s="244"/>
      <c r="AD64" s="244"/>
      <c r="AE64" s="244"/>
      <c r="AF64" s="244"/>
      <c r="AG64" s="244"/>
      <c r="AH64" s="244"/>
    </row>
    <row r="65" spans="1:35" s="322" customFormat="1">
      <c r="A65" s="322" t="s">
        <v>2983</v>
      </c>
      <c r="B65" s="322">
        <v>300</v>
      </c>
      <c r="C65" s="322" t="s">
        <v>290</v>
      </c>
      <c r="D65" s="322">
        <v>10</v>
      </c>
      <c r="E65" s="322" t="s">
        <v>1612</v>
      </c>
      <c r="F65" s="322" t="s">
        <v>1613</v>
      </c>
      <c r="H65" s="322" t="s">
        <v>148</v>
      </c>
      <c r="I65" s="322" t="s">
        <v>148</v>
      </c>
      <c r="J65" s="322" t="s">
        <v>156</v>
      </c>
      <c r="K65" s="322">
        <v>2415</v>
      </c>
      <c r="L65" s="322" t="s">
        <v>2925</v>
      </c>
      <c r="M65" s="322" t="s">
        <v>2926</v>
      </c>
      <c r="N65" s="253"/>
      <c r="O65" s="253">
        <v>34112</v>
      </c>
      <c r="P65" s="253">
        <v>10231</v>
      </c>
      <c r="R65" s="253"/>
      <c r="S65" s="253"/>
      <c r="T65" s="253"/>
      <c r="U65" s="253"/>
      <c r="V65" s="253">
        <v>15000</v>
      </c>
      <c r="W65" s="244"/>
      <c r="X65" s="244"/>
      <c r="Y65" s="244"/>
      <c r="Z65" s="244">
        <v>65000</v>
      </c>
      <c r="AA65" s="244"/>
      <c r="AB65" s="244"/>
      <c r="AC65" s="244"/>
      <c r="AD65" s="244"/>
      <c r="AE65" s="244"/>
      <c r="AF65" s="244"/>
      <c r="AG65" s="244"/>
      <c r="AH65" s="244">
        <v>15000</v>
      </c>
    </row>
    <row r="66" spans="1:35" s="242" customFormat="1">
      <c r="A66" s="242" t="s">
        <v>2983</v>
      </c>
      <c r="B66" s="242">
        <v>300</v>
      </c>
      <c r="C66" s="242" t="s">
        <v>290</v>
      </c>
      <c r="D66" s="242">
        <v>10</v>
      </c>
      <c r="E66" s="242" t="s">
        <v>1612</v>
      </c>
      <c r="F66" s="242" t="s">
        <v>1613</v>
      </c>
      <c r="H66" s="242" t="s">
        <v>148</v>
      </c>
      <c r="I66" s="242" t="s">
        <v>148</v>
      </c>
      <c r="J66" s="242" t="s">
        <v>309</v>
      </c>
      <c r="K66" s="242">
        <v>2414</v>
      </c>
      <c r="L66" s="242" t="s">
        <v>2925</v>
      </c>
      <c r="M66" s="242" t="s">
        <v>2926</v>
      </c>
      <c r="N66" s="323"/>
      <c r="O66" s="323"/>
      <c r="P66" s="323"/>
      <c r="Q66" s="323"/>
      <c r="R66" s="323"/>
      <c r="S66" s="323"/>
      <c r="T66" s="323"/>
      <c r="U66" s="323"/>
      <c r="V66" s="323">
        <v>25000</v>
      </c>
      <c r="W66" s="244">
        <v>25000</v>
      </c>
      <c r="X66" s="244"/>
      <c r="Y66" s="244"/>
      <c r="Z66" s="244"/>
      <c r="AA66" s="244"/>
      <c r="AB66" s="244"/>
      <c r="AC66" s="244"/>
      <c r="AD66" s="244"/>
      <c r="AE66" s="244"/>
      <c r="AF66" s="244"/>
      <c r="AG66" s="244"/>
      <c r="AH66" s="244">
        <v>25000</v>
      </c>
    </row>
    <row r="67" spans="1:35" s="242" customFormat="1">
      <c r="A67" s="242" t="s">
        <v>2983</v>
      </c>
      <c r="B67" s="242">
        <v>300</v>
      </c>
      <c r="C67" s="242" t="s">
        <v>290</v>
      </c>
      <c r="D67" s="242">
        <v>10</v>
      </c>
      <c r="E67" s="242" t="s">
        <v>1612</v>
      </c>
      <c r="F67" s="242" t="s">
        <v>1613</v>
      </c>
      <c r="H67" s="242" t="s">
        <v>148</v>
      </c>
      <c r="I67" s="242" t="s">
        <v>148</v>
      </c>
      <c r="J67" s="242" t="s">
        <v>309</v>
      </c>
      <c r="K67" s="242">
        <v>2414</v>
      </c>
      <c r="L67" s="242" t="s">
        <v>2925</v>
      </c>
      <c r="M67" s="242" t="s">
        <v>2926</v>
      </c>
      <c r="N67" s="323"/>
      <c r="O67" s="323"/>
      <c r="P67" s="323"/>
      <c r="Q67" s="323"/>
      <c r="R67" s="323"/>
      <c r="S67" s="323"/>
      <c r="T67" s="323"/>
      <c r="U67" s="323"/>
      <c r="V67" s="323"/>
      <c r="W67" s="244"/>
      <c r="X67" s="244"/>
      <c r="Y67" s="244"/>
      <c r="Z67" s="244"/>
      <c r="AA67" s="244"/>
      <c r="AB67" s="244"/>
      <c r="AC67" s="244">
        <v>75000</v>
      </c>
      <c r="AD67" s="244"/>
      <c r="AE67" s="244"/>
      <c r="AF67" s="244"/>
      <c r="AG67" s="244"/>
      <c r="AH67" s="244"/>
    </row>
    <row r="68" spans="1:35">
      <c r="A68" s="241" t="s">
        <v>2983</v>
      </c>
      <c r="B68" s="242">
        <v>300</v>
      </c>
      <c r="C68" s="241" t="s">
        <v>290</v>
      </c>
      <c r="D68" s="243">
        <v>10</v>
      </c>
      <c r="E68" s="241" t="s">
        <v>1612</v>
      </c>
      <c r="F68" s="243" t="s">
        <v>1613</v>
      </c>
      <c r="H68" s="243" t="s">
        <v>148</v>
      </c>
      <c r="I68" s="243" t="s">
        <v>148</v>
      </c>
      <c r="J68" s="241" t="s">
        <v>1199</v>
      </c>
      <c r="K68" s="243">
        <v>2413</v>
      </c>
      <c r="L68" s="241" t="s">
        <v>2925</v>
      </c>
      <c r="M68" s="243" t="s">
        <v>2926</v>
      </c>
      <c r="Q68" s="245"/>
      <c r="R68" s="251"/>
      <c r="S68" s="248"/>
      <c r="X68" s="244">
        <v>40000</v>
      </c>
    </row>
    <row r="69" spans="1:35">
      <c r="A69" s="241" t="s">
        <v>2983</v>
      </c>
      <c r="B69" s="242">
        <v>300</v>
      </c>
      <c r="C69" s="241" t="s">
        <v>290</v>
      </c>
      <c r="D69" s="243">
        <v>10</v>
      </c>
      <c r="E69" s="241" t="s">
        <v>1612</v>
      </c>
      <c r="F69" s="243" t="s">
        <v>1613</v>
      </c>
      <c r="H69" s="243" t="s">
        <v>148</v>
      </c>
      <c r="I69" s="243" t="s">
        <v>148</v>
      </c>
      <c r="J69" s="241" t="s">
        <v>1199</v>
      </c>
      <c r="K69" s="243">
        <v>2413</v>
      </c>
      <c r="L69" s="241" t="s">
        <v>2925</v>
      </c>
      <c r="M69" s="243" t="s">
        <v>2926</v>
      </c>
      <c r="AB69" s="325">
        <v>20000</v>
      </c>
    </row>
    <row r="70" spans="1:35">
      <c r="A70" s="241" t="s">
        <v>2983</v>
      </c>
      <c r="B70" s="242">
        <v>320</v>
      </c>
      <c r="C70" s="241" t="s">
        <v>290</v>
      </c>
      <c r="D70" s="243">
        <v>10</v>
      </c>
      <c r="E70" s="241" t="s">
        <v>1625</v>
      </c>
      <c r="F70" s="243" t="s">
        <v>1626</v>
      </c>
      <c r="G70" s="241" t="s">
        <v>2957</v>
      </c>
      <c r="H70" s="243" t="s">
        <v>2958</v>
      </c>
      <c r="I70" s="243" t="s">
        <v>2944</v>
      </c>
      <c r="J70" s="241" t="s">
        <v>1202</v>
      </c>
      <c r="K70" s="243">
        <v>1474</v>
      </c>
      <c r="L70" s="241" t="s">
        <v>330</v>
      </c>
      <c r="M70" s="243" t="s">
        <v>2856</v>
      </c>
      <c r="T70" s="244">
        <v>13365</v>
      </c>
      <c r="U70" s="244">
        <v>13365</v>
      </c>
      <c r="V70" s="244">
        <v>13365</v>
      </c>
      <c r="W70" s="244">
        <v>13365</v>
      </c>
      <c r="X70" s="244">
        <v>13365</v>
      </c>
      <c r="Y70" s="244">
        <v>13365</v>
      </c>
      <c r="Z70" s="244">
        <v>13365</v>
      </c>
      <c r="AA70" s="244">
        <v>13365</v>
      </c>
      <c r="AB70" s="244">
        <v>13365</v>
      </c>
      <c r="AC70" s="244">
        <v>13365</v>
      </c>
      <c r="AD70" s="244">
        <v>13365</v>
      </c>
      <c r="AE70" s="244">
        <v>13365</v>
      </c>
      <c r="AF70" s="244">
        <v>13365</v>
      </c>
      <c r="AG70" s="244">
        <v>13365</v>
      </c>
      <c r="AH70" s="244">
        <v>13365</v>
      </c>
    </row>
    <row r="71" spans="1:35">
      <c r="A71" s="241" t="s">
        <v>2983</v>
      </c>
      <c r="B71" s="242">
        <v>320</v>
      </c>
      <c r="C71" s="241" t="s">
        <v>290</v>
      </c>
      <c r="D71" s="243">
        <v>10</v>
      </c>
      <c r="E71" s="241" t="s">
        <v>1625</v>
      </c>
      <c r="F71" s="243" t="s">
        <v>1626</v>
      </c>
      <c r="G71" s="241" t="s">
        <v>2939</v>
      </c>
      <c r="H71" s="243" t="s">
        <v>2940</v>
      </c>
      <c r="I71" s="243" t="s">
        <v>2941</v>
      </c>
      <c r="J71" s="241" t="s">
        <v>1202</v>
      </c>
      <c r="K71" s="243">
        <v>1474</v>
      </c>
      <c r="L71" s="241" t="s">
        <v>330</v>
      </c>
      <c r="M71" s="243" t="s">
        <v>2856</v>
      </c>
      <c r="T71" s="244">
        <v>7125</v>
      </c>
      <c r="U71" s="244">
        <v>7125</v>
      </c>
      <c r="V71" s="244">
        <v>7125</v>
      </c>
      <c r="W71" s="244">
        <v>7125</v>
      </c>
      <c r="X71" s="244">
        <v>7125</v>
      </c>
      <c r="Y71" s="244">
        <v>7125</v>
      </c>
      <c r="Z71" s="244">
        <v>7125</v>
      </c>
      <c r="AA71" s="244">
        <v>7125</v>
      </c>
      <c r="AB71" s="244">
        <v>7125</v>
      </c>
      <c r="AC71" s="244">
        <v>7125</v>
      </c>
      <c r="AD71" s="244">
        <v>7125</v>
      </c>
      <c r="AE71" s="244">
        <v>7125</v>
      </c>
      <c r="AF71" s="244">
        <v>7125</v>
      </c>
      <c r="AG71" s="244">
        <v>7125</v>
      </c>
      <c r="AH71" s="244">
        <v>7125</v>
      </c>
    </row>
    <row r="72" spans="1:35">
      <c r="A72" s="241" t="s">
        <v>2983</v>
      </c>
      <c r="B72" s="242">
        <v>300</v>
      </c>
      <c r="C72" s="241" t="s">
        <v>3001</v>
      </c>
      <c r="D72" s="243">
        <v>40</v>
      </c>
      <c r="E72" s="241" t="s">
        <v>1535</v>
      </c>
      <c r="F72" s="243" t="s">
        <v>1535</v>
      </c>
      <c r="H72" s="243" t="s">
        <v>148</v>
      </c>
      <c r="I72" s="243" t="s">
        <v>148</v>
      </c>
      <c r="J72" s="241" t="s">
        <v>1202</v>
      </c>
      <c r="K72" s="243">
        <v>1474</v>
      </c>
      <c r="L72" s="241" t="s">
        <v>2925</v>
      </c>
      <c r="M72" s="243" t="s">
        <v>2926</v>
      </c>
      <c r="N72" s="244">
        <v>10000</v>
      </c>
      <c r="O72" s="244">
        <v>10000</v>
      </c>
      <c r="Q72" s="244">
        <v>35757</v>
      </c>
      <c r="AD72" s="244">
        <f>0.2*100000</f>
        <v>20000</v>
      </c>
      <c r="AE72" s="244">
        <f>0.2*100000</f>
        <v>20000</v>
      </c>
    </row>
    <row r="73" spans="1:35">
      <c r="A73" s="241" t="s">
        <v>2983</v>
      </c>
      <c r="B73" s="242">
        <v>300</v>
      </c>
      <c r="C73" s="241" t="s">
        <v>3001</v>
      </c>
      <c r="D73" s="243">
        <v>40</v>
      </c>
      <c r="E73" s="241" t="s">
        <v>1198</v>
      </c>
      <c r="F73" s="243" t="s">
        <v>398</v>
      </c>
      <c r="H73" s="243" t="s">
        <v>148</v>
      </c>
      <c r="I73" s="243" t="s">
        <v>148</v>
      </c>
      <c r="J73" s="241" t="s">
        <v>1202</v>
      </c>
      <c r="K73" s="243">
        <v>1474</v>
      </c>
      <c r="L73" s="241" t="s">
        <v>2925</v>
      </c>
      <c r="M73" s="243" t="s">
        <v>2926</v>
      </c>
      <c r="AC73" s="244">
        <f>0.2*50000</f>
        <v>10000</v>
      </c>
      <c r="AD73" s="244">
        <f>0.2*100000</f>
        <v>20000</v>
      </c>
      <c r="AE73" s="244">
        <f>0.2*100000</f>
        <v>20000</v>
      </c>
    </row>
    <row r="74" spans="1:35">
      <c r="A74" s="241" t="s">
        <v>2983</v>
      </c>
      <c r="B74" s="242">
        <v>300</v>
      </c>
      <c r="C74" s="241" t="s">
        <v>3001</v>
      </c>
      <c r="D74" s="243">
        <v>40</v>
      </c>
      <c r="E74" s="241" t="s">
        <v>1671</v>
      </c>
      <c r="F74" s="243" t="s">
        <v>1671</v>
      </c>
      <c r="H74" s="243" t="s">
        <v>148</v>
      </c>
      <c r="I74" s="243" t="s">
        <v>148</v>
      </c>
      <c r="J74" s="241" t="s">
        <v>1202</v>
      </c>
      <c r="K74" s="243">
        <v>1474</v>
      </c>
      <c r="L74" s="241" t="s">
        <v>2779</v>
      </c>
      <c r="M74" s="243" t="s">
        <v>2780</v>
      </c>
      <c r="Q74" s="244">
        <v>55250.63700000001</v>
      </c>
      <c r="AA74" s="244">
        <v>60000</v>
      </c>
      <c r="AB74" s="325">
        <f>0.2*60000</f>
        <v>12000</v>
      </c>
      <c r="AI74" s="241" t="s">
        <v>3011</v>
      </c>
    </row>
    <row r="75" spans="1:35">
      <c r="A75" s="241" t="s">
        <v>2983</v>
      </c>
      <c r="B75" s="242">
        <v>300</v>
      </c>
      <c r="C75" s="241" t="s">
        <v>3001</v>
      </c>
      <c r="D75" s="243">
        <v>40</v>
      </c>
      <c r="E75" s="241" t="s">
        <v>1671</v>
      </c>
      <c r="F75" s="243" t="s">
        <v>1671</v>
      </c>
      <c r="H75" s="243" t="s">
        <v>148</v>
      </c>
      <c r="I75" s="243" t="s">
        <v>148</v>
      </c>
      <c r="J75" s="241" t="s">
        <v>1202</v>
      </c>
      <c r="K75" s="243">
        <v>1474</v>
      </c>
      <c r="L75" s="241" t="s">
        <v>2809</v>
      </c>
      <c r="M75" s="243" t="s">
        <v>2810</v>
      </c>
      <c r="N75" s="244">
        <v>25243</v>
      </c>
      <c r="O75" s="244">
        <v>87393.882000000012</v>
      </c>
      <c r="P75" s="244">
        <v>64118.934000000001</v>
      </c>
      <c r="Q75" s="244">
        <v>77220</v>
      </c>
      <c r="Z75" s="244">
        <f>0.2*30000</f>
        <v>6000</v>
      </c>
      <c r="AF75" s="244">
        <f>0.2*30000</f>
        <v>6000</v>
      </c>
      <c r="AI75" s="241" t="s">
        <v>3011</v>
      </c>
    </row>
    <row r="76" spans="1:35">
      <c r="A76" s="241" t="s">
        <v>2983</v>
      </c>
      <c r="B76" s="242">
        <v>300</v>
      </c>
      <c r="C76" s="241" t="s">
        <v>3001</v>
      </c>
      <c r="D76" s="243">
        <v>40</v>
      </c>
      <c r="E76" s="241" t="s">
        <v>1718</v>
      </c>
      <c r="F76" s="243" t="s">
        <v>1719</v>
      </c>
      <c r="H76" s="243" t="s">
        <v>148</v>
      </c>
      <c r="I76" s="243" t="s">
        <v>148</v>
      </c>
      <c r="J76" s="241" t="s">
        <v>1202</v>
      </c>
      <c r="K76" s="243">
        <v>1474</v>
      </c>
      <c r="L76" s="241" t="s">
        <v>2820</v>
      </c>
      <c r="M76" s="243" t="s">
        <v>2821</v>
      </c>
      <c r="N76" s="244">
        <v>2858</v>
      </c>
      <c r="O76" s="244">
        <v>2586</v>
      </c>
      <c r="P76" s="244">
        <v>2586</v>
      </c>
      <c r="W76" s="244">
        <f>125000*0.2</f>
        <v>25000</v>
      </c>
      <c r="X76" s="325">
        <f>125000*0.2</f>
        <v>25000</v>
      </c>
      <c r="AE76" s="244">
        <v>100000</v>
      </c>
      <c r="AF76" s="244">
        <v>100000</v>
      </c>
      <c r="AG76" s="244">
        <v>100000</v>
      </c>
      <c r="AI76" s="241" t="s">
        <v>3012</v>
      </c>
    </row>
    <row r="77" spans="1:35">
      <c r="A77" s="241" t="s">
        <v>2983</v>
      </c>
      <c r="B77" s="242">
        <v>300</v>
      </c>
      <c r="C77" s="241" t="s">
        <v>3001</v>
      </c>
      <c r="D77" s="243">
        <v>40</v>
      </c>
      <c r="E77" s="241" t="s">
        <v>1718</v>
      </c>
      <c r="F77" s="243" t="s">
        <v>1719</v>
      </c>
      <c r="H77" s="243" t="s">
        <v>148</v>
      </c>
      <c r="I77" s="243" t="s">
        <v>148</v>
      </c>
      <c r="J77" s="241" t="s">
        <v>1202</v>
      </c>
      <c r="K77" s="243">
        <v>1474</v>
      </c>
      <c r="L77" s="241" t="s">
        <v>2791</v>
      </c>
      <c r="M77" s="243" t="s">
        <v>2792</v>
      </c>
      <c r="N77" s="244">
        <v>39607</v>
      </c>
      <c r="O77" s="244">
        <v>37573</v>
      </c>
      <c r="P77" s="244">
        <v>47573</v>
      </c>
      <c r="AA77" s="244">
        <v>50000</v>
      </c>
      <c r="AB77" s="325">
        <v>50000</v>
      </c>
      <c r="AC77" s="244">
        <v>50000</v>
      </c>
      <c r="AI77" s="241" t="s">
        <v>3013</v>
      </c>
    </row>
    <row r="78" spans="1:35">
      <c r="A78" s="241" t="s">
        <v>2983</v>
      </c>
      <c r="B78" s="242">
        <v>300</v>
      </c>
      <c r="C78" s="241" t="s">
        <v>3001</v>
      </c>
      <c r="D78" s="243">
        <v>40</v>
      </c>
      <c r="E78" s="241" t="s">
        <v>1718</v>
      </c>
      <c r="F78" s="243" t="s">
        <v>1719</v>
      </c>
      <c r="H78" s="243" t="s">
        <v>148</v>
      </c>
      <c r="I78" s="243" t="s">
        <v>148</v>
      </c>
      <c r="J78" s="241" t="s">
        <v>1202</v>
      </c>
      <c r="K78" s="243">
        <v>1474</v>
      </c>
      <c r="L78" s="241" t="s">
        <v>2868</v>
      </c>
      <c r="M78" s="243" t="s">
        <v>2869</v>
      </c>
      <c r="Y78" s="244">
        <f>0.2*75000</f>
        <v>15000</v>
      </c>
      <c r="AA78" s="244">
        <f>0.2*75000</f>
        <v>15000</v>
      </c>
      <c r="AC78" s="244">
        <v>175000</v>
      </c>
      <c r="AD78" s="244">
        <v>175000</v>
      </c>
      <c r="AE78" s="244">
        <v>175000</v>
      </c>
      <c r="AF78" s="244">
        <v>175000</v>
      </c>
      <c r="AG78" s="244">
        <v>100000</v>
      </c>
      <c r="AI78" s="241" t="s">
        <v>281</v>
      </c>
    </row>
    <row r="79" spans="1:35">
      <c r="A79" s="241" t="s">
        <v>2983</v>
      </c>
      <c r="B79" s="242">
        <v>300</v>
      </c>
      <c r="C79" s="241" t="s">
        <v>3001</v>
      </c>
      <c r="D79" s="243">
        <v>40</v>
      </c>
      <c r="E79" s="241" t="s">
        <v>1718</v>
      </c>
      <c r="F79" s="243" t="s">
        <v>1719</v>
      </c>
      <c r="H79" s="243" t="s">
        <v>148</v>
      </c>
      <c r="I79" s="243" t="s">
        <v>148</v>
      </c>
      <c r="J79" s="241" t="s">
        <v>1202</v>
      </c>
      <c r="K79" s="243">
        <v>1474</v>
      </c>
      <c r="L79" s="241" t="s">
        <v>2830</v>
      </c>
      <c r="M79" s="243" t="s">
        <v>2831</v>
      </c>
      <c r="AA79" s="244">
        <v>75000</v>
      </c>
      <c r="AI79" s="241" t="s">
        <v>3014</v>
      </c>
    </row>
    <row r="80" spans="1:35">
      <c r="A80" s="241" t="s">
        <v>2983</v>
      </c>
      <c r="B80" s="242">
        <v>300</v>
      </c>
      <c r="C80" s="241" t="s">
        <v>3001</v>
      </c>
      <c r="D80" s="243">
        <v>40</v>
      </c>
      <c r="E80" s="241" t="s">
        <v>1718</v>
      </c>
      <c r="F80" s="243" t="s">
        <v>1719</v>
      </c>
      <c r="H80" s="243" t="s">
        <v>148</v>
      </c>
      <c r="I80" s="243" t="s">
        <v>148</v>
      </c>
      <c r="J80" s="241" t="s">
        <v>1202</v>
      </c>
      <c r="K80" s="243">
        <v>1474</v>
      </c>
      <c r="L80" s="241" t="s">
        <v>2818</v>
      </c>
      <c r="M80" s="243" t="s">
        <v>2819</v>
      </c>
      <c r="AA80" s="241"/>
      <c r="AB80" s="325">
        <v>125000</v>
      </c>
      <c r="AF80" s="244">
        <v>125000</v>
      </c>
      <c r="AI80" s="241" t="s">
        <v>3015</v>
      </c>
    </row>
    <row r="81" spans="1:35">
      <c r="A81" s="241" t="s">
        <v>2983</v>
      </c>
      <c r="B81" s="242">
        <v>300</v>
      </c>
      <c r="C81" s="241" t="s">
        <v>3001</v>
      </c>
      <c r="D81" s="243">
        <v>40</v>
      </c>
      <c r="E81" s="241" t="s">
        <v>1718</v>
      </c>
      <c r="F81" s="243" t="s">
        <v>1719</v>
      </c>
      <c r="H81" s="243" t="s">
        <v>148</v>
      </c>
      <c r="I81" s="243" t="s">
        <v>148</v>
      </c>
      <c r="J81" s="241" t="s">
        <v>1202</v>
      </c>
      <c r="K81" s="243">
        <v>1474</v>
      </c>
      <c r="L81" s="241" t="s">
        <v>2925</v>
      </c>
      <c r="M81" s="243" t="s">
        <v>2926</v>
      </c>
      <c r="U81" s="244">
        <v>100000</v>
      </c>
      <c r="V81" s="244">
        <v>50000</v>
      </c>
      <c r="W81" s="244">
        <v>100000</v>
      </c>
      <c r="X81" s="244">
        <v>100000</v>
      </c>
      <c r="Y81" s="244">
        <v>100000</v>
      </c>
      <c r="Z81" s="244">
        <v>100000</v>
      </c>
      <c r="AA81" s="244">
        <v>100000</v>
      </c>
      <c r="AB81" s="325">
        <v>100000</v>
      </c>
      <c r="AC81" s="244">
        <v>100000</v>
      </c>
      <c r="AD81" s="244">
        <v>100000</v>
      </c>
      <c r="AE81" s="244">
        <v>100000</v>
      </c>
      <c r="AF81" s="244">
        <v>100000</v>
      </c>
      <c r="AG81" s="244">
        <v>100000</v>
      </c>
      <c r="AH81" s="244">
        <v>100000</v>
      </c>
    </row>
    <row r="82" spans="1:35">
      <c r="A82" s="241" t="s">
        <v>2983</v>
      </c>
      <c r="B82" s="242">
        <v>300</v>
      </c>
      <c r="C82" s="241" t="s">
        <v>3001</v>
      </c>
      <c r="D82" s="243">
        <v>40</v>
      </c>
      <c r="E82" s="241" t="s">
        <v>1759</v>
      </c>
      <c r="F82" s="243" t="s">
        <v>1759</v>
      </c>
      <c r="H82" s="243" t="s">
        <v>148</v>
      </c>
      <c r="I82" s="243" t="s">
        <v>148</v>
      </c>
      <c r="J82" s="241" t="s">
        <v>1202</v>
      </c>
      <c r="K82" s="243">
        <v>1474</v>
      </c>
      <c r="L82" s="241" t="s">
        <v>2809</v>
      </c>
      <c r="M82" s="243" t="s">
        <v>2810</v>
      </c>
    </row>
    <row r="83" spans="1:35">
      <c r="A83" s="241" t="s">
        <v>2983</v>
      </c>
      <c r="B83" s="242">
        <v>300</v>
      </c>
      <c r="C83" s="241" t="s">
        <v>3001</v>
      </c>
      <c r="D83" s="243">
        <v>40</v>
      </c>
      <c r="E83" s="241" t="s">
        <v>1768</v>
      </c>
      <c r="F83" s="243" t="s">
        <v>1768</v>
      </c>
      <c r="H83" s="243" t="s">
        <v>148</v>
      </c>
      <c r="I83" s="243" t="s">
        <v>148</v>
      </c>
      <c r="J83" s="241" t="s">
        <v>1202</v>
      </c>
      <c r="K83" s="243">
        <v>1474</v>
      </c>
      <c r="L83" s="241" t="s">
        <v>2773</v>
      </c>
      <c r="M83" s="243" t="s">
        <v>2774</v>
      </c>
      <c r="AC83" s="244">
        <v>25000</v>
      </c>
      <c r="AD83" s="244">
        <v>25000</v>
      </c>
      <c r="AE83" s="244">
        <v>25000</v>
      </c>
      <c r="AF83" s="244">
        <v>25000</v>
      </c>
      <c r="AG83" s="244">
        <v>25000</v>
      </c>
      <c r="AI83" s="241" t="s">
        <v>3016</v>
      </c>
    </row>
    <row r="84" spans="1:35">
      <c r="A84" s="241" t="s">
        <v>2983</v>
      </c>
      <c r="B84" s="242">
        <v>300</v>
      </c>
      <c r="C84" s="241" t="s">
        <v>297</v>
      </c>
      <c r="D84" s="243">
        <v>30</v>
      </c>
      <c r="E84" s="241" t="s">
        <v>1621</v>
      </c>
      <c r="F84" s="243" t="s">
        <v>1622</v>
      </c>
      <c r="H84" s="243" t="s">
        <v>148</v>
      </c>
      <c r="I84" s="243" t="s">
        <v>148</v>
      </c>
      <c r="J84" s="241" t="s">
        <v>1202</v>
      </c>
      <c r="K84" s="243">
        <v>1474</v>
      </c>
      <c r="L84" s="241" t="s">
        <v>92</v>
      </c>
      <c r="M84" s="243" t="s">
        <v>2882</v>
      </c>
      <c r="T84" s="248"/>
      <c r="U84" s="248"/>
      <c r="V84" s="248"/>
      <c r="W84" s="249"/>
      <c r="X84" s="249"/>
      <c r="Y84" s="249"/>
      <c r="Z84" s="249"/>
      <c r="AA84" s="249"/>
      <c r="AB84" s="327">
        <v>10000</v>
      </c>
      <c r="AC84" s="249"/>
      <c r="AD84" s="249"/>
      <c r="AE84" s="249"/>
      <c r="AF84" s="249"/>
      <c r="AG84" s="248"/>
      <c r="AH84" s="248"/>
      <c r="AI84" s="250" t="s">
        <v>3017</v>
      </c>
    </row>
    <row r="85" spans="1:35">
      <c r="A85" s="241" t="s">
        <v>2983</v>
      </c>
      <c r="B85" s="242">
        <v>300</v>
      </c>
      <c r="C85" s="241" t="s">
        <v>297</v>
      </c>
      <c r="D85" s="243">
        <v>30</v>
      </c>
      <c r="E85" s="241" t="s">
        <v>1802</v>
      </c>
      <c r="F85" s="243" t="s">
        <v>1802</v>
      </c>
      <c r="H85" s="243" t="s">
        <v>148</v>
      </c>
      <c r="I85" s="243" t="s">
        <v>148</v>
      </c>
      <c r="J85" s="241" t="s">
        <v>1202</v>
      </c>
      <c r="K85" s="243">
        <v>1474</v>
      </c>
      <c r="L85" s="241" t="s">
        <v>2857</v>
      </c>
      <c r="M85" s="243" t="s">
        <v>2858</v>
      </c>
      <c r="V85" s="245"/>
      <c r="W85" s="251"/>
      <c r="Z85" s="249"/>
      <c r="AB85" s="325">
        <v>30000</v>
      </c>
      <c r="AH85" s="245"/>
      <c r="AI85" s="241" t="s">
        <v>3018</v>
      </c>
    </row>
    <row r="86" spans="1:35">
      <c r="A86" s="241" t="s">
        <v>2983</v>
      </c>
      <c r="B86" s="242">
        <v>300</v>
      </c>
      <c r="C86" s="241" t="s">
        <v>257</v>
      </c>
      <c r="D86" s="243">
        <v>20</v>
      </c>
      <c r="E86" s="241" t="s">
        <v>1612</v>
      </c>
      <c r="F86" s="243" t="s">
        <v>1613</v>
      </c>
      <c r="H86" s="243" t="s">
        <v>148</v>
      </c>
      <c r="I86" s="243" t="s">
        <v>148</v>
      </c>
      <c r="J86" s="241" t="s">
        <v>309</v>
      </c>
      <c r="K86" s="243">
        <v>2414</v>
      </c>
      <c r="L86" s="241" t="s">
        <v>2925</v>
      </c>
      <c r="M86" s="243" t="s">
        <v>2926</v>
      </c>
      <c r="Y86" s="245"/>
      <c r="Z86" s="252"/>
    </row>
    <row r="87" spans="1:35">
      <c r="A87" s="241" t="s">
        <v>2983</v>
      </c>
      <c r="B87" s="242">
        <v>300</v>
      </c>
      <c r="C87" s="241" t="s">
        <v>290</v>
      </c>
      <c r="D87" s="243">
        <v>10</v>
      </c>
      <c r="E87" s="241" t="s">
        <v>1779</v>
      </c>
      <c r="F87" s="243" t="s">
        <v>1779</v>
      </c>
      <c r="H87" s="243"/>
      <c r="I87" s="243"/>
      <c r="J87" s="241" t="s">
        <v>1202</v>
      </c>
      <c r="K87" s="243">
        <v>1474</v>
      </c>
      <c r="L87" s="241" t="s">
        <v>2809</v>
      </c>
      <c r="M87" s="243" t="s">
        <v>2810</v>
      </c>
      <c r="V87" s="244">
        <v>37500</v>
      </c>
      <c r="W87" s="244">
        <v>50000</v>
      </c>
    </row>
    <row r="88" spans="1:35">
      <c r="B88" s="242"/>
      <c r="D88" s="243"/>
      <c r="F88" s="243"/>
      <c r="H88" s="243"/>
      <c r="I88" s="243"/>
      <c r="K88" s="243"/>
      <c r="M88" s="243"/>
    </row>
    <row r="89" spans="1:35">
      <c r="B89" s="242"/>
      <c r="D89" s="243"/>
      <c r="F89" s="243"/>
      <c r="H89" s="243"/>
      <c r="I89" s="243"/>
      <c r="K89" s="243"/>
      <c r="M89" s="243"/>
      <c r="S89" s="253"/>
      <c r="T89" s="253"/>
      <c r="V89" s="244">
        <f t="shared" ref="V89:AH89" si="1">SUM(V72:V87,V2:V69)</f>
        <v>360885</v>
      </c>
      <c r="W89" s="244">
        <f t="shared" si="1"/>
        <v>460186.75</v>
      </c>
      <c r="X89" s="244">
        <f t="shared" si="1"/>
        <v>401214</v>
      </c>
      <c r="Y89" s="244">
        <f t="shared" si="1"/>
        <v>217198.75</v>
      </c>
      <c r="Z89" s="244">
        <f t="shared" si="1"/>
        <v>227730</v>
      </c>
      <c r="AA89" s="244">
        <f t="shared" si="1"/>
        <v>337820</v>
      </c>
      <c r="AB89" s="244">
        <f t="shared" si="1"/>
        <v>570506.75</v>
      </c>
      <c r="AC89" s="244">
        <f t="shared" si="1"/>
        <v>536605</v>
      </c>
      <c r="AD89" s="244">
        <f t="shared" si="1"/>
        <v>457478</v>
      </c>
      <c r="AE89" s="244">
        <f t="shared" si="1"/>
        <v>688363.75</v>
      </c>
      <c r="AF89" s="244">
        <f t="shared" si="1"/>
        <v>673549</v>
      </c>
      <c r="AG89" s="244">
        <f t="shared" si="1"/>
        <v>509391</v>
      </c>
      <c r="AH89" s="244">
        <f t="shared" si="1"/>
        <v>358385</v>
      </c>
    </row>
  </sheetData>
  <autoFilter ref="A1:AI92" xr:uid="{010F87B4-4DC9-4AD7-BD81-3CE62536EC09}">
    <sortState xmlns:xlrd2="http://schemas.microsoft.com/office/spreadsheetml/2017/richdata2" ref="A2:AI87">
      <sortCondition ref="C1:C92"/>
    </sortState>
  </autoFilter>
  <conditionalFormatting sqref="D1:D1048576 H1:I1048576">
    <cfRule type="cellIs" dxfId="209" priority="1" operator="equal">
      <formula>"&lt;----"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9A1AD1-5A1D-4875-9B1D-385A61B2A011}">
          <x14:formula1>
            <xm:f>'account (M)'!$A$2:$A$5</xm:f>
          </x14:formula1>
          <xm:sqref>A2:A92</xm:sqref>
        </x14:dataValidation>
        <x14:dataValidation type="list" allowBlank="1" showInputMessage="1" showErrorMessage="1" xr:uid="{51CD8384-303D-4D8C-90D7-A355FBCA810C}">
          <x14:formula1>
            <xm:f>forecast!$B$6:$B$9</xm:f>
          </x14:formula1>
          <xm:sqref>C2:C88</xm:sqref>
        </x14:dataValidation>
        <x14:dataValidation type="list" allowBlank="1" showInputMessage="1" showErrorMessage="1" xr:uid="{0C364166-D985-47C3-9AED-AA459940E059}">
          <x14:formula1>
            <xm:f>headcust!$B$6:$B$225</xm:f>
          </x14:formula1>
          <xm:sqref>E2:E88</xm:sqref>
        </x14:dataValidation>
        <x14:dataValidation type="list" allowBlank="1" showInputMessage="1" showErrorMessage="1" xr:uid="{A06827FA-B801-4ED4-8630-511A17613FFA}">
          <x14:formula1>
            <xm:f>installation!$B$6:$B$1028</xm:f>
          </x14:formula1>
          <xm:sqref>J2:J88</xm:sqref>
        </x14:dataValidation>
        <x14:dataValidation type="list" allowBlank="1" showInputMessage="1" showErrorMessage="1" xr:uid="{B1EE6BE0-D381-44C3-88F2-A19E1FEEA475}">
          <x14:formula1>
            <xm:f>service!$B$6:$B$95</xm:f>
          </x14:formula1>
          <xm:sqref>L2:L88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F728-2CA6-4778-BA4C-29B314D2A21F}">
  <dimension ref="A1:AG90"/>
  <sheetViews>
    <sheetView zoomScale="85" zoomScaleNormal="85" workbookViewId="0">
      <selection activeCell="V9" sqref="V9"/>
    </sheetView>
  </sheetViews>
  <sheetFormatPr defaultColWidth="9.42578125" defaultRowHeight="13.9"/>
  <cols>
    <col min="1" max="1" width="23.42578125" style="241" customWidth="1"/>
    <col min="2" max="2" width="7.5703125" style="241" customWidth="1"/>
    <col min="3" max="3" width="16.42578125" style="241" customWidth="1"/>
    <col min="4" max="4" width="7.5703125" style="241" customWidth="1"/>
    <col min="5" max="5" width="16.42578125" style="241" customWidth="1"/>
    <col min="6" max="6" width="20.42578125" style="241" customWidth="1"/>
    <col min="7" max="7" width="23.42578125" style="241" customWidth="1"/>
    <col min="8" max="9" width="7.5703125" style="241" hidden="1" customWidth="1"/>
    <col min="10" max="10" width="76.42578125" style="241" customWidth="1"/>
    <col min="11" max="11" width="7.5703125" style="241" customWidth="1"/>
    <col min="12" max="12" width="48.42578125" style="241" bestFit="1" customWidth="1"/>
    <col min="13" max="13" width="7.5703125" style="241" customWidth="1"/>
    <col min="14" max="16" width="11.140625" style="244" hidden="1" customWidth="1"/>
    <col min="17" max="20" width="11" style="244" hidden="1" customWidth="1"/>
    <col min="21" max="21" width="13.140625" style="244" bestFit="1" customWidth="1"/>
    <col min="22" max="23" width="13.5703125" style="244" bestFit="1" customWidth="1"/>
    <col min="24" max="32" width="14" style="244" customWidth="1"/>
    <col min="33" max="33" width="64.85546875" style="241" bestFit="1" customWidth="1"/>
    <col min="34" max="16384" width="9.42578125" style="241"/>
  </cols>
  <sheetData>
    <row r="1" spans="1:33" s="237" customFormat="1">
      <c r="A1" s="237" t="s">
        <v>2991</v>
      </c>
      <c r="B1" s="238" t="s">
        <v>1413</v>
      </c>
      <c r="C1" s="237" t="s">
        <v>2992</v>
      </c>
      <c r="D1" s="238" t="s">
        <v>1440</v>
      </c>
      <c r="E1" s="238" t="s">
        <v>1443</v>
      </c>
      <c r="F1" s="237" t="s">
        <v>2993</v>
      </c>
      <c r="G1" s="237" t="s">
        <v>2994</v>
      </c>
      <c r="H1" s="238" t="s">
        <v>1442</v>
      </c>
      <c r="I1" s="238" t="s">
        <v>2995</v>
      </c>
      <c r="J1" s="237" t="s">
        <v>10</v>
      </c>
      <c r="K1" s="238" t="s">
        <v>1444</v>
      </c>
      <c r="L1" s="237" t="s">
        <v>2996</v>
      </c>
      <c r="M1" s="238" t="s">
        <v>16</v>
      </c>
      <c r="N1" s="239" t="s">
        <v>2997</v>
      </c>
      <c r="O1" s="239" t="str">
        <f>IF(RIGHT(N1,2)*1=12,"P"&amp;(MID(N1,2,4)*1+1)*100+1,"P"&amp;RIGHT(N1,6)*1+1)</f>
        <v>P202007</v>
      </c>
      <c r="P1" s="239" t="str">
        <f t="shared" ref="P1:AF1" si="0">IF(RIGHT(O1,2)*1=12,"P"&amp;(MID(O1,2,4)*1+1)*100+1,"P"&amp;RIGHT(O1,6)*1+1)</f>
        <v>P202008</v>
      </c>
      <c r="Q1" s="239" t="str">
        <f t="shared" si="0"/>
        <v>P202009</v>
      </c>
      <c r="R1" s="239" t="str">
        <f t="shared" si="0"/>
        <v>P202010</v>
      </c>
      <c r="S1" s="240" t="str">
        <f t="shared" si="0"/>
        <v>P202011</v>
      </c>
      <c r="T1" s="240" t="str">
        <f t="shared" si="0"/>
        <v>P202012</v>
      </c>
      <c r="U1" s="240" t="str">
        <f t="shared" si="0"/>
        <v>P202101</v>
      </c>
      <c r="V1" s="240" t="str">
        <f t="shared" si="0"/>
        <v>P202102</v>
      </c>
      <c r="W1" s="240" t="str">
        <f t="shared" si="0"/>
        <v>P202103</v>
      </c>
      <c r="X1" s="240" t="str">
        <f t="shared" si="0"/>
        <v>P202104</v>
      </c>
      <c r="Y1" s="240" t="str">
        <f t="shared" si="0"/>
        <v>P202105</v>
      </c>
      <c r="Z1" s="240" t="str">
        <f t="shared" si="0"/>
        <v>P202106</v>
      </c>
      <c r="AA1" s="240" t="str">
        <f t="shared" si="0"/>
        <v>P202107</v>
      </c>
      <c r="AB1" s="240" t="str">
        <f t="shared" si="0"/>
        <v>P202108</v>
      </c>
      <c r="AC1" s="240" t="str">
        <f t="shared" si="0"/>
        <v>P202109</v>
      </c>
      <c r="AD1" s="240" t="str">
        <f t="shared" si="0"/>
        <v>P202110</v>
      </c>
      <c r="AE1" s="240" t="str">
        <f t="shared" si="0"/>
        <v>P202111</v>
      </c>
      <c r="AF1" s="240" t="str">
        <f t="shared" si="0"/>
        <v>P202112</v>
      </c>
      <c r="AG1" s="237" t="s">
        <v>41</v>
      </c>
    </row>
    <row r="2" spans="1:33">
      <c r="A2" s="241" t="s">
        <v>2983</v>
      </c>
      <c r="B2" s="242">
        <v>300</v>
      </c>
      <c r="C2" s="241" t="s">
        <v>290</v>
      </c>
      <c r="D2" s="243">
        <v>10</v>
      </c>
      <c r="E2" s="241" t="s">
        <v>1796</v>
      </c>
      <c r="F2" s="243" t="s">
        <v>1796</v>
      </c>
      <c r="H2" s="243" t="s">
        <v>148</v>
      </c>
      <c r="I2" s="243" t="s">
        <v>148</v>
      </c>
      <c r="J2" s="241" t="s">
        <v>73</v>
      </c>
      <c r="K2" s="243">
        <v>1352</v>
      </c>
      <c r="L2" s="241" t="s">
        <v>2791</v>
      </c>
      <c r="M2" s="243" t="s">
        <v>2792</v>
      </c>
      <c r="N2" s="244">
        <v>17694</v>
      </c>
      <c r="Q2" s="244">
        <v>17694</v>
      </c>
      <c r="U2" s="244">
        <v>16238</v>
      </c>
      <c r="AG2" s="241" t="s">
        <v>107</v>
      </c>
    </row>
    <row r="3" spans="1:33">
      <c r="A3" s="241" t="s">
        <v>2983</v>
      </c>
      <c r="B3" s="242">
        <v>300</v>
      </c>
      <c r="C3" s="241" t="s">
        <v>290</v>
      </c>
      <c r="D3" s="243">
        <v>10</v>
      </c>
      <c r="E3" s="241" t="s">
        <v>1796</v>
      </c>
      <c r="F3" s="243" t="s">
        <v>1796</v>
      </c>
      <c r="H3" s="243" t="s">
        <v>148</v>
      </c>
      <c r="I3" s="243"/>
      <c r="J3" s="241" t="s">
        <v>73</v>
      </c>
      <c r="K3" s="243">
        <v>1352</v>
      </c>
      <c r="L3" s="241" t="s">
        <v>2809</v>
      </c>
      <c r="M3" s="243" t="s">
        <v>2810</v>
      </c>
      <c r="U3" s="244">
        <v>46771</v>
      </c>
      <c r="AG3" s="241" t="s">
        <v>71</v>
      </c>
    </row>
    <row r="4" spans="1:33">
      <c r="A4" s="241" t="s">
        <v>2983</v>
      </c>
      <c r="B4" s="242">
        <v>300</v>
      </c>
      <c r="C4" s="241" t="s">
        <v>290</v>
      </c>
      <c r="D4" s="243">
        <v>10</v>
      </c>
      <c r="E4" s="241" t="s">
        <v>1796</v>
      </c>
      <c r="F4" s="243" t="s">
        <v>1796</v>
      </c>
      <c r="H4" s="243" t="s">
        <v>148</v>
      </c>
      <c r="I4" s="243"/>
      <c r="J4" s="241" t="s">
        <v>73</v>
      </c>
      <c r="K4" s="243">
        <v>1352</v>
      </c>
      <c r="L4" s="241" t="s">
        <v>2857</v>
      </c>
      <c r="M4" s="243" t="s">
        <v>2858</v>
      </c>
      <c r="U4" s="244">
        <v>20871</v>
      </c>
      <c r="AG4" s="241" t="s">
        <v>2998</v>
      </c>
    </row>
    <row r="5" spans="1:33">
      <c r="A5" s="241" t="s">
        <v>2983</v>
      </c>
      <c r="B5" s="242">
        <v>300</v>
      </c>
      <c r="C5" s="241" t="s">
        <v>290</v>
      </c>
      <c r="D5" s="243">
        <v>10</v>
      </c>
      <c r="E5" s="241" t="s">
        <v>1796</v>
      </c>
      <c r="F5" s="243" t="s">
        <v>1796</v>
      </c>
      <c r="H5" s="243" t="s">
        <v>148</v>
      </c>
      <c r="I5" s="243"/>
      <c r="J5" s="241" t="s">
        <v>73</v>
      </c>
      <c r="K5" s="243">
        <v>1352</v>
      </c>
      <c r="L5" s="241" t="s">
        <v>92</v>
      </c>
      <c r="M5" s="243" t="s">
        <v>2882</v>
      </c>
      <c r="U5" s="244">
        <v>18910</v>
      </c>
      <c r="X5" s="244">
        <v>18910</v>
      </c>
      <c r="AA5" s="244">
        <v>18910</v>
      </c>
      <c r="AD5" s="244">
        <v>18910</v>
      </c>
      <c r="AG5" s="241" t="s">
        <v>1235</v>
      </c>
    </row>
    <row r="6" spans="1:33">
      <c r="A6" s="241" t="s">
        <v>2983</v>
      </c>
      <c r="B6" s="242">
        <v>300</v>
      </c>
      <c r="C6" s="241" t="s">
        <v>290</v>
      </c>
      <c r="D6" s="243">
        <v>10</v>
      </c>
      <c r="E6" s="241" t="s">
        <v>1796</v>
      </c>
      <c r="F6" s="243" t="s">
        <v>1796</v>
      </c>
      <c r="H6" s="243" t="s">
        <v>148</v>
      </c>
      <c r="I6" s="243"/>
      <c r="J6" s="241" t="s">
        <v>73</v>
      </c>
      <c r="K6" s="243">
        <v>1352</v>
      </c>
      <c r="L6" s="241" t="s">
        <v>2809</v>
      </c>
      <c r="M6" s="243" t="s">
        <v>2810</v>
      </c>
      <c r="V6" s="244">
        <v>22019</v>
      </c>
      <c r="AG6" s="241" t="s">
        <v>1236</v>
      </c>
    </row>
    <row r="7" spans="1:33">
      <c r="A7" s="241" t="s">
        <v>2983</v>
      </c>
      <c r="B7" s="242">
        <v>300</v>
      </c>
      <c r="C7" s="241" t="s">
        <v>290</v>
      </c>
      <c r="D7" s="243">
        <v>10</v>
      </c>
      <c r="E7" s="241" t="s">
        <v>1796</v>
      </c>
      <c r="F7" s="243" t="s">
        <v>1796</v>
      </c>
      <c r="H7" s="243" t="s">
        <v>148</v>
      </c>
      <c r="I7" s="243"/>
      <c r="J7" s="241" t="s">
        <v>73</v>
      </c>
      <c r="K7" s="243">
        <v>1352</v>
      </c>
      <c r="L7" s="241" t="s">
        <v>2857</v>
      </c>
      <c r="M7" s="243" t="s">
        <v>2858</v>
      </c>
      <c r="Y7" s="244">
        <v>10000</v>
      </c>
      <c r="AG7" s="241" t="s">
        <v>135</v>
      </c>
    </row>
    <row r="8" spans="1:33">
      <c r="A8" s="241" t="s">
        <v>2983</v>
      </c>
      <c r="B8" s="242">
        <v>300</v>
      </c>
      <c r="C8" s="241" t="s">
        <v>290</v>
      </c>
      <c r="D8" s="243">
        <v>10</v>
      </c>
      <c r="E8" s="241" t="s">
        <v>1796</v>
      </c>
      <c r="F8" s="243" t="s">
        <v>1796</v>
      </c>
      <c r="H8" s="243" t="s">
        <v>148</v>
      </c>
      <c r="I8" s="243"/>
      <c r="J8" s="241" t="s">
        <v>117</v>
      </c>
      <c r="K8" s="243">
        <v>2085</v>
      </c>
      <c r="L8" s="241" t="s">
        <v>2791</v>
      </c>
      <c r="M8" s="243" t="s">
        <v>2792</v>
      </c>
      <c r="X8" s="244">
        <v>16238</v>
      </c>
      <c r="AG8" s="241" t="s">
        <v>107</v>
      </c>
    </row>
    <row r="9" spans="1:33">
      <c r="A9" s="241" t="s">
        <v>2983</v>
      </c>
      <c r="B9" s="242">
        <v>300</v>
      </c>
      <c r="C9" s="241" t="s">
        <v>290</v>
      </c>
      <c r="D9" s="243">
        <v>10</v>
      </c>
      <c r="E9" s="241" t="s">
        <v>1796</v>
      </c>
      <c r="F9" s="243" t="s">
        <v>1796</v>
      </c>
      <c r="H9" s="243" t="s">
        <v>148</v>
      </c>
      <c r="I9" s="243"/>
      <c r="J9" s="241" t="s">
        <v>117</v>
      </c>
      <c r="K9" s="243">
        <v>2085</v>
      </c>
      <c r="L9" s="241" t="s">
        <v>2809</v>
      </c>
      <c r="M9" s="243" t="s">
        <v>2810</v>
      </c>
      <c r="V9" s="244">
        <v>46771</v>
      </c>
      <c r="AG9" s="241" t="s">
        <v>71</v>
      </c>
    </row>
    <row r="10" spans="1:33">
      <c r="A10" s="241" t="s">
        <v>2983</v>
      </c>
      <c r="B10" s="242">
        <v>300</v>
      </c>
      <c r="C10" s="241" t="s">
        <v>290</v>
      </c>
      <c r="D10" s="243">
        <v>10</v>
      </c>
      <c r="E10" s="241" t="s">
        <v>1796</v>
      </c>
      <c r="F10" s="243" t="s">
        <v>1796</v>
      </c>
      <c r="H10" s="243" t="s">
        <v>148</v>
      </c>
      <c r="I10" s="243"/>
      <c r="J10" s="241" t="s">
        <v>117</v>
      </c>
      <c r="K10" s="243">
        <v>2085</v>
      </c>
      <c r="L10" s="241" t="s">
        <v>2857</v>
      </c>
      <c r="M10" s="243" t="s">
        <v>2858</v>
      </c>
      <c r="U10" s="244">
        <v>20871</v>
      </c>
      <c r="AG10" s="241" t="s">
        <v>2998</v>
      </c>
    </row>
    <row r="11" spans="1:33">
      <c r="A11" s="241" t="s">
        <v>2983</v>
      </c>
      <c r="B11" s="242">
        <v>300</v>
      </c>
      <c r="C11" s="241" t="s">
        <v>290</v>
      </c>
      <c r="D11" s="243">
        <v>10</v>
      </c>
      <c r="E11" s="241" t="s">
        <v>1796</v>
      </c>
      <c r="F11" s="243" t="s">
        <v>1796</v>
      </c>
      <c r="H11" s="243" t="s">
        <v>148</v>
      </c>
      <c r="I11" s="243"/>
      <c r="J11" s="241" t="s">
        <v>117</v>
      </c>
      <c r="K11" s="243">
        <v>2085</v>
      </c>
      <c r="L11" s="241" t="s">
        <v>92</v>
      </c>
      <c r="M11" s="243" t="s">
        <v>2882</v>
      </c>
      <c r="V11" s="244">
        <v>18910</v>
      </c>
      <c r="Y11" s="244">
        <v>18910</v>
      </c>
      <c r="AB11" s="244">
        <v>18910</v>
      </c>
      <c r="AE11" s="244">
        <v>18910</v>
      </c>
      <c r="AG11" s="241" t="s">
        <v>1235</v>
      </c>
    </row>
    <row r="12" spans="1:33">
      <c r="A12" s="241" t="s">
        <v>2983</v>
      </c>
      <c r="B12" s="242">
        <v>300</v>
      </c>
      <c r="C12" s="241" t="s">
        <v>290</v>
      </c>
      <c r="D12" s="243">
        <v>10</v>
      </c>
      <c r="E12" s="241" t="s">
        <v>1796</v>
      </c>
      <c r="F12" s="243" t="s">
        <v>1796</v>
      </c>
      <c r="H12" s="243" t="s">
        <v>148</v>
      </c>
      <c r="I12" s="243"/>
      <c r="J12" s="241" t="s">
        <v>117</v>
      </c>
      <c r="K12" s="243">
        <v>2085</v>
      </c>
      <c r="L12" s="241" t="s">
        <v>2809</v>
      </c>
      <c r="M12" s="243" t="s">
        <v>2810</v>
      </c>
      <c r="X12" s="244">
        <v>22019</v>
      </c>
      <c r="AG12" s="241" t="s">
        <v>1236</v>
      </c>
    </row>
    <row r="13" spans="1:33">
      <c r="A13" s="241" t="s">
        <v>2983</v>
      </c>
      <c r="B13" s="242">
        <v>300</v>
      </c>
      <c r="C13" s="241" t="s">
        <v>290</v>
      </c>
      <c r="D13" s="243">
        <v>10</v>
      </c>
      <c r="E13" s="241" t="s">
        <v>1796</v>
      </c>
      <c r="F13" s="243" t="s">
        <v>1796</v>
      </c>
      <c r="H13" s="243" t="s">
        <v>148</v>
      </c>
      <c r="I13" s="243"/>
      <c r="J13" s="241" t="s">
        <v>117</v>
      </c>
      <c r="K13" s="243">
        <v>2085</v>
      </c>
      <c r="L13" s="241" t="s">
        <v>2857</v>
      </c>
      <c r="M13" s="243" t="s">
        <v>2858</v>
      </c>
      <c r="V13" s="244">
        <v>10000</v>
      </c>
      <c r="AG13" s="241" t="s">
        <v>135</v>
      </c>
    </row>
    <row r="14" spans="1:33">
      <c r="A14" s="241" t="s">
        <v>2983</v>
      </c>
      <c r="B14" s="242">
        <v>300</v>
      </c>
      <c r="C14" s="241" t="s">
        <v>290</v>
      </c>
      <c r="D14" s="243">
        <v>10</v>
      </c>
      <c r="E14" s="241" t="s">
        <v>1796</v>
      </c>
      <c r="F14" s="243" t="s">
        <v>1796</v>
      </c>
      <c r="H14" s="243" t="s">
        <v>148</v>
      </c>
      <c r="I14" s="243"/>
      <c r="J14" s="241" t="s">
        <v>114</v>
      </c>
      <c r="K14" s="243">
        <v>1354</v>
      </c>
      <c r="L14" s="241" t="s">
        <v>2791</v>
      </c>
      <c r="M14" s="243" t="s">
        <v>2792</v>
      </c>
      <c r="AF14" s="244">
        <v>1</v>
      </c>
      <c r="AG14" s="241" t="s">
        <v>107</v>
      </c>
    </row>
    <row r="15" spans="1:33">
      <c r="A15" s="241" t="s">
        <v>2983</v>
      </c>
      <c r="B15" s="242">
        <v>300</v>
      </c>
      <c r="C15" s="241" t="s">
        <v>290</v>
      </c>
      <c r="D15" s="243">
        <v>10</v>
      </c>
      <c r="E15" s="241" t="s">
        <v>1796</v>
      </c>
      <c r="F15" s="243" t="s">
        <v>1796</v>
      </c>
      <c r="H15" s="243" t="s">
        <v>148</v>
      </c>
      <c r="I15" s="243"/>
      <c r="J15" s="241" t="s">
        <v>114</v>
      </c>
      <c r="K15" s="243">
        <v>1354</v>
      </c>
      <c r="L15" s="241" t="s">
        <v>2809</v>
      </c>
      <c r="M15" s="243" t="s">
        <v>2810</v>
      </c>
      <c r="AF15" s="244">
        <v>1</v>
      </c>
      <c r="AG15" s="241" t="s">
        <v>71</v>
      </c>
    </row>
    <row r="16" spans="1:33">
      <c r="A16" s="241" t="s">
        <v>2983</v>
      </c>
      <c r="B16" s="242">
        <v>300</v>
      </c>
      <c r="C16" s="241" t="s">
        <v>290</v>
      </c>
      <c r="D16" s="243">
        <v>10</v>
      </c>
      <c r="E16" s="241" t="s">
        <v>1796</v>
      </c>
      <c r="F16" s="243" t="s">
        <v>1796</v>
      </c>
      <c r="H16" s="243" t="s">
        <v>148</v>
      </c>
      <c r="I16" s="243"/>
      <c r="J16" s="241" t="s">
        <v>114</v>
      </c>
      <c r="K16" s="243">
        <v>1354</v>
      </c>
      <c r="L16" s="241" t="s">
        <v>2857</v>
      </c>
      <c r="M16" s="243" t="s">
        <v>2858</v>
      </c>
      <c r="W16" s="244">
        <v>1</v>
      </c>
      <c r="AG16" s="241" t="s">
        <v>2998</v>
      </c>
    </row>
    <row r="17" spans="1:33">
      <c r="A17" s="241" t="s">
        <v>2983</v>
      </c>
      <c r="B17" s="242">
        <v>300</v>
      </c>
      <c r="C17" s="241" t="s">
        <v>290</v>
      </c>
      <c r="D17" s="243">
        <v>10</v>
      </c>
      <c r="E17" s="241" t="s">
        <v>1796</v>
      </c>
      <c r="F17" s="243" t="s">
        <v>1796</v>
      </c>
      <c r="H17" s="243" t="s">
        <v>148</v>
      </c>
      <c r="I17" s="243"/>
      <c r="J17" s="241" t="s">
        <v>114</v>
      </c>
      <c r="K17" s="243">
        <v>1354</v>
      </c>
      <c r="L17" s="241" t="s">
        <v>92</v>
      </c>
      <c r="M17" s="243" t="s">
        <v>2882</v>
      </c>
      <c r="U17" s="244">
        <v>1</v>
      </c>
      <c r="X17" s="244">
        <v>1</v>
      </c>
      <c r="AA17" s="244">
        <v>1</v>
      </c>
      <c r="AD17" s="244">
        <v>1</v>
      </c>
      <c r="AG17" s="241" t="s">
        <v>1235</v>
      </c>
    </row>
    <row r="18" spans="1:33">
      <c r="A18" s="241" t="s">
        <v>2983</v>
      </c>
      <c r="B18" s="242">
        <v>300</v>
      </c>
      <c r="C18" s="241" t="s">
        <v>290</v>
      </c>
      <c r="D18" s="243">
        <v>10</v>
      </c>
      <c r="E18" s="241" t="s">
        <v>1796</v>
      </c>
      <c r="F18" s="243" t="s">
        <v>1796</v>
      </c>
      <c r="H18" s="243" t="s">
        <v>148</v>
      </c>
      <c r="I18" s="243"/>
      <c r="J18" s="241" t="s">
        <v>114</v>
      </c>
      <c r="K18" s="243">
        <v>1354</v>
      </c>
      <c r="L18" s="241" t="s">
        <v>2809</v>
      </c>
      <c r="M18" s="243" t="s">
        <v>2810</v>
      </c>
      <c r="W18" s="244">
        <v>1</v>
      </c>
      <c r="AG18" s="241" t="s">
        <v>1236</v>
      </c>
    </row>
    <row r="19" spans="1:33">
      <c r="A19" s="241" t="s">
        <v>2983</v>
      </c>
      <c r="B19" s="242">
        <v>300</v>
      </c>
      <c r="C19" s="241" t="s">
        <v>290</v>
      </c>
      <c r="D19" s="243">
        <v>10</v>
      </c>
      <c r="E19" s="241" t="s">
        <v>1796</v>
      </c>
      <c r="F19" s="243" t="s">
        <v>1796</v>
      </c>
      <c r="H19" s="243" t="s">
        <v>148</v>
      </c>
      <c r="I19" s="243"/>
      <c r="J19" s="241" t="s">
        <v>114</v>
      </c>
      <c r="K19" s="243">
        <v>1354</v>
      </c>
      <c r="L19" s="241" t="s">
        <v>2857</v>
      </c>
      <c r="M19" s="243" t="s">
        <v>2858</v>
      </c>
      <c r="W19" s="244">
        <v>1</v>
      </c>
      <c r="AD19" s="244">
        <v>1</v>
      </c>
      <c r="AG19" s="241" t="s">
        <v>135</v>
      </c>
    </row>
    <row r="20" spans="1:33">
      <c r="A20" s="241" t="s">
        <v>2983</v>
      </c>
      <c r="B20" s="242">
        <v>300</v>
      </c>
      <c r="C20" s="241" t="s">
        <v>290</v>
      </c>
      <c r="D20" s="243">
        <v>10</v>
      </c>
      <c r="E20" s="241" t="s">
        <v>1796</v>
      </c>
      <c r="F20" s="243" t="s">
        <v>1796</v>
      </c>
      <c r="H20" s="243" t="s">
        <v>148</v>
      </c>
      <c r="I20" s="243"/>
      <c r="J20" s="241" t="s">
        <v>146</v>
      </c>
      <c r="K20" s="243">
        <v>2096</v>
      </c>
      <c r="L20" s="241" t="s">
        <v>2791</v>
      </c>
      <c r="M20" s="243" t="s">
        <v>2792</v>
      </c>
      <c r="AF20" s="244">
        <v>16238</v>
      </c>
      <c r="AG20" s="241" t="s">
        <v>107</v>
      </c>
    </row>
    <row r="21" spans="1:33">
      <c r="A21" s="241" t="s">
        <v>2983</v>
      </c>
      <c r="B21" s="242">
        <v>300</v>
      </c>
      <c r="C21" s="241" t="s">
        <v>290</v>
      </c>
      <c r="D21" s="243">
        <v>10</v>
      </c>
      <c r="E21" s="241" t="s">
        <v>1796</v>
      </c>
      <c r="F21" s="243" t="s">
        <v>1796</v>
      </c>
      <c r="H21" s="243" t="s">
        <v>148</v>
      </c>
      <c r="I21" s="243"/>
      <c r="J21" s="241" t="s">
        <v>146</v>
      </c>
      <c r="K21" s="243">
        <v>2096</v>
      </c>
      <c r="L21" s="241" t="s">
        <v>2809</v>
      </c>
      <c r="M21" s="243" t="s">
        <v>2810</v>
      </c>
      <c r="AE21" s="244">
        <v>46771</v>
      </c>
      <c r="AG21" s="241" t="s">
        <v>71</v>
      </c>
    </row>
    <row r="22" spans="1:33">
      <c r="A22" s="241" t="s">
        <v>2983</v>
      </c>
      <c r="B22" s="242">
        <v>300</v>
      </c>
      <c r="C22" s="241" t="s">
        <v>290</v>
      </c>
      <c r="D22" s="243">
        <v>10</v>
      </c>
      <c r="E22" s="241" t="s">
        <v>1796</v>
      </c>
      <c r="F22" s="243" t="s">
        <v>1796</v>
      </c>
      <c r="H22" s="243" t="s">
        <v>148</v>
      </c>
      <c r="I22" s="243"/>
      <c r="J22" s="241" t="s">
        <v>146</v>
      </c>
      <c r="K22" s="243">
        <v>2096</v>
      </c>
      <c r="L22" s="241" t="s">
        <v>2857</v>
      </c>
      <c r="M22" s="243" t="s">
        <v>2858</v>
      </c>
      <c r="U22" s="244">
        <v>20871</v>
      </c>
      <c r="AG22" s="241" t="s">
        <v>2998</v>
      </c>
    </row>
    <row r="23" spans="1:33">
      <c r="A23" s="241" t="s">
        <v>2983</v>
      </c>
      <c r="B23" s="242">
        <v>300</v>
      </c>
      <c r="C23" s="241" t="s">
        <v>290</v>
      </c>
      <c r="D23" s="243">
        <v>10</v>
      </c>
      <c r="E23" s="241" t="s">
        <v>1796</v>
      </c>
      <c r="F23" s="243" t="s">
        <v>1796</v>
      </c>
      <c r="H23" s="243" t="s">
        <v>148</v>
      </c>
      <c r="I23" s="243"/>
      <c r="J23" s="241" t="s">
        <v>146</v>
      </c>
      <c r="K23" s="243">
        <v>2096</v>
      </c>
      <c r="L23" s="241" t="s">
        <v>92</v>
      </c>
      <c r="M23" s="243" t="s">
        <v>2882</v>
      </c>
      <c r="U23" s="244">
        <v>18910</v>
      </c>
      <c r="X23" s="244">
        <v>18910</v>
      </c>
      <c r="AA23" s="244">
        <v>18910</v>
      </c>
      <c r="AD23" s="244">
        <v>18910</v>
      </c>
      <c r="AG23" s="241" t="s">
        <v>1235</v>
      </c>
    </row>
    <row r="24" spans="1:33">
      <c r="A24" s="241" t="s">
        <v>2983</v>
      </c>
      <c r="B24" s="242">
        <v>300</v>
      </c>
      <c r="C24" s="241" t="s">
        <v>290</v>
      </c>
      <c r="D24" s="243">
        <v>10</v>
      </c>
      <c r="E24" s="241" t="s">
        <v>1796</v>
      </c>
      <c r="F24" s="243" t="s">
        <v>1796</v>
      </c>
      <c r="H24" s="243" t="s">
        <v>148</v>
      </c>
      <c r="I24" s="243"/>
      <c r="J24" s="241" t="s">
        <v>146</v>
      </c>
      <c r="K24" s="243">
        <v>2096</v>
      </c>
      <c r="L24" s="241" t="s">
        <v>2809</v>
      </c>
      <c r="M24" s="243" t="s">
        <v>2810</v>
      </c>
      <c r="AE24" s="244">
        <v>22019</v>
      </c>
      <c r="AG24" s="241" t="s">
        <v>1236</v>
      </c>
    </row>
    <row r="25" spans="1:33">
      <c r="A25" s="241" t="s">
        <v>2983</v>
      </c>
      <c r="B25" s="242">
        <v>300</v>
      </c>
      <c r="C25" s="241" t="s">
        <v>290</v>
      </c>
      <c r="D25" s="243">
        <v>10</v>
      </c>
      <c r="E25" s="241" t="s">
        <v>1796</v>
      </c>
      <c r="F25" s="243" t="s">
        <v>1796</v>
      </c>
      <c r="H25" s="243" t="s">
        <v>148</v>
      </c>
      <c r="I25" s="243"/>
      <c r="J25" s="241" t="s">
        <v>146</v>
      </c>
      <c r="K25" s="243">
        <v>2096</v>
      </c>
      <c r="L25" s="241" t="s">
        <v>2857</v>
      </c>
      <c r="M25" s="243" t="s">
        <v>2858</v>
      </c>
      <c r="AB25" s="244">
        <v>10000</v>
      </c>
      <c r="AG25" s="241" t="s">
        <v>135</v>
      </c>
    </row>
    <row r="26" spans="1:33">
      <c r="A26" s="241" t="s">
        <v>2983</v>
      </c>
      <c r="B26" s="242">
        <v>300</v>
      </c>
      <c r="C26" s="241" t="s">
        <v>290</v>
      </c>
      <c r="D26" s="243">
        <v>10</v>
      </c>
      <c r="E26" s="241" t="s">
        <v>1796</v>
      </c>
      <c r="F26" s="243" t="s">
        <v>1796</v>
      </c>
      <c r="H26" s="243" t="s">
        <v>148</v>
      </c>
      <c r="I26" s="243"/>
      <c r="J26" s="241" t="s">
        <v>146</v>
      </c>
      <c r="K26" s="243">
        <v>2096</v>
      </c>
      <c r="L26" s="254" t="s">
        <v>2857</v>
      </c>
      <c r="M26" s="243" t="s">
        <v>2858</v>
      </c>
      <c r="U26" s="244">
        <v>22000</v>
      </c>
      <c r="AG26" s="241" t="s">
        <v>2999</v>
      </c>
    </row>
    <row r="27" spans="1:33">
      <c r="A27" s="241" t="s">
        <v>2983</v>
      </c>
      <c r="B27" s="242">
        <v>300</v>
      </c>
      <c r="C27" s="241" t="s">
        <v>290</v>
      </c>
      <c r="D27" s="243">
        <v>10</v>
      </c>
      <c r="E27" s="241" t="s">
        <v>1796</v>
      </c>
      <c r="F27" s="243" t="s">
        <v>1796</v>
      </c>
      <c r="H27" s="243" t="s">
        <v>148</v>
      </c>
      <c r="I27" s="243"/>
      <c r="J27" s="241" t="s">
        <v>235</v>
      </c>
      <c r="K27" s="243">
        <v>1357</v>
      </c>
      <c r="L27" s="241" t="s">
        <v>2791</v>
      </c>
      <c r="M27" s="243" t="s">
        <v>2792</v>
      </c>
      <c r="AB27" s="244">
        <v>16238</v>
      </c>
      <c r="AG27" s="241" t="s">
        <v>107</v>
      </c>
    </row>
    <row r="28" spans="1:33">
      <c r="A28" s="241" t="s">
        <v>2983</v>
      </c>
      <c r="B28" s="242">
        <v>300</v>
      </c>
      <c r="C28" s="241" t="s">
        <v>290</v>
      </c>
      <c r="D28" s="243">
        <v>10</v>
      </c>
      <c r="E28" s="241" t="s">
        <v>1796</v>
      </c>
      <c r="F28" s="243" t="s">
        <v>1796</v>
      </c>
      <c r="H28" s="243" t="s">
        <v>148</v>
      </c>
      <c r="I28" s="243"/>
      <c r="J28" s="241" t="s">
        <v>235</v>
      </c>
      <c r="K28" s="243">
        <v>1357</v>
      </c>
      <c r="L28" s="241" t="s">
        <v>2809</v>
      </c>
      <c r="M28" s="243" t="s">
        <v>2810</v>
      </c>
      <c r="AF28" s="244">
        <v>46771</v>
      </c>
      <c r="AG28" s="241" t="s">
        <v>71</v>
      </c>
    </row>
    <row r="29" spans="1:33">
      <c r="A29" s="241" t="s">
        <v>2983</v>
      </c>
      <c r="B29" s="242">
        <v>300</v>
      </c>
      <c r="C29" s="241" t="s">
        <v>290</v>
      </c>
      <c r="D29" s="243">
        <v>10</v>
      </c>
      <c r="E29" s="241" t="s">
        <v>1796</v>
      </c>
      <c r="F29" s="243" t="s">
        <v>1796</v>
      </c>
      <c r="H29" s="243" t="s">
        <v>148</v>
      </c>
      <c r="I29" s="243"/>
      <c r="J29" s="241" t="s">
        <v>235</v>
      </c>
      <c r="K29" s="243">
        <v>1357</v>
      </c>
      <c r="L29" s="241" t="s">
        <v>2857</v>
      </c>
      <c r="M29" s="243" t="s">
        <v>2858</v>
      </c>
      <c r="AC29" s="244">
        <v>20871</v>
      </c>
      <c r="AG29" s="241" t="s">
        <v>2998</v>
      </c>
    </row>
    <row r="30" spans="1:33">
      <c r="A30" s="241" t="s">
        <v>2983</v>
      </c>
      <c r="B30" s="242">
        <v>300</v>
      </c>
      <c r="C30" s="241" t="s">
        <v>290</v>
      </c>
      <c r="D30" s="243">
        <v>10</v>
      </c>
      <c r="E30" s="241" t="s">
        <v>1796</v>
      </c>
      <c r="F30" s="243" t="s">
        <v>1796</v>
      </c>
      <c r="H30" s="243" t="s">
        <v>148</v>
      </c>
      <c r="I30" s="243"/>
      <c r="J30" s="241" t="s">
        <v>235</v>
      </c>
      <c r="K30" s="243">
        <v>1357</v>
      </c>
      <c r="L30" s="241" t="s">
        <v>92</v>
      </c>
      <c r="M30" s="243" t="s">
        <v>2882</v>
      </c>
      <c r="V30" s="244">
        <v>18910</v>
      </c>
      <c r="Y30" s="244">
        <v>18910</v>
      </c>
      <c r="AB30" s="244">
        <v>18910</v>
      </c>
      <c r="AE30" s="244">
        <v>18910</v>
      </c>
      <c r="AG30" s="241" t="s">
        <v>1235</v>
      </c>
    </row>
    <row r="31" spans="1:33">
      <c r="A31" s="241" t="s">
        <v>2983</v>
      </c>
      <c r="B31" s="242">
        <v>300</v>
      </c>
      <c r="C31" s="241" t="s">
        <v>290</v>
      </c>
      <c r="D31" s="243">
        <v>10</v>
      </c>
      <c r="E31" s="241" t="s">
        <v>1796</v>
      </c>
      <c r="F31" s="243" t="s">
        <v>1796</v>
      </c>
      <c r="H31" s="243" t="s">
        <v>148</v>
      </c>
      <c r="I31" s="243"/>
      <c r="J31" s="241" t="s">
        <v>235</v>
      </c>
      <c r="K31" s="243">
        <v>1357</v>
      </c>
      <c r="L31" s="241" t="s">
        <v>2809</v>
      </c>
      <c r="M31" s="243" t="s">
        <v>2810</v>
      </c>
      <c r="AE31" s="244">
        <v>22019</v>
      </c>
      <c r="AG31" s="241" t="s">
        <v>1236</v>
      </c>
    </row>
    <row r="32" spans="1:33">
      <c r="A32" s="241" t="s">
        <v>2983</v>
      </c>
      <c r="B32" s="242">
        <v>300</v>
      </c>
      <c r="C32" s="241" t="s">
        <v>290</v>
      </c>
      <c r="D32" s="243">
        <v>10</v>
      </c>
      <c r="E32" s="241" t="s">
        <v>1796</v>
      </c>
      <c r="F32" s="243" t="s">
        <v>1796</v>
      </c>
      <c r="H32" s="243" t="s">
        <v>148</v>
      </c>
      <c r="I32" s="243"/>
      <c r="J32" s="241" t="s">
        <v>235</v>
      </c>
      <c r="K32" s="243">
        <v>1357</v>
      </c>
      <c r="L32" s="241" t="s">
        <v>2857</v>
      </c>
      <c r="M32" s="243" t="s">
        <v>2858</v>
      </c>
      <c r="U32" s="244">
        <v>36000</v>
      </c>
      <c r="AF32" s="244">
        <v>20000</v>
      </c>
      <c r="AG32" s="241" t="s">
        <v>135</v>
      </c>
    </row>
    <row r="33" spans="1:33">
      <c r="A33" s="241" t="s">
        <v>2983</v>
      </c>
      <c r="B33" s="242">
        <v>300</v>
      </c>
      <c r="C33" s="241" t="s">
        <v>290</v>
      </c>
      <c r="D33" s="243">
        <v>10</v>
      </c>
      <c r="E33" s="241" t="s">
        <v>1796</v>
      </c>
      <c r="F33" s="243" t="s">
        <v>1796</v>
      </c>
      <c r="H33" s="243" t="s">
        <v>148</v>
      </c>
      <c r="I33" s="243"/>
      <c r="J33" s="241" t="s">
        <v>130</v>
      </c>
      <c r="K33" s="243">
        <v>2093</v>
      </c>
      <c r="L33" s="241" t="s">
        <v>2791</v>
      </c>
      <c r="M33" s="243" t="s">
        <v>2792</v>
      </c>
      <c r="AD33" s="244">
        <v>16238</v>
      </c>
      <c r="AG33" s="241" t="s">
        <v>107</v>
      </c>
    </row>
    <row r="34" spans="1:33">
      <c r="A34" s="241" t="s">
        <v>2983</v>
      </c>
      <c r="B34" s="242">
        <v>300</v>
      </c>
      <c r="C34" s="241" t="s">
        <v>290</v>
      </c>
      <c r="D34" s="243">
        <v>10</v>
      </c>
      <c r="E34" s="241" t="s">
        <v>1796</v>
      </c>
      <c r="F34" s="243" t="s">
        <v>1796</v>
      </c>
      <c r="H34" s="243" t="s">
        <v>148</v>
      </c>
      <c r="I34" s="243"/>
      <c r="J34" s="241" t="s">
        <v>130</v>
      </c>
      <c r="K34" s="243">
        <v>2093</v>
      </c>
      <c r="L34" s="241" t="s">
        <v>2809</v>
      </c>
      <c r="M34" s="243" t="s">
        <v>2810</v>
      </c>
      <c r="AD34" s="244">
        <v>46771</v>
      </c>
      <c r="AG34" s="241" t="s">
        <v>71</v>
      </c>
    </row>
    <row r="35" spans="1:33">
      <c r="A35" s="241" t="s">
        <v>2983</v>
      </c>
      <c r="B35" s="242">
        <v>300</v>
      </c>
      <c r="C35" s="241" t="s">
        <v>290</v>
      </c>
      <c r="D35" s="243">
        <v>10</v>
      </c>
      <c r="E35" s="241" t="s">
        <v>1796</v>
      </c>
      <c r="F35" s="243" t="s">
        <v>1796</v>
      </c>
      <c r="H35" s="243" t="s">
        <v>148</v>
      </c>
      <c r="I35" s="243"/>
      <c r="J35" s="241" t="s">
        <v>130</v>
      </c>
      <c r="K35" s="243">
        <v>2093</v>
      </c>
      <c r="L35" s="241" t="s">
        <v>2857</v>
      </c>
      <c r="M35" s="243" t="s">
        <v>2858</v>
      </c>
      <c r="AF35" s="244">
        <v>20871</v>
      </c>
      <c r="AG35" s="241" t="s">
        <v>2998</v>
      </c>
    </row>
    <row r="36" spans="1:33">
      <c r="A36" s="241" t="s">
        <v>2983</v>
      </c>
      <c r="B36" s="242">
        <v>300</v>
      </c>
      <c r="C36" s="241" t="s">
        <v>290</v>
      </c>
      <c r="D36" s="243">
        <v>10</v>
      </c>
      <c r="E36" s="241" t="s">
        <v>1796</v>
      </c>
      <c r="F36" s="243" t="s">
        <v>1796</v>
      </c>
      <c r="H36" s="243" t="s">
        <v>148</v>
      </c>
      <c r="I36" s="243"/>
      <c r="J36" s="241" t="s">
        <v>130</v>
      </c>
      <c r="K36" s="243">
        <v>2093</v>
      </c>
      <c r="L36" s="241" t="s">
        <v>92</v>
      </c>
      <c r="M36" s="243" t="s">
        <v>2882</v>
      </c>
      <c r="W36" s="244">
        <v>18910</v>
      </c>
      <c r="Z36" s="244">
        <v>18910</v>
      </c>
      <c r="AC36" s="244">
        <v>18910</v>
      </c>
      <c r="AF36" s="244">
        <v>18910</v>
      </c>
      <c r="AG36" s="241" t="s">
        <v>1235</v>
      </c>
    </row>
    <row r="37" spans="1:33">
      <c r="A37" s="241" t="s">
        <v>2983</v>
      </c>
      <c r="B37" s="242">
        <v>300</v>
      </c>
      <c r="C37" s="241" t="s">
        <v>290</v>
      </c>
      <c r="D37" s="243">
        <v>10</v>
      </c>
      <c r="E37" s="241" t="s">
        <v>1796</v>
      </c>
      <c r="F37" s="243" t="s">
        <v>1796</v>
      </c>
      <c r="H37" s="243" t="s">
        <v>148</v>
      </c>
      <c r="I37" s="243"/>
      <c r="J37" s="241" t="s">
        <v>130</v>
      </c>
      <c r="K37" s="243">
        <v>2093</v>
      </c>
      <c r="L37" s="241" t="s">
        <v>2809</v>
      </c>
      <c r="M37" s="243" t="s">
        <v>2810</v>
      </c>
      <c r="V37" s="244">
        <v>22019</v>
      </c>
      <c r="AG37" s="241" t="s">
        <v>1236</v>
      </c>
    </row>
    <row r="38" spans="1:33">
      <c r="A38" s="241" t="s">
        <v>2983</v>
      </c>
      <c r="B38" s="242">
        <v>300</v>
      </c>
      <c r="C38" s="241" t="s">
        <v>290</v>
      </c>
      <c r="D38" s="243">
        <v>10</v>
      </c>
      <c r="E38" s="241" t="s">
        <v>1796</v>
      </c>
      <c r="F38" s="243" t="s">
        <v>1796</v>
      </c>
      <c r="H38" s="243" t="s">
        <v>148</v>
      </c>
      <c r="I38" s="243"/>
      <c r="J38" s="241" t="s">
        <v>130</v>
      </c>
      <c r="K38" s="243">
        <v>2093</v>
      </c>
      <c r="L38" s="241" t="s">
        <v>2857</v>
      </c>
      <c r="M38" s="243" t="s">
        <v>2858</v>
      </c>
      <c r="AD38" s="244">
        <v>10000</v>
      </c>
      <c r="AG38" s="241" t="s">
        <v>135</v>
      </c>
    </row>
    <row r="39" spans="1:33">
      <c r="A39" s="241" t="s">
        <v>2983</v>
      </c>
      <c r="B39" s="242">
        <v>300</v>
      </c>
      <c r="C39" s="241" t="s">
        <v>290</v>
      </c>
      <c r="D39" s="243">
        <v>10</v>
      </c>
      <c r="E39" s="241" t="s">
        <v>1796</v>
      </c>
      <c r="F39" s="243" t="s">
        <v>1796</v>
      </c>
      <c r="H39" s="243" t="s">
        <v>148</v>
      </c>
      <c r="I39" s="243"/>
      <c r="J39" s="241" t="s">
        <v>122</v>
      </c>
      <c r="K39" s="243">
        <v>2092</v>
      </c>
      <c r="L39" s="241" t="s">
        <v>2791</v>
      </c>
      <c r="M39" s="243" t="s">
        <v>2792</v>
      </c>
      <c r="V39" s="244">
        <v>16238</v>
      </c>
      <c r="AG39" s="241" t="s">
        <v>107</v>
      </c>
    </row>
    <row r="40" spans="1:33">
      <c r="A40" s="241" t="s">
        <v>2983</v>
      </c>
      <c r="B40" s="242">
        <v>300</v>
      </c>
      <c r="C40" s="241" t="s">
        <v>290</v>
      </c>
      <c r="D40" s="243">
        <v>10</v>
      </c>
      <c r="E40" s="241" t="s">
        <v>1796</v>
      </c>
      <c r="F40" s="243" t="s">
        <v>1796</v>
      </c>
      <c r="H40" s="243" t="s">
        <v>148</v>
      </c>
      <c r="I40" s="243"/>
      <c r="J40" s="241" t="s">
        <v>122</v>
      </c>
      <c r="K40" s="243">
        <v>2092</v>
      </c>
      <c r="L40" s="241" t="s">
        <v>2809</v>
      </c>
      <c r="M40" s="243" t="s">
        <v>2810</v>
      </c>
      <c r="U40" s="261">
        <v>23000</v>
      </c>
      <c r="V40" s="261">
        <v>23771</v>
      </c>
      <c r="W40" s="261"/>
      <c r="AG40" s="241" t="s">
        <v>71</v>
      </c>
    </row>
    <row r="41" spans="1:33">
      <c r="A41" s="241" t="s">
        <v>2983</v>
      </c>
      <c r="B41" s="242">
        <v>300</v>
      </c>
      <c r="C41" s="241" t="s">
        <v>290</v>
      </c>
      <c r="D41" s="243">
        <v>10</v>
      </c>
      <c r="E41" s="241" t="s">
        <v>1796</v>
      </c>
      <c r="F41" s="243" t="s">
        <v>1796</v>
      </c>
      <c r="H41" s="243" t="s">
        <v>148</v>
      </c>
      <c r="I41" s="243"/>
      <c r="J41" s="241" t="s">
        <v>122</v>
      </c>
      <c r="K41" s="243">
        <v>2092</v>
      </c>
      <c r="L41" s="241" t="s">
        <v>2857</v>
      </c>
      <c r="M41" s="243" t="s">
        <v>2858</v>
      </c>
      <c r="U41" s="244">
        <v>20871</v>
      </c>
      <c r="W41" s="261">
        <v>1</v>
      </c>
      <c r="AG41" s="241" t="s">
        <v>2998</v>
      </c>
    </row>
    <row r="42" spans="1:33">
      <c r="A42" s="241" t="s">
        <v>2983</v>
      </c>
      <c r="B42" s="242">
        <v>300</v>
      </c>
      <c r="C42" s="241" t="s">
        <v>290</v>
      </c>
      <c r="D42" s="243">
        <v>10</v>
      </c>
      <c r="E42" s="241" t="s">
        <v>1796</v>
      </c>
      <c r="F42" s="243" t="s">
        <v>1796</v>
      </c>
      <c r="H42" s="243" t="s">
        <v>148</v>
      </c>
      <c r="I42" s="243"/>
      <c r="J42" s="241" t="s">
        <v>122</v>
      </c>
      <c r="K42" s="243">
        <v>2092</v>
      </c>
      <c r="L42" s="241" t="s">
        <v>92</v>
      </c>
      <c r="M42" s="243" t="s">
        <v>2882</v>
      </c>
      <c r="V42" s="244">
        <v>18910</v>
      </c>
      <c r="Y42" s="244">
        <v>18910</v>
      </c>
      <c r="AB42" s="244">
        <v>18910</v>
      </c>
      <c r="AE42" s="244">
        <v>18910</v>
      </c>
      <c r="AG42" s="241" t="s">
        <v>1235</v>
      </c>
    </row>
    <row r="43" spans="1:33">
      <c r="A43" s="241" t="s">
        <v>2983</v>
      </c>
      <c r="B43" s="242">
        <v>300</v>
      </c>
      <c r="C43" s="241" t="s">
        <v>290</v>
      </c>
      <c r="D43" s="243">
        <v>10</v>
      </c>
      <c r="E43" s="241" t="s">
        <v>1796</v>
      </c>
      <c r="F43" s="243" t="s">
        <v>1796</v>
      </c>
      <c r="H43" s="243" t="s">
        <v>148</v>
      </c>
      <c r="I43" s="243"/>
      <c r="J43" s="241" t="s">
        <v>122</v>
      </c>
      <c r="K43" s="243">
        <v>2092</v>
      </c>
      <c r="L43" s="241" t="s">
        <v>2809</v>
      </c>
      <c r="M43" s="243" t="s">
        <v>2810</v>
      </c>
      <c r="AE43" s="244">
        <v>22019</v>
      </c>
      <c r="AG43" s="241" t="s">
        <v>1236</v>
      </c>
    </row>
    <row r="44" spans="1:33">
      <c r="A44" s="241" t="s">
        <v>2983</v>
      </c>
      <c r="B44" s="242">
        <v>300</v>
      </c>
      <c r="C44" s="241" t="s">
        <v>290</v>
      </c>
      <c r="D44" s="243">
        <v>10</v>
      </c>
      <c r="E44" s="241" t="s">
        <v>1796</v>
      </c>
      <c r="F44" s="243" t="s">
        <v>1796</v>
      </c>
      <c r="H44" s="243" t="s">
        <v>148</v>
      </c>
      <c r="I44" s="243"/>
      <c r="J44" s="241" t="s">
        <v>122</v>
      </c>
      <c r="K44" s="243">
        <v>2092</v>
      </c>
      <c r="L44" s="241" t="s">
        <v>2857</v>
      </c>
      <c r="M44" s="243" t="s">
        <v>2858</v>
      </c>
      <c r="V44" s="244">
        <v>15000</v>
      </c>
      <c r="AG44" s="241" t="s">
        <v>3010</v>
      </c>
    </row>
    <row r="45" spans="1:33">
      <c r="A45" s="241" t="s">
        <v>2983</v>
      </c>
      <c r="B45" s="242">
        <v>300</v>
      </c>
      <c r="C45" s="241" t="s">
        <v>290</v>
      </c>
      <c r="D45" s="243">
        <v>10</v>
      </c>
      <c r="E45" s="241" t="s">
        <v>1796</v>
      </c>
      <c r="F45" s="243" t="s">
        <v>1796</v>
      </c>
      <c r="H45" s="243" t="s">
        <v>148</v>
      </c>
      <c r="I45" s="243"/>
      <c r="J45" s="241" t="s">
        <v>122</v>
      </c>
      <c r="K45" s="243">
        <v>2092</v>
      </c>
      <c r="L45" s="241" t="s">
        <v>2857</v>
      </c>
      <c r="M45" s="243" t="s">
        <v>2858</v>
      </c>
      <c r="Y45" s="244">
        <v>10000</v>
      </c>
      <c r="AG45" s="241" t="s">
        <v>135</v>
      </c>
    </row>
    <row r="46" spans="1:33">
      <c r="A46" s="241" t="s">
        <v>2983</v>
      </c>
      <c r="B46" s="242">
        <v>300</v>
      </c>
      <c r="C46" s="241" t="s">
        <v>290</v>
      </c>
      <c r="D46" s="243">
        <v>10</v>
      </c>
      <c r="E46" s="241" t="s">
        <v>1796</v>
      </c>
      <c r="F46" s="243" t="s">
        <v>1796</v>
      </c>
      <c r="H46" s="243" t="s">
        <v>148</v>
      </c>
      <c r="I46" s="243"/>
      <c r="J46" s="241" t="s">
        <v>137</v>
      </c>
      <c r="K46" s="243">
        <v>2094</v>
      </c>
      <c r="L46" s="241" t="s">
        <v>2791</v>
      </c>
      <c r="M46" s="243" t="s">
        <v>2792</v>
      </c>
      <c r="X46" s="244">
        <v>16238</v>
      </c>
      <c r="AG46" s="241" t="s">
        <v>107</v>
      </c>
    </row>
    <row r="47" spans="1:33">
      <c r="A47" s="241" t="s">
        <v>2983</v>
      </c>
      <c r="B47" s="242">
        <v>300</v>
      </c>
      <c r="C47" s="241" t="s">
        <v>290</v>
      </c>
      <c r="D47" s="243">
        <v>10</v>
      </c>
      <c r="E47" s="241" t="s">
        <v>1796</v>
      </c>
      <c r="F47" s="243" t="s">
        <v>1796</v>
      </c>
      <c r="H47" s="243" t="s">
        <v>148</v>
      </c>
      <c r="I47" s="243"/>
      <c r="J47" s="241" t="s">
        <v>137</v>
      </c>
      <c r="K47" s="243">
        <v>2094</v>
      </c>
      <c r="L47" s="241" t="s">
        <v>2809</v>
      </c>
      <c r="M47" s="243" t="s">
        <v>2810</v>
      </c>
      <c r="X47" s="244">
        <v>46771</v>
      </c>
      <c r="AG47" s="241" t="s">
        <v>71</v>
      </c>
    </row>
    <row r="48" spans="1:33">
      <c r="A48" s="241" t="s">
        <v>2983</v>
      </c>
      <c r="B48" s="242">
        <v>300</v>
      </c>
      <c r="C48" s="241" t="s">
        <v>290</v>
      </c>
      <c r="D48" s="243">
        <v>10</v>
      </c>
      <c r="E48" s="241" t="s">
        <v>1796</v>
      </c>
      <c r="F48" s="243" t="s">
        <v>1796</v>
      </c>
      <c r="H48" s="243" t="s">
        <v>148</v>
      </c>
      <c r="I48" s="243"/>
      <c r="J48" s="241" t="s">
        <v>137</v>
      </c>
      <c r="K48" s="243">
        <v>2094</v>
      </c>
      <c r="L48" s="241" t="s">
        <v>2857</v>
      </c>
      <c r="M48" s="243" t="s">
        <v>2858</v>
      </c>
      <c r="V48" s="244">
        <v>20871</v>
      </c>
      <c r="AG48" s="241" t="s">
        <v>2998</v>
      </c>
    </row>
    <row r="49" spans="1:33">
      <c r="A49" s="241" t="s">
        <v>2983</v>
      </c>
      <c r="B49" s="242">
        <v>300</v>
      </c>
      <c r="C49" s="241" t="s">
        <v>290</v>
      </c>
      <c r="D49" s="243">
        <v>10</v>
      </c>
      <c r="E49" s="241" t="s">
        <v>1796</v>
      </c>
      <c r="F49" s="243" t="s">
        <v>1796</v>
      </c>
      <c r="H49" s="243" t="s">
        <v>148</v>
      </c>
      <c r="I49" s="243"/>
      <c r="J49" s="241" t="s">
        <v>137</v>
      </c>
      <c r="K49" s="243">
        <v>2094</v>
      </c>
      <c r="L49" s="241" t="s">
        <v>92</v>
      </c>
      <c r="M49" s="243" t="s">
        <v>2882</v>
      </c>
      <c r="W49" s="244">
        <v>18910</v>
      </c>
      <c r="Z49" s="244">
        <v>18910</v>
      </c>
      <c r="AC49" s="244">
        <v>18910</v>
      </c>
      <c r="AF49" s="244">
        <v>18910</v>
      </c>
      <c r="AG49" s="241" t="s">
        <v>1235</v>
      </c>
    </row>
    <row r="50" spans="1:33">
      <c r="A50" s="241" t="s">
        <v>2983</v>
      </c>
      <c r="B50" s="242">
        <v>300</v>
      </c>
      <c r="C50" s="241" t="s">
        <v>290</v>
      </c>
      <c r="D50" s="243">
        <v>10</v>
      </c>
      <c r="E50" s="241" t="s">
        <v>1796</v>
      </c>
      <c r="F50" s="243" t="s">
        <v>1796</v>
      </c>
      <c r="H50" s="243" t="s">
        <v>148</v>
      </c>
      <c r="I50" s="243"/>
      <c r="J50" s="241" t="s">
        <v>137</v>
      </c>
      <c r="K50" s="243">
        <v>2094</v>
      </c>
      <c r="L50" s="241" t="s">
        <v>2809</v>
      </c>
      <c r="M50" s="243" t="s">
        <v>2810</v>
      </c>
      <c r="W50" s="244">
        <v>22019</v>
      </c>
      <c r="AG50" s="241" t="s">
        <v>1236</v>
      </c>
    </row>
    <row r="51" spans="1:33">
      <c r="A51" s="241" t="s">
        <v>2983</v>
      </c>
      <c r="B51" s="242">
        <v>300</v>
      </c>
      <c r="C51" s="241" t="s">
        <v>290</v>
      </c>
      <c r="D51" s="243">
        <v>10</v>
      </c>
      <c r="E51" s="241" t="s">
        <v>1796</v>
      </c>
      <c r="F51" s="243" t="s">
        <v>1796</v>
      </c>
      <c r="H51" s="243" t="s">
        <v>148</v>
      </c>
      <c r="I51" s="243"/>
      <c r="J51" s="241" t="s">
        <v>137</v>
      </c>
      <c r="K51" s="243">
        <v>2094</v>
      </c>
      <c r="L51" s="241" t="s">
        <v>2857</v>
      </c>
      <c r="M51" s="243" t="s">
        <v>2858</v>
      </c>
      <c r="AC51" s="244">
        <v>10000</v>
      </c>
      <c r="AG51" s="241" t="s">
        <v>135</v>
      </c>
    </row>
    <row r="52" spans="1:33">
      <c r="A52" s="241" t="s">
        <v>2983</v>
      </c>
      <c r="B52" s="242">
        <v>300</v>
      </c>
      <c r="C52" s="241" t="s">
        <v>290</v>
      </c>
      <c r="D52" s="243">
        <v>10</v>
      </c>
      <c r="E52" s="241" t="s">
        <v>1796</v>
      </c>
      <c r="F52" s="243" t="s">
        <v>1796</v>
      </c>
      <c r="H52" s="243" t="s">
        <v>148</v>
      </c>
      <c r="I52" s="243"/>
      <c r="J52" s="241" t="s">
        <v>137</v>
      </c>
      <c r="K52" s="243">
        <v>2094</v>
      </c>
      <c r="L52" s="241" t="s">
        <v>2791</v>
      </c>
      <c r="M52" s="243" t="s">
        <v>2792</v>
      </c>
      <c r="U52" s="244">
        <v>30000</v>
      </c>
      <c r="AC52" s="244">
        <v>10000</v>
      </c>
      <c r="AG52" s="241" t="s">
        <v>3000</v>
      </c>
    </row>
    <row r="53" spans="1:33">
      <c r="A53" s="241" t="s">
        <v>2983</v>
      </c>
      <c r="B53" s="242">
        <v>300</v>
      </c>
      <c r="C53" s="241" t="s">
        <v>290</v>
      </c>
      <c r="D53" s="243">
        <v>10</v>
      </c>
      <c r="E53" s="241" t="s">
        <v>1796</v>
      </c>
      <c r="F53" s="243" t="s">
        <v>1796</v>
      </c>
      <c r="H53" s="243" t="s">
        <v>148</v>
      </c>
      <c r="I53" s="243"/>
      <c r="J53" s="241" t="s">
        <v>104</v>
      </c>
      <c r="K53" s="243">
        <v>2078</v>
      </c>
      <c r="L53" s="241" t="s">
        <v>2791</v>
      </c>
      <c r="M53" s="243" t="s">
        <v>2792</v>
      </c>
      <c r="AB53" s="244">
        <v>16238</v>
      </c>
      <c r="AG53" s="241" t="s">
        <v>107</v>
      </c>
    </row>
    <row r="54" spans="1:33">
      <c r="A54" s="241" t="s">
        <v>2983</v>
      </c>
      <c r="B54" s="242">
        <v>300</v>
      </c>
      <c r="C54" s="241" t="s">
        <v>290</v>
      </c>
      <c r="D54" s="243">
        <v>10</v>
      </c>
      <c r="E54" s="241" t="s">
        <v>1796</v>
      </c>
      <c r="F54" s="243" t="s">
        <v>1796</v>
      </c>
      <c r="H54" s="243" t="s">
        <v>148</v>
      </c>
      <c r="I54" s="243"/>
      <c r="J54" s="241" t="s">
        <v>104</v>
      </c>
      <c r="K54" s="243">
        <v>2078</v>
      </c>
      <c r="L54" s="241" t="s">
        <v>2809</v>
      </c>
      <c r="M54" s="243" t="s">
        <v>2810</v>
      </c>
      <c r="AB54" s="244">
        <v>46771</v>
      </c>
      <c r="AG54" s="241" t="s">
        <v>71</v>
      </c>
    </row>
    <row r="55" spans="1:33">
      <c r="A55" s="241" t="s">
        <v>2983</v>
      </c>
      <c r="B55" s="242">
        <v>300</v>
      </c>
      <c r="C55" s="241" t="s">
        <v>290</v>
      </c>
      <c r="D55" s="243">
        <v>10</v>
      </c>
      <c r="E55" s="241" t="s">
        <v>1796</v>
      </c>
      <c r="F55" s="243" t="s">
        <v>1796</v>
      </c>
      <c r="H55" s="243" t="s">
        <v>148</v>
      </c>
      <c r="I55" s="243"/>
      <c r="J55" s="241" t="s">
        <v>104</v>
      </c>
      <c r="K55" s="243">
        <v>2078</v>
      </c>
      <c r="L55" s="241" t="s">
        <v>2857</v>
      </c>
      <c r="M55" s="243" t="s">
        <v>2858</v>
      </c>
      <c r="AB55" s="244">
        <v>20871</v>
      </c>
      <c r="AG55" s="241" t="s">
        <v>2998</v>
      </c>
    </row>
    <row r="56" spans="1:33">
      <c r="A56" s="241" t="s">
        <v>2983</v>
      </c>
      <c r="B56" s="242">
        <v>300</v>
      </c>
      <c r="C56" s="241" t="s">
        <v>290</v>
      </c>
      <c r="D56" s="243">
        <v>10</v>
      </c>
      <c r="E56" s="241" t="s">
        <v>1796</v>
      </c>
      <c r="F56" s="243" t="s">
        <v>1796</v>
      </c>
      <c r="H56" s="243" t="s">
        <v>148</v>
      </c>
      <c r="I56" s="243"/>
      <c r="J56" s="241" t="s">
        <v>104</v>
      </c>
      <c r="K56" s="243">
        <v>2078</v>
      </c>
      <c r="L56" s="241" t="s">
        <v>92</v>
      </c>
      <c r="M56" s="243" t="s">
        <v>2882</v>
      </c>
      <c r="W56" s="244">
        <v>18910</v>
      </c>
      <c r="Z56" s="244">
        <v>18910</v>
      </c>
      <c r="AC56" s="244">
        <v>18910</v>
      </c>
      <c r="AF56" s="244">
        <v>18910</v>
      </c>
      <c r="AG56" s="241" t="s">
        <v>1235</v>
      </c>
    </row>
    <row r="57" spans="1:33">
      <c r="A57" s="241" t="s">
        <v>2983</v>
      </c>
      <c r="B57" s="242">
        <v>300</v>
      </c>
      <c r="C57" s="241" t="s">
        <v>290</v>
      </c>
      <c r="D57" s="243">
        <v>10</v>
      </c>
      <c r="E57" s="241" t="s">
        <v>1796</v>
      </c>
      <c r="F57" s="243" t="s">
        <v>1796</v>
      </c>
      <c r="H57" s="243" t="s">
        <v>148</v>
      </c>
      <c r="I57" s="243"/>
      <c r="J57" s="241" t="s">
        <v>104</v>
      </c>
      <c r="K57" s="243">
        <v>2078</v>
      </c>
      <c r="L57" s="241" t="s">
        <v>2809</v>
      </c>
      <c r="M57" s="243" t="s">
        <v>2810</v>
      </c>
      <c r="AB57" s="244">
        <v>22019</v>
      </c>
      <c r="AG57" s="241" t="s">
        <v>1236</v>
      </c>
    </row>
    <row r="58" spans="1:33">
      <c r="A58" s="241" t="s">
        <v>2983</v>
      </c>
      <c r="B58" s="242">
        <v>300</v>
      </c>
      <c r="C58" s="241" t="s">
        <v>290</v>
      </c>
      <c r="D58" s="243">
        <v>10</v>
      </c>
      <c r="E58" s="241" t="s">
        <v>1796</v>
      </c>
      <c r="F58" s="243" t="s">
        <v>1796</v>
      </c>
      <c r="H58" s="243" t="s">
        <v>148</v>
      </c>
      <c r="I58" s="243"/>
      <c r="J58" s="241" t="s">
        <v>104</v>
      </c>
      <c r="K58" s="243">
        <v>2078</v>
      </c>
      <c r="L58" s="241" t="s">
        <v>2857</v>
      </c>
      <c r="M58" s="243" t="s">
        <v>2858</v>
      </c>
      <c r="AC58" s="244">
        <v>10000</v>
      </c>
      <c r="AG58" s="241" t="s">
        <v>135</v>
      </c>
    </row>
    <row r="59" spans="1:33">
      <c r="A59" s="241" t="s">
        <v>2983</v>
      </c>
      <c r="B59" s="242">
        <v>300</v>
      </c>
      <c r="C59" s="241" t="s">
        <v>290</v>
      </c>
      <c r="D59" s="243">
        <v>10</v>
      </c>
      <c r="E59" s="241" t="s">
        <v>1612</v>
      </c>
      <c r="F59" s="243" t="s">
        <v>1613</v>
      </c>
      <c r="H59" s="243" t="s">
        <v>148</v>
      </c>
      <c r="I59" s="243" t="s">
        <v>148</v>
      </c>
      <c r="J59" s="241" t="s">
        <v>156</v>
      </c>
      <c r="K59" s="243">
        <v>2415</v>
      </c>
      <c r="L59" s="241" t="s">
        <v>2925</v>
      </c>
      <c r="M59" s="243" t="s">
        <v>2926</v>
      </c>
      <c r="U59" s="244">
        <v>25000</v>
      </c>
      <c r="AE59" s="244">
        <v>55000</v>
      </c>
    </row>
    <row r="60" spans="1:33">
      <c r="A60" s="241" t="s">
        <v>2983</v>
      </c>
      <c r="B60" s="242">
        <v>300</v>
      </c>
      <c r="C60" s="241" t="s">
        <v>3001</v>
      </c>
      <c r="D60" s="243">
        <v>40</v>
      </c>
      <c r="E60" s="241" t="s">
        <v>1535</v>
      </c>
      <c r="F60" s="243" t="s">
        <v>1535</v>
      </c>
      <c r="H60" s="243" t="s">
        <v>148</v>
      </c>
      <c r="I60" s="243" t="s">
        <v>148</v>
      </c>
      <c r="J60" s="241" t="s">
        <v>1202</v>
      </c>
      <c r="K60" s="243">
        <v>1474</v>
      </c>
      <c r="L60" s="241" t="s">
        <v>2925</v>
      </c>
      <c r="M60" s="243" t="s">
        <v>2926</v>
      </c>
      <c r="N60" s="244">
        <v>10000</v>
      </c>
      <c r="O60" s="244">
        <v>10000</v>
      </c>
      <c r="Q60" s="244">
        <v>35757</v>
      </c>
      <c r="AD60" s="244">
        <f>0.2*100000</f>
        <v>20000</v>
      </c>
      <c r="AE60" s="244">
        <f>0.2*100000</f>
        <v>20000</v>
      </c>
    </row>
    <row r="61" spans="1:33">
      <c r="A61" s="241" t="s">
        <v>2983</v>
      </c>
      <c r="B61" s="242">
        <v>300</v>
      </c>
      <c r="C61" s="241" t="s">
        <v>3001</v>
      </c>
      <c r="D61" s="243">
        <v>40</v>
      </c>
      <c r="E61" s="241" t="s">
        <v>1198</v>
      </c>
      <c r="F61" s="243" t="s">
        <v>398</v>
      </c>
      <c r="H61" s="243" t="s">
        <v>148</v>
      </c>
      <c r="I61" s="243" t="s">
        <v>148</v>
      </c>
      <c r="J61" s="241" t="s">
        <v>1202</v>
      </c>
      <c r="K61" s="243">
        <v>1474</v>
      </c>
      <c r="L61" s="241" t="s">
        <v>2925</v>
      </c>
      <c r="M61" s="243" t="s">
        <v>2926</v>
      </c>
      <c r="AC61" s="244">
        <f>0.2*50000</f>
        <v>10000</v>
      </c>
      <c r="AD61" s="244">
        <f>0.2*100000</f>
        <v>20000</v>
      </c>
      <c r="AE61" s="244">
        <f>0.2*100000</f>
        <v>20000</v>
      </c>
    </row>
    <row r="62" spans="1:33">
      <c r="A62" s="241" t="s">
        <v>2983</v>
      </c>
      <c r="B62" s="242">
        <v>300</v>
      </c>
      <c r="C62" s="241" t="s">
        <v>290</v>
      </c>
      <c r="D62" s="243">
        <v>10</v>
      </c>
      <c r="E62" s="241" t="s">
        <v>1612</v>
      </c>
      <c r="F62" s="243" t="s">
        <v>1613</v>
      </c>
      <c r="H62" s="243" t="s">
        <v>148</v>
      </c>
      <c r="I62" s="243" t="s">
        <v>148</v>
      </c>
      <c r="J62" s="241" t="s">
        <v>156</v>
      </c>
      <c r="K62" s="243">
        <v>2415</v>
      </c>
      <c r="L62" s="241" t="s">
        <v>2925</v>
      </c>
      <c r="M62" s="243" t="s">
        <v>2926</v>
      </c>
      <c r="AE62" s="244">
        <v>55000</v>
      </c>
    </row>
    <row r="63" spans="1:33">
      <c r="A63" s="241" t="s">
        <v>2983</v>
      </c>
      <c r="B63" s="242">
        <v>300</v>
      </c>
      <c r="C63" s="241" t="s">
        <v>290</v>
      </c>
      <c r="D63" s="243">
        <v>10</v>
      </c>
      <c r="E63" s="241" t="s">
        <v>1612</v>
      </c>
      <c r="F63" s="243" t="s">
        <v>1613</v>
      </c>
      <c r="H63" s="243" t="s">
        <v>148</v>
      </c>
      <c r="I63" s="243" t="s">
        <v>148</v>
      </c>
      <c r="J63" s="241" t="s">
        <v>156</v>
      </c>
      <c r="K63" s="243">
        <v>2415</v>
      </c>
      <c r="L63" s="241" t="s">
        <v>2925</v>
      </c>
      <c r="M63" s="243" t="s">
        <v>2926</v>
      </c>
      <c r="X63" s="244">
        <v>15000</v>
      </c>
    </row>
    <row r="64" spans="1:33">
      <c r="A64" s="241" t="s">
        <v>2983</v>
      </c>
      <c r="B64" s="242">
        <v>300</v>
      </c>
      <c r="C64" s="241" t="s">
        <v>290</v>
      </c>
      <c r="D64" s="243">
        <v>10</v>
      </c>
      <c r="E64" s="241" t="s">
        <v>1612</v>
      </c>
      <c r="F64" s="243" t="s">
        <v>1613</v>
      </c>
      <c r="H64" s="243" t="s">
        <v>148</v>
      </c>
      <c r="I64" s="243" t="s">
        <v>148</v>
      </c>
      <c r="J64" s="241" t="s">
        <v>156</v>
      </c>
      <c r="K64" s="243">
        <v>2415</v>
      </c>
      <c r="L64" s="241" t="s">
        <v>2925</v>
      </c>
      <c r="M64" s="243" t="s">
        <v>2926</v>
      </c>
      <c r="O64" s="244">
        <v>34112</v>
      </c>
      <c r="P64" s="244">
        <v>10231</v>
      </c>
      <c r="Q64" s="241"/>
      <c r="W64" s="244">
        <v>65000</v>
      </c>
    </row>
    <row r="65" spans="1:33">
      <c r="A65" s="241" t="s">
        <v>2983</v>
      </c>
      <c r="B65" s="242">
        <v>300</v>
      </c>
      <c r="C65" s="241" t="s">
        <v>290</v>
      </c>
      <c r="D65" s="243">
        <v>10</v>
      </c>
      <c r="E65" s="241" t="s">
        <v>1612</v>
      </c>
      <c r="F65" s="243" t="s">
        <v>1613</v>
      </c>
      <c r="H65" s="243" t="s">
        <v>148</v>
      </c>
      <c r="I65" s="243" t="s">
        <v>148</v>
      </c>
      <c r="J65" s="241" t="s">
        <v>309</v>
      </c>
      <c r="K65" s="243">
        <v>2414</v>
      </c>
      <c r="L65" s="241" t="s">
        <v>2925</v>
      </c>
      <c r="M65" s="243" t="s">
        <v>2926</v>
      </c>
      <c r="Q65" s="245"/>
      <c r="R65" s="246"/>
      <c r="S65" s="247"/>
      <c r="W65" s="244">
        <v>50000</v>
      </c>
    </row>
    <row r="66" spans="1:33">
      <c r="A66" s="241" t="s">
        <v>2983</v>
      </c>
      <c r="B66" s="242">
        <v>300</v>
      </c>
      <c r="C66" s="241" t="s">
        <v>290</v>
      </c>
      <c r="D66" s="243">
        <v>10</v>
      </c>
      <c r="E66" s="241" t="s">
        <v>1612</v>
      </c>
      <c r="F66" s="243" t="s">
        <v>1613</v>
      </c>
      <c r="H66" s="243" t="s">
        <v>148</v>
      </c>
      <c r="I66" s="243" t="s">
        <v>148</v>
      </c>
      <c r="J66" s="241" t="s">
        <v>309</v>
      </c>
      <c r="K66" s="243">
        <v>2414</v>
      </c>
      <c r="L66" s="241" t="s">
        <v>2925</v>
      </c>
      <c r="M66" s="243" t="s">
        <v>2926</v>
      </c>
      <c r="W66" s="244">
        <v>40000</v>
      </c>
    </row>
    <row r="67" spans="1:33">
      <c r="A67" s="241" t="s">
        <v>2983</v>
      </c>
      <c r="B67" s="242">
        <v>300</v>
      </c>
      <c r="C67" s="241" t="s">
        <v>290</v>
      </c>
      <c r="D67" s="243">
        <v>10</v>
      </c>
      <c r="E67" s="241" t="s">
        <v>1612</v>
      </c>
      <c r="F67" s="243" t="s">
        <v>1613</v>
      </c>
      <c r="H67" s="243" t="s">
        <v>148</v>
      </c>
      <c r="I67" s="243" t="s">
        <v>148</v>
      </c>
      <c r="J67" s="241" t="s">
        <v>309</v>
      </c>
      <c r="K67" s="243">
        <v>2414</v>
      </c>
      <c r="L67" s="241" t="s">
        <v>2925</v>
      </c>
      <c r="M67" s="243" t="s">
        <v>2926</v>
      </c>
      <c r="AC67" s="244">
        <v>75000</v>
      </c>
    </row>
    <row r="68" spans="1:33">
      <c r="A68" s="241" t="s">
        <v>2983</v>
      </c>
      <c r="B68" s="242">
        <v>300</v>
      </c>
      <c r="C68" s="241" t="s">
        <v>290</v>
      </c>
      <c r="D68" s="243">
        <v>10</v>
      </c>
      <c r="E68" s="241" t="s">
        <v>1612</v>
      </c>
      <c r="F68" s="243" t="s">
        <v>1613</v>
      </c>
      <c r="H68" s="243" t="s">
        <v>148</v>
      </c>
      <c r="I68" s="243" t="s">
        <v>148</v>
      </c>
      <c r="J68" s="241" t="s">
        <v>1199</v>
      </c>
      <c r="K68" s="243">
        <v>2413</v>
      </c>
      <c r="L68" s="241" t="s">
        <v>2925</v>
      </c>
      <c r="M68" s="243" t="s">
        <v>2926</v>
      </c>
      <c r="X68" s="244">
        <v>40000</v>
      </c>
    </row>
    <row r="69" spans="1:33">
      <c r="A69" s="241" t="s">
        <v>2983</v>
      </c>
      <c r="B69" s="242">
        <v>300</v>
      </c>
      <c r="C69" s="241" t="s">
        <v>290</v>
      </c>
      <c r="D69" s="243">
        <v>10</v>
      </c>
      <c r="E69" s="241" t="s">
        <v>1612</v>
      </c>
      <c r="F69" s="243" t="s">
        <v>1613</v>
      </c>
      <c r="H69" s="243" t="s">
        <v>148</v>
      </c>
      <c r="I69" s="243" t="s">
        <v>148</v>
      </c>
      <c r="J69" s="241" t="s">
        <v>1199</v>
      </c>
      <c r="K69" s="243">
        <v>2413</v>
      </c>
      <c r="L69" s="241" t="s">
        <v>2925</v>
      </c>
      <c r="M69" s="243" t="s">
        <v>2926</v>
      </c>
      <c r="AB69" s="244">
        <v>20000</v>
      </c>
    </row>
    <row r="70" spans="1:33">
      <c r="A70" s="241" t="s">
        <v>2983</v>
      </c>
      <c r="B70" s="242">
        <v>300</v>
      </c>
      <c r="C70" s="241" t="s">
        <v>297</v>
      </c>
      <c r="D70" s="243">
        <v>30</v>
      </c>
      <c r="E70" s="241" t="s">
        <v>1621</v>
      </c>
      <c r="F70" s="243" t="s">
        <v>1622</v>
      </c>
      <c r="H70" s="243" t="s">
        <v>148</v>
      </c>
      <c r="I70" s="243" t="s">
        <v>148</v>
      </c>
      <c r="J70" s="241" t="s">
        <v>1202</v>
      </c>
      <c r="K70" s="243">
        <v>1474</v>
      </c>
      <c r="L70" s="241" t="s">
        <v>92</v>
      </c>
      <c r="M70" s="243" t="s">
        <v>2882</v>
      </c>
      <c r="W70" s="244">
        <v>50000</v>
      </c>
      <c r="X70" s="244">
        <v>50000</v>
      </c>
      <c r="AG70" s="241" t="s">
        <v>1155</v>
      </c>
    </row>
    <row r="71" spans="1:33">
      <c r="A71" s="241" t="s">
        <v>2983</v>
      </c>
      <c r="B71" s="242">
        <v>320</v>
      </c>
      <c r="C71" s="241" t="s">
        <v>297</v>
      </c>
      <c r="D71" s="243">
        <v>30</v>
      </c>
      <c r="E71" s="241" t="s">
        <v>1625</v>
      </c>
      <c r="F71" s="243" t="s">
        <v>1626</v>
      </c>
      <c r="G71" s="241" t="s">
        <v>2957</v>
      </c>
      <c r="H71" s="243" t="s">
        <v>2958</v>
      </c>
      <c r="I71" s="243" t="s">
        <v>2944</v>
      </c>
      <c r="J71" s="241" t="s">
        <v>1202</v>
      </c>
      <c r="K71" s="243">
        <v>1474</v>
      </c>
      <c r="L71" s="241" t="s">
        <v>330</v>
      </c>
      <c r="M71" s="243" t="s">
        <v>2856</v>
      </c>
      <c r="T71" s="244">
        <v>13365</v>
      </c>
      <c r="U71" s="244">
        <v>13365</v>
      </c>
      <c r="V71" s="244">
        <v>13365</v>
      </c>
      <c r="W71" s="244">
        <v>13365</v>
      </c>
      <c r="X71" s="244">
        <v>13365</v>
      </c>
      <c r="Y71" s="244">
        <v>13365</v>
      </c>
      <c r="Z71" s="244">
        <v>13365</v>
      </c>
      <c r="AA71" s="244">
        <v>13365</v>
      </c>
      <c r="AB71" s="244">
        <v>13365</v>
      </c>
      <c r="AC71" s="244">
        <v>13365</v>
      </c>
      <c r="AD71" s="244">
        <v>13365</v>
      </c>
      <c r="AE71" s="244">
        <v>13365</v>
      </c>
    </row>
    <row r="72" spans="1:33">
      <c r="A72" s="241" t="s">
        <v>2983</v>
      </c>
      <c r="B72" s="242">
        <v>320</v>
      </c>
      <c r="C72" s="241" t="s">
        <v>297</v>
      </c>
      <c r="D72" s="243">
        <v>30</v>
      </c>
      <c r="E72" s="241" t="s">
        <v>1625</v>
      </c>
      <c r="F72" s="243" t="s">
        <v>1626</v>
      </c>
      <c r="G72" s="241" t="s">
        <v>2939</v>
      </c>
      <c r="H72" s="243" t="s">
        <v>2940</v>
      </c>
      <c r="I72" s="243" t="s">
        <v>2941</v>
      </c>
      <c r="J72" s="241" t="s">
        <v>1202</v>
      </c>
      <c r="K72" s="243">
        <v>1474</v>
      </c>
      <c r="L72" s="241" t="s">
        <v>330</v>
      </c>
      <c r="M72" s="243" t="s">
        <v>2856</v>
      </c>
      <c r="T72" s="244">
        <v>7125</v>
      </c>
      <c r="U72" s="244">
        <v>7125</v>
      </c>
      <c r="V72" s="244">
        <v>7125</v>
      </c>
      <c r="W72" s="244">
        <v>7125</v>
      </c>
      <c r="X72" s="244">
        <v>7125</v>
      </c>
      <c r="Y72" s="244">
        <v>7125</v>
      </c>
      <c r="Z72" s="244">
        <v>7125</v>
      </c>
      <c r="AA72" s="244">
        <v>7125</v>
      </c>
      <c r="AB72" s="244">
        <v>7125</v>
      </c>
      <c r="AC72" s="244">
        <v>7125</v>
      </c>
      <c r="AD72" s="244">
        <v>7125</v>
      </c>
      <c r="AE72" s="244">
        <v>7125</v>
      </c>
    </row>
    <row r="73" spans="1:33">
      <c r="A73" s="241" t="s">
        <v>2983</v>
      </c>
      <c r="B73" s="242">
        <v>300</v>
      </c>
      <c r="C73" s="241" t="s">
        <v>3001</v>
      </c>
      <c r="D73" s="243">
        <v>40</v>
      </c>
      <c r="E73" s="241" t="s">
        <v>1671</v>
      </c>
      <c r="F73" s="243" t="s">
        <v>1671</v>
      </c>
      <c r="H73" s="243" t="s">
        <v>148</v>
      </c>
      <c r="I73" s="243" t="s">
        <v>148</v>
      </c>
      <c r="J73" s="241" t="s">
        <v>1202</v>
      </c>
      <c r="K73" s="243">
        <v>1474</v>
      </c>
      <c r="L73" s="241" t="s">
        <v>2779</v>
      </c>
      <c r="M73" s="243" t="s">
        <v>2780</v>
      </c>
      <c r="Q73" s="244">
        <v>55250.63700000001</v>
      </c>
      <c r="W73" s="244">
        <v>60000</v>
      </c>
      <c r="X73" s="244">
        <f>0.2*60000</f>
        <v>12000</v>
      </c>
      <c r="AG73" s="241" t="s">
        <v>342</v>
      </c>
    </row>
    <row r="74" spans="1:33">
      <c r="A74" s="241" t="s">
        <v>2983</v>
      </c>
      <c r="B74" s="242">
        <v>300</v>
      </c>
      <c r="C74" s="241" t="s">
        <v>3001</v>
      </c>
      <c r="D74" s="243">
        <v>40</v>
      </c>
      <c r="E74" s="241" t="s">
        <v>1671</v>
      </c>
      <c r="F74" s="243" t="s">
        <v>1671</v>
      </c>
      <c r="H74" s="243" t="s">
        <v>148</v>
      </c>
      <c r="I74" s="243" t="s">
        <v>148</v>
      </c>
      <c r="J74" s="241" t="s">
        <v>1202</v>
      </c>
      <c r="K74" s="243">
        <v>1474</v>
      </c>
      <c r="L74" s="241" t="s">
        <v>2809</v>
      </c>
      <c r="M74" s="243" t="s">
        <v>2810</v>
      </c>
      <c r="N74" s="244">
        <v>25243</v>
      </c>
      <c r="O74" s="244">
        <v>87393.882000000012</v>
      </c>
      <c r="P74" s="244">
        <v>64118.934000000001</v>
      </c>
      <c r="Q74" s="244">
        <v>77220</v>
      </c>
      <c r="Y74" s="244">
        <f>0.2*30000</f>
        <v>6000</v>
      </c>
      <c r="AE74" s="244">
        <f>0.2*30000</f>
        <v>6000</v>
      </c>
      <c r="AG74" s="241" t="s">
        <v>342</v>
      </c>
    </row>
    <row r="75" spans="1:33">
      <c r="A75" s="241" t="s">
        <v>2983</v>
      </c>
      <c r="B75" s="242">
        <v>300</v>
      </c>
      <c r="C75" s="241" t="s">
        <v>257</v>
      </c>
      <c r="D75" s="243">
        <v>20</v>
      </c>
      <c r="E75" s="241" t="s">
        <v>1671</v>
      </c>
      <c r="F75" s="243" t="s">
        <v>1671</v>
      </c>
      <c r="H75" s="243" t="s">
        <v>148</v>
      </c>
      <c r="I75" s="243" t="s">
        <v>148</v>
      </c>
      <c r="J75" s="241" t="s">
        <v>1202</v>
      </c>
      <c r="K75" s="243">
        <v>1474</v>
      </c>
      <c r="L75" s="241" t="s">
        <v>2925</v>
      </c>
      <c r="M75" s="243" t="s">
        <v>2926</v>
      </c>
      <c r="Y75" s="244">
        <v>50000</v>
      </c>
      <c r="Z75" s="244">
        <v>50000</v>
      </c>
      <c r="AA75" s="244">
        <v>50000</v>
      </c>
      <c r="AB75" s="244">
        <v>50000</v>
      </c>
      <c r="AC75" s="244">
        <v>50000</v>
      </c>
      <c r="AD75" s="244">
        <v>50000</v>
      </c>
      <c r="AE75" s="244">
        <v>50000</v>
      </c>
      <c r="AF75" s="244">
        <v>50000</v>
      </c>
    </row>
    <row r="76" spans="1:33">
      <c r="A76" s="241" t="s">
        <v>2983</v>
      </c>
      <c r="B76" s="242">
        <v>300</v>
      </c>
      <c r="C76" s="241" t="s">
        <v>3001</v>
      </c>
      <c r="D76" s="243">
        <v>40</v>
      </c>
      <c r="E76" s="241" t="s">
        <v>1718</v>
      </c>
      <c r="F76" s="243" t="s">
        <v>1719</v>
      </c>
      <c r="H76" s="243" t="s">
        <v>148</v>
      </c>
      <c r="I76" s="243" t="s">
        <v>148</v>
      </c>
      <c r="J76" s="241" t="s">
        <v>1202</v>
      </c>
      <c r="K76" s="243">
        <v>1474</v>
      </c>
      <c r="L76" s="241" t="s">
        <v>2820</v>
      </c>
      <c r="M76" s="243" t="s">
        <v>2821</v>
      </c>
      <c r="N76" s="244">
        <v>2858</v>
      </c>
      <c r="O76" s="244">
        <v>2586</v>
      </c>
      <c r="P76" s="244">
        <v>2586</v>
      </c>
      <c r="AC76" s="244">
        <f>125000*0.2</f>
        <v>25000</v>
      </c>
      <c r="AD76" s="244">
        <f>125000*0.2</f>
        <v>25000</v>
      </c>
      <c r="AE76" s="244">
        <f>125000*0.2</f>
        <v>25000</v>
      </c>
      <c r="AG76" s="241" t="s">
        <v>3002</v>
      </c>
    </row>
    <row r="77" spans="1:33">
      <c r="A77" s="241" t="s">
        <v>2983</v>
      </c>
      <c r="B77" s="242">
        <v>300</v>
      </c>
      <c r="C77" s="241" t="s">
        <v>3001</v>
      </c>
      <c r="D77" s="243">
        <v>40</v>
      </c>
      <c r="E77" s="241" t="s">
        <v>1718</v>
      </c>
      <c r="F77" s="243" t="s">
        <v>1719</v>
      </c>
      <c r="H77" s="243" t="s">
        <v>148</v>
      </c>
      <c r="I77" s="243" t="s">
        <v>148</v>
      </c>
      <c r="J77" s="241" t="s">
        <v>1202</v>
      </c>
      <c r="K77" s="243">
        <v>1474</v>
      </c>
      <c r="L77" s="241" t="s">
        <v>2791</v>
      </c>
      <c r="M77" s="243" t="s">
        <v>2792</v>
      </c>
      <c r="N77" s="244">
        <v>39607</v>
      </c>
      <c r="O77" s="244">
        <v>37573</v>
      </c>
      <c r="P77" s="244">
        <v>47573</v>
      </c>
      <c r="X77" s="244">
        <f>50000*0.2</f>
        <v>10000</v>
      </c>
      <c r="Y77" s="244">
        <f>50000*0.2</f>
        <v>10000</v>
      </c>
      <c r="Z77" s="244">
        <f>50000*0.2</f>
        <v>10000</v>
      </c>
      <c r="AG77" s="241" t="s">
        <v>3003</v>
      </c>
    </row>
    <row r="78" spans="1:33">
      <c r="A78" s="241" t="s">
        <v>2983</v>
      </c>
      <c r="B78" s="242">
        <v>300</v>
      </c>
      <c r="C78" s="241" t="s">
        <v>3001</v>
      </c>
      <c r="D78" s="243">
        <v>40</v>
      </c>
      <c r="E78" s="241" t="s">
        <v>1718</v>
      </c>
      <c r="F78" s="243" t="s">
        <v>1719</v>
      </c>
      <c r="H78" s="243" t="s">
        <v>148</v>
      </c>
      <c r="I78" s="243" t="s">
        <v>148</v>
      </c>
      <c r="J78" s="241" t="s">
        <v>1202</v>
      </c>
      <c r="K78" s="243">
        <v>1474</v>
      </c>
      <c r="L78" s="241" t="s">
        <v>2868</v>
      </c>
      <c r="M78" s="243" t="s">
        <v>2869</v>
      </c>
      <c r="W78" s="244">
        <f>0.2*75000</f>
        <v>15000</v>
      </c>
      <c r="Y78" s="244">
        <f>0.2*75000</f>
        <v>15000</v>
      </c>
      <c r="AA78" s="244">
        <f>0.2*75000</f>
        <v>15000</v>
      </c>
      <c r="AC78" s="244">
        <v>175000</v>
      </c>
      <c r="AD78" s="244">
        <v>175000</v>
      </c>
      <c r="AE78" s="244">
        <v>175000</v>
      </c>
      <c r="AF78" s="244">
        <v>175000</v>
      </c>
      <c r="AG78" s="241" t="s">
        <v>281</v>
      </c>
    </row>
    <row r="79" spans="1:33">
      <c r="A79" s="241" t="s">
        <v>2983</v>
      </c>
      <c r="B79" s="242">
        <v>300</v>
      </c>
      <c r="C79" s="241" t="s">
        <v>3001</v>
      </c>
      <c r="D79" s="243">
        <v>40</v>
      </c>
      <c r="E79" s="241" t="s">
        <v>1718</v>
      </c>
      <c r="F79" s="243" t="s">
        <v>1719</v>
      </c>
      <c r="H79" s="243" t="s">
        <v>148</v>
      </c>
      <c r="I79" s="243" t="s">
        <v>148</v>
      </c>
      <c r="J79" s="241" t="s">
        <v>1202</v>
      </c>
      <c r="K79" s="243">
        <v>1474</v>
      </c>
      <c r="L79" s="241" t="s">
        <v>2811</v>
      </c>
      <c r="M79" s="243" t="s">
        <v>2812</v>
      </c>
      <c r="N79" s="244">
        <v>21957</v>
      </c>
      <c r="O79" s="244">
        <v>18290</v>
      </c>
      <c r="P79" s="244">
        <v>18290</v>
      </c>
      <c r="Y79" s="244">
        <v>50000</v>
      </c>
    </row>
    <row r="80" spans="1:33">
      <c r="A80" s="241" t="s">
        <v>2983</v>
      </c>
      <c r="B80" s="242">
        <v>300</v>
      </c>
      <c r="C80" s="241" t="s">
        <v>3001</v>
      </c>
      <c r="D80" s="243">
        <v>40</v>
      </c>
      <c r="E80" s="241" t="s">
        <v>1718</v>
      </c>
      <c r="F80" s="243" t="s">
        <v>1719</v>
      </c>
      <c r="H80" s="243" t="s">
        <v>148</v>
      </c>
      <c r="I80" s="243" t="s">
        <v>148</v>
      </c>
      <c r="J80" s="241" t="s">
        <v>1202</v>
      </c>
      <c r="K80" s="243">
        <v>1474</v>
      </c>
      <c r="L80" s="241" t="s">
        <v>2830</v>
      </c>
      <c r="M80" s="243" t="s">
        <v>2831</v>
      </c>
      <c r="Z80" s="244">
        <v>200000</v>
      </c>
      <c r="AG80" s="241" t="s">
        <v>1155</v>
      </c>
    </row>
    <row r="81" spans="1:33">
      <c r="A81" s="241" t="s">
        <v>2983</v>
      </c>
      <c r="B81" s="242">
        <v>300</v>
      </c>
      <c r="C81" s="241" t="s">
        <v>3001</v>
      </c>
      <c r="D81" s="243">
        <v>40</v>
      </c>
      <c r="E81" s="241" t="s">
        <v>1718</v>
      </c>
      <c r="F81" s="243" t="s">
        <v>1719</v>
      </c>
      <c r="H81" s="243" t="s">
        <v>148</v>
      </c>
      <c r="I81" s="243" t="s">
        <v>148</v>
      </c>
      <c r="J81" s="241" t="s">
        <v>1202</v>
      </c>
      <c r="K81" s="243">
        <v>1474</v>
      </c>
      <c r="L81" s="241" t="s">
        <v>2818</v>
      </c>
      <c r="M81" s="243" t="s">
        <v>2819</v>
      </c>
      <c r="AA81" s="244">
        <v>125000</v>
      </c>
      <c r="AB81" s="244">
        <v>125000</v>
      </c>
      <c r="AG81" s="241" t="s">
        <v>1155</v>
      </c>
    </row>
    <row r="82" spans="1:33">
      <c r="A82" s="241" t="s">
        <v>2983</v>
      </c>
      <c r="B82" s="242">
        <v>300</v>
      </c>
      <c r="C82" s="241" t="s">
        <v>3001</v>
      </c>
      <c r="D82" s="243">
        <v>40</v>
      </c>
      <c r="E82" s="241" t="s">
        <v>1718</v>
      </c>
      <c r="F82" s="243" t="s">
        <v>1719</v>
      </c>
      <c r="H82" s="243" t="s">
        <v>148</v>
      </c>
      <c r="I82" s="243" t="s">
        <v>148</v>
      </c>
      <c r="J82" s="241" t="s">
        <v>1202</v>
      </c>
      <c r="K82" s="243">
        <v>1474</v>
      </c>
      <c r="L82" s="241" t="s">
        <v>2925</v>
      </c>
      <c r="M82" s="243" t="s">
        <v>2926</v>
      </c>
      <c r="T82" s="248"/>
      <c r="U82" s="248">
        <v>100000</v>
      </c>
      <c r="V82" s="248">
        <v>100000</v>
      </c>
      <c r="W82" s="249">
        <v>100000</v>
      </c>
      <c r="X82" s="249">
        <v>100000</v>
      </c>
      <c r="Y82" s="249">
        <v>100000</v>
      </c>
      <c r="Z82" s="249">
        <v>100000</v>
      </c>
      <c r="AA82" s="249">
        <v>100000</v>
      </c>
      <c r="AB82" s="249">
        <v>100000</v>
      </c>
      <c r="AC82" s="249">
        <v>100000</v>
      </c>
      <c r="AD82" s="249">
        <v>100000</v>
      </c>
      <c r="AE82" s="249">
        <v>100000</v>
      </c>
      <c r="AF82" s="249">
        <v>100000</v>
      </c>
      <c r="AG82" s="250"/>
    </row>
    <row r="83" spans="1:33">
      <c r="A83" s="241" t="s">
        <v>2983</v>
      </c>
      <c r="B83" s="242">
        <v>300</v>
      </c>
      <c r="C83" s="241" t="s">
        <v>3001</v>
      </c>
      <c r="D83" s="243">
        <v>40</v>
      </c>
      <c r="E83" s="241" t="s">
        <v>1759</v>
      </c>
      <c r="F83" s="243" t="s">
        <v>1759</v>
      </c>
      <c r="H83" s="243" t="s">
        <v>148</v>
      </c>
      <c r="I83" s="243" t="s">
        <v>148</v>
      </c>
      <c r="J83" s="241" t="s">
        <v>1202</v>
      </c>
      <c r="K83" s="243">
        <v>1474</v>
      </c>
      <c r="L83" s="241" t="s">
        <v>2809</v>
      </c>
      <c r="M83" s="243" t="s">
        <v>2810</v>
      </c>
      <c r="V83" s="245"/>
      <c r="W83" s="251"/>
      <c r="Z83" s="249"/>
    </row>
    <row r="84" spans="1:33">
      <c r="A84" s="241" t="s">
        <v>2983</v>
      </c>
      <c r="B84" s="242">
        <v>300</v>
      </c>
      <c r="C84" s="241" t="s">
        <v>3001</v>
      </c>
      <c r="D84" s="243">
        <v>40</v>
      </c>
      <c r="E84" s="241" t="s">
        <v>1768</v>
      </c>
      <c r="F84" s="243" t="s">
        <v>1768</v>
      </c>
      <c r="H84" s="243" t="s">
        <v>148</v>
      </c>
      <c r="I84" s="243" t="s">
        <v>148</v>
      </c>
      <c r="J84" s="241" t="s">
        <v>1202</v>
      </c>
      <c r="K84" s="243">
        <v>1474</v>
      </c>
      <c r="L84" s="241" t="s">
        <v>2773</v>
      </c>
      <c r="M84" s="243" t="s">
        <v>2774</v>
      </c>
      <c r="Y84" s="245"/>
      <c r="Z84" s="252"/>
      <c r="AA84" s="244">
        <f>0.2*35000</f>
        <v>7000</v>
      </c>
      <c r="AB84" s="244">
        <f>0.2*35000</f>
        <v>7000</v>
      </c>
      <c r="AC84" s="244">
        <f>0.2*35000</f>
        <v>7000</v>
      </c>
      <c r="AG84" s="241" t="s">
        <v>421</v>
      </c>
    </row>
    <row r="85" spans="1:33">
      <c r="A85" s="241" t="s">
        <v>2983</v>
      </c>
      <c r="B85" s="242">
        <v>300</v>
      </c>
      <c r="C85" s="241" t="s">
        <v>297</v>
      </c>
      <c r="D85" s="243">
        <v>30</v>
      </c>
      <c r="E85" s="241" t="s">
        <v>1802</v>
      </c>
      <c r="F85" s="243" t="s">
        <v>1802</v>
      </c>
      <c r="H85" s="243" t="s">
        <v>148</v>
      </c>
      <c r="I85" s="243" t="s">
        <v>148</v>
      </c>
      <c r="J85" s="241" t="s">
        <v>1202</v>
      </c>
      <c r="K85" s="243">
        <v>1474</v>
      </c>
      <c r="L85" s="241" t="s">
        <v>2857</v>
      </c>
      <c r="M85" s="243" t="s">
        <v>2858</v>
      </c>
      <c r="V85" s="244">
        <v>30000</v>
      </c>
      <c r="W85" s="244">
        <v>30000</v>
      </c>
    </row>
    <row r="86" spans="1:33" s="258" customFormat="1">
      <c r="A86" s="258" t="s">
        <v>3004</v>
      </c>
      <c r="B86" s="259"/>
      <c r="D86" s="260"/>
      <c r="F86" s="260"/>
      <c r="H86" s="260"/>
      <c r="I86" s="260"/>
      <c r="K86" s="260"/>
      <c r="M86" s="260"/>
      <c r="N86" s="257"/>
      <c r="O86" s="257"/>
      <c r="P86" s="257"/>
      <c r="Q86" s="257"/>
      <c r="R86" s="257"/>
      <c r="S86" s="257"/>
      <c r="T86" s="257"/>
      <c r="U86" s="257">
        <f t="shared" ref="U86:AF86" si="1">SUM(U2:U85)</f>
        <v>440804</v>
      </c>
      <c r="V86" s="257">
        <f t="shared" si="1"/>
        <v>383909</v>
      </c>
      <c r="W86" s="257">
        <f t="shared" si="1"/>
        <v>509243</v>
      </c>
      <c r="X86" s="257">
        <f t="shared" si="1"/>
        <v>386577</v>
      </c>
      <c r="Y86" s="257">
        <f t="shared" si="1"/>
        <v>328220</v>
      </c>
      <c r="Z86" s="257">
        <f t="shared" si="1"/>
        <v>437220</v>
      </c>
      <c r="AA86" s="257">
        <f t="shared" si="1"/>
        <v>355311</v>
      </c>
      <c r="AB86" s="257">
        <f t="shared" si="1"/>
        <v>511357</v>
      </c>
      <c r="AC86" s="257">
        <f t="shared" si="1"/>
        <v>570091</v>
      </c>
      <c r="AD86" s="257">
        <f t="shared" si="1"/>
        <v>521321</v>
      </c>
      <c r="AE86" s="257">
        <f t="shared" si="1"/>
        <v>696048</v>
      </c>
      <c r="AF86" s="257">
        <f t="shared" si="1"/>
        <v>485612</v>
      </c>
    </row>
    <row r="87" spans="1:33">
      <c r="A87" s="241" t="s">
        <v>2988</v>
      </c>
      <c r="B87" s="242">
        <v>450</v>
      </c>
      <c r="D87" s="243" t="s">
        <v>148</v>
      </c>
      <c r="F87" s="243" t="s">
        <v>148</v>
      </c>
      <c r="H87" s="243" t="s">
        <v>148</v>
      </c>
      <c r="I87" s="243" t="s">
        <v>148</v>
      </c>
      <c r="K87" s="243" t="s">
        <v>148</v>
      </c>
      <c r="M87" s="243" t="s">
        <v>148</v>
      </c>
      <c r="S87" s="253">
        <v>175667.408</v>
      </c>
      <c r="T87" s="244">
        <v>188719.2</v>
      </c>
      <c r="U87" s="244">
        <v>166603.83743999997</v>
      </c>
      <c r="V87" s="244">
        <v>148138.59799999997</v>
      </c>
      <c r="W87" s="244">
        <v>227649.21553700001</v>
      </c>
      <c r="X87" s="244">
        <v>112155.01663999999</v>
      </c>
      <c r="Y87" s="244">
        <v>135790.68928000002</v>
      </c>
      <c r="Z87" s="244">
        <v>116797.59976</v>
      </c>
      <c r="AA87" s="244">
        <v>187026.31041699997</v>
      </c>
      <c r="AB87" s="244">
        <v>170954.92799999999</v>
      </c>
      <c r="AC87" s="244">
        <v>353307.618587</v>
      </c>
      <c r="AD87" s="244">
        <v>280083.31264000008</v>
      </c>
      <c r="AE87" s="244">
        <v>278657.14898700005</v>
      </c>
      <c r="AF87" s="244">
        <v>278657.14898700005</v>
      </c>
      <c r="AG87" s="241" t="s">
        <v>3005</v>
      </c>
    </row>
    <row r="88" spans="1:33">
      <c r="A88" s="241" t="s">
        <v>2989</v>
      </c>
      <c r="B88" s="242">
        <v>770</v>
      </c>
      <c r="D88" s="243" t="s">
        <v>148</v>
      </c>
      <c r="F88" s="243" t="s">
        <v>148</v>
      </c>
      <c r="H88" s="243" t="s">
        <v>148</v>
      </c>
      <c r="I88" s="243" t="s">
        <v>148</v>
      </c>
      <c r="K88" s="243" t="s">
        <v>148</v>
      </c>
      <c r="M88" s="243" t="s">
        <v>148</v>
      </c>
      <c r="S88" s="253">
        <v>109011</v>
      </c>
      <c r="T88" s="244">
        <v>149011</v>
      </c>
      <c r="U88" s="244">
        <v>149011</v>
      </c>
      <c r="V88" s="244">
        <v>149011</v>
      </c>
      <c r="W88" s="244">
        <v>149011</v>
      </c>
      <c r="X88" s="244">
        <v>149011</v>
      </c>
      <c r="Y88" s="244">
        <v>149011</v>
      </c>
      <c r="Z88" s="244">
        <v>149011</v>
      </c>
      <c r="AA88" s="244">
        <v>149011</v>
      </c>
      <c r="AB88" s="244">
        <v>149011</v>
      </c>
      <c r="AC88" s="244">
        <v>149011</v>
      </c>
      <c r="AD88" s="244">
        <v>149011</v>
      </c>
      <c r="AE88" s="244">
        <v>149011</v>
      </c>
      <c r="AF88" s="244">
        <v>149011</v>
      </c>
      <c r="AG88" s="241" t="s">
        <v>3006</v>
      </c>
    </row>
    <row r="89" spans="1:33">
      <c r="A89" s="241" t="s">
        <v>2989</v>
      </c>
      <c r="B89" s="242">
        <v>770</v>
      </c>
      <c r="D89" s="243" t="s">
        <v>148</v>
      </c>
      <c r="F89" s="243" t="s">
        <v>148</v>
      </c>
      <c r="H89" s="243" t="s">
        <v>148</v>
      </c>
      <c r="I89" s="243" t="s">
        <v>148</v>
      </c>
      <c r="K89" s="243" t="s">
        <v>148</v>
      </c>
      <c r="M89" s="243" t="s">
        <v>148</v>
      </c>
      <c r="S89" s="253">
        <v>7493</v>
      </c>
      <c r="T89" s="244">
        <v>7493</v>
      </c>
      <c r="U89" s="244">
        <v>7493</v>
      </c>
      <c r="V89" s="244">
        <v>7493</v>
      </c>
      <c r="W89" s="244">
        <v>7493</v>
      </c>
      <c r="X89" s="244">
        <v>7493</v>
      </c>
      <c r="Y89" s="244">
        <v>7493</v>
      </c>
      <c r="Z89" s="244">
        <v>7493</v>
      </c>
      <c r="AA89" s="244">
        <v>7493</v>
      </c>
      <c r="AB89" s="244">
        <v>7493</v>
      </c>
      <c r="AC89" s="244">
        <v>7493</v>
      </c>
      <c r="AD89" s="244">
        <v>7493</v>
      </c>
      <c r="AE89" s="244">
        <v>7493</v>
      </c>
      <c r="AF89" s="244">
        <v>7493</v>
      </c>
      <c r="AG89" s="241" t="s">
        <v>3007</v>
      </c>
    </row>
    <row r="90" spans="1:33">
      <c r="A90" s="241" t="s">
        <v>2989</v>
      </c>
      <c r="B90" s="242">
        <v>770</v>
      </c>
      <c r="D90" s="243" t="s">
        <v>148</v>
      </c>
      <c r="F90" s="243" t="s">
        <v>148</v>
      </c>
      <c r="H90" s="243" t="s">
        <v>148</v>
      </c>
      <c r="I90" s="243" t="s">
        <v>148</v>
      </c>
      <c r="K90" s="243" t="s">
        <v>148</v>
      </c>
      <c r="M90" s="243" t="s">
        <v>148</v>
      </c>
      <c r="S90" s="253">
        <v>64267</v>
      </c>
      <c r="T90" s="244">
        <v>66333</v>
      </c>
      <c r="U90" s="244">
        <v>66333</v>
      </c>
      <c r="V90" s="244">
        <v>66333</v>
      </c>
      <c r="W90" s="244">
        <v>66333</v>
      </c>
      <c r="X90" s="244">
        <v>66333</v>
      </c>
      <c r="Y90" s="244">
        <v>66333</v>
      </c>
      <c r="Z90" s="244">
        <v>66333</v>
      </c>
      <c r="AA90" s="244">
        <v>66333</v>
      </c>
      <c r="AB90" s="244">
        <v>66333</v>
      </c>
      <c r="AC90" s="244">
        <v>66333</v>
      </c>
      <c r="AD90" s="244">
        <v>66333</v>
      </c>
      <c r="AE90" s="244">
        <v>66333</v>
      </c>
      <c r="AF90" s="244">
        <v>66333</v>
      </c>
      <c r="AG90" s="241" t="s">
        <v>3008</v>
      </c>
    </row>
  </sheetData>
  <autoFilter ref="A1:AG90" xr:uid="{010F87B4-4DC9-4AD7-BD81-3CE62536EC09}"/>
  <conditionalFormatting sqref="D1:D1048576 H1:I1048576">
    <cfRule type="cellIs" dxfId="208" priority="1" operator="equal">
      <formula>"&lt;----"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339F8D6-3F27-4DD7-9BDE-58570682596D}">
          <x14:formula1>
            <xm:f>'account (M)'!$A$2:$A$5</xm:f>
          </x14:formula1>
          <xm:sqref>A3:A74 A76:A85</xm:sqref>
        </x14:dataValidation>
        <x14:dataValidation type="list" allowBlank="1" showInputMessage="1" showErrorMessage="1" xr:uid="{27B79B8B-E0FB-49A9-835C-1C45358CAB16}">
          <x14:formula1>
            <xm:f>'account (M)'!$G$2:$G$4</xm:f>
          </x14:formula1>
          <xm:sqref>A2</xm:sqref>
        </x14:dataValidation>
        <x14:dataValidation type="list" allowBlank="1" showInputMessage="1" showErrorMessage="1" xr:uid="{2F2CB39D-B537-422A-AB5A-3FB8F59EA1F9}">
          <x14:formula1>
            <xm:f>forecast!$B$5:$B$10</xm:f>
          </x14:formula1>
          <xm:sqref>C2:C74 C76:C85</xm:sqref>
        </x14:dataValidation>
        <x14:dataValidation type="list" allowBlank="1" showInputMessage="1" showErrorMessage="1" xr:uid="{BE6AE287-E1BE-40B8-A9EC-C788C7C954B0}">
          <x14:formula1>
            <xm:f>headcust!$B$5:$B$226</xm:f>
          </x14:formula1>
          <xm:sqref>E2:E74 E76:E85</xm:sqref>
        </x14:dataValidation>
        <x14:dataValidation type="list" allowBlank="1" showInputMessage="1" showErrorMessage="1" xr:uid="{F24AEEBA-A96A-4FA5-89C8-D7564776FE46}">
          <x14:formula1>
            <xm:f>installation!$B$5:$B$1029</xm:f>
          </x14:formula1>
          <xm:sqref>J2:J74 J76:J85</xm:sqref>
        </x14:dataValidation>
        <x14:dataValidation type="list" allowBlank="1" showInputMessage="1" showErrorMessage="1" xr:uid="{4FD1D12C-CE72-4EF2-B6B5-A9A846EEF9FB}">
          <x14:formula1>
            <xm:f>service!$B$5:$B$96</xm:f>
          </x14:formula1>
          <xm:sqref>L2:L74 L76:L85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1EA2-3F60-4321-8B78-3C12C80DBDC1}">
  <sheetPr>
    <pageSetUpPr fitToPage="1"/>
  </sheetPr>
  <dimension ref="A1:Q699"/>
  <sheetViews>
    <sheetView zoomScale="120" zoomScaleNormal="120" workbookViewId="0">
      <pane xSplit="4" ySplit="3" topLeftCell="E4" activePane="bottomRight" state="frozen"/>
      <selection pane="bottomRight" activeCell="E703" sqref="E703"/>
      <selection pane="bottomLeft" activeCell="E703" sqref="E703"/>
      <selection pane="topRight" activeCell="E703" sqref="E703"/>
    </sheetView>
  </sheetViews>
  <sheetFormatPr defaultColWidth="8.5703125" defaultRowHeight="14.45"/>
  <cols>
    <col min="1" max="1" width="12.42578125" style="90" bestFit="1" customWidth="1"/>
    <col min="2" max="2" width="21.140625" style="90" bestFit="1" customWidth="1"/>
    <col min="3" max="3" width="9.5703125" style="90" bestFit="1" customWidth="1"/>
    <col min="4" max="4" width="21.42578125" style="93" customWidth="1"/>
    <col min="5" max="5" width="15.42578125" style="90" bestFit="1" customWidth="1"/>
    <col min="6" max="6" width="11.42578125" style="90" bestFit="1" customWidth="1"/>
    <col min="7" max="7" width="12" style="91" bestFit="1" customWidth="1"/>
    <col min="8" max="8" width="11.42578125" style="91" customWidth="1"/>
    <col min="9" max="9" width="9.85546875" style="90" customWidth="1"/>
    <col min="10" max="10" width="11.5703125" style="90" customWidth="1"/>
    <col min="11" max="11" width="8.85546875" style="90" customWidth="1"/>
    <col min="12" max="12" width="12.42578125" style="90" bestFit="1" customWidth="1"/>
    <col min="13" max="13" width="11.42578125" style="90" customWidth="1"/>
    <col min="14" max="14" width="10.140625" style="90" customWidth="1"/>
    <col min="15" max="15" width="15.140625" style="90" customWidth="1"/>
    <col min="16" max="17" width="14.140625" style="90" customWidth="1"/>
    <col min="18" max="16384" width="8.5703125" style="90"/>
  </cols>
  <sheetData>
    <row r="1" spans="1:17" ht="46.15">
      <c r="A1" s="1053" t="s">
        <v>3019</v>
      </c>
      <c r="B1" s="1053"/>
      <c r="C1" s="1053"/>
      <c r="D1" s="1053"/>
      <c r="E1" s="153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3" spans="1:17" ht="20.45">
      <c r="A3" s="175" t="s">
        <v>3020</v>
      </c>
      <c r="B3" s="69" t="s">
        <v>10</v>
      </c>
      <c r="C3" s="70" t="s">
        <v>11</v>
      </c>
      <c r="D3" s="70" t="s">
        <v>15</v>
      </c>
      <c r="E3" s="70" t="s">
        <v>16</v>
      </c>
      <c r="F3" s="70" t="s">
        <v>12</v>
      </c>
      <c r="G3" s="70" t="s">
        <v>19</v>
      </c>
      <c r="H3" s="70" t="s">
        <v>3021</v>
      </c>
      <c r="I3" s="70" t="s">
        <v>21</v>
      </c>
      <c r="J3" s="70" t="s">
        <v>3022</v>
      </c>
      <c r="K3" s="70" t="s">
        <v>25</v>
      </c>
      <c r="L3" s="70" t="s">
        <v>26</v>
      </c>
      <c r="M3" s="70" t="s">
        <v>27</v>
      </c>
      <c r="N3" s="70" t="s">
        <v>28</v>
      </c>
      <c r="O3" s="70" t="s">
        <v>30</v>
      </c>
      <c r="P3" s="70" t="s">
        <v>335</v>
      </c>
      <c r="Q3" s="71" t="s">
        <v>50</v>
      </c>
    </row>
    <row r="4" spans="1:17" hidden="1">
      <c r="A4" s="173" t="s">
        <v>3023</v>
      </c>
      <c r="B4" s="76" t="s">
        <v>172</v>
      </c>
      <c r="C4" s="77" t="s">
        <v>172</v>
      </c>
      <c r="D4" s="102" t="s">
        <v>3024</v>
      </c>
      <c r="E4" s="77" t="s">
        <v>107</v>
      </c>
      <c r="F4" s="77" t="s">
        <v>158</v>
      </c>
      <c r="G4" s="77" t="s">
        <v>65</v>
      </c>
      <c r="H4" s="77" t="s">
        <v>290</v>
      </c>
      <c r="I4" s="77"/>
      <c r="J4" s="110" t="s">
        <v>222</v>
      </c>
      <c r="K4" s="77">
        <v>2019</v>
      </c>
      <c r="L4" s="78">
        <v>1</v>
      </c>
      <c r="M4" s="79">
        <v>20000</v>
      </c>
      <c r="N4" s="79">
        <f>Table47910[[#This Row],[Expected Revenue]]*Table47910[[#This Row],[Probability]]</f>
        <v>20000</v>
      </c>
      <c r="O4" s="78">
        <v>0.45</v>
      </c>
      <c r="P4" s="79">
        <f>Table47910[[#This Row],[Expected Revenue]]*Table47910[[#This Row],[Expected CMR]]</f>
        <v>9000</v>
      </c>
      <c r="Q4" s="212"/>
    </row>
    <row r="5" spans="1:17" hidden="1">
      <c r="A5" s="173" t="s">
        <v>3023</v>
      </c>
      <c r="B5" s="76" t="s">
        <v>172</v>
      </c>
      <c r="C5" s="77" t="s">
        <v>172</v>
      </c>
      <c r="D5" s="102" t="s">
        <v>3024</v>
      </c>
      <c r="E5" s="77" t="s">
        <v>107</v>
      </c>
      <c r="F5" s="77" t="s">
        <v>158</v>
      </c>
      <c r="G5" s="77" t="s">
        <v>65</v>
      </c>
      <c r="H5" s="77" t="s">
        <v>290</v>
      </c>
      <c r="I5" s="77"/>
      <c r="J5" s="110" t="s">
        <v>89</v>
      </c>
      <c r="K5" s="77">
        <v>2019</v>
      </c>
      <c r="L5" s="78">
        <v>1</v>
      </c>
      <c r="M5" s="79">
        <v>45000</v>
      </c>
      <c r="N5" s="79">
        <f>Table47910[[#This Row],[Expected Revenue]]*Table47910[[#This Row],[Probability]]</f>
        <v>45000</v>
      </c>
      <c r="O5" s="78">
        <v>0.45</v>
      </c>
      <c r="P5" s="79">
        <f>Table47910[[#This Row],[Expected Revenue]]*Table47910[[#This Row],[Expected CMR]]</f>
        <v>20250</v>
      </c>
      <c r="Q5" s="209"/>
    </row>
    <row r="6" spans="1:17" hidden="1">
      <c r="A6" s="173" t="s">
        <v>3023</v>
      </c>
      <c r="B6" s="76" t="s">
        <v>260</v>
      </c>
      <c r="C6" s="77" t="s">
        <v>157</v>
      </c>
      <c r="D6" s="102" t="s">
        <v>261</v>
      </c>
      <c r="E6" s="77" t="s">
        <v>62</v>
      </c>
      <c r="F6" s="77" t="s">
        <v>58</v>
      </c>
      <c r="G6" s="77" t="s">
        <v>65</v>
      </c>
      <c r="H6" s="77" t="s">
        <v>290</v>
      </c>
      <c r="I6" s="77"/>
      <c r="J6" s="152" t="s">
        <v>80</v>
      </c>
      <c r="K6" s="77">
        <v>2019</v>
      </c>
      <c r="L6" s="78">
        <v>1</v>
      </c>
      <c r="M6" s="79">
        <v>35000</v>
      </c>
      <c r="N6" s="79">
        <f>Table47910[[#This Row],[Expected Revenue]]*Table47910[[#This Row],[Probability]]</f>
        <v>35000</v>
      </c>
      <c r="O6" s="78">
        <v>0.35</v>
      </c>
      <c r="P6" s="79">
        <f>Table47910[[#This Row],[Expected Revenue]]*Table47910[[#This Row],[Expected CMR]]</f>
        <v>12250</v>
      </c>
      <c r="Q6" s="209"/>
    </row>
    <row r="7" spans="1:17" hidden="1">
      <c r="A7" s="173" t="s">
        <v>3025</v>
      </c>
      <c r="B7" s="76" t="s">
        <v>253</v>
      </c>
      <c r="C7" s="77" t="s">
        <v>254</v>
      </c>
      <c r="D7" s="102" t="s">
        <v>255</v>
      </c>
      <c r="E7" s="77" t="s">
        <v>92</v>
      </c>
      <c r="F7" s="77" t="s">
        <v>158</v>
      </c>
      <c r="G7" s="77" t="s">
        <v>65</v>
      </c>
      <c r="H7" s="77" t="s">
        <v>290</v>
      </c>
      <c r="I7" s="77"/>
      <c r="J7" s="110" t="s">
        <v>80</v>
      </c>
      <c r="K7" s="77">
        <v>2020</v>
      </c>
      <c r="L7" s="78">
        <v>1</v>
      </c>
      <c r="M7" s="79">
        <v>60000</v>
      </c>
      <c r="N7" s="79">
        <f>Table47910[[#This Row],[Expected Revenue]]*Table47910[[#This Row],[Probability]]</f>
        <v>60000</v>
      </c>
      <c r="O7" s="78">
        <v>0.3</v>
      </c>
      <c r="P7" s="79">
        <v>15000</v>
      </c>
      <c r="Q7" s="209"/>
    </row>
    <row r="8" spans="1:17" hidden="1">
      <c r="A8" s="173" t="s">
        <v>3023</v>
      </c>
      <c r="B8" s="76" t="s">
        <v>296</v>
      </c>
      <c r="C8" s="77"/>
      <c r="D8" s="102"/>
      <c r="E8" s="77" t="s">
        <v>251</v>
      </c>
      <c r="F8" s="77"/>
      <c r="G8" s="77"/>
      <c r="H8" s="77" t="s">
        <v>296</v>
      </c>
      <c r="I8" s="76"/>
      <c r="J8" s="110" t="s">
        <v>139</v>
      </c>
      <c r="K8" s="77">
        <v>2019</v>
      </c>
      <c r="L8" s="78">
        <v>1</v>
      </c>
      <c r="M8" s="79">
        <v>50000</v>
      </c>
      <c r="N8" s="86">
        <f>Table47910[[#This Row],[Expected Revenue]]*Table47910[[#This Row],[Probability]]</f>
        <v>50000</v>
      </c>
      <c r="O8" s="78">
        <v>0.3</v>
      </c>
      <c r="P8" s="86">
        <f>Table47910[[#This Row],[Expected Revenue]]*Table47910[[#This Row],[Expected CMR]]</f>
        <v>15000</v>
      </c>
      <c r="Q8" s="210"/>
    </row>
    <row r="9" spans="1:17" hidden="1">
      <c r="A9" s="173" t="s">
        <v>3023</v>
      </c>
      <c r="B9" s="76" t="s">
        <v>296</v>
      </c>
      <c r="C9" s="77"/>
      <c r="D9" s="102"/>
      <c r="E9" s="77" t="s">
        <v>251</v>
      </c>
      <c r="F9" s="77"/>
      <c r="G9" s="77"/>
      <c r="H9" s="77" t="s">
        <v>296</v>
      </c>
      <c r="I9" s="76"/>
      <c r="J9" s="110" t="s">
        <v>84</v>
      </c>
      <c r="K9" s="77">
        <v>2019</v>
      </c>
      <c r="L9" s="78">
        <v>1</v>
      </c>
      <c r="M9" s="79">
        <v>150000</v>
      </c>
      <c r="N9" s="86">
        <f>Table47910[[#This Row],[Expected Revenue]]*Table47910[[#This Row],[Probability]]</f>
        <v>150000</v>
      </c>
      <c r="O9" s="78">
        <v>0.3</v>
      </c>
      <c r="P9" s="86">
        <f>Table47910[[#This Row],[Expected Revenue]]*Table47910[[#This Row],[Expected CMR]]</f>
        <v>45000</v>
      </c>
      <c r="Q9" s="210"/>
    </row>
    <row r="10" spans="1:17" hidden="1">
      <c r="A10" s="173" t="s">
        <v>3023</v>
      </c>
      <c r="B10" s="76" t="s">
        <v>296</v>
      </c>
      <c r="C10" s="77"/>
      <c r="D10" s="102"/>
      <c r="E10" s="77" t="s">
        <v>251</v>
      </c>
      <c r="F10" s="77"/>
      <c r="G10" s="77"/>
      <c r="H10" s="77" t="s">
        <v>296</v>
      </c>
      <c r="I10" s="76"/>
      <c r="J10" s="110" t="s">
        <v>80</v>
      </c>
      <c r="K10" s="77">
        <v>2019</v>
      </c>
      <c r="L10" s="78">
        <v>1</v>
      </c>
      <c r="M10" s="79">
        <v>100000</v>
      </c>
      <c r="N10" s="86">
        <f>Table47910[[#This Row],[Expected Revenue]]*Table47910[[#This Row],[Probability]]</f>
        <v>100000</v>
      </c>
      <c r="O10" s="78">
        <v>0.3</v>
      </c>
      <c r="P10" s="86">
        <f>Table47910[[#This Row],[Expected Revenue]]*Table47910[[#This Row],[Expected CMR]]</f>
        <v>30000</v>
      </c>
      <c r="Q10" s="210"/>
    </row>
    <row r="11" spans="1:17" hidden="1">
      <c r="A11" s="173" t="s">
        <v>3023</v>
      </c>
      <c r="B11" s="76" t="s">
        <v>309</v>
      </c>
      <c r="C11" s="77" t="s">
        <v>157</v>
      </c>
      <c r="D11" s="102" t="s">
        <v>261</v>
      </c>
      <c r="E11" s="77" t="s">
        <v>62</v>
      </c>
      <c r="F11" s="77" t="s">
        <v>58</v>
      </c>
      <c r="G11" s="77" t="s">
        <v>65</v>
      </c>
      <c r="H11" s="77" t="s">
        <v>290</v>
      </c>
      <c r="I11" s="77"/>
      <c r="J11" s="110" t="s">
        <v>80</v>
      </c>
      <c r="K11" s="77">
        <v>2020</v>
      </c>
      <c r="L11" s="78">
        <v>1</v>
      </c>
      <c r="M11" s="79">
        <v>100000</v>
      </c>
      <c r="N11" s="79">
        <f>Table47910[[#This Row],[Expected Revenue]]*Table47910[[#This Row],[Probability]]</f>
        <v>100000</v>
      </c>
      <c r="O11" s="78">
        <v>0.35</v>
      </c>
      <c r="P11" s="79">
        <f>Table47910[[#This Row],[Expected Revenue]]*Table47910[[#This Row],[Expected CMR]]</f>
        <v>35000</v>
      </c>
      <c r="Q11" s="209"/>
    </row>
    <row r="12" spans="1:17" hidden="1">
      <c r="A12" s="173" t="s">
        <v>3023</v>
      </c>
      <c r="B12" s="76" t="s">
        <v>296</v>
      </c>
      <c r="C12" s="77"/>
      <c r="D12" s="102"/>
      <c r="E12" s="77" t="s">
        <v>251</v>
      </c>
      <c r="F12" s="77"/>
      <c r="G12" s="77"/>
      <c r="H12" s="77" t="s">
        <v>296</v>
      </c>
      <c r="I12" s="76"/>
      <c r="J12" s="110" t="s">
        <v>219</v>
      </c>
      <c r="K12" s="77">
        <v>2019</v>
      </c>
      <c r="L12" s="78">
        <v>1</v>
      </c>
      <c r="M12" s="79">
        <v>150000</v>
      </c>
      <c r="N12" s="86">
        <f>Table47910[[#This Row],[Expected Revenue]]*Table47910[[#This Row],[Probability]]</f>
        <v>150000</v>
      </c>
      <c r="O12" s="78">
        <v>0.3</v>
      </c>
      <c r="P12" s="86">
        <f>Table47910[[#This Row],[Expected Revenue]]*Table47910[[#This Row],[Expected CMR]]</f>
        <v>45000</v>
      </c>
      <c r="Q12" s="210"/>
    </row>
    <row r="13" spans="1:17" hidden="1">
      <c r="A13" s="173" t="s">
        <v>3023</v>
      </c>
      <c r="B13" s="76" t="s">
        <v>296</v>
      </c>
      <c r="C13" s="77"/>
      <c r="D13" s="102"/>
      <c r="E13" s="77" t="s">
        <v>251</v>
      </c>
      <c r="F13" s="77"/>
      <c r="G13" s="77"/>
      <c r="H13" s="77" t="s">
        <v>296</v>
      </c>
      <c r="I13" s="76"/>
      <c r="J13" s="110" t="s">
        <v>222</v>
      </c>
      <c r="K13" s="77">
        <v>2019</v>
      </c>
      <c r="L13" s="78">
        <v>1</v>
      </c>
      <c r="M13" s="79">
        <v>150000</v>
      </c>
      <c r="N13" s="86">
        <f>Table47910[[#This Row],[Expected Revenue]]*Table47910[[#This Row],[Probability]]</f>
        <v>150000</v>
      </c>
      <c r="O13" s="78">
        <v>0.3</v>
      </c>
      <c r="P13" s="86">
        <f>Table47910[[#This Row],[Expected Revenue]]*Table47910[[#This Row],[Expected CMR]]</f>
        <v>45000</v>
      </c>
      <c r="Q13" s="210"/>
    </row>
    <row r="14" spans="1:17" hidden="1">
      <c r="A14" s="173" t="s">
        <v>3023</v>
      </c>
      <c r="B14" s="76" t="s">
        <v>296</v>
      </c>
      <c r="C14" s="77"/>
      <c r="D14" s="102"/>
      <c r="E14" s="77" t="s">
        <v>251</v>
      </c>
      <c r="F14" s="77"/>
      <c r="G14" s="77"/>
      <c r="H14" s="77" t="s">
        <v>296</v>
      </c>
      <c r="I14" s="76"/>
      <c r="J14" s="110" t="s">
        <v>230</v>
      </c>
      <c r="K14" s="77">
        <v>2019</v>
      </c>
      <c r="L14" s="78">
        <v>1</v>
      </c>
      <c r="M14" s="79">
        <v>100000</v>
      </c>
      <c r="N14" s="86">
        <f>Table47910[[#This Row],[Expected Revenue]]*Table47910[[#This Row],[Probability]]</f>
        <v>100000</v>
      </c>
      <c r="O14" s="78">
        <v>0.3</v>
      </c>
      <c r="P14" s="86">
        <f>Table47910[[#This Row],[Expected Revenue]]*Table47910[[#This Row],[Expected CMR]]</f>
        <v>30000</v>
      </c>
      <c r="Q14" s="210"/>
    </row>
    <row r="15" spans="1:17" hidden="1">
      <c r="A15" s="173" t="s">
        <v>3023</v>
      </c>
      <c r="B15" s="76" t="s">
        <v>296</v>
      </c>
      <c r="C15" s="77"/>
      <c r="D15" s="102"/>
      <c r="E15" s="77" t="s">
        <v>251</v>
      </c>
      <c r="F15" s="77"/>
      <c r="G15" s="77"/>
      <c r="H15" s="77" t="s">
        <v>296</v>
      </c>
      <c r="I15" s="76"/>
      <c r="J15" s="110" t="s">
        <v>89</v>
      </c>
      <c r="K15" s="77">
        <v>2019</v>
      </c>
      <c r="L15" s="78">
        <v>1</v>
      </c>
      <c r="M15" s="79">
        <v>150000</v>
      </c>
      <c r="N15" s="86">
        <f>Table47910[[#This Row],[Expected Revenue]]*Table47910[[#This Row],[Probability]]</f>
        <v>150000</v>
      </c>
      <c r="O15" s="78">
        <v>0.3</v>
      </c>
      <c r="P15" s="86">
        <f>Table47910[[#This Row],[Expected Revenue]]*Table47910[[#This Row],[Expected CMR]]</f>
        <v>45000</v>
      </c>
      <c r="Q15" s="210"/>
    </row>
    <row r="16" spans="1:17" hidden="1">
      <c r="A16" s="173" t="s">
        <v>3023</v>
      </c>
      <c r="B16" s="76" t="s">
        <v>296</v>
      </c>
      <c r="C16" s="77"/>
      <c r="D16" s="102"/>
      <c r="E16" s="77" t="s">
        <v>251</v>
      </c>
      <c r="F16" s="77"/>
      <c r="G16" s="77"/>
      <c r="H16" s="77" t="s">
        <v>296</v>
      </c>
      <c r="I16" s="76"/>
      <c r="J16" s="110" t="s">
        <v>102</v>
      </c>
      <c r="K16" s="77">
        <v>2019</v>
      </c>
      <c r="L16" s="78">
        <v>1</v>
      </c>
      <c r="M16" s="79">
        <v>150000</v>
      </c>
      <c r="N16" s="86">
        <f>Table47910[[#This Row],[Expected Revenue]]*Table47910[[#This Row],[Probability]]</f>
        <v>150000</v>
      </c>
      <c r="O16" s="78">
        <v>0.3</v>
      </c>
      <c r="P16" s="86">
        <f>Table47910[[#This Row],[Expected Revenue]]*Table47910[[#This Row],[Expected CMR]]</f>
        <v>45000</v>
      </c>
      <c r="Q16" s="210"/>
    </row>
    <row r="17" spans="1:17" hidden="1">
      <c r="A17" s="173" t="s">
        <v>3023</v>
      </c>
      <c r="B17" s="76" t="s">
        <v>296</v>
      </c>
      <c r="C17" s="77"/>
      <c r="D17" s="102"/>
      <c r="E17" s="77" t="s">
        <v>251</v>
      </c>
      <c r="F17" s="77"/>
      <c r="G17" s="77"/>
      <c r="H17" s="77" t="s">
        <v>296</v>
      </c>
      <c r="I17" s="76"/>
      <c r="J17" s="110" t="s">
        <v>229</v>
      </c>
      <c r="K17" s="77">
        <v>2019</v>
      </c>
      <c r="L17" s="78">
        <v>1</v>
      </c>
      <c r="M17" s="79">
        <v>150000</v>
      </c>
      <c r="N17" s="86">
        <f>Table47910[[#This Row],[Expected Revenue]]*Table47910[[#This Row],[Probability]]</f>
        <v>150000</v>
      </c>
      <c r="O17" s="78">
        <v>0.3</v>
      </c>
      <c r="P17" s="86">
        <f>Table47910[[#This Row],[Expected Revenue]]*Table47910[[#This Row],[Expected CMR]]</f>
        <v>45000</v>
      </c>
      <c r="Q17" s="210"/>
    </row>
    <row r="18" spans="1:17" ht="21.6" hidden="1">
      <c r="A18" s="173" t="s">
        <v>3023</v>
      </c>
      <c r="B18" s="76" t="s">
        <v>156</v>
      </c>
      <c r="C18" s="77" t="s">
        <v>157</v>
      </c>
      <c r="D18" s="102" t="s">
        <v>3026</v>
      </c>
      <c r="E18" s="77" t="s">
        <v>92</v>
      </c>
      <c r="F18" s="77" t="s">
        <v>58</v>
      </c>
      <c r="G18" s="77" t="s">
        <v>3027</v>
      </c>
      <c r="H18" s="77" t="s">
        <v>257</v>
      </c>
      <c r="I18" s="77" t="s">
        <v>3028</v>
      </c>
      <c r="J18" s="110" t="s">
        <v>139</v>
      </c>
      <c r="K18" s="77">
        <v>2019</v>
      </c>
      <c r="L18" s="78">
        <v>0.25</v>
      </c>
      <c r="M18" s="79">
        <v>579</v>
      </c>
      <c r="N18" s="79">
        <f>Table47910[[#This Row],[Expected Revenue]]*Table47910[[#This Row],[Probability]]</f>
        <v>144.75</v>
      </c>
      <c r="O18" s="78">
        <v>0.35</v>
      </c>
      <c r="P18" s="79">
        <f>Table47910[[#This Row],[Expected Revenue]]*Table47910[[#This Row],[Expected CMR]]</f>
        <v>202.64999999999998</v>
      </c>
      <c r="Q18" s="209"/>
    </row>
    <row r="19" spans="1:17" hidden="1">
      <c r="A19" s="75" t="s">
        <v>3029</v>
      </c>
      <c r="B19" s="76" t="s">
        <v>309</v>
      </c>
      <c r="C19" s="77" t="s">
        <v>157</v>
      </c>
      <c r="D19" s="102" t="s">
        <v>3030</v>
      </c>
      <c r="E19" s="77" t="s">
        <v>62</v>
      </c>
      <c r="F19" s="77" t="s">
        <v>58</v>
      </c>
      <c r="G19" s="77" t="s">
        <v>65</v>
      </c>
      <c r="H19" s="77" t="s">
        <v>290</v>
      </c>
      <c r="I19" s="77"/>
      <c r="J19" s="110" t="s">
        <v>139</v>
      </c>
      <c r="K19" s="77">
        <v>2019</v>
      </c>
      <c r="L19" s="78">
        <v>1</v>
      </c>
      <c r="M19" s="79">
        <v>45000</v>
      </c>
      <c r="N19" s="79">
        <f>Table47910[[#This Row],[Expected Revenue]]*Table47910[[#This Row],[Probability]]</f>
        <v>45000</v>
      </c>
      <c r="O19" s="78">
        <v>0.35</v>
      </c>
      <c r="P19" s="79">
        <f>Table47910[[#This Row],[Expected Revenue]]*Table47910[[#This Row],[Expected CMR]]</f>
        <v>15749.999999999998</v>
      </c>
      <c r="Q19" s="209"/>
    </row>
    <row r="20" spans="1:17" hidden="1">
      <c r="A20" s="75" t="s">
        <v>3029</v>
      </c>
      <c r="B20" s="76" t="s">
        <v>156</v>
      </c>
      <c r="C20" s="77" t="s">
        <v>157</v>
      </c>
      <c r="D20" s="102" t="s">
        <v>3031</v>
      </c>
      <c r="E20" s="77" t="s">
        <v>62</v>
      </c>
      <c r="F20" s="77" t="s">
        <v>58</v>
      </c>
      <c r="G20" s="77" t="s">
        <v>65</v>
      </c>
      <c r="H20" s="77" t="s">
        <v>290</v>
      </c>
      <c r="I20" s="77"/>
      <c r="J20" s="110" t="s">
        <v>139</v>
      </c>
      <c r="K20" s="77">
        <v>2019</v>
      </c>
      <c r="L20" s="78">
        <v>0.5</v>
      </c>
      <c r="M20" s="79">
        <v>15000</v>
      </c>
      <c r="N20" s="79">
        <f>Table47910[[#This Row],[Expected Revenue]]*Table47910[[#This Row],[Probability]]</f>
        <v>7500</v>
      </c>
      <c r="O20" s="78">
        <v>0.35</v>
      </c>
      <c r="P20" s="79">
        <f>Table47910[[#This Row],[Expected Revenue]]*Table47910[[#This Row],[Expected CMR]]</f>
        <v>5250</v>
      </c>
      <c r="Q20" s="209"/>
    </row>
    <row r="21" spans="1:17" hidden="1">
      <c r="A21" s="75" t="s">
        <v>3032</v>
      </c>
      <c r="B21" s="76" t="s">
        <v>73</v>
      </c>
      <c r="C21" s="77" t="s">
        <v>57</v>
      </c>
      <c r="D21" s="102" t="s">
        <v>106</v>
      </c>
      <c r="E21" s="77" t="s">
        <v>291</v>
      </c>
      <c r="F21" s="77" t="s">
        <v>58</v>
      </c>
      <c r="G21" s="77" t="s">
        <v>65</v>
      </c>
      <c r="H21" s="77" t="s">
        <v>290</v>
      </c>
      <c r="I21" s="77"/>
      <c r="J21" s="110" t="s">
        <v>80</v>
      </c>
      <c r="K21" s="77">
        <v>2020</v>
      </c>
      <c r="L21" s="78">
        <v>1</v>
      </c>
      <c r="M21" s="79">
        <v>0</v>
      </c>
      <c r="N21" s="79">
        <f>Table47910[[#This Row],[Expected Revenue]]*Table47910[[#This Row],[Probability]]</f>
        <v>0</v>
      </c>
      <c r="O21" s="78">
        <v>0.3</v>
      </c>
      <c r="P21" s="79">
        <v>17813.399999999998</v>
      </c>
      <c r="Q21" s="209"/>
    </row>
    <row r="22" spans="1:17" hidden="1">
      <c r="A22" s="173" t="s">
        <v>3033</v>
      </c>
      <c r="B22" s="76" t="s">
        <v>3034</v>
      </c>
      <c r="C22" s="77" t="s">
        <v>254</v>
      </c>
      <c r="D22" s="102" t="s">
        <v>255</v>
      </c>
      <c r="E22" s="77" t="s">
        <v>92</v>
      </c>
      <c r="F22" s="77" t="s">
        <v>158</v>
      </c>
      <c r="G22" s="77" t="s">
        <v>256</v>
      </c>
      <c r="H22" s="77" t="s">
        <v>290</v>
      </c>
      <c r="I22" s="77"/>
      <c r="J22" s="110" t="s">
        <v>230</v>
      </c>
      <c r="K22" s="77">
        <v>2020</v>
      </c>
      <c r="L22" s="78">
        <v>1</v>
      </c>
      <c r="M22" s="79">
        <v>70000</v>
      </c>
      <c r="N22" s="79">
        <f>Table47910[[#This Row],[Expected Revenue]]*Table47910[[#This Row],[Probability]]</f>
        <v>70000</v>
      </c>
      <c r="O22" s="78">
        <v>0.3</v>
      </c>
      <c r="P22" s="79">
        <f>Table47910[[#This Row],[Expected Revenue]]*Table47910[[#This Row],[Expected CMR]]</f>
        <v>21000</v>
      </c>
      <c r="Q22" s="209"/>
    </row>
    <row r="23" spans="1:17" hidden="1">
      <c r="A23" s="75" t="s">
        <v>3029</v>
      </c>
      <c r="B23" s="76" t="s">
        <v>156</v>
      </c>
      <c r="C23" s="77" t="s">
        <v>157</v>
      </c>
      <c r="D23" s="102" t="s">
        <v>3031</v>
      </c>
      <c r="E23" s="77" t="s">
        <v>62</v>
      </c>
      <c r="F23" s="77" t="s">
        <v>58</v>
      </c>
      <c r="G23" s="77" t="s">
        <v>3027</v>
      </c>
      <c r="H23" s="77" t="s">
        <v>257</v>
      </c>
      <c r="I23" s="77"/>
      <c r="J23" s="110" t="s">
        <v>230</v>
      </c>
      <c r="K23" s="77">
        <v>2019</v>
      </c>
      <c r="L23" s="78">
        <v>0.5</v>
      </c>
      <c r="M23" s="79">
        <v>15000</v>
      </c>
      <c r="N23" s="79">
        <f>Table47910[[#This Row],[Expected Revenue]]*Table47910[[#This Row],[Probability]]</f>
        <v>7500</v>
      </c>
      <c r="O23" s="78">
        <v>0.35</v>
      </c>
      <c r="P23" s="79">
        <f>Table47910[[#This Row],[Expected Revenue]]*Table47910[[#This Row],[Expected CMR]]</f>
        <v>5250</v>
      </c>
      <c r="Q23" s="209"/>
    </row>
    <row r="24" spans="1:17" hidden="1">
      <c r="A24" s="75" t="s">
        <v>3035</v>
      </c>
      <c r="B24" s="76" t="s">
        <v>104</v>
      </c>
      <c r="C24" s="77" t="s">
        <v>57</v>
      </c>
      <c r="D24" s="102" t="s">
        <v>106</v>
      </c>
      <c r="E24" s="77" t="s">
        <v>107</v>
      </c>
      <c r="F24" s="77" t="s">
        <v>58</v>
      </c>
      <c r="G24" s="77" t="s">
        <v>65</v>
      </c>
      <c r="H24" s="77" t="s">
        <v>290</v>
      </c>
      <c r="I24" s="77"/>
      <c r="J24" s="152" t="s">
        <v>229</v>
      </c>
      <c r="K24" s="77">
        <v>2019</v>
      </c>
      <c r="L24" s="78">
        <v>1</v>
      </c>
      <c r="M24" s="79">
        <v>59378</v>
      </c>
      <c r="N24" s="79">
        <f>Table47910[[#This Row],[Expected Revenue]]*Table47910[[#This Row],[Probability]]</f>
        <v>59378</v>
      </c>
      <c r="O24" s="78">
        <v>0.3</v>
      </c>
      <c r="P24" s="79">
        <f>Table47910[[#This Row],[Expected Revenue]]*Table47910[[#This Row],[Expected CMR]]</f>
        <v>17813.399999999998</v>
      </c>
      <c r="Q24" s="209"/>
    </row>
    <row r="25" spans="1:17" hidden="1">
      <c r="A25" s="75" t="s">
        <v>3036</v>
      </c>
      <c r="B25" s="76" t="s">
        <v>104</v>
      </c>
      <c r="C25" s="77" t="s">
        <v>57</v>
      </c>
      <c r="D25" s="102" t="s">
        <v>112</v>
      </c>
      <c r="E25" s="77" t="s">
        <v>71</v>
      </c>
      <c r="F25" s="77" t="s">
        <v>58</v>
      </c>
      <c r="G25" s="77" t="s">
        <v>65</v>
      </c>
      <c r="H25" s="77" t="s">
        <v>290</v>
      </c>
      <c r="I25" s="77"/>
      <c r="J25" s="152" t="s">
        <v>229</v>
      </c>
      <c r="K25" s="77">
        <v>2019</v>
      </c>
      <c r="L25" s="78">
        <v>1</v>
      </c>
      <c r="M25" s="79">
        <v>30939</v>
      </c>
      <c r="N25" s="79">
        <f>Table47910[[#This Row],[Expected Revenue]]*Table47910[[#This Row],[Probability]]</f>
        <v>30939</v>
      </c>
      <c r="O25" s="78">
        <v>0.3</v>
      </c>
      <c r="P25" s="79">
        <f>Table47910[[#This Row],[Expected Revenue]]*Table47910[[#This Row],[Expected CMR]]</f>
        <v>9281.6999999999989</v>
      </c>
      <c r="Q25" s="209"/>
    </row>
    <row r="26" spans="1:17" hidden="1">
      <c r="A26" s="75" t="s">
        <v>3037</v>
      </c>
      <c r="B26" s="76" t="s">
        <v>104</v>
      </c>
      <c r="C26" s="77" t="s">
        <v>57</v>
      </c>
      <c r="D26" s="102" t="s">
        <v>113</v>
      </c>
      <c r="E26" s="77" t="s">
        <v>62</v>
      </c>
      <c r="F26" s="77" t="s">
        <v>58</v>
      </c>
      <c r="G26" s="77" t="s">
        <v>65</v>
      </c>
      <c r="H26" s="77" t="s">
        <v>290</v>
      </c>
      <c r="I26" s="77"/>
      <c r="J26" s="152" t="s">
        <v>84</v>
      </c>
      <c r="K26" s="77">
        <v>2019</v>
      </c>
      <c r="L26" s="78">
        <v>1</v>
      </c>
      <c r="M26" s="79">
        <v>31000</v>
      </c>
      <c r="N26" s="79">
        <f>Table47910[[#This Row],[Expected Revenue]]*Table47910[[#This Row],[Probability]]</f>
        <v>31000</v>
      </c>
      <c r="O26" s="78">
        <v>0.3</v>
      </c>
      <c r="P26" s="79">
        <f>Table47910[[#This Row],[Expected Revenue]]*Table47910[[#This Row],[Expected CMR]]</f>
        <v>9300</v>
      </c>
      <c r="Q26" s="209"/>
    </row>
    <row r="27" spans="1:17" hidden="1">
      <c r="A27" s="75" t="s">
        <v>3038</v>
      </c>
      <c r="B27" s="76" t="s">
        <v>104</v>
      </c>
      <c r="C27" s="77" t="s">
        <v>57</v>
      </c>
      <c r="D27" s="102" t="s">
        <v>96</v>
      </c>
      <c r="E27" s="77" t="s">
        <v>92</v>
      </c>
      <c r="F27" s="77" t="s">
        <v>58</v>
      </c>
      <c r="G27" s="77" t="s">
        <v>65</v>
      </c>
      <c r="H27" s="77" t="s">
        <v>290</v>
      </c>
      <c r="I27" s="77"/>
      <c r="J27" s="152" t="s">
        <v>222</v>
      </c>
      <c r="K27" s="77">
        <v>2019</v>
      </c>
      <c r="L27" s="78">
        <v>1</v>
      </c>
      <c r="M27" s="79">
        <f>75242/4</f>
        <v>18810.5</v>
      </c>
      <c r="N27" s="79">
        <f>Table47910[[#This Row],[Expected Revenue]]*Table47910[[#This Row],[Probability]]</f>
        <v>18810.5</v>
      </c>
      <c r="O27" s="78">
        <v>0.3</v>
      </c>
      <c r="P27" s="79">
        <f>Table47910[[#This Row],[Expected Revenue]]*Table47910[[#This Row],[Expected CMR]]</f>
        <v>5643.15</v>
      </c>
      <c r="Q27" s="209"/>
    </row>
    <row r="28" spans="1:17" hidden="1">
      <c r="A28" s="75" t="s">
        <v>3038</v>
      </c>
      <c r="B28" s="76" t="s">
        <v>104</v>
      </c>
      <c r="C28" s="77" t="s">
        <v>57</v>
      </c>
      <c r="D28" s="102" t="s">
        <v>91</v>
      </c>
      <c r="E28" s="77" t="s">
        <v>92</v>
      </c>
      <c r="F28" s="77" t="s">
        <v>58</v>
      </c>
      <c r="G28" s="77" t="s">
        <v>65</v>
      </c>
      <c r="H28" s="77" t="s">
        <v>290</v>
      </c>
      <c r="I28" s="77"/>
      <c r="J28" s="152" t="s">
        <v>230</v>
      </c>
      <c r="K28" s="77">
        <v>2019</v>
      </c>
      <c r="L28" s="78">
        <v>1</v>
      </c>
      <c r="M28" s="79">
        <f>75242/4</f>
        <v>18810.5</v>
      </c>
      <c r="N28" s="79">
        <f>Table47910[[#This Row],[Expected Revenue]]*Table47910[[#This Row],[Probability]]</f>
        <v>18810.5</v>
      </c>
      <c r="O28" s="78">
        <v>0.3</v>
      </c>
      <c r="P28" s="79">
        <f>Table47910[[#This Row],[Expected Revenue]]*Table47910[[#This Row],[Expected CMR]]</f>
        <v>5643.15</v>
      </c>
      <c r="Q28" s="209"/>
    </row>
    <row r="29" spans="1:17" hidden="1">
      <c r="A29" s="75" t="s">
        <v>3038</v>
      </c>
      <c r="B29" s="76" t="s">
        <v>104</v>
      </c>
      <c r="C29" s="77" t="s">
        <v>57</v>
      </c>
      <c r="D29" s="102" t="s">
        <v>97</v>
      </c>
      <c r="E29" s="77" t="s">
        <v>92</v>
      </c>
      <c r="F29" s="77" t="s">
        <v>58</v>
      </c>
      <c r="G29" s="77" t="s">
        <v>65</v>
      </c>
      <c r="H29" s="77" t="s">
        <v>290</v>
      </c>
      <c r="I29" s="77"/>
      <c r="J29" s="152" t="s">
        <v>229</v>
      </c>
      <c r="K29" s="77">
        <v>2019</v>
      </c>
      <c r="L29" s="78">
        <v>1</v>
      </c>
      <c r="M29" s="79">
        <f>75242/4</f>
        <v>18810.5</v>
      </c>
      <c r="N29" s="79">
        <f>Table47910[[#This Row],[Expected Revenue]]*Table47910[[#This Row],[Probability]]</f>
        <v>18810.5</v>
      </c>
      <c r="O29" s="78">
        <v>0.3</v>
      </c>
      <c r="P29" s="79">
        <f>Table47910[[#This Row],[Expected Revenue]]*Table47910[[#This Row],[Expected CMR]]</f>
        <v>5643.15</v>
      </c>
      <c r="Q29" s="209"/>
    </row>
    <row r="30" spans="1:17" hidden="1">
      <c r="A30" s="75" t="s">
        <v>3039</v>
      </c>
      <c r="B30" s="76" t="s">
        <v>114</v>
      </c>
      <c r="C30" s="77" t="s">
        <v>57</v>
      </c>
      <c r="D30" s="102" t="s">
        <v>113</v>
      </c>
      <c r="E30" s="77" t="s">
        <v>62</v>
      </c>
      <c r="F30" s="77" t="s">
        <v>58</v>
      </c>
      <c r="G30" s="77" t="s">
        <v>65</v>
      </c>
      <c r="H30" s="77" t="s">
        <v>290</v>
      </c>
      <c r="I30" s="77"/>
      <c r="J30" s="152" t="s">
        <v>80</v>
      </c>
      <c r="K30" s="77">
        <v>2020</v>
      </c>
      <c r="L30" s="78">
        <v>1</v>
      </c>
      <c r="M30" s="79">
        <v>25000</v>
      </c>
      <c r="N30" s="79">
        <f>Table47910[[#This Row],[Expected Revenue]]*Table47910[[#This Row],[Probability]]</f>
        <v>25000</v>
      </c>
      <c r="O30" s="78">
        <v>0.3</v>
      </c>
      <c r="P30" s="79">
        <v>4500</v>
      </c>
      <c r="Q30" s="209"/>
    </row>
    <row r="31" spans="1:17" hidden="1">
      <c r="A31" s="75" t="s">
        <v>3040</v>
      </c>
      <c r="B31" s="76" t="s">
        <v>104</v>
      </c>
      <c r="C31" s="77" t="s">
        <v>57</v>
      </c>
      <c r="D31" s="102" t="s">
        <v>232</v>
      </c>
      <c r="E31" s="77" t="s">
        <v>62</v>
      </c>
      <c r="F31" s="77" t="s">
        <v>58</v>
      </c>
      <c r="G31" s="77" t="s">
        <v>65</v>
      </c>
      <c r="H31" s="77" t="s">
        <v>290</v>
      </c>
      <c r="I31" s="77"/>
      <c r="J31" s="110" t="s">
        <v>229</v>
      </c>
      <c r="K31" s="77">
        <v>2019</v>
      </c>
      <c r="L31" s="78">
        <v>1</v>
      </c>
      <c r="M31" s="79">
        <v>13900</v>
      </c>
      <c r="N31" s="79">
        <f>Table47910[[#This Row],[Expected Revenue]]*Table47910[[#This Row],[Probability]]</f>
        <v>13900</v>
      </c>
      <c r="O31" s="78">
        <v>0.3</v>
      </c>
      <c r="P31" s="79">
        <f>Table47910[[#This Row],[Expected Revenue]]*Table47910[[#This Row],[Expected CMR]]</f>
        <v>4170</v>
      </c>
      <c r="Q31" s="209"/>
    </row>
    <row r="32" spans="1:17" hidden="1">
      <c r="A32" s="75" t="s">
        <v>3041</v>
      </c>
      <c r="B32" s="76" t="s">
        <v>309</v>
      </c>
      <c r="C32" s="77" t="s">
        <v>157</v>
      </c>
      <c r="D32" s="102" t="s">
        <v>3042</v>
      </c>
      <c r="E32" s="77" t="s">
        <v>251</v>
      </c>
      <c r="F32" s="77" t="s">
        <v>58</v>
      </c>
      <c r="G32" s="77" t="s">
        <v>65</v>
      </c>
      <c r="H32" s="77" t="s">
        <v>290</v>
      </c>
      <c r="I32" s="77"/>
      <c r="J32" s="110" t="s">
        <v>230</v>
      </c>
      <c r="K32" s="77">
        <v>2020</v>
      </c>
      <c r="L32" s="78">
        <v>1</v>
      </c>
      <c r="M32" s="79">
        <v>75000</v>
      </c>
      <c r="N32" s="79">
        <f>Table47910[[#This Row],[Expected Revenue]]*Table47910[[#This Row],[Probability]]</f>
        <v>75000</v>
      </c>
      <c r="O32" s="78">
        <v>0.35</v>
      </c>
      <c r="P32" s="79">
        <f>Table47910[[#This Row],[Expected Revenue]]*Table47910[[#This Row],[Expected CMR]]</f>
        <v>26250</v>
      </c>
      <c r="Q32" s="209"/>
    </row>
    <row r="33" spans="1:17" hidden="1">
      <c r="A33" s="75" t="s">
        <v>3043</v>
      </c>
      <c r="B33" s="76" t="s">
        <v>117</v>
      </c>
      <c r="C33" s="77" t="s">
        <v>57</v>
      </c>
      <c r="D33" s="102" t="s">
        <v>112</v>
      </c>
      <c r="E33" s="77" t="s">
        <v>71</v>
      </c>
      <c r="F33" s="77" t="s">
        <v>58</v>
      </c>
      <c r="G33" s="77" t="s">
        <v>65</v>
      </c>
      <c r="H33" s="77" t="s">
        <v>290</v>
      </c>
      <c r="I33" s="77"/>
      <c r="J33" s="110" t="s">
        <v>80</v>
      </c>
      <c r="K33" s="77">
        <v>2020</v>
      </c>
      <c r="L33" s="78">
        <v>1</v>
      </c>
      <c r="M33" s="79">
        <v>28000</v>
      </c>
      <c r="N33" s="79">
        <f>Table47910[[#This Row],[Expected Revenue]]*Table47910[[#This Row],[Probability]]</f>
        <v>28000</v>
      </c>
      <c r="O33" s="78">
        <v>0.3</v>
      </c>
      <c r="P33" s="79">
        <f>Table47910[[#This Row],[Expected Revenue]]*Table47910[[#This Row],[Expected CMR]]</f>
        <v>8400</v>
      </c>
      <c r="Q33" s="209"/>
    </row>
    <row r="34" spans="1:17" hidden="1">
      <c r="A34" s="75" t="s">
        <v>3044</v>
      </c>
      <c r="B34" s="76" t="s">
        <v>137</v>
      </c>
      <c r="C34" s="77" t="s">
        <v>57</v>
      </c>
      <c r="D34" s="102" t="s">
        <v>113</v>
      </c>
      <c r="E34" s="77" t="s">
        <v>62</v>
      </c>
      <c r="F34" s="77" t="s">
        <v>58</v>
      </c>
      <c r="G34" s="77" t="s">
        <v>65</v>
      </c>
      <c r="H34" s="77" t="s">
        <v>290</v>
      </c>
      <c r="I34" s="77"/>
      <c r="J34" s="152" t="s">
        <v>80</v>
      </c>
      <c r="K34" s="77">
        <v>2020</v>
      </c>
      <c r="L34" s="78">
        <v>1</v>
      </c>
      <c r="M34" s="79">
        <v>31969</v>
      </c>
      <c r="N34" s="79">
        <f>Table47910[[#This Row],[Expected Revenue]]*Table47910[[#This Row],[Probability]]</f>
        <v>31969</v>
      </c>
      <c r="O34" s="78">
        <v>0.19</v>
      </c>
      <c r="P34" s="79">
        <f>Table47910[[#This Row],[Expected Revenue]]*Table47910[[#This Row],[Expected CMR]]</f>
        <v>6074.11</v>
      </c>
      <c r="Q34" s="209"/>
    </row>
    <row r="35" spans="1:17" hidden="1">
      <c r="A35" s="75" t="s">
        <v>3045</v>
      </c>
      <c r="B35" s="76" t="s">
        <v>146</v>
      </c>
      <c r="C35" s="77" t="s">
        <v>57</v>
      </c>
      <c r="D35" s="102" t="s">
        <v>113</v>
      </c>
      <c r="E35" s="77" t="s">
        <v>62</v>
      </c>
      <c r="F35" s="77" t="s">
        <v>58</v>
      </c>
      <c r="G35" s="77" t="s">
        <v>65</v>
      </c>
      <c r="H35" s="77" t="s">
        <v>290</v>
      </c>
      <c r="I35" s="77"/>
      <c r="J35" s="110" t="s">
        <v>80</v>
      </c>
      <c r="K35" s="77">
        <v>2020</v>
      </c>
      <c r="L35" s="78">
        <v>1</v>
      </c>
      <c r="M35" s="79">
        <v>31969</v>
      </c>
      <c r="N35" s="79">
        <f>Table47910[[#This Row],[Expected Revenue]]*Table47910[[#This Row],[Probability]]</f>
        <v>31969</v>
      </c>
      <c r="O35" s="78">
        <v>0.19</v>
      </c>
      <c r="P35" s="79">
        <f>Table47910[[#This Row],[Expected Revenue]]*Table47910[[#This Row],[Expected CMR]]</f>
        <v>6074.11</v>
      </c>
      <c r="Q35" s="209"/>
    </row>
    <row r="36" spans="1:17" hidden="1">
      <c r="A36" s="75" t="s">
        <v>3046</v>
      </c>
      <c r="B36" s="76" t="s">
        <v>73</v>
      </c>
      <c r="C36" s="77" t="s">
        <v>57</v>
      </c>
      <c r="D36" s="102" t="s">
        <v>87</v>
      </c>
      <c r="E36" s="77" t="s">
        <v>292</v>
      </c>
      <c r="F36" s="77" t="s">
        <v>58</v>
      </c>
      <c r="G36" s="77" t="s">
        <v>65</v>
      </c>
      <c r="H36" s="77" t="s">
        <v>290</v>
      </c>
      <c r="I36" s="77"/>
      <c r="J36" s="110" t="s">
        <v>89</v>
      </c>
      <c r="K36" s="77">
        <v>2020</v>
      </c>
      <c r="L36" s="78">
        <v>1</v>
      </c>
      <c r="M36" s="79">
        <v>13900</v>
      </c>
      <c r="N36" s="79">
        <f>Table47910[[#This Row],[Expected Revenue]]*Table47910[[#This Row],[Probability]]</f>
        <v>13900</v>
      </c>
      <c r="O36" s="78">
        <v>0.3</v>
      </c>
      <c r="P36" s="79">
        <f>Table47910[[#This Row],[Expected Revenue]]*Table47910[[#This Row],[Expected CMR]]</f>
        <v>4170</v>
      </c>
      <c r="Q36" s="209"/>
    </row>
    <row r="37" spans="1:17" hidden="1">
      <c r="A37" s="75" t="s">
        <v>3047</v>
      </c>
      <c r="B37" s="76" t="s">
        <v>73</v>
      </c>
      <c r="C37" s="77" t="s">
        <v>57</v>
      </c>
      <c r="D37" s="102" t="s">
        <v>112</v>
      </c>
      <c r="E37" s="77" t="s">
        <v>71</v>
      </c>
      <c r="F37" s="77" t="s">
        <v>58</v>
      </c>
      <c r="G37" s="77" t="s">
        <v>65</v>
      </c>
      <c r="H37" s="77" t="s">
        <v>290</v>
      </c>
      <c r="I37" s="77"/>
      <c r="J37" s="110" t="s">
        <v>230</v>
      </c>
      <c r="K37" s="77">
        <v>2019</v>
      </c>
      <c r="L37" s="78">
        <v>1</v>
      </c>
      <c r="M37" s="79">
        <v>30939</v>
      </c>
      <c r="N37" s="79">
        <f>Table47910[[#This Row],[Expected Revenue]]*Table47910[[#This Row],[Probability]]</f>
        <v>30939</v>
      </c>
      <c r="O37" s="78">
        <v>0.3</v>
      </c>
      <c r="P37" s="79">
        <f>Table47910[[#This Row],[Expected Revenue]]*Table47910[[#This Row],[Expected CMR]]</f>
        <v>9281.6999999999989</v>
      </c>
      <c r="Q37" s="209"/>
    </row>
    <row r="38" spans="1:17" hidden="1">
      <c r="A38" s="75" t="s">
        <v>3048</v>
      </c>
      <c r="B38" s="76" t="s">
        <v>73</v>
      </c>
      <c r="C38" s="77" t="s">
        <v>57</v>
      </c>
      <c r="D38" s="102" t="s">
        <v>113</v>
      </c>
      <c r="E38" s="77" t="s">
        <v>62</v>
      </c>
      <c r="F38" s="77" t="s">
        <v>58</v>
      </c>
      <c r="G38" s="77" t="s">
        <v>65</v>
      </c>
      <c r="H38" s="77" t="s">
        <v>290</v>
      </c>
      <c r="I38" s="77"/>
      <c r="J38" s="110" t="s">
        <v>139</v>
      </c>
      <c r="K38" s="77">
        <v>2019</v>
      </c>
      <c r="L38" s="78">
        <v>1</v>
      </c>
      <c r="M38" s="79">
        <v>9000</v>
      </c>
      <c r="N38" s="79">
        <f>Table47910[[#This Row],[Expected Revenue]]*Table47910[[#This Row],[Probability]]</f>
        <v>9000</v>
      </c>
      <c r="O38" s="78">
        <v>0.3</v>
      </c>
      <c r="P38" s="79">
        <f>Table47910[[#This Row],[Expected Revenue]]*Table47910[[#This Row],[Expected CMR]]</f>
        <v>2700</v>
      </c>
      <c r="Q38" s="209"/>
    </row>
    <row r="39" spans="1:17" hidden="1">
      <c r="A39" s="173" t="s">
        <v>3023</v>
      </c>
      <c r="B39" s="76" t="s">
        <v>156</v>
      </c>
      <c r="C39" s="77" t="s">
        <v>157</v>
      </c>
      <c r="D39" s="102" t="s">
        <v>261</v>
      </c>
      <c r="E39" s="77" t="s">
        <v>62</v>
      </c>
      <c r="F39" s="77" t="s">
        <v>58</v>
      </c>
      <c r="G39" s="77" t="s">
        <v>65</v>
      </c>
      <c r="H39" s="77" t="s">
        <v>290</v>
      </c>
      <c r="I39" s="77"/>
      <c r="J39" s="110" t="s">
        <v>80</v>
      </c>
      <c r="K39" s="77">
        <v>2020</v>
      </c>
      <c r="L39" s="78">
        <v>1</v>
      </c>
      <c r="M39" s="79">
        <v>16000</v>
      </c>
      <c r="N39" s="79">
        <f>Table47910[[#This Row],[Expected Revenue]]*Table47910[[#This Row],[Probability]]</f>
        <v>16000</v>
      </c>
      <c r="O39" s="78">
        <v>0.35</v>
      </c>
      <c r="P39" s="79">
        <f>Table47910[[#This Row],[Expected Revenue]]*Table47910[[#This Row],[Expected CMR]]</f>
        <v>5600</v>
      </c>
      <c r="Q39" s="209"/>
    </row>
    <row r="40" spans="1:17" hidden="1">
      <c r="A40" s="173"/>
      <c r="B40" s="76" t="s">
        <v>150</v>
      </c>
      <c r="C40" s="77" t="s">
        <v>151</v>
      </c>
      <c r="D40" s="102" t="s">
        <v>152</v>
      </c>
      <c r="E40" s="77" t="s">
        <v>92</v>
      </c>
      <c r="F40" s="77" t="s">
        <v>58</v>
      </c>
      <c r="G40" s="77" t="s">
        <v>65</v>
      </c>
      <c r="H40" s="77" t="s">
        <v>290</v>
      </c>
      <c r="I40" s="77"/>
      <c r="J40" s="110" t="s">
        <v>93</v>
      </c>
      <c r="K40" s="77">
        <v>2020</v>
      </c>
      <c r="L40" s="78">
        <v>1</v>
      </c>
      <c r="M40" s="79">
        <v>100000</v>
      </c>
      <c r="N40" s="79">
        <f>Table47910[[#This Row],[Expected Revenue]]*Table47910[[#This Row],[Probability]]</f>
        <v>100000</v>
      </c>
      <c r="O40" s="78">
        <v>0.3</v>
      </c>
      <c r="P40" s="79">
        <f>Table47910[[#This Row],[Expected Revenue]]*Table47910[[#This Row],[Expected CMR]]</f>
        <v>30000</v>
      </c>
      <c r="Q40" s="209"/>
    </row>
    <row r="41" spans="1:17" hidden="1">
      <c r="A41" s="173"/>
      <c r="B41" s="76" t="s">
        <v>150</v>
      </c>
      <c r="C41" s="77" t="s">
        <v>151</v>
      </c>
      <c r="D41" s="102" t="s">
        <v>152</v>
      </c>
      <c r="E41" s="77" t="s">
        <v>92</v>
      </c>
      <c r="F41" s="77" t="s">
        <v>58</v>
      </c>
      <c r="G41" s="77" t="s">
        <v>65</v>
      </c>
      <c r="H41" s="77" t="s">
        <v>290</v>
      </c>
      <c r="I41" s="77"/>
      <c r="J41" s="110" t="s">
        <v>80</v>
      </c>
      <c r="K41" s="77">
        <v>2020</v>
      </c>
      <c r="L41" s="78">
        <v>1</v>
      </c>
      <c r="M41" s="79">
        <v>25000</v>
      </c>
      <c r="N41" s="79">
        <f>Table47910[[#This Row],[Expected Revenue]]*Table47910[[#This Row],[Probability]]</f>
        <v>25000</v>
      </c>
      <c r="O41" s="78">
        <v>0.3</v>
      </c>
      <c r="P41" s="79">
        <f>Table47910[[#This Row],[Expected Revenue]]*Table47910[[#This Row],[Expected CMR]]</f>
        <v>7500</v>
      </c>
      <c r="Q41" s="209"/>
    </row>
    <row r="42" spans="1:17" hidden="1">
      <c r="A42" s="75" t="s">
        <v>3048</v>
      </c>
      <c r="B42" s="76" t="s">
        <v>73</v>
      </c>
      <c r="C42" s="77" t="s">
        <v>57</v>
      </c>
      <c r="D42" s="102" t="s">
        <v>113</v>
      </c>
      <c r="E42" s="77" t="s">
        <v>62</v>
      </c>
      <c r="F42" s="77" t="s">
        <v>58</v>
      </c>
      <c r="G42" s="77" t="s">
        <v>65</v>
      </c>
      <c r="H42" s="77" t="s">
        <v>290</v>
      </c>
      <c r="I42" s="77"/>
      <c r="J42" s="110" t="s">
        <v>230</v>
      </c>
      <c r="K42" s="77">
        <v>2019</v>
      </c>
      <c r="L42" s="78">
        <v>1</v>
      </c>
      <c r="M42" s="79">
        <v>22969</v>
      </c>
      <c r="N42" s="79">
        <f>Table47910[[#This Row],[Expected Revenue]]*Table47910[[#This Row],[Probability]]</f>
        <v>22969</v>
      </c>
      <c r="O42" s="78">
        <v>0.3</v>
      </c>
      <c r="P42" s="79">
        <f>Table47910[[#This Row],[Expected Revenue]]*Table47910[[#This Row],[Expected CMR]]</f>
        <v>6890.7</v>
      </c>
      <c r="Q42" s="209"/>
    </row>
    <row r="43" spans="1:17" hidden="1">
      <c r="A43" s="75" t="s">
        <v>3049</v>
      </c>
      <c r="B43" s="76" t="s">
        <v>73</v>
      </c>
      <c r="C43" s="77" t="s">
        <v>57</v>
      </c>
      <c r="D43" s="102" t="s">
        <v>97</v>
      </c>
      <c r="E43" s="77" t="s">
        <v>92</v>
      </c>
      <c r="F43" s="77" t="s">
        <v>58</v>
      </c>
      <c r="G43" s="77" t="s">
        <v>65</v>
      </c>
      <c r="H43" s="77" t="s">
        <v>290</v>
      </c>
      <c r="I43" s="77"/>
      <c r="J43" s="110" t="s">
        <v>84</v>
      </c>
      <c r="K43" s="77">
        <v>2019</v>
      </c>
      <c r="L43" s="78">
        <v>1</v>
      </c>
      <c r="M43" s="79">
        <v>18000</v>
      </c>
      <c r="N43" s="79">
        <f>Table47910[[#This Row],[Expected Revenue]]*Table47910[[#This Row],[Probability]]</f>
        <v>18000</v>
      </c>
      <c r="O43" s="78">
        <v>0.3</v>
      </c>
      <c r="P43" s="79">
        <f>Table47910[[#This Row],[Expected Revenue]]*Table47910[[#This Row],[Expected CMR]]</f>
        <v>5400</v>
      </c>
      <c r="Q43" s="209"/>
    </row>
    <row r="44" spans="1:17" hidden="1">
      <c r="A44" s="75" t="s">
        <v>3049</v>
      </c>
      <c r="B44" s="76" t="s">
        <v>73</v>
      </c>
      <c r="C44" s="77" t="s">
        <v>57</v>
      </c>
      <c r="D44" s="102" t="s">
        <v>97</v>
      </c>
      <c r="E44" s="77" t="s">
        <v>92</v>
      </c>
      <c r="F44" s="77" t="s">
        <v>58</v>
      </c>
      <c r="G44" s="77" t="s">
        <v>65</v>
      </c>
      <c r="H44" s="77" t="s">
        <v>290</v>
      </c>
      <c r="I44" s="77"/>
      <c r="J44" s="110" t="s">
        <v>219</v>
      </c>
      <c r="K44" s="77">
        <v>2019</v>
      </c>
      <c r="L44" s="78">
        <v>1</v>
      </c>
      <c r="M44" s="79">
        <v>16500</v>
      </c>
      <c r="N44" s="79">
        <f>Table47910[[#This Row],[Expected Revenue]]*Table47910[[#This Row],[Probability]]</f>
        <v>16500</v>
      </c>
      <c r="O44" s="78">
        <v>0.3</v>
      </c>
      <c r="P44" s="79">
        <f>Table47910[[#This Row],[Expected Revenue]]*Table47910[[#This Row],[Expected CMR]]</f>
        <v>4950</v>
      </c>
      <c r="Q44" s="209"/>
    </row>
    <row r="45" spans="1:17" hidden="1">
      <c r="A45" s="75" t="s">
        <v>3049</v>
      </c>
      <c r="B45" s="76" t="s">
        <v>73</v>
      </c>
      <c r="C45" s="77" t="s">
        <v>57</v>
      </c>
      <c r="D45" s="102" t="s">
        <v>91</v>
      </c>
      <c r="E45" s="77" t="s">
        <v>92</v>
      </c>
      <c r="F45" s="77" t="s">
        <v>58</v>
      </c>
      <c r="G45" s="77" t="s">
        <v>65</v>
      </c>
      <c r="H45" s="77" t="s">
        <v>290</v>
      </c>
      <c r="I45" s="77"/>
      <c r="J45" s="110" t="s">
        <v>230</v>
      </c>
      <c r="K45" s="77">
        <v>2019</v>
      </c>
      <c r="L45" s="78">
        <v>1</v>
      </c>
      <c r="M45" s="79">
        <f>75242/4</f>
        <v>18810.5</v>
      </c>
      <c r="N45" s="79">
        <f>Table47910[[#This Row],[Expected Revenue]]*Table47910[[#This Row],[Probability]]</f>
        <v>18810.5</v>
      </c>
      <c r="O45" s="78">
        <v>0.3</v>
      </c>
      <c r="P45" s="79">
        <f>Table47910[[#This Row],[Expected Revenue]]*Table47910[[#This Row],[Expected CMR]]</f>
        <v>5643.15</v>
      </c>
      <c r="Q45" s="209"/>
    </row>
    <row r="46" spans="1:17" hidden="1">
      <c r="A46" s="75" t="s">
        <v>3049</v>
      </c>
      <c r="B46" s="76" t="s">
        <v>73</v>
      </c>
      <c r="C46" s="77" t="s">
        <v>57</v>
      </c>
      <c r="D46" s="102" t="s">
        <v>96</v>
      </c>
      <c r="E46" s="77" t="s">
        <v>92</v>
      </c>
      <c r="F46" s="77" t="s">
        <v>58</v>
      </c>
      <c r="G46" s="77" t="s">
        <v>65</v>
      </c>
      <c r="H46" s="77" t="s">
        <v>290</v>
      </c>
      <c r="I46" s="77"/>
      <c r="J46" s="110" t="s">
        <v>89</v>
      </c>
      <c r="K46" s="77">
        <v>2019</v>
      </c>
      <c r="L46" s="78">
        <v>1</v>
      </c>
      <c r="M46" s="79">
        <f>75242/4</f>
        <v>18810.5</v>
      </c>
      <c r="N46" s="79">
        <f>Table47910[[#This Row],[Expected Revenue]]*Table47910[[#This Row],[Probability]]</f>
        <v>18810.5</v>
      </c>
      <c r="O46" s="78">
        <v>0.3</v>
      </c>
      <c r="P46" s="79">
        <f>Table47910[[#This Row],[Expected Revenue]]*Table47910[[#This Row],[Expected CMR]]</f>
        <v>5643.15</v>
      </c>
      <c r="Q46" s="209"/>
    </row>
    <row r="47" spans="1:17" hidden="1">
      <c r="A47" s="75" t="s">
        <v>3046</v>
      </c>
      <c r="B47" s="76" t="s">
        <v>73</v>
      </c>
      <c r="C47" s="77" t="s">
        <v>57</v>
      </c>
      <c r="D47" s="102" t="s">
        <v>87</v>
      </c>
      <c r="E47" s="77" t="s">
        <v>88</v>
      </c>
      <c r="F47" s="77" t="s">
        <v>58</v>
      </c>
      <c r="G47" s="77" t="s">
        <v>65</v>
      </c>
      <c r="H47" s="77" t="s">
        <v>290</v>
      </c>
      <c r="I47" s="77"/>
      <c r="J47" s="110" t="s">
        <v>230</v>
      </c>
      <c r="K47" s="77">
        <v>2019</v>
      </c>
      <c r="L47" s="78">
        <v>1</v>
      </c>
      <c r="M47" s="79">
        <v>27816</v>
      </c>
      <c r="N47" s="79">
        <f>Table47910[[#This Row],[Expected Revenue]]*Table47910[[#This Row],[Probability]]</f>
        <v>27816</v>
      </c>
      <c r="O47" s="78">
        <v>0.3</v>
      </c>
      <c r="P47" s="79">
        <f>Table47910[[#This Row],[Expected Revenue]]*Table47910[[#This Row],[Expected CMR]]</f>
        <v>8344.7999999999993</v>
      </c>
      <c r="Q47" s="209"/>
    </row>
    <row r="48" spans="1:17" hidden="1">
      <c r="A48" s="75" t="s">
        <v>3050</v>
      </c>
      <c r="B48" s="76" t="s">
        <v>73</v>
      </c>
      <c r="C48" s="77" t="s">
        <v>57</v>
      </c>
      <c r="D48" s="102" t="s">
        <v>82</v>
      </c>
      <c r="E48" s="77" t="s">
        <v>62</v>
      </c>
      <c r="F48" s="77" t="s">
        <v>58</v>
      </c>
      <c r="G48" s="77" t="s">
        <v>65</v>
      </c>
      <c r="H48" s="77" t="s">
        <v>290</v>
      </c>
      <c r="I48" s="77"/>
      <c r="J48" s="110" t="s">
        <v>89</v>
      </c>
      <c r="K48" s="77">
        <v>2019</v>
      </c>
      <c r="L48" s="78">
        <v>1</v>
      </c>
      <c r="M48" s="79">
        <v>13900</v>
      </c>
      <c r="N48" s="79">
        <f>Table47910[[#This Row],[Expected Revenue]]*Table47910[[#This Row],[Probability]]</f>
        <v>13900</v>
      </c>
      <c r="O48" s="78">
        <v>0.3</v>
      </c>
      <c r="P48" s="79">
        <f>Table47910[[#This Row],[Expected Revenue]]*Table47910[[#This Row],[Expected CMR]]</f>
        <v>4170</v>
      </c>
      <c r="Q48" s="209"/>
    </row>
    <row r="49" spans="1:17" hidden="1">
      <c r="A49" s="173" t="s">
        <v>3023</v>
      </c>
      <c r="B49" s="76" t="s">
        <v>296</v>
      </c>
      <c r="C49" s="77"/>
      <c r="D49" s="102"/>
      <c r="E49" s="77" t="s">
        <v>251</v>
      </c>
      <c r="F49" s="77" t="s">
        <v>58</v>
      </c>
      <c r="G49" s="77" t="s">
        <v>65</v>
      </c>
      <c r="H49" s="77" t="s">
        <v>296</v>
      </c>
      <c r="I49" s="76"/>
      <c r="J49" s="110" t="s">
        <v>93</v>
      </c>
      <c r="K49" s="77">
        <v>2020</v>
      </c>
      <c r="L49" s="78">
        <v>1</v>
      </c>
      <c r="M49" s="79">
        <v>100000</v>
      </c>
      <c r="N49" s="79">
        <f>Table47910[[#This Row],[Expected Revenue]]*Table47910[[#This Row],[Probability]]</f>
        <v>100000</v>
      </c>
      <c r="O49" s="78">
        <v>0.3</v>
      </c>
      <c r="P49" s="86">
        <v>30000</v>
      </c>
      <c r="Q49" s="210"/>
    </row>
    <row r="50" spans="1:17" hidden="1">
      <c r="A50" s="173" t="s">
        <v>3051</v>
      </c>
      <c r="B50" s="76" t="s">
        <v>484</v>
      </c>
      <c r="C50" s="77" t="s">
        <v>57</v>
      </c>
      <c r="D50" s="102" t="s">
        <v>113</v>
      </c>
      <c r="E50" s="77" t="s">
        <v>62</v>
      </c>
      <c r="F50" s="77" t="s">
        <v>58</v>
      </c>
      <c r="G50" s="77" t="s">
        <v>65</v>
      </c>
      <c r="H50" s="77" t="s">
        <v>290</v>
      </c>
      <c r="I50" s="77"/>
      <c r="J50" s="110" t="s">
        <v>84</v>
      </c>
      <c r="K50" s="77">
        <v>2019</v>
      </c>
      <c r="L50" s="78">
        <v>1</v>
      </c>
      <c r="M50" s="79">
        <v>22000</v>
      </c>
      <c r="N50" s="79">
        <f>Table47910[[#This Row],[Expected Revenue]]*Table47910[[#This Row],[Probability]]</f>
        <v>22000</v>
      </c>
      <c r="O50" s="78">
        <v>0.3</v>
      </c>
      <c r="P50" s="79">
        <f>Table47910[[#This Row],[Expected Revenue]]*Table47910[[#This Row],[Expected CMR]]</f>
        <v>6600</v>
      </c>
      <c r="Q50" s="209"/>
    </row>
    <row r="51" spans="1:17" hidden="1">
      <c r="A51" s="173" t="s">
        <v>3052</v>
      </c>
      <c r="B51" s="76" t="s">
        <v>484</v>
      </c>
      <c r="C51" s="77" t="s">
        <v>57</v>
      </c>
      <c r="D51" s="102" t="s">
        <v>112</v>
      </c>
      <c r="E51" s="77" t="s">
        <v>62</v>
      </c>
      <c r="F51" s="77" t="s">
        <v>58</v>
      </c>
      <c r="G51" s="77" t="s">
        <v>65</v>
      </c>
      <c r="H51" s="77" t="s">
        <v>290</v>
      </c>
      <c r="I51" s="77"/>
      <c r="J51" s="110" t="s">
        <v>84</v>
      </c>
      <c r="K51" s="77">
        <v>2019</v>
      </c>
      <c r="L51" s="78">
        <v>1</v>
      </c>
      <c r="M51" s="79">
        <v>27000</v>
      </c>
      <c r="N51" s="79">
        <f>Table47910[[#This Row],[Expected Revenue]]*Table47910[[#This Row],[Probability]]</f>
        <v>27000</v>
      </c>
      <c r="O51" s="78">
        <v>0.3</v>
      </c>
      <c r="P51" s="79">
        <f>Table47910[[#This Row],[Expected Revenue]]*Table47910[[#This Row],[Expected CMR]]</f>
        <v>8100</v>
      </c>
      <c r="Q51" s="209"/>
    </row>
    <row r="52" spans="1:17" hidden="1">
      <c r="A52" s="173"/>
      <c r="B52" s="76" t="s">
        <v>486</v>
      </c>
      <c r="C52" s="77" t="s">
        <v>126</v>
      </c>
      <c r="D52" s="102" t="s">
        <v>3053</v>
      </c>
      <c r="E52" s="77" t="s">
        <v>291</v>
      </c>
      <c r="F52" s="77" t="s">
        <v>58</v>
      </c>
      <c r="G52" s="77" t="s">
        <v>65</v>
      </c>
      <c r="H52" s="77" t="s">
        <v>290</v>
      </c>
      <c r="I52" s="76"/>
      <c r="J52" s="110" t="s">
        <v>80</v>
      </c>
      <c r="K52" s="77">
        <v>2020</v>
      </c>
      <c r="L52" s="78">
        <v>1</v>
      </c>
      <c r="M52" s="79">
        <v>16000</v>
      </c>
      <c r="N52" s="86">
        <f>Table47910[[#This Row],[Expected Revenue]]*Table47910[[#This Row],[Probability]]</f>
        <v>16000</v>
      </c>
      <c r="O52" s="78">
        <v>0.3</v>
      </c>
      <c r="P52" s="86">
        <f>Table47910[[#This Row],[Expected Revenue]]*Table47910[[#This Row],[Expected CMR]]</f>
        <v>4800</v>
      </c>
      <c r="Q52" s="210"/>
    </row>
    <row r="53" spans="1:17" hidden="1">
      <c r="A53" s="75" t="s">
        <v>3054</v>
      </c>
      <c r="B53" s="76" t="s">
        <v>114</v>
      </c>
      <c r="C53" s="77" t="s">
        <v>57</v>
      </c>
      <c r="D53" s="102" t="s">
        <v>106</v>
      </c>
      <c r="E53" s="77" t="s">
        <v>107</v>
      </c>
      <c r="F53" s="77" t="s">
        <v>58</v>
      </c>
      <c r="G53" s="77" t="s">
        <v>65</v>
      </c>
      <c r="H53" s="77" t="s">
        <v>290</v>
      </c>
      <c r="I53" s="77"/>
      <c r="J53" s="110" t="s">
        <v>231</v>
      </c>
      <c r="K53" s="77">
        <v>2019</v>
      </c>
      <c r="L53" s="78">
        <v>1</v>
      </c>
      <c r="M53" s="79">
        <v>30000</v>
      </c>
      <c r="N53" s="79">
        <f>Table47910[[#This Row],[Expected Revenue]]*Table47910[[#This Row],[Probability]]</f>
        <v>30000</v>
      </c>
      <c r="O53" s="78">
        <v>0.3</v>
      </c>
      <c r="P53" s="79">
        <f>Table47910[[#This Row],[Expected Revenue]]*Table47910[[#This Row],[Expected CMR]]</f>
        <v>9000</v>
      </c>
      <c r="Q53" s="209"/>
    </row>
    <row r="54" spans="1:17" hidden="1">
      <c r="A54" s="75" t="s">
        <v>3032</v>
      </c>
      <c r="B54" s="76" t="s">
        <v>73</v>
      </c>
      <c r="C54" s="77" t="s">
        <v>57</v>
      </c>
      <c r="D54" s="102" t="s">
        <v>3055</v>
      </c>
      <c r="E54" s="77" t="s">
        <v>291</v>
      </c>
      <c r="F54" s="77" t="s">
        <v>58</v>
      </c>
      <c r="G54" s="77" t="s">
        <v>65</v>
      </c>
      <c r="H54" s="77" t="s">
        <v>290</v>
      </c>
      <c r="I54" s="77"/>
      <c r="J54" s="110" t="s">
        <v>93</v>
      </c>
      <c r="K54" s="77">
        <v>2020</v>
      </c>
      <c r="L54" s="78">
        <v>1</v>
      </c>
      <c r="M54" s="79">
        <v>30000</v>
      </c>
      <c r="N54" s="79">
        <f>Table47910[[#This Row],[Expected Revenue]]*Table47910[[#This Row],[Probability]]</f>
        <v>30000</v>
      </c>
      <c r="O54" s="78">
        <v>0.3</v>
      </c>
      <c r="P54" s="79">
        <v>17813.399999999998</v>
      </c>
      <c r="Q54" s="209"/>
    </row>
    <row r="55" spans="1:17" hidden="1">
      <c r="A55" s="75" t="s">
        <v>3032</v>
      </c>
      <c r="B55" s="76" t="s">
        <v>73</v>
      </c>
      <c r="C55" s="77" t="s">
        <v>57</v>
      </c>
      <c r="D55" s="102" t="s">
        <v>106</v>
      </c>
      <c r="E55" s="77" t="s">
        <v>291</v>
      </c>
      <c r="F55" s="77" t="s">
        <v>58</v>
      </c>
      <c r="G55" s="77" t="s">
        <v>65</v>
      </c>
      <c r="H55" s="77" t="s">
        <v>290</v>
      </c>
      <c r="I55" s="77"/>
      <c r="J55" s="110" t="s">
        <v>93</v>
      </c>
      <c r="K55" s="77">
        <v>2020</v>
      </c>
      <c r="L55" s="78">
        <v>1</v>
      </c>
      <c r="M55" s="79">
        <v>30000</v>
      </c>
      <c r="N55" s="79">
        <f>Table47910[[#This Row],[Expected Revenue]]*Table47910[[#This Row],[Probability]]</f>
        <v>30000</v>
      </c>
      <c r="O55" s="78">
        <v>0.3</v>
      </c>
      <c r="P55" s="79">
        <v>17813.399999999998</v>
      </c>
      <c r="Q55" s="209"/>
    </row>
    <row r="56" spans="1:17" hidden="1">
      <c r="A56" s="75" t="s">
        <v>3029</v>
      </c>
      <c r="B56" s="76" t="s">
        <v>156</v>
      </c>
      <c r="C56" s="77" t="s">
        <v>157</v>
      </c>
      <c r="D56" s="102" t="s">
        <v>239</v>
      </c>
      <c r="E56" s="77" t="s">
        <v>62</v>
      </c>
      <c r="F56" s="77" t="s">
        <v>58</v>
      </c>
      <c r="G56" s="77" t="s">
        <v>65</v>
      </c>
      <c r="H56" s="77" t="s">
        <v>290</v>
      </c>
      <c r="I56" s="77"/>
      <c r="J56" s="110" t="s">
        <v>93</v>
      </c>
      <c r="K56" s="77">
        <v>2020</v>
      </c>
      <c r="L56" s="78">
        <v>1</v>
      </c>
      <c r="M56" s="79">
        <v>150000</v>
      </c>
      <c r="N56" s="79">
        <f>Table47910[[#This Row],[Expected Revenue]]*Table47910[[#This Row],[Probability]]</f>
        <v>150000</v>
      </c>
      <c r="O56" s="78">
        <v>0.35</v>
      </c>
      <c r="P56" s="79">
        <v>10500</v>
      </c>
      <c r="Q56" s="209"/>
    </row>
    <row r="57" spans="1:17" hidden="1">
      <c r="A57" s="75" t="s">
        <v>3056</v>
      </c>
      <c r="B57" s="76" t="s">
        <v>122</v>
      </c>
      <c r="C57" s="77" t="s">
        <v>57</v>
      </c>
      <c r="D57" s="102" t="s">
        <v>82</v>
      </c>
      <c r="E57" s="77" t="s">
        <v>62</v>
      </c>
      <c r="F57" s="77" t="s">
        <v>58</v>
      </c>
      <c r="G57" s="77" t="s">
        <v>65</v>
      </c>
      <c r="H57" s="77" t="s">
        <v>290</v>
      </c>
      <c r="I57" s="77"/>
      <c r="J57" s="110" t="s">
        <v>93</v>
      </c>
      <c r="K57" s="77">
        <v>2020</v>
      </c>
      <c r="L57" s="78">
        <v>1</v>
      </c>
      <c r="M57" s="79">
        <v>13900</v>
      </c>
      <c r="N57" s="79">
        <f>Table47910[[#This Row],[Expected Revenue]]*Table47910[[#This Row],[Probability]]</f>
        <v>13900</v>
      </c>
      <c r="O57" s="78">
        <v>0.3</v>
      </c>
      <c r="P57" s="79">
        <v>4170</v>
      </c>
      <c r="Q57" s="209"/>
    </row>
    <row r="58" spans="1:17" hidden="1">
      <c r="A58" s="75" t="s">
        <v>3039</v>
      </c>
      <c r="B58" s="76" t="s">
        <v>114</v>
      </c>
      <c r="C58" s="77" t="s">
        <v>57</v>
      </c>
      <c r="D58" s="102" t="s">
        <v>113</v>
      </c>
      <c r="E58" s="77" t="s">
        <v>62</v>
      </c>
      <c r="F58" s="77" t="s">
        <v>58</v>
      </c>
      <c r="G58" s="77" t="s">
        <v>65</v>
      </c>
      <c r="H58" s="77" t="s">
        <v>290</v>
      </c>
      <c r="I58" s="77"/>
      <c r="J58" s="110" t="s">
        <v>93</v>
      </c>
      <c r="K58" s="77">
        <v>2020</v>
      </c>
      <c r="L58" s="78">
        <v>1</v>
      </c>
      <c r="M58" s="79">
        <v>26000</v>
      </c>
      <c r="N58" s="79">
        <f>Table47910[[#This Row],[Expected Revenue]]*Table47910[[#This Row],[Probability]]</f>
        <v>26000</v>
      </c>
      <c r="O58" s="78">
        <v>0.3</v>
      </c>
      <c r="P58" s="79">
        <v>4500</v>
      </c>
      <c r="Q58" s="209"/>
    </row>
    <row r="59" spans="1:17" hidden="1">
      <c r="A59" s="75" t="s">
        <v>3039</v>
      </c>
      <c r="B59" s="76" t="s">
        <v>114</v>
      </c>
      <c r="C59" s="77" t="s">
        <v>57</v>
      </c>
      <c r="D59" s="102" t="s">
        <v>113</v>
      </c>
      <c r="E59" s="77" t="s">
        <v>62</v>
      </c>
      <c r="F59" s="77" t="s">
        <v>58</v>
      </c>
      <c r="G59" s="77" t="s">
        <v>65</v>
      </c>
      <c r="H59" s="77" t="s">
        <v>290</v>
      </c>
      <c r="I59" s="77"/>
      <c r="J59" s="110" t="s">
        <v>80</v>
      </c>
      <c r="K59" s="77">
        <v>2019</v>
      </c>
      <c r="L59" s="78">
        <v>1</v>
      </c>
      <c r="M59" s="79">
        <f>31969-15000</f>
        <v>16969</v>
      </c>
      <c r="N59" s="79">
        <f>Table47910[[#This Row],[Expected Revenue]]*Table47910[[#This Row],[Probability]]</f>
        <v>16969</v>
      </c>
      <c r="O59" s="78">
        <v>0.3</v>
      </c>
      <c r="P59" s="79">
        <f>Table47910[[#This Row],[Expected Revenue]]*Table47910[[#This Row],[Expected CMR]]</f>
        <v>5090.7</v>
      </c>
      <c r="Q59" s="209"/>
    </row>
    <row r="60" spans="1:17" hidden="1">
      <c r="A60" s="173" t="s">
        <v>3057</v>
      </c>
      <c r="B60" s="202" t="s">
        <v>3058</v>
      </c>
      <c r="C60" s="77" t="s">
        <v>3059</v>
      </c>
      <c r="D60" s="102" t="s">
        <v>3060</v>
      </c>
      <c r="E60" s="77" t="s">
        <v>88</v>
      </c>
      <c r="F60" s="77" t="s">
        <v>58</v>
      </c>
      <c r="G60" s="77" t="s">
        <v>295</v>
      </c>
      <c r="H60" s="77" t="s">
        <v>290</v>
      </c>
      <c r="I60" s="76"/>
      <c r="J60" s="110" t="s">
        <v>231</v>
      </c>
      <c r="K60" s="77">
        <v>2020</v>
      </c>
      <c r="L60" s="78">
        <v>1</v>
      </c>
      <c r="M60" s="79">
        <v>14537</v>
      </c>
      <c r="N60" s="223">
        <f>Table47910[[#This Row],[Expected Revenue]]*Table47910[[#This Row],[Probability]]</f>
        <v>14537</v>
      </c>
      <c r="O60" s="78"/>
      <c r="P60" s="86">
        <f>Table47910[[#This Row],[Expected Revenue]]*Table47910[[#This Row],[Expected CMR]]</f>
        <v>0</v>
      </c>
      <c r="Q60" s="210"/>
    </row>
    <row r="61" spans="1:17" hidden="1">
      <c r="A61" s="75" t="s">
        <v>3061</v>
      </c>
      <c r="B61" s="76" t="s">
        <v>114</v>
      </c>
      <c r="C61" s="77" t="s">
        <v>57</v>
      </c>
      <c r="D61" s="102" t="s">
        <v>97</v>
      </c>
      <c r="E61" s="77" t="s">
        <v>92</v>
      </c>
      <c r="F61" s="77" t="s">
        <v>58</v>
      </c>
      <c r="G61" s="77" t="s">
        <v>65</v>
      </c>
      <c r="H61" s="77" t="s">
        <v>290</v>
      </c>
      <c r="I61" s="77"/>
      <c r="J61" s="110" t="s">
        <v>84</v>
      </c>
      <c r="K61" s="77">
        <v>2019</v>
      </c>
      <c r="L61" s="78">
        <v>1</v>
      </c>
      <c r="M61" s="79" t="e">
        <f>75242/4-#REF!</f>
        <v>#REF!</v>
      </c>
      <c r="N61" s="79" t="e">
        <f>Table47910[[#This Row],[Expected Revenue]]*Table47910[[#This Row],[Probability]]</f>
        <v>#REF!</v>
      </c>
      <c r="O61" s="78">
        <v>0.3</v>
      </c>
      <c r="P61" s="79" t="e">
        <f>Table47910[[#This Row],[Expected Revenue]]*Table47910[[#This Row],[Expected CMR]]</f>
        <v>#REF!</v>
      </c>
      <c r="Q61" s="209"/>
    </row>
    <row r="62" spans="1:17" hidden="1">
      <c r="A62" s="176" t="s">
        <v>3061</v>
      </c>
      <c r="B62" s="82" t="s">
        <v>114</v>
      </c>
      <c r="C62" s="77" t="s">
        <v>57</v>
      </c>
      <c r="D62" s="103" t="s">
        <v>97</v>
      </c>
      <c r="E62" s="83" t="s">
        <v>92</v>
      </c>
      <c r="F62" s="83" t="s">
        <v>58</v>
      </c>
      <c r="G62" s="83" t="s">
        <v>65</v>
      </c>
      <c r="H62" s="77" t="s">
        <v>290</v>
      </c>
      <c r="I62" s="83"/>
      <c r="J62" s="156" t="s">
        <v>219</v>
      </c>
      <c r="K62" s="83">
        <v>2019</v>
      </c>
      <c r="L62" s="84">
        <v>1</v>
      </c>
      <c r="M62" s="85">
        <v>10000</v>
      </c>
      <c r="N62" s="85">
        <f>Table47910[[#This Row],[Expected Revenue]]*Table47910[[#This Row],[Probability]]</f>
        <v>10000</v>
      </c>
      <c r="O62" s="84">
        <v>0.3</v>
      </c>
      <c r="P62" s="85">
        <f>Table47910[[#This Row],[Expected Revenue]]*Table47910[[#This Row],[Expected CMR]]</f>
        <v>3000</v>
      </c>
      <c r="Q62" s="209"/>
    </row>
    <row r="63" spans="1:17" hidden="1">
      <c r="A63" s="75" t="s">
        <v>3061</v>
      </c>
      <c r="B63" s="76" t="s">
        <v>114</v>
      </c>
      <c r="C63" s="77" t="s">
        <v>57</v>
      </c>
      <c r="D63" s="102" t="s">
        <v>91</v>
      </c>
      <c r="E63" s="77" t="s">
        <v>92</v>
      </c>
      <c r="F63" s="77" t="s">
        <v>58</v>
      </c>
      <c r="G63" s="77" t="s">
        <v>65</v>
      </c>
      <c r="H63" s="77" t="s">
        <v>290</v>
      </c>
      <c r="I63" s="77"/>
      <c r="J63" s="110" t="s">
        <v>230</v>
      </c>
      <c r="K63" s="77">
        <v>2019</v>
      </c>
      <c r="L63" s="78">
        <v>1</v>
      </c>
      <c r="M63" s="79">
        <f>75242/4</f>
        <v>18810.5</v>
      </c>
      <c r="N63" s="79">
        <f>Table47910[[#This Row],[Expected Revenue]]*Table47910[[#This Row],[Probability]]</f>
        <v>18810.5</v>
      </c>
      <c r="O63" s="78">
        <v>0.3</v>
      </c>
      <c r="P63" s="79">
        <f>Table47910[[#This Row],[Expected Revenue]]*Table47910[[#This Row],[Expected CMR]]</f>
        <v>5643.15</v>
      </c>
      <c r="Q63" s="209"/>
    </row>
    <row r="64" spans="1:17" hidden="1">
      <c r="A64" s="75" t="s">
        <v>3061</v>
      </c>
      <c r="B64" s="76" t="s">
        <v>114</v>
      </c>
      <c r="C64" s="77" t="s">
        <v>57</v>
      </c>
      <c r="D64" s="102" t="s">
        <v>96</v>
      </c>
      <c r="E64" s="77" t="s">
        <v>92</v>
      </c>
      <c r="F64" s="77" t="s">
        <v>58</v>
      </c>
      <c r="G64" s="77" t="s">
        <v>65</v>
      </c>
      <c r="H64" s="77" t="s">
        <v>290</v>
      </c>
      <c r="I64" s="77"/>
      <c r="J64" s="110" t="s">
        <v>89</v>
      </c>
      <c r="K64" s="77">
        <v>2019</v>
      </c>
      <c r="L64" s="78">
        <v>1</v>
      </c>
      <c r="M64" s="79">
        <f>75242/4</f>
        <v>18810.5</v>
      </c>
      <c r="N64" s="79">
        <f>Table47910[[#This Row],[Expected Revenue]]*Table47910[[#This Row],[Probability]]</f>
        <v>18810.5</v>
      </c>
      <c r="O64" s="78">
        <v>0.3</v>
      </c>
      <c r="P64" s="79">
        <f>Table47910[[#This Row],[Expected Revenue]]*Table47910[[#This Row],[Expected CMR]]</f>
        <v>5643.15</v>
      </c>
      <c r="Q64" s="209"/>
    </row>
    <row r="65" spans="1:17" hidden="1">
      <c r="A65" s="173" t="s">
        <v>3062</v>
      </c>
      <c r="B65" s="76" t="s">
        <v>122</v>
      </c>
      <c r="C65" s="77" t="s">
        <v>57</v>
      </c>
      <c r="D65" s="102" t="s">
        <v>112</v>
      </c>
      <c r="E65" s="77" t="s">
        <v>71</v>
      </c>
      <c r="F65" s="77" t="s">
        <v>58</v>
      </c>
      <c r="G65" s="77" t="s">
        <v>65</v>
      </c>
      <c r="H65" s="77" t="s">
        <v>290</v>
      </c>
      <c r="I65" s="77"/>
      <c r="J65" s="110" t="s">
        <v>93</v>
      </c>
      <c r="K65" s="77">
        <v>2020</v>
      </c>
      <c r="L65" s="78">
        <v>1</v>
      </c>
      <c r="M65" s="79">
        <v>30000</v>
      </c>
      <c r="N65" s="79">
        <f>Table47910[[#This Row],[Expected Revenue]]*Table47910[[#This Row],[Probability]]</f>
        <v>30000</v>
      </c>
      <c r="O65" s="78">
        <v>0.3</v>
      </c>
      <c r="P65" s="79">
        <v>8344.7999999999993</v>
      </c>
      <c r="Q65" s="209"/>
    </row>
    <row r="66" spans="1:17" hidden="1">
      <c r="A66" s="173" t="s">
        <v>3063</v>
      </c>
      <c r="B66" s="76" t="s">
        <v>122</v>
      </c>
      <c r="C66" s="77" t="s">
        <v>57</v>
      </c>
      <c r="D66" s="102" t="s">
        <v>113</v>
      </c>
      <c r="E66" s="77" t="s">
        <v>62</v>
      </c>
      <c r="F66" s="77" t="s">
        <v>58</v>
      </c>
      <c r="G66" s="77" t="s">
        <v>65</v>
      </c>
      <c r="H66" s="77" t="s">
        <v>290</v>
      </c>
      <c r="I66" s="77"/>
      <c r="J66" s="110" t="s">
        <v>93</v>
      </c>
      <c r="K66" s="77">
        <v>2020</v>
      </c>
      <c r="L66" s="78">
        <v>1</v>
      </c>
      <c r="M66" s="79">
        <v>31000</v>
      </c>
      <c r="N66" s="79">
        <f>Table47910[[#This Row],[Expected Revenue]]*Table47910[[#This Row],[Probability]]</f>
        <v>31000</v>
      </c>
      <c r="O66" s="78">
        <v>0.3</v>
      </c>
      <c r="P66" s="79">
        <v>8344.7999999999993</v>
      </c>
      <c r="Q66" s="209"/>
    </row>
    <row r="67" spans="1:17" hidden="1">
      <c r="A67" s="173" t="s">
        <v>3064</v>
      </c>
      <c r="B67" s="76" t="s">
        <v>3065</v>
      </c>
      <c r="C67" s="77" t="s">
        <v>185</v>
      </c>
      <c r="D67" s="102" t="s">
        <v>3066</v>
      </c>
      <c r="E67" s="77" t="s">
        <v>293</v>
      </c>
      <c r="F67" s="77" t="s">
        <v>186</v>
      </c>
      <c r="G67" s="77" t="s">
        <v>65</v>
      </c>
      <c r="H67" s="77" t="s">
        <v>290</v>
      </c>
      <c r="I67" s="76"/>
      <c r="J67" s="110" t="s">
        <v>230</v>
      </c>
      <c r="K67" s="77">
        <v>2020</v>
      </c>
      <c r="L67" s="78">
        <v>1</v>
      </c>
      <c r="M67" s="79">
        <v>60000</v>
      </c>
      <c r="N67" s="79">
        <f>Table47910[[#This Row],[Expected Revenue]]*Table47910[[#This Row],[Probability]]</f>
        <v>60000</v>
      </c>
      <c r="O67" s="78">
        <v>0.3</v>
      </c>
      <c r="P67" s="79">
        <f>Table47910[[#This Row],[Expected Revenue]]*Table47910[[#This Row],[Expected CMR]]</f>
        <v>18000</v>
      </c>
      <c r="Q67" s="209"/>
    </row>
    <row r="68" spans="1:17" hidden="1">
      <c r="A68" s="75" t="s">
        <v>3067</v>
      </c>
      <c r="B68" s="76" t="s">
        <v>146</v>
      </c>
      <c r="C68" s="77" t="s">
        <v>57</v>
      </c>
      <c r="D68" s="102" t="s">
        <v>208</v>
      </c>
      <c r="E68" s="77" t="s">
        <v>92</v>
      </c>
      <c r="F68" s="77" t="s">
        <v>58</v>
      </c>
      <c r="G68" s="77" t="s">
        <v>65</v>
      </c>
      <c r="H68" s="77" t="s">
        <v>290</v>
      </c>
      <c r="I68" s="77"/>
      <c r="J68" s="110" t="s">
        <v>219</v>
      </c>
      <c r="K68" s="77">
        <v>2020</v>
      </c>
      <c r="L68" s="78">
        <v>1</v>
      </c>
      <c r="M68" s="79">
        <v>24000</v>
      </c>
      <c r="N68" s="214">
        <f>Table47910[[#This Row],[Expected Revenue]]*Table47910[[#This Row],[Probability]]</f>
        <v>24000</v>
      </c>
      <c r="O68" s="78">
        <v>0.59</v>
      </c>
      <c r="P68" s="79">
        <v>14160</v>
      </c>
      <c r="Q68" s="209"/>
    </row>
    <row r="69" spans="1:17" hidden="1">
      <c r="A69" s="75" t="s">
        <v>3067</v>
      </c>
      <c r="B69" s="76" t="s">
        <v>146</v>
      </c>
      <c r="C69" s="77" t="s">
        <v>57</v>
      </c>
      <c r="D69" s="102" t="s">
        <v>208</v>
      </c>
      <c r="E69" s="77" t="s">
        <v>92</v>
      </c>
      <c r="F69" s="77" t="s">
        <v>58</v>
      </c>
      <c r="G69" s="77" t="s">
        <v>65</v>
      </c>
      <c r="H69" s="77" t="s">
        <v>290</v>
      </c>
      <c r="I69" s="77"/>
      <c r="J69" s="110" t="s">
        <v>222</v>
      </c>
      <c r="K69" s="77">
        <v>2020</v>
      </c>
      <c r="L69" s="78">
        <v>1</v>
      </c>
      <c r="M69" s="79">
        <v>24000</v>
      </c>
      <c r="N69" s="79">
        <f>Table47910[[#This Row],[Expected Revenue]]*Table47910[[#This Row],[Probability]]</f>
        <v>24000</v>
      </c>
      <c r="O69" s="78">
        <v>0.59</v>
      </c>
      <c r="P69" s="79">
        <v>14160</v>
      </c>
      <c r="Q69" s="209" t="s">
        <v>3068</v>
      </c>
    </row>
    <row r="70" spans="1:17" hidden="1">
      <c r="A70" s="173"/>
      <c r="B70" s="76" t="s">
        <v>117</v>
      </c>
      <c r="C70" s="77" t="s">
        <v>57</v>
      </c>
      <c r="D70" s="102" t="s">
        <v>3069</v>
      </c>
      <c r="E70" s="77" t="s">
        <v>291</v>
      </c>
      <c r="F70" s="77" t="s">
        <v>58</v>
      </c>
      <c r="G70" s="77" t="s">
        <v>3027</v>
      </c>
      <c r="H70" s="77" t="s">
        <v>257</v>
      </c>
      <c r="I70" s="77" t="s">
        <v>3070</v>
      </c>
      <c r="J70" s="110" t="s">
        <v>89</v>
      </c>
      <c r="K70" s="77">
        <v>2020</v>
      </c>
      <c r="L70" s="78">
        <v>1</v>
      </c>
      <c r="M70" s="79">
        <v>25000</v>
      </c>
      <c r="N70" s="79">
        <f>Table47910[[#This Row],[Expected Revenue]]*Table47910[[#This Row],[Probability]]</f>
        <v>25000</v>
      </c>
      <c r="O70" s="78">
        <v>0.3</v>
      </c>
      <c r="P70" s="79">
        <f>Table47910[[#This Row],[Expected Revenue]]*Table47910[[#This Row],[Expected CMR]]</f>
        <v>7500</v>
      </c>
      <c r="Q70" s="209"/>
    </row>
    <row r="71" spans="1:17" hidden="1">
      <c r="A71" s="173" t="s">
        <v>3023</v>
      </c>
      <c r="B71" s="76" t="s">
        <v>296</v>
      </c>
      <c r="C71" s="77"/>
      <c r="D71" s="102"/>
      <c r="E71" s="77" t="s">
        <v>251</v>
      </c>
      <c r="F71" s="77"/>
      <c r="G71" s="77"/>
      <c r="H71" s="77" t="s">
        <v>296</v>
      </c>
      <c r="I71" s="76"/>
      <c r="J71" s="110" t="s">
        <v>80</v>
      </c>
      <c r="K71" s="77">
        <v>2020</v>
      </c>
      <c r="L71" s="78">
        <v>1</v>
      </c>
      <c r="M71" s="79">
        <v>100000</v>
      </c>
      <c r="N71" s="86">
        <f>Table47910[[#This Row],[Expected Revenue]]*Table47910[[#This Row],[Probability]]</f>
        <v>100000</v>
      </c>
      <c r="O71" s="78">
        <v>0.3</v>
      </c>
      <c r="P71" s="86">
        <f>Table47910[[#This Row],[Expected Revenue]]*Table47910[[#This Row],[Expected CMR]]</f>
        <v>30000</v>
      </c>
      <c r="Q71" s="210"/>
    </row>
    <row r="72" spans="1:17" hidden="1">
      <c r="A72" s="75" t="s">
        <v>3071</v>
      </c>
      <c r="B72" s="76" t="s">
        <v>114</v>
      </c>
      <c r="C72" s="77" t="s">
        <v>57</v>
      </c>
      <c r="D72" s="102" t="s">
        <v>87</v>
      </c>
      <c r="E72" s="77" t="s">
        <v>88</v>
      </c>
      <c r="F72" s="77" t="s">
        <v>58</v>
      </c>
      <c r="G72" s="77" t="s">
        <v>65</v>
      </c>
      <c r="H72" s="77" t="s">
        <v>290</v>
      </c>
      <c r="I72" s="77"/>
      <c r="J72" s="110" t="s">
        <v>139</v>
      </c>
      <c r="K72" s="77">
        <v>2019</v>
      </c>
      <c r="L72" s="78">
        <v>1</v>
      </c>
      <c r="M72" s="79">
        <v>27816</v>
      </c>
      <c r="N72" s="79">
        <f>Table47910[[#This Row],[Expected Revenue]]*Table47910[[#This Row],[Probability]]</f>
        <v>27816</v>
      </c>
      <c r="O72" s="78">
        <v>0.3</v>
      </c>
      <c r="P72" s="79">
        <f>Table47910[[#This Row],[Expected Revenue]]*Table47910[[#This Row],[Expected CMR]]</f>
        <v>8344.7999999999993</v>
      </c>
      <c r="Q72" s="209"/>
    </row>
    <row r="73" spans="1:17" hidden="1">
      <c r="A73" s="75" t="s">
        <v>3072</v>
      </c>
      <c r="B73" s="76" t="s">
        <v>114</v>
      </c>
      <c r="C73" s="77" t="s">
        <v>57</v>
      </c>
      <c r="D73" s="102" t="s">
        <v>82</v>
      </c>
      <c r="E73" s="77" t="s">
        <v>62</v>
      </c>
      <c r="F73" s="77" t="s">
        <v>58</v>
      </c>
      <c r="G73" s="77" t="s">
        <v>65</v>
      </c>
      <c r="H73" s="77" t="s">
        <v>290</v>
      </c>
      <c r="I73" s="77"/>
      <c r="J73" s="110" t="s">
        <v>139</v>
      </c>
      <c r="K73" s="77">
        <v>2019</v>
      </c>
      <c r="L73" s="78">
        <v>1</v>
      </c>
      <c r="M73" s="79">
        <v>13900</v>
      </c>
      <c r="N73" s="79">
        <f>Table47910[[#This Row],[Expected Revenue]]*Table47910[[#This Row],[Probability]]</f>
        <v>13900</v>
      </c>
      <c r="O73" s="78">
        <v>0.3</v>
      </c>
      <c r="P73" s="79">
        <f>Table47910[[#This Row],[Expected Revenue]]*Table47910[[#This Row],[Expected CMR]]</f>
        <v>4170</v>
      </c>
      <c r="Q73" s="209"/>
    </row>
    <row r="74" spans="1:17" hidden="1">
      <c r="A74" s="75" t="s">
        <v>3073</v>
      </c>
      <c r="B74" s="76" t="s">
        <v>114</v>
      </c>
      <c r="C74" s="77" t="s">
        <v>57</v>
      </c>
      <c r="D74" s="102" t="s">
        <v>3074</v>
      </c>
      <c r="E74" s="77" t="s">
        <v>92</v>
      </c>
      <c r="F74" s="77" t="s">
        <v>58</v>
      </c>
      <c r="G74" s="77" t="s">
        <v>65</v>
      </c>
      <c r="H74" s="77" t="s">
        <v>290</v>
      </c>
      <c r="I74" s="77"/>
      <c r="J74" s="110" t="s">
        <v>84</v>
      </c>
      <c r="K74" s="77">
        <v>2019</v>
      </c>
      <c r="L74" s="78">
        <v>1</v>
      </c>
      <c r="M74" s="79">
        <v>52000</v>
      </c>
      <c r="N74" s="79">
        <f>Table47910[[#This Row],[Expected Revenue]]*Table47910[[#This Row],[Probability]]</f>
        <v>52000</v>
      </c>
      <c r="O74" s="78">
        <v>0.3</v>
      </c>
      <c r="P74" s="79">
        <f>Table47910[[#This Row],[Expected Revenue]]*Table47910[[#This Row],[Expected CMR]]</f>
        <v>15600</v>
      </c>
      <c r="Q74" s="209"/>
    </row>
    <row r="75" spans="1:17" hidden="1">
      <c r="A75" s="75" t="s">
        <v>3073</v>
      </c>
      <c r="B75" s="76" t="s">
        <v>114</v>
      </c>
      <c r="C75" s="77" t="s">
        <v>57</v>
      </c>
      <c r="D75" s="102" t="s">
        <v>205</v>
      </c>
      <c r="E75" s="77" t="s">
        <v>92</v>
      </c>
      <c r="F75" s="77" t="s">
        <v>58</v>
      </c>
      <c r="G75" s="77" t="s">
        <v>65</v>
      </c>
      <c r="H75" s="77" t="s">
        <v>290</v>
      </c>
      <c r="I75" s="77"/>
      <c r="J75" s="110" t="s">
        <v>80</v>
      </c>
      <c r="K75" s="77">
        <v>2019</v>
      </c>
      <c r="L75" s="78">
        <v>1</v>
      </c>
      <c r="M75" s="79">
        <v>30000</v>
      </c>
      <c r="N75" s="79">
        <f>Table47910[[#This Row],[Expected Revenue]]*Table47910[[#This Row],[Probability]]</f>
        <v>30000</v>
      </c>
      <c r="O75" s="78">
        <v>0.3</v>
      </c>
      <c r="P75" s="79">
        <f>Table47910[[#This Row],[Expected Revenue]]*Table47910[[#This Row],[Expected CMR]]</f>
        <v>9000</v>
      </c>
      <c r="Q75" s="209"/>
    </row>
    <row r="76" spans="1:17" hidden="1">
      <c r="A76" s="75" t="s">
        <v>3073</v>
      </c>
      <c r="B76" s="76" t="s">
        <v>114</v>
      </c>
      <c r="C76" s="77" t="s">
        <v>57</v>
      </c>
      <c r="D76" s="102" t="s">
        <v>242</v>
      </c>
      <c r="E76" s="77" t="s">
        <v>92</v>
      </c>
      <c r="F76" s="77" t="s">
        <v>58</v>
      </c>
      <c r="G76" s="77" t="s">
        <v>65</v>
      </c>
      <c r="H76" s="77" t="s">
        <v>290</v>
      </c>
      <c r="I76" s="77"/>
      <c r="J76" s="110" t="s">
        <v>80</v>
      </c>
      <c r="K76" s="77">
        <v>2019</v>
      </c>
      <c r="L76" s="78">
        <v>1</v>
      </c>
      <c r="M76" s="79">
        <v>15000</v>
      </c>
      <c r="N76" s="79">
        <f>Table47910[[#This Row],[Expected Revenue]]*Table47910[[#This Row],[Probability]]</f>
        <v>15000</v>
      </c>
      <c r="O76" s="78">
        <v>0.3</v>
      </c>
      <c r="P76" s="79">
        <f>Table47910[[#This Row],[Expected Revenue]]*Table47910[[#This Row],[Expected CMR]]</f>
        <v>4500</v>
      </c>
      <c r="Q76" s="209"/>
    </row>
    <row r="77" spans="1:17" hidden="1">
      <c r="A77" s="75" t="s">
        <v>3073</v>
      </c>
      <c r="B77" s="76" t="s">
        <v>114</v>
      </c>
      <c r="C77" s="77" t="s">
        <v>57</v>
      </c>
      <c r="D77" s="102" t="s">
        <v>3074</v>
      </c>
      <c r="E77" s="77" t="s">
        <v>92</v>
      </c>
      <c r="F77" s="77" t="s">
        <v>58</v>
      </c>
      <c r="G77" s="77" t="s">
        <v>65</v>
      </c>
      <c r="H77" s="77" t="s">
        <v>290</v>
      </c>
      <c r="I77" s="77"/>
      <c r="J77" s="110" t="s">
        <v>102</v>
      </c>
      <c r="K77" s="77">
        <v>2019</v>
      </c>
      <c r="L77" s="78">
        <v>1</v>
      </c>
      <c r="M77" s="79">
        <v>30000</v>
      </c>
      <c r="N77" s="79">
        <f>Table47910[[#This Row],[Expected Revenue]]*Table47910[[#This Row],[Probability]]</f>
        <v>30000</v>
      </c>
      <c r="O77" s="78">
        <v>0.3</v>
      </c>
      <c r="P77" s="79">
        <f>Table47910[[#This Row],[Expected Revenue]]*Table47910[[#This Row],[Expected CMR]]</f>
        <v>9000</v>
      </c>
      <c r="Q77" s="209"/>
    </row>
    <row r="78" spans="1:17" hidden="1">
      <c r="A78" s="75" t="s">
        <v>3075</v>
      </c>
      <c r="B78" s="76" t="s">
        <v>122</v>
      </c>
      <c r="C78" s="77" t="s">
        <v>57</v>
      </c>
      <c r="D78" s="102" t="s">
        <v>106</v>
      </c>
      <c r="E78" s="77" t="s">
        <v>107</v>
      </c>
      <c r="F78" s="77" t="s">
        <v>58</v>
      </c>
      <c r="G78" s="77" t="s">
        <v>65</v>
      </c>
      <c r="H78" s="77" t="s">
        <v>290</v>
      </c>
      <c r="I78" s="77"/>
      <c r="J78" s="110" t="s">
        <v>139</v>
      </c>
      <c r="K78" s="77">
        <v>2019</v>
      </c>
      <c r="L78" s="78">
        <v>1</v>
      </c>
      <c r="M78" s="79">
        <v>59378</v>
      </c>
      <c r="N78" s="79">
        <f>Table47910[[#This Row],[Expected Revenue]]*Table47910[[#This Row],[Probability]]</f>
        <v>59378</v>
      </c>
      <c r="O78" s="78">
        <v>0.3</v>
      </c>
      <c r="P78" s="79">
        <f>Table47910[[#This Row],[Expected Revenue]]*Table47910[[#This Row],[Expected CMR]]</f>
        <v>17813.399999999998</v>
      </c>
      <c r="Q78" s="209"/>
    </row>
    <row r="79" spans="1:17" hidden="1">
      <c r="A79" s="75" t="s">
        <v>3076</v>
      </c>
      <c r="B79" s="76" t="s">
        <v>122</v>
      </c>
      <c r="C79" s="77" t="s">
        <v>57</v>
      </c>
      <c r="D79" s="102" t="s">
        <v>112</v>
      </c>
      <c r="E79" s="77" t="s">
        <v>71</v>
      </c>
      <c r="F79" s="77" t="s">
        <v>58</v>
      </c>
      <c r="G79" s="77" t="s">
        <v>65</v>
      </c>
      <c r="H79" s="77" t="s">
        <v>290</v>
      </c>
      <c r="I79" s="77"/>
      <c r="J79" s="110" t="s">
        <v>230</v>
      </c>
      <c r="K79" s="77">
        <v>2019</v>
      </c>
      <c r="L79" s="78">
        <v>1</v>
      </c>
      <c r="M79" s="79">
        <v>30939</v>
      </c>
      <c r="N79" s="79">
        <f>Table47910[[#This Row],[Expected Revenue]]*Table47910[[#This Row],[Probability]]</f>
        <v>30939</v>
      </c>
      <c r="O79" s="78">
        <v>0.3</v>
      </c>
      <c r="P79" s="79">
        <f>Table47910[[#This Row],[Expected Revenue]]*Table47910[[#This Row],[Expected CMR]]</f>
        <v>9281.6999999999989</v>
      </c>
      <c r="Q79" s="209"/>
    </row>
    <row r="80" spans="1:17" hidden="1">
      <c r="A80" s="75" t="s">
        <v>3077</v>
      </c>
      <c r="B80" s="76" t="s">
        <v>122</v>
      </c>
      <c r="C80" s="77" t="s">
        <v>57</v>
      </c>
      <c r="D80" s="102" t="s">
        <v>113</v>
      </c>
      <c r="E80" s="77" t="s">
        <v>62</v>
      </c>
      <c r="F80" s="77" t="s">
        <v>58</v>
      </c>
      <c r="G80" s="77" t="s">
        <v>65</v>
      </c>
      <c r="H80" s="77" t="s">
        <v>290</v>
      </c>
      <c r="I80" s="77"/>
      <c r="J80" s="110" t="s">
        <v>230</v>
      </c>
      <c r="K80" s="77">
        <v>2019</v>
      </c>
      <c r="L80" s="78">
        <v>1</v>
      </c>
      <c r="M80" s="79">
        <v>31969</v>
      </c>
      <c r="N80" s="79">
        <f>Table47910[[#This Row],[Expected Revenue]]*Table47910[[#This Row],[Probability]]</f>
        <v>31969</v>
      </c>
      <c r="O80" s="78">
        <v>0.3</v>
      </c>
      <c r="P80" s="79">
        <f>Table47910[[#This Row],[Expected Revenue]]*Table47910[[#This Row],[Expected CMR]]</f>
        <v>9590.6999999999989</v>
      </c>
      <c r="Q80" s="209"/>
    </row>
    <row r="81" spans="1:17" hidden="1">
      <c r="A81" s="75" t="s">
        <v>3078</v>
      </c>
      <c r="B81" s="76" t="s">
        <v>122</v>
      </c>
      <c r="C81" s="77" t="s">
        <v>57</v>
      </c>
      <c r="D81" s="102" t="s">
        <v>96</v>
      </c>
      <c r="E81" s="77" t="s">
        <v>92</v>
      </c>
      <c r="F81" s="77" t="s">
        <v>58</v>
      </c>
      <c r="G81" s="77" t="s">
        <v>65</v>
      </c>
      <c r="H81" s="77" t="s">
        <v>290</v>
      </c>
      <c r="I81" s="77"/>
      <c r="J81" s="110" t="s">
        <v>139</v>
      </c>
      <c r="K81" s="77">
        <v>2019</v>
      </c>
      <c r="L81" s="78">
        <v>1</v>
      </c>
      <c r="M81" s="79">
        <f>75242/4</f>
        <v>18810.5</v>
      </c>
      <c r="N81" s="79">
        <f>Table47910[[#This Row],[Expected Revenue]]*Table47910[[#This Row],[Probability]]</f>
        <v>18810.5</v>
      </c>
      <c r="O81" s="78">
        <v>0.3</v>
      </c>
      <c r="P81" s="79">
        <f>Table47910[[#This Row],[Expected Revenue]]*Table47910[[#This Row],[Expected CMR]]</f>
        <v>5643.15</v>
      </c>
      <c r="Q81" s="209"/>
    </row>
    <row r="82" spans="1:17" hidden="1">
      <c r="A82" s="75" t="s">
        <v>3078</v>
      </c>
      <c r="B82" s="76" t="s">
        <v>122</v>
      </c>
      <c r="C82" s="77" t="s">
        <v>57</v>
      </c>
      <c r="D82" s="102" t="s">
        <v>97</v>
      </c>
      <c r="E82" s="77" t="s">
        <v>92</v>
      </c>
      <c r="F82" s="77" t="s">
        <v>58</v>
      </c>
      <c r="G82" s="77" t="s">
        <v>65</v>
      </c>
      <c r="H82" s="77" t="s">
        <v>290</v>
      </c>
      <c r="I82" s="77"/>
      <c r="J82" s="110" t="s">
        <v>84</v>
      </c>
      <c r="K82" s="77">
        <v>2019</v>
      </c>
      <c r="L82" s="78">
        <v>1</v>
      </c>
      <c r="M82" s="79">
        <f>75242/4</f>
        <v>18810.5</v>
      </c>
      <c r="N82" s="79">
        <f>Table47910[[#This Row],[Expected Revenue]]*Table47910[[#This Row],[Probability]]</f>
        <v>18810.5</v>
      </c>
      <c r="O82" s="78">
        <v>0.3</v>
      </c>
      <c r="P82" s="79">
        <f>Table47910[[#This Row],[Expected Revenue]]*Table47910[[#This Row],[Expected CMR]]</f>
        <v>5643.15</v>
      </c>
      <c r="Q82" s="209"/>
    </row>
    <row r="83" spans="1:17" hidden="1">
      <c r="A83" s="173"/>
      <c r="B83" s="76" t="s">
        <v>1199</v>
      </c>
      <c r="C83" s="77" t="s">
        <v>57</v>
      </c>
      <c r="D83" s="76" t="s">
        <v>3079</v>
      </c>
      <c r="E83" s="77" t="s">
        <v>62</v>
      </c>
      <c r="F83" s="77" t="s">
        <v>58</v>
      </c>
      <c r="G83" s="77"/>
      <c r="H83" s="77" t="s">
        <v>257</v>
      </c>
      <c r="I83" s="77" t="s">
        <v>3080</v>
      </c>
      <c r="J83" s="110" t="s">
        <v>93</v>
      </c>
      <c r="K83" s="77">
        <v>2020</v>
      </c>
      <c r="L83" s="78">
        <v>0.25</v>
      </c>
      <c r="M83" s="79">
        <v>23635</v>
      </c>
      <c r="N83" s="86">
        <f>Table47910[[#This Row],[Expected Revenue]]*Table47910[[#This Row],[Probability]]</f>
        <v>5908.75</v>
      </c>
      <c r="O83" s="78">
        <v>0.3</v>
      </c>
      <c r="P83" s="86">
        <f>Table47910[[#This Row],[Expected Revenue]]*Table47910[[#This Row],[Expected CMR]]</f>
        <v>7090.5</v>
      </c>
      <c r="Q83" s="210"/>
    </row>
    <row r="84" spans="1:17" hidden="1">
      <c r="A84" s="75" t="s">
        <v>3078</v>
      </c>
      <c r="B84" s="76" t="s">
        <v>122</v>
      </c>
      <c r="C84" s="77" t="s">
        <v>57</v>
      </c>
      <c r="D84" s="102" t="s">
        <v>97</v>
      </c>
      <c r="E84" s="77" t="s">
        <v>92</v>
      </c>
      <c r="F84" s="77" t="s">
        <v>58</v>
      </c>
      <c r="G84" s="77" t="s">
        <v>65</v>
      </c>
      <c r="H84" s="77" t="s">
        <v>290</v>
      </c>
      <c r="I84" s="77"/>
      <c r="J84" s="110" t="s">
        <v>219</v>
      </c>
      <c r="K84" s="77">
        <v>2019</v>
      </c>
      <c r="L84" s="78">
        <v>1</v>
      </c>
      <c r="M84" s="79">
        <v>10000</v>
      </c>
      <c r="N84" s="79">
        <f>Table47910[[#This Row],[Expected Revenue]]*Table47910[[#This Row],[Probability]]</f>
        <v>10000</v>
      </c>
      <c r="O84" s="78">
        <v>0.3</v>
      </c>
      <c r="P84" s="79">
        <f>Table47910[[#This Row],[Expected Revenue]]*Table47910[[#This Row],[Expected CMR]]</f>
        <v>3000</v>
      </c>
      <c r="Q84" s="209"/>
    </row>
    <row r="85" spans="1:17" hidden="1">
      <c r="A85" s="75" t="s">
        <v>3078</v>
      </c>
      <c r="B85" s="76" t="s">
        <v>122</v>
      </c>
      <c r="C85" s="77" t="s">
        <v>57</v>
      </c>
      <c r="D85" s="102" t="s">
        <v>91</v>
      </c>
      <c r="E85" s="77" t="s">
        <v>92</v>
      </c>
      <c r="F85" s="77" t="s">
        <v>58</v>
      </c>
      <c r="G85" s="77" t="s">
        <v>65</v>
      </c>
      <c r="H85" s="77" t="s">
        <v>290</v>
      </c>
      <c r="I85" s="77"/>
      <c r="J85" s="110" t="s">
        <v>230</v>
      </c>
      <c r="K85" s="77">
        <v>2019</v>
      </c>
      <c r="L85" s="78">
        <v>1</v>
      </c>
      <c r="M85" s="79">
        <f>75242/4</f>
        <v>18810.5</v>
      </c>
      <c r="N85" s="79">
        <f>Table47910[[#This Row],[Expected Revenue]]*Table47910[[#This Row],[Probability]]</f>
        <v>18810.5</v>
      </c>
      <c r="O85" s="78">
        <v>0.3</v>
      </c>
      <c r="P85" s="79">
        <f>Table47910[[#This Row],[Expected Revenue]]*Table47910[[#This Row],[Expected CMR]]</f>
        <v>5643.15</v>
      </c>
      <c r="Q85" s="209"/>
    </row>
    <row r="86" spans="1:17" hidden="1">
      <c r="A86" s="75" t="s">
        <v>3081</v>
      </c>
      <c r="B86" s="76" t="s">
        <v>122</v>
      </c>
      <c r="C86" s="77" t="s">
        <v>57</v>
      </c>
      <c r="D86" s="102" t="s">
        <v>87</v>
      </c>
      <c r="E86" s="77" t="s">
        <v>88</v>
      </c>
      <c r="F86" s="77" t="s">
        <v>58</v>
      </c>
      <c r="G86" s="77" t="s">
        <v>65</v>
      </c>
      <c r="H86" s="77" t="s">
        <v>290</v>
      </c>
      <c r="I86" s="77"/>
      <c r="J86" s="110" t="s">
        <v>231</v>
      </c>
      <c r="K86" s="77">
        <v>2019</v>
      </c>
      <c r="L86" s="78">
        <v>1</v>
      </c>
      <c r="M86" s="79">
        <v>2816</v>
      </c>
      <c r="N86" s="79">
        <f>Table47910[[#This Row],[Expected Revenue]]*Table47910[[#This Row],[Probability]]</f>
        <v>2816</v>
      </c>
      <c r="O86" s="78">
        <v>0.3</v>
      </c>
      <c r="P86" s="79">
        <f>Table47910[[#This Row],[Expected Revenue]]*Table47910[[#This Row],[Expected CMR]]</f>
        <v>844.8</v>
      </c>
      <c r="Q86" s="209"/>
    </row>
    <row r="87" spans="1:17" hidden="1">
      <c r="A87" s="75" t="s">
        <v>3082</v>
      </c>
      <c r="B87" s="76" t="s">
        <v>122</v>
      </c>
      <c r="C87" s="77" t="s">
        <v>57</v>
      </c>
      <c r="D87" s="102" t="s">
        <v>75</v>
      </c>
      <c r="E87" s="77" t="s">
        <v>83</v>
      </c>
      <c r="F87" s="77" t="s">
        <v>58</v>
      </c>
      <c r="G87" s="77" t="s">
        <v>65</v>
      </c>
      <c r="H87" s="77" t="s">
        <v>290</v>
      </c>
      <c r="I87" s="77"/>
      <c r="J87" s="110" t="s">
        <v>219</v>
      </c>
      <c r="K87" s="77">
        <v>2019</v>
      </c>
      <c r="L87" s="78">
        <v>1</v>
      </c>
      <c r="M87" s="79">
        <v>10620</v>
      </c>
      <c r="N87" s="79">
        <f>Table47910[[#This Row],[Expected Revenue]]*Table47910[[#This Row],[Probability]]</f>
        <v>10620</v>
      </c>
      <c r="O87" s="78">
        <v>0.3</v>
      </c>
      <c r="P87" s="79">
        <f>Table47910[[#This Row],[Expected Revenue]]*Table47910[[#This Row],[Expected CMR]]</f>
        <v>3186</v>
      </c>
      <c r="Q87" s="209"/>
    </row>
    <row r="88" spans="1:17" hidden="1">
      <c r="A88" s="173" t="s">
        <v>3023</v>
      </c>
      <c r="B88" s="76" t="s">
        <v>260</v>
      </c>
      <c r="C88" s="77" t="s">
        <v>157</v>
      </c>
      <c r="D88" s="102" t="s">
        <v>261</v>
      </c>
      <c r="E88" s="77" t="s">
        <v>62</v>
      </c>
      <c r="F88" s="77" t="s">
        <v>58</v>
      </c>
      <c r="G88" s="77" t="s">
        <v>65</v>
      </c>
      <c r="H88" s="77" t="s">
        <v>290</v>
      </c>
      <c r="I88" s="77"/>
      <c r="J88" s="110" t="s">
        <v>93</v>
      </c>
      <c r="K88" s="77">
        <v>2019</v>
      </c>
      <c r="L88" s="78">
        <v>1</v>
      </c>
      <c r="M88" s="79">
        <v>10000</v>
      </c>
      <c r="N88" s="79">
        <f>Table47910[[#This Row],[Expected Revenue]]*Table47910[[#This Row],[Probability]]</f>
        <v>10000</v>
      </c>
      <c r="O88" s="78">
        <v>0.35</v>
      </c>
      <c r="P88" s="79">
        <f>Table47910[[#This Row],[Expected Revenue]]*Table47910[[#This Row],[Expected CMR]]</f>
        <v>3500</v>
      </c>
      <c r="Q88" s="209"/>
    </row>
    <row r="89" spans="1:17" hidden="1">
      <c r="A89" s="173" t="s">
        <v>3023</v>
      </c>
      <c r="B89" s="76" t="s">
        <v>296</v>
      </c>
      <c r="C89" s="77"/>
      <c r="D89" s="102"/>
      <c r="E89" s="77" t="s">
        <v>251</v>
      </c>
      <c r="F89" s="77"/>
      <c r="G89" s="77"/>
      <c r="H89" s="77" t="s">
        <v>296</v>
      </c>
      <c r="I89" s="76"/>
      <c r="J89" s="110" t="s">
        <v>93</v>
      </c>
      <c r="K89" s="77">
        <v>2019</v>
      </c>
      <c r="L89" s="78">
        <v>1</v>
      </c>
      <c r="M89" s="79">
        <v>100000</v>
      </c>
      <c r="N89" s="86">
        <f>Table47910[[#This Row],[Expected Revenue]]*Table47910[[#This Row],[Probability]]</f>
        <v>100000</v>
      </c>
      <c r="O89" s="78">
        <v>0.3</v>
      </c>
      <c r="P89" s="86">
        <f>Table47910[[#This Row],[Expected Revenue]]*Table47910[[#This Row],[Expected CMR]]</f>
        <v>30000</v>
      </c>
      <c r="Q89" s="210"/>
    </row>
    <row r="90" spans="1:17" hidden="1">
      <c r="A90" s="75" t="s">
        <v>3029</v>
      </c>
      <c r="B90" s="76" t="s">
        <v>156</v>
      </c>
      <c r="C90" s="77" t="s">
        <v>157</v>
      </c>
      <c r="D90" s="102" t="s">
        <v>239</v>
      </c>
      <c r="E90" s="77" t="s">
        <v>62</v>
      </c>
      <c r="F90" s="77" t="s">
        <v>58</v>
      </c>
      <c r="G90" s="77" t="s">
        <v>65</v>
      </c>
      <c r="H90" s="77" t="s">
        <v>290</v>
      </c>
      <c r="I90" s="77"/>
      <c r="J90" s="110" t="s">
        <v>93</v>
      </c>
      <c r="K90" s="77">
        <v>2019</v>
      </c>
      <c r="L90" s="78">
        <v>1</v>
      </c>
      <c r="M90" s="79">
        <v>30000</v>
      </c>
      <c r="N90" s="79">
        <f>Table47910[[#This Row],[Expected Revenue]]*Table47910[[#This Row],[Probability]]</f>
        <v>30000</v>
      </c>
      <c r="O90" s="78">
        <v>0.35</v>
      </c>
      <c r="P90" s="79">
        <f>Table47910[[#This Row],[Expected Revenue]]*Table47910[[#This Row],[Expected CMR]]</f>
        <v>10500</v>
      </c>
      <c r="Q90" s="209"/>
    </row>
    <row r="91" spans="1:17" hidden="1">
      <c r="A91" s="75" t="s">
        <v>3029</v>
      </c>
      <c r="B91" s="76" t="s">
        <v>156</v>
      </c>
      <c r="C91" s="77" t="s">
        <v>157</v>
      </c>
      <c r="D91" s="102" t="s">
        <v>239</v>
      </c>
      <c r="E91" s="77" t="s">
        <v>62</v>
      </c>
      <c r="F91" s="77" t="s">
        <v>58</v>
      </c>
      <c r="G91" s="77" t="s">
        <v>65</v>
      </c>
      <c r="H91" s="77" t="s">
        <v>290</v>
      </c>
      <c r="I91" s="77"/>
      <c r="J91" s="110" t="s">
        <v>93</v>
      </c>
      <c r="K91" s="77">
        <v>2019</v>
      </c>
      <c r="L91" s="78">
        <v>1</v>
      </c>
      <c r="M91" s="79">
        <v>30000</v>
      </c>
      <c r="N91" s="79">
        <f>Table47910[[#This Row],[Expected Revenue]]*Table47910[[#This Row],[Probability]]</f>
        <v>30000</v>
      </c>
      <c r="O91" s="78">
        <v>0.35</v>
      </c>
      <c r="P91" s="79">
        <f>Table47910[[#This Row],[Expected Revenue]]*Table47910[[#This Row],[Expected CMR]]</f>
        <v>10500</v>
      </c>
      <c r="Q91" s="209"/>
    </row>
    <row r="92" spans="1:17" hidden="1">
      <c r="A92" s="173" t="s">
        <v>3083</v>
      </c>
      <c r="B92" s="76" t="s">
        <v>235</v>
      </c>
      <c r="C92" s="77" t="s">
        <v>57</v>
      </c>
      <c r="D92" s="102" t="s">
        <v>236</v>
      </c>
      <c r="E92" s="77" t="s">
        <v>209</v>
      </c>
      <c r="F92" s="77" t="s">
        <v>58</v>
      </c>
      <c r="G92" s="77" t="s">
        <v>65</v>
      </c>
      <c r="H92" s="77" t="s">
        <v>290</v>
      </c>
      <c r="I92" s="76"/>
      <c r="J92" s="110" t="s">
        <v>93</v>
      </c>
      <c r="K92" s="77">
        <v>2019</v>
      </c>
      <c r="L92" s="78">
        <v>1</v>
      </c>
      <c r="M92" s="79">
        <v>50000</v>
      </c>
      <c r="N92" s="86">
        <f>Table47910[[#This Row],[Expected Revenue]]*Table47910[[#This Row],[Probability]]</f>
        <v>50000</v>
      </c>
      <c r="O92" s="154">
        <v>0.3</v>
      </c>
      <c r="P92" s="86">
        <f>Table47910[[#This Row],[Expected Revenue]]*Table47910[[#This Row],[Expected CMR]]</f>
        <v>15000</v>
      </c>
      <c r="Q92" s="210"/>
    </row>
    <row r="93" spans="1:17" hidden="1">
      <c r="A93" s="75" t="s">
        <v>3038</v>
      </c>
      <c r="B93" s="76" t="s">
        <v>104</v>
      </c>
      <c r="C93" s="77" t="s">
        <v>57</v>
      </c>
      <c r="D93" s="102" t="s">
        <v>101</v>
      </c>
      <c r="E93" s="77" t="s">
        <v>92</v>
      </c>
      <c r="F93" s="77" t="s">
        <v>58</v>
      </c>
      <c r="G93" s="77" t="s">
        <v>65</v>
      </c>
      <c r="H93" s="77" t="s">
        <v>290</v>
      </c>
      <c r="I93" s="77"/>
      <c r="J93" s="110" t="s">
        <v>68</v>
      </c>
      <c r="K93" s="77">
        <v>2019</v>
      </c>
      <c r="L93" s="78">
        <v>1</v>
      </c>
      <c r="M93" s="79">
        <f>75242/4</f>
        <v>18810.5</v>
      </c>
      <c r="N93" s="79">
        <f>Table47910[[#This Row],[Expected Revenue]]*Table47910[[#This Row],[Probability]]</f>
        <v>18810.5</v>
      </c>
      <c r="O93" s="78">
        <v>0.3</v>
      </c>
      <c r="P93" s="79">
        <f>Table47910[[#This Row],[Expected Revenue]]*Table47910[[#This Row],[Expected CMR]]</f>
        <v>5643.15</v>
      </c>
      <c r="Q93" s="209"/>
    </row>
    <row r="94" spans="1:17" hidden="1">
      <c r="A94" s="75" t="s">
        <v>3084</v>
      </c>
      <c r="B94" s="76" t="s">
        <v>104</v>
      </c>
      <c r="C94" s="77" t="s">
        <v>57</v>
      </c>
      <c r="D94" s="102" t="s">
        <v>1236</v>
      </c>
      <c r="E94" s="77" t="s">
        <v>92</v>
      </c>
      <c r="F94" s="77" t="s">
        <v>58</v>
      </c>
      <c r="G94" s="77" t="s">
        <v>65</v>
      </c>
      <c r="H94" s="77" t="s">
        <v>290</v>
      </c>
      <c r="I94" s="77"/>
      <c r="J94" s="110" t="s">
        <v>68</v>
      </c>
      <c r="K94" s="77">
        <v>2019</v>
      </c>
      <c r="L94" s="78">
        <v>1</v>
      </c>
      <c r="M94" s="79">
        <v>27000</v>
      </c>
      <c r="N94" s="79">
        <f>Table47910[[#This Row],[Expected Revenue]]*Table47910[[#This Row],[Probability]]</f>
        <v>27000</v>
      </c>
      <c r="O94" s="78">
        <v>0.3</v>
      </c>
      <c r="P94" s="79">
        <f>Table47910[[#This Row],[Expected Revenue]]*Table47910[[#This Row],[Expected CMR]]</f>
        <v>8100</v>
      </c>
      <c r="Q94" s="209"/>
    </row>
    <row r="95" spans="1:17" hidden="1">
      <c r="A95" s="75" t="s">
        <v>3085</v>
      </c>
      <c r="B95" s="76" t="s">
        <v>104</v>
      </c>
      <c r="C95" s="77" t="s">
        <v>57</v>
      </c>
      <c r="D95" s="102" t="s">
        <v>243</v>
      </c>
      <c r="E95" s="77" t="s">
        <v>62</v>
      </c>
      <c r="F95" s="77" t="s">
        <v>58</v>
      </c>
      <c r="G95" s="77" t="s">
        <v>65</v>
      </c>
      <c r="H95" s="77" t="s">
        <v>290</v>
      </c>
      <c r="I95" s="77"/>
      <c r="J95" s="110" t="s">
        <v>93</v>
      </c>
      <c r="K95" s="77">
        <v>2019</v>
      </c>
      <c r="L95" s="78">
        <v>1</v>
      </c>
      <c r="M95" s="79">
        <v>6714</v>
      </c>
      <c r="N95" s="79">
        <f>Table47910[[#This Row],[Expected Revenue]]*Table47910[[#This Row],[Probability]]</f>
        <v>6714</v>
      </c>
      <c r="O95" s="78">
        <v>0.3</v>
      </c>
      <c r="P95" s="79">
        <f>Table47910[[#This Row],[Expected Revenue]]*Table47910[[#This Row],[Expected CMR]]</f>
        <v>2014.1999999999998</v>
      </c>
      <c r="Q95" s="209"/>
    </row>
    <row r="96" spans="1:17" hidden="1">
      <c r="A96" s="75" t="s">
        <v>3085</v>
      </c>
      <c r="B96" s="76" t="s">
        <v>104</v>
      </c>
      <c r="C96" s="77" t="s">
        <v>57</v>
      </c>
      <c r="D96" s="102" t="s">
        <v>243</v>
      </c>
      <c r="E96" s="77" t="s">
        <v>62</v>
      </c>
      <c r="F96" s="77" t="s">
        <v>58</v>
      </c>
      <c r="G96" s="77" t="s">
        <v>65</v>
      </c>
      <c r="H96" s="77" t="s">
        <v>290</v>
      </c>
      <c r="I96" s="77"/>
      <c r="J96" s="110" t="s">
        <v>93</v>
      </c>
      <c r="K96" s="77">
        <v>2019</v>
      </c>
      <c r="L96" s="78">
        <v>1</v>
      </c>
      <c r="M96" s="79">
        <v>9024</v>
      </c>
      <c r="N96" s="79">
        <f>Table47910[[#This Row],[Expected Revenue]]*Table47910[[#This Row],[Probability]]</f>
        <v>9024</v>
      </c>
      <c r="O96" s="78">
        <v>0.3</v>
      </c>
      <c r="P96" s="79">
        <f>Table47910[[#This Row],[Expected Revenue]]*Table47910[[#This Row],[Expected CMR]]</f>
        <v>2707.2</v>
      </c>
      <c r="Q96" s="209"/>
    </row>
    <row r="97" spans="1:17" hidden="1">
      <c r="A97" s="75" t="s">
        <v>3032</v>
      </c>
      <c r="B97" s="76" t="s">
        <v>73</v>
      </c>
      <c r="C97" s="77" t="s">
        <v>57</v>
      </c>
      <c r="D97" s="102" t="s">
        <v>106</v>
      </c>
      <c r="E97" s="77" t="s">
        <v>107</v>
      </c>
      <c r="F97" s="77" t="s">
        <v>58</v>
      </c>
      <c r="G97" s="77" t="s">
        <v>65</v>
      </c>
      <c r="H97" s="77" t="s">
        <v>290</v>
      </c>
      <c r="I97" s="77"/>
      <c r="J97" s="110" t="s">
        <v>93</v>
      </c>
      <c r="K97" s="77">
        <v>2019</v>
      </c>
      <c r="L97" s="78">
        <v>1</v>
      </c>
      <c r="M97" s="79">
        <v>59378</v>
      </c>
      <c r="N97" s="79">
        <f>Table47910[[#This Row],[Expected Revenue]]*Table47910[[#This Row],[Probability]]</f>
        <v>59378</v>
      </c>
      <c r="O97" s="78">
        <v>0.3</v>
      </c>
      <c r="P97" s="79">
        <f>Table47910[[#This Row],[Expected Revenue]]*Table47910[[#This Row],[Expected CMR]]</f>
        <v>17813.399999999998</v>
      </c>
      <c r="Q97" s="209"/>
    </row>
    <row r="98" spans="1:17" hidden="1">
      <c r="A98" s="75" t="s">
        <v>3048</v>
      </c>
      <c r="B98" s="76" t="s">
        <v>73</v>
      </c>
      <c r="C98" s="77" t="s">
        <v>57</v>
      </c>
      <c r="D98" s="102" t="s">
        <v>113</v>
      </c>
      <c r="E98" s="77" t="s">
        <v>62</v>
      </c>
      <c r="F98" s="77" t="s">
        <v>58</v>
      </c>
      <c r="G98" s="77" t="s">
        <v>65</v>
      </c>
      <c r="H98" s="77" t="s">
        <v>290</v>
      </c>
      <c r="I98" s="77"/>
      <c r="J98" s="110" t="s">
        <v>93</v>
      </c>
      <c r="K98" s="77">
        <v>2019</v>
      </c>
      <c r="L98" s="78">
        <v>1</v>
      </c>
      <c r="M98" s="79">
        <v>15000</v>
      </c>
      <c r="N98" s="79">
        <f>Table47910[[#This Row],[Expected Revenue]]*Table47910[[#This Row],[Probability]]</f>
        <v>15000</v>
      </c>
      <c r="O98" s="78">
        <v>0.3</v>
      </c>
      <c r="P98" s="79">
        <f>Table47910[[#This Row],[Expected Revenue]]*Table47910[[#This Row],[Expected CMR]]</f>
        <v>4500</v>
      </c>
      <c r="Q98" s="209"/>
    </row>
    <row r="99" spans="1:17" hidden="1">
      <c r="A99" s="75" t="s">
        <v>3049</v>
      </c>
      <c r="B99" s="76" t="s">
        <v>73</v>
      </c>
      <c r="C99" s="77" t="s">
        <v>57</v>
      </c>
      <c r="D99" s="102" t="s">
        <v>101</v>
      </c>
      <c r="E99" s="77" t="s">
        <v>92</v>
      </c>
      <c r="F99" s="77" t="s">
        <v>58</v>
      </c>
      <c r="G99" s="77" t="s">
        <v>65</v>
      </c>
      <c r="H99" s="77" t="s">
        <v>290</v>
      </c>
      <c r="I99" s="77"/>
      <c r="J99" s="110" t="s">
        <v>68</v>
      </c>
      <c r="K99" s="77">
        <v>2019</v>
      </c>
      <c r="L99" s="78">
        <v>1</v>
      </c>
      <c r="M99" s="79">
        <f>75242/4</f>
        <v>18810.5</v>
      </c>
      <c r="N99" s="79">
        <f>Table47910[[#This Row],[Expected Revenue]]*Table47910[[#This Row],[Probability]]</f>
        <v>18810.5</v>
      </c>
      <c r="O99" s="78">
        <v>0.3</v>
      </c>
      <c r="P99" s="79">
        <f>Table47910[[#This Row],[Expected Revenue]]*Table47910[[#This Row],[Expected CMR]]</f>
        <v>5643.15</v>
      </c>
      <c r="Q99" s="209"/>
    </row>
    <row r="100" spans="1:17" hidden="1">
      <c r="A100" s="75" t="s">
        <v>3086</v>
      </c>
      <c r="B100" s="76" t="s">
        <v>73</v>
      </c>
      <c r="C100" s="77" t="s">
        <v>57</v>
      </c>
      <c r="D100" s="102" t="s">
        <v>249</v>
      </c>
      <c r="E100" s="77" t="s">
        <v>88</v>
      </c>
      <c r="F100" s="77" t="s">
        <v>58</v>
      </c>
      <c r="G100" s="77" t="s">
        <v>65</v>
      </c>
      <c r="H100" s="77" t="s">
        <v>290</v>
      </c>
      <c r="I100" s="77"/>
      <c r="J100" s="110" t="s">
        <v>93</v>
      </c>
      <c r="K100" s="77">
        <v>2019</v>
      </c>
      <c r="L100" s="78">
        <v>1</v>
      </c>
      <c r="M100" s="79">
        <v>28009</v>
      </c>
      <c r="N100" s="79">
        <f>Table47910[[#This Row],[Expected Revenue]]*Table47910[[#This Row],[Probability]]</f>
        <v>28009</v>
      </c>
      <c r="O100" s="78">
        <v>0.3</v>
      </c>
      <c r="P100" s="79">
        <f>Table47910[[#This Row],[Expected Revenue]]*Table47910[[#This Row],[Expected CMR]]</f>
        <v>8402.6999999999989</v>
      </c>
      <c r="Q100" s="209"/>
    </row>
    <row r="101" spans="1:17" hidden="1">
      <c r="A101" s="75" t="s">
        <v>3054</v>
      </c>
      <c r="B101" s="76" t="s">
        <v>114</v>
      </c>
      <c r="C101" s="77" t="s">
        <v>57</v>
      </c>
      <c r="D101" s="102" t="s">
        <v>106</v>
      </c>
      <c r="E101" s="77" t="s">
        <v>107</v>
      </c>
      <c r="F101" s="77" t="s">
        <v>58</v>
      </c>
      <c r="G101" s="77" t="s">
        <v>65</v>
      </c>
      <c r="H101" s="77" t="s">
        <v>290</v>
      </c>
      <c r="I101" s="77"/>
      <c r="J101" s="110" t="s">
        <v>68</v>
      </c>
      <c r="K101" s="77">
        <v>2019</v>
      </c>
      <c r="L101" s="78">
        <v>1</v>
      </c>
      <c r="M101" s="79">
        <f>59378-30000</f>
        <v>29378</v>
      </c>
      <c r="N101" s="79">
        <f>Table47910[[#This Row],[Expected Revenue]]*Table47910[[#This Row],[Probability]]</f>
        <v>29378</v>
      </c>
      <c r="O101" s="78">
        <v>0.3</v>
      </c>
      <c r="P101" s="79">
        <f>Table47910[[#This Row],[Expected Revenue]]*Table47910[[#This Row],[Expected CMR]]</f>
        <v>8813.4</v>
      </c>
      <c r="Q101" s="209"/>
    </row>
    <row r="102" spans="1:17" hidden="1">
      <c r="A102" s="75" t="s">
        <v>3087</v>
      </c>
      <c r="B102" s="76" t="s">
        <v>114</v>
      </c>
      <c r="C102" s="77" t="s">
        <v>57</v>
      </c>
      <c r="D102" s="102" t="s">
        <v>112</v>
      </c>
      <c r="E102" s="77" t="s">
        <v>71</v>
      </c>
      <c r="F102" s="77" t="s">
        <v>58</v>
      </c>
      <c r="G102" s="77" t="s">
        <v>65</v>
      </c>
      <c r="H102" s="77" t="s">
        <v>290</v>
      </c>
      <c r="I102" s="77"/>
      <c r="J102" s="110" t="s">
        <v>68</v>
      </c>
      <c r="K102" s="77">
        <v>2019</v>
      </c>
      <c r="L102" s="78">
        <v>1</v>
      </c>
      <c r="M102" s="79">
        <f>30939-15000</f>
        <v>15939</v>
      </c>
      <c r="N102" s="79">
        <f>Table47910[[#This Row],[Expected Revenue]]*Table47910[[#This Row],[Probability]]</f>
        <v>15939</v>
      </c>
      <c r="O102" s="78">
        <v>0.3</v>
      </c>
      <c r="P102" s="79">
        <f>Table47910[[#This Row],[Expected Revenue]]*Table47910[[#This Row],[Expected CMR]]</f>
        <v>4781.7</v>
      </c>
      <c r="Q102" s="209"/>
    </row>
    <row r="103" spans="1:17" hidden="1">
      <c r="A103" s="75" t="s">
        <v>3039</v>
      </c>
      <c r="B103" s="76" t="s">
        <v>114</v>
      </c>
      <c r="C103" s="77" t="s">
        <v>57</v>
      </c>
      <c r="D103" s="102" t="s">
        <v>113</v>
      </c>
      <c r="E103" s="77" t="s">
        <v>62</v>
      </c>
      <c r="F103" s="77" t="s">
        <v>58</v>
      </c>
      <c r="G103" s="77" t="s">
        <v>65</v>
      </c>
      <c r="H103" s="77" t="s">
        <v>290</v>
      </c>
      <c r="I103" s="77"/>
      <c r="J103" s="110" t="s">
        <v>93</v>
      </c>
      <c r="K103" s="77">
        <v>2019</v>
      </c>
      <c r="L103" s="78">
        <v>1</v>
      </c>
      <c r="M103" s="79">
        <v>15000</v>
      </c>
      <c r="N103" s="79">
        <f>Table47910[[#This Row],[Expected Revenue]]*Table47910[[#This Row],[Probability]]</f>
        <v>15000</v>
      </c>
      <c r="O103" s="78">
        <v>0.3</v>
      </c>
      <c r="P103" s="79">
        <f>Table47910[[#This Row],[Expected Revenue]]*Table47910[[#This Row],[Expected CMR]]</f>
        <v>4500</v>
      </c>
      <c r="Q103" s="209"/>
    </row>
    <row r="104" spans="1:17" hidden="1">
      <c r="A104" s="173" t="s">
        <v>3088</v>
      </c>
      <c r="B104" s="76" t="s">
        <v>130</v>
      </c>
      <c r="C104" s="77" t="s">
        <v>57</v>
      </c>
      <c r="D104" s="102" t="s">
        <v>106</v>
      </c>
      <c r="E104" s="77" t="s">
        <v>107</v>
      </c>
      <c r="F104" s="77" t="s">
        <v>58</v>
      </c>
      <c r="G104" s="77" t="s">
        <v>65</v>
      </c>
      <c r="H104" s="77" t="s">
        <v>290</v>
      </c>
      <c r="I104" s="77"/>
      <c r="J104" s="110" t="s">
        <v>231</v>
      </c>
      <c r="K104" s="77">
        <v>2019</v>
      </c>
      <c r="L104" s="78">
        <v>1</v>
      </c>
      <c r="M104" s="79">
        <v>50150</v>
      </c>
      <c r="N104" s="79">
        <f>Table47910[[#This Row],[Expected Revenue]]*Table47910[[#This Row],[Probability]]</f>
        <v>50150</v>
      </c>
      <c r="O104" s="78">
        <v>0.3</v>
      </c>
      <c r="P104" s="79">
        <f>Table47910[[#This Row],[Expected Revenue]]*Table47910[[#This Row],[Expected CMR]]</f>
        <v>15045</v>
      </c>
      <c r="Q104" s="209"/>
    </row>
    <row r="105" spans="1:17" hidden="1">
      <c r="A105" s="75" t="s">
        <v>3061</v>
      </c>
      <c r="B105" s="76" t="s">
        <v>114</v>
      </c>
      <c r="C105" s="77" t="s">
        <v>57</v>
      </c>
      <c r="D105" s="102" t="s">
        <v>101</v>
      </c>
      <c r="E105" s="77" t="s">
        <v>92</v>
      </c>
      <c r="F105" s="77" t="s">
        <v>58</v>
      </c>
      <c r="G105" s="77" t="s">
        <v>65</v>
      </c>
      <c r="H105" s="77" t="s">
        <v>290</v>
      </c>
      <c r="I105" s="77"/>
      <c r="J105" s="110" t="s">
        <v>68</v>
      </c>
      <c r="K105" s="77">
        <v>2019</v>
      </c>
      <c r="L105" s="78">
        <v>1</v>
      </c>
      <c r="M105" s="79">
        <f>75242/4</f>
        <v>18810.5</v>
      </c>
      <c r="N105" s="79">
        <f>Table47910[[#This Row],[Expected Revenue]]*Table47910[[#This Row],[Probability]]</f>
        <v>18810.5</v>
      </c>
      <c r="O105" s="78">
        <v>0.3</v>
      </c>
      <c r="P105" s="79">
        <f>Table47910[[#This Row],[Expected Revenue]]*Table47910[[#This Row],[Expected CMR]]</f>
        <v>5643.15</v>
      </c>
      <c r="Q105" s="209"/>
    </row>
    <row r="106" spans="1:17" hidden="1">
      <c r="A106" s="75" t="s">
        <v>3089</v>
      </c>
      <c r="B106" s="76" t="s">
        <v>130</v>
      </c>
      <c r="C106" s="77" t="s">
        <v>57</v>
      </c>
      <c r="D106" s="102" t="s">
        <v>113</v>
      </c>
      <c r="E106" s="77" t="s">
        <v>62</v>
      </c>
      <c r="F106" s="77" t="s">
        <v>58</v>
      </c>
      <c r="G106" s="77" t="s">
        <v>65</v>
      </c>
      <c r="H106" s="77" t="s">
        <v>290</v>
      </c>
      <c r="I106" s="77"/>
      <c r="J106" s="110" t="s">
        <v>231</v>
      </c>
      <c r="K106" s="77">
        <v>2019</v>
      </c>
      <c r="L106" s="78">
        <v>1</v>
      </c>
      <c r="M106" s="79">
        <v>12000</v>
      </c>
      <c r="N106" s="79">
        <f>Table47910[[#This Row],[Expected Revenue]]*Table47910[[#This Row],[Probability]]</f>
        <v>12000</v>
      </c>
      <c r="O106" s="78">
        <v>0.3</v>
      </c>
      <c r="P106" s="79">
        <f>Table47910[[#This Row],[Expected Revenue]]*Table47910[[#This Row],[Expected CMR]]</f>
        <v>3600</v>
      </c>
      <c r="Q106" s="209"/>
    </row>
    <row r="107" spans="1:17" hidden="1">
      <c r="A107" s="75" t="s">
        <v>3078</v>
      </c>
      <c r="B107" s="76" t="s">
        <v>122</v>
      </c>
      <c r="C107" s="77" t="s">
        <v>57</v>
      </c>
      <c r="D107" s="102" t="s">
        <v>101</v>
      </c>
      <c r="E107" s="77" t="s">
        <v>92</v>
      </c>
      <c r="F107" s="77" t="s">
        <v>58</v>
      </c>
      <c r="G107" s="77" t="s">
        <v>65</v>
      </c>
      <c r="H107" s="77" t="s">
        <v>290</v>
      </c>
      <c r="I107" s="77"/>
      <c r="J107" s="110" t="s">
        <v>68</v>
      </c>
      <c r="K107" s="77">
        <v>2019</v>
      </c>
      <c r="L107" s="78">
        <v>1</v>
      </c>
      <c r="M107" s="79">
        <f>75242/4</f>
        <v>18810.5</v>
      </c>
      <c r="N107" s="79">
        <f>Table47910[[#This Row],[Expected Revenue]]*Table47910[[#This Row],[Probability]]</f>
        <v>18810.5</v>
      </c>
      <c r="O107" s="78">
        <v>0.3</v>
      </c>
      <c r="P107" s="79">
        <f>Table47910[[#This Row],[Expected Revenue]]*Table47910[[#This Row],[Expected CMR]]</f>
        <v>5643.15</v>
      </c>
      <c r="Q107" s="209"/>
    </row>
    <row r="108" spans="1:17" hidden="1">
      <c r="A108" s="75" t="s">
        <v>3090</v>
      </c>
      <c r="B108" s="76" t="s">
        <v>130</v>
      </c>
      <c r="C108" s="77" t="s">
        <v>57</v>
      </c>
      <c r="D108" s="102" t="s">
        <v>96</v>
      </c>
      <c r="E108" s="77" t="s">
        <v>92</v>
      </c>
      <c r="F108" s="77" t="s">
        <v>58</v>
      </c>
      <c r="G108" s="77" t="s">
        <v>65</v>
      </c>
      <c r="H108" s="77" t="s">
        <v>290</v>
      </c>
      <c r="I108" s="77"/>
      <c r="J108" s="110" t="s">
        <v>139</v>
      </c>
      <c r="K108" s="77">
        <v>2019</v>
      </c>
      <c r="L108" s="78">
        <v>1</v>
      </c>
      <c r="M108" s="79">
        <f>75242/4</f>
        <v>18810.5</v>
      </c>
      <c r="N108" s="79">
        <f>Table47910[[#This Row],[Expected Revenue]]*Table47910[[#This Row],[Probability]]</f>
        <v>18810.5</v>
      </c>
      <c r="O108" s="78">
        <v>0.3</v>
      </c>
      <c r="P108" s="79">
        <f>Table47910[[#This Row],[Expected Revenue]]*Table47910[[#This Row],[Expected CMR]]</f>
        <v>5643.15</v>
      </c>
      <c r="Q108" s="209"/>
    </row>
    <row r="109" spans="1:17" hidden="1">
      <c r="A109" s="75" t="s">
        <v>3056</v>
      </c>
      <c r="B109" s="76" t="s">
        <v>122</v>
      </c>
      <c r="C109" s="77" t="s">
        <v>57</v>
      </c>
      <c r="D109" s="102" t="s">
        <v>82</v>
      </c>
      <c r="E109" s="77" t="s">
        <v>62</v>
      </c>
      <c r="F109" s="77" t="s">
        <v>58</v>
      </c>
      <c r="G109" s="77" t="s">
        <v>65</v>
      </c>
      <c r="H109" s="77" t="s">
        <v>290</v>
      </c>
      <c r="I109" s="77"/>
      <c r="J109" s="110" t="s">
        <v>93</v>
      </c>
      <c r="K109" s="77">
        <v>2019</v>
      </c>
      <c r="L109" s="78">
        <v>1</v>
      </c>
      <c r="M109" s="79">
        <v>13900</v>
      </c>
      <c r="N109" s="79">
        <f>Table47910[[#This Row],[Expected Revenue]]*Table47910[[#This Row],[Probability]]</f>
        <v>13900</v>
      </c>
      <c r="O109" s="78">
        <v>0.3</v>
      </c>
      <c r="P109" s="79">
        <f>Table47910[[#This Row],[Expected Revenue]]*Table47910[[#This Row],[Expected CMR]]</f>
        <v>4170</v>
      </c>
      <c r="Q109" s="209"/>
    </row>
    <row r="110" spans="1:17" hidden="1">
      <c r="A110" s="75" t="s">
        <v>3090</v>
      </c>
      <c r="B110" s="76" t="s">
        <v>130</v>
      </c>
      <c r="C110" s="77" t="s">
        <v>57</v>
      </c>
      <c r="D110" s="102" t="s">
        <v>91</v>
      </c>
      <c r="E110" s="77" t="s">
        <v>92</v>
      </c>
      <c r="F110" s="77" t="s">
        <v>58</v>
      </c>
      <c r="G110" s="77" t="s">
        <v>65</v>
      </c>
      <c r="H110" s="77" t="s">
        <v>290</v>
      </c>
      <c r="I110" s="77"/>
      <c r="J110" s="110" t="s">
        <v>230</v>
      </c>
      <c r="K110" s="77">
        <v>2019</v>
      </c>
      <c r="L110" s="78">
        <v>1</v>
      </c>
      <c r="M110" s="79">
        <f>75242/4</f>
        <v>18810.5</v>
      </c>
      <c r="N110" s="79">
        <f>Table47910[[#This Row],[Expected Revenue]]*Table47910[[#This Row],[Probability]]</f>
        <v>18810.5</v>
      </c>
      <c r="O110" s="78">
        <v>0.3</v>
      </c>
      <c r="P110" s="79">
        <f>Table47910[[#This Row],[Expected Revenue]]*Table47910[[#This Row],[Expected CMR]]</f>
        <v>5643.15</v>
      </c>
      <c r="Q110" s="209"/>
    </row>
    <row r="111" spans="1:17" hidden="1">
      <c r="A111" s="75" t="s">
        <v>3090</v>
      </c>
      <c r="B111" s="76" t="s">
        <v>130</v>
      </c>
      <c r="C111" s="77" t="s">
        <v>57</v>
      </c>
      <c r="D111" s="102" t="s">
        <v>97</v>
      </c>
      <c r="E111" s="77" t="s">
        <v>92</v>
      </c>
      <c r="F111" s="77" t="s">
        <v>58</v>
      </c>
      <c r="G111" s="77" t="s">
        <v>65</v>
      </c>
      <c r="H111" s="77" t="s">
        <v>290</v>
      </c>
      <c r="I111" s="77"/>
      <c r="J111" s="110" t="s">
        <v>229</v>
      </c>
      <c r="K111" s="77">
        <v>2019</v>
      </c>
      <c r="L111" s="78">
        <v>1</v>
      </c>
      <c r="M111" s="79">
        <f>75242/4</f>
        <v>18810.5</v>
      </c>
      <c r="N111" s="79">
        <f>Table47910[[#This Row],[Expected Revenue]]*Table47910[[#This Row],[Probability]]</f>
        <v>18810.5</v>
      </c>
      <c r="O111" s="78">
        <v>0.3</v>
      </c>
      <c r="P111" s="79">
        <f>Table47910[[#This Row],[Expected Revenue]]*Table47910[[#This Row],[Expected CMR]]</f>
        <v>5643.15</v>
      </c>
      <c r="Q111" s="209"/>
    </row>
    <row r="112" spans="1:17" hidden="1">
      <c r="A112" s="75" t="s">
        <v>3088</v>
      </c>
      <c r="B112" s="76" t="s">
        <v>130</v>
      </c>
      <c r="C112" s="77" t="s">
        <v>57</v>
      </c>
      <c r="D112" s="102" t="s">
        <v>106</v>
      </c>
      <c r="E112" s="77" t="s">
        <v>107</v>
      </c>
      <c r="F112" s="77" t="s">
        <v>58</v>
      </c>
      <c r="G112" s="77" t="s">
        <v>65</v>
      </c>
      <c r="H112" s="77" t="s">
        <v>290</v>
      </c>
      <c r="I112" s="77"/>
      <c r="J112" s="110" t="s">
        <v>68</v>
      </c>
      <c r="K112" s="77">
        <v>2019</v>
      </c>
      <c r="L112" s="78">
        <v>1</v>
      </c>
      <c r="M112" s="79">
        <v>9000</v>
      </c>
      <c r="N112" s="79">
        <f>Table47910[[#This Row],[Expected Revenue]]*Table47910[[#This Row],[Probability]]</f>
        <v>9000</v>
      </c>
      <c r="O112" s="78">
        <v>0.3</v>
      </c>
      <c r="P112" s="79">
        <f>Table47910[[#This Row],[Expected Revenue]]*Table47910[[#This Row],[Expected CMR]]</f>
        <v>2700</v>
      </c>
      <c r="Q112" s="209"/>
    </row>
    <row r="113" spans="1:17" hidden="1">
      <c r="A113" s="75" t="s">
        <v>3091</v>
      </c>
      <c r="B113" s="76" t="s">
        <v>130</v>
      </c>
      <c r="C113" s="77" t="s">
        <v>57</v>
      </c>
      <c r="D113" s="102" t="s">
        <v>82</v>
      </c>
      <c r="E113" s="77" t="s">
        <v>62</v>
      </c>
      <c r="F113" s="77" t="s">
        <v>58</v>
      </c>
      <c r="G113" s="77" t="s">
        <v>65</v>
      </c>
      <c r="H113" s="77" t="s">
        <v>290</v>
      </c>
      <c r="I113" s="77"/>
      <c r="J113" s="110" t="s">
        <v>231</v>
      </c>
      <c r="K113" s="77">
        <v>2019</v>
      </c>
      <c r="L113" s="78">
        <v>1</v>
      </c>
      <c r="M113" s="79">
        <v>13900</v>
      </c>
      <c r="N113" s="79">
        <f>Table47910[[#This Row],[Expected Revenue]]*Table47910[[#This Row],[Probability]]</f>
        <v>13900</v>
      </c>
      <c r="O113" s="78">
        <v>0.3</v>
      </c>
      <c r="P113" s="79">
        <f>Table47910[[#This Row],[Expected Revenue]]*Table47910[[#This Row],[Expected CMR]]</f>
        <v>4170</v>
      </c>
      <c r="Q113" s="209"/>
    </row>
    <row r="114" spans="1:17" hidden="1">
      <c r="A114" s="75" t="s">
        <v>3089</v>
      </c>
      <c r="B114" s="76" t="s">
        <v>130</v>
      </c>
      <c r="C114" s="77" t="s">
        <v>57</v>
      </c>
      <c r="D114" s="102" t="s">
        <v>113</v>
      </c>
      <c r="E114" s="77" t="s">
        <v>62</v>
      </c>
      <c r="F114" s="77" t="s">
        <v>58</v>
      </c>
      <c r="G114" s="77" t="s">
        <v>65</v>
      </c>
      <c r="H114" s="77" t="s">
        <v>290</v>
      </c>
      <c r="I114" s="77"/>
      <c r="J114" s="110" t="s">
        <v>68</v>
      </c>
      <c r="K114" s="77">
        <v>2019</v>
      </c>
      <c r="L114" s="78">
        <v>1</v>
      </c>
      <c r="M114" s="79">
        <f>31969-12000</f>
        <v>19969</v>
      </c>
      <c r="N114" s="79">
        <f>Table47910[[#This Row],[Expected Revenue]]*Table47910[[#This Row],[Probability]]</f>
        <v>19969</v>
      </c>
      <c r="O114" s="78">
        <v>0.3</v>
      </c>
      <c r="P114" s="79">
        <f>Table47910[[#This Row],[Expected Revenue]]*Table47910[[#This Row],[Expected CMR]]</f>
        <v>5990.7</v>
      </c>
      <c r="Q114" s="209"/>
    </row>
    <row r="115" spans="1:17" hidden="1">
      <c r="A115" s="75" t="s">
        <v>3092</v>
      </c>
      <c r="B115" s="76" t="s">
        <v>137</v>
      </c>
      <c r="C115" s="77" t="s">
        <v>57</v>
      </c>
      <c r="D115" s="102" t="s">
        <v>106</v>
      </c>
      <c r="E115" s="77" t="s">
        <v>107</v>
      </c>
      <c r="F115" s="77" t="s">
        <v>58</v>
      </c>
      <c r="G115" s="77" t="s">
        <v>65</v>
      </c>
      <c r="H115" s="77" t="s">
        <v>290</v>
      </c>
      <c r="I115" s="77"/>
      <c r="J115" s="110" t="s">
        <v>139</v>
      </c>
      <c r="K115" s="77">
        <v>2019</v>
      </c>
      <c r="L115" s="78">
        <v>1</v>
      </c>
      <c r="M115" s="79">
        <v>59378</v>
      </c>
      <c r="N115" s="79">
        <f>Table47910[[#This Row],[Expected Revenue]]*Table47910[[#This Row],[Probability]]</f>
        <v>59378</v>
      </c>
      <c r="O115" s="78">
        <v>0.3</v>
      </c>
      <c r="P115" s="79">
        <f>Table47910[[#This Row],[Expected Revenue]]*Table47910[[#This Row],[Expected CMR]]</f>
        <v>17813.399999999998</v>
      </c>
      <c r="Q115" s="209"/>
    </row>
    <row r="116" spans="1:17" hidden="1">
      <c r="A116" s="75" t="s">
        <v>3093</v>
      </c>
      <c r="B116" s="76" t="s">
        <v>137</v>
      </c>
      <c r="C116" s="77" t="s">
        <v>57</v>
      </c>
      <c r="D116" s="102" t="s">
        <v>112</v>
      </c>
      <c r="E116" s="77" t="s">
        <v>71</v>
      </c>
      <c r="F116" s="77" t="s">
        <v>58</v>
      </c>
      <c r="G116" s="77" t="s">
        <v>65</v>
      </c>
      <c r="H116" s="77" t="s">
        <v>290</v>
      </c>
      <c r="I116" s="77"/>
      <c r="J116" s="110" t="s">
        <v>219</v>
      </c>
      <c r="K116" s="77">
        <v>2019</v>
      </c>
      <c r="L116" s="78">
        <v>1</v>
      </c>
      <c r="M116" s="79">
        <v>30939</v>
      </c>
      <c r="N116" s="79">
        <f>Table47910[[#This Row],[Expected Revenue]]*Table47910[[#This Row],[Probability]]</f>
        <v>30939</v>
      </c>
      <c r="O116" s="78">
        <v>0.3</v>
      </c>
      <c r="P116" s="79">
        <f>Table47910[[#This Row],[Expected Revenue]]*Table47910[[#This Row],[Expected CMR]]</f>
        <v>9281.6999999999989</v>
      </c>
      <c r="Q116" s="209"/>
    </row>
    <row r="117" spans="1:17" hidden="1">
      <c r="A117" s="75" t="s">
        <v>3094</v>
      </c>
      <c r="B117" s="76" t="s">
        <v>137</v>
      </c>
      <c r="C117" s="77" t="s">
        <v>57</v>
      </c>
      <c r="D117" s="102" t="s">
        <v>99</v>
      </c>
      <c r="E117" s="77" t="s">
        <v>92</v>
      </c>
      <c r="F117" s="77" t="s">
        <v>58</v>
      </c>
      <c r="G117" s="77" t="s">
        <v>65</v>
      </c>
      <c r="H117" s="77" t="s">
        <v>290</v>
      </c>
      <c r="I117" s="77"/>
      <c r="J117" s="110" t="s">
        <v>230</v>
      </c>
      <c r="K117" s="77">
        <v>2020</v>
      </c>
      <c r="L117" s="78">
        <v>1</v>
      </c>
      <c r="M117" s="79">
        <v>10000</v>
      </c>
      <c r="N117" s="79">
        <f>Table47910[[#This Row],[Expected Revenue]]*Table47910[[#This Row],[Probability]]</f>
        <v>10000</v>
      </c>
      <c r="O117" s="78">
        <v>0.3</v>
      </c>
      <c r="P117" s="79">
        <f>Table47910[[#This Row],[Expected Revenue]]*Table47910[[#This Row],[Expected CMR]]</f>
        <v>3000</v>
      </c>
      <c r="Q117" s="209"/>
    </row>
    <row r="118" spans="1:17" hidden="1">
      <c r="A118" s="75" t="s">
        <v>3095</v>
      </c>
      <c r="B118" s="76" t="s">
        <v>137</v>
      </c>
      <c r="C118" s="77" t="s">
        <v>57</v>
      </c>
      <c r="D118" s="102" t="s">
        <v>96</v>
      </c>
      <c r="E118" s="77" t="s">
        <v>92</v>
      </c>
      <c r="F118" s="77" t="s">
        <v>58</v>
      </c>
      <c r="G118" s="77" t="s">
        <v>65</v>
      </c>
      <c r="H118" s="77" t="s">
        <v>290</v>
      </c>
      <c r="I118" s="77"/>
      <c r="J118" s="110" t="s">
        <v>139</v>
      </c>
      <c r="K118" s="77">
        <v>2019</v>
      </c>
      <c r="L118" s="78">
        <v>1</v>
      </c>
      <c r="M118" s="79">
        <f>75242/4</f>
        <v>18810.5</v>
      </c>
      <c r="N118" s="79">
        <f>Table47910[[#This Row],[Expected Revenue]]*Table47910[[#This Row],[Probability]]</f>
        <v>18810.5</v>
      </c>
      <c r="O118" s="78">
        <v>0.3</v>
      </c>
      <c r="P118" s="79">
        <f>Table47910[[#This Row],[Expected Revenue]]*Table47910[[#This Row],[Expected CMR]]</f>
        <v>5643.15</v>
      </c>
      <c r="Q118" s="209"/>
    </row>
    <row r="119" spans="1:17" hidden="1">
      <c r="A119" s="75" t="s">
        <v>3095</v>
      </c>
      <c r="B119" s="76" t="s">
        <v>137</v>
      </c>
      <c r="C119" s="77" t="s">
        <v>57</v>
      </c>
      <c r="D119" s="102" t="s">
        <v>97</v>
      </c>
      <c r="E119" s="77" t="s">
        <v>92</v>
      </c>
      <c r="F119" s="77" t="s">
        <v>58</v>
      </c>
      <c r="G119" s="77" t="s">
        <v>65</v>
      </c>
      <c r="H119" s="77" t="s">
        <v>290</v>
      </c>
      <c r="I119" s="77"/>
      <c r="J119" s="110" t="s">
        <v>84</v>
      </c>
      <c r="K119" s="77">
        <v>2019</v>
      </c>
      <c r="L119" s="78">
        <v>1</v>
      </c>
      <c r="M119" s="79">
        <f>75242/4-M118</f>
        <v>0</v>
      </c>
      <c r="N119" s="79">
        <f>Table47910[[#This Row],[Expected Revenue]]*Table47910[[#This Row],[Probability]]</f>
        <v>0</v>
      </c>
      <c r="O119" s="78">
        <v>0.3</v>
      </c>
      <c r="P119" s="79">
        <f>Table47910[[#This Row],[Expected Revenue]]*Table47910[[#This Row],[Expected CMR]]</f>
        <v>0</v>
      </c>
      <c r="Q119" s="209"/>
    </row>
    <row r="120" spans="1:17" hidden="1">
      <c r="A120" s="75" t="s">
        <v>3090</v>
      </c>
      <c r="B120" s="76" t="s">
        <v>130</v>
      </c>
      <c r="C120" s="77" t="s">
        <v>57</v>
      </c>
      <c r="D120" s="102" t="s">
        <v>101</v>
      </c>
      <c r="E120" s="77" t="s">
        <v>92</v>
      </c>
      <c r="F120" s="77" t="s">
        <v>58</v>
      </c>
      <c r="G120" s="77" t="s">
        <v>65</v>
      </c>
      <c r="H120" s="77" t="s">
        <v>290</v>
      </c>
      <c r="I120" s="77"/>
      <c r="J120" s="110" t="s">
        <v>68</v>
      </c>
      <c r="K120" s="77">
        <v>2019</v>
      </c>
      <c r="L120" s="78">
        <v>1</v>
      </c>
      <c r="M120" s="79">
        <f>(75242/4)-2000</f>
        <v>16810.5</v>
      </c>
      <c r="N120" s="79">
        <f>Table47910[[#This Row],[Expected Revenue]]*Table47910[[#This Row],[Probability]]</f>
        <v>16810.5</v>
      </c>
      <c r="O120" s="78">
        <v>0.3</v>
      </c>
      <c r="P120" s="79">
        <f>Table47910[[#This Row],[Expected Revenue]]*Table47910[[#This Row],[Expected CMR]]</f>
        <v>5043.1499999999996</v>
      </c>
      <c r="Q120" s="209"/>
    </row>
    <row r="121" spans="1:17" hidden="1">
      <c r="A121" s="75" t="s">
        <v>3095</v>
      </c>
      <c r="B121" s="76" t="s">
        <v>137</v>
      </c>
      <c r="C121" s="77" t="s">
        <v>57</v>
      </c>
      <c r="D121" s="102" t="s">
        <v>97</v>
      </c>
      <c r="E121" s="77" t="s">
        <v>92</v>
      </c>
      <c r="F121" s="77" t="s">
        <v>58</v>
      </c>
      <c r="G121" s="77" t="s">
        <v>65</v>
      </c>
      <c r="H121" s="77" t="s">
        <v>290</v>
      </c>
      <c r="I121" s="77"/>
      <c r="J121" s="110" t="s">
        <v>219</v>
      </c>
      <c r="K121" s="77">
        <v>2019</v>
      </c>
      <c r="L121" s="78">
        <v>1</v>
      </c>
      <c r="M121" s="79">
        <v>10000</v>
      </c>
      <c r="N121" s="79">
        <f>Table47910[[#This Row],[Expected Revenue]]*Table47910[[#This Row],[Probability]]</f>
        <v>10000</v>
      </c>
      <c r="O121" s="78">
        <v>0.3</v>
      </c>
      <c r="P121" s="79">
        <f>Table47910[[#This Row],[Expected Revenue]]*Table47910[[#This Row],[Expected CMR]]</f>
        <v>3000</v>
      </c>
      <c r="Q121" s="209"/>
    </row>
    <row r="122" spans="1:17" hidden="1">
      <c r="A122" s="75" t="s">
        <v>3095</v>
      </c>
      <c r="B122" s="76" t="s">
        <v>137</v>
      </c>
      <c r="C122" s="77" t="s">
        <v>57</v>
      </c>
      <c r="D122" s="102" t="s">
        <v>91</v>
      </c>
      <c r="E122" s="77" t="s">
        <v>92</v>
      </c>
      <c r="F122" s="77" t="s">
        <v>58</v>
      </c>
      <c r="G122" s="77" t="s">
        <v>65</v>
      </c>
      <c r="H122" s="77" t="s">
        <v>290</v>
      </c>
      <c r="I122" s="77"/>
      <c r="J122" s="110" t="s">
        <v>230</v>
      </c>
      <c r="K122" s="77">
        <v>2019</v>
      </c>
      <c r="L122" s="78">
        <v>1</v>
      </c>
      <c r="M122" s="79">
        <f>75242/4</f>
        <v>18810.5</v>
      </c>
      <c r="N122" s="79">
        <f>Table47910[[#This Row],[Expected Revenue]]*Table47910[[#This Row],[Probability]]</f>
        <v>18810.5</v>
      </c>
      <c r="O122" s="78">
        <v>0.3</v>
      </c>
      <c r="P122" s="79">
        <f>Table47910[[#This Row],[Expected Revenue]]*Table47910[[#This Row],[Expected CMR]]</f>
        <v>5643.15</v>
      </c>
      <c r="Q122" s="209"/>
    </row>
    <row r="123" spans="1:17" hidden="1">
      <c r="A123" s="75" t="s">
        <v>3096</v>
      </c>
      <c r="B123" s="76" t="s">
        <v>130</v>
      </c>
      <c r="C123" s="77" t="s">
        <v>57</v>
      </c>
      <c r="D123" s="102" t="s">
        <v>87</v>
      </c>
      <c r="E123" s="77" t="s">
        <v>88</v>
      </c>
      <c r="F123" s="77" t="s">
        <v>58</v>
      </c>
      <c r="G123" s="77" t="s">
        <v>65</v>
      </c>
      <c r="H123" s="77" t="s">
        <v>290</v>
      </c>
      <c r="I123" s="77"/>
      <c r="J123" s="110" t="s">
        <v>68</v>
      </c>
      <c r="K123" s="77">
        <v>2019</v>
      </c>
      <c r="L123" s="78">
        <v>1</v>
      </c>
      <c r="M123" s="79">
        <v>27816</v>
      </c>
      <c r="N123" s="79">
        <f>Table47910[[#This Row],[Expected Revenue]]*Table47910[[#This Row],[Probability]]</f>
        <v>27816</v>
      </c>
      <c r="O123" s="78">
        <v>0.3</v>
      </c>
      <c r="P123" s="79">
        <f>Table47910[[#This Row],[Expected Revenue]]*Table47910[[#This Row],[Expected CMR]]</f>
        <v>8344.7999999999993</v>
      </c>
      <c r="Q123" s="209"/>
    </row>
    <row r="124" spans="1:17" hidden="1">
      <c r="A124" s="75" t="s">
        <v>3097</v>
      </c>
      <c r="B124" s="76" t="s">
        <v>137</v>
      </c>
      <c r="C124" s="77" t="s">
        <v>57</v>
      </c>
      <c r="D124" s="102" t="s">
        <v>82</v>
      </c>
      <c r="E124" s="77" t="s">
        <v>62</v>
      </c>
      <c r="F124" s="77" t="s">
        <v>58</v>
      </c>
      <c r="G124" s="77" t="s">
        <v>65</v>
      </c>
      <c r="H124" s="77" t="s">
        <v>290</v>
      </c>
      <c r="I124" s="77"/>
      <c r="J124" s="110" t="s">
        <v>231</v>
      </c>
      <c r="K124" s="77">
        <v>2019</v>
      </c>
      <c r="L124" s="78">
        <v>1</v>
      </c>
      <c r="M124" s="79">
        <v>2300</v>
      </c>
      <c r="N124" s="79">
        <f>Table47910[[#This Row],[Expected Revenue]]*Table47910[[#This Row],[Probability]]</f>
        <v>2300</v>
      </c>
      <c r="O124" s="78">
        <v>0.3</v>
      </c>
      <c r="P124" s="79">
        <f>Table47910[[#This Row],[Expected Revenue]]*Table47910[[#This Row],[Expected CMR]]</f>
        <v>690</v>
      </c>
      <c r="Q124" s="209"/>
    </row>
    <row r="125" spans="1:17" hidden="1">
      <c r="A125" s="75" t="s">
        <v>3098</v>
      </c>
      <c r="B125" s="76" t="s">
        <v>130</v>
      </c>
      <c r="C125" s="77" t="s">
        <v>57</v>
      </c>
      <c r="D125" s="102" t="s">
        <v>252</v>
      </c>
      <c r="E125" s="77" t="s">
        <v>209</v>
      </c>
      <c r="F125" s="77" t="s">
        <v>58</v>
      </c>
      <c r="G125" s="77" t="s">
        <v>65</v>
      </c>
      <c r="H125" s="77" t="s">
        <v>290</v>
      </c>
      <c r="I125" s="77"/>
      <c r="J125" s="110" t="s">
        <v>93</v>
      </c>
      <c r="K125" s="77">
        <v>2019</v>
      </c>
      <c r="L125" s="78">
        <v>1</v>
      </c>
      <c r="M125" s="79">
        <v>20000</v>
      </c>
      <c r="N125" s="79">
        <f>Table47910[[#This Row],[Expected Revenue]]*Table47910[[#This Row],[Probability]]</f>
        <v>20000</v>
      </c>
      <c r="O125" s="78">
        <v>0.3</v>
      </c>
      <c r="P125" s="79">
        <f>Table47910[[#This Row],[Expected Revenue]]*Table47910[[#This Row],[Expected CMR]]</f>
        <v>6000</v>
      </c>
      <c r="Q125" s="209"/>
    </row>
    <row r="126" spans="1:17" hidden="1">
      <c r="A126" s="75" t="s">
        <v>3099</v>
      </c>
      <c r="B126" s="76" t="s">
        <v>137</v>
      </c>
      <c r="C126" s="77" t="s">
        <v>57</v>
      </c>
      <c r="D126" s="102" t="s">
        <v>3100</v>
      </c>
      <c r="E126" s="77" t="s">
        <v>92</v>
      </c>
      <c r="F126" s="77" t="s">
        <v>58</v>
      </c>
      <c r="G126" s="77" t="s">
        <v>65</v>
      </c>
      <c r="H126" s="77" t="s">
        <v>290</v>
      </c>
      <c r="I126" s="77"/>
      <c r="J126" s="110" t="s">
        <v>222</v>
      </c>
      <c r="K126" s="77">
        <v>2019</v>
      </c>
      <c r="L126" s="78">
        <v>1</v>
      </c>
      <c r="M126" s="79">
        <v>10000</v>
      </c>
      <c r="N126" s="79">
        <f>Table47910[[#This Row],[Expected Revenue]]*Table47910[[#This Row],[Probability]]</f>
        <v>10000</v>
      </c>
      <c r="O126" s="78">
        <v>0.3</v>
      </c>
      <c r="P126" s="79">
        <f>Table47910[[#This Row],[Expected Revenue]]*Table47910[[#This Row],[Expected CMR]]</f>
        <v>3000</v>
      </c>
      <c r="Q126" s="209"/>
    </row>
    <row r="127" spans="1:17" hidden="1">
      <c r="A127" s="75" t="s">
        <v>3101</v>
      </c>
      <c r="B127" s="76" t="s">
        <v>146</v>
      </c>
      <c r="C127" s="77" t="s">
        <v>57</v>
      </c>
      <c r="D127" s="102" t="s">
        <v>106</v>
      </c>
      <c r="E127" s="77" t="s">
        <v>107</v>
      </c>
      <c r="F127" s="77" t="s">
        <v>58</v>
      </c>
      <c r="G127" s="77" t="s">
        <v>65</v>
      </c>
      <c r="H127" s="77" t="s">
        <v>290</v>
      </c>
      <c r="I127" s="77"/>
      <c r="J127" s="172" t="s">
        <v>102</v>
      </c>
      <c r="K127" s="77">
        <v>2019</v>
      </c>
      <c r="L127" s="78">
        <v>1</v>
      </c>
      <c r="M127" s="79">
        <v>59378</v>
      </c>
      <c r="N127" s="79">
        <f>Table47910[[#This Row],[Expected Revenue]]*Table47910[[#This Row],[Probability]]</f>
        <v>59378</v>
      </c>
      <c r="O127" s="78">
        <v>0.3</v>
      </c>
      <c r="P127" s="79">
        <f>Table47910[[#This Row],[Expected Revenue]]*Table47910[[#This Row],[Expected CMR]]</f>
        <v>17813.399999999998</v>
      </c>
      <c r="Q127" s="209"/>
    </row>
    <row r="128" spans="1:17" hidden="1">
      <c r="A128" s="75" t="s">
        <v>3102</v>
      </c>
      <c r="B128" s="76" t="s">
        <v>146</v>
      </c>
      <c r="C128" s="77" t="s">
        <v>57</v>
      </c>
      <c r="D128" s="102" t="s">
        <v>112</v>
      </c>
      <c r="E128" s="77" t="s">
        <v>71</v>
      </c>
      <c r="F128" s="77" t="s">
        <v>58</v>
      </c>
      <c r="G128" s="77" t="s">
        <v>65</v>
      </c>
      <c r="H128" s="77" t="s">
        <v>290</v>
      </c>
      <c r="I128" s="77"/>
      <c r="J128" s="110" t="s">
        <v>219</v>
      </c>
      <c r="K128" s="77">
        <v>2019</v>
      </c>
      <c r="L128" s="78">
        <v>1</v>
      </c>
      <c r="M128" s="79">
        <f>-15000+30939</f>
        <v>15939</v>
      </c>
      <c r="N128" s="79">
        <f>Table47910[[#This Row],[Expected Revenue]]*Table47910[[#This Row],[Probability]]</f>
        <v>15939</v>
      </c>
      <c r="O128" s="78">
        <v>0.3</v>
      </c>
      <c r="P128" s="79">
        <f>Table47910[[#This Row],[Expected Revenue]]*Table47910[[#This Row],[Expected CMR]]</f>
        <v>4781.7</v>
      </c>
      <c r="Q128" s="209"/>
    </row>
    <row r="129" spans="1:17" hidden="1">
      <c r="A129" s="75" t="s">
        <v>3102</v>
      </c>
      <c r="B129" s="76" t="s">
        <v>146</v>
      </c>
      <c r="C129" s="77" t="s">
        <v>57</v>
      </c>
      <c r="D129" s="102" t="s">
        <v>112</v>
      </c>
      <c r="E129" s="77" t="s">
        <v>71</v>
      </c>
      <c r="F129" s="77" t="s">
        <v>58</v>
      </c>
      <c r="G129" s="77" t="s">
        <v>65</v>
      </c>
      <c r="H129" s="77" t="s">
        <v>290</v>
      </c>
      <c r="I129" s="77"/>
      <c r="J129" s="110" t="s">
        <v>222</v>
      </c>
      <c r="K129" s="77">
        <v>2019</v>
      </c>
      <c r="L129" s="78">
        <v>1</v>
      </c>
      <c r="M129" s="79">
        <v>15000</v>
      </c>
      <c r="N129" s="79">
        <f>Table47910[[#This Row],[Expected Revenue]]*Table47910[[#This Row],[Probability]]</f>
        <v>15000</v>
      </c>
      <c r="O129" s="78">
        <v>0.3</v>
      </c>
      <c r="P129" s="79">
        <f>Table47910[[#This Row],[Expected Revenue]]*Table47910[[#This Row],[Expected CMR]]</f>
        <v>4500</v>
      </c>
      <c r="Q129" s="209"/>
    </row>
    <row r="130" spans="1:17" hidden="1">
      <c r="A130" s="75" t="s">
        <v>3045</v>
      </c>
      <c r="B130" s="76" t="s">
        <v>146</v>
      </c>
      <c r="C130" s="77" t="s">
        <v>57</v>
      </c>
      <c r="D130" s="102" t="s">
        <v>113</v>
      </c>
      <c r="E130" s="77" t="s">
        <v>62</v>
      </c>
      <c r="F130" s="77" t="s">
        <v>58</v>
      </c>
      <c r="G130" s="77" t="s">
        <v>65</v>
      </c>
      <c r="H130" s="77" t="s">
        <v>290</v>
      </c>
      <c r="I130" s="77"/>
      <c r="J130" s="110" t="s">
        <v>80</v>
      </c>
      <c r="K130" s="77">
        <v>2019</v>
      </c>
      <c r="L130" s="78">
        <v>1</v>
      </c>
      <c r="M130" s="79">
        <v>31969</v>
      </c>
      <c r="N130" s="79">
        <f>Table47910[[#This Row],[Expected Revenue]]*Table47910[[#This Row],[Probability]]</f>
        <v>31969</v>
      </c>
      <c r="O130" s="78">
        <v>0.19</v>
      </c>
      <c r="P130" s="79">
        <f>Table47910[[#This Row],[Expected Revenue]]*Table47910[[#This Row],[Expected CMR]]</f>
        <v>6074.11</v>
      </c>
      <c r="Q130" s="209"/>
    </row>
    <row r="131" spans="1:17" hidden="1">
      <c r="A131" s="75" t="s">
        <v>3103</v>
      </c>
      <c r="B131" s="76" t="s">
        <v>146</v>
      </c>
      <c r="C131" s="77" t="s">
        <v>57</v>
      </c>
      <c r="D131" s="102" t="s">
        <v>97</v>
      </c>
      <c r="E131" s="77" t="s">
        <v>92</v>
      </c>
      <c r="F131" s="77" t="s">
        <v>58</v>
      </c>
      <c r="G131" s="77" t="s">
        <v>65</v>
      </c>
      <c r="H131" s="77" t="s">
        <v>290</v>
      </c>
      <c r="I131" s="77"/>
      <c r="J131" s="110" t="s">
        <v>84</v>
      </c>
      <c r="K131" s="77">
        <v>2019</v>
      </c>
      <c r="L131" s="78">
        <v>1</v>
      </c>
      <c r="M131" s="79">
        <f>75242/4</f>
        <v>18810.5</v>
      </c>
      <c r="N131" s="79">
        <f>Table47910[[#This Row],[Expected Revenue]]*Table47910[[#This Row],[Probability]]</f>
        <v>18810.5</v>
      </c>
      <c r="O131" s="78">
        <v>0.3</v>
      </c>
      <c r="P131" s="79">
        <f>Table47910[[#This Row],[Expected Revenue]]*Table47910[[#This Row],[Expected CMR]]</f>
        <v>5643.15</v>
      </c>
      <c r="Q131" s="209"/>
    </row>
    <row r="132" spans="1:17" hidden="1">
      <c r="A132" s="75" t="s">
        <v>3095</v>
      </c>
      <c r="B132" s="76" t="s">
        <v>137</v>
      </c>
      <c r="C132" s="77" t="s">
        <v>57</v>
      </c>
      <c r="D132" s="102" t="s">
        <v>101</v>
      </c>
      <c r="E132" s="77" t="s">
        <v>92</v>
      </c>
      <c r="F132" s="77" t="s">
        <v>58</v>
      </c>
      <c r="G132" s="77" t="s">
        <v>65</v>
      </c>
      <c r="H132" s="77" t="s">
        <v>290</v>
      </c>
      <c r="I132" s="77"/>
      <c r="J132" s="110" t="s">
        <v>68</v>
      </c>
      <c r="K132" s="77">
        <v>2019</v>
      </c>
      <c r="L132" s="78">
        <v>1</v>
      </c>
      <c r="M132" s="79">
        <v>3800</v>
      </c>
      <c r="N132" s="79">
        <f>Table47910[[#This Row],[Expected Revenue]]*Table47910[[#This Row],[Probability]]</f>
        <v>3800</v>
      </c>
      <c r="O132" s="78">
        <v>0.3</v>
      </c>
      <c r="P132" s="79">
        <f>Table47910[[#This Row],[Expected Revenue]]*Table47910[[#This Row],[Expected CMR]]</f>
        <v>1140</v>
      </c>
      <c r="Q132" s="209"/>
    </row>
    <row r="133" spans="1:17" hidden="1">
      <c r="A133" s="75" t="s">
        <v>3103</v>
      </c>
      <c r="B133" s="76" t="s">
        <v>146</v>
      </c>
      <c r="C133" s="77" t="s">
        <v>57</v>
      </c>
      <c r="D133" s="102" t="s">
        <v>96</v>
      </c>
      <c r="E133" s="77" t="s">
        <v>92</v>
      </c>
      <c r="F133" s="77" t="s">
        <v>58</v>
      </c>
      <c r="G133" s="77" t="s">
        <v>65</v>
      </c>
      <c r="H133" s="77" t="s">
        <v>290</v>
      </c>
      <c r="I133" s="77"/>
      <c r="J133" s="110" t="s">
        <v>222</v>
      </c>
      <c r="K133" s="77">
        <v>2019</v>
      </c>
      <c r="L133" s="78">
        <v>1</v>
      </c>
      <c r="M133" s="79">
        <f>75242/4</f>
        <v>18810.5</v>
      </c>
      <c r="N133" s="79">
        <f>Table47910[[#This Row],[Expected Revenue]]*Table47910[[#This Row],[Probability]]</f>
        <v>18810.5</v>
      </c>
      <c r="O133" s="78">
        <v>0.3</v>
      </c>
      <c r="P133" s="79">
        <f>Table47910[[#This Row],[Expected Revenue]]*Table47910[[#This Row],[Expected CMR]]</f>
        <v>5643.15</v>
      </c>
      <c r="Q133" s="209"/>
    </row>
    <row r="134" spans="1:17" hidden="1">
      <c r="A134" s="75" t="s">
        <v>3103</v>
      </c>
      <c r="B134" s="76" t="s">
        <v>146</v>
      </c>
      <c r="C134" s="77" t="s">
        <v>57</v>
      </c>
      <c r="D134" s="102" t="s">
        <v>91</v>
      </c>
      <c r="E134" s="77" t="s">
        <v>92</v>
      </c>
      <c r="F134" s="77" t="s">
        <v>58</v>
      </c>
      <c r="G134" s="77" t="s">
        <v>65</v>
      </c>
      <c r="H134" s="77" t="s">
        <v>290</v>
      </c>
      <c r="I134" s="77"/>
      <c r="J134" s="110" t="s">
        <v>230</v>
      </c>
      <c r="K134" s="77">
        <v>2019</v>
      </c>
      <c r="L134" s="78">
        <v>1</v>
      </c>
      <c r="M134" s="79">
        <f>75242/4</f>
        <v>18810.5</v>
      </c>
      <c r="N134" s="79">
        <f>Table47910[[#This Row],[Expected Revenue]]*Table47910[[#This Row],[Probability]]</f>
        <v>18810.5</v>
      </c>
      <c r="O134" s="78">
        <v>0.3</v>
      </c>
      <c r="P134" s="79">
        <f>Table47910[[#This Row],[Expected Revenue]]*Table47910[[#This Row],[Expected CMR]]</f>
        <v>5643.15</v>
      </c>
      <c r="Q134" s="209"/>
    </row>
    <row r="135" spans="1:17" hidden="1">
      <c r="A135" s="75" t="s">
        <v>3104</v>
      </c>
      <c r="B135" s="76" t="s">
        <v>146</v>
      </c>
      <c r="C135" s="77" t="s">
        <v>57</v>
      </c>
      <c r="D135" s="102" t="s">
        <v>87</v>
      </c>
      <c r="E135" s="77" t="s">
        <v>88</v>
      </c>
      <c r="F135" s="77" t="s">
        <v>58</v>
      </c>
      <c r="G135" s="77" t="s">
        <v>65</v>
      </c>
      <c r="H135" s="77" t="s">
        <v>290</v>
      </c>
      <c r="I135" s="77"/>
      <c r="J135" s="110" t="s">
        <v>231</v>
      </c>
      <c r="K135" s="77">
        <v>2019</v>
      </c>
      <c r="L135" s="78">
        <v>1</v>
      </c>
      <c r="M135" s="79">
        <v>27816</v>
      </c>
      <c r="N135" s="79">
        <f>Table47910[[#This Row],[Expected Revenue]]*Table47910[[#This Row],[Probability]]</f>
        <v>27816</v>
      </c>
      <c r="O135" s="78">
        <v>0.59</v>
      </c>
      <c r="P135" s="79">
        <f>Table47910[[#This Row],[Expected Revenue]]*Table47910[[#This Row],[Expected CMR]]</f>
        <v>16411.439999999999</v>
      </c>
      <c r="Q135" s="209"/>
    </row>
    <row r="136" spans="1:17" hidden="1">
      <c r="A136" s="75" t="s">
        <v>3105</v>
      </c>
      <c r="B136" s="76" t="s">
        <v>146</v>
      </c>
      <c r="C136" s="77" t="s">
        <v>57</v>
      </c>
      <c r="D136" s="102" t="s">
        <v>82</v>
      </c>
      <c r="E136" s="77" t="s">
        <v>62</v>
      </c>
      <c r="F136" s="77" t="s">
        <v>58</v>
      </c>
      <c r="G136" s="77" t="s">
        <v>65</v>
      </c>
      <c r="H136" s="77" t="s">
        <v>290</v>
      </c>
      <c r="I136" s="77"/>
      <c r="J136" s="110" t="s">
        <v>229</v>
      </c>
      <c r="K136" s="77">
        <v>2019</v>
      </c>
      <c r="L136" s="78">
        <v>1</v>
      </c>
      <c r="M136" s="79">
        <v>13900</v>
      </c>
      <c r="N136" s="79">
        <f>Table47910[[#This Row],[Expected Revenue]]*Table47910[[#This Row],[Probability]]</f>
        <v>13900</v>
      </c>
      <c r="O136" s="78">
        <v>0.3</v>
      </c>
      <c r="P136" s="79">
        <f>Table47910[[#This Row],[Expected Revenue]]*Table47910[[#This Row],[Expected CMR]]</f>
        <v>4170</v>
      </c>
      <c r="Q136" s="209"/>
    </row>
    <row r="137" spans="1:17" hidden="1">
      <c r="A137" s="176" t="s">
        <v>3106</v>
      </c>
      <c r="B137" s="82" t="s">
        <v>137</v>
      </c>
      <c r="C137" s="77" t="s">
        <v>57</v>
      </c>
      <c r="D137" s="103" t="s">
        <v>87</v>
      </c>
      <c r="E137" s="83" t="s">
        <v>88</v>
      </c>
      <c r="F137" s="83" t="s">
        <v>58</v>
      </c>
      <c r="G137" s="83" t="s">
        <v>65</v>
      </c>
      <c r="H137" s="77" t="s">
        <v>290</v>
      </c>
      <c r="I137" s="83"/>
      <c r="J137" s="110" t="s">
        <v>93</v>
      </c>
      <c r="K137" s="83">
        <v>2019</v>
      </c>
      <c r="L137" s="84">
        <v>1</v>
      </c>
      <c r="M137" s="85">
        <v>27816</v>
      </c>
      <c r="N137" s="85">
        <f>Table47910[[#This Row],[Expected Revenue]]*Table47910[[#This Row],[Probability]]</f>
        <v>27816</v>
      </c>
      <c r="O137" s="84">
        <v>0.3</v>
      </c>
      <c r="P137" s="85">
        <f>Table47910[[#This Row],[Expected Revenue]]*Table47910[[#This Row],[Expected CMR]]</f>
        <v>8344.7999999999993</v>
      </c>
      <c r="Q137" s="209"/>
    </row>
    <row r="138" spans="1:17" hidden="1">
      <c r="A138" s="176" t="s">
        <v>3067</v>
      </c>
      <c r="B138" s="82" t="s">
        <v>146</v>
      </c>
      <c r="C138" s="77" t="s">
        <v>57</v>
      </c>
      <c r="D138" s="103" t="s">
        <v>3107</v>
      </c>
      <c r="E138" s="83" t="s">
        <v>209</v>
      </c>
      <c r="F138" s="83" t="s">
        <v>58</v>
      </c>
      <c r="G138" s="83" t="s">
        <v>65</v>
      </c>
      <c r="H138" s="77" t="s">
        <v>290</v>
      </c>
      <c r="I138" s="83"/>
      <c r="J138" s="156" t="s">
        <v>222</v>
      </c>
      <c r="K138" s="83">
        <v>2019</v>
      </c>
      <c r="L138" s="84">
        <v>1</v>
      </c>
      <c r="M138" s="85">
        <v>12000</v>
      </c>
      <c r="N138" s="85">
        <f>Table47910[[#This Row],[Expected Revenue]]*Table47910[[#This Row],[Probability]]</f>
        <v>12000</v>
      </c>
      <c r="O138" s="84">
        <v>0.59</v>
      </c>
      <c r="P138" s="85">
        <f>Table47910[[#This Row],[Expected Revenue]]*Table47910[[#This Row],[Expected CMR]]</f>
        <v>7080</v>
      </c>
      <c r="Q138" s="209"/>
    </row>
    <row r="139" spans="1:17" hidden="1">
      <c r="A139" s="75" t="s">
        <v>3108</v>
      </c>
      <c r="B139" s="76" t="s">
        <v>117</v>
      </c>
      <c r="C139" s="77" t="s">
        <v>57</v>
      </c>
      <c r="D139" s="102" t="s">
        <v>106</v>
      </c>
      <c r="E139" s="77" t="s">
        <v>107</v>
      </c>
      <c r="F139" s="77" t="s">
        <v>58</v>
      </c>
      <c r="G139" s="77" t="s">
        <v>65</v>
      </c>
      <c r="H139" s="77" t="s">
        <v>290</v>
      </c>
      <c r="I139" s="77"/>
      <c r="J139" s="110" t="s">
        <v>219</v>
      </c>
      <c r="K139" s="77">
        <v>2019</v>
      </c>
      <c r="L139" s="78">
        <v>1</v>
      </c>
      <c r="M139" s="79">
        <v>9318</v>
      </c>
      <c r="N139" s="79">
        <f>Table47910[[#This Row],[Expected Revenue]]*Table47910[[#This Row],[Probability]]</f>
        <v>9318</v>
      </c>
      <c r="O139" s="84">
        <v>0.56000000000000005</v>
      </c>
      <c r="P139" s="85">
        <f>Table47910[[#This Row],[Expected Revenue]]*Table47910[[#This Row],[Expected CMR]]</f>
        <v>5218.0800000000008</v>
      </c>
      <c r="Q139" s="209"/>
    </row>
    <row r="140" spans="1:17" hidden="1">
      <c r="A140" s="176" t="s">
        <v>3108</v>
      </c>
      <c r="B140" s="82" t="s">
        <v>117</v>
      </c>
      <c r="C140" s="77" t="s">
        <v>57</v>
      </c>
      <c r="D140" s="103" t="s">
        <v>106</v>
      </c>
      <c r="E140" s="83" t="s">
        <v>107</v>
      </c>
      <c r="F140" s="83" t="s">
        <v>58</v>
      </c>
      <c r="G140" s="83" t="s">
        <v>65</v>
      </c>
      <c r="H140" s="77" t="s">
        <v>290</v>
      </c>
      <c r="I140" s="83"/>
      <c r="J140" s="156" t="s">
        <v>222</v>
      </c>
      <c r="K140" s="83">
        <v>2019</v>
      </c>
      <c r="L140" s="84">
        <v>1</v>
      </c>
      <c r="M140" s="85">
        <v>50000</v>
      </c>
      <c r="N140" s="85">
        <f>Table47910[[#This Row],[Expected Revenue]]*Table47910[[#This Row],[Probability]]</f>
        <v>50000</v>
      </c>
      <c r="O140" s="84">
        <v>0.56000000000000005</v>
      </c>
      <c r="P140" s="85">
        <f>Table47910[[#This Row],[Expected Revenue]]*Table47910[[#This Row],[Expected CMR]]</f>
        <v>28000.000000000004</v>
      </c>
      <c r="Q140" s="209"/>
    </row>
    <row r="141" spans="1:17" hidden="1">
      <c r="A141" s="176" t="s">
        <v>3043</v>
      </c>
      <c r="B141" s="82" t="s">
        <v>117</v>
      </c>
      <c r="C141" s="77" t="s">
        <v>57</v>
      </c>
      <c r="D141" s="103" t="s">
        <v>112</v>
      </c>
      <c r="E141" s="83" t="s">
        <v>71</v>
      </c>
      <c r="F141" s="83" t="s">
        <v>58</v>
      </c>
      <c r="G141" s="83" t="s">
        <v>65</v>
      </c>
      <c r="H141" s="77" t="s">
        <v>290</v>
      </c>
      <c r="I141" s="83"/>
      <c r="J141" s="110" t="s">
        <v>80</v>
      </c>
      <c r="K141" s="83">
        <v>2019</v>
      </c>
      <c r="L141" s="84">
        <v>1</v>
      </c>
      <c r="M141" s="85">
        <v>15000</v>
      </c>
      <c r="N141" s="85">
        <f>Table47910[[#This Row],[Expected Revenue]]*Table47910[[#This Row],[Probability]]</f>
        <v>15000</v>
      </c>
      <c r="O141" s="84">
        <v>0.3</v>
      </c>
      <c r="P141" s="85">
        <f>Table47910[[#This Row],[Expected Revenue]]*Table47910[[#This Row],[Expected CMR]]</f>
        <v>4500</v>
      </c>
      <c r="Q141" s="209"/>
    </row>
    <row r="142" spans="1:17" hidden="1">
      <c r="A142" s="75" t="s">
        <v>3043</v>
      </c>
      <c r="B142" s="76" t="s">
        <v>117</v>
      </c>
      <c r="C142" s="77" t="s">
        <v>57</v>
      </c>
      <c r="D142" s="102" t="s">
        <v>112</v>
      </c>
      <c r="E142" s="77" t="s">
        <v>71</v>
      </c>
      <c r="F142" s="77" t="s">
        <v>58</v>
      </c>
      <c r="G142" s="77" t="s">
        <v>65</v>
      </c>
      <c r="H142" s="77" t="s">
        <v>290</v>
      </c>
      <c r="I142" s="77"/>
      <c r="J142" s="110" t="s">
        <v>230</v>
      </c>
      <c r="K142" s="77">
        <v>2019</v>
      </c>
      <c r="L142" s="78">
        <v>1</v>
      </c>
      <c r="M142" s="79">
        <f>30939-15000</f>
        <v>15939</v>
      </c>
      <c r="N142" s="79">
        <f>Table47910[[#This Row],[Expected Revenue]]*Table47910[[#This Row],[Probability]]</f>
        <v>15939</v>
      </c>
      <c r="O142" s="78">
        <v>0.3</v>
      </c>
      <c r="P142" s="79">
        <f>Table47910[[#This Row],[Expected Revenue]]*Table47910[[#This Row],[Expected CMR]]</f>
        <v>4781.7</v>
      </c>
      <c r="Q142" s="209"/>
    </row>
    <row r="143" spans="1:17" hidden="1">
      <c r="A143" s="75" t="s">
        <v>3109</v>
      </c>
      <c r="B143" s="76" t="s">
        <v>117</v>
      </c>
      <c r="C143" s="77" t="s">
        <v>57</v>
      </c>
      <c r="D143" s="102" t="s">
        <v>113</v>
      </c>
      <c r="E143" s="77" t="s">
        <v>62</v>
      </c>
      <c r="F143" s="77" t="s">
        <v>58</v>
      </c>
      <c r="G143" s="77" t="s">
        <v>65</v>
      </c>
      <c r="H143" s="77" t="s">
        <v>290</v>
      </c>
      <c r="I143" s="77"/>
      <c r="J143" s="110" t="s">
        <v>230</v>
      </c>
      <c r="K143" s="77">
        <v>2019</v>
      </c>
      <c r="L143" s="78">
        <v>1</v>
      </c>
      <c r="M143" s="79">
        <f>31969</f>
        <v>31969</v>
      </c>
      <c r="N143" s="79">
        <f>Table47910[[#This Row],[Expected Revenue]]*Table47910[[#This Row],[Probability]]</f>
        <v>31969</v>
      </c>
      <c r="O143" s="78">
        <v>0.3</v>
      </c>
      <c r="P143" s="79">
        <f>Table47910[[#This Row],[Expected Revenue]]*Table47910[[#This Row],[Expected CMR]]</f>
        <v>9590.6999999999989</v>
      </c>
      <c r="Q143" s="209"/>
    </row>
    <row r="144" spans="1:17" hidden="1">
      <c r="A144" s="75" t="s">
        <v>3110</v>
      </c>
      <c r="B144" s="76" t="s">
        <v>117</v>
      </c>
      <c r="C144" s="77" t="s">
        <v>57</v>
      </c>
      <c r="D144" s="102" t="s">
        <v>97</v>
      </c>
      <c r="E144" s="77" t="s">
        <v>92</v>
      </c>
      <c r="F144" s="77" t="s">
        <v>58</v>
      </c>
      <c r="G144" s="77" t="s">
        <v>65</v>
      </c>
      <c r="H144" s="77" t="s">
        <v>290</v>
      </c>
      <c r="I144" s="77"/>
      <c r="J144" s="110" t="s">
        <v>84</v>
      </c>
      <c r="K144" s="77">
        <v>2019</v>
      </c>
      <c r="L144" s="78">
        <v>1</v>
      </c>
      <c r="M144" s="79">
        <f>75242/4-M145</f>
        <v>-12128.5</v>
      </c>
      <c r="N144" s="79">
        <f>Table47910[[#This Row],[Expected Revenue]]*Table47910[[#This Row],[Probability]]</f>
        <v>-12128.5</v>
      </c>
      <c r="O144" s="78">
        <v>0.3</v>
      </c>
      <c r="P144" s="79">
        <f>Table47910[[#This Row],[Expected Revenue]]*Table47910[[#This Row],[Expected CMR]]</f>
        <v>-3638.5499999999997</v>
      </c>
      <c r="Q144" s="209"/>
    </row>
    <row r="145" spans="1:17" hidden="1">
      <c r="A145" s="75" t="s">
        <v>3076</v>
      </c>
      <c r="B145" s="76" t="s">
        <v>122</v>
      </c>
      <c r="C145" s="77" t="s">
        <v>57</v>
      </c>
      <c r="D145" s="102" t="s">
        <v>112</v>
      </c>
      <c r="E145" s="77" t="s">
        <v>71</v>
      </c>
      <c r="F145" s="77" t="s">
        <v>58</v>
      </c>
      <c r="G145" s="77" t="s">
        <v>65</v>
      </c>
      <c r="H145" s="77" t="s">
        <v>290</v>
      </c>
      <c r="I145" s="77"/>
      <c r="J145" s="110" t="s">
        <v>230</v>
      </c>
      <c r="K145" s="77">
        <v>2020</v>
      </c>
      <c r="L145" s="78">
        <v>1</v>
      </c>
      <c r="M145" s="79">
        <v>30939</v>
      </c>
      <c r="N145" s="79">
        <f>Table47910[[#This Row],[Expected Revenue]]*Table47910[[#This Row],[Probability]]</f>
        <v>30939</v>
      </c>
      <c r="O145" s="78">
        <v>0.3</v>
      </c>
      <c r="P145" s="79">
        <f>Table47910[[#This Row],[Expected Revenue]]*Table47910[[#This Row],[Expected CMR]]</f>
        <v>9281.6999999999989</v>
      </c>
      <c r="Q145" s="209"/>
    </row>
    <row r="146" spans="1:17" hidden="1">
      <c r="A146" s="75" t="s">
        <v>3110</v>
      </c>
      <c r="B146" s="76" t="s">
        <v>117</v>
      </c>
      <c r="C146" s="77" t="s">
        <v>57</v>
      </c>
      <c r="D146" s="102" t="s">
        <v>97</v>
      </c>
      <c r="E146" s="77" t="s">
        <v>92</v>
      </c>
      <c r="F146" s="77" t="s">
        <v>58</v>
      </c>
      <c r="G146" s="77" t="s">
        <v>65</v>
      </c>
      <c r="H146" s="77" t="s">
        <v>290</v>
      </c>
      <c r="I146" s="77"/>
      <c r="J146" s="110" t="s">
        <v>219</v>
      </c>
      <c r="K146" s="77">
        <v>2019</v>
      </c>
      <c r="L146" s="78">
        <v>1</v>
      </c>
      <c r="M146" s="79">
        <v>8000</v>
      </c>
      <c r="N146" s="79">
        <f>Table47910[[#This Row],[Expected Revenue]]*Table47910[[#This Row],[Probability]]</f>
        <v>8000</v>
      </c>
      <c r="O146" s="78">
        <v>0.3</v>
      </c>
      <c r="P146" s="79">
        <f>Table47910[[#This Row],[Expected Revenue]]*Table47910[[#This Row],[Expected CMR]]</f>
        <v>2400</v>
      </c>
      <c r="Q146" s="209"/>
    </row>
    <row r="147" spans="1:17" hidden="1">
      <c r="A147" s="75" t="s">
        <v>3110</v>
      </c>
      <c r="B147" s="76" t="s">
        <v>117</v>
      </c>
      <c r="C147" s="77" t="s">
        <v>57</v>
      </c>
      <c r="D147" s="102" t="s">
        <v>96</v>
      </c>
      <c r="E147" s="77" t="s">
        <v>92</v>
      </c>
      <c r="F147" s="77" t="s">
        <v>58</v>
      </c>
      <c r="G147" s="77" t="s">
        <v>65</v>
      </c>
      <c r="H147" s="77" t="s">
        <v>290</v>
      </c>
      <c r="I147" s="77"/>
      <c r="J147" s="110" t="s">
        <v>222</v>
      </c>
      <c r="K147" s="77">
        <v>2019</v>
      </c>
      <c r="L147" s="78">
        <v>1</v>
      </c>
      <c r="M147" s="79">
        <f>75242/4</f>
        <v>18810.5</v>
      </c>
      <c r="N147" s="79">
        <f>Table47910[[#This Row],[Expected Revenue]]*Table47910[[#This Row],[Probability]]</f>
        <v>18810.5</v>
      </c>
      <c r="O147" s="78">
        <v>0.3</v>
      </c>
      <c r="P147" s="79">
        <f>Table47910[[#This Row],[Expected Revenue]]*Table47910[[#This Row],[Expected CMR]]</f>
        <v>5643.15</v>
      </c>
      <c r="Q147" s="209"/>
    </row>
    <row r="148" spans="1:17" hidden="1">
      <c r="A148" s="75" t="s">
        <v>3110</v>
      </c>
      <c r="B148" s="76" t="s">
        <v>117</v>
      </c>
      <c r="C148" s="77" t="s">
        <v>57</v>
      </c>
      <c r="D148" s="102" t="s">
        <v>91</v>
      </c>
      <c r="E148" s="77" t="s">
        <v>92</v>
      </c>
      <c r="F148" s="77" t="s">
        <v>58</v>
      </c>
      <c r="G148" s="77" t="s">
        <v>65</v>
      </c>
      <c r="H148" s="77" t="s">
        <v>290</v>
      </c>
      <c r="I148" s="77"/>
      <c r="J148" s="110" t="s">
        <v>230</v>
      </c>
      <c r="K148" s="77">
        <v>2019</v>
      </c>
      <c r="L148" s="78">
        <v>1</v>
      </c>
      <c r="M148" s="79">
        <f>75242/4</f>
        <v>18810.5</v>
      </c>
      <c r="N148" s="79">
        <f>Table47910[[#This Row],[Expected Revenue]]*Table47910[[#This Row],[Probability]]</f>
        <v>18810.5</v>
      </c>
      <c r="O148" s="78">
        <v>0.3</v>
      </c>
      <c r="P148" s="79">
        <f>Table47910[[#This Row],[Expected Revenue]]*Table47910[[#This Row],[Expected CMR]]</f>
        <v>5643.15</v>
      </c>
      <c r="Q148" s="209"/>
    </row>
    <row r="149" spans="1:17" hidden="1">
      <c r="A149" s="75" t="s">
        <v>3103</v>
      </c>
      <c r="B149" s="76" t="s">
        <v>146</v>
      </c>
      <c r="C149" s="77" t="s">
        <v>57</v>
      </c>
      <c r="D149" s="102" t="s">
        <v>101</v>
      </c>
      <c r="E149" s="77" t="s">
        <v>92</v>
      </c>
      <c r="F149" s="77" t="s">
        <v>58</v>
      </c>
      <c r="G149" s="77" t="s">
        <v>65</v>
      </c>
      <c r="H149" s="77" t="s">
        <v>290</v>
      </c>
      <c r="I149" s="77"/>
      <c r="J149" s="110" t="s">
        <v>68</v>
      </c>
      <c r="K149" s="77">
        <v>2019</v>
      </c>
      <c r="L149" s="78">
        <v>1</v>
      </c>
      <c r="M149" s="79">
        <v>8800</v>
      </c>
      <c r="N149" s="79">
        <f>Table47910[[#This Row],[Expected Revenue]]*Table47910[[#This Row],[Probability]]</f>
        <v>8800</v>
      </c>
      <c r="O149" s="78">
        <v>0.3</v>
      </c>
      <c r="P149" s="79">
        <f>Table47910[[#This Row],[Expected Revenue]]*Table47910[[#This Row],[Expected CMR]]</f>
        <v>2640</v>
      </c>
      <c r="Q149" s="209"/>
    </row>
    <row r="150" spans="1:17" hidden="1">
      <c r="A150" s="75" t="s">
        <v>3111</v>
      </c>
      <c r="B150" s="76" t="s">
        <v>117</v>
      </c>
      <c r="C150" s="77" t="s">
        <v>57</v>
      </c>
      <c r="D150" s="102" t="s">
        <v>82</v>
      </c>
      <c r="E150" s="77" t="s">
        <v>62</v>
      </c>
      <c r="F150" s="77" t="s">
        <v>58</v>
      </c>
      <c r="G150" s="77" t="s">
        <v>65</v>
      </c>
      <c r="H150" s="77" t="s">
        <v>290</v>
      </c>
      <c r="I150" s="77"/>
      <c r="J150" s="110" t="s">
        <v>230</v>
      </c>
      <c r="K150" s="77">
        <v>2019</v>
      </c>
      <c r="L150" s="78">
        <v>1</v>
      </c>
      <c r="M150" s="79">
        <v>13900</v>
      </c>
      <c r="N150" s="79">
        <f>Table47910[[#This Row],[Expected Revenue]]*Table47910[[#This Row],[Probability]]</f>
        <v>13900</v>
      </c>
      <c r="O150" s="78">
        <v>0.3</v>
      </c>
      <c r="P150" s="79">
        <f>Table47910[[#This Row],[Expected Revenue]]*Table47910[[#This Row],[Expected CMR]]</f>
        <v>4170</v>
      </c>
      <c r="Q150" s="209"/>
    </row>
    <row r="151" spans="1:17" hidden="1">
      <c r="A151" s="75" t="s">
        <v>3112</v>
      </c>
      <c r="B151" s="76" t="s">
        <v>117</v>
      </c>
      <c r="C151" s="77" t="s">
        <v>57</v>
      </c>
      <c r="D151" s="102" t="s">
        <v>242</v>
      </c>
      <c r="E151" s="77" t="s">
        <v>92</v>
      </c>
      <c r="F151" s="77" t="s">
        <v>58</v>
      </c>
      <c r="G151" s="77" t="s">
        <v>65</v>
      </c>
      <c r="H151" s="77" t="s">
        <v>290</v>
      </c>
      <c r="I151" s="77"/>
      <c r="J151" s="110" t="s">
        <v>139</v>
      </c>
      <c r="K151" s="77">
        <v>2019</v>
      </c>
      <c r="L151" s="78">
        <v>1</v>
      </c>
      <c r="M151" s="79">
        <v>35000</v>
      </c>
      <c r="N151" s="79">
        <f>Table47910[[#This Row],[Expected Revenue]]*Table47910[[#This Row],[Probability]]</f>
        <v>35000</v>
      </c>
      <c r="O151" s="78">
        <v>0.3</v>
      </c>
      <c r="P151" s="79">
        <f>Table47910[[#This Row],[Expected Revenue]]*Table47910[[#This Row],[Expected CMR]]</f>
        <v>10500</v>
      </c>
      <c r="Q151" s="209"/>
    </row>
    <row r="152" spans="1:17" hidden="1">
      <c r="A152" s="75" t="s">
        <v>3112</v>
      </c>
      <c r="B152" s="76" t="s">
        <v>117</v>
      </c>
      <c r="C152" s="77" t="s">
        <v>57</v>
      </c>
      <c r="D152" s="102" t="s">
        <v>3113</v>
      </c>
      <c r="E152" s="77" t="s">
        <v>92</v>
      </c>
      <c r="F152" s="77" t="s">
        <v>58</v>
      </c>
      <c r="G152" s="77" t="s">
        <v>65</v>
      </c>
      <c r="H152" s="77" t="s">
        <v>290</v>
      </c>
      <c r="I152" s="77"/>
      <c r="J152" s="110" t="s">
        <v>139</v>
      </c>
      <c r="K152" s="77">
        <v>2019</v>
      </c>
      <c r="L152" s="78">
        <v>1</v>
      </c>
      <c r="M152" s="79">
        <v>52000</v>
      </c>
      <c r="N152" s="79">
        <f>Table47910[[#This Row],[Expected Revenue]]*Table47910[[#This Row],[Probability]]</f>
        <v>52000</v>
      </c>
      <c r="O152" s="78">
        <v>0.3</v>
      </c>
      <c r="P152" s="79">
        <f>Table47910[[#This Row],[Expected Revenue]]*Table47910[[#This Row],[Expected CMR]]</f>
        <v>15600</v>
      </c>
      <c r="Q152" s="209"/>
    </row>
    <row r="153" spans="1:17" hidden="1">
      <c r="A153" s="75" t="s">
        <v>3114</v>
      </c>
      <c r="B153" s="76" t="s">
        <v>56</v>
      </c>
      <c r="C153" s="77" t="s">
        <v>57</v>
      </c>
      <c r="D153" s="102" t="s">
        <v>3115</v>
      </c>
      <c r="E153" s="77" t="s">
        <v>71</v>
      </c>
      <c r="F153" s="77" t="s">
        <v>58</v>
      </c>
      <c r="G153" s="77" t="s">
        <v>65</v>
      </c>
      <c r="H153" s="77" t="s">
        <v>290</v>
      </c>
      <c r="I153" s="77"/>
      <c r="J153" s="110" t="s">
        <v>231</v>
      </c>
      <c r="K153" s="77">
        <v>2019</v>
      </c>
      <c r="L153" s="78">
        <v>1</v>
      </c>
      <c r="M153" s="79">
        <v>30000</v>
      </c>
      <c r="N153" s="79">
        <f>Table47910[[#This Row],[Expected Revenue]]*Table47910[[#This Row],[Probability]]</f>
        <v>30000</v>
      </c>
      <c r="O153" s="78">
        <v>0.3</v>
      </c>
      <c r="P153" s="79">
        <f>Table47910[[#This Row],[Expected Revenue]]*Table47910[[#This Row],[Expected CMR]]</f>
        <v>9000</v>
      </c>
      <c r="Q153" s="209"/>
    </row>
    <row r="154" spans="1:17" hidden="1">
      <c r="A154" s="75" t="s">
        <v>3116</v>
      </c>
      <c r="B154" s="76" t="s">
        <v>85</v>
      </c>
      <c r="C154" s="77" t="s">
        <v>57</v>
      </c>
      <c r="D154" s="102" t="s">
        <v>3115</v>
      </c>
      <c r="E154" s="77" t="s">
        <v>71</v>
      </c>
      <c r="F154" s="77" t="s">
        <v>58</v>
      </c>
      <c r="G154" s="77" t="s">
        <v>65</v>
      </c>
      <c r="H154" s="77" t="s">
        <v>290</v>
      </c>
      <c r="I154" s="77"/>
      <c r="J154" s="110" t="s">
        <v>231</v>
      </c>
      <c r="K154" s="77">
        <v>2019</v>
      </c>
      <c r="L154" s="78">
        <v>1</v>
      </c>
      <c r="M154" s="79">
        <v>30000</v>
      </c>
      <c r="N154" s="79">
        <f>Table47910[[#This Row],[Expected Revenue]]*Table47910[[#This Row],[Probability]]</f>
        <v>30000</v>
      </c>
      <c r="O154" s="78">
        <v>0.3</v>
      </c>
      <c r="P154" s="79">
        <f>Table47910[[#This Row],[Expected Revenue]]*Table47910[[#This Row],[Expected CMR]]</f>
        <v>9000</v>
      </c>
      <c r="Q154" s="209"/>
    </row>
    <row r="155" spans="1:17" hidden="1">
      <c r="A155" s="173" t="s">
        <v>3033</v>
      </c>
      <c r="B155" s="76" t="s">
        <v>253</v>
      </c>
      <c r="C155" s="77" t="s">
        <v>254</v>
      </c>
      <c r="D155" s="102" t="s">
        <v>255</v>
      </c>
      <c r="E155" s="77" t="s">
        <v>209</v>
      </c>
      <c r="F155" s="77" t="s">
        <v>158</v>
      </c>
      <c r="G155" s="77" t="s">
        <v>65</v>
      </c>
      <c r="H155" s="77" t="s">
        <v>290</v>
      </c>
      <c r="I155" s="77"/>
      <c r="J155" s="110" t="s">
        <v>89</v>
      </c>
      <c r="K155" s="77">
        <v>2019</v>
      </c>
      <c r="L155" s="78">
        <v>1</v>
      </c>
      <c r="M155" s="79">
        <v>111000</v>
      </c>
      <c r="N155" s="79">
        <f>Table47910[[#This Row],[Expected Revenue]]*Table47910[[#This Row],[Probability]]</f>
        <v>111000</v>
      </c>
      <c r="O155" s="78">
        <v>0.3</v>
      </c>
      <c r="P155" s="79">
        <f>Table47910[[#This Row],[Expected Revenue]]*Table47910[[#This Row],[Expected CMR]]</f>
        <v>33300</v>
      </c>
      <c r="Q155" s="209"/>
    </row>
    <row r="156" spans="1:17" hidden="1">
      <c r="A156" s="173" t="s">
        <v>3025</v>
      </c>
      <c r="B156" s="76" t="s">
        <v>253</v>
      </c>
      <c r="C156" s="77" t="s">
        <v>254</v>
      </c>
      <c r="D156" s="102" t="s">
        <v>255</v>
      </c>
      <c r="E156" s="77" t="s">
        <v>209</v>
      </c>
      <c r="F156" s="77" t="s">
        <v>158</v>
      </c>
      <c r="G156" s="77" t="s">
        <v>65</v>
      </c>
      <c r="H156" s="77" t="s">
        <v>290</v>
      </c>
      <c r="I156" s="77"/>
      <c r="J156" s="110" t="s">
        <v>139</v>
      </c>
      <c r="K156" s="77">
        <v>2019</v>
      </c>
      <c r="L156" s="78">
        <v>1</v>
      </c>
      <c r="M156" s="79">
        <v>117000</v>
      </c>
      <c r="N156" s="79">
        <f>Table47910[[#This Row],[Expected Revenue]]*Table47910[[#This Row],[Probability]]</f>
        <v>117000</v>
      </c>
      <c r="O156" s="78">
        <v>0.3</v>
      </c>
      <c r="P156" s="79">
        <f>Table47910[[#This Row],[Expected Revenue]]*Table47910[[#This Row],[Expected CMR]]</f>
        <v>35100</v>
      </c>
      <c r="Q156" s="209"/>
    </row>
    <row r="157" spans="1:17" hidden="1">
      <c r="A157" s="173" t="s">
        <v>3025</v>
      </c>
      <c r="B157" s="76" t="s">
        <v>253</v>
      </c>
      <c r="C157" s="77" t="s">
        <v>254</v>
      </c>
      <c r="D157" s="102" t="s">
        <v>255</v>
      </c>
      <c r="E157" s="77" t="s">
        <v>209</v>
      </c>
      <c r="F157" s="77" t="s">
        <v>158</v>
      </c>
      <c r="G157" s="77" t="s">
        <v>256</v>
      </c>
      <c r="H157" s="77" t="s">
        <v>290</v>
      </c>
      <c r="I157" s="77"/>
      <c r="J157" s="110" t="s">
        <v>80</v>
      </c>
      <c r="K157" s="77">
        <v>2019</v>
      </c>
      <c r="L157" s="78">
        <v>1</v>
      </c>
      <c r="M157" s="79">
        <v>70000</v>
      </c>
      <c r="N157" s="79">
        <f>Table47910[[#This Row],[Expected Revenue]]*Table47910[[#This Row],[Probability]]</f>
        <v>70000</v>
      </c>
      <c r="O157" s="78">
        <v>0.3</v>
      </c>
      <c r="P157" s="79">
        <f>Table47910[[#This Row],[Expected Revenue]]*Table47910[[#This Row],[Expected CMR]]</f>
        <v>21000</v>
      </c>
      <c r="Q157" s="209"/>
    </row>
    <row r="158" spans="1:17" hidden="1">
      <c r="A158" s="75" t="s">
        <v>3067</v>
      </c>
      <c r="B158" s="76" t="s">
        <v>146</v>
      </c>
      <c r="C158" s="77" t="s">
        <v>57</v>
      </c>
      <c r="D158" s="102" t="s">
        <v>208</v>
      </c>
      <c r="E158" s="77" t="s">
        <v>209</v>
      </c>
      <c r="F158" s="77" t="s">
        <v>58</v>
      </c>
      <c r="G158" s="77" t="s">
        <v>65</v>
      </c>
      <c r="H158" s="77" t="s">
        <v>290</v>
      </c>
      <c r="I158" s="77"/>
      <c r="J158" s="110" t="s">
        <v>93</v>
      </c>
      <c r="K158" s="77">
        <v>2019</v>
      </c>
      <c r="L158" s="78">
        <v>1</v>
      </c>
      <c r="M158" s="79">
        <v>24000</v>
      </c>
      <c r="N158" s="79">
        <f>Table47910[[#This Row],[Expected Revenue]]*Table47910[[#This Row],[Probability]]</f>
        <v>24000</v>
      </c>
      <c r="O158" s="78">
        <v>0.59</v>
      </c>
      <c r="P158" s="79">
        <f>Table47910[[#This Row],[Expected Revenue]]*Table47910[[#This Row],[Expected CMR]]</f>
        <v>14160</v>
      </c>
      <c r="Q158" s="209"/>
    </row>
    <row r="159" spans="1:17" hidden="1">
      <c r="A159" s="173" t="s">
        <v>3025</v>
      </c>
      <c r="B159" s="76" t="s">
        <v>253</v>
      </c>
      <c r="C159" s="77" t="s">
        <v>254</v>
      </c>
      <c r="D159" s="102" t="s">
        <v>255</v>
      </c>
      <c r="E159" s="77" t="s">
        <v>209</v>
      </c>
      <c r="F159" s="77" t="s">
        <v>158</v>
      </c>
      <c r="G159" s="77" t="s">
        <v>256</v>
      </c>
      <c r="H159" s="77" t="s">
        <v>290</v>
      </c>
      <c r="I159" s="77"/>
      <c r="J159" s="110" t="s">
        <v>222</v>
      </c>
      <c r="K159" s="77">
        <v>2019</v>
      </c>
      <c r="L159" s="78">
        <v>1</v>
      </c>
      <c r="M159" s="79">
        <v>15000</v>
      </c>
      <c r="N159" s="79">
        <f>Table47910[[#This Row],[Expected Revenue]]*Table47910[[#This Row],[Probability]]</f>
        <v>15000</v>
      </c>
      <c r="O159" s="78">
        <v>0.3</v>
      </c>
      <c r="P159" s="79">
        <f>Table47910[[#This Row],[Expected Revenue]]*Table47910[[#This Row],[Expected CMR]]</f>
        <v>4500</v>
      </c>
      <c r="Q159" s="209"/>
    </row>
    <row r="160" spans="1:17" hidden="1">
      <c r="A160" s="173" t="s">
        <v>3025</v>
      </c>
      <c r="B160" s="76" t="s">
        <v>253</v>
      </c>
      <c r="C160" s="77" t="s">
        <v>254</v>
      </c>
      <c r="D160" s="102" t="s">
        <v>255</v>
      </c>
      <c r="E160" s="77" t="s">
        <v>209</v>
      </c>
      <c r="F160" s="77" t="s">
        <v>158</v>
      </c>
      <c r="G160" s="77" t="s">
        <v>65</v>
      </c>
      <c r="H160" s="77" t="s">
        <v>290</v>
      </c>
      <c r="I160" s="77"/>
      <c r="J160" s="110" t="s">
        <v>230</v>
      </c>
      <c r="K160" s="77">
        <v>2019</v>
      </c>
      <c r="L160" s="78">
        <v>1</v>
      </c>
      <c r="M160" s="79">
        <v>185000</v>
      </c>
      <c r="N160" s="79">
        <f>Table47910[[#This Row],[Expected Revenue]]*Table47910[[#This Row],[Probability]]</f>
        <v>185000</v>
      </c>
      <c r="O160" s="78">
        <v>0.3</v>
      </c>
      <c r="P160" s="79">
        <f>Table47910[[#This Row],[Expected Revenue]]*Table47910[[#This Row],[Expected CMR]]</f>
        <v>55500</v>
      </c>
      <c r="Q160" s="209"/>
    </row>
    <row r="161" spans="1:17" hidden="1">
      <c r="A161" s="75" t="s">
        <v>3110</v>
      </c>
      <c r="B161" s="76" t="s">
        <v>117</v>
      </c>
      <c r="C161" s="77" t="s">
        <v>57</v>
      </c>
      <c r="D161" s="102" t="s">
        <v>101</v>
      </c>
      <c r="E161" s="77" t="s">
        <v>92</v>
      </c>
      <c r="F161" s="77" t="s">
        <v>58</v>
      </c>
      <c r="G161" s="77" t="s">
        <v>65</v>
      </c>
      <c r="H161" s="77" t="s">
        <v>290</v>
      </c>
      <c r="I161" s="77"/>
      <c r="J161" s="110" t="s">
        <v>68</v>
      </c>
      <c r="K161" s="77">
        <v>2019</v>
      </c>
      <c r="L161" s="78">
        <v>1</v>
      </c>
      <c r="M161" s="79">
        <v>13000</v>
      </c>
      <c r="N161" s="79">
        <f>Table47910[[#This Row],[Expected Revenue]]*Table47910[[#This Row],[Probability]]</f>
        <v>13000</v>
      </c>
      <c r="O161" s="78">
        <v>0.3</v>
      </c>
      <c r="P161" s="79">
        <f>Table47910[[#This Row],[Expected Revenue]]*Table47910[[#This Row],[Expected CMR]]</f>
        <v>3900</v>
      </c>
      <c r="Q161" s="209"/>
    </row>
    <row r="162" spans="1:17" hidden="1">
      <c r="A162" s="173" t="s">
        <v>3025</v>
      </c>
      <c r="B162" s="76" t="s">
        <v>253</v>
      </c>
      <c r="C162" s="77" t="s">
        <v>254</v>
      </c>
      <c r="D162" s="102" t="s">
        <v>255</v>
      </c>
      <c r="E162" s="77" t="s">
        <v>209</v>
      </c>
      <c r="F162" s="77" t="s">
        <v>158</v>
      </c>
      <c r="G162" s="77" t="s">
        <v>256</v>
      </c>
      <c r="H162" s="77" t="s">
        <v>290</v>
      </c>
      <c r="I162" s="77"/>
      <c r="J162" s="110" t="s">
        <v>231</v>
      </c>
      <c r="K162" s="77">
        <v>2019</v>
      </c>
      <c r="L162" s="78">
        <v>1</v>
      </c>
      <c r="M162" s="79">
        <v>65000</v>
      </c>
      <c r="N162" s="79">
        <f>Table47910[[#This Row],[Expected Revenue]]*Table47910[[#This Row],[Probability]]</f>
        <v>65000</v>
      </c>
      <c r="O162" s="78">
        <v>0.3</v>
      </c>
      <c r="P162" s="79">
        <f>Table47910[[#This Row],[Expected Revenue]]*Table47910[[#This Row],[Expected CMR]]</f>
        <v>19500</v>
      </c>
      <c r="Q162" s="209"/>
    </row>
    <row r="163" spans="1:17" hidden="1">
      <c r="A163" s="173" t="s">
        <v>3025</v>
      </c>
      <c r="B163" s="76" t="s">
        <v>253</v>
      </c>
      <c r="C163" s="77" t="s">
        <v>254</v>
      </c>
      <c r="D163" s="102" t="s">
        <v>255</v>
      </c>
      <c r="E163" s="77" t="s">
        <v>209</v>
      </c>
      <c r="F163" s="77" t="s">
        <v>158</v>
      </c>
      <c r="G163" s="77" t="s">
        <v>256</v>
      </c>
      <c r="H163" s="77" t="s">
        <v>290</v>
      </c>
      <c r="I163" s="77"/>
      <c r="J163" s="110" t="s">
        <v>102</v>
      </c>
      <c r="K163" s="77">
        <v>2019</v>
      </c>
      <c r="L163" s="78">
        <v>1</v>
      </c>
      <c r="M163" s="79">
        <v>42000</v>
      </c>
      <c r="N163" s="79">
        <f>Table47910[[#This Row],[Expected Revenue]]*Table47910[[#This Row],[Probability]]</f>
        <v>42000</v>
      </c>
      <c r="O163" s="78">
        <v>0.3</v>
      </c>
      <c r="P163" s="79">
        <f>Table47910[[#This Row],[Expected Revenue]]*Table47910[[#This Row],[Expected CMR]]</f>
        <v>12600</v>
      </c>
      <c r="Q163" s="209"/>
    </row>
    <row r="164" spans="1:17" hidden="1">
      <c r="A164" s="173" t="s">
        <v>3117</v>
      </c>
      <c r="B164" s="76" t="s">
        <v>260</v>
      </c>
      <c r="C164" s="77" t="s">
        <v>157</v>
      </c>
      <c r="D164" s="102"/>
      <c r="E164" s="77" t="s">
        <v>209</v>
      </c>
      <c r="F164" s="77" t="s">
        <v>58</v>
      </c>
      <c r="G164" s="77" t="s">
        <v>65</v>
      </c>
      <c r="H164" s="77" t="s">
        <v>290</v>
      </c>
      <c r="I164" s="77"/>
      <c r="J164" s="110" t="s">
        <v>231</v>
      </c>
      <c r="K164" s="77">
        <v>2019</v>
      </c>
      <c r="L164" s="78">
        <v>1</v>
      </c>
      <c r="M164" s="79">
        <f>13*3*1100</f>
        <v>42900</v>
      </c>
      <c r="N164" s="79">
        <f>Table47910[[#This Row],[Expected Revenue]]*Table47910[[#This Row],[Probability]]</f>
        <v>42900</v>
      </c>
      <c r="O164" s="78">
        <v>0.3</v>
      </c>
      <c r="P164" s="79">
        <f>Table47910[[#This Row],[Expected Revenue]]*Table47910[[#This Row],[Expected CMR]]</f>
        <v>12870</v>
      </c>
      <c r="Q164" s="209"/>
    </row>
    <row r="165" spans="1:17" hidden="1">
      <c r="A165" s="173"/>
      <c r="B165" s="76" t="s">
        <v>488</v>
      </c>
      <c r="C165" s="77" t="s">
        <v>151</v>
      </c>
      <c r="D165" s="102" t="s">
        <v>152</v>
      </c>
      <c r="E165" s="77" t="s">
        <v>92</v>
      </c>
      <c r="F165" s="77" t="s">
        <v>58</v>
      </c>
      <c r="G165" s="77" t="s">
        <v>297</v>
      </c>
      <c r="H165" s="77" t="s">
        <v>297</v>
      </c>
      <c r="I165" s="77"/>
      <c r="J165" s="110" t="s">
        <v>84</v>
      </c>
      <c r="K165" s="77">
        <v>2019</v>
      </c>
      <c r="L165" s="78">
        <v>0.5</v>
      </c>
      <c r="M165" s="79">
        <v>15000</v>
      </c>
      <c r="N165" s="79">
        <f>Table47910[[#This Row],[Expected Revenue]]*Table47910[[#This Row],[Probability]]</f>
        <v>7500</v>
      </c>
      <c r="O165" s="78">
        <v>0.3</v>
      </c>
      <c r="P165" s="79">
        <f>Table47910[[#This Row],[Expected Revenue]]*Table47910[[#This Row],[Expected CMR]]</f>
        <v>4500</v>
      </c>
      <c r="Q165" s="209"/>
    </row>
    <row r="166" spans="1:17" hidden="1">
      <c r="A166" s="173"/>
      <c r="B166" s="76" t="s">
        <v>488</v>
      </c>
      <c r="C166" s="77" t="s">
        <v>151</v>
      </c>
      <c r="D166" s="102" t="s">
        <v>3118</v>
      </c>
      <c r="E166" s="77" t="s">
        <v>209</v>
      </c>
      <c r="F166" s="77" t="s">
        <v>58</v>
      </c>
      <c r="G166" s="77" t="s">
        <v>3027</v>
      </c>
      <c r="H166" s="77" t="s">
        <v>257</v>
      </c>
      <c r="I166" s="77" t="s">
        <v>3119</v>
      </c>
      <c r="J166" s="110" t="s">
        <v>219</v>
      </c>
      <c r="K166" s="77">
        <v>2019</v>
      </c>
      <c r="L166" s="78">
        <v>0.2</v>
      </c>
      <c r="M166" s="79">
        <v>0</v>
      </c>
      <c r="N166" s="79">
        <f>Table47910[[#This Row],[Expected Revenue]]*Table47910[[#This Row],[Probability]]</f>
        <v>0</v>
      </c>
      <c r="O166" s="78">
        <v>0.3</v>
      </c>
      <c r="P166" s="79">
        <f>Table47910[[#This Row],[Expected Revenue]]*Table47910[[#This Row],[Expected CMR]]</f>
        <v>0</v>
      </c>
      <c r="Q166" s="209"/>
    </row>
    <row r="167" spans="1:17" hidden="1">
      <c r="A167" s="173"/>
      <c r="B167" s="76" t="s">
        <v>487</v>
      </c>
      <c r="C167" s="77" t="s">
        <v>57</v>
      </c>
      <c r="D167" s="102" t="s">
        <v>106</v>
      </c>
      <c r="E167" s="77" t="s">
        <v>107</v>
      </c>
      <c r="F167" s="77" t="s">
        <v>58</v>
      </c>
      <c r="G167" s="77" t="s">
        <v>65</v>
      </c>
      <c r="H167" s="77" t="s">
        <v>290</v>
      </c>
      <c r="I167" s="77"/>
      <c r="J167" s="110" t="s">
        <v>219</v>
      </c>
      <c r="K167" s="77">
        <v>2019</v>
      </c>
      <c r="L167" s="78">
        <v>1</v>
      </c>
      <c r="M167" s="79">
        <v>59318</v>
      </c>
      <c r="N167" s="79">
        <f>Table47910[[#This Row],[Expected Revenue]]*Table47910[[#This Row],[Probability]]</f>
        <v>59318</v>
      </c>
      <c r="O167" s="78">
        <v>0.3</v>
      </c>
      <c r="P167" s="79">
        <f>Table47910[[#This Row],[Expected Revenue]]*Table47910[[#This Row],[Expected CMR]]</f>
        <v>17795.399999999998</v>
      </c>
      <c r="Q167" s="209"/>
    </row>
    <row r="168" spans="1:17" hidden="1">
      <c r="A168" s="173"/>
      <c r="B168" s="76" t="s">
        <v>487</v>
      </c>
      <c r="C168" s="77" t="s">
        <v>57</v>
      </c>
      <c r="D168" s="102" t="s">
        <v>1235</v>
      </c>
      <c r="E168" s="77" t="s">
        <v>62</v>
      </c>
      <c r="F168" s="77" t="s">
        <v>58</v>
      </c>
      <c r="G168" s="77" t="s">
        <v>65</v>
      </c>
      <c r="H168" s="77" t="s">
        <v>290</v>
      </c>
      <c r="I168" s="77"/>
      <c r="J168" s="110" t="s">
        <v>219</v>
      </c>
      <c r="K168" s="77">
        <v>2019</v>
      </c>
      <c r="L168" s="78">
        <v>1</v>
      </c>
      <c r="M168" s="79">
        <v>18810</v>
      </c>
      <c r="N168" s="79">
        <f>Table47910[[#This Row],[Expected Revenue]]*Table47910[[#This Row],[Probability]]</f>
        <v>18810</v>
      </c>
      <c r="O168" s="78">
        <v>0.3</v>
      </c>
      <c r="P168" s="79">
        <f>Table47910[[#This Row],[Expected Revenue]]*Table47910[[#This Row],[Expected CMR]]</f>
        <v>5643</v>
      </c>
      <c r="Q168" s="209"/>
    </row>
    <row r="169" spans="1:17" hidden="1">
      <c r="A169" s="75"/>
      <c r="B169" s="76" t="s">
        <v>73</v>
      </c>
      <c r="C169" s="77" t="s">
        <v>57</v>
      </c>
      <c r="D169" s="102" t="s">
        <v>3120</v>
      </c>
      <c r="E169" s="77" t="s">
        <v>88</v>
      </c>
      <c r="F169" s="77" t="s">
        <v>58</v>
      </c>
      <c r="G169" s="77" t="s">
        <v>3027</v>
      </c>
      <c r="H169" s="77" t="s">
        <v>257</v>
      </c>
      <c r="I169" s="77" t="s">
        <v>3121</v>
      </c>
      <c r="J169" s="110" t="s">
        <v>89</v>
      </c>
      <c r="K169" s="77">
        <v>2019</v>
      </c>
      <c r="L169" s="78">
        <v>0.1</v>
      </c>
      <c r="M169" s="79">
        <v>34890</v>
      </c>
      <c r="N169" s="79">
        <f>Table47910[[#This Row],[Expected Revenue]]*Table47910[[#This Row],[Probability]]</f>
        <v>3489</v>
      </c>
      <c r="O169" s="78">
        <v>0.3</v>
      </c>
      <c r="P169" s="79">
        <f>Table47910[[#This Row],[Expected Revenue]]*Table47910[[#This Row],[Expected CMR]]</f>
        <v>10467</v>
      </c>
      <c r="Q169" s="209"/>
    </row>
    <row r="170" spans="1:17" hidden="1">
      <c r="A170" s="75"/>
      <c r="B170" s="76" t="s">
        <v>85</v>
      </c>
      <c r="C170" s="77" t="s">
        <v>57</v>
      </c>
      <c r="D170" s="102" t="s">
        <v>3122</v>
      </c>
      <c r="E170" s="77" t="s">
        <v>62</v>
      </c>
      <c r="F170" s="77" t="s">
        <v>58</v>
      </c>
      <c r="G170" s="77" t="s">
        <v>297</v>
      </c>
      <c r="H170" s="77" t="s">
        <v>297</v>
      </c>
      <c r="I170" s="77"/>
      <c r="J170" s="110" t="s">
        <v>84</v>
      </c>
      <c r="K170" s="77">
        <v>2019</v>
      </c>
      <c r="L170" s="78">
        <v>1</v>
      </c>
      <c r="M170" s="79">
        <v>50000</v>
      </c>
      <c r="N170" s="79">
        <f>Table47910[[#This Row],[Expected Revenue]]*Table47910[[#This Row],[Probability]]</f>
        <v>50000</v>
      </c>
      <c r="O170" s="78">
        <v>0.3</v>
      </c>
      <c r="P170" s="79">
        <f>Table47910[[#This Row],[Expected Revenue]]*Table47910[[#This Row],[Expected CMR]]</f>
        <v>15000</v>
      </c>
      <c r="Q170" s="209"/>
    </row>
    <row r="171" spans="1:17" hidden="1">
      <c r="A171" s="75"/>
      <c r="B171" s="76" t="s">
        <v>85</v>
      </c>
      <c r="C171" s="77" t="s">
        <v>57</v>
      </c>
      <c r="D171" s="102" t="s">
        <v>236</v>
      </c>
      <c r="E171" s="77" t="s">
        <v>62</v>
      </c>
      <c r="F171" s="77" t="s">
        <v>58</v>
      </c>
      <c r="G171" s="77" t="s">
        <v>65</v>
      </c>
      <c r="H171" s="77" t="s">
        <v>290</v>
      </c>
      <c r="I171" s="77"/>
      <c r="J171" s="110" t="s">
        <v>219</v>
      </c>
      <c r="K171" s="77">
        <v>2019</v>
      </c>
      <c r="L171" s="78">
        <v>1</v>
      </c>
      <c r="M171" s="79">
        <v>65000</v>
      </c>
      <c r="N171" s="79">
        <f>Table47910[[#This Row],[Expected Revenue]]*Table47910[[#This Row],[Probability]]</f>
        <v>65000</v>
      </c>
      <c r="O171" s="78">
        <v>0.3</v>
      </c>
      <c r="P171" s="79">
        <f>Table47910[[#This Row],[Expected Revenue]]*Table47910[[#This Row],[Expected CMR]]</f>
        <v>19500</v>
      </c>
      <c r="Q171" s="209"/>
    </row>
    <row r="172" spans="1:17" hidden="1">
      <c r="A172" s="173"/>
      <c r="B172" s="76" t="s">
        <v>85</v>
      </c>
      <c r="C172" s="77" t="s">
        <v>57</v>
      </c>
      <c r="D172" s="102" t="s">
        <v>3123</v>
      </c>
      <c r="E172" s="77" t="s">
        <v>92</v>
      </c>
      <c r="F172" s="77" t="s">
        <v>58</v>
      </c>
      <c r="G172" s="77" t="s">
        <v>3027</v>
      </c>
      <c r="H172" s="77" t="s">
        <v>257</v>
      </c>
      <c r="I172" s="77" t="s">
        <v>3124</v>
      </c>
      <c r="J172" s="110" t="s">
        <v>219</v>
      </c>
      <c r="K172" s="77">
        <v>2019</v>
      </c>
      <c r="L172" s="78">
        <v>0.5</v>
      </c>
      <c r="M172" s="79">
        <v>10648</v>
      </c>
      <c r="N172" s="79">
        <f>Table47910[[#This Row],[Expected Revenue]]*Table47910[[#This Row],[Probability]]</f>
        <v>5324</v>
      </c>
      <c r="O172" s="78">
        <v>0.3</v>
      </c>
      <c r="P172" s="79">
        <f>Table47910[[#This Row],[Expected Revenue]]*Table47910[[#This Row],[Expected CMR]]</f>
        <v>3194.4</v>
      </c>
      <c r="Q172" s="209"/>
    </row>
    <row r="173" spans="1:17" hidden="1">
      <c r="A173" s="75"/>
      <c r="B173" s="76" t="s">
        <v>85</v>
      </c>
      <c r="C173" s="77" t="s">
        <v>57</v>
      </c>
      <c r="D173" s="102" t="s">
        <v>1235</v>
      </c>
      <c r="E173" s="77" t="s">
        <v>62</v>
      </c>
      <c r="F173" s="77" t="s">
        <v>58</v>
      </c>
      <c r="G173" s="77" t="s">
        <v>3027</v>
      </c>
      <c r="H173" s="77" t="s">
        <v>257</v>
      </c>
      <c r="I173" s="77"/>
      <c r="J173" s="110" t="s">
        <v>229</v>
      </c>
      <c r="K173" s="77">
        <v>2019</v>
      </c>
      <c r="L173" s="78">
        <v>0.5</v>
      </c>
      <c r="M173" s="79">
        <v>35000</v>
      </c>
      <c r="N173" s="79">
        <f>Table47910[[#This Row],[Expected Revenue]]*Table47910[[#This Row],[Probability]]</f>
        <v>17500</v>
      </c>
      <c r="O173" s="78">
        <v>0.3</v>
      </c>
      <c r="P173" s="79">
        <f>Table47910[[#This Row],[Expected Revenue]]*Table47910[[#This Row],[Expected CMR]]</f>
        <v>10500</v>
      </c>
      <c r="Q173" s="209"/>
    </row>
    <row r="174" spans="1:17" hidden="1">
      <c r="A174" s="75" t="s">
        <v>3125</v>
      </c>
      <c r="B174" s="76" t="s">
        <v>117</v>
      </c>
      <c r="C174" s="77" t="s">
        <v>57</v>
      </c>
      <c r="D174" s="102" t="s">
        <v>87</v>
      </c>
      <c r="E174" s="77" t="s">
        <v>88</v>
      </c>
      <c r="F174" s="77" t="s">
        <v>58</v>
      </c>
      <c r="G174" s="77" t="s">
        <v>65</v>
      </c>
      <c r="H174" s="77" t="s">
        <v>290</v>
      </c>
      <c r="I174" s="77"/>
      <c r="J174" s="110" t="s">
        <v>68</v>
      </c>
      <c r="K174" s="77">
        <v>2019</v>
      </c>
      <c r="L174" s="78">
        <v>1</v>
      </c>
      <c r="M174" s="79">
        <v>27816</v>
      </c>
      <c r="N174" s="79">
        <f>Table47910[[#This Row],[Expected Revenue]]*Table47910[[#This Row],[Probability]]</f>
        <v>27816</v>
      </c>
      <c r="O174" s="78">
        <v>0.59</v>
      </c>
      <c r="P174" s="79">
        <f>Table47910[[#This Row],[Expected Revenue]]*Table47910[[#This Row],[Expected CMR]]</f>
        <v>16411.439999999999</v>
      </c>
      <c r="Q174" s="209"/>
    </row>
    <row r="175" spans="1:17" hidden="1">
      <c r="A175" s="75"/>
      <c r="B175" s="76" t="s">
        <v>117</v>
      </c>
      <c r="C175" s="77" t="s">
        <v>57</v>
      </c>
      <c r="D175" s="102" t="s">
        <v>196</v>
      </c>
      <c r="E175" s="77" t="s">
        <v>92</v>
      </c>
      <c r="F175" s="77" t="s">
        <v>58</v>
      </c>
      <c r="G175" s="77" t="s">
        <v>65</v>
      </c>
      <c r="H175" s="77" t="s">
        <v>290</v>
      </c>
      <c r="I175" s="77"/>
      <c r="J175" s="110" t="s">
        <v>219</v>
      </c>
      <c r="K175" s="77">
        <v>2019</v>
      </c>
      <c r="L175" s="78">
        <v>1</v>
      </c>
      <c r="M175" s="79">
        <v>15000</v>
      </c>
      <c r="N175" s="79">
        <f>Table47910[[#This Row],[Expected Revenue]]*Table47910[[#This Row],[Probability]]</f>
        <v>15000</v>
      </c>
      <c r="O175" s="78">
        <v>0.56000000000000005</v>
      </c>
      <c r="P175" s="79">
        <f>Table47910[[#This Row],[Expected Revenue]]*Table47910[[#This Row],[Expected CMR]]</f>
        <v>8400</v>
      </c>
      <c r="Q175" s="209"/>
    </row>
    <row r="176" spans="1:17" hidden="1">
      <c r="A176" s="173"/>
      <c r="B176" s="76" t="s">
        <v>56</v>
      </c>
      <c r="C176" s="77" t="s">
        <v>57</v>
      </c>
      <c r="D176" s="102" t="s">
        <v>3126</v>
      </c>
      <c r="E176" s="77" t="s">
        <v>62</v>
      </c>
      <c r="F176" s="77" t="s">
        <v>58</v>
      </c>
      <c r="G176" s="77" t="s">
        <v>297</v>
      </c>
      <c r="H176" s="77" t="s">
        <v>297</v>
      </c>
      <c r="I176" s="77"/>
      <c r="J176" s="110" t="s">
        <v>84</v>
      </c>
      <c r="K176" s="77">
        <v>2019</v>
      </c>
      <c r="L176" s="78">
        <v>0.5</v>
      </c>
      <c r="M176" s="79">
        <v>58000</v>
      </c>
      <c r="N176" s="79">
        <f>Table47910[[#This Row],[Expected Revenue]]*Table47910[[#This Row],[Probability]]</f>
        <v>29000</v>
      </c>
      <c r="O176" s="78">
        <v>0.3</v>
      </c>
      <c r="P176" s="79">
        <f>Table47910[[#This Row],[Expected Revenue]]*Table47910[[#This Row],[Expected CMR]]</f>
        <v>17400</v>
      </c>
      <c r="Q176" s="209"/>
    </row>
    <row r="177" spans="1:17" hidden="1">
      <c r="A177" s="75"/>
      <c r="B177" s="76" t="s">
        <v>56</v>
      </c>
      <c r="C177" s="77" t="s">
        <v>57</v>
      </c>
      <c r="D177" s="102" t="s">
        <v>236</v>
      </c>
      <c r="E177" s="77" t="s">
        <v>62</v>
      </c>
      <c r="F177" s="77" t="s">
        <v>58</v>
      </c>
      <c r="G177" s="77" t="s">
        <v>65</v>
      </c>
      <c r="H177" s="77" t="s">
        <v>290</v>
      </c>
      <c r="I177" s="77"/>
      <c r="J177" s="110" t="s">
        <v>219</v>
      </c>
      <c r="K177" s="77">
        <v>2019</v>
      </c>
      <c r="L177" s="78">
        <v>1</v>
      </c>
      <c r="M177" s="79">
        <v>65000</v>
      </c>
      <c r="N177" s="79">
        <f>Table47910[[#This Row],[Expected Revenue]]*Table47910[[#This Row],[Probability]]</f>
        <v>65000</v>
      </c>
      <c r="O177" s="78">
        <v>0.3</v>
      </c>
      <c r="P177" s="79">
        <f>Table47910[[#This Row],[Expected Revenue]]*Table47910[[#This Row],[Expected CMR]]</f>
        <v>19500</v>
      </c>
      <c r="Q177" s="209"/>
    </row>
    <row r="178" spans="1:17" hidden="1">
      <c r="A178" s="75"/>
      <c r="B178" s="76" t="s">
        <v>56</v>
      </c>
      <c r="C178" s="77" t="s">
        <v>57</v>
      </c>
      <c r="D178" s="102" t="s">
        <v>3127</v>
      </c>
      <c r="E178" s="77" t="s">
        <v>71</v>
      </c>
      <c r="F178" s="77" t="s">
        <v>58</v>
      </c>
      <c r="G178" s="77" t="s">
        <v>3027</v>
      </c>
      <c r="H178" s="77" t="s">
        <v>290</v>
      </c>
      <c r="I178" s="77"/>
      <c r="J178" s="110" t="s">
        <v>102</v>
      </c>
      <c r="K178" s="77">
        <v>2019</v>
      </c>
      <c r="L178" s="78">
        <v>1</v>
      </c>
      <c r="M178" s="79">
        <v>95000</v>
      </c>
      <c r="N178" s="79">
        <f>Table47910[[#This Row],[Expected Revenue]]*Table47910[[#This Row],[Probability]]</f>
        <v>95000</v>
      </c>
      <c r="O178" s="78">
        <v>0.3</v>
      </c>
      <c r="P178" s="79">
        <f>Table47910[[#This Row],[Expected Revenue]]*Table47910[[#This Row],[Expected CMR]]</f>
        <v>28500</v>
      </c>
      <c r="Q178" s="209"/>
    </row>
    <row r="179" spans="1:17" hidden="1">
      <c r="A179" s="176"/>
      <c r="B179" s="76" t="s">
        <v>56</v>
      </c>
      <c r="C179" s="77" t="s">
        <v>57</v>
      </c>
      <c r="D179" s="103" t="s">
        <v>3127</v>
      </c>
      <c r="E179" s="77" t="s">
        <v>71</v>
      </c>
      <c r="F179" s="83" t="s">
        <v>58</v>
      </c>
      <c r="G179" s="83" t="s">
        <v>3027</v>
      </c>
      <c r="H179" s="77" t="s">
        <v>257</v>
      </c>
      <c r="I179" s="83"/>
      <c r="J179" s="156" t="s">
        <v>229</v>
      </c>
      <c r="K179" s="77">
        <v>2019</v>
      </c>
      <c r="L179" s="78">
        <v>1</v>
      </c>
      <c r="M179" s="79">
        <v>70000</v>
      </c>
      <c r="N179" s="85">
        <f>Table47910[[#This Row],[Expected Revenue]]*Table47910[[#This Row],[Probability]]</f>
        <v>70000</v>
      </c>
      <c r="O179" s="78">
        <v>0.3</v>
      </c>
      <c r="P179" s="85">
        <f>Table47910[[#This Row],[Expected Revenue]]*Table47910[[#This Row],[Expected CMR]]</f>
        <v>21000</v>
      </c>
      <c r="Q179" s="209"/>
    </row>
    <row r="180" spans="1:17" hidden="1">
      <c r="A180" s="174"/>
      <c r="B180" s="76" t="s">
        <v>122</v>
      </c>
      <c r="C180" s="77" t="s">
        <v>57</v>
      </c>
      <c r="D180" s="103" t="s">
        <v>3128</v>
      </c>
      <c r="E180" s="77" t="s">
        <v>92</v>
      </c>
      <c r="F180" s="83" t="s">
        <v>58</v>
      </c>
      <c r="G180" s="83" t="s">
        <v>3027</v>
      </c>
      <c r="H180" s="77" t="s">
        <v>257</v>
      </c>
      <c r="I180" s="83" t="s">
        <v>3129</v>
      </c>
      <c r="J180" s="156" t="s">
        <v>219</v>
      </c>
      <c r="K180" s="77">
        <v>2019</v>
      </c>
      <c r="L180" s="78">
        <v>0.5</v>
      </c>
      <c r="M180" s="79">
        <v>8125</v>
      </c>
      <c r="N180" s="85">
        <f>Table47910[[#This Row],[Expected Revenue]]*Table47910[[#This Row],[Probability]]</f>
        <v>4062.5</v>
      </c>
      <c r="O180" s="78">
        <v>0.3</v>
      </c>
      <c r="P180" s="85">
        <f>Table47910[[#This Row],[Expected Revenue]]*Table47910[[#This Row],[Expected CMR]]</f>
        <v>2437.5</v>
      </c>
      <c r="Q180" s="209"/>
    </row>
    <row r="181" spans="1:17" hidden="1">
      <c r="A181" s="75"/>
      <c r="B181" s="76" t="s">
        <v>146</v>
      </c>
      <c r="C181" s="77" t="s">
        <v>57</v>
      </c>
      <c r="D181" s="102" t="s">
        <v>3130</v>
      </c>
      <c r="E181" s="77" t="s">
        <v>92</v>
      </c>
      <c r="F181" s="77" t="s">
        <v>58</v>
      </c>
      <c r="G181" s="77" t="s">
        <v>65</v>
      </c>
      <c r="H181" s="77" t="s">
        <v>290</v>
      </c>
      <c r="I181" s="77"/>
      <c r="J181" s="110" t="s">
        <v>219</v>
      </c>
      <c r="K181" s="77">
        <v>2019</v>
      </c>
      <c r="L181" s="78">
        <v>1</v>
      </c>
      <c r="M181" s="79">
        <v>35000</v>
      </c>
      <c r="N181" s="79">
        <f>Table47910[[#This Row],[Expected Revenue]]*Table47910[[#This Row],[Probability]]</f>
        <v>35000</v>
      </c>
      <c r="O181" s="78">
        <v>0.3</v>
      </c>
      <c r="P181" s="79">
        <f>Table47910[[#This Row],[Expected Revenue]]*Table47910[[#This Row],[Expected CMR]]</f>
        <v>10500</v>
      </c>
      <c r="Q181" s="209"/>
    </row>
    <row r="182" spans="1:17" hidden="1">
      <c r="A182" s="173"/>
      <c r="B182" s="76" t="s">
        <v>146</v>
      </c>
      <c r="C182" s="77" t="s">
        <v>57</v>
      </c>
      <c r="D182" s="102" t="s">
        <v>273</v>
      </c>
      <c r="E182" s="77" t="s">
        <v>92</v>
      </c>
      <c r="F182" s="77" t="s">
        <v>58</v>
      </c>
      <c r="G182" s="77" t="s">
        <v>3027</v>
      </c>
      <c r="H182" s="77" t="s">
        <v>257</v>
      </c>
      <c r="I182" s="77" t="s">
        <v>3131</v>
      </c>
      <c r="J182" s="110" t="s">
        <v>219</v>
      </c>
      <c r="K182" s="77">
        <v>2019</v>
      </c>
      <c r="L182" s="78">
        <v>0.5</v>
      </c>
      <c r="M182" s="79">
        <v>10125</v>
      </c>
      <c r="N182" s="79">
        <f>Table47910[[#This Row],[Expected Revenue]]*Table47910[[#This Row],[Probability]]</f>
        <v>5062.5</v>
      </c>
      <c r="O182" s="78">
        <v>0.3</v>
      </c>
      <c r="P182" s="79">
        <f>Table47910[[#This Row],[Expected Revenue]]*Table47910[[#This Row],[Expected CMR]]</f>
        <v>3037.5</v>
      </c>
      <c r="Q182" s="209"/>
    </row>
    <row r="183" spans="1:17" hidden="1">
      <c r="A183" s="173"/>
      <c r="B183" s="76" t="s">
        <v>146</v>
      </c>
      <c r="C183" s="77" t="s">
        <v>57</v>
      </c>
      <c r="D183" s="76" t="s">
        <v>3132</v>
      </c>
      <c r="E183" s="77"/>
      <c r="F183" s="77" t="s">
        <v>58</v>
      </c>
      <c r="G183" s="77"/>
      <c r="H183" s="77" t="s">
        <v>257</v>
      </c>
      <c r="I183" s="77" t="s">
        <v>3133</v>
      </c>
      <c r="J183" s="110" t="s">
        <v>231</v>
      </c>
      <c r="K183" s="77">
        <v>2019</v>
      </c>
      <c r="L183" s="78">
        <v>0.25</v>
      </c>
      <c r="M183" s="79">
        <v>16795</v>
      </c>
      <c r="N183" s="86">
        <f>Table47910[[#This Row],[Expected Revenue]]*Table47910[[#This Row],[Probability]]</f>
        <v>4198.75</v>
      </c>
      <c r="O183" s="78">
        <v>0.3</v>
      </c>
      <c r="P183" s="86">
        <f>Table47910[[#This Row],[Expected Revenue]]*Table47910[[#This Row],[Expected CMR]]</f>
        <v>5038.5</v>
      </c>
      <c r="Q183" s="210"/>
    </row>
    <row r="184" spans="1:17" hidden="1">
      <c r="A184" s="174"/>
      <c r="B184" s="76" t="s">
        <v>486</v>
      </c>
      <c r="C184" s="77" t="s">
        <v>126</v>
      </c>
      <c r="D184" s="103" t="s">
        <v>107</v>
      </c>
      <c r="E184" s="77" t="s">
        <v>62</v>
      </c>
      <c r="F184" s="83" t="s">
        <v>58</v>
      </c>
      <c r="G184" s="83" t="s">
        <v>3027</v>
      </c>
      <c r="H184" s="77" t="s">
        <v>257</v>
      </c>
      <c r="I184" s="83" t="s">
        <v>3134</v>
      </c>
      <c r="J184" s="156" t="s">
        <v>102</v>
      </c>
      <c r="K184" s="77">
        <v>2019</v>
      </c>
      <c r="L184" s="78">
        <v>1</v>
      </c>
      <c r="M184" s="79">
        <v>12000</v>
      </c>
      <c r="N184" s="85">
        <f>Table47910[[#This Row],[Expected Revenue]]*Table47910[[#This Row],[Probability]]</f>
        <v>12000</v>
      </c>
      <c r="O184" s="78">
        <v>0.3</v>
      </c>
      <c r="P184" s="85">
        <f>Table47910[[#This Row],[Expected Revenue]]*Table47910[[#This Row],[Expected CMR]]</f>
        <v>3600</v>
      </c>
      <c r="Q184" s="209"/>
    </row>
    <row r="185" spans="1:17" hidden="1">
      <c r="A185" s="174"/>
      <c r="B185" s="76" t="s">
        <v>486</v>
      </c>
      <c r="C185" s="77" t="s">
        <v>126</v>
      </c>
      <c r="D185" s="103" t="s">
        <v>107</v>
      </c>
      <c r="E185" s="77" t="s">
        <v>62</v>
      </c>
      <c r="F185" s="83" t="s">
        <v>58</v>
      </c>
      <c r="G185" s="83" t="s">
        <v>3027</v>
      </c>
      <c r="H185" s="77" t="s">
        <v>290</v>
      </c>
      <c r="I185" s="83"/>
      <c r="J185" s="156" t="s">
        <v>102</v>
      </c>
      <c r="K185" s="77">
        <v>2019</v>
      </c>
      <c r="L185" s="78">
        <v>1</v>
      </c>
      <c r="M185" s="79">
        <v>36832</v>
      </c>
      <c r="N185" s="85">
        <f>Table47910[[#This Row],[Expected Revenue]]*Table47910[[#This Row],[Probability]]</f>
        <v>36832</v>
      </c>
      <c r="O185" s="78">
        <v>0.3</v>
      </c>
      <c r="P185" s="85">
        <f>Table47910[[#This Row],[Expected Revenue]]*Table47910[[#This Row],[Expected CMR]]</f>
        <v>11049.6</v>
      </c>
      <c r="Q185" s="209"/>
    </row>
    <row r="186" spans="1:17" ht="21.6" hidden="1">
      <c r="A186" s="174"/>
      <c r="B186" s="82" t="s">
        <v>486</v>
      </c>
      <c r="C186" s="77" t="s">
        <v>126</v>
      </c>
      <c r="D186" s="103" t="s">
        <v>3135</v>
      </c>
      <c r="E186" s="83" t="s">
        <v>62</v>
      </c>
      <c r="F186" s="83" t="s">
        <v>58</v>
      </c>
      <c r="G186" s="83" t="s">
        <v>3027</v>
      </c>
      <c r="H186" s="77" t="s">
        <v>257</v>
      </c>
      <c r="I186" s="83" t="s">
        <v>3134</v>
      </c>
      <c r="J186" s="156" t="s">
        <v>229</v>
      </c>
      <c r="K186" s="83">
        <v>2019</v>
      </c>
      <c r="L186" s="84">
        <v>0.5</v>
      </c>
      <c r="M186" s="85">
        <v>13836</v>
      </c>
      <c r="N186" s="79">
        <f>Table47910[[#This Row],[Expected Revenue]]*Table47910[[#This Row],[Probability]]</f>
        <v>6918</v>
      </c>
      <c r="O186" s="84">
        <v>0.3</v>
      </c>
      <c r="P186" s="85">
        <f>Table47910[[#This Row],[Expected Revenue]]*Table47910[[#This Row],[Expected CMR]]</f>
        <v>4150.8</v>
      </c>
      <c r="Q186" s="209"/>
    </row>
    <row r="187" spans="1:17" hidden="1">
      <c r="A187" s="174"/>
      <c r="B187" s="82" t="s">
        <v>172</v>
      </c>
      <c r="C187" s="77" t="s">
        <v>172</v>
      </c>
      <c r="D187" s="103" t="s">
        <v>62</v>
      </c>
      <c r="E187" s="83" t="s">
        <v>62</v>
      </c>
      <c r="F187" s="83" t="s">
        <v>158</v>
      </c>
      <c r="G187" s="83" t="s">
        <v>65</v>
      </c>
      <c r="H187" s="77" t="s">
        <v>290</v>
      </c>
      <c r="I187" s="82"/>
      <c r="J187" s="156" t="s">
        <v>139</v>
      </c>
      <c r="K187" s="83">
        <v>2019</v>
      </c>
      <c r="L187" s="84">
        <v>1</v>
      </c>
      <c r="M187" s="85">
        <v>100000</v>
      </c>
      <c r="N187" s="79">
        <f>Table47910[[#This Row],[Expected Revenue]]*Table47910[[#This Row],[Probability]]</f>
        <v>100000</v>
      </c>
      <c r="O187" s="84">
        <v>0.3</v>
      </c>
      <c r="P187" s="85">
        <f>Table47910[[#This Row],[Expected Revenue]]*Table47910[[#This Row],[Expected CMR]]</f>
        <v>30000</v>
      </c>
      <c r="Q187" s="209"/>
    </row>
    <row r="188" spans="1:17" hidden="1">
      <c r="A188" s="173"/>
      <c r="B188" s="76" t="s">
        <v>172</v>
      </c>
      <c r="C188" s="77" t="s">
        <v>172</v>
      </c>
      <c r="D188" s="102" t="s">
        <v>3136</v>
      </c>
      <c r="E188" s="77" t="s">
        <v>62</v>
      </c>
      <c r="F188" s="83" t="s">
        <v>158</v>
      </c>
      <c r="G188" s="83" t="s">
        <v>65</v>
      </c>
      <c r="H188" s="77" t="s">
        <v>290</v>
      </c>
      <c r="I188" s="82"/>
      <c r="J188" s="156" t="s">
        <v>84</v>
      </c>
      <c r="K188" s="83">
        <v>2019</v>
      </c>
      <c r="L188" s="84">
        <v>1</v>
      </c>
      <c r="M188" s="85">
        <v>70000</v>
      </c>
      <c r="N188" s="79">
        <f>Table47910[[#This Row],[Expected Revenue]]*Table47910[[#This Row],[Probability]]</f>
        <v>70000</v>
      </c>
      <c r="O188" s="84">
        <v>0.3</v>
      </c>
      <c r="P188" s="85">
        <f>Table47910[[#This Row],[Expected Revenue]]*Table47910[[#This Row],[Expected CMR]]</f>
        <v>21000</v>
      </c>
      <c r="Q188" s="209"/>
    </row>
    <row r="189" spans="1:17" hidden="1">
      <c r="A189" s="173"/>
      <c r="B189" s="76" t="s">
        <v>172</v>
      </c>
      <c r="C189" s="77" t="s">
        <v>172</v>
      </c>
      <c r="D189" s="102" t="s">
        <v>62</v>
      </c>
      <c r="E189" s="77" t="s">
        <v>62</v>
      </c>
      <c r="F189" s="83" t="s">
        <v>158</v>
      </c>
      <c r="G189" s="83" t="s">
        <v>65</v>
      </c>
      <c r="H189" s="77" t="s">
        <v>290</v>
      </c>
      <c r="I189" s="82"/>
      <c r="J189" s="156" t="s">
        <v>222</v>
      </c>
      <c r="K189" s="83">
        <v>2019</v>
      </c>
      <c r="L189" s="84">
        <v>1</v>
      </c>
      <c r="M189" s="85">
        <v>50000</v>
      </c>
      <c r="N189" s="79">
        <f>Table47910[[#This Row],[Expected Revenue]]*Table47910[[#This Row],[Probability]]</f>
        <v>50000</v>
      </c>
      <c r="O189" s="84">
        <v>0.3</v>
      </c>
      <c r="P189" s="85">
        <f>Table47910[[#This Row],[Expected Revenue]]*Table47910[[#This Row],[Expected CMR]]</f>
        <v>15000</v>
      </c>
      <c r="Q189" s="209"/>
    </row>
    <row r="190" spans="1:17" hidden="1">
      <c r="A190" s="173"/>
      <c r="B190" s="76" t="s">
        <v>172</v>
      </c>
      <c r="C190" s="77" t="s">
        <v>172</v>
      </c>
      <c r="D190" s="102" t="s">
        <v>62</v>
      </c>
      <c r="E190" s="77" t="s">
        <v>62</v>
      </c>
      <c r="F190" s="83" t="s">
        <v>158</v>
      </c>
      <c r="G190" s="77" t="s">
        <v>65</v>
      </c>
      <c r="H190" s="77" t="s">
        <v>290</v>
      </c>
      <c r="I190" s="82"/>
      <c r="J190" s="156" t="s">
        <v>89</v>
      </c>
      <c r="K190" s="83">
        <v>2019</v>
      </c>
      <c r="L190" s="84">
        <v>1</v>
      </c>
      <c r="M190" s="85">
        <v>40000</v>
      </c>
      <c r="N190" s="79">
        <f>Table47910[[#This Row],[Expected Revenue]]*Table47910[[#This Row],[Probability]]</f>
        <v>40000</v>
      </c>
      <c r="O190" s="84">
        <v>0.3</v>
      </c>
      <c r="P190" s="85">
        <f>Table47910[[#This Row],[Expected Revenue]]*Table47910[[#This Row],[Expected CMR]]</f>
        <v>12000</v>
      </c>
      <c r="Q190" s="209"/>
    </row>
    <row r="191" spans="1:17" hidden="1">
      <c r="A191" s="173"/>
      <c r="B191" s="76" t="s">
        <v>172</v>
      </c>
      <c r="C191" s="77" t="s">
        <v>172</v>
      </c>
      <c r="D191" s="102" t="s">
        <v>71</v>
      </c>
      <c r="E191" s="77" t="s">
        <v>71</v>
      </c>
      <c r="F191" s="83" t="s">
        <v>158</v>
      </c>
      <c r="G191" s="77" t="s">
        <v>3027</v>
      </c>
      <c r="H191" s="77" t="s">
        <v>257</v>
      </c>
      <c r="I191" s="82"/>
      <c r="J191" s="156" t="s">
        <v>231</v>
      </c>
      <c r="K191" s="83">
        <v>2019</v>
      </c>
      <c r="L191" s="84">
        <v>0.5</v>
      </c>
      <c r="M191" s="85">
        <f>3*1100*10*1.25</f>
        <v>41250</v>
      </c>
      <c r="N191" s="79">
        <f>Table47910[[#This Row],[Expected Revenue]]*Table47910[[#This Row],[Probability]]</f>
        <v>20625</v>
      </c>
      <c r="O191" s="84">
        <v>0.3</v>
      </c>
      <c r="P191" s="85">
        <f>Table47910[[#This Row],[Expected Revenue]]*Table47910[[#This Row],[Expected CMR]]</f>
        <v>12375</v>
      </c>
      <c r="Q191" s="209"/>
    </row>
    <row r="192" spans="1:17" hidden="1">
      <c r="A192" s="173"/>
      <c r="B192" s="76" t="s">
        <v>172</v>
      </c>
      <c r="C192" s="77" t="s">
        <v>172</v>
      </c>
      <c r="D192" s="102" t="s">
        <v>71</v>
      </c>
      <c r="E192" s="77" t="s">
        <v>71</v>
      </c>
      <c r="F192" s="77" t="s">
        <v>158</v>
      </c>
      <c r="G192" s="77" t="s">
        <v>3027</v>
      </c>
      <c r="H192" s="77" t="s">
        <v>257</v>
      </c>
      <c r="I192" s="76"/>
      <c r="J192" s="110" t="s">
        <v>102</v>
      </c>
      <c r="K192" s="77">
        <v>2019</v>
      </c>
      <c r="L192" s="78">
        <v>0.5</v>
      </c>
      <c r="M192" s="79">
        <v>60000</v>
      </c>
      <c r="N192" s="79">
        <f>Table47910[[#This Row],[Expected Revenue]]*Table47910[[#This Row],[Probability]]</f>
        <v>30000</v>
      </c>
      <c r="O192" s="78">
        <v>0.3</v>
      </c>
      <c r="P192" s="79">
        <f>Table47910[[#This Row],[Expected Revenue]]*Table47910[[#This Row],[Expected CMR]]</f>
        <v>18000</v>
      </c>
      <c r="Q192" s="209"/>
    </row>
    <row r="193" spans="1:17" hidden="1">
      <c r="A193" s="173" t="s">
        <v>3025</v>
      </c>
      <c r="B193" s="76" t="s">
        <v>253</v>
      </c>
      <c r="C193" s="77" t="s">
        <v>254</v>
      </c>
      <c r="D193" s="102" t="s">
        <v>255</v>
      </c>
      <c r="E193" s="77" t="s">
        <v>209</v>
      </c>
      <c r="F193" s="77" t="s">
        <v>158</v>
      </c>
      <c r="G193" s="77" t="s">
        <v>256</v>
      </c>
      <c r="H193" s="77" t="s">
        <v>290</v>
      </c>
      <c r="I193" s="77"/>
      <c r="J193" s="110" t="s">
        <v>93</v>
      </c>
      <c r="K193" s="77">
        <v>2019</v>
      </c>
      <c r="L193" s="78">
        <v>1</v>
      </c>
      <c r="M193" s="79">
        <v>50000</v>
      </c>
      <c r="N193" s="79">
        <f>Table47910[[#This Row],[Expected Revenue]]*Table47910[[#This Row],[Probability]]</f>
        <v>50000</v>
      </c>
      <c r="O193" s="78">
        <v>0.3</v>
      </c>
      <c r="P193" s="79">
        <f>Table47910[[#This Row],[Expected Revenue]]*Table47910[[#This Row],[Expected CMR]]</f>
        <v>15000</v>
      </c>
      <c r="Q193" s="209"/>
    </row>
    <row r="194" spans="1:17" hidden="1">
      <c r="A194" s="173"/>
      <c r="B194" s="202" t="s">
        <v>3137</v>
      </c>
      <c r="C194" s="77" t="s">
        <v>3138</v>
      </c>
      <c r="D194" s="102" t="s">
        <v>3139</v>
      </c>
      <c r="E194" s="77" t="s">
        <v>281</v>
      </c>
      <c r="F194" s="77" t="s">
        <v>3140</v>
      </c>
      <c r="G194" s="77" t="s">
        <v>257</v>
      </c>
      <c r="H194" s="77" t="s">
        <v>257</v>
      </c>
      <c r="I194" s="77"/>
      <c r="J194" s="156" t="s">
        <v>84</v>
      </c>
      <c r="K194" s="77">
        <v>2020</v>
      </c>
      <c r="L194" s="78">
        <v>0.5</v>
      </c>
      <c r="M194" s="79">
        <v>9000</v>
      </c>
      <c r="N194" s="215">
        <f>Table47910[[#This Row],[Expected Revenue]]*Table47910[[#This Row],[Probability]]</f>
        <v>4500</v>
      </c>
      <c r="O194" s="78"/>
      <c r="P194" s="86">
        <f>Table47910[[#This Row],[Expected Revenue]]*Table47910[[#This Row],[Expected CMR]]</f>
        <v>0</v>
      </c>
      <c r="Q194" s="210"/>
    </row>
    <row r="195" spans="1:17" hidden="1">
      <c r="A195" s="173"/>
      <c r="B195" s="76" t="s">
        <v>3065</v>
      </c>
      <c r="C195" s="77" t="s">
        <v>185</v>
      </c>
      <c r="D195" s="102" t="s">
        <v>3066</v>
      </c>
      <c r="E195" s="77" t="s">
        <v>293</v>
      </c>
      <c r="F195" s="77" t="s">
        <v>186</v>
      </c>
      <c r="G195" s="77" t="s">
        <v>65</v>
      </c>
      <c r="H195" s="77" t="s">
        <v>290</v>
      </c>
      <c r="I195" s="76"/>
      <c r="J195" s="110" t="s">
        <v>102</v>
      </c>
      <c r="K195" s="77">
        <v>2019</v>
      </c>
      <c r="L195" s="78">
        <v>1</v>
      </c>
      <c r="M195" s="79">
        <v>70000</v>
      </c>
      <c r="N195" s="79">
        <f>Table47910[[#This Row],[Expected Revenue]]*Table47910[[#This Row],[Probability]]</f>
        <v>70000</v>
      </c>
      <c r="O195" s="78">
        <v>0.3</v>
      </c>
      <c r="P195" s="79">
        <f>Table47910[[#This Row],[Expected Revenue]]*Table47910[[#This Row],[Expected CMR]]</f>
        <v>21000</v>
      </c>
      <c r="Q195" s="209"/>
    </row>
    <row r="196" spans="1:17" hidden="1">
      <c r="A196" s="173"/>
      <c r="B196" s="76" t="s">
        <v>260</v>
      </c>
      <c r="C196" s="77" t="s">
        <v>157</v>
      </c>
      <c r="D196" s="102" t="s">
        <v>3141</v>
      </c>
      <c r="E196" s="77" t="s">
        <v>62</v>
      </c>
      <c r="F196" s="77" t="s">
        <v>186</v>
      </c>
      <c r="G196" s="77" t="s">
        <v>65</v>
      </c>
      <c r="H196" s="77" t="s">
        <v>290</v>
      </c>
      <c r="I196" s="77"/>
      <c r="J196" s="110" t="s">
        <v>84</v>
      </c>
      <c r="K196" s="77">
        <v>2019</v>
      </c>
      <c r="L196" s="78">
        <v>1</v>
      </c>
      <c r="M196" s="79">
        <v>20000</v>
      </c>
      <c r="N196" s="79">
        <f>Table47910[[#This Row],[Expected Revenue]]*Table47910[[#This Row],[Probability]]</f>
        <v>20000</v>
      </c>
      <c r="O196" s="78">
        <v>0.3</v>
      </c>
      <c r="P196" s="79">
        <f>Table47910[[#This Row],[Expected Revenue]]*Table47910[[#This Row],[Expected CMR]]</f>
        <v>6000</v>
      </c>
      <c r="Q196" s="209"/>
    </row>
    <row r="197" spans="1:17" hidden="1">
      <c r="A197" s="173"/>
      <c r="B197" s="76" t="s">
        <v>489</v>
      </c>
      <c r="C197" s="77" t="s">
        <v>489</v>
      </c>
      <c r="D197" s="102" t="s">
        <v>71</v>
      </c>
      <c r="E197" s="77" t="s">
        <v>71</v>
      </c>
      <c r="F197" s="77" t="s">
        <v>58</v>
      </c>
      <c r="G197" s="77" t="s">
        <v>65</v>
      </c>
      <c r="H197" s="77" t="s">
        <v>257</v>
      </c>
      <c r="I197" s="77" t="s">
        <v>3142</v>
      </c>
      <c r="J197" s="110" t="s">
        <v>84</v>
      </c>
      <c r="K197" s="77">
        <v>2019</v>
      </c>
      <c r="L197" s="78">
        <v>0.5</v>
      </c>
      <c r="M197" s="79">
        <v>25000</v>
      </c>
      <c r="N197" s="79">
        <f>Table47910[[#This Row],[Expected Revenue]]*Table47910[[#This Row],[Probability]]</f>
        <v>12500</v>
      </c>
      <c r="O197" s="78">
        <v>0.3</v>
      </c>
      <c r="P197" s="79">
        <f>Table47910[[#This Row],[Expected Revenue]]*Table47910[[#This Row],[Expected CMR]]</f>
        <v>7500</v>
      </c>
      <c r="Q197" s="209"/>
    </row>
    <row r="198" spans="1:17" hidden="1">
      <c r="A198" s="173"/>
      <c r="B198" s="76" t="s">
        <v>489</v>
      </c>
      <c r="C198" s="77" t="s">
        <v>489</v>
      </c>
      <c r="D198" s="102" t="s">
        <v>71</v>
      </c>
      <c r="E198" s="77" t="s">
        <v>71</v>
      </c>
      <c r="F198" s="77" t="s">
        <v>58</v>
      </c>
      <c r="G198" s="77" t="s">
        <v>65</v>
      </c>
      <c r="H198" s="77" t="s">
        <v>290</v>
      </c>
      <c r="I198" s="77" t="s">
        <v>3142</v>
      </c>
      <c r="J198" s="110" t="s">
        <v>229</v>
      </c>
      <c r="K198" s="77">
        <v>2019</v>
      </c>
      <c r="L198" s="78">
        <v>0.5</v>
      </c>
      <c r="M198" s="79">
        <v>23000</v>
      </c>
      <c r="N198" s="79">
        <f>Table47910[[#This Row],[Expected Revenue]]*Table47910[[#This Row],[Probability]]</f>
        <v>11500</v>
      </c>
      <c r="O198" s="78">
        <v>0.3</v>
      </c>
      <c r="P198" s="79">
        <f>Table47910[[#This Row],[Expected Revenue]]*Table47910[[#This Row],[Expected CMR]]</f>
        <v>6900</v>
      </c>
      <c r="Q198" s="209"/>
    </row>
    <row r="199" spans="1:17" hidden="1">
      <c r="A199" s="173"/>
      <c r="B199" s="76" t="s">
        <v>2344</v>
      </c>
      <c r="C199" s="77" t="s">
        <v>398</v>
      </c>
      <c r="D199" s="102" t="s">
        <v>3143</v>
      </c>
      <c r="E199" s="77" t="s">
        <v>71</v>
      </c>
      <c r="F199" s="77" t="s">
        <v>158</v>
      </c>
      <c r="G199" s="77" t="s">
        <v>65</v>
      </c>
      <c r="H199" s="77" t="s">
        <v>290</v>
      </c>
      <c r="I199" s="77"/>
      <c r="J199" s="110" t="s">
        <v>231</v>
      </c>
      <c r="K199" s="77">
        <v>2019</v>
      </c>
      <c r="L199" s="78">
        <v>1</v>
      </c>
      <c r="M199" s="79">
        <v>5000</v>
      </c>
      <c r="N199" s="79">
        <f>Table47910[[#This Row],[Expected Revenue]]*Table47910[[#This Row],[Probability]]</f>
        <v>5000</v>
      </c>
      <c r="O199" s="78">
        <v>0.3</v>
      </c>
      <c r="P199" s="79">
        <f>Table47910[[#This Row],[Expected Revenue]]*Table47910[[#This Row],[Expected CMR]]</f>
        <v>1500</v>
      </c>
      <c r="Q199" s="209"/>
    </row>
    <row r="200" spans="1:17" hidden="1">
      <c r="A200" s="173"/>
      <c r="B200" s="76" t="s">
        <v>117</v>
      </c>
      <c r="C200" s="77" t="s">
        <v>57</v>
      </c>
      <c r="D200" s="102" t="s">
        <v>62</v>
      </c>
      <c r="E200" s="77" t="s">
        <v>62</v>
      </c>
      <c r="F200" s="77" t="s">
        <v>58</v>
      </c>
      <c r="G200" s="77" t="s">
        <v>3027</v>
      </c>
      <c r="H200" s="77" t="s">
        <v>257</v>
      </c>
      <c r="I200" s="77"/>
      <c r="J200" s="110" t="s">
        <v>68</v>
      </c>
      <c r="K200" s="77">
        <v>2019</v>
      </c>
      <c r="L200" s="78">
        <v>0.5</v>
      </c>
      <c r="M200" s="79">
        <v>25000</v>
      </c>
      <c r="N200" s="79">
        <f>Table47910[[#This Row],[Expected Revenue]]*Table47910[[#This Row],[Probability]]</f>
        <v>12500</v>
      </c>
      <c r="O200" s="78">
        <v>0.3</v>
      </c>
      <c r="P200" s="79">
        <f>Table47910[[#This Row],[Expected Revenue]]*Table47910[[#This Row],[Expected CMR]]</f>
        <v>7500</v>
      </c>
      <c r="Q200" s="209"/>
    </row>
    <row r="201" spans="1:17" hidden="1">
      <c r="A201" s="173"/>
      <c r="B201" s="76" t="s">
        <v>2347</v>
      </c>
      <c r="C201" s="77" t="s">
        <v>398</v>
      </c>
      <c r="D201" s="102" t="s">
        <v>3143</v>
      </c>
      <c r="E201" s="77" t="s">
        <v>71</v>
      </c>
      <c r="F201" s="77" t="s">
        <v>158</v>
      </c>
      <c r="G201" s="77" t="s">
        <v>65</v>
      </c>
      <c r="H201" s="77" t="s">
        <v>290</v>
      </c>
      <c r="I201" s="77"/>
      <c r="J201" s="110" t="s">
        <v>231</v>
      </c>
      <c r="K201" s="77">
        <v>2019</v>
      </c>
      <c r="L201" s="78">
        <v>1</v>
      </c>
      <c r="M201" s="79">
        <v>35000</v>
      </c>
      <c r="N201" s="79">
        <f>Table47910[[#This Row],[Expected Revenue]]*Table47910[[#This Row],[Probability]]</f>
        <v>35000</v>
      </c>
      <c r="O201" s="78">
        <v>0.3</v>
      </c>
      <c r="P201" s="79">
        <f>Table47910[[#This Row],[Expected Revenue]]*Table47910[[#This Row],[Expected CMR]]</f>
        <v>10500</v>
      </c>
      <c r="Q201" s="209"/>
    </row>
    <row r="202" spans="1:17" hidden="1">
      <c r="A202" s="75"/>
      <c r="B202" s="76" t="s">
        <v>3144</v>
      </c>
      <c r="C202" s="77" t="s">
        <v>57</v>
      </c>
      <c r="D202" s="102" t="s">
        <v>71</v>
      </c>
      <c r="E202" s="77" t="s">
        <v>71</v>
      </c>
      <c r="F202" s="77" t="s">
        <v>58</v>
      </c>
      <c r="G202" s="77" t="s">
        <v>3027</v>
      </c>
      <c r="H202" s="77" t="s">
        <v>257</v>
      </c>
      <c r="I202" s="77"/>
      <c r="J202" s="110" t="s">
        <v>222</v>
      </c>
      <c r="K202" s="77">
        <v>2019</v>
      </c>
      <c r="L202" s="78">
        <v>0.75</v>
      </c>
      <c r="M202" s="79">
        <v>32000</v>
      </c>
      <c r="N202" s="79">
        <f>Table47910[[#This Row],[Expected Revenue]]*Table47910[[#This Row],[Probability]]</f>
        <v>24000</v>
      </c>
      <c r="O202" s="78">
        <v>0.3</v>
      </c>
      <c r="P202" s="79">
        <f>Table47910[[#This Row],[Expected Revenue]]*Table47910[[#This Row],[Expected CMR]]</f>
        <v>9600</v>
      </c>
      <c r="Q202" s="209"/>
    </row>
    <row r="203" spans="1:17" hidden="1">
      <c r="A203" s="75"/>
      <c r="B203" s="76" t="s">
        <v>3144</v>
      </c>
      <c r="C203" s="77" t="s">
        <v>57</v>
      </c>
      <c r="D203" s="102" t="s">
        <v>3127</v>
      </c>
      <c r="E203" s="77" t="s">
        <v>71</v>
      </c>
      <c r="F203" s="77" t="s">
        <v>58</v>
      </c>
      <c r="G203" s="77" t="s">
        <v>3027</v>
      </c>
      <c r="H203" s="77" t="s">
        <v>290</v>
      </c>
      <c r="I203" s="77"/>
      <c r="J203" s="110" t="s">
        <v>102</v>
      </c>
      <c r="K203" s="77">
        <v>2019</v>
      </c>
      <c r="L203" s="78">
        <v>1</v>
      </c>
      <c r="M203" s="79">
        <v>110000</v>
      </c>
      <c r="N203" s="79">
        <f>Table47910[[#This Row],[Expected Revenue]]*Table47910[[#This Row],[Probability]]</f>
        <v>110000</v>
      </c>
      <c r="O203" s="78">
        <v>0.3</v>
      </c>
      <c r="P203" s="79">
        <f>Table47910[[#This Row],[Expected Revenue]]*Table47910[[#This Row],[Expected CMR]]</f>
        <v>33000</v>
      </c>
      <c r="Q203" s="209"/>
    </row>
    <row r="204" spans="1:17" hidden="1">
      <c r="A204" s="75"/>
      <c r="B204" s="76" t="s">
        <v>3144</v>
      </c>
      <c r="C204" s="77" t="s">
        <v>57</v>
      </c>
      <c r="D204" s="102" t="s">
        <v>1236</v>
      </c>
      <c r="E204" s="77" t="s">
        <v>62</v>
      </c>
      <c r="F204" s="77" t="s">
        <v>58</v>
      </c>
      <c r="G204" s="77" t="s">
        <v>3027</v>
      </c>
      <c r="H204" s="77" t="s">
        <v>257</v>
      </c>
      <c r="I204" s="77"/>
      <c r="J204" s="110" t="s">
        <v>229</v>
      </c>
      <c r="K204" s="77">
        <v>2019</v>
      </c>
      <c r="L204" s="78">
        <v>0.8</v>
      </c>
      <c r="M204" s="79">
        <v>27000</v>
      </c>
      <c r="N204" s="79">
        <f>Table47910[[#This Row],[Expected Revenue]]*Table47910[[#This Row],[Probability]]</f>
        <v>21600</v>
      </c>
      <c r="O204" s="78">
        <v>0.3</v>
      </c>
      <c r="P204" s="79">
        <f>Table47910[[#This Row],[Expected Revenue]]*Table47910[[#This Row],[Expected CMR]]</f>
        <v>8100</v>
      </c>
      <c r="Q204" s="209"/>
    </row>
    <row r="205" spans="1:17" hidden="1">
      <c r="A205" s="75"/>
      <c r="B205" s="76" t="s">
        <v>3144</v>
      </c>
      <c r="C205" s="77" t="s">
        <v>57</v>
      </c>
      <c r="D205" s="102" t="s">
        <v>3127</v>
      </c>
      <c r="E205" s="77" t="s">
        <v>71</v>
      </c>
      <c r="F205" s="77" t="s">
        <v>58</v>
      </c>
      <c r="G205" s="77" t="s">
        <v>3027</v>
      </c>
      <c r="H205" s="77" t="s">
        <v>290</v>
      </c>
      <c r="I205" s="77"/>
      <c r="J205" s="110" t="s">
        <v>229</v>
      </c>
      <c r="K205" s="77">
        <v>2019</v>
      </c>
      <c r="L205" s="78">
        <v>1</v>
      </c>
      <c r="M205" s="79">
        <v>65000</v>
      </c>
      <c r="N205" s="79">
        <f>Table47910[[#This Row],[Expected Revenue]]*Table47910[[#This Row],[Probability]]</f>
        <v>65000</v>
      </c>
      <c r="O205" s="78">
        <v>0.3</v>
      </c>
      <c r="P205" s="79">
        <f>Table47910[[#This Row],[Expected Revenue]]*Table47910[[#This Row],[Expected CMR]]</f>
        <v>19500</v>
      </c>
      <c r="Q205" s="209"/>
    </row>
    <row r="206" spans="1:17" hidden="1">
      <c r="A206" s="75"/>
      <c r="B206" s="76" t="s">
        <v>3145</v>
      </c>
      <c r="C206" s="77" t="s">
        <v>57</v>
      </c>
      <c r="D206" s="102" t="s">
        <v>236</v>
      </c>
      <c r="E206" s="77" t="s">
        <v>62</v>
      </c>
      <c r="F206" s="77" t="s">
        <v>58</v>
      </c>
      <c r="G206" s="77" t="s">
        <v>65</v>
      </c>
      <c r="H206" s="77" t="s">
        <v>290</v>
      </c>
      <c r="I206" s="77"/>
      <c r="J206" s="110" t="s">
        <v>222</v>
      </c>
      <c r="K206" s="77">
        <v>2019</v>
      </c>
      <c r="L206" s="78">
        <v>1</v>
      </c>
      <c r="M206" s="79">
        <v>150000</v>
      </c>
      <c r="N206" s="79">
        <f>Table47910[[#This Row],[Expected Revenue]]*Table47910[[#This Row],[Probability]]</f>
        <v>150000</v>
      </c>
      <c r="O206" s="78">
        <v>0.3</v>
      </c>
      <c r="P206" s="79">
        <f>Table47910[[#This Row],[Expected Revenue]]*Table47910[[#This Row],[Expected CMR]]</f>
        <v>45000</v>
      </c>
      <c r="Q206" s="209"/>
    </row>
    <row r="207" spans="1:17" hidden="1">
      <c r="A207" s="75"/>
      <c r="B207" s="76" t="s">
        <v>3145</v>
      </c>
      <c r="C207" s="77" t="s">
        <v>57</v>
      </c>
      <c r="D207" s="102" t="s">
        <v>71</v>
      </c>
      <c r="E207" s="77" t="s">
        <v>71</v>
      </c>
      <c r="F207" s="77" t="s">
        <v>58</v>
      </c>
      <c r="G207" s="77" t="s">
        <v>65</v>
      </c>
      <c r="H207" s="77" t="s">
        <v>290</v>
      </c>
      <c r="I207" s="77"/>
      <c r="J207" s="110" t="s">
        <v>89</v>
      </c>
      <c r="K207" s="77">
        <v>2019</v>
      </c>
      <c r="L207" s="78">
        <v>1</v>
      </c>
      <c r="M207" s="79">
        <v>32000</v>
      </c>
      <c r="N207" s="79">
        <f>Table47910[[#This Row],[Expected Revenue]]*Table47910[[#This Row],[Probability]]</f>
        <v>32000</v>
      </c>
      <c r="O207" s="78">
        <v>0.3</v>
      </c>
      <c r="P207" s="79">
        <f>Table47910[[#This Row],[Expected Revenue]]*Table47910[[#This Row],[Expected CMR]]</f>
        <v>9600</v>
      </c>
      <c r="Q207" s="209"/>
    </row>
    <row r="208" spans="1:17" hidden="1">
      <c r="A208" s="173"/>
      <c r="B208" s="76" t="s">
        <v>3065</v>
      </c>
      <c r="C208" s="77" t="s">
        <v>185</v>
      </c>
      <c r="D208" s="102" t="s">
        <v>3066</v>
      </c>
      <c r="E208" s="77" t="s">
        <v>3146</v>
      </c>
      <c r="F208" s="77" t="s">
        <v>186</v>
      </c>
      <c r="G208" s="77" t="s">
        <v>65</v>
      </c>
      <c r="H208" s="77" t="s">
        <v>290</v>
      </c>
      <c r="I208" s="76"/>
      <c r="J208" s="110" t="s">
        <v>68</v>
      </c>
      <c r="K208" s="77">
        <v>2019</v>
      </c>
      <c r="L208" s="78">
        <v>1</v>
      </c>
      <c r="M208" s="79">
        <v>60000</v>
      </c>
      <c r="N208" s="79">
        <f>Table47910[[#This Row],[Expected Revenue]]*Table47910[[#This Row],[Probability]]</f>
        <v>60000</v>
      </c>
      <c r="O208" s="78">
        <v>0.3</v>
      </c>
      <c r="P208" s="79">
        <f>Table47910[[#This Row],[Expected Revenue]]*Table47910[[#This Row],[Expected CMR]]</f>
        <v>18000</v>
      </c>
      <c r="Q208" s="209"/>
    </row>
    <row r="209" spans="1:17" hidden="1">
      <c r="A209" s="173"/>
      <c r="B209" s="76" t="s">
        <v>296</v>
      </c>
      <c r="C209" s="77"/>
      <c r="D209" s="102"/>
      <c r="E209" s="77" t="s">
        <v>251</v>
      </c>
      <c r="F209" s="77"/>
      <c r="G209" s="77"/>
      <c r="H209" s="77" t="s">
        <v>296</v>
      </c>
      <c r="I209" s="76"/>
      <c r="J209" s="110" t="s">
        <v>231</v>
      </c>
      <c r="K209" s="77">
        <v>2019</v>
      </c>
      <c r="L209" s="78">
        <v>1</v>
      </c>
      <c r="M209" s="79">
        <v>150000</v>
      </c>
      <c r="N209" s="86">
        <f>Table47910[[#This Row],[Expected Revenue]]*Table47910[[#This Row],[Probability]]</f>
        <v>150000</v>
      </c>
      <c r="O209" s="78">
        <v>0.3</v>
      </c>
      <c r="P209" s="86">
        <f>Table47910[[#This Row],[Expected Revenue]]*Table47910[[#This Row],[Expected CMR]]</f>
        <v>45000</v>
      </c>
      <c r="Q209" s="210"/>
    </row>
    <row r="210" spans="1:17" hidden="1">
      <c r="A210" s="173" t="s">
        <v>3147</v>
      </c>
      <c r="B210" s="76" t="s">
        <v>117</v>
      </c>
      <c r="C210" s="77" t="s">
        <v>57</v>
      </c>
      <c r="D210" s="102" t="s">
        <v>196</v>
      </c>
      <c r="E210" s="77" t="s">
        <v>92</v>
      </c>
      <c r="F210" s="77" t="s">
        <v>58</v>
      </c>
      <c r="G210" s="77" t="s">
        <v>65</v>
      </c>
      <c r="H210" s="77" t="s">
        <v>290</v>
      </c>
      <c r="I210" s="77"/>
      <c r="J210" s="110"/>
      <c r="K210" s="77">
        <v>18</v>
      </c>
      <c r="L210" s="78">
        <v>1</v>
      </c>
      <c r="M210" s="79">
        <v>15945</v>
      </c>
      <c r="N210" s="79">
        <f>Table47910[[#This Row],[Expected Revenue]]*Table47910[[#This Row],[Probability]]</f>
        <v>15945</v>
      </c>
      <c r="O210" s="78">
        <v>0.56000000000000005</v>
      </c>
      <c r="P210" s="79">
        <f>Table47910[[#This Row],[Expected Revenue]]*Table47910[[#This Row],[Expected CMR]]</f>
        <v>8929.2000000000007</v>
      </c>
      <c r="Q210" s="209"/>
    </row>
    <row r="211" spans="1:17" hidden="1">
      <c r="A211" s="173" t="s">
        <v>3147</v>
      </c>
      <c r="B211" s="76" t="s">
        <v>117</v>
      </c>
      <c r="C211" s="77" t="s">
        <v>57</v>
      </c>
      <c r="D211" s="102" t="s">
        <v>196</v>
      </c>
      <c r="E211" s="77" t="s">
        <v>92</v>
      </c>
      <c r="F211" s="77" t="s">
        <v>58</v>
      </c>
      <c r="G211" s="77" t="s">
        <v>65</v>
      </c>
      <c r="H211" s="77" t="s">
        <v>290</v>
      </c>
      <c r="I211" s="77"/>
      <c r="J211" s="110"/>
      <c r="K211" s="77">
        <v>18</v>
      </c>
      <c r="L211" s="78">
        <v>1</v>
      </c>
      <c r="M211" s="79">
        <v>27531.67</v>
      </c>
      <c r="N211" s="79">
        <f>Table47910[[#This Row],[Expected Revenue]]*Table47910[[#This Row],[Probability]]</f>
        <v>27531.67</v>
      </c>
      <c r="O211" s="78">
        <v>0.56000000000000005</v>
      </c>
      <c r="P211" s="79">
        <f>Table47910[[#This Row],[Expected Revenue]]*Table47910[[#This Row],[Expected CMR]]</f>
        <v>15417.735200000001</v>
      </c>
      <c r="Q211" s="209"/>
    </row>
    <row r="212" spans="1:17" hidden="1">
      <c r="A212" s="75" t="s">
        <v>3148</v>
      </c>
      <c r="B212" s="76" t="s">
        <v>114</v>
      </c>
      <c r="C212" s="77" t="s">
        <v>57</v>
      </c>
      <c r="D212" s="102" t="s">
        <v>201</v>
      </c>
      <c r="E212" s="77" t="s">
        <v>92</v>
      </c>
      <c r="F212" s="77" t="s">
        <v>58</v>
      </c>
      <c r="G212" s="77" t="s">
        <v>65</v>
      </c>
      <c r="H212" s="77" t="s">
        <v>290</v>
      </c>
      <c r="I212" s="77"/>
      <c r="J212" s="110"/>
      <c r="K212" s="77">
        <v>18</v>
      </c>
      <c r="L212" s="78">
        <v>1</v>
      </c>
      <c r="M212" s="79">
        <v>59915</v>
      </c>
      <c r="N212" s="79">
        <f>Table47910[[#This Row],[Expected Revenue]]*Table47910[[#This Row],[Probability]]</f>
        <v>59915</v>
      </c>
      <c r="O212" s="78">
        <v>0.3</v>
      </c>
      <c r="P212" s="79">
        <f>Table47910[[#This Row],[Expected Revenue]]*Table47910[[#This Row],[Expected CMR]]</f>
        <v>17974.5</v>
      </c>
      <c r="Q212" s="209"/>
    </row>
    <row r="213" spans="1:17" hidden="1">
      <c r="A213" s="75" t="s">
        <v>3149</v>
      </c>
      <c r="B213" s="76" t="s">
        <v>104</v>
      </c>
      <c r="C213" s="77" t="s">
        <v>57</v>
      </c>
      <c r="D213" s="102" t="s">
        <v>210</v>
      </c>
      <c r="E213" s="77" t="s">
        <v>62</v>
      </c>
      <c r="F213" s="77" t="s">
        <v>58</v>
      </c>
      <c r="G213" s="77" t="s">
        <v>65</v>
      </c>
      <c r="H213" s="77" t="s">
        <v>290</v>
      </c>
      <c r="I213" s="77"/>
      <c r="J213" s="110"/>
      <c r="K213" s="77">
        <v>18</v>
      </c>
      <c r="L213" s="78">
        <v>1</v>
      </c>
      <c r="M213" s="79">
        <v>37560</v>
      </c>
      <c r="N213" s="79">
        <f>Table47910[[#This Row],[Expected Revenue]]*Table47910[[#This Row],[Probability]]</f>
        <v>37560</v>
      </c>
      <c r="O213" s="78">
        <v>0.3</v>
      </c>
      <c r="P213" s="79">
        <f>Table47910[[#This Row],[Expected Revenue]]*Table47910[[#This Row],[Expected CMR]]</f>
        <v>11268</v>
      </c>
      <c r="Q213" s="209"/>
    </row>
    <row r="214" spans="1:17" hidden="1">
      <c r="A214" s="75" t="s">
        <v>3150</v>
      </c>
      <c r="B214" s="76" t="s">
        <v>137</v>
      </c>
      <c r="C214" s="77" t="s">
        <v>57</v>
      </c>
      <c r="D214" s="102" t="s">
        <v>75</v>
      </c>
      <c r="E214" s="77" t="s">
        <v>83</v>
      </c>
      <c r="F214" s="77" t="s">
        <v>58</v>
      </c>
      <c r="G214" s="77" t="s">
        <v>65</v>
      </c>
      <c r="H214" s="77" t="s">
        <v>290</v>
      </c>
      <c r="I214" s="77"/>
      <c r="J214" s="110"/>
      <c r="K214" s="77">
        <v>2020</v>
      </c>
      <c r="L214" s="78">
        <v>1</v>
      </c>
      <c r="M214" s="79">
        <v>10620</v>
      </c>
      <c r="N214" s="79">
        <f>Table47910[[#This Row],[Expected Revenue]]*Table47910[[#This Row],[Probability]]</f>
        <v>10620</v>
      </c>
      <c r="O214" s="78">
        <v>0.3</v>
      </c>
      <c r="P214" s="79">
        <f>Table47910[[#This Row],[Expected Revenue]]*Table47910[[#This Row],[Expected CMR]]</f>
        <v>3186</v>
      </c>
      <c r="Q214" s="209"/>
    </row>
    <row r="215" spans="1:17" hidden="1">
      <c r="A215" s="75" t="s">
        <v>3151</v>
      </c>
      <c r="B215" s="76" t="s">
        <v>114</v>
      </c>
      <c r="C215" s="77" t="s">
        <v>57</v>
      </c>
      <c r="D215" s="102" t="s">
        <v>75</v>
      </c>
      <c r="E215" s="77" t="s">
        <v>83</v>
      </c>
      <c r="F215" s="77" t="s">
        <v>58</v>
      </c>
      <c r="G215" s="77" t="s">
        <v>65</v>
      </c>
      <c r="H215" s="77" t="s">
        <v>290</v>
      </c>
      <c r="I215" s="77"/>
      <c r="J215" s="110"/>
      <c r="K215" s="77">
        <v>2020</v>
      </c>
      <c r="L215" s="78">
        <v>1</v>
      </c>
      <c r="M215" s="79">
        <v>10620</v>
      </c>
      <c r="N215" s="79">
        <f>Table47910[[#This Row],[Expected Revenue]]*Table47910[[#This Row],[Probability]]</f>
        <v>10620</v>
      </c>
      <c r="O215" s="78">
        <v>0.3</v>
      </c>
      <c r="P215" s="79">
        <f>Table47910[[#This Row],[Expected Revenue]]*Table47910[[#This Row],[Expected CMR]]</f>
        <v>3186</v>
      </c>
      <c r="Q215" s="209"/>
    </row>
    <row r="216" spans="1:17" hidden="1">
      <c r="A216" s="176" t="s">
        <v>3152</v>
      </c>
      <c r="B216" s="82" t="s">
        <v>130</v>
      </c>
      <c r="C216" s="77" t="s">
        <v>57</v>
      </c>
      <c r="D216" s="103" t="s">
        <v>75</v>
      </c>
      <c r="E216" s="83" t="s">
        <v>83</v>
      </c>
      <c r="F216" s="83" t="s">
        <v>58</v>
      </c>
      <c r="G216" s="83" t="s">
        <v>65</v>
      </c>
      <c r="H216" s="77" t="s">
        <v>290</v>
      </c>
      <c r="I216" s="83"/>
      <c r="J216" s="156"/>
      <c r="K216" s="77">
        <v>2020</v>
      </c>
      <c r="L216" s="84">
        <v>1</v>
      </c>
      <c r="M216" s="85">
        <v>10620</v>
      </c>
      <c r="N216" s="85">
        <f>Table47910[[#This Row],[Expected Revenue]]*Table47910[[#This Row],[Probability]]</f>
        <v>10620</v>
      </c>
      <c r="O216" s="84">
        <v>0.3</v>
      </c>
      <c r="P216" s="85">
        <f>Table47910[[#This Row],[Expected Revenue]]*Table47910[[#This Row],[Expected CMR]]</f>
        <v>3186</v>
      </c>
      <c r="Q216" s="209"/>
    </row>
    <row r="217" spans="1:17" hidden="1">
      <c r="A217" s="75" t="s">
        <v>3153</v>
      </c>
      <c r="B217" s="76" t="s">
        <v>117</v>
      </c>
      <c r="C217" s="77" t="s">
        <v>57</v>
      </c>
      <c r="D217" s="102" t="s">
        <v>75</v>
      </c>
      <c r="E217" s="77" t="s">
        <v>83</v>
      </c>
      <c r="F217" s="77" t="s">
        <v>58</v>
      </c>
      <c r="G217" s="77" t="s">
        <v>65</v>
      </c>
      <c r="H217" s="77" t="s">
        <v>290</v>
      </c>
      <c r="I217" s="77"/>
      <c r="J217" s="110" t="s">
        <v>230</v>
      </c>
      <c r="K217" s="77">
        <v>2020</v>
      </c>
      <c r="L217" s="78">
        <v>1</v>
      </c>
      <c r="M217" s="79">
        <v>10620</v>
      </c>
      <c r="N217" s="79">
        <f>Table47910[[#This Row],[Expected Revenue]]*Table47910[[#This Row],[Probability]]</f>
        <v>10620</v>
      </c>
      <c r="O217" s="78">
        <v>0.3</v>
      </c>
      <c r="P217" s="79">
        <f>Table47910[[#This Row],[Expected Revenue]]*Table47910[[#This Row],[Expected CMR]]</f>
        <v>3186</v>
      </c>
      <c r="Q217" s="209"/>
    </row>
    <row r="218" spans="1:17" hidden="1">
      <c r="A218" s="75" t="s">
        <v>3154</v>
      </c>
      <c r="B218" s="76" t="s">
        <v>146</v>
      </c>
      <c r="C218" s="77" t="s">
        <v>57</v>
      </c>
      <c r="D218" s="102" t="s">
        <v>75</v>
      </c>
      <c r="E218" s="77" t="s">
        <v>83</v>
      </c>
      <c r="F218" s="77" t="s">
        <v>58</v>
      </c>
      <c r="G218" s="77" t="s">
        <v>65</v>
      </c>
      <c r="H218" s="77" t="s">
        <v>290</v>
      </c>
      <c r="I218" s="77"/>
      <c r="J218" s="110"/>
      <c r="K218" s="77">
        <v>2020</v>
      </c>
      <c r="L218" s="78">
        <v>1</v>
      </c>
      <c r="M218" s="79">
        <v>10620</v>
      </c>
      <c r="N218" s="79">
        <f>Table47910[[#This Row],[Expected Revenue]]*Table47910[[#This Row],[Probability]]</f>
        <v>10620</v>
      </c>
      <c r="O218" s="78">
        <v>0.3</v>
      </c>
      <c r="P218" s="79">
        <f>Table47910[[#This Row],[Expected Revenue]]*Table47910[[#This Row],[Expected CMR]]</f>
        <v>3186</v>
      </c>
      <c r="Q218" s="209"/>
    </row>
    <row r="219" spans="1:17" hidden="1">
      <c r="A219" s="174"/>
      <c r="B219" s="82" t="s">
        <v>114</v>
      </c>
      <c r="C219" s="77" t="s">
        <v>3059</v>
      </c>
      <c r="D219" s="103" t="s">
        <v>3155</v>
      </c>
      <c r="E219" s="83" t="s">
        <v>92</v>
      </c>
      <c r="F219" s="83" t="s">
        <v>58</v>
      </c>
      <c r="G219" s="83" t="s">
        <v>295</v>
      </c>
      <c r="H219" s="77" t="s">
        <v>290</v>
      </c>
      <c r="I219" s="82"/>
      <c r="J219" s="156" t="s">
        <v>84</v>
      </c>
      <c r="K219" s="83">
        <v>2020</v>
      </c>
      <c r="L219" s="84">
        <v>1</v>
      </c>
      <c r="M219" s="85">
        <f>18622.27125*0.3</f>
        <v>5586.6813750000001</v>
      </c>
      <c r="N219" s="219">
        <f>Table47910[[#This Row],[Expected Revenue]]*Table47910[[#This Row],[Probability]]</f>
        <v>5586.6813750000001</v>
      </c>
      <c r="O219" s="78">
        <v>0.3</v>
      </c>
      <c r="P219" s="79">
        <f>Table47910[[#This Row],[Expected Revenue]]*Table47910[[#This Row],[Expected CMR]]</f>
        <v>1676.0044124999999</v>
      </c>
      <c r="Q219" s="210"/>
    </row>
    <row r="220" spans="1:17" hidden="1">
      <c r="A220" s="75" t="s">
        <v>3044</v>
      </c>
      <c r="B220" s="76" t="s">
        <v>137</v>
      </c>
      <c r="C220" s="77" t="s">
        <v>57</v>
      </c>
      <c r="D220" s="102" t="s">
        <v>113</v>
      </c>
      <c r="E220" s="77" t="s">
        <v>62</v>
      </c>
      <c r="F220" s="77" t="s">
        <v>58</v>
      </c>
      <c r="G220" s="77" t="s">
        <v>65</v>
      </c>
      <c r="H220" s="77" t="s">
        <v>290</v>
      </c>
      <c r="I220" s="77"/>
      <c r="J220" s="110" t="s">
        <v>230</v>
      </c>
      <c r="K220" s="83">
        <v>2020</v>
      </c>
      <c r="L220" s="78">
        <v>1</v>
      </c>
      <c r="M220" s="79">
        <v>11969</v>
      </c>
      <c r="N220" s="79">
        <f>Table47910[[#This Row],[Expected Revenue]]*Table47910[[#This Row],[Probability]]</f>
        <v>11969</v>
      </c>
      <c r="O220" s="84">
        <v>0.19</v>
      </c>
      <c r="P220" s="85">
        <f>Table47910[[#This Row],[Expected Revenue]]*Table47910[[#This Row],[Expected CMR]]</f>
        <v>2274.11</v>
      </c>
      <c r="Q220" s="209"/>
    </row>
    <row r="221" spans="1:17" hidden="1">
      <c r="A221" s="176" t="s">
        <v>3110</v>
      </c>
      <c r="B221" s="82" t="s">
        <v>117</v>
      </c>
      <c r="C221" s="77" t="s">
        <v>57</v>
      </c>
      <c r="D221" s="103" t="s">
        <v>91</v>
      </c>
      <c r="E221" s="77" t="s">
        <v>92</v>
      </c>
      <c r="F221" s="83" t="s">
        <v>58</v>
      </c>
      <c r="G221" s="83" t="s">
        <v>65</v>
      </c>
      <c r="H221" s="77" t="s">
        <v>290</v>
      </c>
      <c r="I221" s="83"/>
      <c r="J221" s="156" t="s">
        <v>80</v>
      </c>
      <c r="K221" s="83">
        <v>2020</v>
      </c>
      <c r="L221" s="84">
        <v>1</v>
      </c>
      <c r="M221" s="85">
        <f>75242/4</f>
        <v>18810.5</v>
      </c>
      <c r="N221" s="85">
        <f>Table47910[[#This Row],[Expected Revenue]]*Table47910[[#This Row],[Probability]]</f>
        <v>18810.5</v>
      </c>
      <c r="O221" s="84">
        <v>0.3</v>
      </c>
      <c r="P221" s="85">
        <f>Table47910[[#This Row],[Expected Revenue]]*Table47910[[#This Row],[Expected CMR]]</f>
        <v>5643.15</v>
      </c>
      <c r="Q221" s="209"/>
    </row>
    <row r="222" spans="1:17" hidden="1">
      <c r="A222" s="176" t="s">
        <v>3109</v>
      </c>
      <c r="B222" s="82" t="s">
        <v>117</v>
      </c>
      <c r="C222" s="77" t="s">
        <v>57</v>
      </c>
      <c r="D222" s="103" t="s">
        <v>113</v>
      </c>
      <c r="E222" s="77" t="s">
        <v>62</v>
      </c>
      <c r="F222" s="83" t="s">
        <v>58</v>
      </c>
      <c r="G222" s="83" t="s">
        <v>65</v>
      </c>
      <c r="H222" s="77" t="s">
        <v>290</v>
      </c>
      <c r="I222" s="83"/>
      <c r="J222" s="110" t="s">
        <v>230</v>
      </c>
      <c r="K222" s="83">
        <v>2020</v>
      </c>
      <c r="L222" s="84">
        <v>1</v>
      </c>
      <c r="M222" s="85">
        <v>1969</v>
      </c>
      <c r="N222" s="85">
        <f>Table47910[[#This Row],[Expected Revenue]]*Table47910[[#This Row],[Probability]]</f>
        <v>1969</v>
      </c>
      <c r="O222" s="84">
        <v>0.3</v>
      </c>
      <c r="P222" s="85">
        <f>Table47910[[#This Row],[Expected Revenue]]*Table47910[[#This Row],[Expected CMR]]</f>
        <v>590.69999999999993</v>
      </c>
      <c r="Q222" s="209"/>
    </row>
    <row r="223" spans="1:17" hidden="1">
      <c r="A223" s="75" t="s">
        <v>3099</v>
      </c>
      <c r="B223" s="76" t="s">
        <v>137</v>
      </c>
      <c r="C223" s="77" t="s">
        <v>57</v>
      </c>
      <c r="D223" s="102" t="s">
        <v>214</v>
      </c>
      <c r="E223" s="77" t="s">
        <v>92</v>
      </c>
      <c r="F223" s="77" t="s">
        <v>58</v>
      </c>
      <c r="G223" s="77" t="s">
        <v>65</v>
      </c>
      <c r="H223" s="77" t="s">
        <v>290</v>
      </c>
      <c r="I223" s="77"/>
      <c r="J223" s="110" t="s">
        <v>80</v>
      </c>
      <c r="K223" s="83">
        <v>2020</v>
      </c>
      <c r="L223" s="78">
        <v>1</v>
      </c>
      <c r="M223" s="79">
        <v>10000</v>
      </c>
      <c r="N223" s="79">
        <f>Table47910[[#This Row],[Expected Revenue]]*Table47910[[#This Row],[Probability]]</f>
        <v>10000</v>
      </c>
      <c r="O223" s="78">
        <v>0.3</v>
      </c>
      <c r="P223" s="79">
        <v>3000</v>
      </c>
      <c r="Q223" s="209"/>
    </row>
    <row r="224" spans="1:17" hidden="1">
      <c r="A224" s="75" t="s">
        <v>3043</v>
      </c>
      <c r="B224" s="76" t="s">
        <v>117</v>
      </c>
      <c r="C224" s="77" t="s">
        <v>57</v>
      </c>
      <c r="D224" s="102" t="s">
        <v>112</v>
      </c>
      <c r="E224" s="77" t="s">
        <v>71</v>
      </c>
      <c r="F224" s="77" t="s">
        <v>58</v>
      </c>
      <c r="G224" s="77" t="s">
        <v>65</v>
      </c>
      <c r="H224" s="77" t="s">
        <v>290</v>
      </c>
      <c r="I224" s="77"/>
      <c r="J224" s="110" t="s">
        <v>80</v>
      </c>
      <c r="K224" s="83">
        <v>2020</v>
      </c>
      <c r="L224" s="78">
        <v>1</v>
      </c>
      <c r="M224" s="79">
        <f>30939-15000</f>
        <v>15939</v>
      </c>
      <c r="N224" s="79">
        <f>Table47910[[#This Row],[Expected Revenue]]*Table47910[[#This Row],[Probability]]</f>
        <v>15939</v>
      </c>
      <c r="O224" s="78">
        <v>0.3</v>
      </c>
      <c r="P224" s="79">
        <f>Table47910[[#This Row],[Expected Revenue]]*Table47910[[#This Row],[Expected CMR]]</f>
        <v>4781.7</v>
      </c>
      <c r="Q224" s="209"/>
    </row>
    <row r="225" spans="1:17" hidden="1">
      <c r="A225" s="75" t="s">
        <v>3111</v>
      </c>
      <c r="B225" s="76" t="s">
        <v>117</v>
      </c>
      <c r="C225" s="77" t="s">
        <v>57</v>
      </c>
      <c r="D225" s="102" t="s">
        <v>82</v>
      </c>
      <c r="E225" s="77" t="s">
        <v>62</v>
      </c>
      <c r="F225" s="77" t="s">
        <v>58</v>
      </c>
      <c r="G225" s="77" t="s">
        <v>65</v>
      </c>
      <c r="H225" s="77" t="s">
        <v>290</v>
      </c>
      <c r="I225" s="77"/>
      <c r="J225" s="110" t="s">
        <v>80</v>
      </c>
      <c r="K225" s="83">
        <v>2020</v>
      </c>
      <c r="L225" s="78">
        <v>1</v>
      </c>
      <c r="M225" s="79">
        <v>13900</v>
      </c>
      <c r="N225" s="79">
        <f>Table47910[[#This Row],[Expected Revenue]]*Table47910[[#This Row],[Probability]]</f>
        <v>13900</v>
      </c>
      <c r="O225" s="78">
        <v>0.3</v>
      </c>
      <c r="P225" s="79">
        <f>Table47910[[#This Row],[Expected Revenue]]*Table47910[[#This Row],[Expected CMR]]</f>
        <v>4170</v>
      </c>
      <c r="Q225" s="209"/>
    </row>
    <row r="226" spans="1:17" hidden="1">
      <c r="A226" s="75" t="s">
        <v>3156</v>
      </c>
      <c r="B226" s="76" t="s">
        <v>117</v>
      </c>
      <c r="C226" s="77" t="s">
        <v>57</v>
      </c>
      <c r="D226" s="102" t="s">
        <v>252</v>
      </c>
      <c r="E226" s="77" t="s">
        <v>92</v>
      </c>
      <c r="F226" s="77" t="s">
        <v>58</v>
      </c>
      <c r="G226" s="77" t="s">
        <v>65</v>
      </c>
      <c r="H226" s="77" t="s">
        <v>290</v>
      </c>
      <c r="I226" s="77"/>
      <c r="J226" s="110" t="s">
        <v>80</v>
      </c>
      <c r="K226" s="83">
        <v>2020</v>
      </c>
      <c r="L226" s="78">
        <v>1</v>
      </c>
      <c r="M226" s="79">
        <v>20000</v>
      </c>
      <c r="N226" s="79">
        <f>Table47910[[#This Row],[Expected Revenue]]*Table47910[[#This Row],[Probability]]</f>
        <v>20000</v>
      </c>
      <c r="O226" s="78">
        <v>0.3</v>
      </c>
      <c r="P226" s="79">
        <v>6000</v>
      </c>
      <c r="Q226" s="209"/>
    </row>
    <row r="227" spans="1:17" hidden="1">
      <c r="A227" s="75" t="s">
        <v>3077</v>
      </c>
      <c r="B227" s="76" t="s">
        <v>122</v>
      </c>
      <c r="C227" s="77" t="s">
        <v>57</v>
      </c>
      <c r="D227" s="102" t="s">
        <v>113</v>
      </c>
      <c r="E227" s="77" t="s">
        <v>62</v>
      </c>
      <c r="F227" s="77" t="s">
        <v>58</v>
      </c>
      <c r="G227" s="77" t="s">
        <v>65</v>
      </c>
      <c r="H227" s="77" t="s">
        <v>290</v>
      </c>
      <c r="I227" s="77"/>
      <c r="J227" s="110" t="s">
        <v>230</v>
      </c>
      <c r="K227" s="83">
        <v>2020</v>
      </c>
      <c r="L227" s="78">
        <v>1</v>
      </c>
      <c r="M227" s="79">
        <v>31969</v>
      </c>
      <c r="N227" s="79">
        <f>Table47910[[#This Row],[Expected Revenue]]*Table47910[[#This Row],[Probability]]</f>
        <v>31969</v>
      </c>
      <c r="O227" s="78">
        <v>0.3</v>
      </c>
      <c r="P227" s="79">
        <f>Table47910[[#This Row],[Expected Revenue]]*Table47910[[#This Row],[Expected CMR]]</f>
        <v>9590.6999999999989</v>
      </c>
      <c r="Q227" s="209"/>
    </row>
    <row r="228" spans="1:17" hidden="1">
      <c r="A228" s="75" t="s">
        <v>3047</v>
      </c>
      <c r="B228" s="76" t="s">
        <v>73</v>
      </c>
      <c r="C228" s="77" t="s">
        <v>57</v>
      </c>
      <c r="D228" s="102" t="s">
        <v>112</v>
      </c>
      <c r="E228" s="77" t="s">
        <v>71</v>
      </c>
      <c r="F228" s="77" t="s">
        <v>58</v>
      </c>
      <c r="G228" s="77" t="s">
        <v>65</v>
      </c>
      <c r="H228" s="77" t="s">
        <v>290</v>
      </c>
      <c r="I228" s="77"/>
      <c r="J228" s="110" t="s">
        <v>93</v>
      </c>
      <c r="K228" s="83">
        <v>2020</v>
      </c>
      <c r="L228" s="78">
        <v>1</v>
      </c>
      <c r="M228" s="79">
        <v>30939</v>
      </c>
      <c r="N228" s="79">
        <f>Table47910[[#This Row],[Expected Revenue]]*Table47910[[#This Row],[Probability]]</f>
        <v>30939</v>
      </c>
      <c r="O228" s="78">
        <v>0.3</v>
      </c>
      <c r="P228" s="79">
        <f>Table47910[[#This Row],[Expected Revenue]]*Table47910[[#This Row],[Expected CMR]]</f>
        <v>9281.6999999999989</v>
      </c>
      <c r="Q228" s="209"/>
    </row>
    <row r="229" spans="1:17" hidden="1">
      <c r="A229" s="75" t="s">
        <v>3090</v>
      </c>
      <c r="B229" s="76" t="s">
        <v>130</v>
      </c>
      <c r="C229" s="77" t="s">
        <v>57</v>
      </c>
      <c r="D229" s="102" t="s">
        <v>91</v>
      </c>
      <c r="E229" s="77" t="s">
        <v>92</v>
      </c>
      <c r="F229" s="77" t="s">
        <v>58</v>
      </c>
      <c r="G229" s="77" t="s">
        <v>65</v>
      </c>
      <c r="H229" s="77" t="s">
        <v>290</v>
      </c>
      <c r="I229" s="77"/>
      <c r="J229" s="110" t="s">
        <v>80</v>
      </c>
      <c r="K229" s="83">
        <v>2020</v>
      </c>
      <c r="L229" s="78">
        <v>1</v>
      </c>
      <c r="M229" s="79">
        <f>75242/4</f>
        <v>18810.5</v>
      </c>
      <c r="N229" s="79">
        <f>Table47910[[#This Row],[Expected Revenue]]*Table47910[[#This Row],[Probability]]</f>
        <v>18810.5</v>
      </c>
      <c r="O229" s="78">
        <v>0.3</v>
      </c>
      <c r="P229" s="79">
        <f>Table47910[[#This Row],[Expected Revenue]]*Table47910[[#This Row],[Expected CMR]]</f>
        <v>5643.15</v>
      </c>
      <c r="Q229" s="209"/>
    </row>
    <row r="230" spans="1:17" hidden="1">
      <c r="A230" s="173" t="s">
        <v>3157</v>
      </c>
      <c r="B230" s="76" t="s">
        <v>487</v>
      </c>
      <c r="C230" s="77" t="s">
        <v>57</v>
      </c>
      <c r="D230" s="102" t="s">
        <v>3158</v>
      </c>
      <c r="E230" s="77" t="s">
        <v>251</v>
      </c>
      <c r="F230" s="77" t="s">
        <v>58</v>
      </c>
      <c r="G230" s="77" t="s">
        <v>65</v>
      </c>
      <c r="H230" s="77" t="s">
        <v>290</v>
      </c>
      <c r="I230" s="76"/>
      <c r="J230" s="110" t="s">
        <v>222</v>
      </c>
      <c r="K230" s="83">
        <v>2020</v>
      </c>
      <c r="L230" s="78">
        <v>1</v>
      </c>
      <c r="M230" s="79">
        <v>17000</v>
      </c>
      <c r="N230" s="86">
        <f>Table47910[[#This Row],[Expected Revenue]]*Table47910[[#This Row],[Probability]]</f>
        <v>17000</v>
      </c>
      <c r="O230" s="78">
        <v>0.3</v>
      </c>
      <c r="P230" s="86">
        <f>Table47910[[#This Row],[Expected Revenue]]*Table47910[[#This Row],[Expected CMR]]</f>
        <v>5100</v>
      </c>
      <c r="Q230" s="210" t="s">
        <v>3159</v>
      </c>
    </row>
    <row r="231" spans="1:17" hidden="1">
      <c r="A231" s="173"/>
      <c r="B231" s="76" t="s">
        <v>323</v>
      </c>
      <c r="C231" s="77" t="s">
        <v>283</v>
      </c>
      <c r="D231" s="102" t="s">
        <v>92</v>
      </c>
      <c r="E231" s="77" t="s">
        <v>92</v>
      </c>
      <c r="F231" s="77" t="s">
        <v>58</v>
      </c>
      <c r="G231" s="77" t="s">
        <v>257</v>
      </c>
      <c r="H231" s="77" t="s">
        <v>257</v>
      </c>
      <c r="I231" s="76"/>
      <c r="J231" s="110"/>
      <c r="K231" s="83">
        <v>2020</v>
      </c>
      <c r="L231" s="78">
        <v>0.5</v>
      </c>
      <c r="M231" s="79">
        <v>10000</v>
      </c>
      <c r="N231" s="215">
        <f>Table47910[[#This Row],[Expected Revenue]]*Table47910[[#This Row],[Probability]]</f>
        <v>5000</v>
      </c>
      <c r="O231" s="78">
        <v>0.3</v>
      </c>
      <c r="P231" s="86">
        <f>Table47910[[#This Row],[Expected Revenue]]*Table47910[[#This Row],[Expected CMR]]</f>
        <v>3000</v>
      </c>
      <c r="Q231" s="209"/>
    </row>
    <row r="232" spans="1:17" hidden="1">
      <c r="A232" s="173"/>
      <c r="B232" s="76" t="s">
        <v>323</v>
      </c>
      <c r="C232" s="77" t="s">
        <v>283</v>
      </c>
      <c r="D232" s="102" t="s">
        <v>92</v>
      </c>
      <c r="E232" s="77" t="s">
        <v>92</v>
      </c>
      <c r="F232" s="77" t="s">
        <v>58</v>
      </c>
      <c r="G232" s="77" t="s">
        <v>257</v>
      </c>
      <c r="H232" s="77" t="s">
        <v>257</v>
      </c>
      <c r="I232" s="76"/>
      <c r="J232" s="110" t="s">
        <v>222</v>
      </c>
      <c r="K232" s="83">
        <v>2020</v>
      </c>
      <c r="L232" s="78">
        <v>1</v>
      </c>
      <c r="M232" s="79">
        <v>10000</v>
      </c>
      <c r="N232" s="86">
        <f>Table47910[[#This Row],[Expected Revenue]]*Table47910[[#This Row],[Probability]]</f>
        <v>10000</v>
      </c>
      <c r="O232" s="78">
        <v>0.3</v>
      </c>
      <c r="P232" s="86">
        <f>Table47910[[#This Row],[Expected Revenue]]*Table47910[[#This Row],[Expected CMR]]</f>
        <v>3000</v>
      </c>
      <c r="Q232" s="209" t="s">
        <v>3068</v>
      </c>
    </row>
    <row r="233" spans="1:17" hidden="1">
      <c r="A233" s="173"/>
      <c r="B233" s="76" t="s">
        <v>413</v>
      </c>
      <c r="C233" s="77" t="s">
        <v>283</v>
      </c>
      <c r="D233" s="102" t="s">
        <v>92</v>
      </c>
      <c r="E233" s="77" t="s">
        <v>92</v>
      </c>
      <c r="F233" s="77" t="s">
        <v>58</v>
      </c>
      <c r="G233" s="77" t="s">
        <v>257</v>
      </c>
      <c r="H233" s="77" t="s">
        <v>257</v>
      </c>
      <c r="I233" s="76"/>
      <c r="J233" s="110" t="s">
        <v>222</v>
      </c>
      <c r="K233" s="83">
        <v>2020</v>
      </c>
      <c r="L233" s="78">
        <v>1</v>
      </c>
      <c r="M233" s="79">
        <v>7000</v>
      </c>
      <c r="N233" s="86">
        <f>Table47910[[#This Row],[Expected Revenue]]*Table47910[[#This Row],[Probability]]</f>
        <v>7000</v>
      </c>
      <c r="O233" s="78">
        <v>0.3</v>
      </c>
      <c r="P233" s="86">
        <f>Table47910[[#This Row],[Expected Revenue]]*Table47910[[#This Row],[Expected CMR]]</f>
        <v>2100</v>
      </c>
      <c r="Q233" s="209" t="s">
        <v>3068</v>
      </c>
    </row>
    <row r="234" spans="1:17" hidden="1">
      <c r="A234" s="173"/>
      <c r="B234" s="76" t="s">
        <v>413</v>
      </c>
      <c r="C234" s="77" t="s">
        <v>283</v>
      </c>
      <c r="D234" s="102" t="s">
        <v>92</v>
      </c>
      <c r="E234" s="77" t="s">
        <v>92</v>
      </c>
      <c r="F234" s="77" t="s">
        <v>58</v>
      </c>
      <c r="G234" s="77" t="s">
        <v>257</v>
      </c>
      <c r="H234" s="77" t="s">
        <v>257</v>
      </c>
      <c r="I234" s="76"/>
      <c r="J234" s="110"/>
      <c r="K234" s="83">
        <v>2020</v>
      </c>
      <c r="L234" s="78">
        <v>0.5</v>
      </c>
      <c r="M234" s="79">
        <v>20000</v>
      </c>
      <c r="N234" s="215">
        <f>Table47910[[#This Row],[Expected Revenue]]*Table47910[[#This Row],[Probability]]</f>
        <v>10000</v>
      </c>
      <c r="O234" s="78">
        <v>0.3</v>
      </c>
      <c r="P234" s="86">
        <f>Table47910[[#This Row],[Expected Revenue]]*Table47910[[#This Row],[Expected CMR]]</f>
        <v>6000</v>
      </c>
      <c r="Q234" s="210"/>
    </row>
    <row r="235" spans="1:17" hidden="1">
      <c r="A235" s="75" t="s">
        <v>3095</v>
      </c>
      <c r="B235" s="76" t="s">
        <v>137</v>
      </c>
      <c r="C235" s="77" t="s">
        <v>57</v>
      </c>
      <c r="D235" s="102" t="s">
        <v>97</v>
      </c>
      <c r="E235" s="77" t="s">
        <v>92</v>
      </c>
      <c r="F235" s="77" t="s">
        <v>58</v>
      </c>
      <c r="G235" s="77" t="s">
        <v>65</v>
      </c>
      <c r="H235" s="77" t="s">
        <v>290</v>
      </c>
      <c r="I235" s="77"/>
      <c r="J235" s="110" t="s">
        <v>84</v>
      </c>
      <c r="K235" s="83">
        <v>2020</v>
      </c>
      <c r="L235" s="78">
        <v>1</v>
      </c>
      <c r="M235" s="79">
        <v>8622</v>
      </c>
      <c r="N235" s="214">
        <f>Table47910[[#This Row],[Expected Revenue]]*Table47910[[#This Row],[Probability]]</f>
        <v>8622</v>
      </c>
      <c r="O235" s="78">
        <v>0.3</v>
      </c>
      <c r="P235" s="79">
        <f>Table47910[[#This Row],[Expected Revenue]]*Table47910[[#This Row],[Expected CMR]]</f>
        <v>2586.6</v>
      </c>
      <c r="Q235" s="209"/>
    </row>
    <row r="236" spans="1:17" hidden="1">
      <c r="A236" s="75" t="s">
        <v>3160</v>
      </c>
      <c r="B236" s="76" t="s">
        <v>73</v>
      </c>
      <c r="C236" s="77" t="s">
        <v>57</v>
      </c>
      <c r="D236" s="102" t="s">
        <v>3161</v>
      </c>
      <c r="E236" s="77" t="s">
        <v>92</v>
      </c>
      <c r="F236" s="77" t="s">
        <v>58</v>
      </c>
      <c r="G236" s="77" t="s">
        <v>65</v>
      </c>
      <c r="H236" s="77" t="s">
        <v>290</v>
      </c>
      <c r="I236" s="77"/>
      <c r="J236" s="110" t="s">
        <v>229</v>
      </c>
      <c r="K236" s="83">
        <v>2020</v>
      </c>
      <c r="L236" s="78">
        <v>1</v>
      </c>
      <c r="M236" s="79">
        <v>4000</v>
      </c>
      <c r="N236" s="222">
        <f>Table47910[[#This Row],[Expected Revenue]]*Table47910[[#This Row],[Probability]]</f>
        <v>4000</v>
      </c>
      <c r="O236" s="78">
        <v>0.3</v>
      </c>
      <c r="P236" s="79">
        <f>Table47910[[#This Row],[Expected Revenue]]*Table47910[[#This Row],[Expected CMR]]</f>
        <v>1200</v>
      </c>
      <c r="Q236" s="209"/>
    </row>
    <row r="237" spans="1:17" hidden="1">
      <c r="A237" s="173"/>
      <c r="B237" s="202" t="s">
        <v>3162</v>
      </c>
      <c r="C237" s="77" t="s">
        <v>3163</v>
      </c>
      <c r="D237" s="102" t="s">
        <v>3164</v>
      </c>
      <c r="E237" s="77" t="s">
        <v>281</v>
      </c>
      <c r="F237" s="77" t="s">
        <v>58</v>
      </c>
      <c r="G237" s="77" t="s">
        <v>295</v>
      </c>
      <c r="H237" s="77" t="s">
        <v>290</v>
      </c>
      <c r="I237" s="76"/>
      <c r="J237" s="110" t="s">
        <v>84</v>
      </c>
      <c r="K237" s="83">
        <v>2020</v>
      </c>
      <c r="L237" s="78">
        <v>1</v>
      </c>
      <c r="M237" s="79">
        <v>9000</v>
      </c>
      <c r="N237" s="215">
        <f>Table47910[[#This Row],[Expected Revenue]]*Table47910[[#This Row],[Probability]]</f>
        <v>9000</v>
      </c>
      <c r="O237" s="78"/>
      <c r="P237" s="86">
        <f>Table47910[[#This Row],[Expected Revenue]]*Table47910[[#This Row],[Expected CMR]]</f>
        <v>0</v>
      </c>
      <c r="Q237" s="210"/>
    </row>
    <row r="238" spans="1:17" hidden="1">
      <c r="A238" s="75" t="s">
        <v>3038</v>
      </c>
      <c r="B238" s="76" t="s">
        <v>104</v>
      </c>
      <c r="C238" s="77" t="s">
        <v>57</v>
      </c>
      <c r="D238" s="102" t="s">
        <v>91</v>
      </c>
      <c r="E238" s="77" t="s">
        <v>92</v>
      </c>
      <c r="F238" s="77" t="s">
        <v>58</v>
      </c>
      <c r="G238" s="77" t="s">
        <v>65</v>
      </c>
      <c r="H238" s="77" t="s">
        <v>290</v>
      </c>
      <c r="I238" s="77"/>
      <c r="J238" s="110" t="s">
        <v>230</v>
      </c>
      <c r="K238" s="83">
        <v>2020</v>
      </c>
      <c r="L238" s="78">
        <v>1</v>
      </c>
      <c r="M238" s="79">
        <v>6810</v>
      </c>
      <c r="N238" s="79">
        <f>Table47910[[#This Row],[Expected Revenue]]*Table47910[[#This Row],[Probability]]</f>
        <v>6810</v>
      </c>
      <c r="O238" s="78">
        <v>0.3</v>
      </c>
      <c r="P238" s="79">
        <f>Table47910[[#This Row],[Expected Revenue]]*Table47910[[#This Row],[Expected CMR]]</f>
        <v>2043</v>
      </c>
      <c r="Q238" s="209"/>
    </row>
    <row r="239" spans="1:17" hidden="1">
      <c r="A239" s="75" t="s">
        <v>3095</v>
      </c>
      <c r="B239" s="76" t="s">
        <v>137</v>
      </c>
      <c r="C239" s="77" t="s">
        <v>57</v>
      </c>
      <c r="D239" s="102" t="s">
        <v>91</v>
      </c>
      <c r="E239" s="77" t="s">
        <v>92</v>
      </c>
      <c r="F239" s="77" t="s">
        <v>58</v>
      </c>
      <c r="G239" s="77" t="s">
        <v>65</v>
      </c>
      <c r="H239" s="77" t="s">
        <v>290</v>
      </c>
      <c r="I239" s="77"/>
      <c r="J239" s="110" t="s">
        <v>230</v>
      </c>
      <c r="K239" s="83">
        <v>2020</v>
      </c>
      <c r="L239" s="78">
        <v>1</v>
      </c>
      <c r="M239" s="79">
        <f>75242/4</f>
        <v>18810.5</v>
      </c>
      <c r="N239" s="79">
        <f>Table47910[[#This Row],[Expected Revenue]]*Table47910[[#This Row],[Probability]]</f>
        <v>18810.5</v>
      </c>
      <c r="O239" s="78">
        <v>0.3</v>
      </c>
      <c r="P239" s="79">
        <f>Table47910[[#This Row],[Expected Revenue]]*Table47910[[#This Row],[Expected CMR]]</f>
        <v>5643.15</v>
      </c>
      <c r="Q239" s="209"/>
    </row>
    <row r="240" spans="1:17" hidden="1">
      <c r="A240" s="75" t="s">
        <v>3048</v>
      </c>
      <c r="B240" s="76" t="s">
        <v>73</v>
      </c>
      <c r="C240" s="77" t="s">
        <v>57</v>
      </c>
      <c r="D240" s="102" t="s">
        <v>113</v>
      </c>
      <c r="E240" s="77" t="s">
        <v>62</v>
      </c>
      <c r="F240" s="77" t="s">
        <v>58</v>
      </c>
      <c r="G240" s="77" t="s">
        <v>65</v>
      </c>
      <c r="H240" s="77" t="s">
        <v>290</v>
      </c>
      <c r="I240" s="77"/>
      <c r="J240" s="110" t="s">
        <v>93</v>
      </c>
      <c r="K240" s="83">
        <v>2020</v>
      </c>
      <c r="L240" s="78">
        <v>1</v>
      </c>
      <c r="M240" s="79">
        <v>30000</v>
      </c>
      <c r="N240" s="79">
        <f>Table47910[[#This Row],[Expected Revenue]]*Table47910[[#This Row],[Probability]]</f>
        <v>30000</v>
      </c>
      <c r="O240" s="78">
        <v>0.3</v>
      </c>
      <c r="P240" s="79">
        <f>Table47910[[#This Row],[Expected Revenue]]*Table47910[[#This Row],[Expected CMR]]</f>
        <v>9000</v>
      </c>
      <c r="Q240" s="209"/>
    </row>
    <row r="241" spans="1:17" hidden="1">
      <c r="A241" s="75" t="s">
        <v>3103</v>
      </c>
      <c r="B241" s="76" t="s">
        <v>146</v>
      </c>
      <c r="C241" s="77" t="s">
        <v>57</v>
      </c>
      <c r="D241" s="102" t="s">
        <v>91</v>
      </c>
      <c r="E241" s="77" t="s">
        <v>92</v>
      </c>
      <c r="F241" s="77" t="s">
        <v>58</v>
      </c>
      <c r="G241" s="77" t="s">
        <v>65</v>
      </c>
      <c r="H241" s="77" t="s">
        <v>290</v>
      </c>
      <c r="I241" s="77"/>
      <c r="J241" s="110" t="s">
        <v>230</v>
      </c>
      <c r="K241" s="83">
        <v>2020</v>
      </c>
      <c r="L241" s="78">
        <v>1</v>
      </c>
      <c r="M241" s="79">
        <f>75242/4</f>
        <v>18810.5</v>
      </c>
      <c r="N241" s="79">
        <f>Table47910[[#This Row],[Expected Revenue]]*Table47910[[#This Row],[Probability]]</f>
        <v>18810.5</v>
      </c>
      <c r="O241" s="78">
        <v>0.3</v>
      </c>
      <c r="P241" s="79">
        <f>Table47910[[#This Row],[Expected Revenue]]*Table47910[[#This Row],[Expected CMR]]</f>
        <v>5643.15</v>
      </c>
      <c r="Q241" s="209"/>
    </row>
    <row r="242" spans="1:17" hidden="1">
      <c r="A242" s="173"/>
      <c r="B242" s="76" t="s">
        <v>296</v>
      </c>
      <c r="C242" s="77"/>
      <c r="D242" s="76"/>
      <c r="E242" s="77" t="s">
        <v>251</v>
      </c>
      <c r="F242" s="77"/>
      <c r="G242" s="77"/>
      <c r="H242" s="77" t="s">
        <v>296</v>
      </c>
      <c r="I242" s="76"/>
      <c r="J242" s="110" t="s">
        <v>230</v>
      </c>
      <c r="K242" s="83">
        <v>2020</v>
      </c>
      <c r="L242" s="78">
        <v>1</v>
      </c>
      <c r="M242" s="79">
        <v>150000</v>
      </c>
      <c r="N242" s="86">
        <f>Table47910[[#This Row],[Expected Revenue]]*Table47910[[#This Row],[Probability]]</f>
        <v>150000</v>
      </c>
      <c r="O242" s="78">
        <v>0.3</v>
      </c>
      <c r="P242" s="86">
        <f>Table47910[[#This Row],[Expected Revenue]]*Table47910[[#This Row],[Expected CMR]]</f>
        <v>45000</v>
      </c>
      <c r="Q242" s="210"/>
    </row>
    <row r="243" spans="1:17" hidden="1">
      <c r="A243" s="173"/>
      <c r="B243" s="76" t="s">
        <v>3165</v>
      </c>
      <c r="C243" s="77" t="s">
        <v>398</v>
      </c>
      <c r="D243" s="102" t="s">
        <v>3143</v>
      </c>
      <c r="E243" s="77" t="s">
        <v>71</v>
      </c>
      <c r="F243" s="77" t="s">
        <v>158</v>
      </c>
      <c r="G243" s="77" t="s">
        <v>65</v>
      </c>
      <c r="H243" s="77" t="s">
        <v>290</v>
      </c>
      <c r="I243" s="77"/>
      <c r="J243" s="110" t="s">
        <v>68</v>
      </c>
      <c r="K243" s="77">
        <v>2019</v>
      </c>
      <c r="L243" s="78">
        <v>1</v>
      </c>
      <c r="M243" s="79">
        <v>50000</v>
      </c>
      <c r="N243" s="79">
        <f>Table47910[[#This Row],[Expected Revenue]]*Table47910[[#This Row],[Probability]]</f>
        <v>50000</v>
      </c>
      <c r="O243" s="78">
        <v>0.3</v>
      </c>
      <c r="P243" s="79">
        <f>Table47910[[#This Row],[Expected Revenue]]*Table47910[[#This Row],[Expected CMR]]</f>
        <v>15000</v>
      </c>
      <c r="Q243" s="209"/>
    </row>
    <row r="244" spans="1:17" hidden="1">
      <c r="A244" s="173"/>
      <c r="B244" s="76" t="s">
        <v>2725</v>
      </c>
      <c r="C244" s="77" t="s">
        <v>57</v>
      </c>
      <c r="D244" s="76" t="s">
        <v>3166</v>
      </c>
      <c r="E244" s="77"/>
      <c r="F244" s="77" t="s">
        <v>58</v>
      </c>
      <c r="G244" s="77"/>
      <c r="H244" s="77" t="s">
        <v>257</v>
      </c>
      <c r="I244" s="77" t="s">
        <v>3167</v>
      </c>
      <c r="J244" s="110" t="s">
        <v>231</v>
      </c>
      <c r="K244" s="77">
        <v>2019</v>
      </c>
      <c r="L244" s="78">
        <v>0.15</v>
      </c>
      <c r="M244" s="79">
        <v>29131</v>
      </c>
      <c r="N244" s="86">
        <f>Table47910[[#This Row],[Expected Revenue]]*Table47910[[#This Row],[Probability]]</f>
        <v>4369.6499999999996</v>
      </c>
      <c r="O244" s="78">
        <v>0.3</v>
      </c>
      <c r="P244" s="86">
        <f>Table47910[[#This Row],[Expected Revenue]]*Table47910[[#This Row],[Expected CMR]]</f>
        <v>8739.2999999999993</v>
      </c>
      <c r="Q244" s="210"/>
    </row>
    <row r="245" spans="1:17" hidden="1">
      <c r="A245" s="173"/>
      <c r="B245" s="76" t="s">
        <v>2725</v>
      </c>
      <c r="C245" s="77" t="s">
        <v>57</v>
      </c>
      <c r="D245" s="76" t="s">
        <v>3168</v>
      </c>
      <c r="E245" s="77"/>
      <c r="F245" s="77" t="s">
        <v>58</v>
      </c>
      <c r="G245" s="77"/>
      <c r="H245" s="77" t="s">
        <v>257</v>
      </c>
      <c r="I245" s="77" t="s">
        <v>3169</v>
      </c>
      <c r="J245" s="110" t="s">
        <v>231</v>
      </c>
      <c r="K245" s="77">
        <v>2019</v>
      </c>
      <c r="L245" s="78">
        <v>0.15</v>
      </c>
      <c r="M245" s="79">
        <v>3067</v>
      </c>
      <c r="N245" s="86">
        <f>Table47910[[#This Row],[Expected Revenue]]*Table47910[[#This Row],[Probability]]</f>
        <v>460.05</v>
      </c>
      <c r="O245" s="78">
        <v>0.3</v>
      </c>
      <c r="P245" s="86">
        <f>Table47910[[#This Row],[Expected Revenue]]*Table47910[[#This Row],[Expected CMR]]</f>
        <v>920.1</v>
      </c>
      <c r="Q245" s="210"/>
    </row>
    <row r="246" spans="1:17" hidden="1">
      <c r="A246" s="173"/>
      <c r="B246" s="76" t="s">
        <v>296</v>
      </c>
      <c r="C246" s="77"/>
      <c r="D246" s="102"/>
      <c r="E246" s="77" t="s">
        <v>251</v>
      </c>
      <c r="F246" s="77"/>
      <c r="G246" s="77"/>
      <c r="H246" s="77" t="s">
        <v>296</v>
      </c>
      <c r="I246" s="76"/>
      <c r="J246" s="110" t="s">
        <v>68</v>
      </c>
      <c r="K246" s="77">
        <v>2019</v>
      </c>
      <c r="L246" s="78">
        <v>1</v>
      </c>
      <c r="M246" s="79">
        <v>100000</v>
      </c>
      <c r="N246" s="86">
        <f>Table47910[[#This Row],[Expected Revenue]]*Table47910[[#This Row],[Probability]]</f>
        <v>100000</v>
      </c>
      <c r="O246" s="78">
        <v>0.3</v>
      </c>
      <c r="P246" s="86">
        <f>Table47910[[#This Row],[Expected Revenue]]*Table47910[[#This Row],[Expected CMR]]</f>
        <v>30000</v>
      </c>
      <c r="Q246" s="210"/>
    </row>
    <row r="247" spans="1:17" hidden="1">
      <c r="A247" s="173"/>
      <c r="B247" s="76" t="s">
        <v>2451</v>
      </c>
      <c r="C247" s="77" t="s">
        <v>172</v>
      </c>
      <c r="D247" s="102" t="s">
        <v>3170</v>
      </c>
      <c r="E247" s="77" t="s">
        <v>3146</v>
      </c>
      <c r="F247" s="77" t="s">
        <v>158</v>
      </c>
      <c r="G247" s="77" t="s">
        <v>256</v>
      </c>
      <c r="H247" s="77" t="s">
        <v>290</v>
      </c>
      <c r="I247" s="77"/>
      <c r="J247" s="110" t="s">
        <v>68</v>
      </c>
      <c r="K247" s="77">
        <v>2019</v>
      </c>
      <c r="L247" s="78">
        <v>1</v>
      </c>
      <c r="M247" s="79">
        <v>10000</v>
      </c>
      <c r="N247" s="79">
        <f>Table47910[[#This Row],[Expected Revenue]]*Table47910[[#This Row],[Probability]]</f>
        <v>10000</v>
      </c>
      <c r="O247" s="78">
        <v>0.3</v>
      </c>
      <c r="P247" s="79">
        <f>Table47910[[#This Row],[Expected Revenue]]*Table47910[[#This Row],[Expected CMR]]</f>
        <v>3000</v>
      </c>
      <c r="Q247" s="209"/>
    </row>
    <row r="248" spans="1:17" hidden="1">
      <c r="A248" s="75" t="s">
        <v>3171</v>
      </c>
      <c r="B248" s="76" t="s">
        <v>73</v>
      </c>
      <c r="C248" s="77" t="s">
        <v>57</v>
      </c>
      <c r="D248" s="102" t="s">
        <v>3155</v>
      </c>
      <c r="E248" s="77" t="s">
        <v>92</v>
      </c>
      <c r="F248" s="77" t="s">
        <v>58</v>
      </c>
      <c r="G248" s="77" t="s">
        <v>65</v>
      </c>
      <c r="H248" s="77" t="s">
        <v>290</v>
      </c>
      <c r="I248" s="77"/>
      <c r="J248" s="110" t="s">
        <v>229</v>
      </c>
      <c r="K248" s="77">
        <v>2020</v>
      </c>
      <c r="L248" s="78">
        <v>1</v>
      </c>
      <c r="M248" s="79">
        <v>5040</v>
      </c>
      <c r="N248" s="222">
        <f>Table47910[[#This Row],[Expected Revenue]]*Table47910[[#This Row],[Probability]]</f>
        <v>5040</v>
      </c>
      <c r="O248" s="78">
        <v>0.3</v>
      </c>
      <c r="P248" s="79">
        <f>Table47910[[#This Row],[Expected Revenue]]*Table47910[[#This Row],[Expected CMR]]</f>
        <v>1512</v>
      </c>
      <c r="Q248" s="209"/>
    </row>
    <row r="249" spans="1:17" hidden="1">
      <c r="A249" s="173"/>
      <c r="B249" s="76" t="s">
        <v>137</v>
      </c>
      <c r="C249" s="77" t="s">
        <v>57</v>
      </c>
      <c r="D249" s="76" t="s">
        <v>272</v>
      </c>
      <c r="E249" s="77" t="s">
        <v>92</v>
      </c>
      <c r="F249" s="77" t="s">
        <v>58</v>
      </c>
      <c r="G249" s="77" t="s">
        <v>65</v>
      </c>
      <c r="H249" s="77" t="s">
        <v>290</v>
      </c>
      <c r="I249" s="77"/>
      <c r="J249" s="110" t="s">
        <v>222</v>
      </c>
      <c r="K249" s="77">
        <v>2020</v>
      </c>
      <c r="L249" s="78">
        <v>1</v>
      </c>
      <c r="M249" s="79">
        <v>15000</v>
      </c>
      <c r="N249" s="86">
        <f>Table47910[[#This Row],[Expected Revenue]]*Table47910[[#This Row],[Probability]]</f>
        <v>15000</v>
      </c>
      <c r="O249" s="78">
        <v>0.3</v>
      </c>
      <c r="P249" s="86">
        <f>Table47910[[#This Row],[Expected Revenue]]*Table47910[[#This Row],[Expected CMR]]</f>
        <v>4500</v>
      </c>
      <c r="Q249" s="210" t="s">
        <v>3159</v>
      </c>
    </row>
    <row r="250" spans="1:17" hidden="1">
      <c r="A250" s="75" t="s">
        <v>3061</v>
      </c>
      <c r="B250" s="76" t="s">
        <v>114</v>
      </c>
      <c r="C250" s="77" t="s">
        <v>57</v>
      </c>
      <c r="D250" s="102" t="s">
        <v>91</v>
      </c>
      <c r="E250" s="77" t="s">
        <v>92</v>
      </c>
      <c r="F250" s="77" t="s">
        <v>58</v>
      </c>
      <c r="G250" s="77" t="s">
        <v>65</v>
      </c>
      <c r="H250" s="77" t="s">
        <v>290</v>
      </c>
      <c r="I250" s="77"/>
      <c r="J250" s="110" t="s">
        <v>230</v>
      </c>
      <c r="K250" s="77">
        <v>2020</v>
      </c>
      <c r="L250" s="78">
        <v>1</v>
      </c>
      <c r="M250" s="79">
        <f>75242/4</f>
        <v>18810.5</v>
      </c>
      <c r="N250" s="79">
        <f>Table47910[[#This Row],[Expected Revenue]]*Table47910[[#This Row],[Probability]]</f>
        <v>18810.5</v>
      </c>
      <c r="O250" s="78">
        <v>0.3</v>
      </c>
      <c r="P250" s="79">
        <f>Table47910[[#This Row],[Expected Revenue]]*Table47910[[#This Row],[Expected CMR]]</f>
        <v>5643.15</v>
      </c>
      <c r="Q250" s="209"/>
    </row>
    <row r="251" spans="1:17" hidden="1">
      <c r="A251" s="173" t="s">
        <v>3172</v>
      </c>
      <c r="B251" s="76" t="s">
        <v>487</v>
      </c>
      <c r="C251" s="77" t="s">
        <v>57</v>
      </c>
      <c r="D251" s="102" t="s">
        <v>3173</v>
      </c>
      <c r="E251" s="77" t="s">
        <v>62</v>
      </c>
      <c r="F251" s="77" t="s">
        <v>58</v>
      </c>
      <c r="G251" s="77" t="s">
        <v>65</v>
      </c>
      <c r="H251" s="77" t="s">
        <v>290</v>
      </c>
      <c r="I251" s="76"/>
      <c r="J251" s="110" t="s">
        <v>84</v>
      </c>
      <c r="K251" s="77">
        <v>2020</v>
      </c>
      <c r="L251" s="78">
        <v>1</v>
      </c>
      <c r="M251" s="79">
        <v>12000</v>
      </c>
      <c r="N251" s="215">
        <f>Table47910[[#This Row],[Expected Revenue]]*Table47910[[#This Row],[Probability]]</f>
        <v>12000</v>
      </c>
      <c r="O251" s="78">
        <v>0.3</v>
      </c>
      <c r="P251" s="86">
        <f>Table47910[[#This Row],[Expected Revenue]]*Table47910[[#This Row],[Expected CMR]]</f>
        <v>3600</v>
      </c>
      <c r="Q251" s="210"/>
    </row>
    <row r="252" spans="1:17" hidden="1">
      <c r="A252" s="173" t="s">
        <v>3172</v>
      </c>
      <c r="B252" s="76" t="s">
        <v>487</v>
      </c>
      <c r="C252" s="77" t="s">
        <v>57</v>
      </c>
      <c r="D252" s="102" t="s">
        <v>3174</v>
      </c>
      <c r="E252" s="77" t="s">
        <v>62</v>
      </c>
      <c r="F252" s="77" t="s">
        <v>58</v>
      </c>
      <c r="G252" s="77" t="s">
        <v>65</v>
      </c>
      <c r="H252" s="77" t="s">
        <v>290</v>
      </c>
      <c r="I252" s="76"/>
      <c r="J252" s="110" t="s">
        <v>231</v>
      </c>
      <c r="K252" s="77">
        <v>2020</v>
      </c>
      <c r="L252" s="78">
        <v>1</v>
      </c>
      <c r="M252" s="79">
        <v>12000</v>
      </c>
      <c r="N252" s="223">
        <v>13000</v>
      </c>
      <c r="O252" s="78">
        <v>0.3</v>
      </c>
      <c r="P252" s="86">
        <f>Table47910[[#This Row],[Expected Revenue]]*Table47910[[#This Row],[Expected CMR]]</f>
        <v>3600</v>
      </c>
      <c r="Q252" s="210"/>
    </row>
    <row r="253" spans="1:17" hidden="1">
      <c r="A253" s="75" t="s">
        <v>3175</v>
      </c>
      <c r="B253" s="76" t="s">
        <v>122</v>
      </c>
      <c r="C253" s="77" t="s">
        <v>57</v>
      </c>
      <c r="D253" s="102" t="s">
        <v>107</v>
      </c>
      <c r="E253" s="77" t="s">
        <v>291</v>
      </c>
      <c r="F253" s="77" t="s">
        <v>58</v>
      </c>
      <c r="G253" s="77" t="s">
        <v>65</v>
      </c>
      <c r="H253" s="77" t="s">
        <v>290</v>
      </c>
      <c r="I253" s="77"/>
      <c r="J253" s="110" t="s">
        <v>230</v>
      </c>
      <c r="K253" s="77">
        <v>2020</v>
      </c>
      <c r="L253" s="78">
        <v>1</v>
      </c>
      <c r="M253" s="79">
        <v>15000</v>
      </c>
      <c r="N253" s="79">
        <f>Table47910[[#This Row],[Expected Revenue]]*Table47910[[#This Row],[Probability]]</f>
        <v>15000</v>
      </c>
      <c r="O253" s="78">
        <v>0.3</v>
      </c>
      <c r="P253" s="79">
        <f>Table47910[[#This Row],[Expected Revenue]]*Table47910[[#This Row],[Expected CMR]]</f>
        <v>4500</v>
      </c>
      <c r="Q253" s="209"/>
    </row>
    <row r="254" spans="1:17" hidden="1">
      <c r="A254" s="173"/>
      <c r="B254" s="76" t="s">
        <v>3058</v>
      </c>
      <c r="C254" s="77" t="s">
        <v>3059</v>
      </c>
      <c r="D254" s="102" t="s">
        <v>3176</v>
      </c>
      <c r="E254" s="77" t="s">
        <v>291</v>
      </c>
      <c r="F254" s="77" t="s">
        <v>58</v>
      </c>
      <c r="G254" s="77" t="s">
        <v>295</v>
      </c>
      <c r="H254" s="77" t="s">
        <v>290</v>
      </c>
      <c r="I254" s="77"/>
      <c r="J254" s="110" t="s">
        <v>230</v>
      </c>
      <c r="K254" s="77">
        <v>2020</v>
      </c>
      <c r="L254" s="78">
        <v>1</v>
      </c>
      <c r="M254" s="79">
        <v>58784.22</v>
      </c>
      <c r="N254" s="86">
        <f>Table47910[[#This Row],[Expected Revenue]]*Table47910[[#This Row],[Probability]]</f>
        <v>58784.22</v>
      </c>
      <c r="O254" s="78">
        <v>0.3</v>
      </c>
      <c r="P254" s="86">
        <f>Table47910[[#This Row],[Expected Revenue]]*Table47910[[#This Row],[Expected CMR]]</f>
        <v>17635.266</v>
      </c>
      <c r="Q254" s="210"/>
    </row>
    <row r="255" spans="1:17" hidden="1">
      <c r="A255" s="173"/>
      <c r="B255" s="76" t="s">
        <v>137</v>
      </c>
      <c r="C255" s="77" t="s">
        <v>3059</v>
      </c>
      <c r="D255" s="102" t="s">
        <v>3176</v>
      </c>
      <c r="E255" s="77" t="s">
        <v>291</v>
      </c>
      <c r="F255" s="77" t="s">
        <v>58</v>
      </c>
      <c r="G255" s="77" t="s">
        <v>65</v>
      </c>
      <c r="H255" s="77" t="s">
        <v>290</v>
      </c>
      <c r="I255" s="77"/>
      <c r="J255" s="110" t="s">
        <v>139</v>
      </c>
      <c r="K255" s="77">
        <v>2020</v>
      </c>
      <c r="L255" s="78">
        <v>1</v>
      </c>
      <c r="M255" s="79">
        <v>59378</v>
      </c>
      <c r="N255" s="86">
        <f>Table47910[[#This Row],[Expected Revenue]]*Table47910[[#This Row],[Probability]]</f>
        <v>59378</v>
      </c>
      <c r="O255" s="78">
        <v>0.3</v>
      </c>
      <c r="P255" s="86">
        <f>Table47910[[#This Row],[Expected Revenue]]*Table47910[[#This Row],[Expected CMR]]</f>
        <v>17813.399999999998</v>
      </c>
      <c r="Q255" s="210"/>
    </row>
    <row r="256" spans="1:17" hidden="1">
      <c r="A256" s="75" t="s">
        <v>3062</v>
      </c>
      <c r="B256" s="76" t="s">
        <v>122</v>
      </c>
      <c r="C256" s="77" t="s">
        <v>57</v>
      </c>
      <c r="D256" s="102" t="s">
        <v>71</v>
      </c>
      <c r="E256" s="77" t="s">
        <v>71</v>
      </c>
      <c r="F256" s="77" t="s">
        <v>58</v>
      </c>
      <c r="G256" s="77" t="s">
        <v>65</v>
      </c>
      <c r="H256" s="77" t="s">
        <v>290</v>
      </c>
      <c r="I256" s="77"/>
      <c r="J256" s="110" t="s">
        <v>230</v>
      </c>
      <c r="K256" s="77">
        <v>2020</v>
      </c>
      <c r="L256" s="78">
        <v>1</v>
      </c>
      <c r="M256" s="79">
        <v>30000</v>
      </c>
      <c r="N256" s="79">
        <f>Table47910[[#This Row],[Expected Revenue]]*Table47910[[#This Row],[Probability]]</f>
        <v>30000</v>
      </c>
      <c r="O256" s="78">
        <v>0.3</v>
      </c>
      <c r="P256" s="79">
        <f>Table47910[[#This Row],[Expected Revenue]]*Table47910[[#This Row],[Expected CMR]]</f>
        <v>9000</v>
      </c>
      <c r="Q256" s="209"/>
    </row>
    <row r="257" spans="1:17" hidden="1">
      <c r="A257" s="173"/>
      <c r="B257" s="76" t="s">
        <v>73</v>
      </c>
      <c r="C257" s="77" t="s">
        <v>3059</v>
      </c>
      <c r="D257" s="102" t="s">
        <v>61</v>
      </c>
      <c r="E257" s="77" t="s">
        <v>298</v>
      </c>
      <c r="F257" s="77" t="s">
        <v>58</v>
      </c>
      <c r="G257" s="77" t="s">
        <v>297</v>
      </c>
      <c r="H257" s="77" t="s">
        <v>297</v>
      </c>
      <c r="I257" s="76"/>
      <c r="J257" s="110" t="s">
        <v>230</v>
      </c>
      <c r="K257" s="77">
        <v>2020</v>
      </c>
      <c r="L257" s="78">
        <v>1</v>
      </c>
      <c r="M257" s="79">
        <v>13761</v>
      </c>
      <c r="N257" s="86">
        <f>Table47910[[#This Row],[Expected Revenue]]*Table47910[[#This Row],[Probability]]</f>
        <v>13761</v>
      </c>
      <c r="O257" s="78">
        <v>0.3</v>
      </c>
      <c r="P257" s="86">
        <f>Table47910[[#This Row],[Expected Revenue]]*Table47910[[#This Row],[Expected CMR]]</f>
        <v>4128.3</v>
      </c>
      <c r="Q257" s="210"/>
    </row>
    <row r="258" spans="1:17" hidden="1">
      <c r="A258" s="173"/>
      <c r="B258" s="76" t="s">
        <v>117</v>
      </c>
      <c r="C258" s="77" t="s">
        <v>3059</v>
      </c>
      <c r="D258" s="102" t="s">
        <v>3177</v>
      </c>
      <c r="E258" s="77" t="s">
        <v>83</v>
      </c>
      <c r="F258" s="77" t="s">
        <v>58</v>
      </c>
      <c r="G258" s="77" t="s">
        <v>65</v>
      </c>
      <c r="H258" s="77" t="s">
        <v>290</v>
      </c>
      <c r="I258" s="76"/>
      <c r="J258" s="110" t="s">
        <v>80</v>
      </c>
      <c r="K258" s="77">
        <v>2020</v>
      </c>
      <c r="L258" s="78">
        <v>1</v>
      </c>
      <c r="M258" s="79">
        <v>10620</v>
      </c>
      <c r="N258" s="86">
        <f>Table47910[[#This Row],[Expected Revenue]]*Table47910[[#This Row],[Probability]]</f>
        <v>10620</v>
      </c>
      <c r="O258" s="78"/>
      <c r="P258" s="86">
        <f>Table47910[[#This Row],[Expected Revenue]]*Table47910[[#This Row],[Expected CMR]]</f>
        <v>0</v>
      </c>
      <c r="Q258" s="210"/>
    </row>
    <row r="259" spans="1:17" hidden="1">
      <c r="A259" s="173"/>
      <c r="B259" s="76" t="s">
        <v>3058</v>
      </c>
      <c r="C259" s="77" t="s">
        <v>3059</v>
      </c>
      <c r="D259" s="102" t="s">
        <v>61</v>
      </c>
      <c r="E259" s="77" t="s">
        <v>92</v>
      </c>
      <c r="F259" s="77" t="s">
        <v>58</v>
      </c>
      <c r="G259" s="77" t="s">
        <v>297</v>
      </c>
      <c r="H259" s="77" t="s">
        <v>297</v>
      </c>
      <c r="I259" s="76"/>
      <c r="J259" s="110" t="s">
        <v>139</v>
      </c>
      <c r="K259" s="77">
        <v>2020</v>
      </c>
      <c r="L259" s="78">
        <v>1</v>
      </c>
      <c r="M259" s="79">
        <v>10000</v>
      </c>
      <c r="N259" s="86">
        <f>Table47910[[#This Row],[Expected Revenue]]*Table47910[[#This Row],[Probability]]</f>
        <v>10000</v>
      </c>
      <c r="O259" s="78">
        <v>0.3</v>
      </c>
      <c r="P259" s="86">
        <f>Table47910[[#This Row],[Expected Revenue]]*Table47910[[#This Row],[Expected CMR]]</f>
        <v>3000</v>
      </c>
      <c r="Q259" s="210"/>
    </row>
    <row r="260" spans="1:17" hidden="1">
      <c r="A260" s="75" t="s">
        <v>3049</v>
      </c>
      <c r="B260" s="76" t="s">
        <v>73</v>
      </c>
      <c r="C260" s="77" t="s">
        <v>57</v>
      </c>
      <c r="D260" s="102" t="s">
        <v>91</v>
      </c>
      <c r="E260" s="77" t="s">
        <v>92</v>
      </c>
      <c r="F260" s="77" t="s">
        <v>58</v>
      </c>
      <c r="G260" s="77" t="s">
        <v>65</v>
      </c>
      <c r="H260" s="77" t="s">
        <v>290</v>
      </c>
      <c r="I260" s="77"/>
      <c r="J260" s="110" t="s">
        <v>93</v>
      </c>
      <c r="K260" s="77">
        <v>2020</v>
      </c>
      <c r="L260" s="78">
        <v>1</v>
      </c>
      <c r="M260" s="79">
        <f>75242/4</f>
        <v>18810.5</v>
      </c>
      <c r="N260" s="79">
        <f>Table47910[[#This Row],[Expected Revenue]]*Table47910[[#This Row],[Probability]]</f>
        <v>18810.5</v>
      </c>
      <c r="O260" s="78">
        <v>0.3</v>
      </c>
      <c r="P260" s="79">
        <f>Table47910[[#This Row],[Expected Revenue]]*Table47910[[#This Row],[Expected CMR]]</f>
        <v>5643.15</v>
      </c>
      <c r="Q260" s="209"/>
    </row>
    <row r="261" spans="1:17" hidden="1">
      <c r="A261" s="173"/>
      <c r="B261" s="76" t="s">
        <v>73</v>
      </c>
      <c r="C261" s="77" t="s">
        <v>3059</v>
      </c>
      <c r="D261" s="102" t="s">
        <v>3178</v>
      </c>
      <c r="E261" s="77" t="s">
        <v>92</v>
      </c>
      <c r="F261" s="77" t="s">
        <v>58</v>
      </c>
      <c r="G261" s="77" t="s">
        <v>65</v>
      </c>
      <c r="H261" s="77" t="s">
        <v>290</v>
      </c>
      <c r="I261" s="77"/>
      <c r="J261" s="110" t="s">
        <v>89</v>
      </c>
      <c r="K261" s="77">
        <v>2020</v>
      </c>
      <c r="L261" s="78">
        <v>1</v>
      </c>
      <c r="M261" s="79">
        <v>4000</v>
      </c>
      <c r="N261" s="79">
        <f>Table47910[[#This Row],[Expected Revenue]]*Table47910[[#This Row],[Probability]]</f>
        <v>4000</v>
      </c>
      <c r="O261" s="78">
        <v>0.3</v>
      </c>
      <c r="P261" s="79">
        <f>Table47910[[#This Row],[Expected Revenue]]*Table47910[[#This Row],[Expected CMR]]</f>
        <v>1200</v>
      </c>
      <c r="Q261" s="209"/>
    </row>
    <row r="262" spans="1:17" hidden="1">
      <c r="A262" s="173"/>
      <c r="B262" s="76" t="s">
        <v>137</v>
      </c>
      <c r="C262" s="77" t="s">
        <v>3059</v>
      </c>
      <c r="D262" s="102" t="s">
        <v>3178</v>
      </c>
      <c r="E262" s="77" t="s">
        <v>92</v>
      </c>
      <c r="F262" s="77" t="s">
        <v>58</v>
      </c>
      <c r="G262" s="77" t="s">
        <v>65</v>
      </c>
      <c r="H262" s="77" t="s">
        <v>290</v>
      </c>
      <c r="I262" s="77"/>
      <c r="J262" s="110" t="s">
        <v>222</v>
      </c>
      <c r="K262" s="77">
        <v>2020</v>
      </c>
      <c r="L262" s="78">
        <v>1</v>
      </c>
      <c r="M262" s="79">
        <v>5000</v>
      </c>
      <c r="N262" s="86">
        <f>Table47910[[#This Row],[Expected Revenue]]*Table47910[[#This Row],[Probability]]</f>
        <v>5000</v>
      </c>
      <c r="O262" s="78">
        <v>0.3</v>
      </c>
      <c r="P262" s="86">
        <f>Table47910[[#This Row],[Expected Revenue]]*Table47910[[#This Row],[Expected CMR]]</f>
        <v>1500</v>
      </c>
      <c r="Q262" s="210" t="s">
        <v>3159</v>
      </c>
    </row>
    <row r="263" spans="1:17" hidden="1">
      <c r="A263" s="173"/>
      <c r="B263" s="76" t="s">
        <v>3058</v>
      </c>
      <c r="C263" s="77" t="s">
        <v>3059</v>
      </c>
      <c r="D263" s="102" t="s">
        <v>3178</v>
      </c>
      <c r="E263" s="77" t="s">
        <v>92</v>
      </c>
      <c r="F263" s="77" t="s">
        <v>58</v>
      </c>
      <c r="G263" s="77" t="s">
        <v>65</v>
      </c>
      <c r="H263" s="77" t="s">
        <v>290</v>
      </c>
      <c r="I263" s="77"/>
      <c r="J263" s="110" t="s">
        <v>139</v>
      </c>
      <c r="K263" s="77">
        <v>2020</v>
      </c>
      <c r="L263" s="78">
        <v>1</v>
      </c>
      <c r="M263" s="79">
        <v>18622.271250000002</v>
      </c>
      <c r="N263" s="86">
        <f>Table47910[[#This Row],[Expected Revenue]]*Table47910[[#This Row],[Probability]]</f>
        <v>18622.271250000002</v>
      </c>
      <c r="O263" s="78">
        <v>0.3</v>
      </c>
      <c r="P263" s="86">
        <f>Table47910[[#This Row],[Expected Revenue]]*Table47910[[#This Row],[Expected CMR]]</f>
        <v>5586.6813750000001</v>
      </c>
      <c r="Q263" s="210"/>
    </row>
    <row r="264" spans="1:17" hidden="1">
      <c r="A264" s="173"/>
      <c r="B264" s="76" t="s">
        <v>130</v>
      </c>
      <c r="C264" s="77" t="s">
        <v>3059</v>
      </c>
      <c r="D264" s="102" t="s">
        <v>99</v>
      </c>
      <c r="E264" s="77" t="s">
        <v>92</v>
      </c>
      <c r="F264" s="77" t="s">
        <v>58</v>
      </c>
      <c r="G264" s="77" t="s">
        <v>65</v>
      </c>
      <c r="H264" s="77" t="s">
        <v>290</v>
      </c>
      <c r="I264" s="77"/>
      <c r="J264" s="110" t="s">
        <v>139</v>
      </c>
      <c r="K264" s="77">
        <v>2020</v>
      </c>
      <c r="L264" s="78">
        <v>1</v>
      </c>
      <c r="M264" s="79">
        <v>8000</v>
      </c>
      <c r="N264" s="86">
        <f>Table47910[[#This Row],[Expected Revenue]]*Table47910[[#This Row],[Probability]]</f>
        <v>8000</v>
      </c>
      <c r="O264" s="78">
        <v>0.3</v>
      </c>
      <c r="P264" s="86">
        <f>Table47910[[#This Row],[Expected Revenue]]*Table47910[[#This Row],[Expected CMR]]</f>
        <v>2400</v>
      </c>
      <c r="Q264" s="210"/>
    </row>
    <row r="265" spans="1:17" hidden="1">
      <c r="A265" s="173"/>
      <c r="B265" s="76" t="s">
        <v>130</v>
      </c>
      <c r="C265" s="77" t="s">
        <v>3059</v>
      </c>
      <c r="D265" s="102" t="s">
        <v>3178</v>
      </c>
      <c r="E265" s="77" t="s">
        <v>92</v>
      </c>
      <c r="F265" s="77" t="s">
        <v>58</v>
      </c>
      <c r="G265" s="77" t="s">
        <v>65</v>
      </c>
      <c r="H265" s="77" t="s">
        <v>290</v>
      </c>
      <c r="I265" s="77"/>
      <c r="J265" s="110" t="s">
        <v>139</v>
      </c>
      <c r="K265" s="77">
        <v>2020</v>
      </c>
      <c r="L265" s="78">
        <v>1</v>
      </c>
      <c r="M265" s="79">
        <v>4622.2712499999998</v>
      </c>
      <c r="N265" s="86">
        <f>Table47910[[#This Row],[Expected Revenue]]*Table47910[[#This Row],[Probability]]</f>
        <v>4622.2712499999998</v>
      </c>
      <c r="O265" s="78">
        <v>0.3</v>
      </c>
      <c r="P265" s="86">
        <f>Table47910[[#This Row],[Expected Revenue]]*Table47910[[#This Row],[Expected CMR]]</f>
        <v>1386.6813749999999</v>
      </c>
      <c r="Q265" s="210"/>
    </row>
    <row r="266" spans="1:17" hidden="1">
      <c r="A266" s="173"/>
      <c r="B266" s="76" t="s">
        <v>130</v>
      </c>
      <c r="C266" s="77" t="s">
        <v>3059</v>
      </c>
      <c r="D266" s="102" t="s">
        <v>3178</v>
      </c>
      <c r="E266" s="77" t="s">
        <v>92</v>
      </c>
      <c r="F266" s="77" t="s">
        <v>58</v>
      </c>
      <c r="G266" s="77" t="s">
        <v>65</v>
      </c>
      <c r="H266" s="77" t="s">
        <v>290</v>
      </c>
      <c r="I266" s="77"/>
      <c r="J266" s="110" t="s">
        <v>139</v>
      </c>
      <c r="K266" s="77">
        <v>2020</v>
      </c>
      <c r="L266" s="78">
        <v>1</v>
      </c>
      <c r="M266" s="79">
        <v>14000</v>
      </c>
      <c r="N266" s="86">
        <f>Table47910[[#This Row],[Expected Revenue]]*Table47910[[#This Row],[Probability]]</f>
        <v>14000</v>
      </c>
      <c r="O266" s="78">
        <v>0.3</v>
      </c>
      <c r="P266" s="86">
        <f>Table47910[[#This Row],[Expected Revenue]]*Table47910[[#This Row],[Expected CMR]]</f>
        <v>4200</v>
      </c>
      <c r="Q266" s="210"/>
    </row>
    <row r="267" spans="1:17" customFormat="1" hidden="1">
      <c r="A267" s="173"/>
      <c r="B267" s="76" t="s">
        <v>156</v>
      </c>
      <c r="C267" s="77" t="s">
        <v>157</v>
      </c>
      <c r="D267" s="102" t="s">
        <v>3179</v>
      </c>
      <c r="E267" s="77" t="s">
        <v>251</v>
      </c>
      <c r="F267" s="77" t="s">
        <v>58</v>
      </c>
      <c r="G267" s="77" t="s">
        <v>65</v>
      </c>
      <c r="H267" s="77" t="s">
        <v>290</v>
      </c>
      <c r="I267" s="76"/>
      <c r="J267" s="110" t="s">
        <v>230</v>
      </c>
      <c r="K267" s="77">
        <v>2020</v>
      </c>
      <c r="L267" s="78">
        <v>1</v>
      </c>
      <c r="M267" s="79">
        <v>25000</v>
      </c>
      <c r="N267" s="86">
        <f>Table47910[[#This Row],[Expected Revenue]]*Table47910[[#This Row],[Probability]]</f>
        <v>25000</v>
      </c>
      <c r="O267" s="78"/>
      <c r="P267" s="86">
        <f>Table47910[[#This Row],[Expected Revenue]]*Table47910[[#This Row],[Expected CMR]]</f>
        <v>0</v>
      </c>
      <c r="Q267" s="210"/>
    </row>
    <row r="268" spans="1:17" hidden="1">
      <c r="A268" s="173"/>
      <c r="B268" s="76" t="s">
        <v>156</v>
      </c>
      <c r="C268" s="77" t="s">
        <v>157</v>
      </c>
      <c r="D268" s="102" t="s">
        <v>3179</v>
      </c>
      <c r="E268" s="77" t="s">
        <v>251</v>
      </c>
      <c r="F268" s="77" t="s">
        <v>58</v>
      </c>
      <c r="G268" s="77" t="s">
        <v>65</v>
      </c>
      <c r="H268" s="77" t="s">
        <v>290</v>
      </c>
      <c r="I268" s="76"/>
      <c r="J268" s="110" t="s">
        <v>139</v>
      </c>
      <c r="K268" s="77">
        <v>2020</v>
      </c>
      <c r="L268" s="78">
        <v>1</v>
      </c>
      <c r="M268" s="79">
        <v>55000</v>
      </c>
      <c r="N268" s="86">
        <f>Table47910[[#This Row],[Expected Revenue]]*Table47910[[#This Row],[Probability]]</f>
        <v>55000</v>
      </c>
      <c r="O268" s="78">
        <v>0.3</v>
      </c>
      <c r="P268" s="86">
        <f>Table47910[[#This Row],[Expected Revenue]]*Table47910[[#This Row],[Expected CMR]]</f>
        <v>16500</v>
      </c>
      <c r="Q268" s="210"/>
    </row>
    <row r="269" spans="1:17" hidden="1">
      <c r="A269" s="173"/>
      <c r="B269" s="76" t="s">
        <v>104</v>
      </c>
      <c r="C269" s="77" t="s">
        <v>3059</v>
      </c>
      <c r="D269" s="102" t="s">
        <v>3178</v>
      </c>
      <c r="E269" s="77" t="s">
        <v>92</v>
      </c>
      <c r="F269" s="77" t="s">
        <v>58</v>
      </c>
      <c r="G269" s="77" t="s">
        <v>65</v>
      </c>
      <c r="H269" s="77" t="s">
        <v>290</v>
      </c>
      <c r="I269" s="76"/>
      <c r="J269" s="110" t="s">
        <v>222</v>
      </c>
      <c r="K269" s="77">
        <v>2020</v>
      </c>
      <c r="L269" s="78">
        <v>1</v>
      </c>
      <c r="M269" s="79">
        <v>10000</v>
      </c>
      <c r="N269" s="86">
        <f>Table47910[[#This Row],[Expected Revenue]]*Table47910[[#This Row],[Probability]]</f>
        <v>10000</v>
      </c>
      <c r="O269" s="78"/>
      <c r="P269" s="86">
        <f>Table47910[[#This Row],[Expected Revenue]]*Table47910[[#This Row],[Expected CMR]]</f>
        <v>0</v>
      </c>
      <c r="Q269" s="210" t="s">
        <v>3159</v>
      </c>
    </row>
    <row r="270" spans="1:17" hidden="1">
      <c r="A270" s="173"/>
      <c r="B270" s="76" t="s">
        <v>137</v>
      </c>
      <c r="C270" s="77" t="s">
        <v>3059</v>
      </c>
      <c r="D270" s="102" t="s">
        <v>3178</v>
      </c>
      <c r="E270" s="77" t="s">
        <v>92</v>
      </c>
      <c r="F270" s="77" t="s">
        <v>58</v>
      </c>
      <c r="G270" s="77" t="s">
        <v>65</v>
      </c>
      <c r="H270" s="77" t="s">
        <v>290</v>
      </c>
      <c r="I270" s="77"/>
      <c r="J270" s="110" t="s">
        <v>139</v>
      </c>
      <c r="K270" s="77">
        <v>2020</v>
      </c>
      <c r="L270" s="78">
        <v>1</v>
      </c>
      <c r="M270" s="79">
        <v>13622.27125</v>
      </c>
      <c r="N270" s="86">
        <f>Table47910[[#This Row],[Expected Revenue]]*Table47910[[#This Row],[Probability]]</f>
        <v>13622.27125</v>
      </c>
      <c r="O270" s="78">
        <v>0.3</v>
      </c>
      <c r="P270" s="86">
        <f>Table47910[[#This Row],[Expected Revenue]]*Table47910[[#This Row],[Expected CMR]]</f>
        <v>4086.6813749999997</v>
      </c>
      <c r="Q270" s="210"/>
    </row>
    <row r="271" spans="1:17" hidden="1">
      <c r="A271" s="173"/>
      <c r="B271" s="76" t="s">
        <v>117</v>
      </c>
      <c r="C271" s="77" t="s">
        <v>3059</v>
      </c>
      <c r="D271" s="102" t="s">
        <v>3178</v>
      </c>
      <c r="E271" s="77" t="s">
        <v>92</v>
      </c>
      <c r="F271" s="77" t="s">
        <v>58</v>
      </c>
      <c r="G271" s="77" t="s">
        <v>65</v>
      </c>
      <c r="H271" s="77" t="s">
        <v>290</v>
      </c>
      <c r="I271" s="76"/>
      <c r="J271" s="110" t="s">
        <v>222</v>
      </c>
      <c r="K271" s="77">
        <v>2020</v>
      </c>
      <c r="L271" s="78">
        <v>1</v>
      </c>
      <c r="M271" s="79">
        <v>4622</v>
      </c>
      <c r="N271" s="86">
        <f>Table47910[[#This Row],[Expected Revenue]]*Table47910[[#This Row],[Probability]]</f>
        <v>4622</v>
      </c>
      <c r="O271" s="78"/>
      <c r="P271" s="86">
        <f>Table47910[[#This Row],[Expected Revenue]]*Table47910[[#This Row],[Expected CMR]]</f>
        <v>0</v>
      </c>
      <c r="Q271" s="210" t="s">
        <v>3159</v>
      </c>
    </row>
    <row r="272" spans="1:17" hidden="1">
      <c r="A272" s="173"/>
      <c r="B272" s="202" t="s">
        <v>130</v>
      </c>
      <c r="C272" s="77" t="s">
        <v>3059</v>
      </c>
      <c r="D272" s="102" t="s">
        <v>3060</v>
      </c>
      <c r="E272" s="77" t="s">
        <v>88</v>
      </c>
      <c r="F272" s="77" t="s">
        <v>58</v>
      </c>
      <c r="G272" s="77" t="s">
        <v>295</v>
      </c>
      <c r="H272" s="77" t="s">
        <v>290</v>
      </c>
      <c r="I272" s="76"/>
      <c r="J272" s="110" t="s">
        <v>84</v>
      </c>
      <c r="K272" s="77">
        <v>2020</v>
      </c>
      <c r="L272" s="78">
        <v>1</v>
      </c>
      <c r="M272" s="79">
        <v>15000</v>
      </c>
      <c r="N272" s="215">
        <f>Table47910[[#This Row],[Expected Revenue]]*Table47910[[#This Row],[Probability]]</f>
        <v>15000</v>
      </c>
      <c r="O272" s="78"/>
      <c r="P272" s="86">
        <f>Table47910[[#This Row],[Expected Revenue]]*Table47910[[#This Row],[Expected CMR]]</f>
        <v>0</v>
      </c>
      <c r="Q272" s="210"/>
    </row>
    <row r="273" spans="1:17" hidden="1">
      <c r="A273" s="173"/>
      <c r="B273" s="76" t="s">
        <v>3180</v>
      </c>
      <c r="C273" s="77" t="s">
        <v>269</v>
      </c>
      <c r="D273" s="102" t="s">
        <v>270</v>
      </c>
      <c r="E273" s="77" t="s">
        <v>281</v>
      </c>
      <c r="F273" s="77" t="s">
        <v>158</v>
      </c>
      <c r="G273" s="77" t="s">
        <v>65</v>
      </c>
      <c r="H273" s="77" t="s">
        <v>290</v>
      </c>
      <c r="I273" s="76"/>
      <c r="J273" s="110" t="s">
        <v>219</v>
      </c>
      <c r="K273" s="77">
        <v>2020</v>
      </c>
      <c r="L273" s="78">
        <v>1</v>
      </c>
      <c r="M273" s="79">
        <v>7500</v>
      </c>
      <c r="N273" s="215">
        <f>Table47910[[#This Row],[Expected Revenue]]*Table47910[[#This Row],[Probability]]</f>
        <v>7500</v>
      </c>
      <c r="O273" s="78"/>
      <c r="P273" s="86">
        <f>Table47910[[#This Row],[Expected Revenue]]*Table47910[[#This Row],[Expected CMR]]</f>
        <v>0</v>
      </c>
      <c r="Q273" s="210"/>
    </row>
    <row r="274" spans="1:17" hidden="1">
      <c r="A274" s="173"/>
      <c r="B274" s="76" t="s">
        <v>3180</v>
      </c>
      <c r="C274" s="77" t="s">
        <v>269</v>
      </c>
      <c r="D274" s="102" t="s">
        <v>270</v>
      </c>
      <c r="E274" s="77" t="s">
        <v>281</v>
      </c>
      <c r="F274" s="77" t="s">
        <v>158</v>
      </c>
      <c r="G274" s="77" t="s">
        <v>65</v>
      </c>
      <c r="H274" s="77" t="s">
        <v>290</v>
      </c>
      <c r="I274" s="76"/>
      <c r="J274" s="110" t="s">
        <v>222</v>
      </c>
      <c r="K274" s="77">
        <v>2020</v>
      </c>
      <c r="L274" s="78">
        <v>1</v>
      </c>
      <c r="M274" s="79">
        <v>50000</v>
      </c>
      <c r="N274" s="86">
        <f>Table47910[[#This Row],[Expected Revenue]]*Table47910[[#This Row],[Probability]]</f>
        <v>50000</v>
      </c>
      <c r="O274" s="78"/>
      <c r="P274" s="86">
        <f>Table47910[[#This Row],[Expected Revenue]]*Table47910[[#This Row],[Expected CMR]]</f>
        <v>0</v>
      </c>
      <c r="Q274" s="210" t="s">
        <v>3159</v>
      </c>
    </row>
    <row r="275" spans="1:17" hidden="1">
      <c r="A275" s="173"/>
      <c r="B275" s="76" t="s">
        <v>296</v>
      </c>
      <c r="C275" s="77"/>
      <c r="D275" s="102"/>
      <c r="E275" s="77" t="s">
        <v>251</v>
      </c>
      <c r="F275" s="77" t="s">
        <v>58</v>
      </c>
      <c r="G275" s="77" t="s">
        <v>3181</v>
      </c>
      <c r="H275" s="77" t="s">
        <v>296</v>
      </c>
      <c r="I275" s="76"/>
      <c r="J275" s="110" t="s">
        <v>139</v>
      </c>
      <c r="K275" s="77">
        <v>2020</v>
      </c>
      <c r="L275" s="78">
        <v>1</v>
      </c>
      <c r="M275" s="79">
        <v>70000</v>
      </c>
      <c r="N275" s="86">
        <f>Table47910[[#This Row],[Expected Revenue]]*Table47910[[#This Row],[Probability]]</f>
        <v>70000</v>
      </c>
      <c r="O275" s="78">
        <v>0.3</v>
      </c>
      <c r="P275" s="86">
        <f>Table47910[[#This Row],[Expected Revenue]]*Table47910[[#This Row],[Expected CMR]]</f>
        <v>21000</v>
      </c>
      <c r="Q275" s="210"/>
    </row>
    <row r="276" spans="1:17" hidden="1">
      <c r="A276" s="173"/>
      <c r="B276" s="76" t="s">
        <v>146</v>
      </c>
      <c r="C276" s="77" t="s">
        <v>3059</v>
      </c>
      <c r="D276" s="102" t="s">
        <v>3182</v>
      </c>
      <c r="E276" s="77" t="s">
        <v>71</v>
      </c>
      <c r="F276" s="77" t="s">
        <v>58</v>
      </c>
      <c r="G276" s="77" t="s">
        <v>65</v>
      </c>
      <c r="H276" s="77" t="s">
        <v>290</v>
      </c>
      <c r="I276" s="76"/>
      <c r="J276" s="110" t="s">
        <v>219</v>
      </c>
      <c r="K276" s="83">
        <v>2020</v>
      </c>
      <c r="L276" s="78">
        <v>1</v>
      </c>
      <c r="M276" s="79">
        <v>30939</v>
      </c>
      <c r="N276" s="215">
        <f>Table47910[[#This Row],[Expected Revenue]]*Table47910[[#This Row],[Probability]]</f>
        <v>30939</v>
      </c>
      <c r="O276" s="78"/>
      <c r="P276" s="86">
        <f>Table47910[[#This Row],[Expected Revenue]]*Table47910[[#This Row],[Expected CMR]]</f>
        <v>0</v>
      </c>
      <c r="Q276" s="209"/>
    </row>
    <row r="277" spans="1:17" hidden="1">
      <c r="A277" s="173"/>
      <c r="B277" s="76" t="s">
        <v>146</v>
      </c>
      <c r="C277" s="77" t="s">
        <v>3059</v>
      </c>
      <c r="D277" s="102" t="s">
        <v>3182</v>
      </c>
      <c r="E277" s="77" t="s">
        <v>71</v>
      </c>
      <c r="F277" s="77" t="s">
        <v>58</v>
      </c>
      <c r="G277" s="77" t="s">
        <v>65</v>
      </c>
      <c r="H277" s="77" t="s">
        <v>290</v>
      </c>
      <c r="I277" s="76"/>
      <c r="J277" s="110" t="s">
        <v>222</v>
      </c>
      <c r="K277" s="83">
        <v>2020</v>
      </c>
      <c r="L277" s="78">
        <v>1</v>
      </c>
      <c r="M277" s="79">
        <v>30939</v>
      </c>
      <c r="N277" s="86">
        <f>Table47910[[#This Row],[Expected Revenue]]*Table47910[[#This Row],[Probability]]</f>
        <v>30939</v>
      </c>
      <c r="O277" s="78"/>
      <c r="P277" s="86">
        <f>Table47910[[#This Row],[Expected Revenue]]*Table47910[[#This Row],[Expected CMR]]</f>
        <v>0</v>
      </c>
      <c r="Q277" s="209" t="s">
        <v>3068</v>
      </c>
    </row>
    <row r="278" spans="1:17" hidden="1">
      <c r="A278" s="173"/>
      <c r="B278" s="76" t="s">
        <v>117</v>
      </c>
      <c r="C278" s="77" t="s">
        <v>3059</v>
      </c>
      <c r="D278" s="102" t="s">
        <v>3178</v>
      </c>
      <c r="E278" s="77" t="s">
        <v>92</v>
      </c>
      <c r="F278" s="77" t="s">
        <v>58</v>
      </c>
      <c r="G278" s="77" t="s">
        <v>65</v>
      </c>
      <c r="H278" s="77" t="s">
        <v>290</v>
      </c>
      <c r="I278" s="76"/>
      <c r="J278" s="110" t="s">
        <v>89</v>
      </c>
      <c r="K278" s="83">
        <v>2020</v>
      </c>
      <c r="L278" s="78">
        <v>1</v>
      </c>
      <c r="M278" s="79">
        <v>14000</v>
      </c>
      <c r="N278" s="86">
        <f>Table47910[[#This Row],[Expected Revenue]]*Table47910[[#This Row],[Probability]]</f>
        <v>14000</v>
      </c>
      <c r="O278" s="78"/>
      <c r="P278" s="86">
        <f>Table47910[[#This Row],[Expected Revenue]]*Table47910[[#This Row],[Expected CMR]]</f>
        <v>0</v>
      </c>
      <c r="Q278" s="210"/>
    </row>
    <row r="279" spans="1:17" hidden="1">
      <c r="A279" s="173" t="s">
        <v>3183</v>
      </c>
      <c r="B279" s="76" t="s">
        <v>104</v>
      </c>
      <c r="C279" s="77" t="s">
        <v>3059</v>
      </c>
      <c r="D279" s="102" t="s">
        <v>3182</v>
      </c>
      <c r="E279" s="77" t="s">
        <v>71</v>
      </c>
      <c r="F279" s="77" t="s">
        <v>58</v>
      </c>
      <c r="G279" s="77" t="s">
        <v>295</v>
      </c>
      <c r="H279" s="77" t="s">
        <v>290</v>
      </c>
      <c r="I279" s="76"/>
      <c r="J279" s="110" t="s">
        <v>229</v>
      </c>
      <c r="K279" s="83">
        <v>2020</v>
      </c>
      <c r="L279" s="78">
        <v>1</v>
      </c>
      <c r="M279" s="79">
        <v>30939</v>
      </c>
      <c r="N279" s="221">
        <f>Table47910[[#This Row],[Expected Revenue]]*Table47910[[#This Row],[Probability]]</f>
        <v>30939</v>
      </c>
      <c r="O279" s="78">
        <v>0.3</v>
      </c>
      <c r="P279" s="79">
        <f>Table47910[[#This Row],[Expected Revenue]]*Table47910[[#This Row],[Expected CMR]]</f>
        <v>9281.6999999999989</v>
      </c>
      <c r="Q279" s="210"/>
    </row>
    <row r="280" spans="1:17" hidden="1">
      <c r="A280" s="173" t="s">
        <v>3184</v>
      </c>
      <c r="B280" s="76" t="s">
        <v>104</v>
      </c>
      <c r="C280" s="77" t="s">
        <v>3059</v>
      </c>
      <c r="D280" s="102" t="s">
        <v>3185</v>
      </c>
      <c r="E280" s="77" t="s">
        <v>62</v>
      </c>
      <c r="F280" s="77" t="s">
        <v>58</v>
      </c>
      <c r="G280" s="77" t="s">
        <v>295</v>
      </c>
      <c r="H280" s="77" t="s">
        <v>290</v>
      </c>
      <c r="I280" s="76"/>
      <c r="J280" s="110" t="s">
        <v>229</v>
      </c>
      <c r="K280" s="83">
        <v>2020</v>
      </c>
      <c r="L280" s="78">
        <v>1</v>
      </c>
      <c r="M280" s="79">
        <f>31969-21000</f>
        <v>10969</v>
      </c>
      <c r="N280" s="221">
        <f>Table47910[[#This Row],[Expected Revenue]]*Table47910[[#This Row],[Probability]]</f>
        <v>10969</v>
      </c>
      <c r="O280" s="78">
        <v>0.3</v>
      </c>
      <c r="P280" s="79">
        <f>Table47910[[#This Row],[Expected Revenue]]*Table47910[[#This Row],[Expected CMR]]</f>
        <v>3290.7</v>
      </c>
      <c r="Q280" s="210"/>
    </row>
    <row r="281" spans="1:17" hidden="1">
      <c r="A281" s="75" t="s">
        <v>3171</v>
      </c>
      <c r="B281" s="76" t="s">
        <v>73</v>
      </c>
      <c r="C281" s="77" t="s">
        <v>57</v>
      </c>
      <c r="D281" s="102" t="s">
        <v>3155</v>
      </c>
      <c r="E281" s="77" t="s">
        <v>92</v>
      </c>
      <c r="F281" s="77" t="s">
        <v>58</v>
      </c>
      <c r="G281" s="77" t="s">
        <v>65</v>
      </c>
      <c r="H281" s="77" t="s">
        <v>290</v>
      </c>
      <c r="I281" s="77"/>
      <c r="J281" s="110" t="s">
        <v>219</v>
      </c>
      <c r="K281" s="83">
        <v>2020</v>
      </c>
      <c r="L281" s="78">
        <v>1</v>
      </c>
      <c r="M281" s="79">
        <f>18622*0.4</f>
        <v>7448.8</v>
      </c>
      <c r="N281" s="214">
        <f>Table47910[[#This Row],[Expected Revenue]]*Table47910[[#This Row],[Probability]]</f>
        <v>7448.8</v>
      </c>
      <c r="O281" s="78">
        <v>0.3</v>
      </c>
      <c r="P281" s="79">
        <f>Table47910[[#This Row],[Expected Revenue]]*Table47910[[#This Row],[Expected CMR]]</f>
        <v>2234.64</v>
      </c>
      <c r="Q281" s="209"/>
    </row>
    <row r="282" spans="1:17" hidden="1">
      <c r="A282" s="173"/>
      <c r="B282" s="202" t="s">
        <v>3180</v>
      </c>
      <c r="C282" s="77" t="s">
        <v>269</v>
      </c>
      <c r="D282" s="102" t="s">
        <v>270</v>
      </c>
      <c r="E282" s="77" t="s">
        <v>281</v>
      </c>
      <c r="F282" s="77" t="s">
        <v>158</v>
      </c>
      <c r="G282" s="77" t="s">
        <v>65</v>
      </c>
      <c r="H282" s="77" t="s">
        <v>290</v>
      </c>
      <c r="I282" s="76"/>
      <c r="J282" s="110" t="s">
        <v>84</v>
      </c>
      <c r="K282" s="83">
        <v>2020</v>
      </c>
      <c r="L282" s="78">
        <v>1</v>
      </c>
      <c r="M282" s="79">
        <v>15000</v>
      </c>
      <c r="N282" s="215">
        <f>Table47910[[#This Row],[Expected Revenue]]*Table47910[[#This Row],[Probability]]</f>
        <v>15000</v>
      </c>
      <c r="O282" s="78"/>
      <c r="P282" s="86">
        <f>Table47910[[#This Row],[Expected Revenue]]*Table47910[[#This Row],[Expected CMR]]</f>
        <v>0</v>
      </c>
      <c r="Q282" s="210"/>
    </row>
    <row r="283" spans="1:17" hidden="1">
      <c r="A283" s="173"/>
      <c r="B283" s="76" t="s">
        <v>114</v>
      </c>
      <c r="C283" s="77" t="s">
        <v>3059</v>
      </c>
      <c r="D283" s="102" t="s">
        <v>3178</v>
      </c>
      <c r="E283" s="77" t="s">
        <v>92</v>
      </c>
      <c r="F283" s="77" t="s">
        <v>58</v>
      </c>
      <c r="G283" s="77" t="s">
        <v>295</v>
      </c>
      <c r="H283" s="77" t="s">
        <v>290</v>
      </c>
      <c r="I283" s="76"/>
      <c r="J283" s="110" t="s">
        <v>230</v>
      </c>
      <c r="K283" s="77">
        <v>2020</v>
      </c>
      <c r="L283" s="78">
        <v>1</v>
      </c>
      <c r="M283" s="79">
        <v>5000</v>
      </c>
      <c r="N283" s="86">
        <f>Table47910[[#This Row],[Expected Revenue]]*Table47910[[#This Row],[Probability]]</f>
        <v>5000</v>
      </c>
      <c r="O283" s="78">
        <v>0.3</v>
      </c>
      <c r="P283" s="86">
        <f>Table47910[[#This Row],[Expected Revenue]]*Table47910[[#This Row],[Expected CMR]]</f>
        <v>1500</v>
      </c>
      <c r="Q283" s="210"/>
    </row>
    <row r="284" spans="1:17" s="218" customFormat="1" hidden="1">
      <c r="A284" s="201"/>
      <c r="B284" s="202" t="s">
        <v>73</v>
      </c>
      <c r="C284" s="203" t="s">
        <v>3059</v>
      </c>
      <c r="D284" s="204" t="s">
        <v>3186</v>
      </c>
      <c r="E284" s="203" t="s">
        <v>291</v>
      </c>
      <c r="F284" s="203" t="s">
        <v>58</v>
      </c>
      <c r="G284" s="203" t="s">
        <v>65</v>
      </c>
      <c r="H284" s="203" t="s">
        <v>290</v>
      </c>
      <c r="I284" s="203"/>
      <c r="J284" s="205" t="s">
        <v>89</v>
      </c>
      <c r="K284" s="203">
        <v>2020</v>
      </c>
      <c r="L284" s="206">
        <v>1</v>
      </c>
      <c r="M284" s="207">
        <v>5000</v>
      </c>
      <c r="N284" s="208">
        <f>Table47910[[#This Row],[Expected Revenue]]*Table47910[[#This Row],[Probability]]</f>
        <v>5000</v>
      </c>
      <c r="O284" s="206">
        <v>0.3</v>
      </c>
      <c r="P284" s="208">
        <f>Table47910[[#This Row],[Expected Revenue]]*Table47910[[#This Row],[Expected CMR]]</f>
        <v>1500</v>
      </c>
      <c r="Q284" s="211"/>
    </row>
    <row r="285" spans="1:17" hidden="1">
      <c r="A285" s="173"/>
      <c r="B285" s="76" t="s">
        <v>114</v>
      </c>
      <c r="C285" s="77" t="s">
        <v>3059</v>
      </c>
      <c r="D285" s="102" t="s">
        <v>3178</v>
      </c>
      <c r="E285" s="77" t="s">
        <v>92</v>
      </c>
      <c r="F285" s="77" t="s">
        <v>58</v>
      </c>
      <c r="G285" s="77" t="s">
        <v>65</v>
      </c>
      <c r="H285" s="77" t="s">
        <v>290</v>
      </c>
      <c r="I285" s="76"/>
      <c r="J285" s="110" t="s">
        <v>89</v>
      </c>
      <c r="K285" s="77">
        <v>2020</v>
      </c>
      <c r="L285" s="78">
        <v>1</v>
      </c>
      <c r="M285" s="79">
        <v>2622.2712499999998</v>
      </c>
      <c r="N285" s="86">
        <f>Table47910[[#This Row],[Expected Revenue]]*Table47910[[#This Row],[Probability]]</f>
        <v>2622.2712499999998</v>
      </c>
      <c r="O285" s="78">
        <v>0.3</v>
      </c>
      <c r="P285" s="86">
        <f>Table47910[[#This Row],[Expected Revenue]]*Table47910[[#This Row],[Expected CMR]]</f>
        <v>786.68137499999989</v>
      </c>
      <c r="Q285" s="210"/>
    </row>
    <row r="286" spans="1:17" hidden="1">
      <c r="A286" s="173"/>
      <c r="B286" s="76" t="s">
        <v>114</v>
      </c>
      <c r="C286" s="77" t="s">
        <v>3059</v>
      </c>
      <c r="D286" s="102" t="s">
        <v>3178</v>
      </c>
      <c r="E286" s="77" t="s">
        <v>92</v>
      </c>
      <c r="F286" s="77" t="s">
        <v>58</v>
      </c>
      <c r="G286" s="77" t="s">
        <v>65</v>
      </c>
      <c r="H286" s="77" t="s">
        <v>290</v>
      </c>
      <c r="I286" s="76"/>
      <c r="J286" s="110" t="s">
        <v>89</v>
      </c>
      <c r="K286" s="77">
        <v>2020</v>
      </c>
      <c r="L286" s="78">
        <v>1</v>
      </c>
      <c r="M286" s="79">
        <v>16000</v>
      </c>
      <c r="N286" s="86">
        <f>Table47910[[#This Row],[Expected Revenue]]*Table47910[[#This Row],[Probability]]</f>
        <v>16000</v>
      </c>
      <c r="O286" s="78">
        <v>0.3</v>
      </c>
      <c r="P286" s="86">
        <f>Table47910[[#This Row],[Expected Revenue]]*Table47910[[#This Row],[Expected CMR]]</f>
        <v>4800</v>
      </c>
      <c r="Q286" s="210"/>
    </row>
    <row r="287" spans="1:17" ht="21.6" hidden="1">
      <c r="A287" s="173"/>
      <c r="B287" s="76" t="s">
        <v>146</v>
      </c>
      <c r="C287" s="77" t="s">
        <v>57</v>
      </c>
      <c r="D287" s="102" t="s">
        <v>3187</v>
      </c>
      <c r="E287" s="77" t="s">
        <v>251</v>
      </c>
      <c r="F287" s="77" t="s">
        <v>58</v>
      </c>
      <c r="G287" s="77" t="s">
        <v>3027</v>
      </c>
      <c r="H287" s="77" t="s">
        <v>257</v>
      </c>
      <c r="I287" s="77" t="s">
        <v>3188</v>
      </c>
      <c r="J287" s="110" t="s">
        <v>230</v>
      </c>
      <c r="K287" s="77">
        <v>2020</v>
      </c>
      <c r="L287" s="78">
        <v>0.1</v>
      </c>
      <c r="M287" s="79">
        <v>49134</v>
      </c>
      <c r="N287" s="79">
        <f>Table47910[[#This Row],[Expected Revenue]]*Table47910[[#This Row],[Probability]]</f>
        <v>4913.4000000000005</v>
      </c>
      <c r="O287" s="78">
        <v>0.3</v>
      </c>
      <c r="P287" s="79">
        <f>Table47910[[#This Row],[Expected Revenue]]*Table47910[[#This Row],[Expected CMR]]</f>
        <v>14740.199999999999</v>
      </c>
      <c r="Q287" s="209"/>
    </row>
    <row r="288" spans="1:17" ht="21.6" hidden="1">
      <c r="A288" s="173"/>
      <c r="B288" s="76" t="s">
        <v>130</v>
      </c>
      <c r="C288" s="77" t="s">
        <v>57</v>
      </c>
      <c r="D288" s="102" t="s">
        <v>3189</v>
      </c>
      <c r="E288" s="77" t="s">
        <v>251</v>
      </c>
      <c r="F288" s="77" t="s">
        <v>58</v>
      </c>
      <c r="G288" s="77" t="s">
        <v>3027</v>
      </c>
      <c r="H288" s="77" t="s">
        <v>257</v>
      </c>
      <c r="I288" s="77" t="s">
        <v>3190</v>
      </c>
      <c r="J288" s="110" t="s">
        <v>230</v>
      </c>
      <c r="K288" s="77">
        <v>2020</v>
      </c>
      <c r="L288" s="78">
        <v>0.25</v>
      </c>
      <c r="M288" s="79">
        <v>32000</v>
      </c>
      <c r="N288" s="79">
        <f>Table47910[[#This Row],[Expected Revenue]]*Table47910[[#This Row],[Probability]]</f>
        <v>8000</v>
      </c>
      <c r="O288" s="78">
        <v>0.3</v>
      </c>
      <c r="P288" s="79">
        <f>Table47910[[#This Row],[Expected Revenue]]*Table47910[[#This Row],[Expected CMR]]</f>
        <v>9600</v>
      </c>
      <c r="Q288" s="209"/>
    </row>
    <row r="289" spans="1:17" ht="21.6" hidden="1">
      <c r="A289" s="173"/>
      <c r="B289" s="76" t="s">
        <v>3191</v>
      </c>
      <c r="C289" s="77" t="s">
        <v>126</v>
      </c>
      <c r="D289" s="102" t="s">
        <v>3192</v>
      </c>
      <c r="E289" s="77" t="s">
        <v>291</v>
      </c>
      <c r="F289" s="77" t="s">
        <v>58</v>
      </c>
      <c r="G289" s="77" t="s">
        <v>3027</v>
      </c>
      <c r="H289" s="77" t="s">
        <v>257</v>
      </c>
      <c r="I289" s="77" t="s">
        <v>3193</v>
      </c>
      <c r="J289" s="110" t="s">
        <v>230</v>
      </c>
      <c r="K289" s="77">
        <v>2020</v>
      </c>
      <c r="L289" s="78">
        <v>0.25</v>
      </c>
      <c r="M289" s="79">
        <v>15000</v>
      </c>
      <c r="N289" s="79">
        <f>Table47910[[#This Row],[Expected Revenue]]*Table47910[[#This Row],[Probability]]</f>
        <v>3750</v>
      </c>
      <c r="O289" s="78">
        <v>0.3</v>
      </c>
      <c r="P289" s="79">
        <f>Table47910[[#This Row],[Expected Revenue]]*Table47910[[#This Row],[Expected CMR]]</f>
        <v>4500</v>
      </c>
      <c r="Q289" s="209"/>
    </row>
    <row r="290" spans="1:17" ht="31.9" hidden="1">
      <c r="A290" s="173"/>
      <c r="B290" s="76" t="s">
        <v>3191</v>
      </c>
      <c r="C290" s="77" t="s">
        <v>126</v>
      </c>
      <c r="D290" s="102" t="s">
        <v>3194</v>
      </c>
      <c r="E290" s="77" t="s">
        <v>291</v>
      </c>
      <c r="F290" s="77" t="s">
        <v>58</v>
      </c>
      <c r="G290" s="77" t="s">
        <v>3027</v>
      </c>
      <c r="H290" s="77" t="s">
        <v>257</v>
      </c>
      <c r="I290" s="77" t="s">
        <v>3195</v>
      </c>
      <c r="J290" s="110" t="s">
        <v>230</v>
      </c>
      <c r="K290" s="77">
        <v>2020</v>
      </c>
      <c r="L290" s="78">
        <v>0.25</v>
      </c>
      <c r="M290" s="79">
        <v>45000</v>
      </c>
      <c r="N290" s="79">
        <f>Table47910[[#This Row],[Expected Revenue]]*Table47910[[#This Row],[Probability]]</f>
        <v>11250</v>
      </c>
      <c r="O290" s="78">
        <v>0.3</v>
      </c>
      <c r="P290" s="79">
        <f>Table47910[[#This Row],[Expected Revenue]]*Table47910[[#This Row],[Expected CMR]]</f>
        <v>13500</v>
      </c>
      <c r="Q290" s="209"/>
    </row>
    <row r="291" spans="1:17" hidden="1">
      <c r="A291" s="173" t="s">
        <v>129</v>
      </c>
      <c r="B291" s="76" t="s">
        <v>122</v>
      </c>
      <c r="C291" s="77" t="s">
        <v>57</v>
      </c>
      <c r="D291" s="102" t="s">
        <v>3196</v>
      </c>
      <c r="E291" s="77" t="s">
        <v>92</v>
      </c>
      <c r="F291" s="77" t="s">
        <v>58</v>
      </c>
      <c r="G291" s="77" t="s">
        <v>65</v>
      </c>
      <c r="H291" s="77" t="s">
        <v>290</v>
      </c>
      <c r="I291" s="77"/>
      <c r="J291" s="110" t="s">
        <v>84</v>
      </c>
      <c r="K291" s="77">
        <v>2020</v>
      </c>
      <c r="L291" s="78">
        <v>1</v>
      </c>
      <c r="M291" s="79">
        <v>18622</v>
      </c>
      <c r="N291" s="214">
        <f>Table47910[[#This Row],[Expected Revenue]]*Table47910[[#This Row],[Probability]]</f>
        <v>18622</v>
      </c>
      <c r="O291" s="78">
        <v>0.3</v>
      </c>
      <c r="P291" s="79">
        <v>8344.7999999999993</v>
      </c>
      <c r="Q291" s="209"/>
    </row>
    <row r="292" spans="1:17" hidden="1">
      <c r="A292" s="173"/>
      <c r="B292" s="76" t="s">
        <v>189</v>
      </c>
      <c r="C292" s="77" t="s">
        <v>283</v>
      </c>
      <c r="D292" s="102" t="s">
        <v>3197</v>
      </c>
      <c r="E292" s="77" t="s">
        <v>294</v>
      </c>
      <c r="F292" s="77" t="s">
        <v>58</v>
      </c>
      <c r="G292" s="77" t="s">
        <v>295</v>
      </c>
      <c r="H292" s="77" t="s">
        <v>290</v>
      </c>
      <c r="I292" s="76"/>
      <c r="J292" s="110" t="s">
        <v>89</v>
      </c>
      <c r="K292" s="77">
        <v>2020</v>
      </c>
      <c r="L292" s="78">
        <v>1</v>
      </c>
      <c r="M292" s="79">
        <v>35000</v>
      </c>
      <c r="N292" s="86">
        <f>Table47910[[#This Row],[Expected Revenue]]*Table47910[[#This Row],[Probability]]</f>
        <v>35000</v>
      </c>
      <c r="O292" s="78">
        <v>0.3</v>
      </c>
      <c r="P292" s="86">
        <f>Table47910[[#This Row],[Expected Revenue]]*Table47910[[#This Row],[Expected CMR]]</f>
        <v>10500</v>
      </c>
      <c r="Q292" s="210"/>
    </row>
    <row r="293" spans="1:17" s="218" customFormat="1" hidden="1">
      <c r="A293" s="201"/>
      <c r="B293" s="202" t="s">
        <v>3163</v>
      </c>
      <c r="C293" s="203" t="s">
        <v>3163</v>
      </c>
      <c r="D293" s="204" t="s">
        <v>280</v>
      </c>
      <c r="E293" s="203" t="s">
        <v>294</v>
      </c>
      <c r="F293" s="203" t="s">
        <v>58</v>
      </c>
      <c r="G293" s="203" t="s">
        <v>295</v>
      </c>
      <c r="H293" s="203" t="s">
        <v>290</v>
      </c>
      <c r="I293" s="202"/>
      <c r="J293" s="205" t="s">
        <v>89</v>
      </c>
      <c r="K293" s="203">
        <v>2020</v>
      </c>
      <c r="L293" s="206">
        <v>1</v>
      </c>
      <c r="M293" s="207">
        <v>40000</v>
      </c>
      <c r="N293" s="208">
        <f>Table47910[[#This Row],[Expected Revenue]]*Table47910[[#This Row],[Probability]]</f>
        <v>40000</v>
      </c>
      <c r="O293" s="206">
        <v>0.3</v>
      </c>
      <c r="P293" s="208">
        <f>Table47910[[#This Row],[Expected Revenue]]*Table47910[[#This Row],[Expected CMR]]</f>
        <v>12000</v>
      </c>
      <c r="Q293" s="211"/>
    </row>
    <row r="294" spans="1:17" s="218" customFormat="1" hidden="1">
      <c r="A294" s="173"/>
      <c r="B294" s="76" t="s">
        <v>487</v>
      </c>
      <c r="C294" s="77" t="s">
        <v>3059</v>
      </c>
      <c r="D294" s="102" t="s">
        <v>3055</v>
      </c>
      <c r="E294" s="77" t="s">
        <v>92</v>
      </c>
      <c r="F294" s="77" t="s">
        <v>58</v>
      </c>
      <c r="G294" s="77" t="s">
        <v>65</v>
      </c>
      <c r="H294" s="77" t="s">
        <v>290</v>
      </c>
      <c r="I294" s="76"/>
      <c r="J294" s="110" t="s">
        <v>68</v>
      </c>
      <c r="K294" s="77">
        <v>2020</v>
      </c>
      <c r="L294" s="78">
        <v>1</v>
      </c>
      <c r="M294" s="210">
        <v>10000</v>
      </c>
      <c r="N294" s="227">
        <v>19000</v>
      </c>
      <c r="O294" s="980"/>
      <c r="P294" s="980"/>
      <c r="Q294" s="980"/>
    </row>
    <row r="295" spans="1:17" s="218" customFormat="1" hidden="1">
      <c r="A295" s="173"/>
      <c r="B295" s="76" t="s">
        <v>487</v>
      </c>
      <c r="C295" s="77" t="s">
        <v>3059</v>
      </c>
      <c r="D295" s="102" t="s">
        <v>3198</v>
      </c>
      <c r="E295" s="77" t="s">
        <v>92</v>
      </c>
      <c r="F295" s="77" t="s">
        <v>58</v>
      </c>
      <c r="G295" s="77" t="s">
        <v>65</v>
      </c>
      <c r="H295" s="77" t="s">
        <v>290</v>
      </c>
      <c r="I295" s="76"/>
      <c r="J295" s="110" t="s">
        <v>68</v>
      </c>
      <c r="K295" s="77">
        <v>2020</v>
      </c>
      <c r="L295" s="78">
        <v>1</v>
      </c>
      <c r="M295" s="86">
        <v>8000</v>
      </c>
      <c r="N295" s="228">
        <f>30000-20000</f>
        <v>10000</v>
      </c>
      <c r="O295" s="980"/>
      <c r="P295" s="980"/>
      <c r="Q295" s="980"/>
    </row>
    <row r="296" spans="1:17" s="218" customFormat="1" hidden="1">
      <c r="A296" s="173"/>
      <c r="B296" s="76" t="s">
        <v>487</v>
      </c>
      <c r="C296" s="77" t="s">
        <v>3059</v>
      </c>
      <c r="D296" s="102" t="s">
        <v>3198</v>
      </c>
      <c r="E296" s="77" t="s">
        <v>92</v>
      </c>
      <c r="F296" s="77" t="s">
        <v>58</v>
      </c>
      <c r="G296" s="77" t="s">
        <v>65</v>
      </c>
      <c r="H296" s="77" t="s">
        <v>290</v>
      </c>
      <c r="I296" s="76"/>
      <c r="J296" s="110" t="s">
        <v>231</v>
      </c>
      <c r="K296" s="77">
        <v>2020</v>
      </c>
      <c r="L296" s="78">
        <v>1</v>
      </c>
      <c r="M296" s="79">
        <v>12000</v>
      </c>
      <c r="N296" s="86">
        <f>31000-23000</f>
        <v>8000</v>
      </c>
      <c r="O296" s="210"/>
      <c r="P296" s="980"/>
      <c r="Q296" s="980"/>
    </row>
    <row r="297" spans="1:17" s="218" customFormat="1" hidden="1">
      <c r="A297" s="173"/>
      <c r="B297" s="76" t="s">
        <v>487</v>
      </c>
      <c r="C297" s="77" t="s">
        <v>3059</v>
      </c>
      <c r="D297" s="102" t="s">
        <v>1236</v>
      </c>
      <c r="E297" s="77" t="s">
        <v>92</v>
      </c>
      <c r="F297" s="77" t="s">
        <v>58</v>
      </c>
      <c r="G297" s="77" t="s">
        <v>65</v>
      </c>
      <c r="H297" s="77" t="s">
        <v>290</v>
      </c>
      <c r="I297" s="76"/>
      <c r="J297" s="110" t="s">
        <v>68</v>
      </c>
      <c r="K297" s="77">
        <v>2020</v>
      </c>
      <c r="L297" s="78">
        <v>1</v>
      </c>
      <c r="M297" s="215">
        <v>19000</v>
      </c>
      <c r="N297" s="229">
        <f>27000-15000</f>
        <v>12000</v>
      </c>
      <c r="O297" s="86">
        <v>5700</v>
      </c>
      <c r="P297" s="210"/>
      <c r="Q297" s="980"/>
    </row>
    <row r="298" spans="1:17" hidden="1">
      <c r="A298" s="173"/>
      <c r="B298" s="76" t="s">
        <v>487</v>
      </c>
      <c r="C298" s="77" t="s">
        <v>3059</v>
      </c>
      <c r="D298" s="102" t="s">
        <v>1236</v>
      </c>
      <c r="E298" s="77" t="s">
        <v>92</v>
      </c>
      <c r="F298" s="77" t="s">
        <v>58</v>
      </c>
      <c r="G298" s="77" t="s">
        <v>65</v>
      </c>
      <c r="H298" s="77" t="s">
        <v>290</v>
      </c>
      <c r="I298" s="76"/>
      <c r="J298" s="110" t="s">
        <v>84</v>
      </c>
      <c r="K298" s="77">
        <v>2020</v>
      </c>
      <c r="L298" s="78">
        <v>1</v>
      </c>
      <c r="M298" s="79">
        <v>19000</v>
      </c>
      <c r="N298" s="215">
        <f>Table47910[[#This Row],[Expected Revenue]]*Table47910[[#This Row],[Probability]]</f>
        <v>19000</v>
      </c>
      <c r="O298" s="78">
        <v>0.3</v>
      </c>
      <c r="P298" s="86">
        <f>Table47910[[#This Row],[Expected Revenue]]*Table47910[[#This Row],[Expected CMR]]</f>
        <v>5700</v>
      </c>
      <c r="Q298" s="210"/>
    </row>
    <row r="299" spans="1:17" hidden="1">
      <c r="A299" s="173" t="s">
        <v>129</v>
      </c>
      <c r="B299" s="76" t="s">
        <v>122</v>
      </c>
      <c r="C299" s="77" t="s">
        <v>57</v>
      </c>
      <c r="D299" s="102" t="s">
        <v>3199</v>
      </c>
      <c r="E299" s="77" t="s">
        <v>92</v>
      </c>
      <c r="F299" s="77" t="s">
        <v>58</v>
      </c>
      <c r="G299" s="77" t="s">
        <v>65</v>
      </c>
      <c r="H299" s="77" t="s">
        <v>290</v>
      </c>
      <c r="I299" s="77"/>
      <c r="J299" s="110" t="s">
        <v>230</v>
      </c>
      <c r="K299" s="83">
        <v>2020</v>
      </c>
      <c r="L299" s="78">
        <v>1</v>
      </c>
      <c r="M299" s="79">
        <v>18000</v>
      </c>
      <c r="N299" s="79">
        <f>Table47910[[#This Row],[Expected Revenue]]*Table47910[[#This Row],[Probability]]</f>
        <v>18000</v>
      </c>
      <c r="O299" s="78">
        <v>0.3</v>
      </c>
      <c r="P299" s="79">
        <v>8344.7999999999993</v>
      </c>
      <c r="Q299" s="209"/>
    </row>
    <row r="300" spans="1:17" hidden="1">
      <c r="A300" s="174" t="s">
        <v>3200</v>
      </c>
      <c r="B300" s="82" t="s">
        <v>3201</v>
      </c>
      <c r="C300" s="77" t="s">
        <v>57</v>
      </c>
      <c r="D300" s="103" t="s">
        <v>112</v>
      </c>
      <c r="E300" s="77" t="s">
        <v>71</v>
      </c>
      <c r="F300" s="83" t="s">
        <v>58</v>
      </c>
      <c r="G300" s="83" t="s">
        <v>65</v>
      </c>
      <c r="H300" s="77" t="s">
        <v>290</v>
      </c>
      <c r="I300" s="82"/>
      <c r="J300" s="156" t="s">
        <v>84</v>
      </c>
      <c r="K300" s="83">
        <v>2020</v>
      </c>
      <c r="L300" s="84">
        <v>1</v>
      </c>
      <c r="M300" s="85">
        <v>20000</v>
      </c>
      <c r="N300" s="215">
        <f>Table47910[[#This Row],[Expected Revenue]]*Table47910[[#This Row],[Probability]]</f>
        <v>20000</v>
      </c>
      <c r="O300" s="84">
        <v>0.3</v>
      </c>
      <c r="P300" s="87">
        <f>Table47910[[#This Row],[Expected Revenue]]*Table47910[[#This Row],[Expected CMR]]</f>
        <v>6000</v>
      </c>
      <c r="Q300" s="210"/>
    </row>
    <row r="301" spans="1:17" hidden="1">
      <c r="A301" s="173"/>
      <c r="B301" s="76" t="s">
        <v>189</v>
      </c>
      <c r="C301" s="77" t="s">
        <v>283</v>
      </c>
      <c r="D301" s="102" t="s">
        <v>3202</v>
      </c>
      <c r="E301" s="77" t="s">
        <v>294</v>
      </c>
      <c r="F301" s="77" t="s">
        <v>58</v>
      </c>
      <c r="G301" s="77" t="s">
        <v>297</v>
      </c>
      <c r="H301" s="77" t="s">
        <v>297</v>
      </c>
      <c r="I301" s="76"/>
      <c r="J301" s="110" t="s">
        <v>84</v>
      </c>
      <c r="K301" s="77">
        <v>2020</v>
      </c>
      <c r="L301" s="78">
        <v>1</v>
      </c>
      <c r="M301" s="79">
        <v>25000</v>
      </c>
      <c r="N301" s="215">
        <f>Table47910[[#This Row],[Expected Revenue]]*Table47910[[#This Row],[Probability]]</f>
        <v>25000</v>
      </c>
      <c r="O301" s="78">
        <v>0.3</v>
      </c>
      <c r="P301" s="86">
        <f>Table47910[[#This Row],[Expected Revenue]]*Table47910[[#This Row],[Expected CMR]]</f>
        <v>7500</v>
      </c>
      <c r="Q301" s="210"/>
    </row>
    <row r="302" spans="1:17" s="218" customFormat="1" hidden="1">
      <c r="A302" s="201"/>
      <c r="B302" s="202" t="s">
        <v>296</v>
      </c>
      <c r="C302" s="203"/>
      <c r="D302" s="204"/>
      <c r="E302" s="203" t="s">
        <v>251</v>
      </c>
      <c r="F302" s="203" t="s">
        <v>58</v>
      </c>
      <c r="G302" s="203" t="s">
        <v>3181</v>
      </c>
      <c r="H302" s="203" t="s">
        <v>296</v>
      </c>
      <c r="I302" s="202"/>
      <c r="J302" s="205" t="s">
        <v>89</v>
      </c>
      <c r="K302" s="203">
        <v>2020</v>
      </c>
      <c r="L302" s="206">
        <v>1</v>
      </c>
      <c r="M302" s="207">
        <v>50000</v>
      </c>
      <c r="N302" s="208">
        <f>Table47910[[#This Row],[Expected Revenue]]*Table47910[[#This Row],[Probability]]</f>
        <v>50000</v>
      </c>
      <c r="O302" s="206"/>
      <c r="P302" s="208">
        <f>Table47910[[#This Row],[Expected Revenue]]*Table47910[[#This Row],[Expected CMR]]</f>
        <v>0</v>
      </c>
      <c r="Q302" s="211"/>
    </row>
    <row r="303" spans="1:17" hidden="1">
      <c r="A303" s="173"/>
      <c r="B303" s="202" t="s">
        <v>104</v>
      </c>
      <c r="C303" s="77" t="s">
        <v>3059</v>
      </c>
      <c r="D303" s="102" t="s">
        <v>3203</v>
      </c>
      <c r="E303" s="77" t="s">
        <v>92</v>
      </c>
      <c r="F303" s="77" t="s">
        <v>58</v>
      </c>
      <c r="G303" s="77" t="s">
        <v>257</v>
      </c>
      <c r="H303" s="77" t="s">
        <v>257</v>
      </c>
      <c r="I303" s="77" t="s">
        <v>3204</v>
      </c>
      <c r="J303" s="110" t="s">
        <v>84</v>
      </c>
      <c r="K303" s="77">
        <v>2020</v>
      </c>
      <c r="L303" s="78">
        <v>0.25</v>
      </c>
      <c r="M303" s="79">
        <v>117671</v>
      </c>
      <c r="N303" s="215">
        <f>Table47910[[#This Row],[Expected Revenue]]*Table47910[[#This Row],[Probability]]</f>
        <v>29417.75</v>
      </c>
      <c r="O303" s="78"/>
      <c r="P303" s="86">
        <f>Table47910[[#This Row],[Expected Revenue]]*Table47910[[#This Row],[Expected CMR]]</f>
        <v>0</v>
      </c>
      <c r="Q303" s="210"/>
    </row>
    <row r="304" spans="1:17" hidden="1">
      <c r="A304" s="75" t="s">
        <v>129</v>
      </c>
      <c r="B304" s="76" t="s">
        <v>122</v>
      </c>
      <c r="C304" s="77" t="s">
        <v>57</v>
      </c>
      <c r="D304" s="102" t="s">
        <v>97</v>
      </c>
      <c r="E304" s="77" t="s">
        <v>92</v>
      </c>
      <c r="F304" s="77" t="s">
        <v>58</v>
      </c>
      <c r="G304" s="77" t="s">
        <v>295</v>
      </c>
      <c r="H304" s="77" t="s">
        <v>290</v>
      </c>
      <c r="I304" s="77"/>
      <c r="J304" s="110" t="s">
        <v>229</v>
      </c>
      <c r="K304" s="77">
        <v>2020</v>
      </c>
      <c r="L304" s="78">
        <v>1</v>
      </c>
      <c r="M304" s="79">
        <v>6622</v>
      </c>
      <c r="N304" s="222">
        <f>Table47910[[#This Row],[Expected Revenue]]*Table47910[[#This Row],[Probability]]</f>
        <v>6622</v>
      </c>
      <c r="O304" s="78">
        <v>0.3</v>
      </c>
      <c r="P304" s="79">
        <f>Table47910[[#This Row],[Expected Revenue]]*Table47910[[#This Row],[Expected CMR]]</f>
        <v>1986.6</v>
      </c>
      <c r="Q304" s="209"/>
    </row>
    <row r="305" spans="1:17" hidden="1">
      <c r="A305" s="173"/>
      <c r="B305" s="76" t="s">
        <v>3205</v>
      </c>
      <c r="C305" s="77" t="s">
        <v>1168</v>
      </c>
      <c r="D305" s="102" t="s">
        <v>3206</v>
      </c>
      <c r="E305" s="77" t="s">
        <v>281</v>
      </c>
      <c r="F305" s="77" t="s">
        <v>158</v>
      </c>
      <c r="G305" s="77" t="s">
        <v>257</v>
      </c>
      <c r="H305" s="77" t="s">
        <v>257</v>
      </c>
      <c r="I305" s="77"/>
      <c r="J305" s="110" t="s">
        <v>229</v>
      </c>
      <c r="K305" s="77">
        <v>2020</v>
      </c>
      <c r="L305" s="78">
        <v>0.5</v>
      </c>
      <c r="M305" s="79">
        <v>8000</v>
      </c>
      <c r="N305" s="221">
        <f>Table47910[[#This Row],[Expected Revenue]]*Table47910[[#This Row],[Probability]]</f>
        <v>4000</v>
      </c>
      <c r="O305" s="78">
        <v>0.3</v>
      </c>
      <c r="P305" s="79">
        <f>Table47910[[#This Row],[Expected Revenue]]*Table47910[[#This Row],[Expected CMR]]</f>
        <v>2400</v>
      </c>
      <c r="Q305" s="210"/>
    </row>
    <row r="306" spans="1:17" hidden="1">
      <c r="A306" s="173"/>
      <c r="B306" s="76" t="s">
        <v>296</v>
      </c>
      <c r="C306" s="77"/>
      <c r="D306" s="102" t="s">
        <v>296</v>
      </c>
      <c r="E306" s="77" t="s">
        <v>251</v>
      </c>
      <c r="F306" s="77" t="s">
        <v>58</v>
      </c>
      <c r="G306" s="77" t="s">
        <v>3181</v>
      </c>
      <c r="H306" s="77" t="s">
        <v>296</v>
      </c>
      <c r="I306" s="76"/>
      <c r="J306" s="110" t="s">
        <v>222</v>
      </c>
      <c r="K306" s="77">
        <v>2020</v>
      </c>
      <c r="L306" s="78">
        <v>1</v>
      </c>
      <c r="M306" s="79">
        <v>100000</v>
      </c>
      <c r="N306" s="86">
        <f>Table47910[[#This Row],[Expected Revenue]]*Table47910[[#This Row],[Probability]]</f>
        <v>100000</v>
      </c>
      <c r="O306" s="78"/>
      <c r="P306" s="86">
        <f>Table47910[[#This Row],[Expected Revenue]]*Table47910[[#This Row],[Expected CMR]]</f>
        <v>0</v>
      </c>
      <c r="Q306" s="210" t="s">
        <v>3159</v>
      </c>
    </row>
    <row r="307" spans="1:17" hidden="1">
      <c r="A307" s="173"/>
      <c r="B307" s="76" t="s">
        <v>104</v>
      </c>
      <c r="C307" s="77" t="s">
        <v>3059</v>
      </c>
      <c r="D307" s="102" t="s">
        <v>3207</v>
      </c>
      <c r="E307" s="77" t="s">
        <v>92</v>
      </c>
      <c r="F307" s="77" t="s">
        <v>58</v>
      </c>
      <c r="G307" s="77" t="s">
        <v>297</v>
      </c>
      <c r="H307" s="77" t="s">
        <v>297</v>
      </c>
      <c r="I307" s="76"/>
      <c r="J307" s="110" t="s">
        <v>222</v>
      </c>
      <c r="K307" s="77">
        <v>2020</v>
      </c>
      <c r="L307" s="78">
        <v>1</v>
      </c>
      <c r="M307" s="79">
        <v>10000</v>
      </c>
      <c r="N307" s="86">
        <f>Table47910[[#This Row],[Expected Revenue]]*Table47910[[#This Row],[Probability]]</f>
        <v>10000</v>
      </c>
      <c r="O307" s="78"/>
      <c r="P307" s="86">
        <f>Table47910[[#This Row],[Expected Revenue]]*Table47910[[#This Row],[Expected CMR]]</f>
        <v>0</v>
      </c>
      <c r="Q307" s="210" t="s">
        <v>3159</v>
      </c>
    </row>
    <row r="308" spans="1:17" hidden="1">
      <c r="A308" s="173"/>
      <c r="B308" s="202" t="s">
        <v>104</v>
      </c>
      <c r="C308" s="77" t="s">
        <v>3059</v>
      </c>
      <c r="D308" s="102" t="s">
        <v>3185</v>
      </c>
      <c r="E308" s="77" t="s">
        <v>62</v>
      </c>
      <c r="F308" s="77" t="s">
        <v>58</v>
      </c>
      <c r="G308" s="77" t="s">
        <v>295</v>
      </c>
      <c r="H308" s="77" t="s">
        <v>290</v>
      </c>
      <c r="I308" s="76"/>
      <c r="J308" s="110" t="s">
        <v>84</v>
      </c>
      <c r="K308" s="77">
        <v>2020</v>
      </c>
      <c r="L308" s="78">
        <v>1</v>
      </c>
      <c r="M308" s="79">
        <v>21000</v>
      </c>
      <c r="N308" s="215">
        <f>Table47910[[#This Row],[Expected Revenue]]*Table47910[[#This Row],[Probability]]</f>
        <v>21000</v>
      </c>
      <c r="O308" s="78"/>
      <c r="P308" s="86"/>
      <c r="Q308" s="210"/>
    </row>
    <row r="309" spans="1:17" hidden="1">
      <c r="A309" s="173"/>
      <c r="B309" s="76" t="s">
        <v>114</v>
      </c>
      <c r="C309" s="77" t="s">
        <v>3059</v>
      </c>
      <c r="D309" s="102" t="s">
        <v>3155</v>
      </c>
      <c r="E309" s="77" t="s">
        <v>92</v>
      </c>
      <c r="F309" s="77" t="s">
        <v>58</v>
      </c>
      <c r="G309" s="77" t="s">
        <v>295</v>
      </c>
      <c r="H309" s="77" t="s">
        <v>290</v>
      </c>
      <c r="I309" s="76"/>
      <c r="J309" s="110" t="s">
        <v>229</v>
      </c>
      <c r="K309" s="77">
        <v>2020</v>
      </c>
      <c r="L309" s="78">
        <v>1</v>
      </c>
      <c r="M309" s="79">
        <v>10080</v>
      </c>
      <c r="N309" s="221">
        <f>Table47910[[#This Row],[Expected Revenue]]*Table47910[[#This Row],[Probability]]</f>
        <v>10080</v>
      </c>
      <c r="O309" s="78">
        <v>0.3</v>
      </c>
      <c r="P309" s="79">
        <f>Table47910[[#This Row],[Expected Revenue]]*Table47910[[#This Row],[Expected CMR]]</f>
        <v>3024</v>
      </c>
      <c r="Q309" s="210"/>
    </row>
    <row r="310" spans="1:17" hidden="1">
      <c r="A310" s="173"/>
      <c r="B310" s="76" t="s">
        <v>3208</v>
      </c>
      <c r="C310" s="77" t="s">
        <v>3163</v>
      </c>
      <c r="D310" s="102" t="s">
        <v>280</v>
      </c>
      <c r="E310" s="77" t="s">
        <v>294</v>
      </c>
      <c r="F310" s="77" t="s">
        <v>58</v>
      </c>
      <c r="G310" s="77" t="s">
        <v>297</v>
      </c>
      <c r="H310" s="77" t="s">
        <v>297</v>
      </c>
      <c r="I310" s="76"/>
      <c r="J310" s="110" t="s">
        <v>219</v>
      </c>
      <c r="K310" s="77">
        <v>2020</v>
      </c>
      <c r="L310" s="78">
        <v>1</v>
      </c>
      <c r="M310" s="79">
        <v>12000</v>
      </c>
      <c r="N310" s="215">
        <f>Table47910[[#This Row],[Expected Revenue]]*Table47910[[#This Row],[Probability]]</f>
        <v>12000</v>
      </c>
      <c r="O310" s="78"/>
      <c r="P310" s="86">
        <f>Table47910[[#This Row],[Expected Revenue]]*Table47910[[#This Row],[Expected CMR]]</f>
        <v>0</v>
      </c>
      <c r="Q310" s="209"/>
    </row>
    <row r="311" spans="1:17" hidden="1">
      <c r="A311" s="173"/>
      <c r="B311" s="76" t="s">
        <v>3208</v>
      </c>
      <c r="C311" s="77" t="s">
        <v>3163</v>
      </c>
      <c r="D311" s="102" t="s">
        <v>280</v>
      </c>
      <c r="E311" s="77" t="s">
        <v>294</v>
      </c>
      <c r="F311" s="77" t="s">
        <v>58</v>
      </c>
      <c r="G311" s="77" t="s">
        <v>297</v>
      </c>
      <c r="H311" s="77" t="s">
        <v>297</v>
      </c>
      <c r="I311" s="76"/>
      <c r="J311" s="110" t="s">
        <v>222</v>
      </c>
      <c r="K311" s="77">
        <v>2020</v>
      </c>
      <c r="L311" s="78">
        <v>1</v>
      </c>
      <c r="M311" s="79">
        <v>50000</v>
      </c>
      <c r="N311" s="86">
        <f>Table47910[[#This Row],[Expected Revenue]]*Table47910[[#This Row],[Probability]]</f>
        <v>50000</v>
      </c>
      <c r="O311" s="78"/>
      <c r="P311" s="86">
        <f>Table47910[[#This Row],[Expected Revenue]]*Table47910[[#This Row],[Expected CMR]]</f>
        <v>0</v>
      </c>
      <c r="Q311" s="209" t="s">
        <v>3068</v>
      </c>
    </row>
    <row r="312" spans="1:17" hidden="1">
      <c r="A312" s="173"/>
      <c r="B312" s="76" t="s">
        <v>296</v>
      </c>
      <c r="C312" s="77"/>
      <c r="D312" s="102"/>
      <c r="E312" s="77" t="s">
        <v>251</v>
      </c>
      <c r="F312" s="77" t="s">
        <v>58</v>
      </c>
      <c r="G312" s="77" t="s">
        <v>3181</v>
      </c>
      <c r="H312" s="77" t="s">
        <v>296</v>
      </c>
      <c r="I312" s="76"/>
      <c r="J312" s="110" t="s">
        <v>84</v>
      </c>
      <c r="K312" s="77">
        <v>2020</v>
      </c>
      <c r="L312" s="78">
        <v>1</v>
      </c>
      <c r="M312" s="79">
        <v>100000</v>
      </c>
      <c r="N312" s="215">
        <f>Table47910[[#This Row],[Expected Revenue]]*Table47910[[#This Row],[Probability]]</f>
        <v>100000</v>
      </c>
      <c r="O312" s="78"/>
      <c r="P312" s="86">
        <f>Table47910[[#This Row],[Expected Revenue]]*Table47910[[#This Row],[Expected CMR]]</f>
        <v>0</v>
      </c>
      <c r="Q312" s="210"/>
    </row>
    <row r="313" spans="1:17" hidden="1">
      <c r="A313" s="173" t="s">
        <v>145</v>
      </c>
      <c r="B313" s="76" t="s">
        <v>137</v>
      </c>
      <c r="C313" s="77" t="s">
        <v>3059</v>
      </c>
      <c r="D313" s="102" t="s">
        <v>3155</v>
      </c>
      <c r="E313" s="77" t="s">
        <v>92</v>
      </c>
      <c r="F313" s="77" t="s">
        <v>58</v>
      </c>
      <c r="G313" s="77" t="s">
        <v>295</v>
      </c>
      <c r="H313" s="77" t="s">
        <v>290</v>
      </c>
      <c r="I313" s="76"/>
      <c r="J313" s="110" t="s">
        <v>229</v>
      </c>
      <c r="K313" s="77">
        <v>2020</v>
      </c>
      <c r="L313" s="78">
        <v>1</v>
      </c>
      <c r="M313" s="79">
        <v>3622</v>
      </c>
      <c r="N313" s="221">
        <f>Table47910[[#This Row],[Expected Revenue]]*Table47910[[#This Row],[Probability]]</f>
        <v>3622</v>
      </c>
      <c r="O313" s="78">
        <v>0.3</v>
      </c>
      <c r="P313" s="79">
        <f>Table47910[[#This Row],[Expected Revenue]]*Table47910[[#This Row],[Expected CMR]]</f>
        <v>1086.5999999999999</v>
      </c>
      <c r="Q313" s="210"/>
    </row>
    <row r="314" spans="1:17" hidden="1">
      <c r="A314" s="75" t="s">
        <v>3095</v>
      </c>
      <c r="B314" s="76" t="s">
        <v>137</v>
      </c>
      <c r="C314" s="77" t="s">
        <v>57</v>
      </c>
      <c r="D314" s="102" t="s">
        <v>97</v>
      </c>
      <c r="E314" s="77" t="s">
        <v>92</v>
      </c>
      <c r="F314" s="77" t="s">
        <v>58</v>
      </c>
      <c r="G314" s="77" t="s">
        <v>65</v>
      </c>
      <c r="H314" s="77" t="s">
        <v>290</v>
      </c>
      <c r="I314" s="77"/>
      <c r="J314" s="110" t="s">
        <v>219</v>
      </c>
      <c r="K314" s="77">
        <v>2020</v>
      </c>
      <c r="L314" s="78">
        <v>1</v>
      </c>
      <c r="M314" s="79">
        <v>10000</v>
      </c>
      <c r="N314" s="214">
        <f>Table47910[[#This Row],[Expected Revenue]]*Table47910[[#This Row],[Probability]]</f>
        <v>10000</v>
      </c>
      <c r="O314" s="78">
        <v>0.3</v>
      </c>
      <c r="P314" s="79">
        <f>Table47910[[#This Row],[Expected Revenue]]*Table47910[[#This Row],[Expected CMR]]</f>
        <v>3000</v>
      </c>
      <c r="Q314" s="209"/>
    </row>
    <row r="315" spans="1:17" hidden="1">
      <c r="A315" s="173"/>
      <c r="B315" s="76" t="s">
        <v>114</v>
      </c>
      <c r="C315" s="77" t="s">
        <v>3059</v>
      </c>
      <c r="D315" s="102" t="s">
        <v>61</v>
      </c>
      <c r="E315" s="77" t="s">
        <v>92</v>
      </c>
      <c r="F315" s="77" t="s">
        <v>58</v>
      </c>
      <c r="G315" s="77" t="s">
        <v>65</v>
      </c>
      <c r="H315" s="77" t="s">
        <v>290</v>
      </c>
      <c r="I315" s="76"/>
      <c r="J315" s="110" t="s">
        <v>139</v>
      </c>
      <c r="K315" s="77">
        <v>2020</v>
      </c>
      <c r="L315" s="78">
        <v>1</v>
      </c>
      <c r="M315" s="79">
        <v>6000</v>
      </c>
      <c r="N315" s="86">
        <f>Table47910[[#This Row],[Expected Revenue]]*Table47910[[#This Row],[Probability]]</f>
        <v>6000</v>
      </c>
      <c r="O315" s="78">
        <v>0.3</v>
      </c>
      <c r="P315" s="86">
        <f>Table47910[[#This Row],[Expected Revenue]]*Table47910[[#This Row],[Expected CMR]]</f>
        <v>1800</v>
      </c>
      <c r="Q315" s="210"/>
    </row>
    <row r="316" spans="1:17" hidden="1">
      <c r="A316" s="173" t="s">
        <v>3209</v>
      </c>
      <c r="B316" s="76" t="s">
        <v>104</v>
      </c>
      <c r="C316" s="77" t="s">
        <v>3059</v>
      </c>
      <c r="D316" s="102" t="s">
        <v>3055</v>
      </c>
      <c r="E316" s="77" t="s">
        <v>292</v>
      </c>
      <c r="F316" s="77" t="s">
        <v>58</v>
      </c>
      <c r="G316" s="77" t="s">
        <v>295</v>
      </c>
      <c r="H316" s="77" t="s">
        <v>290</v>
      </c>
      <c r="I316" s="76"/>
      <c r="J316" s="110" t="s">
        <v>229</v>
      </c>
      <c r="K316" s="77">
        <v>2020</v>
      </c>
      <c r="L316" s="78">
        <v>1</v>
      </c>
      <c r="M316" s="79">
        <v>13900</v>
      </c>
      <c r="N316" s="221">
        <f>Table47910[[#This Row],[Expected Revenue]]*Table47910[[#This Row],[Probability]]</f>
        <v>13900</v>
      </c>
      <c r="O316" s="78">
        <v>0.3</v>
      </c>
      <c r="P316" s="79">
        <f>Table47910[[#This Row],[Expected Revenue]]*Table47910[[#This Row],[Expected CMR]]</f>
        <v>4170</v>
      </c>
      <c r="Q316" s="210"/>
    </row>
    <row r="317" spans="1:17" hidden="1">
      <c r="A317" s="173"/>
      <c r="B317" s="76" t="s">
        <v>3058</v>
      </c>
      <c r="C317" s="77" t="s">
        <v>3059</v>
      </c>
      <c r="D317" s="102" t="s">
        <v>3177</v>
      </c>
      <c r="E317" s="77" t="s">
        <v>83</v>
      </c>
      <c r="F317" s="77" t="s">
        <v>58</v>
      </c>
      <c r="G317" s="77" t="s">
        <v>295</v>
      </c>
      <c r="H317" s="77" t="s">
        <v>290</v>
      </c>
      <c r="I317" s="76"/>
      <c r="J317" s="110" t="s">
        <v>219</v>
      </c>
      <c r="K317" s="77">
        <v>2020</v>
      </c>
      <c r="L317" s="78">
        <v>1</v>
      </c>
      <c r="M317" s="79">
        <v>10513.8</v>
      </c>
      <c r="N317" s="215">
        <f>Table47910[[#This Row],[Expected Revenue]]*Table47910[[#This Row],[Probability]]</f>
        <v>10513.8</v>
      </c>
      <c r="O317" s="78"/>
      <c r="P317" s="86">
        <f>Table47910[[#This Row],[Expected Revenue]]*Table47910[[#This Row],[Expected CMR]]</f>
        <v>0</v>
      </c>
      <c r="Q317" s="210"/>
    </row>
    <row r="318" spans="1:17" hidden="1">
      <c r="A318" s="173"/>
      <c r="B318" s="76" t="s">
        <v>3162</v>
      </c>
      <c r="C318" s="77" t="s">
        <v>3163</v>
      </c>
      <c r="D318" s="102" t="s">
        <v>3164</v>
      </c>
      <c r="E318" s="77" t="s">
        <v>281</v>
      </c>
      <c r="F318" s="77" t="s">
        <v>58</v>
      </c>
      <c r="G318" s="77" t="s">
        <v>295</v>
      </c>
      <c r="H318" s="77" t="s">
        <v>290</v>
      </c>
      <c r="I318" s="76"/>
      <c r="J318" s="110" t="s">
        <v>219</v>
      </c>
      <c r="K318" s="77">
        <v>2020</v>
      </c>
      <c r="L318" s="78">
        <v>1</v>
      </c>
      <c r="M318" s="79">
        <v>16500</v>
      </c>
      <c r="N318" s="215">
        <f>Table47910[[#This Row],[Expected Revenue]]*Table47910[[#This Row],[Probability]]</f>
        <v>16500</v>
      </c>
      <c r="O318" s="78"/>
      <c r="P318" s="86">
        <f>Table47910[[#This Row],[Expected Revenue]]*Table47910[[#This Row],[Expected CMR]]</f>
        <v>0</v>
      </c>
      <c r="Q318" s="210"/>
    </row>
    <row r="319" spans="1:17" hidden="1">
      <c r="A319" s="173"/>
      <c r="B319" s="76" t="s">
        <v>146</v>
      </c>
      <c r="C319" s="77" t="s">
        <v>3059</v>
      </c>
      <c r="D319" s="102" t="s">
        <v>61</v>
      </c>
      <c r="E319" s="77" t="s">
        <v>92</v>
      </c>
      <c r="F319" s="77" t="s">
        <v>58</v>
      </c>
      <c r="G319" s="77" t="s">
        <v>65</v>
      </c>
      <c r="H319" s="77" t="s">
        <v>290</v>
      </c>
      <c r="I319" s="76"/>
      <c r="J319" s="110" t="s">
        <v>89</v>
      </c>
      <c r="K319" s="77">
        <v>2020</v>
      </c>
      <c r="L319" s="78">
        <v>1</v>
      </c>
      <c r="M319" s="79">
        <v>30000</v>
      </c>
      <c r="N319" s="86">
        <f>Table47910[[#This Row],[Expected Revenue]]*Table47910[[#This Row],[Probability]]</f>
        <v>30000</v>
      </c>
      <c r="O319" s="78">
        <v>0.3</v>
      </c>
      <c r="P319" s="86">
        <f>Table47910[[#This Row],[Expected Revenue]]*Table47910[[#This Row],[Expected CMR]]</f>
        <v>9000</v>
      </c>
      <c r="Q319" s="210"/>
    </row>
    <row r="320" spans="1:17" hidden="1">
      <c r="A320" s="173"/>
      <c r="B320" s="76" t="s">
        <v>146</v>
      </c>
      <c r="C320" s="77" t="s">
        <v>3059</v>
      </c>
      <c r="D320" s="102" t="s">
        <v>61</v>
      </c>
      <c r="E320" s="77" t="s">
        <v>92</v>
      </c>
      <c r="F320" s="77" t="s">
        <v>58</v>
      </c>
      <c r="G320" s="77" t="s">
        <v>65</v>
      </c>
      <c r="H320" s="77" t="s">
        <v>290</v>
      </c>
      <c r="I320" s="76"/>
      <c r="J320" s="110" t="s">
        <v>139</v>
      </c>
      <c r="K320" s="77">
        <v>2020</v>
      </c>
      <c r="L320" s="78">
        <v>1</v>
      </c>
      <c r="M320" s="79">
        <v>50000</v>
      </c>
      <c r="N320" s="86">
        <f>Table47910[[#This Row],[Expected Revenue]]*Table47910[[#This Row],[Probability]]</f>
        <v>50000</v>
      </c>
      <c r="O320" s="78">
        <v>0.3</v>
      </c>
      <c r="P320" s="86">
        <f>Table47910[[#This Row],[Expected Revenue]]*Table47910[[#This Row],[Expected CMR]]</f>
        <v>15000</v>
      </c>
      <c r="Q320" s="210"/>
    </row>
    <row r="321" spans="1:17" ht="21.6" hidden="1">
      <c r="A321" s="173" t="s">
        <v>3210</v>
      </c>
      <c r="B321" s="76" t="s">
        <v>3034</v>
      </c>
      <c r="C321" s="77"/>
      <c r="D321" s="102" t="s">
        <v>3211</v>
      </c>
      <c r="E321" s="77" t="s">
        <v>92</v>
      </c>
      <c r="F321" s="77" t="s">
        <v>58</v>
      </c>
      <c r="G321" s="77" t="s">
        <v>65</v>
      </c>
      <c r="H321" s="77" t="s">
        <v>290</v>
      </c>
      <c r="I321" s="76"/>
      <c r="J321" s="110" t="s">
        <v>139</v>
      </c>
      <c r="K321" s="77">
        <v>2020</v>
      </c>
      <c r="L321" s="78">
        <v>1</v>
      </c>
      <c r="M321" s="79">
        <v>25000</v>
      </c>
      <c r="N321" s="86">
        <f>Table47910[[#This Row],[Expected Revenue]]*Table47910[[#This Row],[Probability]]</f>
        <v>25000</v>
      </c>
      <c r="O321" s="78">
        <v>0.3</v>
      </c>
      <c r="P321" s="86">
        <f>Table47910[[#This Row],[Expected Revenue]]*Table47910[[#This Row],[Expected CMR]]</f>
        <v>7500</v>
      </c>
      <c r="Q321" s="210"/>
    </row>
    <row r="322" spans="1:17" hidden="1">
      <c r="A322" s="173"/>
      <c r="B322" s="76" t="s">
        <v>137</v>
      </c>
      <c r="C322" s="77" t="s">
        <v>3059</v>
      </c>
      <c r="D322" s="102" t="s">
        <v>3182</v>
      </c>
      <c r="E322" s="77" t="s">
        <v>71</v>
      </c>
      <c r="F322" s="77" t="s">
        <v>58</v>
      </c>
      <c r="G322" s="77" t="s">
        <v>65</v>
      </c>
      <c r="H322" s="77" t="s">
        <v>290</v>
      </c>
      <c r="I322" s="76"/>
      <c r="J322" s="110" t="s">
        <v>139</v>
      </c>
      <c r="K322" s="77">
        <v>2020</v>
      </c>
      <c r="L322" s="78">
        <v>1</v>
      </c>
      <c r="M322" s="79">
        <v>30939</v>
      </c>
      <c r="N322" s="86">
        <f>Table47910[[#This Row],[Expected Revenue]]*Table47910[[#This Row],[Probability]]</f>
        <v>30939</v>
      </c>
      <c r="O322" s="78">
        <v>0.3</v>
      </c>
      <c r="P322" s="86">
        <f>Table47910[[#This Row],[Expected Revenue]]*Table47910[[#This Row],[Expected CMR]]</f>
        <v>9281.6999999999989</v>
      </c>
      <c r="Q322" s="210"/>
    </row>
    <row r="323" spans="1:17" hidden="1">
      <c r="A323" s="173"/>
      <c r="B323" s="76" t="s">
        <v>296</v>
      </c>
      <c r="C323" s="77"/>
      <c r="D323" s="102"/>
      <c r="E323" s="77" t="s">
        <v>251</v>
      </c>
      <c r="F323" s="77" t="s">
        <v>58</v>
      </c>
      <c r="G323" s="77" t="s">
        <v>3181</v>
      </c>
      <c r="H323" s="77" t="s">
        <v>296</v>
      </c>
      <c r="I323" s="76"/>
      <c r="J323" s="110" t="s">
        <v>219</v>
      </c>
      <c r="K323" s="77">
        <v>2020</v>
      </c>
      <c r="L323" s="78">
        <v>1</v>
      </c>
      <c r="M323" s="79">
        <v>100000</v>
      </c>
      <c r="N323" s="215">
        <f>Table47910[[#This Row],[Expected Revenue]]*Table47910[[#This Row],[Probability]]</f>
        <v>100000</v>
      </c>
      <c r="O323" s="78"/>
      <c r="P323" s="86">
        <f>Table47910[[#This Row],[Expected Revenue]]*Table47910[[#This Row],[Expected CMR]]</f>
        <v>0</v>
      </c>
      <c r="Q323" s="210"/>
    </row>
    <row r="324" spans="1:17" hidden="1">
      <c r="A324" s="173"/>
      <c r="B324" s="76" t="s">
        <v>282</v>
      </c>
      <c r="C324" s="77" t="s">
        <v>283</v>
      </c>
      <c r="D324" s="102" t="s">
        <v>284</v>
      </c>
      <c r="E324" s="77" t="s">
        <v>92</v>
      </c>
      <c r="F324" s="77" t="s">
        <v>58</v>
      </c>
      <c r="G324" s="77" t="s">
        <v>257</v>
      </c>
      <c r="H324" s="77" t="s">
        <v>257</v>
      </c>
      <c r="I324" s="76" t="s">
        <v>3212</v>
      </c>
      <c r="J324" s="110" t="s">
        <v>222</v>
      </c>
      <c r="K324" s="77">
        <v>2020</v>
      </c>
      <c r="L324" s="78">
        <v>0.5</v>
      </c>
      <c r="M324" s="79">
        <v>29000</v>
      </c>
      <c r="N324" s="86">
        <f>Table47910[[#This Row],[Expected Revenue]]*Table47910[[#This Row],[Probability]]</f>
        <v>14500</v>
      </c>
      <c r="O324" s="78"/>
      <c r="P324" s="86">
        <f>Table47910[[#This Row],[Expected Revenue]]*Table47910[[#This Row],[Expected CMR]]</f>
        <v>0</v>
      </c>
      <c r="Q324" s="210" t="s">
        <v>3159</v>
      </c>
    </row>
    <row r="325" spans="1:17" hidden="1">
      <c r="A325" s="173"/>
      <c r="B325" s="76" t="s">
        <v>114</v>
      </c>
      <c r="C325" s="77" t="s">
        <v>57</v>
      </c>
      <c r="D325" s="102" t="s">
        <v>3213</v>
      </c>
      <c r="E325" s="77" t="s">
        <v>92</v>
      </c>
      <c r="F325" s="77" t="s">
        <v>58</v>
      </c>
      <c r="G325" s="77" t="s">
        <v>257</v>
      </c>
      <c r="H325" s="77" t="s">
        <v>257</v>
      </c>
      <c r="I325" s="76" t="s">
        <v>3214</v>
      </c>
      <c r="J325" s="110" t="s">
        <v>219</v>
      </c>
      <c r="K325" s="77">
        <v>2020</v>
      </c>
      <c r="L325" s="78">
        <v>1</v>
      </c>
      <c r="M325" s="79">
        <v>5000</v>
      </c>
      <c r="N325" s="215">
        <f>Table47910[[#This Row],[Expected Revenue]]*Table47910[[#This Row],[Probability]]</f>
        <v>5000</v>
      </c>
      <c r="O325" s="78"/>
      <c r="P325" s="86">
        <f>Table47910[[#This Row],[Expected Revenue]]*Table47910[[#This Row],[Expected CMR]]</f>
        <v>0</v>
      </c>
      <c r="Q325" s="209"/>
    </row>
    <row r="326" spans="1:17" hidden="1">
      <c r="A326" s="173"/>
      <c r="B326" s="76" t="s">
        <v>114</v>
      </c>
      <c r="C326" s="77" t="s">
        <v>57</v>
      </c>
      <c r="D326" s="102" t="s">
        <v>3213</v>
      </c>
      <c r="E326" s="77" t="s">
        <v>92</v>
      </c>
      <c r="F326" s="77" t="s">
        <v>58</v>
      </c>
      <c r="G326" s="77" t="s">
        <v>257</v>
      </c>
      <c r="H326" s="77" t="s">
        <v>257</v>
      </c>
      <c r="I326" s="76" t="s">
        <v>3214</v>
      </c>
      <c r="J326" s="110" t="s">
        <v>222</v>
      </c>
      <c r="K326" s="77">
        <v>2020</v>
      </c>
      <c r="L326" s="78">
        <v>1</v>
      </c>
      <c r="M326" s="79">
        <v>5000</v>
      </c>
      <c r="N326" s="86">
        <f>Table47910[[#This Row],[Expected Revenue]]*Table47910[[#This Row],[Probability]]</f>
        <v>5000</v>
      </c>
      <c r="O326" s="78"/>
      <c r="P326" s="86">
        <f>Table47910[[#This Row],[Expected Revenue]]*Table47910[[#This Row],[Expected CMR]]</f>
        <v>0</v>
      </c>
      <c r="Q326" s="209" t="s">
        <v>3068</v>
      </c>
    </row>
    <row r="327" spans="1:17" hidden="1">
      <c r="A327" s="173"/>
      <c r="B327" s="76" t="s">
        <v>137</v>
      </c>
      <c r="C327" s="77" t="s">
        <v>3059</v>
      </c>
      <c r="D327" s="102" t="s">
        <v>3215</v>
      </c>
      <c r="E327" s="77" t="s">
        <v>92</v>
      </c>
      <c r="F327" s="77" t="s">
        <v>58</v>
      </c>
      <c r="G327" s="77" t="s">
        <v>3216</v>
      </c>
      <c r="H327" s="77" t="s">
        <v>297</v>
      </c>
      <c r="I327" s="76"/>
      <c r="J327" s="110" t="s">
        <v>219</v>
      </c>
      <c r="K327" s="77">
        <v>2020</v>
      </c>
      <c r="L327" s="78">
        <v>0.1</v>
      </c>
      <c r="M327" s="79">
        <v>250000</v>
      </c>
      <c r="N327" s="215">
        <f>Table47910[[#This Row],[Expected Revenue]]*Table47910[[#This Row],[Probability]]</f>
        <v>25000</v>
      </c>
      <c r="O327" s="78"/>
      <c r="P327" s="86">
        <f>Table47910[[#This Row],[Expected Revenue]]*Table47910[[#This Row],[Expected CMR]]</f>
        <v>0</v>
      </c>
      <c r="Q327" s="210"/>
    </row>
    <row r="328" spans="1:17" hidden="1">
      <c r="A328" s="173"/>
      <c r="B328" s="76" t="s">
        <v>104</v>
      </c>
      <c r="C328" s="77" t="s">
        <v>3059</v>
      </c>
      <c r="D328" s="102" t="s">
        <v>61</v>
      </c>
      <c r="E328" s="77" t="s">
        <v>92</v>
      </c>
      <c r="F328" s="77" t="s">
        <v>58</v>
      </c>
      <c r="G328" s="77" t="s">
        <v>65</v>
      </c>
      <c r="H328" s="77" t="s">
        <v>290</v>
      </c>
      <c r="I328" s="76"/>
      <c r="J328" s="110" t="s">
        <v>89</v>
      </c>
      <c r="K328" s="77">
        <v>2020</v>
      </c>
      <c r="L328" s="78">
        <v>1</v>
      </c>
      <c r="M328" s="79">
        <v>15000</v>
      </c>
      <c r="N328" s="86">
        <f>Table47910[[#This Row],[Expected Revenue]]*Table47910[[#This Row],[Probability]]</f>
        <v>15000</v>
      </c>
      <c r="O328" s="78">
        <v>0.3</v>
      </c>
      <c r="P328" s="86">
        <f>Table47910[[#This Row],[Expected Revenue]]*Table47910[[#This Row],[Expected CMR]]</f>
        <v>4500</v>
      </c>
      <c r="Q328" s="210"/>
    </row>
    <row r="329" spans="1:17" s="218" customFormat="1" hidden="1">
      <c r="A329" s="201"/>
      <c r="B329" s="202" t="s">
        <v>3217</v>
      </c>
      <c r="C329" s="203" t="s">
        <v>560</v>
      </c>
      <c r="D329" s="204" t="s">
        <v>3218</v>
      </c>
      <c r="E329" s="203" t="s">
        <v>294</v>
      </c>
      <c r="F329" s="203" t="s">
        <v>58</v>
      </c>
      <c r="G329" s="203" t="s">
        <v>65</v>
      </c>
      <c r="H329" s="203" t="s">
        <v>290</v>
      </c>
      <c r="I329" s="202"/>
      <c r="J329" s="205" t="s">
        <v>89</v>
      </c>
      <c r="K329" s="203">
        <v>2020</v>
      </c>
      <c r="L329" s="206">
        <v>1</v>
      </c>
      <c r="M329" s="207">
        <v>5000</v>
      </c>
      <c r="N329" s="208">
        <f>Table47910[[#This Row],[Expected Revenue]]*Table47910[[#This Row],[Probability]]</f>
        <v>5000</v>
      </c>
      <c r="O329" s="206">
        <v>0.3</v>
      </c>
      <c r="P329" s="208">
        <f>Table47910[[#This Row],[Expected Revenue]]*Table47910[[#This Row],[Expected CMR]]</f>
        <v>1500</v>
      </c>
      <c r="Q329" s="211"/>
    </row>
    <row r="330" spans="1:17" hidden="1">
      <c r="A330" s="173"/>
      <c r="B330" s="76" t="s">
        <v>117</v>
      </c>
      <c r="C330" s="77" t="s">
        <v>3059</v>
      </c>
      <c r="D330" s="102" t="s">
        <v>3176</v>
      </c>
      <c r="E330" s="77" t="s">
        <v>291</v>
      </c>
      <c r="F330" s="77" t="s">
        <v>58</v>
      </c>
      <c r="G330" s="77" t="s">
        <v>295</v>
      </c>
      <c r="H330" s="77" t="s">
        <v>290</v>
      </c>
      <c r="I330" s="76"/>
      <c r="J330" s="110" t="s">
        <v>89</v>
      </c>
      <c r="K330" s="77">
        <v>2020</v>
      </c>
      <c r="L330" s="78">
        <v>1</v>
      </c>
      <c r="M330" s="79">
        <v>24000</v>
      </c>
      <c r="N330" s="86">
        <f>Table47910[[#This Row],[Expected Revenue]]*Table47910[[#This Row],[Probability]]</f>
        <v>24000</v>
      </c>
      <c r="O330" s="78"/>
      <c r="P330" s="86">
        <f>Table47910[[#This Row],[Expected Revenue]]*Table47910[[#This Row],[Expected CMR]]</f>
        <v>0</v>
      </c>
      <c r="Q330" s="210"/>
    </row>
    <row r="331" spans="1:17" hidden="1">
      <c r="A331" s="173"/>
      <c r="B331" s="76" t="s">
        <v>117</v>
      </c>
      <c r="C331" s="77" t="s">
        <v>3059</v>
      </c>
      <c r="D331" s="102" t="s">
        <v>3176</v>
      </c>
      <c r="E331" s="77" t="s">
        <v>291</v>
      </c>
      <c r="F331" s="77" t="s">
        <v>58</v>
      </c>
      <c r="G331" s="77" t="s">
        <v>295</v>
      </c>
      <c r="H331" s="77" t="s">
        <v>290</v>
      </c>
      <c r="I331" s="76"/>
      <c r="J331" s="110" t="s">
        <v>139</v>
      </c>
      <c r="K331" s="77">
        <v>2020</v>
      </c>
      <c r="L331" s="78">
        <v>1</v>
      </c>
      <c r="M331" s="79">
        <v>35000</v>
      </c>
      <c r="N331" s="86">
        <f>Table47910[[#This Row],[Expected Revenue]]*Table47910[[#This Row],[Probability]]</f>
        <v>35000</v>
      </c>
      <c r="O331" s="78"/>
      <c r="P331" s="86">
        <f>Table47910[[#This Row],[Expected Revenue]]*Table47910[[#This Row],[Expected CMR]]</f>
        <v>0</v>
      </c>
      <c r="Q331" s="210"/>
    </row>
    <row r="332" spans="1:17" hidden="1">
      <c r="A332" s="173"/>
      <c r="B332" s="76" t="s">
        <v>257</v>
      </c>
      <c r="C332" s="77" t="s">
        <v>281</v>
      </c>
      <c r="D332" s="102" t="s">
        <v>3219</v>
      </c>
      <c r="E332" s="77" t="s">
        <v>294</v>
      </c>
      <c r="F332" s="77" t="s">
        <v>58</v>
      </c>
      <c r="G332" s="77" t="s">
        <v>257</v>
      </c>
      <c r="H332" s="77" t="s">
        <v>257</v>
      </c>
      <c r="I332" s="76"/>
      <c r="J332" s="110" t="s">
        <v>219</v>
      </c>
      <c r="K332" s="77">
        <v>2020</v>
      </c>
      <c r="L332" s="78">
        <v>1</v>
      </c>
      <c r="M332" s="79">
        <v>8500</v>
      </c>
      <c r="N332" s="215">
        <f>Table47910[[#This Row],[Expected Revenue]]*Table47910[[#This Row],[Probability]]</f>
        <v>8500</v>
      </c>
      <c r="O332" s="78"/>
      <c r="P332" s="86">
        <f>Table47910[[#This Row],[Expected Revenue]]*Table47910[[#This Row],[Expected CMR]]</f>
        <v>0</v>
      </c>
      <c r="Q332" s="210"/>
    </row>
    <row r="333" spans="1:17" hidden="1">
      <c r="A333" s="75" t="s">
        <v>3110</v>
      </c>
      <c r="B333" s="76" t="s">
        <v>117</v>
      </c>
      <c r="C333" s="77" t="s">
        <v>57</v>
      </c>
      <c r="D333" s="102" t="s">
        <v>97</v>
      </c>
      <c r="E333" s="77" t="s">
        <v>92</v>
      </c>
      <c r="F333" s="77" t="s">
        <v>58</v>
      </c>
      <c r="G333" s="77" t="s">
        <v>295</v>
      </c>
      <c r="H333" s="77" t="s">
        <v>290</v>
      </c>
      <c r="I333" s="77"/>
      <c r="J333" s="110" t="s">
        <v>229</v>
      </c>
      <c r="K333" s="77">
        <v>2020</v>
      </c>
      <c r="L333" s="78">
        <v>1</v>
      </c>
      <c r="M333" s="79">
        <v>18622</v>
      </c>
      <c r="N333" s="222">
        <f>Table47910[[#This Row],[Expected Revenue]]*Table47910[[#This Row],[Probability]]</f>
        <v>18622</v>
      </c>
      <c r="O333" s="78">
        <v>0.3</v>
      </c>
      <c r="P333" s="79">
        <f>Table47910[[#This Row],[Expected Revenue]]*Table47910[[#This Row],[Expected CMR]]</f>
        <v>5586.5999999999995</v>
      </c>
      <c r="Q333" s="209"/>
    </row>
    <row r="334" spans="1:17" hidden="1">
      <c r="A334" s="173"/>
      <c r="B334" s="76" t="s">
        <v>114</v>
      </c>
      <c r="C334" s="77" t="s">
        <v>3059</v>
      </c>
      <c r="D334" s="102" t="s">
        <v>3155</v>
      </c>
      <c r="E334" s="77" t="s">
        <v>92</v>
      </c>
      <c r="F334" s="77" t="s">
        <v>58</v>
      </c>
      <c r="G334" s="77" t="s">
        <v>295</v>
      </c>
      <c r="H334" s="77" t="s">
        <v>290</v>
      </c>
      <c r="I334" s="76"/>
      <c r="J334" s="110" t="s">
        <v>219</v>
      </c>
      <c r="K334" s="77">
        <v>2020</v>
      </c>
      <c r="L334" s="78">
        <v>1</v>
      </c>
      <c r="M334" s="79">
        <f>18622.27125*0.3</f>
        <v>5586.6813750000001</v>
      </c>
      <c r="N334" s="215">
        <f>Table47910[[#This Row],[Expected Revenue]]*Table47910[[#This Row],[Probability]]</f>
        <v>5586.6813750000001</v>
      </c>
      <c r="O334" s="78">
        <v>0.3</v>
      </c>
      <c r="P334" s="79">
        <f>Table47910[[#This Row],[Expected Revenue]]*Table47910[[#This Row],[Expected CMR]]</f>
        <v>1676.0044124999999</v>
      </c>
      <c r="Q334" s="210"/>
    </row>
    <row r="335" spans="1:17" hidden="1">
      <c r="A335" s="173" t="s">
        <v>3220</v>
      </c>
      <c r="B335" s="76" t="s">
        <v>130</v>
      </c>
      <c r="C335" s="77" t="s">
        <v>3059</v>
      </c>
      <c r="D335" s="102" t="s">
        <v>3221</v>
      </c>
      <c r="E335" s="77" t="s">
        <v>92</v>
      </c>
      <c r="F335" s="77" t="s">
        <v>58</v>
      </c>
      <c r="G335" s="77" t="s">
        <v>295</v>
      </c>
      <c r="H335" s="77" t="s">
        <v>290</v>
      </c>
      <c r="I335" s="76"/>
      <c r="J335" s="110" t="s">
        <v>102</v>
      </c>
      <c r="K335" s="77">
        <v>2020</v>
      </c>
      <c r="L335" s="78">
        <v>1</v>
      </c>
      <c r="M335" s="79">
        <v>8622</v>
      </c>
      <c r="N335" s="221">
        <f>Table47910[[#This Row],[Expected Revenue]]*Table47910[[#This Row],[Probability]]</f>
        <v>8622</v>
      </c>
      <c r="O335" s="78">
        <v>0.3</v>
      </c>
      <c r="P335" s="79">
        <f>Table47910[[#This Row],[Expected Revenue]]*Table47910[[#This Row],[Expected CMR]]</f>
        <v>2586.6</v>
      </c>
      <c r="Q335" s="210"/>
    </row>
    <row r="336" spans="1:17" hidden="1">
      <c r="A336" s="173" t="s">
        <v>3222</v>
      </c>
      <c r="B336" s="76" t="s">
        <v>104</v>
      </c>
      <c r="C336" s="77" t="s">
        <v>3059</v>
      </c>
      <c r="D336" s="102" t="s">
        <v>3155</v>
      </c>
      <c r="E336" s="77" t="s">
        <v>92</v>
      </c>
      <c r="F336" s="77" t="s">
        <v>58</v>
      </c>
      <c r="G336" s="77" t="s">
        <v>295</v>
      </c>
      <c r="H336" s="77" t="s">
        <v>290</v>
      </c>
      <c r="I336" s="76"/>
      <c r="J336" s="110" t="s">
        <v>229</v>
      </c>
      <c r="K336" s="77">
        <v>2020</v>
      </c>
      <c r="L336" s="78">
        <v>1</v>
      </c>
      <c r="M336" s="79">
        <v>6622</v>
      </c>
      <c r="N336" s="221">
        <f>Table47910[[#This Row],[Expected Revenue]]*Table47910[[#This Row],[Probability]]</f>
        <v>6622</v>
      </c>
      <c r="O336" s="78">
        <v>0.3</v>
      </c>
      <c r="P336" s="79">
        <f>Table47910[[#This Row],[Expected Revenue]]*Table47910[[#This Row],[Expected CMR]]</f>
        <v>1986.6</v>
      </c>
      <c r="Q336" s="210"/>
    </row>
    <row r="337" spans="1:17" hidden="1">
      <c r="A337" s="173" t="s">
        <v>3172</v>
      </c>
      <c r="B337" s="76" t="s">
        <v>487</v>
      </c>
      <c r="C337" s="77" t="s">
        <v>3059</v>
      </c>
      <c r="D337" s="102" t="s">
        <v>3155</v>
      </c>
      <c r="E337" s="77" t="s">
        <v>92</v>
      </c>
      <c r="F337" s="77" t="s">
        <v>58</v>
      </c>
      <c r="G337" s="77" t="s">
        <v>295</v>
      </c>
      <c r="H337" s="77" t="s">
        <v>290</v>
      </c>
      <c r="I337" s="76"/>
      <c r="J337" s="110" t="s">
        <v>229</v>
      </c>
      <c r="K337" s="77">
        <v>2020</v>
      </c>
      <c r="L337" s="78">
        <v>1</v>
      </c>
      <c r="M337" s="79">
        <v>3000</v>
      </c>
      <c r="N337" s="221">
        <f>Table47910[[#This Row],[Expected Revenue]]*Table47910[[#This Row],[Probability]]</f>
        <v>3000</v>
      </c>
      <c r="O337" s="78">
        <v>0.3</v>
      </c>
      <c r="P337" s="79">
        <f>Table47910[[#This Row],[Expected Revenue]]*Table47910[[#This Row],[Expected CMR]]</f>
        <v>900</v>
      </c>
      <c r="Q337" s="210"/>
    </row>
    <row r="338" spans="1:17" hidden="1">
      <c r="A338" s="173" t="s">
        <v>3223</v>
      </c>
      <c r="B338" s="76" t="s">
        <v>146</v>
      </c>
      <c r="C338" s="77" t="s">
        <v>3059</v>
      </c>
      <c r="D338" s="102" t="s">
        <v>3155</v>
      </c>
      <c r="E338" s="77" t="s">
        <v>92</v>
      </c>
      <c r="F338" s="77" t="s">
        <v>58</v>
      </c>
      <c r="G338" s="77" t="s">
        <v>295</v>
      </c>
      <c r="H338" s="77" t="s">
        <v>290</v>
      </c>
      <c r="I338" s="76"/>
      <c r="J338" s="110" t="s">
        <v>229</v>
      </c>
      <c r="K338" s="77">
        <v>2020</v>
      </c>
      <c r="L338" s="78">
        <v>1</v>
      </c>
      <c r="M338" s="79">
        <v>8622</v>
      </c>
      <c r="N338" s="221">
        <f>Table47910[[#This Row],[Expected Revenue]]*Table47910[[#This Row],[Probability]]</f>
        <v>8622</v>
      </c>
      <c r="O338" s="78">
        <v>0.3</v>
      </c>
      <c r="P338" s="79">
        <f>Table47910[[#This Row],[Expected Revenue]]*Table47910[[#This Row],[Expected CMR]]</f>
        <v>2586.6</v>
      </c>
      <c r="Q338" s="210"/>
    </row>
    <row r="339" spans="1:17" hidden="1">
      <c r="A339" s="173" t="s">
        <v>3157</v>
      </c>
      <c r="B339" s="76" t="s">
        <v>3224</v>
      </c>
      <c r="C339" s="77" t="s">
        <v>57</v>
      </c>
      <c r="D339" s="102" t="s">
        <v>113</v>
      </c>
      <c r="E339" s="77" t="s">
        <v>62</v>
      </c>
      <c r="F339" s="77" t="s">
        <v>58</v>
      </c>
      <c r="G339" s="77" t="s">
        <v>65</v>
      </c>
      <c r="H339" s="77" t="s">
        <v>290</v>
      </c>
      <c r="I339" s="76"/>
      <c r="J339" s="110" t="s">
        <v>229</v>
      </c>
      <c r="K339" s="77">
        <v>2020</v>
      </c>
      <c r="L339" s="78">
        <v>1</v>
      </c>
      <c r="M339" s="79">
        <v>27469</v>
      </c>
      <c r="N339" s="221">
        <f>Table47910[[#This Row],[Expected Revenue]]*Table47910[[#This Row],[Probability]]</f>
        <v>27469</v>
      </c>
      <c r="O339" s="78">
        <v>0.3</v>
      </c>
      <c r="P339" s="79">
        <f>Table47910[[#This Row],[Expected Revenue]]*Table47910[[#This Row],[Expected CMR]]</f>
        <v>8240.6999999999989</v>
      </c>
      <c r="Q339" s="210"/>
    </row>
    <row r="340" spans="1:17" hidden="1">
      <c r="A340" s="173" t="s">
        <v>3225</v>
      </c>
      <c r="B340" s="76" t="s">
        <v>130</v>
      </c>
      <c r="C340" s="77" t="s">
        <v>3059</v>
      </c>
      <c r="D340" s="102" t="s">
        <v>3176</v>
      </c>
      <c r="E340" s="77" t="s">
        <v>291</v>
      </c>
      <c r="F340" s="77" t="s">
        <v>58</v>
      </c>
      <c r="G340" s="77" t="s">
        <v>295</v>
      </c>
      <c r="H340" s="77" t="s">
        <v>290</v>
      </c>
      <c r="I340" s="76"/>
      <c r="J340" s="110" t="s">
        <v>102</v>
      </c>
      <c r="K340" s="77">
        <v>2020</v>
      </c>
      <c r="L340" s="78">
        <v>1</v>
      </c>
      <c r="M340" s="79">
        <v>58000</v>
      </c>
      <c r="N340" s="221">
        <f>Table47910[[#This Row],[Expected Revenue]]*Table47910[[#This Row],[Probability]]</f>
        <v>58000</v>
      </c>
      <c r="O340" s="78">
        <v>0.3</v>
      </c>
      <c r="P340" s="79">
        <f>Table47910[[#This Row],[Expected Revenue]]*Table47910[[#This Row],[Expected CMR]]</f>
        <v>17400</v>
      </c>
      <c r="Q340" s="210"/>
    </row>
    <row r="341" spans="1:17" hidden="1">
      <c r="A341" s="173" t="s">
        <v>3171</v>
      </c>
      <c r="B341" s="76" t="s">
        <v>73</v>
      </c>
      <c r="C341" s="77" t="s">
        <v>3059</v>
      </c>
      <c r="D341" s="102" t="s">
        <v>3221</v>
      </c>
      <c r="E341" s="77" t="s">
        <v>92</v>
      </c>
      <c r="F341" s="77" t="s">
        <v>58</v>
      </c>
      <c r="G341" s="77" t="s">
        <v>295</v>
      </c>
      <c r="H341" s="77" t="s">
        <v>290</v>
      </c>
      <c r="I341" s="76"/>
      <c r="J341" s="110" t="s">
        <v>231</v>
      </c>
      <c r="K341" s="77">
        <v>2020</v>
      </c>
      <c r="L341" s="78">
        <v>1</v>
      </c>
      <c r="M341" s="208">
        <v>18622.271250000002</v>
      </c>
      <c r="N341" s="208">
        <f>18622-10000</f>
        <v>8622</v>
      </c>
      <c r="O341" s="86">
        <v>0</v>
      </c>
      <c r="P341" s="210"/>
      <c r="Q341" s="980"/>
    </row>
    <row r="342" spans="1:17" hidden="1">
      <c r="A342" s="173" t="s">
        <v>3160</v>
      </c>
      <c r="B342" s="76" t="s">
        <v>73</v>
      </c>
      <c r="C342" s="77" t="s">
        <v>3059</v>
      </c>
      <c r="D342" s="102" t="s">
        <v>61</v>
      </c>
      <c r="E342" s="77" t="s">
        <v>92</v>
      </c>
      <c r="F342" s="77" t="s">
        <v>58</v>
      </c>
      <c r="G342" s="77" t="s">
        <v>295</v>
      </c>
      <c r="H342" s="77" t="s">
        <v>290</v>
      </c>
      <c r="I342" s="76"/>
      <c r="J342" s="110" t="s">
        <v>231</v>
      </c>
      <c r="K342" s="77">
        <v>2020</v>
      </c>
      <c r="L342" s="78">
        <v>1</v>
      </c>
      <c r="M342" s="208">
        <v>18622.271250000002</v>
      </c>
      <c r="N342" s="79">
        <v>25000</v>
      </c>
      <c r="O342" s="86">
        <v>0</v>
      </c>
      <c r="P342" s="210"/>
      <c r="Q342" s="980"/>
    </row>
    <row r="343" spans="1:17" hidden="1">
      <c r="A343" s="173" t="s">
        <v>3171</v>
      </c>
      <c r="B343" s="76" t="s">
        <v>73</v>
      </c>
      <c r="C343" s="77" t="s">
        <v>3059</v>
      </c>
      <c r="D343" s="102" t="s">
        <v>3221</v>
      </c>
      <c r="E343" s="77" t="s">
        <v>92</v>
      </c>
      <c r="F343" s="77" t="s">
        <v>58</v>
      </c>
      <c r="G343" s="77" t="s">
        <v>295</v>
      </c>
      <c r="H343" s="77" t="s">
        <v>290</v>
      </c>
      <c r="I343" s="76"/>
      <c r="J343" s="110" t="s">
        <v>68</v>
      </c>
      <c r="K343" s="77">
        <v>2020</v>
      </c>
      <c r="L343" s="78">
        <v>1</v>
      </c>
      <c r="M343" s="79">
        <v>18622.271250000002</v>
      </c>
      <c r="N343" s="227">
        <v>11000</v>
      </c>
      <c r="O343" s="78"/>
      <c r="P343" s="86">
        <f>Table47910[[#This Row],[Expected Revenue]]*Table47910[[#This Row],[Expected CMR]]</f>
        <v>0</v>
      </c>
      <c r="Q343" s="210"/>
    </row>
    <row r="344" spans="1:17" hidden="1">
      <c r="A344" s="173"/>
      <c r="B344" s="76" t="s">
        <v>146</v>
      </c>
      <c r="C344" s="77" t="s">
        <v>3059</v>
      </c>
      <c r="D344" s="102" t="s">
        <v>3055</v>
      </c>
      <c r="E344" s="77" t="s">
        <v>292</v>
      </c>
      <c r="F344" s="77" t="s">
        <v>58</v>
      </c>
      <c r="G344" s="77" t="s">
        <v>295</v>
      </c>
      <c r="H344" s="77" t="s">
        <v>290</v>
      </c>
      <c r="I344" s="76"/>
      <c r="J344" s="110" t="s">
        <v>84</v>
      </c>
      <c r="K344" s="77">
        <v>2020</v>
      </c>
      <c r="L344" s="78">
        <v>1</v>
      </c>
      <c r="M344" s="79">
        <v>13900</v>
      </c>
      <c r="N344" s="86">
        <f>Table47910[[#This Row],[Expected Revenue]]*Table47910[[#This Row],[Probability]]</f>
        <v>13900</v>
      </c>
      <c r="O344" s="78"/>
      <c r="P344" s="86"/>
      <c r="Q344" s="210"/>
    </row>
    <row r="345" spans="1:17" hidden="1">
      <c r="A345" s="173" t="s">
        <v>3226</v>
      </c>
      <c r="B345" s="76" t="s">
        <v>104</v>
      </c>
      <c r="C345" s="77" t="s">
        <v>3059</v>
      </c>
      <c r="D345" s="102" t="s">
        <v>3176</v>
      </c>
      <c r="E345" s="77" t="s">
        <v>291</v>
      </c>
      <c r="F345" s="77" t="s">
        <v>58</v>
      </c>
      <c r="G345" s="77" t="s">
        <v>295</v>
      </c>
      <c r="H345" s="77" t="s">
        <v>290</v>
      </c>
      <c r="I345" s="76"/>
      <c r="J345" s="110" t="s">
        <v>229</v>
      </c>
      <c r="K345" s="77">
        <v>2020</v>
      </c>
      <c r="L345" s="78">
        <v>1</v>
      </c>
      <c r="M345" s="79">
        <v>9378</v>
      </c>
      <c r="N345" s="221">
        <f>Table47910[[#This Row],[Expected Revenue]]*Table47910[[#This Row],[Probability]]</f>
        <v>9378</v>
      </c>
      <c r="O345" s="78">
        <v>0.3</v>
      </c>
      <c r="P345" s="79">
        <f>Table47910[[#This Row],[Expected Revenue]]*Table47910[[#This Row],[Expected CMR]]</f>
        <v>2813.4</v>
      </c>
      <c r="Q345" s="210"/>
    </row>
    <row r="346" spans="1:17" hidden="1">
      <c r="A346" s="173"/>
      <c r="B346" s="76" t="s">
        <v>104</v>
      </c>
      <c r="C346" s="77" t="s">
        <v>3059</v>
      </c>
      <c r="D346" s="102" t="s">
        <v>3203</v>
      </c>
      <c r="E346" s="77" t="s">
        <v>92</v>
      </c>
      <c r="F346" s="77" t="s">
        <v>58</v>
      </c>
      <c r="G346" s="77" t="s">
        <v>257</v>
      </c>
      <c r="H346" s="77" t="s">
        <v>257</v>
      </c>
      <c r="I346" s="77" t="s">
        <v>3204</v>
      </c>
      <c r="J346" s="110" t="s">
        <v>222</v>
      </c>
      <c r="K346" s="77">
        <v>2021</v>
      </c>
      <c r="L346" s="78">
        <v>0.15</v>
      </c>
      <c r="M346" s="79">
        <v>117671</v>
      </c>
      <c r="N346" s="86">
        <f>Table47910[[#This Row],[Expected Revenue]]*Table47910[[#This Row],[Probability]]</f>
        <v>17650.649999999998</v>
      </c>
      <c r="O346" s="78"/>
      <c r="P346" s="86">
        <f>Table47910[[#This Row],[Expected Revenue]]*Table47910[[#This Row],[Expected CMR]]</f>
        <v>0</v>
      </c>
      <c r="Q346" s="210"/>
    </row>
    <row r="347" spans="1:17" hidden="1">
      <c r="A347" s="173"/>
      <c r="B347" s="76" t="s">
        <v>3180</v>
      </c>
      <c r="C347" s="77" t="s">
        <v>269</v>
      </c>
      <c r="D347" s="102" t="s">
        <v>270</v>
      </c>
      <c r="E347" s="77" t="s">
        <v>62</v>
      </c>
      <c r="F347" s="77" t="s">
        <v>158</v>
      </c>
      <c r="G347" s="77" t="s">
        <v>295</v>
      </c>
      <c r="H347" s="77" t="s">
        <v>290</v>
      </c>
      <c r="I347" s="76"/>
      <c r="J347" s="110" t="s">
        <v>229</v>
      </c>
      <c r="K347" s="77">
        <v>2020</v>
      </c>
      <c r="L347" s="78">
        <v>1</v>
      </c>
      <c r="M347" s="79">
        <v>20000</v>
      </c>
      <c r="N347" s="86">
        <f>Table47910[[#This Row],[Expected Revenue]]*Table47910[[#This Row],[Probability]]</f>
        <v>20000</v>
      </c>
      <c r="O347" s="78">
        <v>0.3</v>
      </c>
      <c r="P347" s="79">
        <f>Table47910[[#This Row],[Expected Revenue]]*Table47910[[#This Row],[Expected CMR]]</f>
        <v>6000</v>
      </c>
      <c r="Q347" s="210"/>
    </row>
    <row r="348" spans="1:17" hidden="1">
      <c r="A348" s="173"/>
      <c r="B348" s="76" t="s">
        <v>156</v>
      </c>
      <c r="C348" s="77" t="s">
        <v>3227</v>
      </c>
      <c r="D348" s="102" t="s">
        <v>3228</v>
      </c>
      <c r="E348" s="77" t="s">
        <v>92</v>
      </c>
      <c r="F348" s="77" t="s">
        <v>158</v>
      </c>
      <c r="G348" s="77" t="s">
        <v>3216</v>
      </c>
      <c r="H348" s="77" t="s">
        <v>297</v>
      </c>
      <c r="I348" s="76"/>
      <c r="J348" s="110" t="s">
        <v>229</v>
      </c>
      <c r="K348" s="77">
        <v>2020</v>
      </c>
      <c r="L348" s="78">
        <v>1</v>
      </c>
      <c r="M348" s="79">
        <v>20000</v>
      </c>
      <c r="N348" s="86">
        <f>Table47910[[#This Row],[Expected Revenue]]*Table47910[[#This Row],[Probability]]</f>
        <v>20000</v>
      </c>
      <c r="O348" s="78">
        <v>0.3</v>
      </c>
      <c r="P348" s="79">
        <f>Table47910[[#This Row],[Expected Revenue]]*Table47910[[#This Row],[Expected CMR]]</f>
        <v>6000</v>
      </c>
      <c r="Q348" s="210"/>
    </row>
    <row r="349" spans="1:17" hidden="1">
      <c r="A349" s="173"/>
      <c r="B349" s="76" t="s">
        <v>130</v>
      </c>
      <c r="C349" s="77" t="s">
        <v>3059</v>
      </c>
      <c r="D349" s="102" t="s">
        <v>3155</v>
      </c>
      <c r="E349" s="77" t="s">
        <v>92</v>
      </c>
      <c r="F349" s="77" t="s">
        <v>58</v>
      </c>
      <c r="G349" s="77" t="s">
        <v>295</v>
      </c>
      <c r="H349" s="77" t="s">
        <v>290</v>
      </c>
      <c r="I349" s="76"/>
      <c r="J349" s="110" t="s">
        <v>219</v>
      </c>
      <c r="K349" s="77">
        <v>2020</v>
      </c>
      <c r="L349" s="78">
        <v>1</v>
      </c>
      <c r="M349" s="79">
        <v>7000</v>
      </c>
      <c r="N349" s="86">
        <f>Table47910[[#This Row],[Expected Revenue]]*Table47910[[#This Row],[Probability]]</f>
        <v>7000</v>
      </c>
      <c r="O349" s="78">
        <v>0.3</v>
      </c>
      <c r="P349" s="79">
        <f>Table47910[[#This Row],[Expected Revenue]]*Table47910[[#This Row],[Expected CMR]]</f>
        <v>2100</v>
      </c>
      <c r="Q349" s="210"/>
    </row>
    <row r="350" spans="1:17" hidden="1">
      <c r="A350" s="173"/>
      <c r="B350" s="76" t="s">
        <v>296</v>
      </c>
      <c r="C350" s="77"/>
      <c r="D350" s="102" t="s">
        <v>251</v>
      </c>
      <c r="E350" s="77" t="s">
        <v>251</v>
      </c>
      <c r="F350" s="77" t="s">
        <v>58</v>
      </c>
      <c r="G350" s="77" t="s">
        <v>3181</v>
      </c>
      <c r="H350" s="77" t="s">
        <v>296</v>
      </c>
      <c r="I350" s="76"/>
      <c r="J350" s="110" t="s">
        <v>229</v>
      </c>
      <c r="K350" s="77">
        <v>2020</v>
      </c>
      <c r="L350" s="78">
        <v>1</v>
      </c>
      <c r="M350" s="79">
        <v>80000</v>
      </c>
      <c r="N350" s="86">
        <f>Table47910[[#This Row],[Expected Revenue]]*Table47910[[#This Row],[Probability]]</f>
        <v>80000</v>
      </c>
      <c r="O350" s="78">
        <v>0.3</v>
      </c>
      <c r="P350" s="79">
        <f>Table47910[[#This Row],[Expected Revenue]]*Table47910[[#This Row],[Expected CMR]]</f>
        <v>24000</v>
      </c>
      <c r="Q350" s="210"/>
    </row>
    <row r="351" spans="1:17" hidden="1">
      <c r="A351" s="75" t="s">
        <v>3229</v>
      </c>
      <c r="B351" s="76" t="s">
        <v>104</v>
      </c>
      <c r="C351" s="77" t="s">
        <v>57</v>
      </c>
      <c r="D351" s="102" t="s">
        <v>75</v>
      </c>
      <c r="E351" s="77" t="s">
        <v>83</v>
      </c>
      <c r="F351" s="77" t="s">
        <v>58</v>
      </c>
      <c r="G351" s="77" t="s">
        <v>65</v>
      </c>
      <c r="H351" s="77" t="s">
        <v>290</v>
      </c>
      <c r="I351" s="77"/>
      <c r="J351" s="110" t="s">
        <v>102</v>
      </c>
      <c r="K351" s="77">
        <v>2020</v>
      </c>
      <c r="L351" s="78">
        <v>1</v>
      </c>
      <c r="M351" s="79">
        <v>10620</v>
      </c>
      <c r="N351" s="224">
        <f>Table47910[[#This Row],[Expected Revenue]]*Table47910[[#This Row],[Probability]]</f>
        <v>10620</v>
      </c>
      <c r="O351" s="78">
        <v>0.3</v>
      </c>
      <c r="P351" s="79">
        <f>Table47910[[#This Row],[Expected Revenue]]*Table47910[[#This Row],[Expected CMR]]</f>
        <v>3186</v>
      </c>
      <c r="Q351" s="209"/>
    </row>
    <row r="352" spans="1:17" hidden="1">
      <c r="A352" s="173"/>
      <c r="B352" s="76" t="s">
        <v>104</v>
      </c>
      <c r="C352" s="77" t="s">
        <v>3059</v>
      </c>
      <c r="D352" s="102" t="s">
        <v>3230</v>
      </c>
      <c r="E352" s="77" t="s">
        <v>92</v>
      </c>
      <c r="F352" s="77" t="s">
        <v>58</v>
      </c>
      <c r="G352" s="77" t="s">
        <v>257</v>
      </c>
      <c r="H352" s="77" t="s">
        <v>257</v>
      </c>
      <c r="I352" s="77" t="s">
        <v>3231</v>
      </c>
      <c r="J352" s="110" t="s">
        <v>231</v>
      </c>
      <c r="K352" s="77">
        <v>2020</v>
      </c>
      <c r="L352" s="78">
        <v>0.5</v>
      </c>
      <c r="M352" s="79">
        <v>28841</v>
      </c>
      <c r="N352" s="223">
        <f>Table47910[[#This Row],[Expected Revenue]]*Table47910[[#This Row],[Probability]]</f>
        <v>14420.5</v>
      </c>
      <c r="O352" s="78"/>
      <c r="P352" s="86">
        <f>Table47910[[#This Row],[Expected Revenue]]*Table47910[[#This Row],[Expected CMR]]</f>
        <v>0</v>
      </c>
      <c r="Q352" s="210"/>
    </row>
    <row r="353" spans="1:17" hidden="1">
      <c r="A353" s="173"/>
      <c r="B353" s="76" t="s">
        <v>117</v>
      </c>
      <c r="C353" s="77" t="s">
        <v>57</v>
      </c>
      <c r="D353" s="102" t="s">
        <v>3232</v>
      </c>
      <c r="E353" s="77" t="s">
        <v>71</v>
      </c>
      <c r="F353" s="77" t="s">
        <v>58</v>
      </c>
      <c r="G353" s="77" t="s">
        <v>295</v>
      </c>
      <c r="H353" s="77" t="s">
        <v>295</v>
      </c>
      <c r="I353" s="76"/>
      <c r="J353" s="110"/>
      <c r="K353" s="77">
        <v>2021</v>
      </c>
      <c r="L353" s="78">
        <v>1</v>
      </c>
      <c r="M353" s="79">
        <v>15000</v>
      </c>
      <c r="N353" s="79">
        <v>15000</v>
      </c>
      <c r="O353" s="78"/>
      <c r="P353" s="86">
        <f>Table47910[[#This Row],[Expected Revenue]]*Table47910[[#This Row],[Expected CMR]]</f>
        <v>0</v>
      </c>
      <c r="Q353" s="210"/>
    </row>
    <row r="354" spans="1:17" hidden="1">
      <c r="A354" s="173" t="s">
        <v>3233</v>
      </c>
      <c r="B354" s="76" t="s">
        <v>146</v>
      </c>
      <c r="C354" s="77" t="s">
        <v>3059</v>
      </c>
      <c r="D354" s="102" t="s">
        <v>3060</v>
      </c>
      <c r="E354" s="77" t="s">
        <v>88</v>
      </c>
      <c r="F354" s="77" t="s">
        <v>58</v>
      </c>
      <c r="G354" s="77" t="s">
        <v>295</v>
      </c>
      <c r="H354" s="77" t="s">
        <v>290</v>
      </c>
      <c r="I354" s="76"/>
      <c r="J354" s="110" t="s">
        <v>231</v>
      </c>
      <c r="K354" s="77">
        <v>2020</v>
      </c>
      <c r="L354" s="78">
        <v>1</v>
      </c>
      <c r="M354" s="79">
        <f>27816/2</f>
        <v>13908</v>
      </c>
      <c r="N354" s="86">
        <f>Table47910[[#This Row],[Expected Revenue]]*Table47910[[#This Row],[Probability]]</f>
        <v>13908</v>
      </c>
      <c r="O354" s="78">
        <v>0.3</v>
      </c>
      <c r="P354" s="79">
        <f>Table47910[[#This Row],[Expected Revenue]]*Table47910[[#This Row],[Expected CMR]]</f>
        <v>4172.3999999999996</v>
      </c>
      <c r="Q354" s="210"/>
    </row>
    <row r="355" spans="1:17" hidden="1">
      <c r="A355" s="173" t="s">
        <v>3234</v>
      </c>
      <c r="B355" s="76" t="s">
        <v>104</v>
      </c>
      <c r="C355" s="77" t="s">
        <v>3059</v>
      </c>
      <c r="D355" s="102" t="s">
        <v>3060</v>
      </c>
      <c r="E355" s="77" t="s">
        <v>88</v>
      </c>
      <c r="F355" s="77" t="s">
        <v>58</v>
      </c>
      <c r="G355" s="77" t="s">
        <v>65</v>
      </c>
      <c r="H355" s="77" t="s">
        <v>290</v>
      </c>
      <c r="I355" s="76"/>
      <c r="J355" s="110" t="s">
        <v>68</v>
      </c>
      <c r="K355" s="77">
        <v>2020</v>
      </c>
      <c r="L355" s="78">
        <v>1</v>
      </c>
      <c r="M355" s="79">
        <v>27816</v>
      </c>
      <c r="N355" s="227">
        <v>19000</v>
      </c>
      <c r="O355" s="78">
        <v>0.3</v>
      </c>
      <c r="P355" s="79">
        <f>Table47910[[#This Row],[Expected Revenue]]*Table47910[[#This Row],[Expected CMR]]</f>
        <v>8344.7999999999993</v>
      </c>
      <c r="Q355" s="255"/>
    </row>
    <row r="356" spans="1:17" hidden="1">
      <c r="A356" s="173"/>
      <c r="B356" s="76" t="s">
        <v>104</v>
      </c>
      <c r="C356" s="77" t="s">
        <v>3059</v>
      </c>
      <c r="D356" s="102" t="s">
        <v>3221</v>
      </c>
      <c r="E356" s="77" t="s">
        <v>92</v>
      </c>
      <c r="F356" s="77" t="s">
        <v>58</v>
      </c>
      <c r="G356" s="77" t="s">
        <v>295</v>
      </c>
      <c r="H356" s="77" t="s">
        <v>290</v>
      </c>
      <c r="I356" s="76"/>
      <c r="J356" s="110" t="s">
        <v>68</v>
      </c>
      <c r="K356" s="77">
        <v>2020</v>
      </c>
      <c r="L356" s="78">
        <v>1</v>
      </c>
      <c r="M356" s="79">
        <v>18622.271250000002</v>
      </c>
      <c r="N356" s="208">
        <f>Table47910[[#This Row],[Expected Revenue]]*Table47910[[#This Row],[Probability]]</f>
        <v>18622.271250000002</v>
      </c>
      <c r="O356" s="78"/>
      <c r="P356" s="86">
        <f>Table47910[[#This Row],[Expected Revenue]]*Table47910[[#This Row],[Expected CMR]]</f>
        <v>0</v>
      </c>
      <c r="Q356" s="210"/>
    </row>
    <row r="357" spans="1:17" hidden="1">
      <c r="A357" s="173"/>
      <c r="B357" s="76" t="s">
        <v>117</v>
      </c>
      <c r="C357" s="77" t="s">
        <v>57</v>
      </c>
      <c r="D357" s="102" t="s">
        <v>252</v>
      </c>
      <c r="E357" s="77" t="s">
        <v>291</v>
      </c>
      <c r="F357" s="77" t="s">
        <v>58</v>
      </c>
      <c r="G357" s="77" t="s">
        <v>295</v>
      </c>
      <c r="H357" s="77" t="s">
        <v>295</v>
      </c>
      <c r="I357" s="76"/>
      <c r="J357" s="110" t="s">
        <v>68</v>
      </c>
      <c r="K357" s="77">
        <v>2020</v>
      </c>
      <c r="L357" s="78">
        <v>1</v>
      </c>
      <c r="M357" s="79">
        <v>15000</v>
      </c>
      <c r="N357" s="79">
        <v>20000</v>
      </c>
      <c r="O357" s="86">
        <v>0</v>
      </c>
      <c r="P357" s="210"/>
      <c r="Q357" s="982"/>
    </row>
    <row r="358" spans="1:17" hidden="1">
      <c r="A358" s="173"/>
      <c r="B358" s="76" t="s">
        <v>323</v>
      </c>
      <c r="C358" s="77" t="s">
        <v>283</v>
      </c>
      <c r="D358" s="102" t="s">
        <v>3128</v>
      </c>
      <c r="E358" s="77"/>
      <c r="F358" s="77" t="s">
        <v>58</v>
      </c>
      <c r="G358" s="77"/>
      <c r="H358" s="77" t="s">
        <v>296</v>
      </c>
      <c r="I358" s="76"/>
      <c r="J358" s="110" t="s">
        <v>231</v>
      </c>
      <c r="K358" s="77">
        <v>2020</v>
      </c>
      <c r="L358" s="78">
        <v>1</v>
      </c>
      <c r="M358" s="86">
        <v>13908</v>
      </c>
      <c r="N358" s="208">
        <v>9500</v>
      </c>
      <c r="O358" s="78"/>
      <c r="P358" s="79">
        <f>Table47910[[#This Row],[Expected Revenue]]*Table47910[[#This Row],[Expected CMR]]</f>
        <v>0</v>
      </c>
      <c r="Q358" s="210"/>
    </row>
    <row r="359" spans="1:17" hidden="1">
      <c r="A359" s="173"/>
      <c r="B359" s="76" t="s">
        <v>117</v>
      </c>
      <c r="C359" s="77" t="s">
        <v>3059</v>
      </c>
      <c r="D359" s="102" t="s">
        <v>3060</v>
      </c>
      <c r="E359" s="77" t="s">
        <v>88</v>
      </c>
      <c r="F359" s="77" t="s">
        <v>58</v>
      </c>
      <c r="G359" s="77" t="s">
        <v>295</v>
      </c>
      <c r="H359" s="77" t="s">
        <v>290</v>
      </c>
      <c r="I359" s="76"/>
      <c r="J359" s="110" t="s">
        <v>231</v>
      </c>
      <c r="K359" s="77">
        <v>2020</v>
      </c>
      <c r="L359" s="78">
        <v>1</v>
      </c>
      <c r="M359" s="208">
        <v>27816</v>
      </c>
      <c r="N359" s="79">
        <v>14000</v>
      </c>
      <c r="O359" s="86">
        <v>0</v>
      </c>
      <c r="P359" s="210"/>
      <c r="Q359" s="980"/>
    </row>
    <row r="360" spans="1:17" hidden="1">
      <c r="A360" s="173"/>
      <c r="B360" s="76" t="s">
        <v>117</v>
      </c>
      <c r="C360" s="77" t="s">
        <v>57</v>
      </c>
      <c r="D360" s="102" t="s">
        <v>3128</v>
      </c>
      <c r="E360" s="77" t="s">
        <v>291</v>
      </c>
      <c r="F360" s="77" t="s">
        <v>58</v>
      </c>
      <c r="G360" s="77" t="s">
        <v>295</v>
      </c>
      <c r="H360" s="77" t="s">
        <v>295</v>
      </c>
      <c r="I360" s="76"/>
      <c r="J360" s="110" t="s">
        <v>68</v>
      </c>
      <c r="K360" s="77">
        <v>2020</v>
      </c>
      <c r="L360" s="78">
        <v>1</v>
      </c>
      <c r="M360" s="79">
        <v>20000</v>
      </c>
      <c r="N360" s="79">
        <v>12000</v>
      </c>
      <c r="O360" s="86"/>
      <c r="P360" s="86">
        <f>Table47910[[#This Row],[Expected Revenue]]*Table47910[[#This Row],[Expected CMR]]</f>
        <v>0</v>
      </c>
      <c r="Q360" s="226"/>
    </row>
    <row r="361" spans="1:17" hidden="1">
      <c r="A361" s="173" t="s">
        <v>3235</v>
      </c>
      <c r="B361" s="76" t="s">
        <v>130</v>
      </c>
      <c r="C361" s="77" t="s">
        <v>3059</v>
      </c>
      <c r="D361" s="102" t="s">
        <v>3182</v>
      </c>
      <c r="E361" s="77" t="s">
        <v>71</v>
      </c>
      <c r="F361" s="77" t="s">
        <v>58</v>
      </c>
      <c r="G361" s="77" t="s">
        <v>295</v>
      </c>
      <c r="H361" s="77" t="s">
        <v>290</v>
      </c>
      <c r="I361" s="76"/>
      <c r="J361" s="110" t="s">
        <v>102</v>
      </c>
      <c r="K361" s="77">
        <v>2020</v>
      </c>
      <c r="L361" s="78">
        <v>1</v>
      </c>
      <c r="M361" s="79">
        <v>30939</v>
      </c>
      <c r="N361" s="86">
        <f>Table47910[[#This Row],[Expected Revenue]]*Table47910[[#This Row],[Probability]]</f>
        <v>30939</v>
      </c>
      <c r="O361" s="78">
        <v>0.3</v>
      </c>
      <c r="P361" s="79">
        <f>Table47910[[#This Row],[Expected Revenue]]*Table47910[[#This Row],[Expected CMR]]</f>
        <v>9281.6999999999989</v>
      </c>
      <c r="Q361" s="210"/>
    </row>
    <row r="362" spans="1:17" hidden="1">
      <c r="A362" s="201"/>
      <c r="B362" s="202" t="s">
        <v>122</v>
      </c>
      <c r="C362" s="203" t="s">
        <v>57</v>
      </c>
      <c r="D362" s="204" t="s">
        <v>3232</v>
      </c>
      <c r="E362" s="203" t="s">
        <v>71</v>
      </c>
      <c r="F362" s="203" t="s">
        <v>58</v>
      </c>
      <c r="G362" s="203" t="s">
        <v>295</v>
      </c>
      <c r="H362" s="203" t="s">
        <v>257</v>
      </c>
      <c r="I362" s="202"/>
      <c r="J362" s="110"/>
      <c r="K362" s="77">
        <v>2021</v>
      </c>
      <c r="L362" s="206">
        <v>1</v>
      </c>
      <c r="M362" s="79">
        <v>15000</v>
      </c>
      <c r="N362" s="207"/>
      <c r="O362" s="206"/>
      <c r="P362" s="208">
        <f>Table47910[[#This Row],[Expected Revenue]]*Table47910[[#This Row],[Expected CMR]]</f>
        <v>0</v>
      </c>
      <c r="Q362" s="211"/>
    </row>
    <row r="363" spans="1:17" hidden="1">
      <c r="A363" s="173"/>
      <c r="B363" s="76" t="s">
        <v>156</v>
      </c>
      <c r="C363" s="77" t="s">
        <v>3227</v>
      </c>
      <c r="D363" s="102" t="s">
        <v>3228</v>
      </c>
      <c r="E363" s="77" t="s">
        <v>92</v>
      </c>
      <c r="F363" s="77" t="s">
        <v>158</v>
      </c>
      <c r="G363" s="77" t="s">
        <v>65</v>
      </c>
      <c r="H363" s="77" t="s">
        <v>290</v>
      </c>
      <c r="I363" s="76"/>
      <c r="J363" s="110" t="s">
        <v>229</v>
      </c>
      <c r="K363" s="77">
        <v>2020</v>
      </c>
      <c r="L363" s="78">
        <v>1</v>
      </c>
      <c r="M363" s="79">
        <v>60000</v>
      </c>
      <c r="N363" s="86">
        <f>Table47910[[#This Row],[Expected Revenue]]*Table47910[[#This Row],[Probability]]</f>
        <v>60000</v>
      </c>
      <c r="O363" s="78"/>
      <c r="P363" s="86">
        <f>Table47910[[#This Row],[Expected Revenue]]*Table47910[[#This Row],[Expected CMR]]</f>
        <v>0</v>
      </c>
      <c r="Q363" s="210"/>
    </row>
    <row r="364" spans="1:17" hidden="1">
      <c r="A364" s="173" t="s">
        <v>3236</v>
      </c>
      <c r="B364" s="76" t="s">
        <v>130</v>
      </c>
      <c r="C364" s="77" t="s">
        <v>3059</v>
      </c>
      <c r="D364" s="102" t="s">
        <v>3055</v>
      </c>
      <c r="E364" s="77" t="s">
        <v>292</v>
      </c>
      <c r="F364" s="77" t="s">
        <v>58</v>
      </c>
      <c r="G364" s="77" t="s">
        <v>295</v>
      </c>
      <c r="H364" s="77" t="s">
        <v>290</v>
      </c>
      <c r="I364" s="76"/>
      <c r="J364" s="110" t="s">
        <v>102</v>
      </c>
      <c r="K364" s="77">
        <v>2020</v>
      </c>
      <c r="L364" s="78">
        <v>1</v>
      </c>
      <c r="M364" s="79">
        <v>13900</v>
      </c>
      <c r="N364" s="86">
        <f>Table47910[[#This Row],[Expected Revenue]]*Table47910[[#This Row],[Probability]]</f>
        <v>13900</v>
      </c>
      <c r="O364" s="78">
        <v>0.3</v>
      </c>
      <c r="P364" s="79">
        <f>Table47910[[#This Row],[Expected Revenue]]*Table47910[[#This Row],[Expected CMR]]</f>
        <v>4170</v>
      </c>
      <c r="Q364" s="210"/>
    </row>
    <row r="365" spans="1:17" hidden="1">
      <c r="A365" s="173" t="s">
        <v>3233</v>
      </c>
      <c r="B365" s="76" t="s">
        <v>146</v>
      </c>
      <c r="C365" s="77" t="s">
        <v>3059</v>
      </c>
      <c r="D365" s="102" t="s">
        <v>3060</v>
      </c>
      <c r="E365" s="77" t="s">
        <v>88</v>
      </c>
      <c r="F365" s="77" t="s">
        <v>58</v>
      </c>
      <c r="G365" s="77" t="s">
        <v>295</v>
      </c>
      <c r="H365" s="77" t="s">
        <v>290</v>
      </c>
      <c r="I365" s="76"/>
      <c r="J365" s="110" t="s">
        <v>102</v>
      </c>
      <c r="K365" s="77">
        <v>2020</v>
      </c>
      <c r="L365" s="78">
        <v>1</v>
      </c>
      <c r="M365" s="79">
        <f>27816/2</f>
        <v>13908</v>
      </c>
      <c r="N365" s="86">
        <f>Table47910[[#This Row],[Expected Revenue]]*Table47910[[#This Row],[Probability]]</f>
        <v>13908</v>
      </c>
      <c r="O365" s="78">
        <v>0.3</v>
      </c>
      <c r="P365" s="79">
        <f>Table47910[[#This Row],[Expected Revenue]]*Table47910[[#This Row],[Expected CMR]]</f>
        <v>4172.3999999999996</v>
      </c>
      <c r="Q365" s="210"/>
    </row>
    <row r="366" spans="1:17" hidden="1">
      <c r="A366" s="173"/>
      <c r="B366" s="76" t="s">
        <v>296</v>
      </c>
      <c r="C366" s="77"/>
      <c r="D366" s="102"/>
      <c r="E366" s="77" t="s">
        <v>251</v>
      </c>
      <c r="F366" s="77" t="s">
        <v>58</v>
      </c>
      <c r="G366" s="77" t="s">
        <v>3181</v>
      </c>
      <c r="H366" s="77" t="s">
        <v>296</v>
      </c>
      <c r="I366" s="76"/>
      <c r="J366" s="110" t="s">
        <v>231</v>
      </c>
      <c r="K366" s="77">
        <v>2020</v>
      </c>
      <c r="L366" s="78">
        <v>1</v>
      </c>
      <c r="M366" s="79">
        <v>100000</v>
      </c>
      <c r="N366" s="208">
        <f>Table47910[[#This Row],[Expected Revenue]]*Table47910[[#This Row],[Probability]]</f>
        <v>100000</v>
      </c>
      <c r="O366" s="78"/>
      <c r="P366" s="86">
        <f>Table47910[[#This Row],[Expected Revenue]]*Table47910[[#This Row],[Expected CMR]]</f>
        <v>0</v>
      </c>
      <c r="Q366" s="210"/>
    </row>
    <row r="367" spans="1:17" hidden="1">
      <c r="A367" s="173"/>
      <c r="B367" s="76" t="s">
        <v>137</v>
      </c>
      <c r="C367" s="77" t="s">
        <v>57</v>
      </c>
      <c r="D367" s="102" t="s">
        <v>3232</v>
      </c>
      <c r="E367" s="77" t="s">
        <v>71</v>
      </c>
      <c r="F367" s="77" t="s">
        <v>58</v>
      </c>
      <c r="G367" s="77"/>
      <c r="H367" s="77" t="s">
        <v>257</v>
      </c>
      <c r="I367" s="76"/>
      <c r="J367" s="110"/>
      <c r="K367" s="77">
        <v>2021</v>
      </c>
      <c r="L367" s="78">
        <v>1</v>
      </c>
      <c r="M367" s="79">
        <v>15000</v>
      </c>
      <c r="N367" s="207"/>
      <c r="O367" s="78"/>
      <c r="P367" s="86">
        <f>Table47910[[#This Row],[Expected Revenue]]*Table47910[[#This Row],[Expected CMR]]</f>
        <v>0</v>
      </c>
      <c r="Q367" s="210"/>
    </row>
    <row r="368" spans="1:17" hidden="1">
      <c r="A368" s="173"/>
      <c r="B368" s="76" t="s">
        <v>260</v>
      </c>
      <c r="C368" s="77" t="s">
        <v>3227</v>
      </c>
      <c r="D368" s="102" t="s">
        <v>3228</v>
      </c>
      <c r="E368" s="77" t="s">
        <v>92</v>
      </c>
      <c r="F368" s="77" t="s">
        <v>158</v>
      </c>
      <c r="G368" s="77" t="s">
        <v>65</v>
      </c>
      <c r="H368" s="77" t="s">
        <v>290</v>
      </c>
      <c r="I368" s="76"/>
      <c r="J368" s="110" t="s">
        <v>102</v>
      </c>
      <c r="K368" s="77">
        <v>2020</v>
      </c>
      <c r="L368" s="78">
        <v>1</v>
      </c>
      <c r="M368" s="79">
        <v>25000</v>
      </c>
      <c r="N368" s="86">
        <f>Table47910[[#This Row],[Expected Revenue]]*Table47910[[#This Row],[Probability]]</f>
        <v>25000</v>
      </c>
      <c r="O368" s="78">
        <v>0.3</v>
      </c>
      <c r="P368" s="79">
        <f>Table47910[[#This Row],[Expected Revenue]]*Table47910[[#This Row],[Expected CMR]]</f>
        <v>7500</v>
      </c>
      <c r="Q368" s="210"/>
    </row>
    <row r="369" spans="1:17" hidden="1">
      <c r="A369" s="173"/>
      <c r="B369" s="76" t="s">
        <v>146</v>
      </c>
      <c r="C369" s="77" t="s">
        <v>3059</v>
      </c>
      <c r="D369" s="102" t="s">
        <v>3221</v>
      </c>
      <c r="E369" s="77" t="s">
        <v>92</v>
      </c>
      <c r="F369" s="77" t="s">
        <v>58</v>
      </c>
      <c r="G369" s="77" t="s">
        <v>295</v>
      </c>
      <c r="H369" s="77" t="s">
        <v>290</v>
      </c>
      <c r="I369" s="76"/>
      <c r="J369" s="110" t="s">
        <v>231</v>
      </c>
      <c r="K369" s="77">
        <v>2020</v>
      </c>
      <c r="L369" s="78">
        <v>1</v>
      </c>
      <c r="M369" s="79">
        <v>18622.271250000002</v>
      </c>
      <c r="N369" s="208">
        <f>Table47910[[#This Row],[Expected Revenue]]*Table47910[[#This Row],[Probability]]</f>
        <v>18622.271250000002</v>
      </c>
      <c r="O369" s="78"/>
      <c r="P369" s="86">
        <f>Table47910[[#This Row],[Expected Revenue]]*Table47910[[#This Row],[Expected CMR]]</f>
        <v>0</v>
      </c>
      <c r="Q369" s="210"/>
    </row>
    <row r="370" spans="1:17" hidden="1">
      <c r="A370" s="173" t="s">
        <v>3237</v>
      </c>
      <c r="B370" s="76" t="s">
        <v>114</v>
      </c>
      <c r="C370" s="77" t="s">
        <v>3059</v>
      </c>
      <c r="D370" s="102" t="s">
        <v>3177</v>
      </c>
      <c r="E370" s="77" t="s">
        <v>83</v>
      </c>
      <c r="F370" s="77" t="s">
        <v>58</v>
      </c>
      <c r="G370" s="77" t="s">
        <v>295</v>
      </c>
      <c r="H370" s="77" t="s">
        <v>290</v>
      </c>
      <c r="I370" s="76"/>
      <c r="J370" s="110" t="s">
        <v>231</v>
      </c>
      <c r="K370" s="77">
        <v>2020</v>
      </c>
      <c r="L370" s="78">
        <v>1</v>
      </c>
      <c r="M370" s="79">
        <v>10513.8</v>
      </c>
      <c r="N370" s="208">
        <f>Table47910[[#This Row],[Expected Revenue]]*Table47910[[#This Row],[Probability]]</f>
        <v>10513.8</v>
      </c>
      <c r="O370" s="78"/>
      <c r="P370" s="86">
        <f>Table47910[[#This Row],[Expected Revenue]]*Table47910[[#This Row],[Expected CMR]]</f>
        <v>0</v>
      </c>
      <c r="Q370" s="210"/>
    </row>
    <row r="371" spans="1:17" s="218" customFormat="1" hidden="1">
      <c r="A371" s="173"/>
      <c r="B371" s="76" t="s">
        <v>260</v>
      </c>
      <c r="C371" s="77" t="s">
        <v>57</v>
      </c>
      <c r="D371" s="76" t="s">
        <v>3141</v>
      </c>
      <c r="E371" s="77" t="s">
        <v>251</v>
      </c>
      <c r="F371" s="77" t="s">
        <v>58</v>
      </c>
      <c r="G371" s="77" t="s">
        <v>297</v>
      </c>
      <c r="H371" s="77" t="s">
        <v>297</v>
      </c>
      <c r="I371" s="77"/>
      <c r="J371" s="110" t="s">
        <v>231</v>
      </c>
      <c r="K371" s="77">
        <v>2020</v>
      </c>
      <c r="L371" s="78">
        <v>1</v>
      </c>
      <c r="M371" s="79">
        <v>100000</v>
      </c>
      <c r="N371" s="208">
        <f>Table47910[[#This Row],[Expected Revenue]]*Table47910[[#This Row],[Probability]]</f>
        <v>100000</v>
      </c>
      <c r="O371" s="78">
        <v>0.3</v>
      </c>
      <c r="P371" s="86">
        <f>Table47910[[#This Row],[Expected Revenue]]*Table47910[[#This Row],[Expected CMR]]</f>
        <v>30000</v>
      </c>
      <c r="Q371" s="210"/>
    </row>
    <row r="372" spans="1:17" s="218" customFormat="1" hidden="1">
      <c r="A372" s="173"/>
      <c r="B372" s="76" t="s">
        <v>117</v>
      </c>
      <c r="C372" s="77" t="s">
        <v>3059</v>
      </c>
      <c r="D372" s="102" t="s">
        <v>3060</v>
      </c>
      <c r="E372" s="77" t="s">
        <v>88</v>
      </c>
      <c r="F372" s="77" t="s">
        <v>58</v>
      </c>
      <c r="G372" s="77" t="s">
        <v>295</v>
      </c>
      <c r="H372" s="77" t="s">
        <v>290</v>
      </c>
      <c r="I372" s="76"/>
      <c r="J372" s="110" t="s">
        <v>68</v>
      </c>
      <c r="K372" s="77">
        <v>2020</v>
      </c>
      <c r="L372" s="78">
        <v>1</v>
      </c>
      <c r="M372" s="79">
        <v>27816</v>
      </c>
      <c r="N372" s="208">
        <v>27000</v>
      </c>
      <c r="O372" s="78"/>
      <c r="P372" s="86">
        <f>Table47910[[#This Row],[Expected Revenue]]*Table47910[[#This Row],[Expected CMR]]</f>
        <v>0</v>
      </c>
      <c r="Q372" s="210"/>
    </row>
    <row r="373" spans="1:17" hidden="1">
      <c r="A373" s="75" t="s">
        <v>3238</v>
      </c>
      <c r="B373" s="76" t="s">
        <v>137</v>
      </c>
      <c r="C373" s="77" t="s">
        <v>57</v>
      </c>
      <c r="D373" s="102" t="s">
        <v>87</v>
      </c>
      <c r="E373" s="77" t="s">
        <v>88</v>
      </c>
      <c r="F373" s="77" t="s">
        <v>58</v>
      </c>
      <c r="G373" s="77" t="s">
        <v>65</v>
      </c>
      <c r="H373" s="77" t="s">
        <v>290</v>
      </c>
      <c r="I373" s="77"/>
      <c r="J373" s="110"/>
      <c r="K373" s="77">
        <v>2020</v>
      </c>
      <c r="L373" s="78">
        <v>1</v>
      </c>
      <c r="M373" s="79">
        <v>27816</v>
      </c>
      <c r="N373" s="79">
        <f>Table47910[[#This Row],[Expected Revenue]]*Table47910[[#This Row],[Probability]]</f>
        <v>27816</v>
      </c>
      <c r="O373" s="78">
        <v>0.3</v>
      </c>
      <c r="P373" s="79">
        <v>8344.7999999999993</v>
      </c>
      <c r="Q373" s="209"/>
    </row>
    <row r="374" spans="1:17" hidden="1">
      <c r="A374" s="173"/>
      <c r="B374" s="76" t="s">
        <v>117</v>
      </c>
      <c r="C374" s="77" t="s">
        <v>3059</v>
      </c>
      <c r="D374" s="102" t="s">
        <v>3221</v>
      </c>
      <c r="E374" s="77" t="s">
        <v>92</v>
      </c>
      <c r="F374" s="77" t="s">
        <v>58</v>
      </c>
      <c r="G374" s="77" t="s">
        <v>295</v>
      </c>
      <c r="H374" s="77" t="s">
        <v>290</v>
      </c>
      <c r="I374" s="76"/>
      <c r="J374" s="110" t="s">
        <v>68</v>
      </c>
      <c r="K374" s="77">
        <v>2020</v>
      </c>
      <c r="L374" s="78">
        <v>1</v>
      </c>
      <c r="M374" s="79">
        <v>18622.271250000002</v>
      </c>
      <c r="N374" s="208">
        <f>Table47910[[#This Row],[Expected Revenue]]*Table47910[[#This Row],[Probability]]</f>
        <v>18622.271250000002</v>
      </c>
      <c r="O374" s="78"/>
      <c r="P374" s="86">
        <f>Table47910[[#This Row],[Expected Revenue]]*Table47910[[#This Row],[Expected CMR]]</f>
        <v>0</v>
      </c>
      <c r="Q374" s="210"/>
    </row>
    <row r="375" spans="1:17" hidden="1">
      <c r="A375" s="173" t="s">
        <v>129</v>
      </c>
      <c r="B375" s="76" t="s">
        <v>3058</v>
      </c>
      <c r="C375" s="77" t="s">
        <v>3059</v>
      </c>
      <c r="D375" s="102" t="s">
        <v>3221</v>
      </c>
      <c r="E375" s="77" t="s">
        <v>92</v>
      </c>
      <c r="F375" s="77" t="s">
        <v>58</v>
      </c>
      <c r="G375" s="77" t="s">
        <v>295</v>
      </c>
      <c r="H375" s="77" t="s">
        <v>290</v>
      </c>
      <c r="I375" s="76"/>
      <c r="J375" s="110" t="s">
        <v>68</v>
      </c>
      <c r="K375" s="77">
        <v>2020</v>
      </c>
      <c r="L375" s="78">
        <v>1</v>
      </c>
      <c r="M375" s="79">
        <v>18622.271250000002</v>
      </c>
      <c r="N375" s="208">
        <v>14000</v>
      </c>
      <c r="O375" s="78"/>
      <c r="P375" s="86">
        <f>Table47910[[#This Row],[Expected Revenue]]*Table47910[[#This Row],[Expected CMR]]</f>
        <v>0</v>
      </c>
      <c r="Q375" s="210"/>
    </row>
    <row r="376" spans="1:17" hidden="1">
      <c r="A376" s="173" t="s">
        <v>3239</v>
      </c>
      <c r="B376" s="76" t="s">
        <v>130</v>
      </c>
      <c r="C376" s="77" t="s">
        <v>3059</v>
      </c>
      <c r="D376" s="102" t="s">
        <v>3185</v>
      </c>
      <c r="E376" s="77" t="s">
        <v>62</v>
      </c>
      <c r="F376" s="77" t="s">
        <v>58</v>
      </c>
      <c r="G376" s="77" t="s">
        <v>295</v>
      </c>
      <c r="H376" s="77" t="s">
        <v>290</v>
      </c>
      <c r="I376" s="76"/>
      <c r="J376" s="110" t="s">
        <v>68</v>
      </c>
      <c r="K376" s="77">
        <v>2020</v>
      </c>
      <c r="L376" s="78">
        <v>1</v>
      </c>
      <c r="M376" s="79">
        <v>31969</v>
      </c>
      <c r="N376" s="208">
        <v>12000</v>
      </c>
      <c r="O376" s="78"/>
      <c r="P376" s="86">
        <f>Table47910[[#This Row],[Expected Revenue]]*Table47910[[#This Row],[Expected CMR]]</f>
        <v>0</v>
      </c>
      <c r="Q376" s="210"/>
    </row>
    <row r="377" spans="1:17" hidden="1">
      <c r="A377" s="173"/>
      <c r="B377" s="76" t="s">
        <v>296</v>
      </c>
      <c r="C377" s="77"/>
      <c r="D377" s="102"/>
      <c r="E377" s="77" t="s">
        <v>251</v>
      </c>
      <c r="F377" s="77" t="s">
        <v>58</v>
      </c>
      <c r="G377" s="77" t="s">
        <v>3181</v>
      </c>
      <c r="H377" s="77" t="s">
        <v>296</v>
      </c>
      <c r="I377" s="76"/>
      <c r="J377" s="110" t="s">
        <v>102</v>
      </c>
      <c r="K377" s="77">
        <v>2020</v>
      </c>
      <c r="L377" s="78">
        <v>1</v>
      </c>
      <c r="M377" s="79">
        <v>100000</v>
      </c>
      <c r="N377" s="86">
        <f>Table47910[[#This Row],[Expected Revenue]]*Table47910[[#This Row],[Probability]]</f>
        <v>100000</v>
      </c>
      <c r="O377" s="78">
        <v>0.3</v>
      </c>
      <c r="P377" s="79">
        <f>Table47910[[#This Row],[Expected Revenue]]*Table47910[[#This Row],[Expected CMR]]</f>
        <v>30000</v>
      </c>
      <c r="Q377" s="210"/>
    </row>
    <row r="378" spans="1:17" hidden="1">
      <c r="A378" s="173"/>
      <c r="B378" s="76" t="s">
        <v>104</v>
      </c>
      <c r="C378" s="77" t="s">
        <v>57</v>
      </c>
      <c r="D378" s="102" t="s">
        <v>3232</v>
      </c>
      <c r="E378" s="77" t="s">
        <v>71</v>
      </c>
      <c r="F378" s="77" t="s">
        <v>58</v>
      </c>
      <c r="G378" s="77" t="s">
        <v>295</v>
      </c>
      <c r="H378" s="77" t="s">
        <v>295</v>
      </c>
      <c r="I378" s="76"/>
      <c r="J378" s="110"/>
      <c r="K378" s="77">
        <v>2021</v>
      </c>
      <c r="L378" s="78">
        <v>1</v>
      </c>
      <c r="M378" s="79">
        <v>15000</v>
      </c>
      <c r="N378" s="180"/>
      <c r="O378" s="78"/>
      <c r="P378" s="86">
        <f>Table47910[[#This Row],[Expected Revenue]]*Table47910[[#This Row],[Expected CMR]]</f>
        <v>0</v>
      </c>
      <c r="Q378" s="210"/>
    </row>
    <row r="379" spans="1:17" hidden="1">
      <c r="A379" s="173"/>
      <c r="B379" s="76" t="s">
        <v>130</v>
      </c>
      <c r="C379" s="77" t="s">
        <v>3059</v>
      </c>
      <c r="D379" s="102" t="s">
        <v>3060</v>
      </c>
      <c r="E379" s="77" t="s">
        <v>88</v>
      </c>
      <c r="F379" s="77" t="s">
        <v>58</v>
      </c>
      <c r="G379" s="77" t="s">
        <v>295</v>
      </c>
      <c r="H379" s="77" t="s">
        <v>290</v>
      </c>
      <c r="I379" s="76"/>
      <c r="J379" s="110" t="s">
        <v>219</v>
      </c>
      <c r="K379" s="77">
        <v>2020</v>
      </c>
      <c r="L379" s="78">
        <v>1</v>
      </c>
      <c r="M379" s="79">
        <v>12000</v>
      </c>
      <c r="N379" s="86">
        <f>Table47910[[#This Row],[Expected Revenue]]*Table47910[[#This Row],[Probability]]</f>
        <v>12000</v>
      </c>
      <c r="O379" s="78"/>
      <c r="P379" s="86">
        <f>Table47910[[#This Row],[Expected Revenue]]*Table47910[[#This Row],[Expected CMR]]</f>
        <v>0</v>
      </c>
      <c r="Q379" s="210"/>
    </row>
    <row r="380" spans="1:17" hidden="1">
      <c r="A380" s="173" t="s">
        <v>3220</v>
      </c>
      <c r="B380" s="76" t="s">
        <v>130</v>
      </c>
      <c r="C380" s="77" t="s">
        <v>3059</v>
      </c>
      <c r="D380" s="102" t="s">
        <v>3221</v>
      </c>
      <c r="E380" s="77" t="s">
        <v>92</v>
      </c>
      <c r="F380" s="77" t="s">
        <v>58</v>
      </c>
      <c r="G380" s="77" t="s">
        <v>295</v>
      </c>
      <c r="H380" s="77" t="s">
        <v>290</v>
      </c>
      <c r="I380" s="76"/>
      <c r="J380" s="110" t="s">
        <v>68</v>
      </c>
      <c r="K380" s="77">
        <v>2020</v>
      </c>
      <c r="L380" s="78">
        <v>1</v>
      </c>
      <c r="M380" s="79">
        <v>18622.271250000002</v>
      </c>
      <c r="N380" s="208">
        <v>8622</v>
      </c>
      <c r="O380" s="78"/>
      <c r="P380" s="86">
        <f>Table47910[[#This Row],[Expected Revenue]]*Table47910[[#This Row],[Expected CMR]]</f>
        <v>0</v>
      </c>
      <c r="Q380" s="210"/>
    </row>
    <row r="381" spans="1:17" hidden="1">
      <c r="A381" s="173"/>
      <c r="B381" s="76" t="s">
        <v>137</v>
      </c>
      <c r="C381" s="77" t="s">
        <v>57</v>
      </c>
      <c r="D381" s="102" t="s">
        <v>3240</v>
      </c>
      <c r="E381" s="77" t="s">
        <v>71</v>
      </c>
      <c r="F381" s="77" t="s">
        <v>58</v>
      </c>
      <c r="G381" s="77"/>
      <c r="H381" s="77" t="s">
        <v>257</v>
      </c>
      <c r="I381" s="76"/>
      <c r="J381" s="110" t="s">
        <v>68</v>
      </c>
      <c r="K381" s="77">
        <v>2020</v>
      </c>
      <c r="L381" s="78">
        <v>1</v>
      </c>
      <c r="M381" s="207">
        <v>15000</v>
      </c>
      <c r="N381" s="227">
        <v>60000</v>
      </c>
      <c r="O381" s="78"/>
      <c r="P381" s="86">
        <f>Table47910[[#This Row],[Expected Revenue]]*Table47910[[#This Row],[Expected CMR]]</f>
        <v>0</v>
      </c>
      <c r="Q381" s="210"/>
    </row>
    <row r="382" spans="1:17" hidden="1">
      <c r="A382" s="173"/>
      <c r="B382" s="76" t="s">
        <v>156</v>
      </c>
      <c r="C382" s="77" t="s">
        <v>3227</v>
      </c>
      <c r="D382" s="102" t="s">
        <v>3228</v>
      </c>
      <c r="E382" s="77" t="s">
        <v>92</v>
      </c>
      <c r="F382" s="77" t="s">
        <v>158</v>
      </c>
      <c r="G382" s="77" t="s">
        <v>65</v>
      </c>
      <c r="H382" s="77" t="s">
        <v>290</v>
      </c>
      <c r="I382" s="76"/>
      <c r="J382" s="110" t="s">
        <v>102</v>
      </c>
      <c r="K382" s="77">
        <v>2020</v>
      </c>
      <c r="L382" s="78">
        <v>1</v>
      </c>
      <c r="M382" s="79">
        <v>60000</v>
      </c>
      <c r="N382" s="86">
        <f>Table47910[[#This Row],[Expected Revenue]]*Table47910[[#This Row],[Probability]]</f>
        <v>60000</v>
      </c>
      <c r="O382" s="78">
        <v>0.3</v>
      </c>
      <c r="P382" s="79">
        <f>Table47910[[#This Row],[Expected Revenue]]*Table47910[[#This Row],[Expected CMR]]</f>
        <v>18000</v>
      </c>
      <c r="Q382" s="210"/>
    </row>
    <row r="383" spans="1:17" hidden="1">
      <c r="A383" s="173" t="s">
        <v>3241</v>
      </c>
      <c r="B383" s="76" t="s">
        <v>137</v>
      </c>
      <c r="C383" s="77" t="s">
        <v>3059</v>
      </c>
      <c r="D383" s="102" t="s">
        <v>3055</v>
      </c>
      <c r="E383" s="77" t="s">
        <v>292</v>
      </c>
      <c r="F383" s="77" t="s">
        <v>58</v>
      </c>
      <c r="G383" s="77" t="s">
        <v>65</v>
      </c>
      <c r="H383" s="77" t="s">
        <v>290</v>
      </c>
      <c r="I383" s="76"/>
      <c r="J383" s="110" t="s">
        <v>84</v>
      </c>
      <c r="K383" s="77">
        <v>2020</v>
      </c>
      <c r="L383" s="78">
        <v>1</v>
      </c>
      <c r="M383" s="79">
        <v>13900</v>
      </c>
      <c r="N383" s="86">
        <f>Table47910[[#This Row],[Expected Revenue]]*Table47910[[#This Row],[Probability]]</f>
        <v>13900</v>
      </c>
      <c r="O383" s="78"/>
      <c r="P383" s="86">
        <f>Table47910[[#This Row],[Expected Revenue]]*Table47910[[#This Row],[Expected CMR]]</f>
        <v>0</v>
      </c>
      <c r="Q383" s="210"/>
    </row>
    <row r="384" spans="1:17" hidden="1">
      <c r="A384" s="173"/>
      <c r="B384" s="76" t="s">
        <v>130</v>
      </c>
      <c r="C384" s="77" t="s">
        <v>57</v>
      </c>
      <c r="D384" s="102" t="s">
        <v>3232</v>
      </c>
      <c r="E384" s="77" t="s">
        <v>71</v>
      </c>
      <c r="F384" s="77" t="s">
        <v>58</v>
      </c>
      <c r="G384" s="77" t="s">
        <v>295</v>
      </c>
      <c r="H384" s="77" t="s">
        <v>295</v>
      </c>
      <c r="I384" s="76"/>
      <c r="J384" s="110"/>
      <c r="K384" s="77">
        <v>2021</v>
      </c>
      <c r="L384" s="78">
        <v>1</v>
      </c>
      <c r="M384" s="79">
        <v>15000</v>
      </c>
      <c r="N384" s="207"/>
      <c r="O384" s="78"/>
      <c r="P384" s="86">
        <f>Table47910[[#This Row],[Expected Revenue]]*Table47910[[#This Row],[Expected CMR]]</f>
        <v>0</v>
      </c>
      <c r="Q384" s="210"/>
    </row>
    <row r="385" spans="1:17" hidden="1">
      <c r="A385" s="173" t="s">
        <v>145</v>
      </c>
      <c r="B385" s="76" t="s">
        <v>137</v>
      </c>
      <c r="C385" s="77" t="s">
        <v>3059</v>
      </c>
      <c r="D385" s="102" t="s">
        <v>3221</v>
      </c>
      <c r="E385" s="77" t="s">
        <v>92</v>
      </c>
      <c r="F385" s="77" t="s">
        <v>58</v>
      </c>
      <c r="G385" s="77" t="s">
        <v>65</v>
      </c>
      <c r="H385" s="77" t="s">
        <v>290</v>
      </c>
      <c r="I385" s="76"/>
      <c r="J385" s="110" t="s">
        <v>68</v>
      </c>
      <c r="K385" s="77">
        <v>2020</v>
      </c>
      <c r="L385" s="78">
        <v>1</v>
      </c>
      <c r="M385" s="79">
        <v>18622.271250000002</v>
      </c>
      <c r="N385" s="208">
        <f>Table47910[[#This Row],[Expected Revenue]]*Table47910[[#This Row],[Probability]]</f>
        <v>18622.271250000002</v>
      </c>
      <c r="O385" s="78"/>
      <c r="P385" s="86">
        <f>Table47910[[#This Row],[Expected Revenue]]*Table47910[[#This Row],[Expected CMR]]</f>
        <v>0</v>
      </c>
      <c r="Q385" s="210"/>
    </row>
    <row r="386" spans="1:17" hidden="1">
      <c r="A386" s="173"/>
      <c r="B386" s="76" t="s">
        <v>283</v>
      </c>
      <c r="C386" s="77" t="s">
        <v>281</v>
      </c>
      <c r="D386" s="102" t="s">
        <v>3219</v>
      </c>
      <c r="E386" s="77" t="s">
        <v>92</v>
      </c>
      <c r="F386" s="77" t="s">
        <v>58</v>
      </c>
      <c r="G386" s="77" t="s">
        <v>3216</v>
      </c>
      <c r="H386" s="77" t="s">
        <v>297</v>
      </c>
      <c r="I386" s="76"/>
      <c r="J386" s="110" t="s">
        <v>102</v>
      </c>
      <c r="K386" s="77">
        <v>2020</v>
      </c>
      <c r="L386" s="78">
        <v>1</v>
      </c>
      <c r="M386" s="79">
        <v>13500</v>
      </c>
      <c r="N386" s="86">
        <f>Table47910[[#This Row],[Expected Revenue]]*Table47910[[#This Row],[Probability]]</f>
        <v>13500</v>
      </c>
      <c r="O386" s="78">
        <v>0.3</v>
      </c>
      <c r="P386" s="79">
        <f>Table47910[[#This Row],[Expected Revenue]]*Table47910[[#This Row],[Expected CMR]]</f>
        <v>4050</v>
      </c>
      <c r="Q386" s="210"/>
    </row>
    <row r="387" spans="1:17" hidden="1">
      <c r="A387" s="173"/>
      <c r="B387" s="76" t="s">
        <v>125</v>
      </c>
      <c r="C387" s="77" t="s">
        <v>126</v>
      </c>
      <c r="D387" s="102" t="s">
        <v>3242</v>
      </c>
      <c r="E387" s="77" t="s">
        <v>291</v>
      </c>
      <c r="F387" s="77" t="s">
        <v>58</v>
      </c>
      <c r="G387" s="77" t="s">
        <v>65</v>
      </c>
      <c r="H387" s="77" t="s">
        <v>290</v>
      </c>
      <c r="I387" s="76"/>
      <c r="J387" s="110" t="s">
        <v>102</v>
      </c>
      <c r="K387" s="77">
        <v>2020</v>
      </c>
      <c r="L387" s="78">
        <v>1</v>
      </c>
      <c r="M387" s="79">
        <v>14000</v>
      </c>
      <c r="N387" s="86">
        <f>Table47910[[#This Row],[Expected Revenue]]*Table47910[[#This Row],[Probability]]</f>
        <v>14000</v>
      </c>
      <c r="O387" s="78">
        <v>0.3</v>
      </c>
      <c r="P387" s="79">
        <f>Table47910[[#This Row],[Expected Revenue]]*Table47910[[#This Row],[Expected CMR]]</f>
        <v>4200</v>
      </c>
      <c r="Q387" s="210"/>
    </row>
    <row r="388" spans="1:17" hidden="1">
      <c r="A388" s="173"/>
      <c r="B388" s="76"/>
      <c r="C388" s="77"/>
      <c r="D388" s="102"/>
      <c r="E388" s="77"/>
      <c r="F388" s="77"/>
      <c r="G388" s="77"/>
      <c r="H388" s="77"/>
      <c r="I388" s="76"/>
      <c r="J388" s="110"/>
      <c r="K388" s="77"/>
      <c r="L388" s="78"/>
      <c r="M388" s="79"/>
      <c r="N388" s="86">
        <f>Table47910[[#This Row],[Expected Revenue]]*Table47910[[#This Row],[Probability]]</f>
        <v>0</v>
      </c>
      <c r="O388" s="78"/>
      <c r="P388" s="86">
        <f>Table47910[[#This Row],[Expected Revenue]]*Table47910[[#This Row],[Expected CMR]]</f>
        <v>0</v>
      </c>
      <c r="Q388" s="210"/>
    </row>
    <row r="389" spans="1:17" hidden="1">
      <c r="A389" s="173"/>
      <c r="B389" s="76"/>
      <c r="C389" s="77"/>
      <c r="D389" s="102"/>
      <c r="E389" s="77"/>
      <c r="F389" s="77"/>
      <c r="G389" s="77"/>
      <c r="H389" s="77"/>
      <c r="I389" s="76"/>
      <c r="J389" s="110"/>
      <c r="K389" s="77"/>
      <c r="L389" s="78"/>
      <c r="M389" s="79"/>
      <c r="N389" s="86">
        <f>Table47910[[#This Row],[Expected Revenue]]*Table47910[[#This Row],[Probability]]</f>
        <v>0</v>
      </c>
      <c r="O389" s="78"/>
      <c r="P389" s="86">
        <f>Table47910[[#This Row],[Expected Revenue]]*Table47910[[#This Row],[Expected CMR]]</f>
        <v>0</v>
      </c>
      <c r="Q389" s="210"/>
    </row>
    <row r="390" spans="1:17" hidden="1">
      <c r="A390" s="173"/>
      <c r="B390" s="76"/>
      <c r="C390" s="77"/>
      <c r="D390" s="102"/>
      <c r="E390" s="77"/>
      <c r="F390" s="77"/>
      <c r="G390" s="77"/>
      <c r="H390" s="77"/>
      <c r="I390" s="76"/>
      <c r="J390" s="110"/>
      <c r="K390" s="77"/>
      <c r="L390" s="78"/>
      <c r="M390" s="79"/>
      <c r="N390" s="86">
        <f>Table47910[[#This Row],[Expected Revenue]]*Table47910[[#This Row],[Probability]]</f>
        <v>0</v>
      </c>
      <c r="O390" s="78"/>
      <c r="P390" s="86">
        <f>Table47910[[#This Row],[Expected Revenue]]*Table47910[[#This Row],[Expected CMR]]</f>
        <v>0</v>
      </c>
      <c r="Q390" s="210"/>
    </row>
    <row r="391" spans="1:17" hidden="1">
      <c r="A391" s="173"/>
      <c r="B391" s="76"/>
      <c r="C391" s="77"/>
      <c r="D391" s="102"/>
      <c r="E391" s="77"/>
      <c r="F391" s="77"/>
      <c r="G391" s="77"/>
      <c r="H391" s="77"/>
      <c r="I391" s="76"/>
      <c r="J391" s="110"/>
      <c r="K391" s="77"/>
      <c r="L391" s="78"/>
      <c r="M391" s="79"/>
      <c r="N391" s="86">
        <f>Table47910[[#This Row],[Expected Revenue]]*Table47910[[#This Row],[Probability]]</f>
        <v>0</v>
      </c>
      <c r="O391" s="78"/>
      <c r="P391" s="86">
        <f>Table47910[[#This Row],[Expected Revenue]]*Table47910[[#This Row],[Expected CMR]]</f>
        <v>0</v>
      </c>
      <c r="Q391" s="210"/>
    </row>
    <row r="392" spans="1:17" hidden="1">
      <c r="A392" s="173"/>
      <c r="B392" s="76"/>
      <c r="C392" s="77"/>
      <c r="D392" s="102"/>
      <c r="E392" s="77"/>
      <c r="F392" s="77"/>
      <c r="G392" s="77"/>
      <c r="H392" s="77"/>
      <c r="I392" s="76"/>
      <c r="J392" s="110"/>
      <c r="K392" s="77"/>
      <c r="L392" s="78"/>
      <c r="M392" s="79"/>
      <c r="N392" s="86">
        <f>Table47910[[#This Row],[Expected Revenue]]*Table47910[[#This Row],[Probability]]</f>
        <v>0</v>
      </c>
      <c r="O392" s="78"/>
      <c r="P392" s="86">
        <f>Table47910[[#This Row],[Expected Revenue]]*Table47910[[#This Row],[Expected CMR]]</f>
        <v>0</v>
      </c>
      <c r="Q392" s="210"/>
    </row>
    <row r="393" spans="1:17" hidden="1">
      <c r="A393" s="173"/>
      <c r="B393" s="76"/>
      <c r="C393" s="77"/>
      <c r="D393" s="102"/>
      <c r="E393" s="77"/>
      <c r="F393" s="77"/>
      <c r="G393" s="77"/>
      <c r="H393" s="77"/>
      <c r="I393" s="76"/>
      <c r="J393" s="110"/>
      <c r="K393" s="77"/>
      <c r="L393" s="78"/>
      <c r="M393" s="79"/>
      <c r="N393" s="86">
        <f>Table47910[[#This Row],[Expected Revenue]]*Table47910[[#This Row],[Probability]]</f>
        <v>0</v>
      </c>
      <c r="O393" s="78"/>
      <c r="P393" s="86">
        <f>Table47910[[#This Row],[Expected Revenue]]*Table47910[[#This Row],[Expected CMR]]</f>
        <v>0</v>
      </c>
      <c r="Q393" s="210"/>
    </row>
    <row r="394" spans="1:17" hidden="1">
      <c r="A394" s="173"/>
      <c r="B394" s="76"/>
      <c r="C394" s="77"/>
      <c r="D394" s="102"/>
      <c r="E394" s="77"/>
      <c r="F394" s="77"/>
      <c r="G394" s="77"/>
      <c r="H394" s="77"/>
      <c r="I394" s="76"/>
      <c r="J394" s="110"/>
      <c r="K394" s="77"/>
      <c r="L394" s="78"/>
      <c r="M394" s="79"/>
      <c r="N394" s="86">
        <f>Table47910[[#This Row],[Expected Revenue]]*Table47910[[#This Row],[Probability]]</f>
        <v>0</v>
      </c>
      <c r="O394" s="78"/>
      <c r="P394" s="86">
        <f>Table47910[[#This Row],[Expected Revenue]]*Table47910[[#This Row],[Expected CMR]]</f>
        <v>0</v>
      </c>
      <c r="Q394" s="210"/>
    </row>
    <row r="395" spans="1:17" hidden="1">
      <c r="A395" s="173"/>
      <c r="B395" s="76"/>
      <c r="C395" s="77"/>
      <c r="D395" s="102"/>
      <c r="E395" s="77"/>
      <c r="F395" s="77"/>
      <c r="G395" s="77"/>
      <c r="H395" s="77"/>
      <c r="I395" s="76"/>
      <c r="J395" s="110"/>
      <c r="K395" s="77"/>
      <c r="L395" s="78"/>
      <c r="M395" s="79"/>
      <c r="N395" s="86">
        <f>Table47910[[#This Row],[Expected Revenue]]*Table47910[[#This Row],[Probability]]</f>
        <v>0</v>
      </c>
      <c r="O395" s="78"/>
      <c r="P395" s="86">
        <f>Table47910[[#This Row],[Expected Revenue]]*Table47910[[#This Row],[Expected CMR]]</f>
        <v>0</v>
      </c>
      <c r="Q395" s="210"/>
    </row>
    <row r="396" spans="1:17" hidden="1">
      <c r="A396" s="173"/>
      <c r="B396" s="76"/>
      <c r="C396" s="77"/>
      <c r="D396" s="102"/>
      <c r="E396" s="77"/>
      <c r="F396" s="77"/>
      <c r="G396" s="77"/>
      <c r="H396" s="77"/>
      <c r="I396" s="76"/>
      <c r="J396" s="110"/>
      <c r="K396" s="77"/>
      <c r="L396" s="78"/>
      <c r="M396" s="79"/>
      <c r="N396" s="86">
        <f>Table47910[[#This Row],[Expected Revenue]]*Table47910[[#This Row],[Probability]]</f>
        <v>0</v>
      </c>
      <c r="O396" s="78"/>
      <c r="P396" s="86">
        <f>Table47910[[#This Row],[Expected Revenue]]*Table47910[[#This Row],[Expected CMR]]</f>
        <v>0</v>
      </c>
      <c r="Q396" s="210"/>
    </row>
    <row r="397" spans="1:17" hidden="1">
      <c r="A397" s="173"/>
      <c r="B397" s="76"/>
      <c r="C397" s="77"/>
      <c r="D397" s="102"/>
      <c r="E397" s="77"/>
      <c r="F397" s="77"/>
      <c r="G397" s="77"/>
      <c r="H397" s="77"/>
      <c r="I397" s="76"/>
      <c r="J397" s="110"/>
      <c r="K397" s="77"/>
      <c r="L397" s="78"/>
      <c r="M397" s="79"/>
      <c r="N397" s="86">
        <f>Table47910[[#This Row],[Expected Revenue]]*Table47910[[#This Row],[Probability]]</f>
        <v>0</v>
      </c>
      <c r="O397" s="78"/>
      <c r="P397" s="86">
        <f>Table47910[[#This Row],[Expected Revenue]]*Table47910[[#This Row],[Expected CMR]]</f>
        <v>0</v>
      </c>
      <c r="Q397" s="210"/>
    </row>
    <row r="398" spans="1:17" hidden="1">
      <c r="A398" s="173"/>
      <c r="B398" s="76"/>
      <c r="C398" s="77"/>
      <c r="D398" s="102"/>
      <c r="E398" s="77"/>
      <c r="F398" s="77"/>
      <c r="G398" s="77"/>
      <c r="H398" s="77"/>
      <c r="I398" s="76"/>
      <c r="J398" s="110"/>
      <c r="K398" s="77"/>
      <c r="L398" s="78"/>
      <c r="M398" s="79"/>
      <c r="N398" s="86">
        <f>Table47910[[#This Row],[Expected Revenue]]*Table47910[[#This Row],[Probability]]</f>
        <v>0</v>
      </c>
      <c r="O398" s="78"/>
      <c r="P398" s="86">
        <f>Table47910[[#This Row],[Expected Revenue]]*Table47910[[#This Row],[Expected CMR]]</f>
        <v>0</v>
      </c>
      <c r="Q398" s="210"/>
    </row>
    <row r="399" spans="1:17" hidden="1">
      <c r="A399" s="173"/>
      <c r="B399" s="76"/>
      <c r="C399" s="77"/>
      <c r="D399" s="102"/>
      <c r="E399" s="77"/>
      <c r="F399" s="77"/>
      <c r="G399" s="77"/>
      <c r="H399" s="77"/>
      <c r="I399" s="76"/>
      <c r="J399" s="110"/>
      <c r="K399" s="77"/>
      <c r="L399" s="78"/>
      <c r="M399" s="79"/>
      <c r="N399" s="86">
        <f>Table47910[[#This Row],[Expected Revenue]]*Table47910[[#This Row],[Probability]]</f>
        <v>0</v>
      </c>
      <c r="O399" s="78"/>
      <c r="P399" s="86">
        <f>Table47910[[#This Row],[Expected Revenue]]*Table47910[[#This Row],[Expected CMR]]</f>
        <v>0</v>
      </c>
      <c r="Q399" s="210"/>
    </row>
    <row r="400" spans="1:17" hidden="1">
      <c r="A400" s="173"/>
      <c r="B400" s="76"/>
      <c r="C400" s="77"/>
      <c r="D400" s="102"/>
      <c r="E400" s="77"/>
      <c r="F400" s="77"/>
      <c r="G400" s="77"/>
      <c r="H400" s="77"/>
      <c r="I400" s="76"/>
      <c r="J400" s="110"/>
      <c r="K400" s="77"/>
      <c r="L400" s="78"/>
      <c r="M400" s="79"/>
      <c r="N400" s="86">
        <f>Table47910[[#This Row],[Expected Revenue]]*Table47910[[#This Row],[Probability]]</f>
        <v>0</v>
      </c>
      <c r="O400" s="78"/>
      <c r="P400" s="86">
        <f>Table47910[[#This Row],[Expected Revenue]]*Table47910[[#This Row],[Expected CMR]]</f>
        <v>0</v>
      </c>
      <c r="Q400" s="210"/>
    </row>
    <row r="401" spans="1:17" hidden="1">
      <c r="A401" s="173"/>
      <c r="B401" s="76"/>
      <c r="C401" s="77"/>
      <c r="D401" s="102"/>
      <c r="E401" s="77"/>
      <c r="F401" s="77"/>
      <c r="G401" s="77"/>
      <c r="H401" s="77"/>
      <c r="I401" s="76"/>
      <c r="J401" s="110"/>
      <c r="K401" s="77"/>
      <c r="L401" s="78"/>
      <c r="M401" s="79"/>
      <c r="N401" s="86">
        <f>Table47910[[#This Row],[Expected Revenue]]*Table47910[[#This Row],[Probability]]</f>
        <v>0</v>
      </c>
      <c r="O401" s="78"/>
      <c r="P401" s="86">
        <f>Table47910[[#This Row],[Expected Revenue]]*Table47910[[#This Row],[Expected CMR]]</f>
        <v>0</v>
      </c>
      <c r="Q401" s="210"/>
    </row>
    <row r="402" spans="1:17" hidden="1">
      <c r="A402" s="173"/>
      <c r="B402" s="76"/>
      <c r="C402" s="77"/>
      <c r="D402" s="102"/>
      <c r="E402" s="77"/>
      <c r="F402" s="77"/>
      <c r="G402" s="77"/>
      <c r="H402" s="77"/>
      <c r="I402" s="76"/>
      <c r="J402" s="110"/>
      <c r="K402" s="77"/>
      <c r="L402" s="78"/>
      <c r="M402" s="79"/>
      <c r="N402" s="86">
        <f>Table47910[[#This Row],[Expected Revenue]]*Table47910[[#This Row],[Probability]]</f>
        <v>0</v>
      </c>
      <c r="O402" s="78"/>
      <c r="P402" s="86">
        <f>Table47910[[#This Row],[Expected Revenue]]*Table47910[[#This Row],[Expected CMR]]</f>
        <v>0</v>
      </c>
      <c r="Q402" s="210"/>
    </row>
    <row r="403" spans="1:17" hidden="1">
      <c r="A403" s="173"/>
      <c r="B403" s="76"/>
      <c r="C403" s="77"/>
      <c r="D403" s="102"/>
      <c r="E403" s="77"/>
      <c r="F403" s="77"/>
      <c r="G403" s="77"/>
      <c r="H403" s="77"/>
      <c r="I403" s="76"/>
      <c r="J403" s="110"/>
      <c r="K403" s="77"/>
      <c r="L403" s="78"/>
      <c r="M403" s="79"/>
      <c r="N403" s="86">
        <f>Table47910[[#This Row],[Expected Revenue]]*Table47910[[#This Row],[Probability]]</f>
        <v>0</v>
      </c>
      <c r="O403" s="78"/>
      <c r="P403" s="86">
        <f>Table47910[[#This Row],[Expected Revenue]]*Table47910[[#This Row],[Expected CMR]]</f>
        <v>0</v>
      </c>
      <c r="Q403" s="210"/>
    </row>
    <row r="404" spans="1:17" hidden="1">
      <c r="A404" s="173"/>
      <c r="B404" s="76"/>
      <c r="C404" s="77"/>
      <c r="D404" s="102"/>
      <c r="E404" s="77"/>
      <c r="F404" s="77"/>
      <c r="G404" s="77"/>
      <c r="H404" s="77"/>
      <c r="I404" s="76"/>
      <c r="J404" s="110"/>
      <c r="K404" s="77"/>
      <c r="L404" s="78"/>
      <c r="M404" s="79"/>
      <c r="N404" s="86">
        <f>Table47910[[#This Row],[Expected Revenue]]*Table47910[[#This Row],[Probability]]</f>
        <v>0</v>
      </c>
      <c r="O404" s="78"/>
      <c r="P404" s="86">
        <f>Table47910[[#This Row],[Expected Revenue]]*Table47910[[#This Row],[Expected CMR]]</f>
        <v>0</v>
      </c>
      <c r="Q404" s="210"/>
    </row>
    <row r="405" spans="1:17" hidden="1">
      <c r="A405" s="173"/>
      <c r="B405" s="76"/>
      <c r="C405" s="77"/>
      <c r="D405" s="102"/>
      <c r="E405" s="77"/>
      <c r="F405" s="77"/>
      <c r="G405" s="77"/>
      <c r="H405" s="77"/>
      <c r="I405" s="76"/>
      <c r="J405" s="110"/>
      <c r="K405" s="77"/>
      <c r="L405" s="78"/>
      <c r="M405" s="79"/>
      <c r="N405" s="86">
        <f>Table47910[[#This Row],[Expected Revenue]]*Table47910[[#This Row],[Probability]]</f>
        <v>0</v>
      </c>
      <c r="O405" s="78"/>
      <c r="P405" s="86">
        <f>Table47910[[#This Row],[Expected Revenue]]*Table47910[[#This Row],[Expected CMR]]</f>
        <v>0</v>
      </c>
      <c r="Q405" s="210"/>
    </row>
    <row r="406" spans="1:17" hidden="1">
      <c r="A406" s="173"/>
      <c r="B406" s="76"/>
      <c r="C406" s="77"/>
      <c r="D406" s="102"/>
      <c r="E406" s="77"/>
      <c r="F406" s="77"/>
      <c r="G406" s="77"/>
      <c r="H406" s="77"/>
      <c r="I406" s="76"/>
      <c r="J406" s="110"/>
      <c r="K406" s="77"/>
      <c r="L406" s="78"/>
      <c r="M406" s="79"/>
      <c r="N406" s="86">
        <f>Table47910[[#This Row],[Expected Revenue]]*Table47910[[#This Row],[Probability]]</f>
        <v>0</v>
      </c>
      <c r="O406" s="78"/>
      <c r="P406" s="86">
        <f>Table47910[[#This Row],[Expected Revenue]]*Table47910[[#This Row],[Expected CMR]]</f>
        <v>0</v>
      </c>
      <c r="Q406" s="210"/>
    </row>
    <row r="407" spans="1:17" hidden="1">
      <c r="A407" s="173"/>
      <c r="B407" s="76"/>
      <c r="C407" s="77"/>
      <c r="D407" s="102"/>
      <c r="E407" s="77"/>
      <c r="F407" s="77"/>
      <c r="G407" s="77"/>
      <c r="H407" s="77"/>
      <c r="I407" s="76"/>
      <c r="J407" s="110"/>
      <c r="K407" s="77"/>
      <c r="L407" s="78"/>
      <c r="M407" s="79"/>
      <c r="N407" s="86">
        <f>Table47910[[#This Row],[Expected Revenue]]*Table47910[[#This Row],[Probability]]</f>
        <v>0</v>
      </c>
      <c r="O407" s="78"/>
      <c r="P407" s="86">
        <f>Table47910[[#This Row],[Expected Revenue]]*Table47910[[#This Row],[Expected CMR]]</f>
        <v>0</v>
      </c>
      <c r="Q407" s="210"/>
    </row>
    <row r="408" spans="1:17" hidden="1">
      <c r="A408" s="173"/>
      <c r="B408" s="76"/>
      <c r="C408" s="77"/>
      <c r="D408" s="102"/>
      <c r="E408" s="77"/>
      <c r="F408" s="77"/>
      <c r="G408" s="77"/>
      <c r="H408" s="77"/>
      <c r="I408" s="76"/>
      <c r="J408" s="110"/>
      <c r="K408" s="77"/>
      <c r="L408" s="78"/>
      <c r="M408" s="79"/>
      <c r="N408" s="86">
        <f>Table47910[[#This Row],[Expected Revenue]]*Table47910[[#This Row],[Probability]]</f>
        <v>0</v>
      </c>
      <c r="O408" s="78"/>
      <c r="P408" s="86">
        <f>Table47910[[#This Row],[Expected Revenue]]*Table47910[[#This Row],[Expected CMR]]</f>
        <v>0</v>
      </c>
      <c r="Q408" s="210"/>
    </row>
    <row r="409" spans="1:17" hidden="1">
      <c r="A409" s="173"/>
      <c r="B409" s="76"/>
      <c r="C409" s="77"/>
      <c r="D409" s="102"/>
      <c r="E409" s="77"/>
      <c r="F409" s="77"/>
      <c r="G409" s="77"/>
      <c r="H409" s="77"/>
      <c r="I409" s="76"/>
      <c r="J409" s="110"/>
      <c r="K409" s="77"/>
      <c r="L409" s="78"/>
      <c r="M409" s="79"/>
      <c r="N409" s="86">
        <f>Table47910[[#This Row],[Expected Revenue]]*Table47910[[#This Row],[Probability]]</f>
        <v>0</v>
      </c>
      <c r="O409" s="78"/>
      <c r="P409" s="86">
        <f>Table47910[[#This Row],[Expected Revenue]]*Table47910[[#This Row],[Expected CMR]]</f>
        <v>0</v>
      </c>
      <c r="Q409" s="210"/>
    </row>
    <row r="410" spans="1:17" hidden="1">
      <c r="A410" s="173"/>
      <c r="B410" s="76"/>
      <c r="C410" s="77"/>
      <c r="D410" s="102"/>
      <c r="E410" s="77"/>
      <c r="F410" s="77"/>
      <c r="G410" s="77"/>
      <c r="H410" s="77"/>
      <c r="I410" s="76"/>
      <c r="J410" s="110"/>
      <c r="K410" s="77"/>
      <c r="L410" s="78"/>
      <c r="M410" s="79"/>
      <c r="N410" s="86">
        <f>Table47910[[#This Row],[Expected Revenue]]*Table47910[[#This Row],[Probability]]</f>
        <v>0</v>
      </c>
      <c r="O410" s="78"/>
      <c r="P410" s="86">
        <f>Table47910[[#This Row],[Expected Revenue]]*Table47910[[#This Row],[Expected CMR]]</f>
        <v>0</v>
      </c>
      <c r="Q410" s="210"/>
    </row>
    <row r="411" spans="1:17" hidden="1">
      <c r="A411" s="173"/>
      <c r="B411" s="76"/>
      <c r="C411" s="77"/>
      <c r="D411" s="102"/>
      <c r="E411" s="77"/>
      <c r="F411" s="77"/>
      <c r="G411" s="77"/>
      <c r="H411" s="77"/>
      <c r="I411" s="76"/>
      <c r="J411" s="110"/>
      <c r="K411" s="77"/>
      <c r="L411" s="78"/>
      <c r="M411" s="79"/>
      <c r="N411" s="86">
        <f>Table47910[[#This Row],[Expected Revenue]]*Table47910[[#This Row],[Probability]]</f>
        <v>0</v>
      </c>
      <c r="O411" s="78"/>
      <c r="P411" s="86">
        <f>Table47910[[#This Row],[Expected Revenue]]*Table47910[[#This Row],[Expected CMR]]</f>
        <v>0</v>
      </c>
      <c r="Q411" s="210"/>
    </row>
    <row r="412" spans="1:17" hidden="1">
      <c r="A412" s="173"/>
      <c r="B412" s="76"/>
      <c r="C412" s="77"/>
      <c r="D412" s="102"/>
      <c r="E412" s="77"/>
      <c r="F412" s="77"/>
      <c r="G412" s="77"/>
      <c r="H412" s="77"/>
      <c r="I412" s="76"/>
      <c r="J412" s="110"/>
      <c r="K412" s="77"/>
      <c r="L412" s="78"/>
      <c r="M412" s="79"/>
      <c r="N412" s="86">
        <f>Table47910[[#This Row],[Expected Revenue]]*Table47910[[#This Row],[Probability]]</f>
        <v>0</v>
      </c>
      <c r="O412" s="78"/>
      <c r="P412" s="86">
        <f>Table47910[[#This Row],[Expected Revenue]]*Table47910[[#This Row],[Expected CMR]]</f>
        <v>0</v>
      </c>
      <c r="Q412" s="210"/>
    </row>
    <row r="413" spans="1:17" hidden="1">
      <c r="A413" s="173"/>
      <c r="B413" s="76"/>
      <c r="C413" s="77"/>
      <c r="D413" s="102"/>
      <c r="E413" s="77"/>
      <c r="F413" s="77"/>
      <c r="G413" s="77"/>
      <c r="H413" s="77"/>
      <c r="I413" s="76"/>
      <c r="J413" s="110"/>
      <c r="K413" s="77"/>
      <c r="L413" s="78"/>
      <c r="M413" s="79"/>
      <c r="N413" s="86">
        <f>Table47910[[#This Row],[Expected Revenue]]*Table47910[[#This Row],[Probability]]</f>
        <v>0</v>
      </c>
      <c r="O413" s="78"/>
      <c r="P413" s="86">
        <f>Table47910[[#This Row],[Expected Revenue]]*Table47910[[#This Row],[Expected CMR]]</f>
        <v>0</v>
      </c>
      <c r="Q413" s="210"/>
    </row>
    <row r="414" spans="1:17" hidden="1">
      <c r="A414" s="173"/>
      <c r="B414" s="76"/>
      <c r="C414" s="77"/>
      <c r="D414" s="102"/>
      <c r="E414" s="77"/>
      <c r="F414" s="77"/>
      <c r="G414" s="77"/>
      <c r="H414" s="77"/>
      <c r="I414" s="76"/>
      <c r="J414" s="110"/>
      <c r="K414" s="77"/>
      <c r="L414" s="78"/>
      <c r="M414" s="79"/>
      <c r="N414" s="86">
        <f>Table47910[[#This Row],[Expected Revenue]]*Table47910[[#This Row],[Probability]]</f>
        <v>0</v>
      </c>
      <c r="O414" s="78"/>
      <c r="P414" s="86">
        <f>Table47910[[#This Row],[Expected Revenue]]*Table47910[[#This Row],[Expected CMR]]</f>
        <v>0</v>
      </c>
      <c r="Q414" s="210"/>
    </row>
    <row r="415" spans="1:17" hidden="1">
      <c r="A415" s="173"/>
      <c r="B415" s="76"/>
      <c r="C415" s="77"/>
      <c r="D415" s="102"/>
      <c r="E415" s="77"/>
      <c r="F415" s="77"/>
      <c r="G415" s="77"/>
      <c r="H415" s="77"/>
      <c r="I415" s="76"/>
      <c r="J415" s="110"/>
      <c r="K415" s="77"/>
      <c r="L415" s="78"/>
      <c r="M415" s="79"/>
      <c r="N415" s="86">
        <f>Table47910[[#This Row],[Expected Revenue]]*Table47910[[#This Row],[Probability]]</f>
        <v>0</v>
      </c>
      <c r="O415" s="78"/>
      <c r="P415" s="86">
        <f>Table47910[[#This Row],[Expected Revenue]]*Table47910[[#This Row],[Expected CMR]]</f>
        <v>0</v>
      </c>
      <c r="Q415" s="210"/>
    </row>
    <row r="416" spans="1:17" hidden="1">
      <c r="A416" s="173"/>
      <c r="B416" s="76"/>
      <c r="C416" s="77"/>
      <c r="D416" s="102"/>
      <c r="E416" s="77"/>
      <c r="F416" s="77"/>
      <c r="G416" s="77"/>
      <c r="H416" s="77"/>
      <c r="I416" s="76"/>
      <c r="J416" s="110"/>
      <c r="K416" s="77"/>
      <c r="L416" s="78"/>
      <c r="M416" s="79"/>
      <c r="N416" s="86">
        <f>Table47910[[#This Row],[Expected Revenue]]*Table47910[[#This Row],[Probability]]</f>
        <v>0</v>
      </c>
      <c r="O416" s="78"/>
      <c r="P416" s="86">
        <f>Table47910[[#This Row],[Expected Revenue]]*Table47910[[#This Row],[Expected CMR]]</f>
        <v>0</v>
      </c>
      <c r="Q416" s="210"/>
    </row>
    <row r="417" spans="1:17" hidden="1">
      <c r="A417" s="173"/>
      <c r="B417" s="76"/>
      <c r="C417" s="77"/>
      <c r="D417" s="102"/>
      <c r="E417" s="77"/>
      <c r="F417" s="77"/>
      <c r="G417" s="77"/>
      <c r="H417" s="77"/>
      <c r="I417" s="76"/>
      <c r="J417" s="110"/>
      <c r="K417" s="77"/>
      <c r="L417" s="78"/>
      <c r="M417" s="79"/>
      <c r="N417" s="86">
        <f>Table47910[[#This Row],[Expected Revenue]]*Table47910[[#This Row],[Probability]]</f>
        <v>0</v>
      </c>
      <c r="O417" s="78"/>
      <c r="P417" s="86">
        <f>Table47910[[#This Row],[Expected Revenue]]*Table47910[[#This Row],[Expected CMR]]</f>
        <v>0</v>
      </c>
      <c r="Q417" s="210"/>
    </row>
    <row r="418" spans="1:17" hidden="1">
      <c r="A418" s="173"/>
      <c r="B418" s="76"/>
      <c r="C418" s="77"/>
      <c r="D418" s="102"/>
      <c r="E418" s="77"/>
      <c r="F418" s="77"/>
      <c r="G418" s="77"/>
      <c r="H418" s="77"/>
      <c r="I418" s="76"/>
      <c r="J418" s="110"/>
      <c r="K418" s="77"/>
      <c r="L418" s="78"/>
      <c r="M418" s="79"/>
      <c r="N418" s="86">
        <f>Table47910[[#This Row],[Expected Revenue]]*Table47910[[#This Row],[Probability]]</f>
        <v>0</v>
      </c>
      <c r="O418" s="78"/>
      <c r="P418" s="86">
        <f>Table47910[[#This Row],[Expected Revenue]]*Table47910[[#This Row],[Expected CMR]]</f>
        <v>0</v>
      </c>
      <c r="Q418" s="210"/>
    </row>
    <row r="419" spans="1:17" hidden="1">
      <c r="A419" s="173"/>
      <c r="B419" s="76"/>
      <c r="C419" s="77"/>
      <c r="D419" s="102"/>
      <c r="E419" s="77"/>
      <c r="F419" s="77"/>
      <c r="G419" s="77"/>
      <c r="H419" s="77"/>
      <c r="I419" s="76"/>
      <c r="J419" s="110"/>
      <c r="K419" s="77"/>
      <c r="L419" s="78"/>
      <c r="M419" s="79"/>
      <c r="N419" s="86">
        <f>Table47910[[#This Row],[Expected Revenue]]*Table47910[[#This Row],[Probability]]</f>
        <v>0</v>
      </c>
      <c r="O419" s="78"/>
      <c r="P419" s="86">
        <f>Table47910[[#This Row],[Expected Revenue]]*Table47910[[#This Row],[Expected CMR]]</f>
        <v>0</v>
      </c>
      <c r="Q419" s="210"/>
    </row>
    <row r="420" spans="1:17" hidden="1">
      <c r="A420" s="173"/>
      <c r="B420" s="76"/>
      <c r="C420" s="77"/>
      <c r="D420" s="102"/>
      <c r="E420" s="77"/>
      <c r="F420" s="77"/>
      <c r="G420" s="77"/>
      <c r="H420" s="77"/>
      <c r="I420" s="76"/>
      <c r="J420" s="110"/>
      <c r="K420" s="77"/>
      <c r="L420" s="78"/>
      <c r="M420" s="79"/>
      <c r="N420" s="86">
        <f>Table47910[[#This Row],[Expected Revenue]]*Table47910[[#This Row],[Probability]]</f>
        <v>0</v>
      </c>
      <c r="O420" s="78"/>
      <c r="P420" s="86">
        <f>Table47910[[#This Row],[Expected Revenue]]*Table47910[[#This Row],[Expected CMR]]</f>
        <v>0</v>
      </c>
      <c r="Q420" s="210"/>
    </row>
    <row r="421" spans="1:17" hidden="1">
      <c r="A421" s="173"/>
      <c r="B421" s="76"/>
      <c r="C421" s="77"/>
      <c r="D421" s="102"/>
      <c r="E421" s="77"/>
      <c r="F421" s="77"/>
      <c r="G421" s="77"/>
      <c r="H421" s="77"/>
      <c r="I421" s="76"/>
      <c r="J421" s="110"/>
      <c r="K421" s="77"/>
      <c r="L421" s="78"/>
      <c r="M421" s="79"/>
      <c r="N421" s="86">
        <f>Table47910[[#This Row],[Expected Revenue]]*Table47910[[#This Row],[Probability]]</f>
        <v>0</v>
      </c>
      <c r="O421" s="78"/>
      <c r="P421" s="86">
        <f>Table47910[[#This Row],[Expected Revenue]]*Table47910[[#This Row],[Expected CMR]]</f>
        <v>0</v>
      </c>
      <c r="Q421" s="210"/>
    </row>
    <row r="422" spans="1:17" hidden="1">
      <c r="A422" s="173"/>
      <c r="B422" s="76"/>
      <c r="C422" s="77"/>
      <c r="D422" s="102"/>
      <c r="E422" s="77"/>
      <c r="F422" s="77"/>
      <c r="G422" s="77"/>
      <c r="H422" s="77"/>
      <c r="I422" s="76"/>
      <c r="J422" s="110"/>
      <c r="K422" s="77"/>
      <c r="L422" s="78"/>
      <c r="M422" s="79"/>
      <c r="N422" s="86">
        <f>Table47910[[#This Row],[Expected Revenue]]*Table47910[[#This Row],[Probability]]</f>
        <v>0</v>
      </c>
      <c r="O422" s="78"/>
      <c r="P422" s="86">
        <f>Table47910[[#This Row],[Expected Revenue]]*Table47910[[#This Row],[Expected CMR]]</f>
        <v>0</v>
      </c>
      <c r="Q422" s="210"/>
    </row>
    <row r="423" spans="1:17" hidden="1">
      <c r="A423" s="173"/>
      <c r="B423" s="76"/>
      <c r="C423" s="77"/>
      <c r="D423" s="102"/>
      <c r="E423" s="77"/>
      <c r="F423" s="77"/>
      <c r="G423" s="77"/>
      <c r="H423" s="77"/>
      <c r="I423" s="76"/>
      <c r="J423" s="110"/>
      <c r="K423" s="77"/>
      <c r="L423" s="78"/>
      <c r="M423" s="79"/>
      <c r="N423" s="86">
        <f>Table47910[[#This Row],[Expected Revenue]]*Table47910[[#This Row],[Probability]]</f>
        <v>0</v>
      </c>
      <c r="O423" s="78"/>
      <c r="P423" s="86">
        <f>Table47910[[#This Row],[Expected Revenue]]*Table47910[[#This Row],[Expected CMR]]</f>
        <v>0</v>
      </c>
      <c r="Q423" s="210"/>
    </row>
    <row r="424" spans="1:17" hidden="1">
      <c r="A424" s="173"/>
      <c r="B424" s="76"/>
      <c r="C424" s="77"/>
      <c r="D424" s="102"/>
      <c r="E424" s="77"/>
      <c r="F424" s="77"/>
      <c r="G424" s="77"/>
      <c r="H424" s="77"/>
      <c r="I424" s="76"/>
      <c r="J424" s="110"/>
      <c r="K424" s="77"/>
      <c r="L424" s="77"/>
      <c r="M424" s="77"/>
      <c r="N424" s="86">
        <f>Table47910[[#This Row],[Expected Revenue]]*Table47910[[#This Row],[Probability]]</f>
        <v>0</v>
      </c>
      <c r="O424" s="78">
        <v>0.3</v>
      </c>
      <c r="P424" s="86">
        <f>Table47910[[#This Row],[Expected Revenue]]*Table47910[[#This Row],[Expected CMR]]</f>
        <v>0</v>
      </c>
      <c r="Q424" s="210"/>
    </row>
    <row r="425" spans="1:17" hidden="1">
      <c r="A425" s="75"/>
      <c r="B425" s="76" t="s">
        <v>114</v>
      </c>
      <c r="C425" s="77" t="s">
        <v>57</v>
      </c>
      <c r="D425" s="102" t="s">
        <v>113</v>
      </c>
      <c r="E425" s="77" t="s">
        <v>62</v>
      </c>
      <c r="F425" s="77" t="s">
        <v>58</v>
      </c>
      <c r="G425" s="77" t="s">
        <v>297</v>
      </c>
      <c r="H425" s="77" t="s">
        <v>297</v>
      </c>
      <c r="I425" s="77"/>
      <c r="J425" s="152" t="s">
        <v>80</v>
      </c>
      <c r="K425" s="77">
        <v>2021</v>
      </c>
      <c r="L425" s="78">
        <v>1</v>
      </c>
      <c r="M425" s="79">
        <v>25000</v>
      </c>
      <c r="N425" s="79">
        <f>Table47910[[#This Row],[Expected Revenue]]*Table47910[[#This Row],[Probability]]</f>
        <v>25000</v>
      </c>
      <c r="O425" s="78">
        <v>0.3</v>
      </c>
      <c r="P425" s="79">
        <f>Table47910[[#This Row],[Expected CMR]]*Table47910[[#This Row],[Rev. Based on PROB]]</f>
        <v>7500</v>
      </c>
      <c r="Q425" s="209"/>
    </row>
    <row r="426" spans="1:17" hidden="1">
      <c r="A426" s="75"/>
      <c r="B426" s="76" t="s">
        <v>117</v>
      </c>
      <c r="C426" s="77" t="s">
        <v>57</v>
      </c>
      <c r="D426" s="102" t="s">
        <v>112</v>
      </c>
      <c r="E426" s="77" t="s">
        <v>71</v>
      </c>
      <c r="F426" s="77" t="s">
        <v>58</v>
      </c>
      <c r="G426" s="77" t="s">
        <v>297</v>
      </c>
      <c r="H426" s="77" t="s">
        <v>297</v>
      </c>
      <c r="I426" s="77"/>
      <c r="J426" s="110" t="s">
        <v>80</v>
      </c>
      <c r="K426" s="77">
        <v>2021</v>
      </c>
      <c r="L426" s="78">
        <v>1</v>
      </c>
      <c r="M426" s="79">
        <v>28000</v>
      </c>
      <c r="N426" s="79">
        <f>Table47910[[#This Row],[Expected Revenue]]*Table47910[[#This Row],[Probability]]</f>
        <v>28000</v>
      </c>
      <c r="O426" s="78">
        <v>0.3</v>
      </c>
      <c r="P426" s="79">
        <f>Table47910[[#This Row],[Expected CMR]]*Table47910[[#This Row],[Rev. Based on PROB]]</f>
        <v>8400</v>
      </c>
      <c r="Q426" s="209"/>
    </row>
    <row r="427" spans="1:17" hidden="1">
      <c r="A427" s="75"/>
      <c r="B427" s="76" t="s">
        <v>137</v>
      </c>
      <c r="C427" s="77" t="s">
        <v>57</v>
      </c>
      <c r="D427" s="102" t="s">
        <v>113</v>
      </c>
      <c r="E427" s="77" t="s">
        <v>62</v>
      </c>
      <c r="F427" s="77" t="s">
        <v>58</v>
      </c>
      <c r="G427" s="77" t="s">
        <v>297</v>
      </c>
      <c r="H427" s="77" t="s">
        <v>297</v>
      </c>
      <c r="I427" s="77"/>
      <c r="J427" s="152" t="s">
        <v>80</v>
      </c>
      <c r="K427" s="77">
        <v>2021</v>
      </c>
      <c r="L427" s="78">
        <v>1</v>
      </c>
      <c r="M427" s="79">
        <v>31969</v>
      </c>
      <c r="N427" s="79">
        <f>Table47910[[#This Row],[Expected Revenue]]*Table47910[[#This Row],[Probability]]</f>
        <v>31969</v>
      </c>
      <c r="O427" s="78">
        <v>0.19</v>
      </c>
      <c r="P427" s="79">
        <f>Table47910[[#This Row],[Expected CMR]]*Table47910[[#This Row],[Rev. Based on PROB]]</f>
        <v>6074.11</v>
      </c>
      <c r="Q427" s="209"/>
    </row>
    <row r="428" spans="1:17">
      <c r="A428" s="173"/>
      <c r="B428" s="76" t="s">
        <v>487</v>
      </c>
      <c r="C428" s="77" t="s">
        <v>57</v>
      </c>
      <c r="D428" s="102" t="s">
        <v>3055</v>
      </c>
      <c r="E428" s="77" t="s">
        <v>251</v>
      </c>
      <c r="F428" s="77" t="s">
        <v>58</v>
      </c>
      <c r="G428" s="77" t="s">
        <v>295</v>
      </c>
      <c r="H428" s="77" t="s">
        <v>295</v>
      </c>
      <c r="I428" s="77"/>
      <c r="J428" s="110" t="s">
        <v>93</v>
      </c>
      <c r="K428" s="77">
        <v>2021</v>
      </c>
      <c r="L428" s="78">
        <v>1</v>
      </c>
      <c r="M428" s="79">
        <f>10000+26280</f>
        <v>36280</v>
      </c>
      <c r="N428" s="79">
        <f>Table47910[[#This Row],[Expected Revenue]]*Table47910[[#This Row],[Probability]]</f>
        <v>36280</v>
      </c>
      <c r="O428" s="78"/>
      <c r="P428" s="79">
        <f>Table47910[[#This Row],[Expected Revenue]]*Table47910[[#This Row],[Expected CMR]]</f>
        <v>0</v>
      </c>
      <c r="Q428" s="209"/>
    </row>
    <row r="429" spans="1:17">
      <c r="A429" s="173" t="s">
        <v>3023</v>
      </c>
      <c r="B429" s="256" t="s">
        <v>296</v>
      </c>
      <c r="C429" s="77"/>
      <c r="D429" s="102"/>
      <c r="E429" s="77" t="s">
        <v>251</v>
      </c>
      <c r="F429" s="77" t="s">
        <v>58</v>
      </c>
      <c r="G429" s="77" t="s">
        <v>3181</v>
      </c>
      <c r="H429" s="77" t="s">
        <v>296</v>
      </c>
      <c r="I429" s="76"/>
      <c r="J429" s="110" t="s">
        <v>93</v>
      </c>
      <c r="K429" s="77">
        <v>2021</v>
      </c>
      <c r="L429" s="78">
        <v>1</v>
      </c>
      <c r="M429" s="79">
        <v>100000</v>
      </c>
      <c r="N429" s="86">
        <f>Table47910[[#This Row],[Expected Revenue]]*Table47910[[#This Row],[Probability]]</f>
        <v>100000</v>
      </c>
      <c r="O429" s="78">
        <v>0.3</v>
      </c>
      <c r="P429" s="86">
        <f>Table47910[[#This Row],[Expected CMR]]*Table47910[[#This Row],[Rev. Based on PROB]]</f>
        <v>30000</v>
      </c>
      <c r="Q429" s="210"/>
    </row>
    <row r="430" spans="1:17" hidden="1">
      <c r="A430" s="173"/>
      <c r="B430" s="76" t="s">
        <v>486</v>
      </c>
      <c r="C430" s="77" t="s">
        <v>126</v>
      </c>
      <c r="D430" s="102" t="s">
        <v>3053</v>
      </c>
      <c r="E430" s="77" t="s">
        <v>291</v>
      </c>
      <c r="F430" s="77" t="s">
        <v>58</v>
      </c>
      <c r="G430" s="77" t="s">
        <v>297</v>
      </c>
      <c r="H430" s="77" t="s">
        <v>297</v>
      </c>
      <c r="I430" s="76"/>
      <c r="J430" s="110" t="s">
        <v>80</v>
      </c>
      <c r="K430" s="77">
        <v>2021</v>
      </c>
      <c r="L430" s="78">
        <v>1</v>
      </c>
      <c r="M430" s="79">
        <v>16000</v>
      </c>
      <c r="N430" s="79">
        <f>Table47910[[#This Row],[Expected Revenue]]*Table47910[[#This Row],[Probability]]</f>
        <v>16000</v>
      </c>
      <c r="O430" s="78">
        <v>0.3</v>
      </c>
      <c r="P430" s="79">
        <f>Table47910[[#This Row],[Expected CMR]]*Table47910[[#This Row],[Rev. Based on PROB]]</f>
        <v>4800</v>
      </c>
      <c r="Q430" s="209"/>
    </row>
    <row r="431" spans="1:17">
      <c r="A431" s="75"/>
      <c r="B431" s="256" t="s">
        <v>73</v>
      </c>
      <c r="C431" s="77" t="s">
        <v>57</v>
      </c>
      <c r="D431" s="102" t="s">
        <v>106</v>
      </c>
      <c r="E431" s="77" t="s">
        <v>291</v>
      </c>
      <c r="F431" s="77" t="s">
        <v>58</v>
      </c>
      <c r="G431" s="77" t="s">
        <v>295</v>
      </c>
      <c r="H431" s="77" t="s">
        <v>295</v>
      </c>
      <c r="I431" s="77"/>
      <c r="J431" s="110" t="s">
        <v>93</v>
      </c>
      <c r="K431" s="77">
        <v>2021</v>
      </c>
      <c r="L431" s="78">
        <v>1</v>
      </c>
      <c r="M431" s="79">
        <v>53000</v>
      </c>
      <c r="N431" s="79">
        <f>Table47910[[#This Row],[Expected Revenue]]*Table47910[[#This Row],[Probability]]</f>
        <v>53000</v>
      </c>
      <c r="O431" s="78">
        <v>0.3</v>
      </c>
      <c r="P431" s="86">
        <f>Table47910[[#This Row],[Expected CMR]]*Table47910[[#This Row],[Rev. Based on PROB]]</f>
        <v>15900</v>
      </c>
      <c r="Q431" s="210"/>
    </row>
    <row r="432" spans="1:17">
      <c r="A432" s="75"/>
      <c r="B432" s="256" t="s">
        <v>156</v>
      </c>
      <c r="C432" s="77" t="s">
        <v>157</v>
      </c>
      <c r="D432" s="102" t="s">
        <v>239</v>
      </c>
      <c r="E432" s="77" t="s">
        <v>62</v>
      </c>
      <c r="F432" s="77" t="s">
        <v>58</v>
      </c>
      <c r="G432" s="77" t="s">
        <v>295</v>
      </c>
      <c r="H432" s="77" t="s">
        <v>295</v>
      </c>
      <c r="I432" s="77"/>
      <c r="J432" s="110" t="s">
        <v>93</v>
      </c>
      <c r="K432" s="77">
        <v>2021</v>
      </c>
      <c r="L432" s="78">
        <v>1</v>
      </c>
      <c r="M432" s="79">
        <v>25000</v>
      </c>
      <c r="N432" s="79">
        <f>Table47910[[#This Row],[Expected Revenue]]*Table47910[[#This Row],[Probability]]</f>
        <v>25000</v>
      </c>
      <c r="O432" s="78">
        <v>0.35</v>
      </c>
      <c r="P432" s="86">
        <f>Table47910[[#This Row],[Expected CMR]]*Table47910[[#This Row],[Rev. Based on PROB]]</f>
        <v>8750</v>
      </c>
      <c r="Q432" s="210"/>
    </row>
    <row r="433" spans="1:17" hidden="1">
      <c r="A433" s="75"/>
      <c r="B433" s="76" t="s">
        <v>156</v>
      </c>
      <c r="C433" s="77" t="s">
        <v>157</v>
      </c>
      <c r="D433" s="102" t="s">
        <v>239</v>
      </c>
      <c r="E433" s="77" t="s">
        <v>62</v>
      </c>
      <c r="F433" s="77" t="s">
        <v>58</v>
      </c>
      <c r="G433" s="77" t="s">
        <v>297</v>
      </c>
      <c r="H433" s="77" t="s">
        <v>297</v>
      </c>
      <c r="I433" s="77"/>
      <c r="J433" s="110" t="s">
        <v>230</v>
      </c>
      <c r="K433" s="77">
        <v>2021</v>
      </c>
      <c r="L433" s="78">
        <v>1</v>
      </c>
      <c r="M433" s="79">
        <v>50000</v>
      </c>
      <c r="N433" s="79">
        <f>Table47910[[#This Row],[Expected Revenue]]*Table47910[[#This Row],[Probability]]</f>
        <v>50000</v>
      </c>
      <c r="O433" s="78">
        <v>0.35</v>
      </c>
      <c r="P433" s="86">
        <f>Table47910[[#This Row],[Expected CMR]]*Table47910[[#This Row],[Rev. Based on PROB]]</f>
        <v>17500</v>
      </c>
      <c r="Q433" s="210"/>
    </row>
    <row r="434" spans="1:17" hidden="1">
      <c r="A434" s="75"/>
      <c r="B434" s="76" t="s">
        <v>122</v>
      </c>
      <c r="C434" s="77" t="s">
        <v>57</v>
      </c>
      <c r="D434" s="102" t="s">
        <v>82</v>
      </c>
      <c r="E434" s="77" t="s">
        <v>62</v>
      </c>
      <c r="F434" s="77" t="s">
        <v>58</v>
      </c>
      <c r="G434" s="77" t="s">
        <v>297</v>
      </c>
      <c r="H434" s="77" t="s">
        <v>297</v>
      </c>
      <c r="I434" s="77"/>
      <c r="J434" s="110" t="s">
        <v>80</v>
      </c>
      <c r="K434" s="77">
        <v>2021</v>
      </c>
      <c r="L434" s="78">
        <v>1</v>
      </c>
      <c r="M434" s="79">
        <v>13900</v>
      </c>
      <c r="N434" s="79">
        <f>Table47910[[#This Row],[Expected Revenue]]*Table47910[[#This Row],[Probability]]</f>
        <v>13900</v>
      </c>
      <c r="O434" s="78">
        <v>0.3</v>
      </c>
      <c r="P434" s="86">
        <f>Table47910[[#This Row],[Expected CMR]]*Table47910[[#This Row],[Rev. Based on PROB]]</f>
        <v>4170</v>
      </c>
      <c r="Q434" s="210"/>
    </row>
    <row r="435" spans="1:17" s="236" customFormat="1">
      <c r="A435" s="230"/>
      <c r="B435" s="256" t="s">
        <v>114</v>
      </c>
      <c r="C435" s="231" t="s">
        <v>57</v>
      </c>
      <c r="D435" s="232" t="s">
        <v>113</v>
      </c>
      <c r="E435" s="231" t="s">
        <v>62</v>
      </c>
      <c r="F435" s="231" t="s">
        <v>58</v>
      </c>
      <c r="G435" s="231" t="s">
        <v>297</v>
      </c>
      <c r="H435" s="231" t="s">
        <v>297</v>
      </c>
      <c r="I435" s="231"/>
      <c r="J435" s="233" t="s">
        <v>93</v>
      </c>
      <c r="K435" s="231">
        <v>2021</v>
      </c>
      <c r="L435" s="234"/>
      <c r="M435" s="229">
        <v>26000</v>
      </c>
      <c r="N435" s="229">
        <f>Table47910[[#This Row],[Expected Revenue]]*Table47910[[#This Row],[Probability]]</f>
        <v>0</v>
      </c>
      <c r="O435" s="234">
        <v>0.3</v>
      </c>
      <c r="P435" s="235">
        <f>Table47910[[#This Row],[Expected CMR]]*Table47910[[#This Row],[Rev. Based on PROB]]</f>
        <v>0</v>
      </c>
      <c r="Q435" s="228"/>
    </row>
    <row r="436" spans="1:17" s="236" customFormat="1">
      <c r="A436" s="173"/>
      <c r="B436" s="256" t="s">
        <v>122</v>
      </c>
      <c r="C436" s="77" t="s">
        <v>57</v>
      </c>
      <c r="D436" s="102" t="s">
        <v>112</v>
      </c>
      <c r="E436" s="77" t="s">
        <v>71</v>
      </c>
      <c r="F436" s="77" t="s">
        <v>58</v>
      </c>
      <c r="G436" s="77" t="s">
        <v>295</v>
      </c>
      <c r="H436" s="77" t="s">
        <v>295</v>
      </c>
      <c r="I436" s="77"/>
      <c r="J436" s="110" t="s">
        <v>93</v>
      </c>
      <c r="K436" s="77">
        <v>2021</v>
      </c>
      <c r="L436" s="78">
        <v>1</v>
      </c>
      <c r="M436" s="79">
        <v>27000</v>
      </c>
      <c r="N436" s="79">
        <f>Table47910[[#This Row],[Expected Revenue]]*Table47910[[#This Row],[Probability]]</f>
        <v>27000</v>
      </c>
      <c r="O436" s="78">
        <v>0.3</v>
      </c>
      <c r="P436" s="86">
        <f>Table47910[[#This Row],[Expected CMR]]*Table47910[[#This Row],[Rev. Based on PROB]]</f>
        <v>8100</v>
      </c>
      <c r="Q436" s="210"/>
    </row>
    <row r="437" spans="1:17">
      <c r="A437" s="173"/>
      <c r="B437" s="256" t="s">
        <v>122</v>
      </c>
      <c r="C437" s="77" t="s">
        <v>57</v>
      </c>
      <c r="D437" s="102" t="s">
        <v>113</v>
      </c>
      <c r="E437" s="77" t="s">
        <v>62</v>
      </c>
      <c r="F437" s="77" t="s">
        <v>58</v>
      </c>
      <c r="G437" s="77" t="s">
        <v>295</v>
      </c>
      <c r="H437" s="77" t="s">
        <v>295</v>
      </c>
      <c r="I437" s="77"/>
      <c r="J437" s="110" t="s">
        <v>93</v>
      </c>
      <c r="K437" s="77">
        <v>2021</v>
      </c>
      <c r="L437" s="78">
        <v>1</v>
      </c>
      <c r="M437" s="79">
        <v>28000</v>
      </c>
      <c r="N437" s="79">
        <f>Table47910[[#This Row],[Expected Revenue]]*Table47910[[#This Row],[Probability]]</f>
        <v>28000</v>
      </c>
      <c r="O437" s="78">
        <v>0.3</v>
      </c>
      <c r="P437" s="86">
        <f>Table47910[[#This Row],[Expected CMR]]*Table47910[[#This Row],[Rev. Based on PROB]]</f>
        <v>8400</v>
      </c>
      <c r="Q437" s="210"/>
    </row>
    <row r="438" spans="1:17">
      <c r="A438" s="230"/>
      <c r="B438" s="256" t="s">
        <v>137</v>
      </c>
      <c r="C438" s="231" t="s">
        <v>57</v>
      </c>
      <c r="D438" s="232" t="s">
        <v>87</v>
      </c>
      <c r="E438" s="231" t="s">
        <v>88</v>
      </c>
      <c r="F438" s="231" t="s">
        <v>58</v>
      </c>
      <c r="G438" s="231" t="s">
        <v>297</v>
      </c>
      <c r="H438" s="231" t="s">
        <v>297</v>
      </c>
      <c r="I438" s="231"/>
      <c r="J438" s="233" t="s">
        <v>93</v>
      </c>
      <c r="K438" s="231">
        <v>2021</v>
      </c>
      <c r="L438" s="234"/>
      <c r="M438" s="229">
        <v>27816</v>
      </c>
      <c r="N438" s="229">
        <f>Table47910[[#This Row],[Expected Revenue]]*Table47910[[#This Row],[Probability]]</f>
        <v>0</v>
      </c>
      <c r="O438" s="234">
        <v>0.3</v>
      </c>
      <c r="P438" s="235">
        <f>Table47910[[#This Row],[Expected CMR]]*Table47910[[#This Row],[Rev. Based on PROB]]</f>
        <v>0</v>
      </c>
      <c r="Q438" s="228"/>
    </row>
    <row r="439" spans="1:17" hidden="1">
      <c r="A439" s="173"/>
      <c r="B439" s="76" t="s">
        <v>296</v>
      </c>
      <c r="C439" s="77"/>
      <c r="D439" s="102"/>
      <c r="E439" s="77" t="s">
        <v>251</v>
      </c>
      <c r="F439" s="77"/>
      <c r="G439" s="77" t="s">
        <v>297</v>
      </c>
      <c r="H439" s="77" t="s">
        <v>296</v>
      </c>
      <c r="I439" s="76"/>
      <c r="J439" s="110" t="s">
        <v>80</v>
      </c>
      <c r="K439" s="77">
        <v>2021</v>
      </c>
      <c r="L439" s="78">
        <v>1</v>
      </c>
      <c r="M439" s="79">
        <v>150000</v>
      </c>
      <c r="N439" s="79">
        <v>100000</v>
      </c>
      <c r="O439" s="78">
        <v>0.3</v>
      </c>
      <c r="P439" s="79">
        <f>Table47910[[#This Row],[Expected CMR]]*Table47910[[#This Row],[Rev. Based on PROB]]</f>
        <v>30000</v>
      </c>
      <c r="Q439" s="209"/>
    </row>
    <row r="440" spans="1:17" hidden="1">
      <c r="A440" s="173"/>
      <c r="B440" s="76" t="s">
        <v>1199</v>
      </c>
      <c r="C440" s="77" t="s">
        <v>57</v>
      </c>
      <c r="D440" s="76" t="s">
        <v>3079</v>
      </c>
      <c r="E440" s="77" t="s">
        <v>62</v>
      </c>
      <c r="F440" s="77" t="s">
        <v>58</v>
      </c>
      <c r="G440" s="77" t="s">
        <v>297</v>
      </c>
      <c r="H440" s="77" t="s">
        <v>297</v>
      </c>
      <c r="I440" s="77"/>
      <c r="J440" s="110" t="s">
        <v>102</v>
      </c>
      <c r="K440" s="77">
        <v>2021</v>
      </c>
      <c r="L440" s="78">
        <v>1</v>
      </c>
      <c r="M440" s="79">
        <v>23635</v>
      </c>
      <c r="N440" s="79">
        <f>Table47910[[#This Row],[Expected Revenue]]*Table47910[[#This Row],[Probability]]</f>
        <v>23635</v>
      </c>
      <c r="O440" s="78">
        <v>0.3</v>
      </c>
      <c r="P440" s="86">
        <f>Table47910[[#This Row],[Expected CMR]]*Table47910[[#This Row],[Rev. Based on PROB]]</f>
        <v>7090.5</v>
      </c>
      <c r="Q440" s="210"/>
    </row>
    <row r="441" spans="1:17" hidden="1">
      <c r="A441" s="75"/>
      <c r="B441" s="76" t="s">
        <v>137</v>
      </c>
      <c r="C441" s="77" t="s">
        <v>57</v>
      </c>
      <c r="D441" s="102" t="s">
        <v>99</v>
      </c>
      <c r="E441" s="77" t="s">
        <v>92</v>
      </c>
      <c r="F441" s="77" t="s">
        <v>58</v>
      </c>
      <c r="G441" s="77" t="s">
        <v>297</v>
      </c>
      <c r="H441" s="77" t="s">
        <v>297</v>
      </c>
      <c r="I441" s="77"/>
      <c r="J441" s="110" t="s">
        <v>230</v>
      </c>
      <c r="K441" s="77">
        <v>2021</v>
      </c>
      <c r="L441" s="78">
        <v>1</v>
      </c>
      <c r="M441" s="79">
        <v>10000</v>
      </c>
      <c r="N441" s="79">
        <v>10000</v>
      </c>
      <c r="O441" s="78">
        <v>0.3</v>
      </c>
      <c r="P441" s="79">
        <v>3000</v>
      </c>
      <c r="Q441" s="209"/>
    </row>
    <row r="442" spans="1:17" hidden="1">
      <c r="A442" s="75"/>
      <c r="B442" s="76" t="s">
        <v>122</v>
      </c>
      <c r="C442" s="77" t="s">
        <v>57</v>
      </c>
      <c r="D442" s="102" t="s">
        <v>112</v>
      </c>
      <c r="E442" s="77" t="s">
        <v>71</v>
      </c>
      <c r="F442" s="77" t="s">
        <v>58</v>
      </c>
      <c r="G442" s="77" t="s">
        <v>297</v>
      </c>
      <c r="H442" s="77" t="s">
        <v>297</v>
      </c>
      <c r="I442" s="77"/>
      <c r="J442" s="110" t="s">
        <v>230</v>
      </c>
      <c r="K442" s="77">
        <v>2021</v>
      </c>
      <c r="L442" s="78">
        <v>1</v>
      </c>
      <c r="M442" s="79">
        <v>30939</v>
      </c>
      <c r="N442" s="79">
        <v>30939</v>
      </c>
      <c r="O442" s="78">
        <v>0.3</v>
      </c>
      <c r="P442" s="79">
        <v>9281.6999999999989</v>
      </c>
      <c r="Q442" s="209"/>
    </row>
    <row r="443" spans="1:17" hidden="1">
      <c r="A443" s="173"/>
      <c r="B443" s="76" t="s">
        <v>3201</v>
      </c>
      <c r="C443" s="77" t="s">
        <v>57</v>
      </c>
      <c r="D443" s="102" t="s">
        <v>112</v>
      </c>
      <c r="E443" s="77" t="s">
        <v>251</v>
      </c>
      <c r="F443" s="77" t="s">
        <v>58</v>
      </c>
      <c r="G443" s="77" t="s">
        <v>297</v>
      </c>
      <c r="H443" s="77" t="s">
        <v>297</v>
      </c>
      <c r="I443" s="76"/>
      <c r="J443" s="110" t="s">
        <v>230</v>
      </c>
      <c r="K443" s="77">
        <v>2021</v>
      </c>
      <c r="L443" s="78">
        <v>1</v>
      </c>
      <c r="M443" s="79">
        <v>26280</v>
      </c>
      <c r="N443" s="86">
        <v>26280</v>
      </c>
      <c r="O443" s="78">
        <v>0.3</v>
      </c>
      <c r="P443" s="86">
        <v>7884</v>
      </c>
      <c r="Q443" s="210"/>
    </row>
    <row r="444" spans="1:17" hidden="1">
      <c r="A444" s="75"/>
      <c r="B444" s="76" t="s">
        <v>117</v>
      </c>
      <c r="C444" s="77" t="s">
        <v>57</v>
      </c>
      <c r="D444" s="102" t="s">
        <v>75</v>
      </c>
      <c r="E444" s="77" t="s">
        <v>83</v>
      </c>
      <c r="F444" s="77" t="s">
        <v>58</v>
      </c>
      <c r="G444" s="77" t="s">
        <v>297</v>
      </c>
      <c r="H444" s="77" t="s">
        <v>297</v>
      </c>
      <c r="I444" s="77"/>
      <c r="J444" s="110" t="s">
        <v>230</v>
      </c>
      <c r="K444" s="77">
        <v>2022</v>
      </c>
      <c r="L444" s="78">
        <v>1</v>
      </c>
      <c r="M444" s="79">
        <v>10620</v>
      </c>
      <c r="N444" s="79">
        <v>10620</v>
      </c>
      <c r="O444" s="78">
        <v>0.3</v>
      </c>
      <c r="P444" s="79">
        <v>3186</v>
      </c>
      <c r="Q444" s="209"/>
    </row>
    <row r="445" spans="1:17" hidden="1">
      <c r="A445" s="75"/>
      <c r="B445" s="76" t="s">
        <v>137</v>
      </c>
      <c r="C445" s="77" t="s">
        <v>57</v>
      </c>
      <c r="D445" s="102" t="s">
        <v>113</v>
      </c>
      <c r="E445" s="77" t="s">
        <v>62</v>
      </c>
      <c r="F445" s="77" t="s">
        <v>58</v>
      </c>
      <c r="G445" s="77" t="s">
        <v>297</v>
      </c>
      <c r="H445" s="77" t="s">
        <v>297</v>
      </c>
      <c r="I445" s="77"/>
      <c r="J445" s="110" t="s">
        <v>230</v>
      </c>
      <c r="K445" s="77">
        <v>2021</v>
      </c>
      <c r="L445" s="78">
        <v>1</v>
      </c>
      <c r="M445" s="79">
        <v>11969</v>
      </c>
      <c r="N445" s="79">
        <v>11969</v>
      </c>
      <c r="O445" s="84">
        <v>0.19</v>
      </c>
      <c r="P445" s="85">
        <v>2274.11</v>
      </c>
      <c r="Q445" s="209"/>
    </row>
    <row r="446" spans="1:17" hidden="1">
      <c r="A446" s="176"/>
      <c r="B446" s="82" t="s">
        <v>117</v>
      </c>
      <c r="C446" s="77" t="s">
        <v>57</v>
      </c>
      <c r="D446" s="103" t="s">
        <v>91</v>
      </c>
      <c r="E446" s="77" t="s">
        <v>92</v>
      </c>
      <c r="F446" s="83" t="s">
        <v>58</v>
      </c>
      <c r="G446" s="77" t="s">
        <v>297</v>
      </c>
      <c r="H446" s="77" t="s">
        <v>297</v>
      </c>
      <c r="I446" s="83"/>
      <c r="J446" s="156" t="s">
        <v>80</v>
      </c>
      <c r="K446" s="77">
        <v>2021</v>
      </c>
      <c r="L446" s="84">
        <v>1</v>
      </c>
      <c r="M446" s="85">
        <v>18810.5</v>
      </c>
      <c r="N446" s="79">
        <f>Table47910[[#This Row],[Expected Revenue]]*Table47910[[#This Row],[Probability]]</f>
        <v>18810.5</v>
      </c>
      <c r="O446" s="84">
        <v>0.3</v>
      </c>
      <c r="P446" s="79">
        <f>Table47910[[#This Row],[Expected CMR]]*Table47910[[#This Row],[Rev. Based on PROB]]</f>
        <v>5643.15</v>
      </c>
      <c r="Q446" s="209"/>
    </row>
    <row r="447" spans="1:17" hidden="1">
      <c r="A447" s="176"/>
      <c r="B447" s="82" t="s">
        <v>117</v>
      </c>
      <c r="C447" s="77" t="s">
        <v>57</v>
      </c>
      <c r="D447" s="103" t="s">
        <v>113</v>
      </c>
      <c r="E447" s="77" t="s">
        <v>62</v>
      </c>
      <c r="F447" s="83" t="s">
        <v>58</v>
      </c>
      <c r="G447" s="77" t="s">
        <v>297</v>
      </c>
      <c r="H447" s="77" t="s">
        <v>297</v>
      </c>
      <c r="I447" s="83"/>
      <c r="J447" s="110" t="s">
        <v>230</v>
      </c>
      <c r="K447" s="77">
        <v>2021</v>
      </c>
      <c r="L447" s="84">
        <v>1</v>
      </c>
      <c r="M447" s="85">
        <v>1969</v>
      </c>
      <c r="N447" s="85">
        <v>1969</v>
      </c>
      <c r="O447" s="84">
        <v>0.3</v>
      </c>
      <c r="P447" s="85">
        <v>590.69999999999993</v>
      </c>
      <c r="Q447" s="209"/>
    </row>
    <row r="448" spans="1:17" hidden="1">
      <c r="A448" s="75"/>
      <c r="B448" s="76" t="s">
        <v>137</v>
      </c>
      <c r="C448" s="77" t="s">
        <v>57</v>
      </c>
      <c r="D448" s="102" t="s">
        <v>214</v>
      </c>
      <c r="E448" s="77" t="s">
        <v>92</v>
      </c>
      <c r="F448" s="77" t="s">
        <v>58</v>
      </c>
      <c r="G448" s="77" t="s">
        <v>297</v>
      </c>
      <c r="H448" s="77" t="s">
        <v>297</v>
      </c>
      <c r="I448" s="77"/>
      <c r="J448" s="110" t="s">
        <v>80</v>
      </c>
      <c r="K448" s="77">
        <v>2021</v>
      </c>
      <c r="L448" s="78">
        <v>1</v>
      </c>
      <c r="M448" s="79">
        <v>10000</v>
      </c>
      <c r="N448" s="79">
        <f>Table47910[[#This Row],[Expected Revenue]]*Table47910[[#This Row],[Probability]]</f>
        <v>10000</v>
      </c>
      <c r="O448" s="78">
        <v>0.3</v>
      </c>
      <c r="P448" s="79">
        <f>Table47910[[#This Row],[Expected CMR]]*Table47910[[#This Row],[Rev. Based on PROB]]</f>
        <v>3000</v>
      </c>
      <c r="Q448" s="209"/>
    </row>
    <row r="449" spans="1:17" hidden="1">
      <c r="A449" s="75"/>
      <c r="B449" s="76" t="s">
        <v>117</v>
      </c>
      <c r="C449" s="77" t="s">
        <v>57</v>
      </c>
      <c r="D449" s="102" t="s">
        <v>82</v>
      </c>
      <c r="E449" s="77" t="s">
        <v>62</v>
      </c>
      <c r="F449" s="77" t="s">
        <v>58</v>
      </c>
      <c r="G449" s="77" t="s">
        <v>297</v>
      </c>
      <c r="H449" s="77" t="s">
        <v>297</v>
      </c>
      <c r="I449" s="77"/>
      <c r="J449" s="110" t="s">
        <v>80</v>
      </c>
      <c r="K449" s="77">
        <v>2021</v>
      </c>
      <c r="L449" s="78">
        <v>1</v>
      </c>
      <c r="M449" s="79">
        <v>13900</v>
      </c>
      <c r="N449" s="79">
        <f>Table47910[[#This Row],[Expected Revenue]]*Table47910[[#This Row],[Probability]]</f>
        <v>13900</v>
      </c>
      <c r="O449" s="78">
        <v>0.3</v>
      </c>
      <c r="P449" s="79">
        <f>Table47910[[#This Row],[Expected CMR]]*Table47910[[#This Row],[Rev. Based on PROB]]</f>
        <v>4170</v>
      </c>
      <c r="Q449" s="209"/>
    </row>
    <row r="450" spans="1:17" hidden="1">
      <c r="A450" s="75"/>
      <c r="B450" s="76" t="s">
        <v>117</v>
      </c>
      <c r="C450" s="77" t="s">
        <v>57</v>
      </c>
      <c r="D450" s="102" t="s">
        <v>252</v>
      </c>
      <c r="E450" s="77" t="s">
        <v>92</v>
      </c>
      <c r="F450" s="77" t="s">
        <v>58</v>
      </c>
      <c r="G450" s="77" t="s">
        <v>297</v>
      </c>
      <c r="H450" s="77" t="s">
        <v>297</v>
      </c>
      <c r="I450" s="77"/>
      <c r="J450" s="110" t="s">
        <v>80</v>
      </c>
      <c r="K450" s="77">
        <v>2021</v>
      </c>
      <c r="L450" s="78">
        <v>1</v>
      </c>
      <c r="M450" s="79">
        <v>20000</v>
      </c>
      <c r="N450" s="79">
        <f>Table47910[[#This Row],[Expected Revenue]]*Table47910[[#This Row],[Probability]]</f>
        <v>20000</v>
      </c>
      <c r="O450" s="78">
        <v>0.3</v>
      </c>
      <c r="P450" s="79">
        <f>Table47910[[#This Row],[Expected CMR]]*Table47910[[#This Row],[Rev. Based on PROB]]</f>
        <v>6000</v>
      </c>
      <c r="Q450" s="209"/>
    </row>
    <row r="451" spans="1:17" hidden="1">
      <c r="A451" s="75"/>
      <c r="B451" s="76" t="s">
        <v>122</v>
      </c>
      <c r="C451" s="77" t="s">
        <v>57</v>
      </c>
      <c r="D451" s="102" t="s">
        <v>113</v>
      </c>
      <c r="E451" s="77" t="s">
        <v>62</v>
      </c>
      <c r="F451" s="77" t="s">
        <v>58</v>
      </c>
      <c r="G451" s="77" t="s">
        <v>297</v>
      </c>
      <c r="H451" s="77" t="s">
        <v>297</v>
      </c>
      <c r="I451" s="77"/>
      <c r="J451" s="110" t="s">
        <v>230</v>
      </c>
      <c r="K451" s="77">
        <v>2021</v>
      </c>
      <c r="L451" s="78">
        <v>1</v>
      </c>
      <c r="M451" s="79">
        <v>31969</v>
      </c>
      <c r="N451" s="79">
        <v>31969</v>
      </c>
      <c r="O451" s="78">
        <v>0.3</v>
      </c>
      <c r="P451" s="79">
        <v>9590.6999999999989</v>
      </c>
      <c r="Q451" s="209"/>
    </row>
    <row r="452" spans="1:17">
      <c r="A452" s="75"/>
      <c r="B452" s="256" t="s">
        <v>73</v>
      </c>
      <c r="C452" s="77" t="s">
        <v>57</v>
      </c>
      <c r="D452" s="102" t="s">
        <v>112</v>
      </c>
      <c r="E452" s="77" t="s">
        <v>71</v>
      </c>
      <c r="F452" s="77" t="s">
        <v>58</v>
      </c>
      <c r="G452" s="77" t="s">
        <v>295</v>
      </c>
      <c r="H452" s="77" t="s">
        <v>295</v>
      </c>
      <c r="I452" s="77"/>
      <c r="J452" s="110" t="s">
        <v>93</v>
      </c>
      <c r="K452" s="77">
        <v>2021</v>
      </c>
      <c r="L452" s="78">
        <v>1</v>
      </c>
      <c r="M452" s="79">
        <v>28000</v>
      </c>
      <c r="N452" s="79">
        <f>Table47910[[#This Row],[Expected Revenue]]*Table47910[[#This Row],[Probability]]</f>
        <v>28000</v>
      </c>
      <c r="O452" s="78">
        <v>0.3</v>
      </c>
      <c r="P452" s="86">
        <f>Table47910[[#This Row],[Expected CMR]]*Table47910[[#This Row],[Rev. Based on PROB]]</f>
        <v>8400</v>
      </c>
      <c r="Q452" s="210"/>
    </row>
    <row r="453" spans="1:17" hidden="1">
      <c r="A453" s="75"/>
      <c r="B453" s="76" t="s">
        <v>130</v>
      </c>
      <c r="C453" s="77" t="s">
        <v>57</v>
      </c>
      <c r="D453" s="102" t="s">
        <v>91</v>
      </c>
      <c r="E453" s="77" t="s">
        <v>92</v>
      </c>
      <c r="F453" s="77" t="s">
        <v>58</v>
      </c>
      <c r="G453" s="77" t="s">
        <v>297</v>
      </c>
      <c r="H453" s="77" t="s">
        <v>297</v>
      </c>
      <c r="I453" s="77"/>
      <c r="J453" s="110" t="s">
        <v>80</v>
      </c>
      <c r="K453" s="77">
        <v>2021</v>
      </c>
      <c r="L453" s="78">
        <v>1</v>
      </c>
      <c r="M453" s="79">
        <v>18810.5</v>
      </c>
      <c r="N453" s="79">
        <f>Table47910[[#This Row],[Expected Revenue]]*Table47910[[#This Row],[Probability]]</f>
        <v>18810.5</v>
      </c>
      <c r="O453" s="78">
        <v>0.3</v>
      </c>
      <c r="P453" s="79">
        <f>Table47910[[#This Row],[Expected CMR]]*Table47910[[#This Row],[Rev. Based on PROB]]</f>
        <v>5643.15</v>
      </c>
      <c r="Q453" s="209"/>
    </row>
    <row r="454" spans="1:17">
      <c r="A454" s="173"/>
      <c r="B454" s="256" t="s">
        <v>137</v>
      </c>
      <c r="C454" s="77" t="s">
        <v>57</v>
      </c>
      <c r="D454" s="76" t="s">
        <v>99</v>
      </c>
      <c r="E454" s="77" t="s">
        <v>92</v>
      </c>
      <c r="F454" s="77" t="s">
        <v>58</v>
      </c>
      <c r="G454" s="77" t="s">
        <v>295</v>
      </c>
      <c r="H454" s="77" t="s">
        <v>295</v>
      </c>
      <c r="I454" s="77"/>
      <c r="J454" s="110" t="s">
        <v>93</v>
      </c>
      <c r="K454" s="77">
        <v>2021</v>
      </c>
      <c r="L454" s="78">
        <v>1</v>
      </c>
      <c r="M454" s="79">
        <v>30000</v>
      </c>
      <c r="N454" s="79">
        <f>Table47910[[#This Row],[Expected Revenue]]*Table47910[[#This Row],[Probability]]</f>
        <v>30000</v>
      </c>
      <c r="O454" s="78">
        <v>0.3</v>
      </c>
      <c r="P454" s="86">
        <v>4500</v>
      </c>
      <c r="Q454" s="210" t="s">
        <v>3159</v>
      </c>
    </row>
    <row r="455" spans="1:17" hidden="1">
      <c r="A455" s="173"/>
      <c r="B455" s="76" t="s">
        <v>3224</v>
      </c>
      <c r="C455" s="77" t="s">
        <v>57</v>
      </c>
      <c r="D455" s="102" t="s">
        <v>113</v>
      </c>
      <c r="E455" s="77" t="s">
        <v>251</v>
      </c>
      <c r="F455" s="77" t="s">
        <v>58</v>
      </c>
      <c r="G455" s="77" t="s">
        <v>297</v>
      </c>
      <c r="H455" s="77" t="s">
        <v>297</v>
      </c>
      <c r="I455" s="76"/>
      <c r="J455" s="110" t="s">
        <v>230</v>
      </c>
      <c r="K455" s="77">
        <v>2021</v>
      </c>
      <c r="L455" s="78">
        <v>1</v>
      </c>
      <c r="M455" s="79">
        <v>27469</v>
      </c>
      <c r="N455" s="86">
        <v>27469</v>
      </c>
      <c r="O455" s="78">
        <v>0.3</v>
      </c>
      <c r="P455" s="86">
        <v>8240.6999999999989</v>
      </c>
      <c r="Q455" s="210"/>
    </row>
    <row r="456" spans="1:17" hidden="1">
      <c r="A456" s="75"/>
      <c r="B456" s="76" t="s">
        <v>104</v>
      </c>
      <c r="C456" s="77" t="s">
        <v>57</v>
      </c>
      <c r="D456" s="102" t="s">
        <v>91</v>
      </c>
      <c r="E456" s="77" t="s">
        <v>92</v>
      </c>
      <c r="F456" s="77" t="s">
        <v>58</v>
      </c>
      <c r="G456" s="77" t="s">
        <v>297</v>
      </c>
      <c r="H456" s="77" t="s">
        <v>297</v>
      </c>
      <c r="I456" s="77"/>
      <c r="J456" s="110" t="s">
        <v>230</v>
      </c>
      <c r="K456" s="77">
        <v>2021</v>
      </c>
      <c r="L456" s="78">
        <v>1</v>
      </c>
      <c r="M456" s="79">
        <v>6810</v>
      </c>
      <c r="N456" s="79">
        <v>6810</v>
      </c>
      <c r="O456" s="78">
        <v>0.3</v>
      </c>
      <c r="P456" s="79">
        <v>2043</v>
      </c>
      <c r="Q456" s="209"/>
    </row>
    <row r="457" spans="1:17" hidden="1">
      <c r="A457" s="75"/>
      <c r="B457" s="76" t="s">
        <v>137</v>
      </c>
      <c r="C457" s="77" t="s">
        <v>57</v>
      </c>
      <c r="D457" s="102" t="s">
        <v>91</v>
      </c>
      <c r="E457" s="77" t="s">
        <v>92</v>
      </c>
      <c r="F457" s="77" t="s">
        <v>58</v>
      </c>
      <c r="G457" s="77" t="s">
        <v>297</v>
      </c>
      <c r="H457" s="77" t="s">
        <v>297</v>
      </c>
      <c r="I457" s="77"/>
      <c r="J457" s="110" t="s">
        <v>230</v>
      </c>
      <c r="K457" s="77">
        <v>2021</v>
      </c>
      <c r="L457" s="78">
        <v>1</v>
      </c>
      <c r="M457" s="79">
        <v>18810.5</v>
      </c>
      <c r="N457" s="79">
        <v>18810.5</v>
      </c>
      <c r="O457" s="78">
        <v>0.3</v>
      </c>
      <c r="P457" s="79">
        <v>5643.15</v>
      </c>
      <c r="Q457" s="209"/>
    </row>
    <row r="458" spans="1:17">
      <c r="A458" s="75"/>
      <c r="B458" s="256" t="s">
        <v>73</v>
      </c>
      <c r="C458" s="77" t="s">
        <v>57</v>
      </c>
      <c r="D458" s="102" t="s">
        <v>113</v>
      </c>
      <c r="E458" s="77" t="s">
        <v>62</v>
      </c>
      <c r="F458" s="77" t="s">
        <v>58</v>
      </c>
      <c r="G458" s="77" t="s">
        <v>295</v>
      </c>
      <c r="H458" s="77" t="s">
        <v>295</v>
      </c>
      <c r="I458" s="77"/>
      <c r="J458" s="110" t="s">
        <v>93</v>
      </c>
      <c r="K458" s="77">
        <v>2021</v>
      </c>
      <c r="L458" s="78">
        <v>1</v>
      </c>
      <c r="M458" s="79">
        <v>27000</v>
      </c>
      <c r="N458" s="79">
        <f>Table47910[[#This Row],[Expected Revenue]]*Table47910[[#This Row],[Probability]]</f>
        <v>27000</v>
      </c>
      <c r="O458" s="78">
        <v>0.3</v>
      </c>
      <c r="P458" s="86">
        <f>Table47910[[#This Row],[Expected CMR]]*Table47910[[#This Row],[Rev. Based on PROB]]</f>
        <v>8100</v>
      </c>
      <c r="Q458" s="210"/>
    </row>
    <row r="459" spans="1:17" hidden="1">
      <c r="A459" s="75"/>
      <c r="B459" s="76" t="s">
        <v>146</v>
      </c>
      <c r="C459" s="77" t="s">
        <v>57</v>
      </c>
      <c r="D459" s="102" t="s">
        <v>91</v>
      </c>
      <c r="E459" s="77" t="s">
        <v>92</v>
      </c>
      <c r="F459" s="77" t="s">
        <v>58</v>
      </c>
      <c r="G459" s="77" t="s">
        <v>297</v>
      </c>
      <c r="H459" s="77" t="s">
        <v>297</v>
      </c>
      <c r="I459" s="77"/>
      <c r="J459" s="110" t="s">
        <v>230</v>
      </c>
      <c r="K459" s="77">
        <v>2021</v>
      </c>
      <c r="L459" s="78">
        <v>1</v>
      </c>
      <c r="M459" s="79">
        <v>18810.5</v>
      </c>
      <c r="N459" s="79">
        <v>18810.5</v>
      </c>
      <c r="O459" s="78">
        <v>0.3</v>
      </c>
      <c r="P459" s="79">
        <v>5643.15</v>
      </c>
      <c r="Q459" s="209"/>
    </row>
    <row r="460" spans="1:17" hidden="1">
      <c r="A460" s="173"/>
      <c r="B460" s="76" t="s">
        <v>296</v>
      </c>
      <c r="C460" s="77"/>
      <c r="D460" s="76"/>
      <c r="E460" s="77" t="s">
        <v>251</v>
      </c>
      <c r="F460" s="77"/>
      <c r="G460" s="77" t="s">
        <v>3181</v>
      </c>
      <c r="H460" s="77" t="s">
        <v>296</v>
      </c>
      <c r="I460" s="76"/>
      <c r="J460" s="110" t="s">
        <v>230</v>
      </c>
      <c r="K460" s="77">
        <v>2021</v>
      </c>
      <c r="L460" s="78">
        <v>1</v>
      </c>
      <c r="M460" s="79">
        <v>150000</v>
      </c>
      <c r="N460" s="79">
        <v>100000</v>
      </c>
      <c r="O460" s="78">
        <v>0.3</v>
      </c>
      <c r="P460" s="86">
        <v>45000</v>
      </c>
      <c r="Q460" s="210"/>
    </row>
    <row r="461" spans="1:17" hidden="1">
      <c r="A461" s="75"/>
      <c r="B461" s="76" t="s">
        <v>114</v>
      </c>
      <c r="C461" s="77" t="s">
        <v>57</v>
      </c>
      <c r="D461" s="102" t="s">
        <v>91</v>
      </c>
      <c r="E461" s="77" t="s">
        <v>92</v>
      </c>
      <c r="F461" s="77" t="s">
        <v>58</v>
      </c>
      <c r="G461" s="77" t="s">
        <v>297</v>
      </c>
      <c r="H461" s="77" t="s">
        <v>297</v>
      </c>
      <c r="I461" s="77"/>
      <c r="J461" s="110" t="s">
        <v>230</v>
      </c>
      <c r="K461" s="77">
        <v>2021</v>
      </c>
      <c r="L461" s="78">
        <v>1</v>
      </c>
      <c r="M461" s="79">
        <v>18810.5</v>
      </c>
      <c r="N461" s="79">
        <v>18810.5</v>
      </c>
      <c r="O461" s="78">
        <v>0.3</v>
      </c>
      <c r="P461" s="79">
        <v>5643.15</v>
      </c>
      <c r="Q461" s="209"/>
    </row>
    <row r="462" spans="1:17" hidden="1">
      <c r="A462" s="75"/>
      <c r="B462" s="76" t="s">
        <v>122</v>
      </c>
      <c r="C462" s="77" t="s">
        <v>57</v>
      </c>
      <c r="D462" s="102" t="s">
        <v>107</v>
      </c>
      <c r="E462" s="77" t="s">
        <v>291</v>
      </c>
      <c r="F462" s="77" t="s">
        <v>58</v>
      </c>
      <c r="G462" s="77" t="s">
        <v>297</v>
      </c>
      <c r="H462" s="77" t="s">
        <v>297</v>
      </c>
      <c r="I462" s="77"/>
      <c r="J462" s="110" t="s">
        <v>230</v>
      </c>
      <c r="K462" s="77">
        <v>2021</v>
      </c>
      <c r="L462" s="78">
        <v>1</v>
      </c>
      <c r="M462" s="79">
        <v>15000</v>
      </c>
      <c r="N462" s="79">
        <v>15000</v>
      </c>
      <c r="O462" s="78">
        <v>0.3</v>
      </c>
      <c r="P462" s="79">
        <v>4500</v>
      </c>
      <c r="Q462" s="209"/>
    </row>
    <row r="463" spans="1:17" hidden="1">
      <c r="A463" s="173"/>
      <c r="B463" s="76" t="s">
        <v>3058</v>
      </c>
      <c r="C463" s="77" t="s">
        <v>3059</v>
      </c>
      <c r="D463" s="102" t="s">
        <v>3176</v>
      </c>
      <c r="E463" s="77" t="s">
        <v>291</v>
      </c>
      <c r="F463" s="77" t="s">
        <v>58</v>
      </c>
      <c r="G463" s="77" t="s">
        <v>297</v>
      </c>
      <c r="H463" s="77" t="s">
        <v>297</v>
      </c>
      <c r="I463" s="77"/>
      <c r="J463" s="110" t="s">
        <v>230</v>
      </c>
      <c r="K463" s="77">
        <v>2021</v>
      </c>
      <c r="L463" s="78">
        <v>1</v>
      </c>
      <c r="M463" s="79">
        <v>58784.22</v>
      </c>
      <c r="N463" s="86">
        <v>58784.22</v>
      </c>
      <c r="O463" s="78">
        <v>0.3</v>
      </c>
      <c r="P463" s="86">
        <v>17635.266</v>
      </c>
      <c r="Q463" s="210"/>
    </row>
    <row r="464" spans="1:17" hidden="1">
      <c r="A464" s="173"/>
      <c r="B464" s="76" t="s">
        <v>137</v>
      </c>
      <c r="C464" s="77" t="s">
        <v>3059</v>
      </c>
      <c r="D464" s="102" t="s">
        <v>3176</v>
      </c>
      <c r="E464" s="77" t="s">
        <v>291</v>
      </c>
      <c r="F464" s="77" t="s">
        <v>58</v>
      </c>
      <c r="G464" s="77" t="s">
        <v>297</v>
      </c>
      <c r="H464" s="77" t="s">
        <v>297</v>
      </c>
      <c r="I464" s="77"/>
      <c r="J464" s="110" t="s">
        <v>139</v>
      </c>
      <c r="K464" s="77">
        <v>2021</v>
      </c>
      <c r="L464" s="78">
        <v>1</v>
      </c>
      <c r="M464" s="79">
        <v>59378</v>
      </c>
      <c r="N464" s="86">
        <v>59378</v>
      </c>
      <c r="O464" s="78">
        <v>0.3</v>
      </c>
      <c r="P464" s="86">
        <v>17813.399999999998</v>
      </c>
      <c r="Q464" s="210"/>
    </row>
    <row r="465" spans="1:17" hidden="1">
      <c r="A465" s="75"/>
      <c r="B465" s="76" t="s">
        <v>122</v>
      </c>
      <c r="C465" s="77" t="s">
        <v>57</v>
      </c>
      <c r="D465" s="102" t="s">
        <v>71</v>
      </c>
      <c r="E465" s="77" t="s">
        <v>71</v>
      </c>
      <c r="F465" s="77" t="s">
        <v>58</v>
      </c>
      <c r="G465" s="77" t="s">
        <v>297</v>
      </c>
      <c r="H465" s="77" t="s">
        <v>297</v>
      </c>
      <c r="I465" s="77"/>
      <c r="J465" s="110" t="s">
        <v>230</v>
      </c>
      <c r="K465" s="77">
        <v>2021</v>
      </c>
      <c r="L465" s="78">
        <v>1</v>
      </c>
      <c r="M465" s="79">
        <v>30000</v>
      </c>
      <c r="N465" s="79">
        <v>30000</v>
      </c>
      <c r="O465" s="78">
        <v>0.3</v>
      </c>
      <c r="P465" s="79">
        <v>9000</v>
      </c>
      <c r="Q465" s="209"/>
    </row>
    <row r="466" spans="1:17">
      <c r="A466" s="75"/>
      <c r="B466" s="256" t="s">
        <v>73</v>
      </c>
      <c r="C466" s="77" t="s">
        <v>57</v>
      </c>
      <c r="D466" s="102" t="s">
        <v>1236</v>
      </c>
      <c r="E466" s="77" t="s">
        <v>92</v>
      </c>
      <c r="F466" s="77" t="s">
        <v>58</v>
      </c>
      <c r="G466" s="77" t="s">
        <v>295</v>
      </c>
      <c r="H466" s="77" t="s">
        <v>295</v>
      </c>
      <c r="I466" s="77"/>
      <c r="J466" s="110" t="s">
        <v>93</v>
      </c>
      <c r="K466" s="77">
        <v>2021</v>
      </c>
      <c r="L466" s="78">
        <v>1</v>
      </c>
      <c r="M466" s="79">
        <v>24000</v>
      </c>
      <c r="N466" s="79">
        <f>Table47910[[#This Row],[Expected Revenue]]*Table47910[[#This Row],[Probability]]</f>
        <v>24000</v>
      </c>
      <c r="O466" s="78">
        <v>0.3</v>
      </c>
      <c r="P466" s="86">
        <f>Table47910[[#This Row],[Expected CMR]]*Table47910[[#This Row],[Rev. Based on PROB]]</f>
        <v>7200</v>
      </c>
      <c r="Q466" s="210"/>
    </row>
    <row r="467" spans="1:17">
      <c r="A467" s="75"/>
      <c r="B467" s="256" t="s">
        <v>73</v>
      </c>
      <c r="C467" s="77" t="s">
        <v>57</v>
      </c>
      <c r="D467" s="102" t="s">
        <v>91</v>
      </c>
      <c r="E467" s="77" t="s">
        <v>92</v>
      </c>
      <c r="F467" s="77" t="s">
        <v>58</v>
      </c>
      <c r="G467" s="77" t="s">
        <v>295</v>
      </c>
      <c r="H467" s="77" t="s">
        <v>295</v>
      </c>
      <c r="I467" s="77"/>
      <c r="J467" s="110" t="s">
        <v>93</v>
      </c>
      <c r="K467" s="77">
        <v>2021</v>
      </c>
      <c r="L467" s="78">
        <v>1</v>
      </c>
      <c r="M467" s="79">
        <v>18810.5</v>
      </c>
      <c r="N467" s="79">
        <f>Table47910[[#This Row],[Expected Revenue]]*Table47910[[#This Row],[Probability]]</f>
        <v>18810.5</v>
      </c>
      <c r="O467" s="78">
        <v>0.3</v>
      </c>
      <c r="P467" s="86">
        <f>Table47910[[#This Row],[Expected CMR]]*Table47910[[#This Row],[Rev. Based on PROB]]</f>
        <v>5643.15</v>
      </c>
      <c r="Q467" s="210"/>
    </row>
    <row r="468" spans="1:17" hidden="1">
      <c r="A468" s="173"/>
      <c r="B468" s="76" t="s">
        <v>3058</v>
      </c>
      <c r="C468" s="77" t="s">
        <v>3059</v>
      </c>
      <c r="D468" s="102" t="s">
        <v>3178</v>
      </c>
      <c r="E468" s="77" t="s">
        <v>92</v>
      </c>
      <c r="F468" s="77" t="s">
        <v>58</v>
      </c>
      <c r="G468" s="77" t="s">
        <v>297</v>
      </c>
      <c r="H468" s="77" t="s">
        <v>297</v>
      </c>
      <c r="I468" s="77"/>
      <c r="J468" s="110" t="s">
        <v>139</v>
      </c>
      <c r="K468" s="77">
        <v>2021</v>
      </c>
      <c r="L468" s="78">
        <v>1</v>
      </c>
      <c r="M468" s="79">
        <v>18622.271250000002</v>
      </c>
      <c r="N468" s="86">
        <v>18622.271250000002</v>
      </c>
      <c r="O468" s="78">
        <v>0.3</v>
      </c>
      <c r="P468" s="86">
        <v>5586.6813750000001</v>
      </c>
      <c r="Q468" s="210"/>
    </row>
    <row r="469" spans="1:17" hidden="1">
      <c r="A469" s="173"/>
      <c r="B469" s="76" t="s">
        <v>130</v>
      </c>
      <c r="C469" s="77" t="s">
        <v>3059</v>
      </c>
      <c r="D469" s="102" t="s">
        <v>3178</v>
      </c>
      <c r="E469" s="77" t="s">
        <v>92</v>
      </c>
      <c r="F469" s="77" t="s">
        <v>58</v>
      </c>
      <c r="G469" s="77" t="s">
        <v>297</v>
      </c>
      <c r="H469" s="77" t="s">
        <v>297</v>
      </c>
      <c r="I469" s="77"/>
      <c r="J469" s="110" t="s">
        <v>139</v>
      </c>
      <c r="K469" s="77">
        <v>2021</v>
      </c>
      <c r="L469" s="78">
        <v>1</v>
      </c>
      <c r="M469" s="79">
        <v>18622.271250000002</v>
      </c>
      <c r="N469" s="86">
        <v>18622.271250000002</v>
      </c>
      <c r="O469" s="78">
        <v>0.3</v>
      </c>
      <c r="P469" s="86">
        <v>5586.6813750000001</v>
      </c>
      <c r="Q469" s="210"/>
    </row>
    <row r="470" spans="1:17" hidden="1">
      <c r="A470" s="173"/>
      <c r="B470" s="76" t="s">
        <v>137</v>
      </c>
      <c r="C470" s="77" t="s">
        <v>3059</v>
      </c>
      <c r="D470" s="102" t="s">
        <v>3178</v>
      </c>
      <c r="E470" s="77" t="s">
        <v>92</v>
      </c>
      <c r="F470" s="77" t="s">
        <v>58</v>
      </c>
      <c r="G470" s="77" t="s">
        <v>297</v>
      </c>
      <c r="H470" s="77" t="s">
        <v>297</v>
      </c>
      <c r="I470" s="77"/>
      <c r="J470" s="110" t="s">
        <v>139</v>
      </c>
      <c r="K470" s="77">
        <v>2021</v>
      </c>
      <c r="L470" s="78">
        <v>1</v>
      </c>
      <c r="M470" s="79">
        <v>18622.271250000002</v>
      </c>
      <c r="N470" s="86">
        <v>18622.271250000002</v>
      </c>
      <c r="O470" s="78">
        <v>0.3</v>
      </c>
      <c r="P470" s="86">
        <v>5586.6813750000001</v>
      </c>
      <c r="Q470" s="210"/>
    </row>
    <row r="471" spans="1:17" hidden="1">
      <c r="A471" s="173"/>
      <c r="B471" s="76" t="s">
        <v>296</v>
      </c>
      <c r="C471" s="77"/>
      <c r="D471" s="102"/>
      <c r="E471" s="77" t="s">
        <v>251</v>
      </c>
      <c r="F471" s="77" t="s">
        <v>58</v>
      </c>
      <c r="G471" s="77" t="s">
        <v>3181</v>
      </c>
      <c r="H471" s="77" t="s">
        <v>296</v>
      </c>
      <c r="I471" s="76"/>
      <c r="J471" s="110" t="s">
        <v>139</v>
      </c>
      <c r="K471" s="77">
        <v>2021</v>
      </c>
      <c r="L471" s="78">
        <v>1</v>
      </c>
      <c r="M471" s="79">
        <v>150000</v>
      </c>
      <c r="N471" s="79">
        <v>100000</v>
      </c>
      <c r="O471" s="78">
        <v>0.3</v>
      </c>
      <c r="P471" s="86">
        <v>45000</v>
      </c>
      <c r="Q471" s="210"/>
    </row>
    <row r="472" spans="1:17" hidden="1">
      <c r="A472" s="173"/>
      <c r="B472" s="76" t="s">
        <v>114</v>
      </c>
      <c r="C472" s="77" t="s">
        <v>3059</v>
      </c>
      <c r="D472" s="102" t="s">
        <v>3178</v>
      </c>
      <c r="E472" s="77" t="s">
        <v>92</v>
      </c>
      <c r="F472" s="77" t="s">
        <v>58</v>
      </c>
      <c r="G472" s="77" t="s">
        <v>297</v>
      </c>
      <c r="H472" s="77" t="s">
        <v>297</v>
      </c>
      <c r="I472" s="76"/>
      <c r="J472" s="110" t="s">
        <v>230</v>
      </c>
      <c r="K472" s="77">
        <v>2021</v>
      </c>
      <c r="L472" s="78">
        <v>1</v>
      </c>
      <c r="M472" s="79">
        <v>5000</v>
      </c>
      <c r="N472" s="86">
        <v>5000</v>
      </c>
      <c r="O472" s="78">
        <v>0.3</v>
      </c>
      <c r="P472" s="86">
        <v>1500</v>
      </c>
      <c r="Q472" s="210"/>
    </row>
    <row r="473" spans="1:17" hidden="1">
      <c r="A473" s="173"/>
      <c r="B473" s="76" t="s">
        <v>122</v>
      </c>
      <c r="C473" s="77" t="s">
        <v>57</v>
      </c>
      <c r="D473" s="102" t="s">
        <v>3199</v>
      </c>
      <c r="E473" s="77" t="s">
        <v>92</v>
      </c>
      <c r="F473" s="77" t="s">
        <v>58</v>
      </c>
      <c r="G473" s="77" t="s">
        <v>297</v>
      </c>
      <c r="H473" s="77" t="s">
        <v>297</v>
      </c>
      <c r="I473" s="77"/>
      <c r="J473" s="110" t="s">
        <v>230</v>
      </c>
      <c r="K473" s="77">
        <v>2021</v>
      </c>
      <c r="L473" s="78">
        <v>1</v>
      </c>
      <c r="M473" s="79">
        <v>18000</v>
      </c>
      <c r="N473" s="79">
        <v>18000</v>
      </c>
      <c r="O473" s="78">
        <v>0.3</v>
      </c>
      <c r="P473" s="79">
        <v>8344.7999999999993</v>
      </c>
      <c r="Q473" s="209"/>
    </row>
    <row r="474" spans="1:17" hidden="1">
      <c r="A474" s="173"/>
      <c r="B474" s="76" t="s">
        <v>137</v>
      </c>
      <c r="C474" s="77" t="s">
        <v>3059</v>
      </c>
      <c r="D474" s="102" t="s">
        <v>3182</v>
      </c>
      <c r="E474" s="77" t="s">
        <v>71</v>
      </c>
      <c r="F474" s="77" t="s">
        <v>58</v>
      </c>
      <c r="G474" s="77" t="s">
        <v>297</v>
      </c>
      <c r="H474" s="77" t="s">
        <v>297</v>
      </c>
      <c r="I474" s="76"/>
      <c r="J474" s="110" t="s">
        <v>139</v>
      </c>
      <c r="K474" s="77">
        <v>2021</v>
      </c>
      <c r="L474" s="78">
        <v>1</v>
      </c>
      <c r="M474" s="79">
        <v>30939</v>
      </c>
      <c r="N474" s="86">
        <v>30939</v>
      </c>
      <c r="O474" s="78">
        <v>0.3</v>
      </c>
      <c r="P474" s="86">
        <v>9281.6999999999989</v>
      </c>
      <c r="Q474" s="210"/>
    </row>
    <row r="475" spans="1:17" hidden="1">
      <c r="A475" s="173"/>
      <c r="B475" s="76" t="s">
        <v>117</v>
      </c>
      <c r="C475" s="77" t="s">
        <v>3059</v>
      </c>
      <c r="D475" s="102" t="s">
        <v>3176</v>
      </c>
      <c r="E475" s="77" t="s">
        <v>291</v>
      </c>
      <c r="F475" s="77" t="s">
        <v>58</v>
      </c>
      <c r="G475" s="77" t="s">
        <v>297</v>
      </c>
      <c r="H475" s="77" t="s">
        <v>297</v>
      </c>
      <c r="I475" s="76"/>
      <c r="J475" s="110" t="s">
        <v>139</v>
      </c>
      <c r="K475" s="77">
        <v>2021</v>
      </c>
      <c r="L475" s="78">
        <v>1</v>
      </c>
      <c r="M475" s="79">
        <v>35000</v>
      </c>
      <c r="N475" s="86">
        <v>35000</v>
      </c>
      <c r="O475" s="78"/>
      <c r="P475" s="86">
        <v>0</v>
      </c>
      <c r="Q475" s="210"/>
    </row>
    <row r="476" spans="1:17" hidden="1">
      <c r="A476" s="173"/>
      <c r="B476" s="76"/>
      <c r="C476" s="77"/>
      <c r="D476" s="102"/>
      <c r="E476" s="77"/>
      <c r="F476" s="77"/>
      <c r="G476" s="77"/>
      <c r="H476" s="77"/>
      <c r="I476" s="76"/>
      <c r="J476" s="110"/>
      <c r="K476" s="77"/>
      <c r="L476" s="77"/>
      <c r="M476" s="77"/>
      <c r="N476" s="86">
        <f>Table47910[[#This Row],[Expected Revenue]]*Table47910[[#This Row],[Probability]]</f>
        <v>0</v>
      </c>
      <c r="O476" s="78"/>
      <c r="P476" s="86">
        <f>Table47910[[#This Row],[Expected Revenue]]*Table47910[[#This Row],[Expected CMR]]</f>
        <v>0</v>
      </c>
      <c r="Q476" s="210"/>
    </row>
    <row r="477" spans="1:17" hidden="1">
      <c r="A477" s="173"/>
      <c r="B477" s="76"/>
      <c r="C477" s="77"/>
      <c r="D477" s="102"/>
      <c r="E477" s="77"/>
      <c r="F477" s="77"/>
      <c r="G477" s="77"/>
      <c r="H477" s="77"/>
      <c r="I477" s="76"/>
      <c r="J477" s="110"/>
      <c r="K477" s="77"/>
      <c r="L477" s="77"/>
      <c r="M477" s="77"/>
      <c r="N477" s="86">
        <f>Table47910[[#This Row],[Expected Revenue]]*Table47910[[#This Row],[Probability]]</f>
        <v>0</v>
      </c>
      <c r="O477" s="78"/>
      <c r="P477" s="86">
        <f>Table47910[[#This Row],[Expected Revenue]]*Table47910[[#This Row],[Expected CMR]]</f>
        <v>0</v>
      </c>
      <c r="Q477" s="210"/>
    </row>
    <row r="478" spans="1:17" hidden="1">
      <c r="A478" s="173"/>
      <c r="B478" s="76"/>
      <c r="C478" s="77"/>
      <c r="D478" s="102"/>
      <c r="E478" s="77"/>
      <c r="F478" s="77"/>
      <c r="G478" s="77"/>
      <c r="H478" s="77"/>
      <c r="I478" s="76"/>
      <c r="J478" s="110"/>
      <c r="K478" s="77"/>
      <c r="L478" s="77"/>
      <c r="M478" s="77"/>
      <c r="N478" s="86">
        <f>Table47910[[#This Row],[Expected Revenue]]*Table47910[[#This Row],[Probability]]</f>
        <v>0</v>
      </c>
      <c r="O478" s="78"/>
      <c r="P478" s="86">
        <f>Table47910[[#This Row],[Expected Revenue]]*Table47910[[#This Row],[Expected CMR]]</f>
        <v>0</v>
      </c>
      <c r="Q478" s="210"/>
    </row>
    <row r="479" spans="1:17" hidden="1">
      <c r="A479" s="173"/>
      <c r="B479" s="76"/>
      <c r="C479" s="77"/>
      <c r="D479" s="102"/>
      <c r="E479" s="77"/>
      <c r="F479" s="77"/>
      <c r="G479" s="77"/>
      <c r="H479" s="77"/>
      <c r="I479" s="76"/>
      <c r="J479" s="110"/>
      <c r="K479" s="77"/>
      <c r="L479" s="77"/>
      <c r="M479" s="77"/>
      <c r="N479" s="86">
        <f>Table47910[[#This Row],[Expected Revenue]]*Table47910[[#This Row],[Probability]]</f>
        <v>0</v>
      </c>
      <c r="O479" s="78"/>
      <c r="P479" s="86">
        <f>Table47910[[#This Row],[Expected Revenue]]*Table47910[[#This Row],[Expected CMR]]</f>
        <v>0</v>
      </c>
      <c r="Q479" s="210"/>
    </row>
    <row r="480" spans="1:17" hidden="1">
      <c r="A480" s="173"/>
      <c r="B480" s="76"/>
      <c r="C480" s="77"/>
      <c r="D480" s="102"/>
      <c r="E480" s="77"/>
      <c r="F480" s="77"/>
      <c r="G480" s="77"/>
      <c r="H480" s="77"/>
      <c r="I480" s="76"/>
      <c r="J480" s="110"/>
      <c r="K480" s="77"/>
      <c r="L480" s="77"/>
      <c r="M480" s="77"/>
      <c r="N480" s="86">
        <f>Table47910[[#This Row],[Expected Revenue]]*Table47910[[#This Row],[Probability]]</f>
        <v>0</v>
      </c>
      <c r="O480" s="78"/>
      <c r="P480" s="86">
        <f>Table47910[[#This Row],[Expected Revenue]]*Table47910[[#This Row],[Expected CMR]]</f>
        <v>0</v>
      </c>
      <c r="Q480" s="210"/>
    </row>
    <row r="481" spans="1:17" hidden="1">
      <c r="A481" s="173"/>
      <c r="B481" s="76"/>
      <c r="C481" s="77"/>
      <c r="D481" s="102"/>
      <c r="E481" s="77"/>
      <c r="F481" s="77"/>
      <c r="G481" s="77"/>
      <c r="H481" s="77"/>
      <c r="I481" s="76"/>
      <c r="J481" s="110"/>
      <c r="K481" s="77"/>
      <c r="L481" s="77"/>
      <c r="M481" s="77"/>
      <c r="N481" s="86">
        <f>Table47910[[#This Row],[Expected Revenue]]*Table47910[[#This Row],[Probability]]</f>
        <v>0</v>
      </c>
      <c r="O481" s="78"/>
      <c r="P481" s="86">
        <f>Table47910[[#This Row],[Expected Revenue]]*Table47910[[#This Row],[Expected CMR]]</f>
        <v>0</v>
      </c>
      <c r="Q481" s="210"/>
    </row>
    <row r="482" spans="1:17" hidden="1">
      <c r="A482" s="173"/>
      <c r="B482" s="76"/>
      <c r="C482" s="77"/>
      <c r="D482" s="102"/>
      <c r="E482" s="77"/>
      <c r="F482" s="77"/>
      <c r="G482" s="77"/>
      <c r="H482" s="77"/>
      <c r="I482" s="76"/>
      <c r="J482" s="110"/>
      <c r="K482" s="77"/>
      <c r="L482" s="77"/>
      <c r="M482" s="77"/>
      <c r="N482" s="86">
        <f>Table47910[[#This Row],[Expected Revenue]]*Table47910[[#This Row],[Probability]]</f>
        <v>0</v>
      </c>
      <c r="O482" s="78"/>
      <c r="P482" s="86">
        <f>Table47910[[#This Row],[Expected Revenue]]*Table47910[[#This Row],[Expected CMR]]</f>
        <v>0</v>
      </c>
      <c r="Q482" s="210"/>
    </row>
    <row r="483" spans="1:17" hidden="1">
      <c r="A483" s="173"/>
      <c r="B483" s="76"/>
      <c r="C483" s="77"/>
      <c r="D483" s="102"/>
      <c r="E483" s="77"/>
      <c r="F483" s="77"/>
      <c r="G483" s="77"/>
      <c r="H483" s="77"/>
      <c r="I483" s="76"/>
      <c r="J483" s="110"/>
      <c r="K483" s="77"/>
      <c r="L483" s="77"/>
      <c r="M483" s="77"/>
      <c r="N483" s="86">
        <f>Table47910[[#This Row],[Expected Revenue]]*Table47910[[#This Row],[Probability]]</f>
        <v>0</v>
      </c>
      <c r="O483" s="78"/>
      <c r="P483" s="86">
        <f>Table47910[[#This Row],[Expected Revenue]]*Table47910[[#This Row],[Expected CMR]]</f>
        <v>0</v>
      </c>
      <c r="Q483" s="210"/>
    </row>
    <row r="484" spans="1:17" hidden="1">
      <c r="A484" s="173"/>
      <c r="B484" s="76"/>
      <c r="C484" s="77"/>
      <c r="D484" s="102"/>
      <c r="E484" s="77"/>
      <c r="F484" s="77"/>
      <c r="G484" s="77"/>
      <c r="H484" s="77"/>
      <c r="I484" s="76"/>
      <c r="J484" s="110"/>
      <c r="K484" s="77"/>
      <c r="L484" s="77"/>
      <c r="M484" s="77"/>
      <c r="N484" s="86">
        <f>Table47910[[#This Row],[Expected Revenue]]*Table47910[[#This Row],[Probability]]</f>
        <v>0</v>
      </c>
      <c r="O484" s="78"/>
      <c r="P484" s="86">
        <f>Table47910[[#This Row],[Expected Revenue]]*Table47910[[#This Row],[Expected CMR]]</f>
        <v>0</v>
      </c>
      <c r="Q484" s="210"/>
    </row>
    <row r="485" spans="1:17" hidden="1">
      <c r="A485" s="173"/>
      <c r="B485" s="76"/>
      <c r="C485" s="77"/>
      <c r="D485" s="102"/>
      <c r="E485" s="77"/>
      <c r="F485" s="77"/>
      <c r="G485" s="77"/>
      <c r="H485" s="77"/>
      <c r="I485" s="76"/>
      <c r="J485" s="110"/>
      <c r="K485" s="77"/>
      <c r="L485" s="77"/>
      <c r="M485" s="77"/>
      <c r="N485" s="86">
        <f>Table47910[[#This Row],[Expected Revenue]]*Table47910[[#This Row],[Probability]]</f>
        <v>0</v>
      </c>
      <c r="O485" s="78"/>
      <c r="P485" s="86">
        <f>Table47910[[#This Row],[Expected Revenue]]*Table47910[[#This Row],[Expected CMR]]</f>
        <v>0</v>
      </c>
      <c r="Q485" s="210"/>
    </row>
    <row r="486" spans="1:17" hidden="1">
      <c r="A486" s="173"/>
      <c r="B486" s="76"/>
      <c r="C486" s="77"/>
      <c r="D486" s="102"/>
      <c r="E486" s="77"/>
      <c r="F486" s="77"/>
      <c r="G486" s="77"/>
      <c r="H486" s="77"/>
      <c r="I486" s="76"/>
      <c r="J486" s="110"/>
      <c r="K486" s="77"/>
      <c r="L486" s="77"/>
      <c r="M486" s="77"/>
      <c r="N486" s="86">
        <f>Table47910[[#This Row],[Expected Revenue]]*Table47910[[#This Row],[Probability]]</f>
        <v>0</v>
      </c>
      <c r="O486" s="78"/>
      <c r="P486" s="86">
        <f>Table47910[[#This Row],[Expected Revenue]]*Table47910[[#This Row],[Expected CMR]]</f>
        <v>0</v>
      </c>
      <c r="Q486" s="210"/>
    </row>
    <row r="487" spans="1:17" hidden="1">
      <c r="A487" s="173"/>
      <c r="B487" s="76"/>
      <c r="C487" s="77"/>
      <c r="D487" s="102"/>
      <c r="E487" s="77"/>
      <c r="F487" s="77"/>
      <c r="G487" s="77"/>
      <c r="H487" s="77"/>
      <c r="I487" s="76"/>
      <c r="J487" s="110"/>
      <c r="K487" s="77"/>
      <c r="L487" s="77"/>
      <c r="M487" s="77"/>
      <c r="N487" s="86">
        <f>Table47910[[#This Row],[Expected Revenue]]*Table47910[[#This Row],[Probability]]</f>
        <v>0</v>
      </c>
      <c r="O487" s="78"/>
      <c r="P487" s="86">
        <f>Table47910[[#This Row],[Expected Revenue]]*Table47910[[#This Row],[Expected CMR]]</f>
        <v>0</v>
      </c>
      <c r="Q487" s="210"/>
    </row>
    <row r="488" spans="1:17" hidden="1">
      <c r="A488" s="173"/>
      <c r="B488" s="76"/>
      <c r="C488" s="77"/>
      <c r="D488" s="102"/>
      <c r="E488" s="77"/>
      <c r="F488" s="77"/>
      <c r="G488" s="77"/>
      <c r="H488" s="77"/>
      <c r="I488" s="76"/>
      <c r="J488" s="110"/>
      <c r="K488" s="77"/>
      <c r="L488" s="77"/>
      <c r="M488" s="77"/>
      <c r="N488" s="86">
        <f>Table47910[[#This Row],[Expected Revenue]]*Table47910[[#This Row],[Probability]]</f>
        <v>0</v>
      </c>
      <c r="O488" s="78"/>
      <c r="P488" s="86">
        <f>Table47910[[#This Row],[Expected Revenue]]*Table47910[[#This Row],[Expected CMR]]</f>
        <v>0</v>
      </c>
      <c r="Q488" s="210"/>
    </row>
    <row r="489" spans="1:17" hidden="1">
      <c r="A489" s="173"/>
      <c r="B489" s="76"/>
      <c r="C489" s="77"/>
      <c r="D489" s="102"/>
      <c r="E489" s="77"/>
      <c r="F489" s="77"/>
      <c r="G489" s="77"/>
      <c r="H489" s="77"/>
      <c r="I489" s="76"/>
      <c r="J489" s="110"/>
      <c r="K489" s="77"/>
      <c r="L489" s="77"/>
      <c r="M489" s="77"/>
      <c r="N489" s="86">
        <f>Table47910[[#This Row],[Expected Revenue]]*Table47910[[#This Row],[Probability]]</f>
        <v>0</v>
      </c>
      <c r="O489" s="78"/>
      <c r="P489" s="86">
        <f>Table47910[[#This Row],[Expected Revenue]]*Table47910[[#This Row],[Expected CMR]]</f>
        <v>0</v>
      </c>
      <c r="Q489" s="210"/>
    </row>
    <row r="490" spans="1:17" hidden="1">
      <c r="A490" s="173"/>
      <c r="B490" s="76"/>
      <c r="C490" s="77"/>
      <c r="D490" s="102"/>
      <c r="E490" s="77"/>
      <c r="F490" s="77"/>
      <c r="G490" s="77"/>
      <c r="H490" s="77"/>
      <c r="I490" s="76"/>
      <c r="J490" s="110"/>
      <c r="K490" s="77"/>
      <c r="L490" s="77"/>
      <c r="M490" s="77"/>
      <c r="N490" s="86">
        <f>Table47910[[#This Row],[Expected Revenue]]*Table47910[[#This Row],[Probability]]</f>
        <v>0</v>
      </c>
      <c r="O490" s="78"/>
      <c r="P490" s="86">
        <f>Table47910[[#This Row],[Expected Revenue]]*Table47910[[#This Row],[Expected CMR]]</f>
        <v>0</v>
      </c>
      <c r="Q490" s="210"/>
    </row>
    <row r="491" spans="1:17" hidden="1">
      <c r="A491" s="173"/>
      <c r="B491" s="76"/>
      <c r="C491" s="77"/>
      <c r="D491" s="102"/>
      <c r="E491" s="77"/>
      <c r="F491" s="77"/>
      <c r="G491" s="77"/>
      <c r="H491" s="77"/>
      <c r="I491" s="76"/>
      <c r="J491" s="110"/>
      <c r="K491" s="77"/>
      <c r="L491" s="77"/>
      <c r="M491" s="77"/>
      <c r="N491" s="86">
        <f>Table47910[[#This Row],[Expected Revenue]]*Table47910[[#This Row],[Probability]]</f>
        <v>0</v>
      </c>
      <c r="O491" s="78"/>
      <c r="P491" s="86">
        <f>Table47910[[#This Row],[Expected Revenue]]*Table47910[[#This Row],[Expected CMR]]</f>
        <v>0</v>
      </c>
      <c r="Q491" s="210"/>
    </row>
    <row r="492" spans="1:17" hidden="1">
      <c r="A492" s="173"/>
      <c r="B492" s="76"/>
      <c r="C492" s="77"/>
      <c r="D492" s="102"/>
      <c r="E492" s="77"/>
      <c r="F492" s="77"/>
      <c r="G492" s="77"/>
      <c r="H492" s="77"/>
      <c r="I492" s="76"/>
      <c r="J492" s="110"/>
      <c r="K492" s="77"/>
      <c r="L492" s="77"/>
      <c r="M492" s="77"/>
      <c r="N492" s="86">
        <f>Table47910[[#This Row],[Expected Revenue]]*Table47910[[#This Row],[Probability]]</f>
        <v>0</v>
      </c>
      <c r="O492" s="78"/>
      <c r="P492" s="86">
        <f>Table47910[[#This Row],[Expected Revenue]]*Table47910[[#This Row],[Expected CMR]]</f>
        <v>0</v>
      </c>
      <c r="Q492" s="210"/>
    </row>
    <row r="493" spans="1:17" hidden="1">
      <c r="A493" s="173"/>
      <c r="B493" s="76"/>
      <c r="C493" s="77"/>
      <c r="D493" s="102"/>
      <c r="E493" s="77"/>
      <c r="F493" s="77"/>
      <c r="G493" s="77"/>
      <c r="H493" s="77"/>
      <c r="I493" s="76"/>
      <c r="J493" s="110"/>
      <c r="K493" s="77"/>
      <c r="L493" s="77"/>
      <c r="M493" s="77"/>
      <c r="N493" s="86">
        <f>Table47910[[#This Row],[Expected Revenue]]*Table47910[[#This Row],[Probability]]</f>
        <v>0</v>
      </c>
      <c r="O493" s="78"/>
      <c r="P493" s="86">
        <f>Table47910[[#This Row],[Expected Revenue]]*Table47910[[#This Row],[Expected CMR]]</f>
        <v>0</v>
      </c>
      <c r="Q493" s="210"/>
    </row>
    <row r="494" spans="1:17" hidden="1">
      <c r="A494" s="173"/>
      <c r="B494" s="76"/>
      <c r="C494" s="77"/>
      <c r="D494" s="102"/>
      <c r="E494" s="77"/>
      <c r="F494" s="77"/>
      <c r="G494" s="77"/>
      <c r="H494" s="77"/>
      <c r="I494" s="76"/>
      <c r="J494" s="110"/>
      <c r="K494" s="77"/>
      <c r="L494" s="77"/>
      <c r="M494" s="77"/>
      <c r="N494" s="86">
        <f>Table47910[[#This Row],[Expected Revenue]]*Table47910[[#This Row],[Probability]]</f>
        <v>0</v>
      </c>
      <c r="O494" s="78"/>
      <c r="P494" s="86">
        <f>Table47910[[#This Row],[Expected Revenue]]*Table47910[[#This Row],[Expected CMR]]</f>
        <v>0</v>
      </c>
      <c r="Q494" s="210"/>
    </row>
    <row r="495" spans="1:17" hidden="1">
      <c r="A495" s="173"/>
      <c r="B495" s="76"/>
      <c r="C495" s="77"/>
      <c r="D495" s="102"/>
      <c r="E495" s="77"/>
      <c r="F495" s="77"/>
      <c r="G495" s="77"/>
      <c r="H495" s="77"/>
      <c r="I495" s="76"/>
      <c r="J495" s="110"/>
      <c r="K495" s="77"/>
      <c r="L495" s="77"/>
      <c r="M495" s="77"/>
      <c r="N495" s="86">
        <f>Table47910[[#This Row],[Expected Revenue]]*Table47910[[#This Row],[Probability]]</f>
        <v>0</v>
      </c>
      <c r="O495" s="78"/>
      <c r="P495" s="86">
        <f>Table47910[[#This Row],[Expected Revenue]]*Table47910[[#This Row],[Expected CMR]]</f>
        <v>0</v>
      </c>
      <c r="Q495" s="210"/>
    </row>
    <row r="496" spans="1:17" hidden="1">
      <c r="A496" s="173"/>
      <c r="B496" s="76"/>
      <c r="C496" s="77"/>
      <c r="D496" s="102"/>
      <c r="E496" s="77"/>
      <c r="F496" s="77"/>
      <c r="G496" s="77"/>
      <c r="H496" s="77"/>
      <c r="I496" s="76"/>
      <c r="J496" s="110"/>
      <c r="K496" s="77"/>
      <c r="L496" s="77"/>
      <c r="M496" s="77"/>
      <c r="N496" s="86">
        <f>Table47910[[#This Row],[Expected Revenue]]*Table47910[[#This Row],[Probability]]</f>
        <v>0</v>
      </c>
      <c r="O496" s="78"/>
      <c r="P496" s="86">
        <f>Table47910[[#This Row],[Expected Revenue]]*Table47910[[#This Row],[Expected CMR]]</f>
        <v>0</v>
      </c>
      <c r="Q496" s="210"/>
    </row>
    <row r="497" spans="1:17" hidden="1">
      <c r="A497" s="173"/>
      <c r="B497" s="76"/>
      <c r="C497" s="77"/>
      <c r="D497" s="102"/>
      <c r="E497" s="77"/>
      <c r="F497" s="77"/>
      <c r="G497" s="77"/>
      <c r="H497" s="77"/>
      <c r="I497" s="76"/>
      <c r="J497" s="110"/>
      <c r="K497" s="77"/>
      <c r="L497" s="77"/>
      <c r="M497" s="77"/>
      <c r="N497" s="86">
        <f>Table47910[[#This Row],[Expected Revenue]]*Table47910[[#This Row],[Probability]]</f>
        <v>0</v>
      </c>
      <c r="O497" s="78"/>
      <c r="P497" s="86">
        <f>Table47910[[#This Row],[Expected Revenue]]*Table47910[[#This Row],[Expected CMR]]</f>
        <v>0</v>
      </c>
      <c r="Q497" s="210"/>
    </row>
    <row r="498" spans="1:17" hidden="1">
      <c r="A498" s="173"/>
      <c r="B498" s="76"/>
      <c r="C498" s="77"/>
      <c r="D498" s="102"/>
      <c r="E498" s="77"/>
      <c r="F498" s="77"/>
      <c r="G498" s="77"/>
      <c r="H498" s="77"/>
      <c r="I498" s="76"/>
      <c r="J498" s="110"/>
      <c r="K498" s="77"/>
      <c r="L498" s="77"/>
      <c r="M498" s="77"/>
      <c r="N498" s="86">
        <f>Table47910[[#This Row],[Expected Revenue]]*Table47910[[#This Row],[Probability]]</f>
        <v>0</v>
      </c>
      <c r="O498" s="78"/>
      <c r="P498" s="86">
        <f>Table47910[[#This Row],[Expected Revenue]]*Table47910[[#This Row],[Expected CMR]]</f>
        <v>0</v>
      </c>
      <c r="Q498" s="210"/>
    </row>
    <row r="499" spans="1:17" hidden="1">
      <c r="A499" s="173"/>
      <c r="B499" s="76"/>
      <c r="C499" s="77"/>
      <c r="D499" s="102"/>
      <c r="E499" s="77"/>
      <c r="F499" s="77"/>
      <c r="G499" s="77"/>
      <c r="H499" s="77"/>
      <c r="I499" s="76"/>
      <c r="J499" s="110"/>
      <c r="K499" s="77"/>
      <c r="L499" s="77"/>
      <c r="M499" s="77"/>
      <c r="N499" s="86">
        <f>Table47910[[#This Row],[Expected Revenue]]*Table47910[[#This Row],[Probability]]</f>
        <v>0</v>
      </c>
      <c r="O499" s="78"/>
      <c r="P499" s="86">
        <f>Table47910[[#This Row],[Expected Revenue]]*Table47910[[#This Row],[Expected CMR]]</f>
        <v>0</v>
      </c>
      <c r="Q499" s="210"/>
    </row>
    <row r="500" spans="1:17" hidden="1">
      <c r="A500" s="173"/>
      <c r="B500" s="76"/>
      <c r="C500" s="77"/>
      <c r="D500" s="102"/>
      <c r="E500" s="77"/>
      <c r="F500" s="77"/>
      <c r="G500" s="77"/>
      <c r="H500" s="77"/>
      <c r="I500" s="76"/>
      <c r="J500" s="110"/>
      <c r="K500" s="77"/>
      <c r="L500" s="77"/>
      <c r="M500" s="77"/>
      <c r="N500" s="86">
        <f>Table47910[[#This Row],[Expected Revenue]]*Table47910[[#This Row],[Probability]]</f>
        <v>0</v>
      </c>
      <c r="O500" s="78"/>
      <c r="P500" s="86">
        <f>Table47910[[#This Row],[Expected Revenue]]*Table47910[[#This Row],[Expected CMR]]</f>
        <v>0</v>
      </c>
      <c r="Q500" s="210"/>
    </row>
    <row r="501" spans="1:17" hidden="1">
      <c r="A501" s="173"/>
      <c r="B501" s="76"/>
      <c r="C501" s="77"/>
      <c r="D501" s="102"/>
      <c r="E501" s="77"/>
      <c r="F501" s="77"/>
      <c r="G501" s="77"/>
      <c r="H501" s="77"/>
      <c r="I501" s="76"/>
      <c r="J501" s="110"/>
      <c r="K501" s="77"/>
      <c r="L501" s="77"/>
      <c r="M501" s="77"/>
      <c r="N501" s="86">
        <f>Table47910[[#This Row],[Expected Revenue]]*Table47910[[#This Row],[Probability]]</f>
        <v>0</v>
      </c>
      <c r="O501" s="78"/>
      <c r="P501" s="86">
        <f>Table47910[[#This Row],[Expected Revenue]]*Table47910[[#This Row],[Expected CMR]]</f>
        <v>0</v>
      </c>
      <c r="Q501" s="210"/>
    </row>
    <row r="502" spans="1:17" hidden="1">
      <c r="A502" s="173"/>
      <c r="B502" s="76"/>
      <c r="C502" s="77"/>
      <c r="D502" s="102"/>
      <c r="E502" s="77"/>
      <c r="F502" s="77"/>
      <c r="G502" s="77"/>
      <c r="H502" s="77"/>
      <c r="I502" s="76"/>
      <c r="J502" s="110"/>
      <c r="K502" s="77"/>
      <c r="L502" s="77"/>
      <c r="M502" s="77"/>
      <c r="N502" s="86">
        <f>Table47910[[#This Row],[Expected Revenue]]*Table47910[[#This Row],[Probability]]</f>
        <v>0</v>
      </c>
      <c r="O502" s="78"/>
      <c r="P502" s="86">
        <f>Table47910[[#This Row],[Expected Revenue]]*Table47910[[#This Row],[Expected CMR]]</f>
        <v>0</v>
      </c>
      <c r="Q502" s="210"/>
    </row>
    <row r="503" spans="1:17" hidden="1">
      <c r="A503" s="173"/>
      <c r="B503" s="76"/>
      <c r="C503" s="77"/>
      <c r="D503" s="102"/>
      <c r="E503" s="77"/>
      <c r="F503" s="77"/>
      <c r="G503" s="77"/>
      <c r="H503" s="77"/>
      <c r="I503" s="76"/>
      <c r="J503" s="110"/>
      <c r="K503" s="77"/>
      <c r="L503" s="77"/>
      <c r="M503" s="77"/>
      <c r="N503" s="86">
        <f>Table47910[[#This Row],[Expected Revenue]]*Table47910[[#This Row],[Probability]]</f>
        <v>0</v>
      </c>
      <c r="O503" s="78"/>
      <c r="P503" s="86">
        <f>Table47910[[#This Row],[Expected Revenue]]*Table47910[[#This Row],[Expected CMR]]</f>
        <v>0</v>
      </c>
      <c r="Q503" s="210"/>
    </row>
    <row r="504" spans="1:17" hidden="1">
      <c r="A504" s="173"/>
      <c r="B504" s="76"/>
      <c r="C504" s="77"/>
      <c r="D504" s="102"/>
      <c r="E504" s="77"/>
      <c r="F504" s="77"/>
      <c r="G504" s="77"/>
      <c r="H504" s="77"/>
      <c r="I504" s="76"/>
      <c r="J504" s="110"/>
      <c r="K504" s="77"/>
      <c r="L504" s="77"/>
      <c r="M504" s="77"/>
      <c r="N504" s="86">
        <f>Table47910[[#This Row],[Expected Revenue]]*Table47910[[#This Row],[Probability]]</f>
        <v>0</v>
      </c>
      <c r="O504" s="78"/>
      <c r="P504" s="86">
        <f>Table47910[[#This Row],[Expected Revenue]]*Table47910[[#This Row],[Expected CMR]]</f>
        <v>0</v>
      </c>
      <c r="Q504" s="210"/>
    </row>
    <row r="505" spans="1:17" hidden="1">
      <c r="A505" s="173"/>
      <c r="B505" s="76"/>
      <c r="C505" s="77"/>
      <c r="D505" s="102"/>
      <c r="E505" s="77"/>
      <c r="F505" s="77"/>
      <c r="G505" s="77"/>
      <c r="H505" s="77"/>
      <c r="I505" s="76"/>
      <c r="J505" s="110"/>
      <c r="K505" s="77"/>
      <c r="L505" s="77"/>
      <c r="M505" s="77"/>
      <c r="N505" s="86">
        <f>Table47910[[#This Row],[Expected Revenue]]*Table47910[[#This Row],[Probability]]</f>
        <v>0</v>
      </c>
      <c r="O505" s="78"/>
      <c r="P505" s="86">
        <f>Table47910[[#This Row],[Expected Revenue]]*Table47910[[#This Row],[Expected CMR]]</f>
        <v>0</v>
      </c>
      <c r="Q505" s="210"/>
    </row>
    <row r="506" spans="1:17" hidden="1">
      <c r="A506" s="173"/>
      <c r="B506" s="76"/>
      <c r="C506" s="77"/>
      <c r="D506" s="102"/>
      <c r="E506" s="77"/>
      <c r="F506" s="77"/>
      <c r="G506" s="77"/>
      <c r="H506" s="77"/>
      <c r="I506" s="76"/>
      <c r="J506" s="110"/>
      <c r="K506" s="77"/>
      <c r="L506" s="77"/>
      <c r="M506" s="77"/>
      <c r="N506" s="86">
        <f>Table47910[[#This Row],[Expected Revenue]]*Table47910[[#This Row],[Probability]]</f>
        <v>0</v>
      </c>
      <c r="O506" s="78"/>
      <c r="P506" s="86">
        <f>Table47910[[#This Row],[Expected Revenue]]*Table47910[[#This Row],[Expected CMR]]</f>
        <v>0</v>
      </c>
      <c r="Q506" s="210"/>
    </row>
    <row r="507" spans="1:17" hidden="1">
      <c r="A507" s="173"/>
      <c r="B507" s="76"/>
      <c r="C507" s="77"/>
      <c r="D507" s="102"/>
      <c r="E507" s="77"/>
      <c r="F507" s="77"/>
      <c r="G507" s="77"/>
      <c r="H507" s="77"/>
      <c r="I507" s="76"/>
      <c r="J507" s="110"/>
      <c r="K507" s="77"/>
      <c r="L507" s="77"/>
      <c r="M507" s="77"/>
      <c r="N507" s="86">
        <f>Table47910[[#This Row],[Expected Revenue]]*Table47910[[#This Row],[Probability]]</f>
        <v>0</v>
      </c>
      <c r="O507" s="78"/>
      <c r="P507" s="86">
        <f>Table47910[[#This Row],[Expected Revenue]]*Table47910[[#This Row],[Expected CMR]]</f>
        <v>0</v>
      </c>
      <c r="Q507" s="210"/>
    </row>
    <row r="508" spans="1:17" hidden="1">
      <c r="A508" s="173"/>
      <c r="B508" s="76"/>
      <c r="C508" s="77"/>
      <c r="D508" s="102"/>
      <c r="E508" s="77"/>
      <c r="F508" s="77"/>
      <c r="G508" s="77"/>
      <c r="H508" s="77"/>
      <c r="I508" s="76"/>
      <c r="J508" s="110"/>
      <c r="K508" s="77"/>
      <c r="L508" s="77"/>
      <c r="M508" s="77"/>
      <c r="N508" s="86">
        <f>Table47910[[#This Row],[Expected Revenue]]*Table47910[[#This Row],[Probability]]</f>
        <v>0</v>
      </c>
      <c r="O508" s="78"/>
      <c r="P508" s="86">
        <f>Table47910[[#This Row],[Expected Revenue]]*Table47910[[#This Row],[Expected CMR]]</f>
        <v>0</v>
      </c>
      <c r="Q508" s="210"/>
    </row>
    <row r="509" spans="1:17" hidden="1">
      <c r="A509" s="173"/>
      <c r="B509" s="76"/>
      <c r="C509" s="77"/>
      <c r="D509" s="102"/>
      <c r="E509" s="77"/>
      <c r="F509" s="77"/>
      <c r="G509" s="77"/>
      <c r="H509" s="77"/>
      <c r="I509" s="76"/>
      <c r="J509" s="110"/>
      <c r="K509" s="77"/>
      <c r="L509" s="77"/>
      <c r="M509" s="77"/>
      <c r="N509" s="86">
        <f>Table47910[[#This Row],[Expected Revenue]]*Table47910[[#This Row],[Probability]]</f>
        <v>0</v>
      </c>
      <c r="O509" s="78"/>
      <c r="P509" s="86">
        <f>Table47910[[#This Row],[Expected Revenue]]*Table47910[[#This Row],[Expected CMR]]</f>
        <v>0</v>
      </c>
      <c r="Q509" s="210"/>
    </row>
    <row r="510" spans="1:17" hidden="1">
      <c r="A510" s="173"/>
      <c r="B510" s="76"/>
      <c r="C510" s="77"/>
      <c r="D510" s="102"/>
      <c r="E510" s="77"/>
      <c r="F510" s="77"/>
      <c r="G510" s="77"/>
      <c r="H510" s="77"/>
      <c r="I510" s="76"/>
      <c r="J510" s="110"/>
      <c r="K510" s="77"/>
      <c r="L510" s="77"/>
      <c r="M510" s="77"/>
      <c r="N510" s="86">
        <f>Table47910[[#This Row],[Expected Revenue]]*Table47910[[#This Row],[Probability]]</f>
        <v>0</v>
      </c>
      <c r="O510" s="78"/>
      <c r="P510" s="86">
        <f>Table47910[[#This Row],[Expected Revenue]]*Table47910[[#This Row],[Expected CMR]]</f>
        <v>0</v>
      </c>
      <c r="Q510" s="210"/>
    </row>
    <row r="511" spans="1:17" hidden="1">
      <c r="A511" s="173"/>
      <c r="B511" s="76"/>
      <c r="C511" s="77"/>
      <c r="D511" s="102"/>
      <c r="E511" s="77"/>
      <c r="F511" s="77"/>
      <c r="G511" s="77"/>
      <c r="H511" s="77"/>
      <c r="I511" s="76"/>
      <c r="J511" s="110"/>
      <c r="K511" s="77"/>
      <c r="L511" s="77"/>
      <c r="M511" s="77"/>
      <c r="N511" s="86">
        <f>Table47910[[#This Row],[Expected Revenue]]*Table47910[[#This Row],[Probability]]</f>
        <v>0</v>
      </c>
      <c r="O511" s="78"/>
      <c r="P511" s="86">
        <f>Table47910[[#This Row],[Expected Revenue]]*Table47910[[#This Row],[Expected CMR]]</f>
        <v>0</v>
      </c>
      <c r="Q511" s="210"/>
    </row>
    <row r="512" spans="1:17" hidden="1">
      <c r="A512" s="173"/>
      <c r="B512" s="76"/>
      <c r="C512" s="77"/>
      <c r="D512" s="102"/>
      <c r="E512" s="77"/>
      <c r="F512" s="77"/>
      <c r="G512" s="77"/>
      <c r="H512" s="77"/>
      <c r="I512" s="76"/>
      <c r="J512" s="110"/>
      <c r="K512" s="77"/>
      <c r="L512" s="77"/>
      <c r="M512" s="77"/>
      <c r="N512" s="86">
        <f>Table47910[[#This Row],[Expected Revenue]]*Table47910[[#This Row],[Probability]]</f>
        <v>0</v>
      </c>
      <c r="O512" s="78"/>
      <c r="P512" s="86">
        <f>Table47910[[#This Row],[Expected Revenue]]*Table47910[[#This Row],[Expected CMR]]</f>
        <v>0</v>
      </c>
      <c r="Q512" s="210"/>
    </row>
    <row r="513" spans="1:17" hidden="1">
      <c r="A513" s="173"/>
      <c r="B513" s="76"/>
      <c r="C513" s="77"/>
      <c r="D513" s="102"/>
      <c r="E513" s="77"/>
      <c r="F513" s="77"/>
      <c r="G513" s="77"/>
      <c r="H513" s="77"/>
      <c r="I513" s="76"/>
      <c r="J513" s="110"/>
      <c r="K513" s="77"/>
      <c r="L513" s="77"/>
      <c r="M513" s="77"/>
      <c r="N513" s="86">
        <f>Table47910[[#This Row],[Expected Revenue]]*Table47910[[#This Row],[Probability]]</f>
        <v>0</v>
      </c>
      <c r="O513" s="78"/>
      <c r="P513" s="86">
        <f>Table47910[[#This Row],[Expected Revenue]]*Table47910[[#This Row],[Expected CMR]]</f>
        <v>0</v>
      </c>
      <c r="Q513" s="210"/>
    </row>
    <row r="514" spans="1:17" hidden="1">
      <c r="A514" s="173"/>
      <c r="B514" s="76"/>
      <c r="C514" s="77"/>
      <c r="D514" s="102"/>
      <c r="E514" s="77"/>
      <c r="F514" s="77"/>
      <c r="G514" s="77"/>
      <c r="H514" s="77"/>
      <c r="I514" s="76"/>
      <c r="J514" s="110"/>
      <c r="K514" s="77"/>
      <c r="L514" s="77"/>
      <c r="M514" s="77"/>
      <c r="N514" s="86">
        <f>Table47910[[#This Row],[Expected Revenue]]*Table47910[[#This Row],[Probability]]</f>
        <v>0</v>
      </c>
      <c r="O514" s="78"/>
      <c r="P514" s="86">
        <f>Table47910[[#This Row],[Expected Revenue]]*Table47910[[#This Row],[Expected CMR]]</f>
        <v>0</v>
      </c>
      <c r="Q514" s="210"/>
    </row>
    <row r="515" spans="1:17" hidden="1">
      <c r="A515" s="173"/>
      <c r="B515" s="76"/>
      <c r="C515" s="77"/>
      <c r="D515" s="102"/>
      <c r="E515" s="77"/>
      <c r="F515" s="77"/>
      <c r="G515" s="77"/>
      <c r="H515" s="77"/>
      <c r="I515" s="76"/>
      <c r="J515" s="110"/>
      <c r="K515" s="77"/>
      <c r="L515" s="77"/>
      <c r="M515" s="77"/>
      <c r="N515" s="86">
        <f>Table47910[[#This Row],[Expected Revenue]]*Table47910[[#This Row],[Probability]]</f>
        <v>0</v>
      </c>
      <c r="O515" s="78"/>
      <c r="P515" s="86">
        <f>Table47910[[#This Row],[Expected Revenue]]*Table47910[[#This Row],[Expected CMR]]</f>
        <v>0</v>
      </c>
      <c r="Q515" s="210"/>
    </row>
    <row r="516" spans="1:17" hidden="1">
      <c r="A516" s="173"/>
      <c r="B516" s="76"/>
      <c r="C516" s="77"/>
      <c r="D516" s="102"/>
      <c r="E516" s="77"/>
      <c r="F516" s="77"/>
      <c r="G516" s="77"/>
      <c r="H516" s="77"/>
      <c r="I516" s="76"/>
      <c r="J516" s="110"/>
      <c r="K516" s="77"/>
      <c r="L516" s="77"/>
      <c r="M516" s="77"/>
      <c r="N516" s="86">
        <f>Table47910[[#This Row],[Expected Revenue]]*Table47910[[#This Row],[Probability]]</f>
        <v>0</v>
      </c>
      <c r="O516" s="78"/>
      <c r="P516" s="86">
        <f>Table47910[[#This Row],[Expected Revenue]]*Table47910[[#This Row],[Expected CMR]]</f>
        <v>0</v>
      </c>
      <c r="Q516" s="210"/>
    </row>
    <row r="517" spans="1:17" hidden="1">
      <c r="A517" s="173"/>
      <c r="B517" s="76"/>
      <c r="C517" s="77"/>
      <c r="D517" s="102"/>
      <c r="E517" s="77"/>
      <c r="F517" s="77"/>
      <c r="G517" s="77"/>
      <c r="H517" s="77"/>
      <c r="I517" s="76"/>
      <c r="J517" s="110"/>
      <c r="K517" s="77"/>
      <c r="L517" s="77"/>
      <c r="M517" s="77"/>
      <c r="N517" s="86">
        <f>Table47910[[#This Row],[Expected Revenue]]*Table47910[[#This Row],[Probability]]</f>
        <v>0</v>
      </c>
      <c r="O517" s="78"/>
      <c r="P517" s="86">
        <f>Table47910[[#This Row],[Expected Revenue]]*Table47910[[#This Row],[Expected CMR]]</f>
        <v>0</v>
      </c>
      <c r="Q517" s="210"/>
    </row>
    <row r="518" spans="1:17" hidden="1">
      <c r="A518" s="173"/>
      <c r="B518" s="76"/>
      <c r="C518" s="77"/>
      <c r="D518" s="102"/>
      <c r="E518" s="77"/>
      <c r="F518" s="77"/>
      <c r="G518" s="77"/>
      <c r="H518" s="77"/>
      <c r="I518" s="76"/>
      <c r="J518" s="110"/>
      <c r="K518" s="77"/>
      <c r="L518" s="77"/>
      <c r="M518" s="77"/>
      <c r="N518" s="86">
        <f>Table47910[[#This Row],[Expected Revenue]]*Table47910[[#This Row],[Probability]]</f>
        <v>0</v>
      </c>
      <c r="O518" s="78"/>
      <c r="P518" s="86">
        <f>Table47910[[#This Row],[Expected Revenue]]*Table47910[[#This Row],[Expected CMR]]</f>
        <v>0</v>
      </c>
      <c r="Q518" s="210"/>
    </row>
    <row r="519" spans="1:17" hidden="1">
      <c r="A519" s="173"/>
      <c r="B519" s="76"/>
      <c r="C519" s="77"/>
      <c r="D519" s="102"/>
      <c r="E519" s="77"/>
      <c r="F519" s="77"/>
      <c r="G519" s="77"/>
      <c r="H519" s="77"/>
      <c r="I519" s="76"/>
      <c r="J519" s="110"/>
      <c r="K519" s="77"/>
      <c r="L519" s="77"/>
      <c r="M519" s="77"/>
      <c r="N519" s="86">
        <f>Table47910[[#This Row],[Expected Revenue]]*Table47910[[#This Row],[Probability]]</f>
        <v>0</v>
      </c>
      <c r="O519" s="78"/>
      <c r="P519" s="86">
        <f>Table47910[[#This Row],[Expected Revenue]]*Table47910[[#This Row],[Expected CMR]]</f>
        <v>0</v>
      </c>
      <c r="Q519" s="210"/>
    </row>
    <row r="520" spans="1:17" hidden="1">
      <c r="A520" s="173"/>
      <c r="B520" s="76"/>
      <c r="C520" s="77"/>
      <c r="D520" s="102"/>
      <c r="E520" s="77"/>
      <c r="F520" s="77"/>
      <c r="G520" s="77"/>
      <c r="H520" s="77"/>
      <c r="I520" s="76"/>
      <c r="J520" s="110"/>
      <c r="K520" s="77"/>
      <c r="L520" s="77"/>
      <c r="M520" s="77"/>
      <c r="N520" s="86">
        <f>Table47910[[#This Row],[Expected Revenue]]*Table47910[[#This Row],[Probability]]</f>
        <v>0</v>
      </c>
      <c r="O520" s="78"/>
      <c r="P520" s="86">
        <f>Table47910[[#This Row],[Expected Revenue]]*Table47910[[#This Row],[Expected CMR]]</f>
        <v>0</v>
      </c>
      <c r="Q520" s="210"/>
    </row>
    <row r="521" spans="1:17" hidden="1">
      <c r="A521" s="173"/>
      <c r="B521" s="76"/>
      <c r="C521" s="77"/>
      <c r="D521" s="102"/>
      <c r="E521" s="77"/>
      <c r="F521" s="77"/>
      <c r="G521" s="77"/>
      <c r="H521" s="77"/>
      <c r="I521" s="76"/>
      <c r="J521" s="110"/>
      <c r="K521" s="77"/>
      <c r="L521" s="77"/>
      <c r="M521" s="77"/>
      <c r="N521" s="86">
        <f>Table47910[[#This Row],[Expected Revenue]]*Table47910[[#This Row],[Probability]]</f>
        <v>0</v>
      </c>
      <c r="O521" s="78"/>
      <c r="P521" s="86">
        <f>Table47910[[#This Row],[Expected Revenue]]*Table47910[[#This Row],[Expected CMR]]</f>
        <v>0</v>
      </c>
      <c r="Q521" s="210"/>
    </row>
    <row r="522" spans="1:17" hidden="1">
      <c r="A522" s="173"/>
      <c r="B522" s="76"/>
      <c r="C522" s="77"/>
      <c r="D522" s="102"/>
      <c r="E522" s="77"/>
      <c r="F522" s="77"/>
      <c r="G522" s="77"/>
      <c r="H522" s="77"/>
      <c r="I522" s="76"/>
      <c r="J522" s="110"/>
      <c r="K522" s="77"/>
      <c r="L522" s="77"/>
      <c r="M522" s="77"/>
      <c r="N522" s="86">
        <f>Table47910[[#This Row],[Expected Revenue]]*Table47910[[#This Row],[Probability]]</f>
        <v>0</v>
      </c>
      <c r="O522" s="78"/>
      <c r="P522" s="86">
        <f>Table47910[[#This Row],[Expected Revenue]]*Table47910[[#This Row],[Expected CMR]]</f>
        <v>0</v>
      </c>
      <c r="Q522" s="210"/>
    </row>
    <row r="523" spans="1:17" hidden="1">
      <c r="A523" s="173"/>
      <c r="B523" s="76"/>
      <c r="C523" s="77"/>
      <c r="D523" s="102"/>
      <c r="E523" s="77"/>
      <c r="F523" s="77"/>
      <c r="G523" s="77"/>
      <c r="H523" s="77"/>
      <c r="I523" s="76"/>
      <c r="J523" s="110"/>
      <c r="K523" s="77"/>
      <c r="L523" s="77"/>
      <c r="M523" s="77"/>
      <c r="N523" s="86">
        <f>Table47910[[#This Row],[Expected Revenue]]*Table47910[[#This Row],[Probability]]</f>
        <v>0</v>
      </c>
      <c r="O523" s="78"/>
      <c r="P523" s="86">
        <f>Table47910[[#This Row],[Expected Revenue]]*Table47910[[#This Row],[Expected CMR]]</f>
        <v>0</v>
      </c>
      <c r="Q523" s="210"/>
    </row>
    <row r="524" spans="1:17" hidden="1">
      <c r="A524" s="173"/>
      <c r="B524" s="76"/>
      <c r="C524" s="77"/>
      <c r="D524" s="102"/>
      <c r="E524" s="77"/>
      <c r="F524" s="77"/>
      <c r="G524" s="77"/>
      <c r="H524" s="77"/>
      <c r="I524" s="76"/>
      <c r="J524" s="110"/>
      <c r="K524" s="77"/>
      <c r="L524" s="77"/>
      <c r="M524" s="77"/>
      <c r="N524" s="86">
        <f>Table47910[[#This Row],[Expected Revenue]]*Table47910[[#This Row],[Probability]]</f>
        <v>0</v>
      </c>
      <c r="O524" s="78"/>
      <c r="P524" s="86">
        <f>Table47910[[#This Row],[Expected Revenue]]*Table47910[[#This Row],[Expected CMR]]</f>
        <v>0</v>
      </c>
      <c r="Q524" s="210"/>
    </row>
    <row r="525" spans="1:17" hidden="1">
      <c r="A525" s="173"/>
      <c r="B525" s="76"/>
      <c r="C525" s="77"/>
      <c r="D525" s="102"/>
      <c r="E525" s="77"/>
      <c r="F525" s="77"/>
      <c r="G525" s="77"/>
      <c r="H525" s="77"/>
      <c r="I525" s="76"/>
      <c r="J525" s="110"/>
      <c r="K525" s="77"/>
      <c r="L525" s="77"/>
      <c r="M525" s="77"/>
      <c r="N525" s="86">
        <f>Table47910[[#This Row],[Expected Revenue]]*Table47910[[#This Row],[Probability]]</f>
        <v>0</v>
      </c>
      <c r="O525" s="78"/>
      <c r="P525" s="86">
        <f>Table47910[[#This Row],[Expected Revenue]]*Table47910[[#This Row],[Expected CMR]]</f>
        <v>0</v>
      </c>
      <c r="Q525" s="210"/>
    </row>
    <row r="526" spans="1:17" hidden="1">
      <c r="A526" s="173"/>
      <c r="B526" s="76"/>
      <c r="C526" s="77"/>
      <c r="D526" s="102"/>
      <c r="E526" s="77"/>
      <c r="F526" s="77"/>
      <c r="G526" s="77"/>
      <c r="H526" s="77"/>
      <c r="I526" s="76"/>
      <c r="J526" s="110"/>
      <c r="K526" s="77"/>
      <c r="L526" s="77"/>
      <c r="M526" s="77"/>
      <c r="N526" s="86">
        <f>Table47910[[#This Row],[Expected Revenue]]*Table47910[[#This Row],[Probability]]</f>
        <v>0</v>
      </c>
      <c r="O526" s="78"/>
      <c r="P526" s="86">
        <f>Table47910[[#This Row],[Expected Revenue]]*Table47910[[#This Row],[Expected CMR]]</f>
        <v>0</v>
      </c>
      <c r="Q526" s="210"/>
    </row>
    <row r="527" spans="1:17" hidden="1">
      <c r="A527" s="173"/>
      <c r="B527" s="76"/>
      <c r="C527" s="77"/>
      <c r="D527" s="102"/>
      <c r="E527" s="77"/>
      <c r="F527" s="77"/>
      <c r="G527" s="77"/>
      <c r="H527" s="77"/>
      <c r="I527" s="76"/>
      <c r="J527" s="110"/>
      <c r="K527" s="77"/>
      <c r="L527" s="77"/>
      <c r="M527" s="77"/>
      <c r="N527" s="86">
        <f>Table47910[[#This Row],[Expected Revenue]]*Table47910[[#This Row],[Probability]]</f>
        <v>0</v>
      </c>
      <c r="O527" s="78"/>
      <c r="P527" s="86">
        <f>Table47910[[#This Row],[Expected Revenue]]*Table47910[[#This Row],[Expected CMR]]</f>
        <v>0</v>
      </c>
      <c r="Q527" s="210"/>
    </row>
    <row r="528" spans="1:17" hidden="1">
      <c r="A528" s="173"/>
      <c r="B528" s="76"/>
      <c r="C528" s="77"/>
      <c r="D528" s="102"/>
      <c r="E528" s="77"/>
      <c r="F528" s="77"/>
      <c r="G528" s="77"/>
      <c r="H528" s="77"/>
      <c r="I528" s="76"/>
      <c r="J528" s="110"/>
      <c r="K528" s="77"/>
      <c r="L528" s="77"/>
      <c r="M528" s="77"/>
      <c r="N528" s="86">
        <f>Table47910[[#This Row],[Expected Revenue]]*Table47910[[#This Row],[Probability]]</f>
        <v>0</v>
      </c>
      <c r="O528" s="78"/>
      <c r="P528" s="86">
        <f>Table47910[[#This Row],[Expected Revenue]]*Table47910[[#This Row],[Expected CMR]]</f>
        <v>0</v>
      </c>
      <c r="Q528" s="210"/>
    </row>
    <row r="529" spans="1:17" hidden="1">
      <c r="A529" s="173"/>
      <c r="B529" s="76"/>
      <c r="C529" s="77"/>
      <c r="D529" s="102"/>
      <c r="E529" s="77"/>
      <c r="F529" s="77"/>
      <c r="G529" s="77"/>
      <c r="H529" s="77"/>
      <c r="I529" s="76"/>
      <c r="J529" s="110"/>
      <c r="K529" s="77"/>
      <c r="L529" s="77"/>
      <c r="M529" s="77"/>
      <c r="N529" s="86">
        <f>Table47910[[#This Row],[Expected Revenue]]*Table47910[[#This Row],[Probability]]</f>
        <v>0</v>
      </c>
      <c r="O529" s="78"/>
      <c r="P529" s="86">
        <f>Table47910[[#This Row],[Expected Revenue]]*Table47910[[#This Row],[Expected CMR]]</f>
        <v>0</v>
      </c>
      <c r="Q529" s="210"/>
    </row>
    <row r="530" spans="1:17" hidden="1">
      <c r="A530" s="173"/>
      <c r="B530" s="76"/>
      <c r="C530" s="77"/>
      <c r="D530" s="102"/>
      <c r="E530" s="77"/>
      <c r="F530" s="77"/>
      <c r="G530" s="77"/>
      <c r="H530" s="77"/>
      <c r="I530" s="76"/>
      <c r="J530" s="110"/>
      <c r="K530" s="77"/>
      <c r="L530" s="77"/>
      <c r="M530" s="77"/>
      <c r="N530" s="86">
        <f>Table47910[[#This Row],[Expected Revenue]]*Table47910[[#This Row],[Probability]]</f>
        <v>0</v>
      </c>
      <c r="O530" s="78"/>
      <c r="P530" s="86">
        <f>Table47910[[#This Row],[Expected Revenue]]*Table47910[[#This Row],[Expected CMR]]</f>
        <v>0</v>
      </c>
      <c r="Q530" s="210"/>
    </row>
    <row r="531" spans="1:17" hidden="1">
      <c r="A531" s="173"/>
      <c r="B531" s="76"/>
      <c r="C531" s="77"/>
      <c r="D531" s="102"/>
      <c r="E531" s="77"/>
      <c r="F531" s="77"/>
      <c r="G531" s="77"/>
      <c r="H531" s="77"/>
      <c r="I531" s="76"/>
      <c r="J531" s="110"/>
      <c r="K531" s="77"/>
      <c r="L531" s="77"/>
      <c r="M531" s="77"/>
      <c r="N531" s="86">
        <f>Table47910[[#This Row],[Expected Revenue]]*Table47910[[#This Row],[Probability]]</f>
        <v>0</v>
      </c>
      <c r="O531" s="78"/>
      <c r="P531" s="86">
        <f>Table47910[[#This Row],[Expected Revenue]]*Table47910[[#This Row],[Expected CMR]]</f>
        <v>0</v>
      </c>
      <c r="Q531" s="210"/>
    </row>
    <row r="532" spans="1:17" hidden="1">
      <c r="A532" s="173"/>
      <c r="B532" s="76"/>
      <c r="C532" s="77"/>
      <c r="D532" s="102"/>
      <c r="E532" s="77"/>
      <c r="F532" s="77"/>
      <c r="G532" s="77"/>
      <c r="H532" s="77"/>
      <c r="I532" s="76"/>
      <c r="J532" s="110"/>
      <c r="K532" s="77"/>
      <c r="L532" s="77"/>
      <c r="M532" s="77"/>
      <c r="N532" s="86">
        <f>Table47910[[#This Row],[Expected Revenue]]*Table47910[[#This Row],[Probability]]</f>
        <v>0</v>
      </c>
      <c r="O532" s="78"/>
      <c r="P532" s="86">
        <f>Table47910[[#This Row],[Expected Revenue]]*Table47910[[#This Row],[Expected CMR]]</f>
        <v>0</v>
      </c>
      <c r="Q532" s="210"/>
    </row>
    <row r="533" spans="1:17" hidden="1">
      <c r="A533" s="173"/>
      <c r="B533" s="76"/>
      <c r="C533" s="77"/>
      <c r="D533" s="102"/>
      <c r="E533" s="77"/>
      <c r="F533" s="77"/>
      <c r="G533" s="77"/>
      <c r="H533" s="77"/>
      <c r="I533" s="76"/>
      <c r="J533" s="110"/>
      <c r="K533" s="77"/>
      <c r="L533" s="77"/>
      <c r="M533" s="77"/>
      <c r="N533" s="86">
        <f>Table47910[[#This Row],[Expected Revenue]]*Table47910[[#This Row],[Probability]]</f>
        <v>0</v>
      </c>
      <c r="O533" s="78"/>
      <c r="P533" s="86">
        <f>Table47910[[#This Row],[Expected Revenue]]*Table47910[[#This Row],[Expected CMR]]</f>
        <v>0</v>
      </c>
      <c r="Q533" s="210"/>
    </row>
    <row r="534" spans="1:17" hidden="1">
      <c r="A534" s="173"/>
      <c r="B534" s="76"/>
      <c r="C534" s="77"/>
      <c r="D534" s="102"/>
      <c r="E534" s="77"/>
      <c r="F534" s="77"/>
      <c r="G534" s="77"/>
      <c r="H534" s="77"/>
      <c r="I534" s="76"/>
      <c r="J534" s="110"/>
      <c r="K534" s="77"/>
      <c r="L534" s="77"/>
      <c r="M534" s="77"/>
      <c r="N534" s="86">
        <f>Table47910[[#This Row],[Expected Revenue]]*Table47910[[#This Row],[Probability]]</f>
        <v>0</v>
      </c>
      <c r="O534" s="78"/>
      <c r="P534" s="86">
        <f>Table47910[[#This Row],[Expected Revenue]]*Table47910[[#This Row],[Expected CMR]]</f>
        <v>0</v>
      </c>
      <c r="Q534" s="210"/>
    </row>
    <row r="535" spans="1:17" hidden="1">
      <c r="A535" s="173"/>
      <c r="B535" s="76"/>
      <c r="C535" s="77"/>
      <c r="D535" s="102"/>
      <c r="E535" s="77"/>
      <c r="F535" s="77"/>
      <c r="G535" s="77"/>
      <c r="H535" s="77"/>
      <c r="I535" s="76"/>
      <c r="J535" s="110"/>
      <c r="K535" s="77"/>
      <c r="L535" s="77"/>
      <c r="M535" s="77"/>
      <c r="N535" s="86">
        <f>Table47910[[#This Row],[Expected Revenue]]*Table47910[[#This Row],[Probability]]</f>
        <v>0</v>
      </c>
      <c r="O535" s="78"/>
      <c r="P535" s="86">
        <f>Table47910[[#This Row],[Expected Revenue]]*Table47910[[#This Row],[Expected CMR]]</f>
        <v>0</v>
      </c>
      <c r="Q535" s="210"/>
    </row>
    <row r="536" spans="1:17" hidden="1">
      <c r="A536" s="173"/>
      <c r="B536" s="76"/>
      <c r="C536" s="77"/>
      <c r="D536" s="102"/>
      <c r="E536" s="77"/>
      <c r="F536" s="77"/>
      <c r="G536" s="77"/>
      <c r="H536" s="77"/>
      <c r="I536" s="76"/>
      <c r="J536" s="110"/>
      <c r="K536" s="77"/>
      <c r="L536" s="77"/>
      <c r="M536" s="77"/>
      <c r="N536" s="86">
        <f>Table47910[[#This Row],[Expected Revenue]]*Table47910[[#This Row],[Probability]]</f>
        <v>0</v>
      </c>
      <c r="O536" s="78"/>
      <c r="P536" s="86">
        <f>Table47910[[#This Row],[Expected Revenue]]*Table47910[[#This Row],[Expected CMR]]</f>
        <v>0</v>
      </c>
      <c r="Q536" s="210"/>
    </row>
    <row r="537" spans="1:17" hidden="1">
      <c r="A537" s="173"/>
      <c r="B537" s="76"/>
      <c r="C537" s="77"/>
      <c r="D537" s="102"/>
      <c r="E537" s="77"/>
      <c r="F537" s="77"/>
      <c r="G537" s="77"/>
      <c r="H537" s="77"/>
      <c r="I537" s="76"/>
      <c r="J537" s="110"/>
      <c r="K537" s="77"/>
      <c r="L537" s="77"/>
      <c r="M537" s="77"/>
      <c r="N537" s="86">
        <f>Table47910[[#This Row],[Expected Revenue]]*Table47910[[#This Row],[Probability]]</f>
        <v>0</v>
      </c>
      <c r="O537" s="78"/>
      <c r="P537" s="86">
        <f>Table47910[[#This Row],[Expected Revenue]]*Table47910[[#This Row],[Expected CMR]]</f>
        <v>0</v>
      </c>
      <c r="Q537" s="210"/>
    </row>
    <row r="538" spans="1:17" hidden="1">
      <c r="A538" s="173"/>
      <c r="B538" s="76"/>
      <c r="C538" s="77"/>
      <c r="D538" s="102"/>
      <c r="E538" s="77"/>
      <c r="F538" s="77"/>
      <c r="G538" s="77"/>
      <c r="H538" s="77"/>
      <c r="I538" s="76"/>
      <c r="J538" s="110"/>
      <c r="K538" s="77"/>
      <c r="L538" s="77"/>
      <c r="M538" s="77"/>
      <c r="N538" s="86">
        <f>Table47910[[#This Row],[Expected Revenue]]*Table47910[[#This Row],[Probability]]</f>
        <v>0</v>
      </c>
      <c r="O538" s="78"/>
      <c r="P538" s="86">
        <f>Table47910[[#This Row],[Expected Revenue]]*Table47910[[#This Row],[Expected CMR]]</f>
        <v>0</v>
      </c>
      <c r="Q538" s="210"/>
    </row>
    <row r="539" spans="1:17" hidden="1">
      <c r="A539" s="173"/>
      <c r="B539" s="76"/>
      <c r="C539" s="77"/>
      <c r="D539" s="102"/>
      <c r="E539" s="77"/>
      <c r="F539" s="77"/>
      <c r="G539" s="77"/>
      <c r="H539" s="77"/>
      <c r="I539" s="76"/>
      <c r="J539" s="110"/>
      <c r="K539" s="77"/>
      <c r="L539" s="77"/>
      <c r="M539" s="77"/>
      <c r="N539" s="86">
        <f>Table47910[[#This Row],[Expected Revenue]]*Table47910[[#This Row],[Probability]]</f>
        <v>0</v>
      </c>
      <c r="O539" s="78"/>
      <c r="P539" s="86">
        <f>Table47910[[#This Row],[Expected Revenue]]*Table47910[[#This Row],[Expected CMR]]</f>
        <v>0</v>
      </c>
      <c r="Q539" s="210"/>
    </row>
    <row r="540" spans="1:17" hidden="1">
      <c r="A540" s="173"/>
      <c r="B540" s="76"/>
      <c r="C540" s="77"/>
      <c r="D540" s="102"/>
      <c r="E540" s="77"/>
      <c r="F540" s="77"/>
      <c r="G540" s="77"/>
      <c r="H540" s="77"/>
      <c r="I540" s="76"/>
      <c r="J540" s="110"/>
      <c r="K540" s="77"/>
      <c r="L540" s="77"/>
      <c r="M540" s="77"/>
      <c r="N540" s="86">
        <f>Table47910[[#This Row],[Expected Revenue]]*Table47910[[#This Row],[Probability]]</f>
        <v>0</v>
      </c>
      <c r="O540" s="78"/>
      <c r="P540" s="86">
        <f>Table47910[[#This Row],[Expected Revenue]]*Table47910[[#This Row],[Expected CMR]]</f>
        <v>0</v>
      </c>
      <c r="Q540" s="210"/>
    </row>
    <row r="541" spans="1:17" hidden="1">
      <c r="A541" s="173"/>
      <c r="B541" s="76"/>
      <c r="C541" s="77"/>
      <c r="D541" s="102"/>
      <c r="E541" s="77"/>
      <c r="F541" s="77"/>
      <c r="G541" s="77"/>
      <c r="H541" s="77"/>
      <c r="I541" s="76"/>
      <c r="J541" s="110"/>
      <c r="K541" s="77"/>
      <c r="L541" s="77"/>
      <c r="M541" s="77"/>
      <c r="N541" s="86">
        <f>Table47910[[#This Row],[Expected Revenue]]*Table47910[[#This Row],[Probability]]</f>
        <v>0</v>
      </c>
      <c r="O541" s="78"/>
      <c r="P541" s="86">
        <f>Table47910[[#This Row],[Expected Revenue]]*Table47910[[#This Row],[Expected CMR]]</f>
        <v>0</v>
      </c>
      <c r="Q541" s="210"/>
    </row>
    <row r="542" spans="1:17" hidden="1">
      <c r="A542" s="173"/>
      <c r="B542" s="76"/>
      <c r="C542" s="77"/>
      <c r="D542" s="102"/>
      <c r="E542" s="77"/>
      <c r="F542" s="77"/>
      <c r="G542" s="77"/>
      <c r="H542" s="77"/>
      <c r="I542" s="76"/>
      <c r="J542" s="110"/>
      <c r="K542" s="77"/>
      <c r="L542" s="77"/>
      <c r="M542" s="77"/>
      <c r="N542" s="86">
        <f>Table47910[[#This Row],[Expected Revenue]]*Table47910[[#This Row],[Probability]]</f>
        <v>0</v>
      </c>
      <c r="O542" s="78"/>
      <c r="P542" s="86">
        <f>Table47910[[#This Row],[Expected Revenue]]*Table47910[[#This Row],[Expected CMR]]</f>
        <v>0</v>
      </c>
      <c r="Q542" s="210"/>
    </row>
    <row r="543" spans="1:17" hidden="1">
      <c r="A543" s="173"/>
      <c r="B543" s="76"/>
      <c r="C543" s="77"/>
      <c r="D543" s="102"/>
      <c r="E543" s="77"/>
      <c r="F543" s="77"/>
      <c r="G543" s="77"/>
      <c r="H543" s="77"/>
      <c r="I543" s="76"/>
      <c r="J543" s="110"/>
      <c r="K543" s="77"/>
      <c r="L543" s="77"/>
      <c r="M543" s="77"/>
      <c r="N543" s="86">
        <f>Table47910[[#This Row],[Expected Revenue]]*Table47910[[#This Row],[Probability]]</f>
        <v>0</v>
      </c>
      <c r="O543" s="78"/>
      <c r="P543" s="86">
        <f>Table47910[[#This Row],[Expected Revenue]]*Table47910[[#This Row],[Expected CMR]]</f>
        <v>0</v>
      </c>
      <c r="Q543" s="210"/>
    </row>
    <row r="544" spans="1:17" hidden="1">
      <c r="A544" s="173"/>
      <c r="B544" s="76"/>
      <c r="C544" s="77"/>
      <c r="D544" s="102"/>
      <c r="E544" s="77"/>
      <c r="F544" s="77"/>
      <c r="G544" s="77"/>
      <c r="H544" s="77"/>
      <c r="I544" s="76"/>
      <c r="J544" s="110"/>
      <c r="K544" s="77"/>
      <c r="L544" s="77"/>
      <c r="M544" s="77"/>
      <c r="N544" s="86">
        <f>Table47910[[#This Row],[Expected Revenue]]*Table47910[[#This Row],[Probability]]</f>
        <v>0</v>
      </c>
      <c r="O544" s="78"/>
      <c r="P544" s="86">
        <f>Table47910[[#This Row],[Expected Revenue]]*Table47910[[#This Row],[Expected CMR]]</f>
        <v>0</v>
      </c>
      <c r="Q544" s="210"/>
    </row>
    <row r="545" spans="1:17" hidden="1">
      <c r="A545" s="173"/>
      <c r="B545" s="76"/>
      <c r="C545" s="77"/>
      <c r="D545" s="102"/>
      <c r="E545" s="77"/>
      <c r="F545" s="77"/>
      <c r="G545" s="77"/>
      <c r="H545" s="77"/>
      <c r="I545" s="76"/>
      <c r="J545" s="110"/>
      <c r="K545" s="77"/>
      <c r="L545" s="77"/>
      <c r="M545" s="77"/>
      <c r="N545" s="86">
        <f>Table47910[[#This Row],[Expected Revenue]]*Table47910[[#This Row],[Probability]]</f>
        <v>0</v>
      </c>
      <c r="O545" s="78"/>
      <c r="P545" s="86">
        <f>Table47910[[#This Row],[Expected Revenue]]*Table47910[[#This Row],[Expected CMR]]</f>
        <v>0</v>
      </c>
      <c r="Q545" s="210"/>
    </row>
    <row r="546" spans="1:17" hidden="1">
      <c r="A546" s="173"/>
      <c r="B546" s="76"/>
      <c r="C546" s="77"/>
      <c r="D546" s="102"/>
      <c r="E546" s="77"/>
      <c r="F546" s="77"/>
      <c r="G546" s="77"/>
      <c r="H546" s="77"/>
      <c r="I546" s="76"/>
      <c r="J546" s="110"/>
      <c r="K546" s="77"/>
      <c r="L546" s="77"/>
      <c r="M546" s="77"/>
      <c r="N546" s="86">
        <f>Table47910[[#This Row],[Expected Revenue]]*Table47910[[#This Row],[Probability]]</f>
        <v>0</v>
      </c>
      <c r="O546" s="78"/>
      <c r="P546" s="86">
        <f>Table47910[[#This Row],[Expected Revenue]]*Table47910[[#This Row],[Expected CMR]]</f>
        <v>0</v>
      </c>
      <c r="Q546" s="210"/>
    </row>
    <row r="547" spans="1:17" hidden="1">
      <c r="A547" s="173"/>
      <c r="B547" s="76"/>
      <c r="C547" s="77"/>
      <c r="D547" s="102"/>
      <c r="E547" s="77"/>
      <c r="F547" s="77"/>
      <c r="G547" s="77"/>
      <c r="H547" s="77"/>
      <c r="I547" s="76"/>
      <c r="J547" s="110"/>
      <c r="K547" s="77"/>
      <c r="L547" s="77"/>
      <c r="M547" s="77"/>
      <c r="N547" s="86">
        <f>Table47910[[#This Row],[Expected Revenue]]*Table47910[[#This Row],[Probability]]</f>
        <v>0</v>
      </c>
      <c r="O547" s="78"/>
      <c r="P547" s="86">
        <f>Table47910[[#This Row],[Expected Revenue]]*Table47910[[#This Row],[Expected CMR]]</f>
        <v>0</v>
      </c>
      <c r="Q547" s="210"/>
    </row>
    <row r="548" spans="1:17" hidden="1">
      <c r="A548" s="173"/>
      <c r="B548" s="76"/>
      <c r="C548" s="77"/>
      <c r="D548" s="102"/>
      <c r="E548" s="77"/>
      <c r="F548" s="77"/>
      <c r="G548" s="77"/>
      <c r="H548" s="77"/>
      <c r="I548" s="76"/>
      <c r="J548" s="110"/>
      <c r="K548" s="77"/>
      <c r="L548" s="77"/>
      <c r="M548" s="77"/>
      <c r="N548" s="86">
        <f>Table47910[[#This Row],[Expected Revenue]]*Table47910[[#This Row],[Probability]]</f>
        <v>0</v>
      </c>
      <c r="O548" s="78"/>
      <c r="P548" s="86">
        <f>Table47910[[#This Row],[Expected Revenue]]*Table47910[[#This Row],[Expected CMR]]</f>
        <v>0</v>
      </c>
      <c r="Q548" s="210"/>
    </row>
    <row r="549" spans="1:17" hidden="1">
      <c r="A549" s="173"/>
      <c r="B549" s="76"/>
      <c r="C549" s="77"/>
      <c r="D549" s="102"/>
      <c r="E549" s="77"/>
      <c r="F549" s="77"/>
      <c r="G549" s="77"/>
      <c r="H549" s="77"/>
      <c r="I549" s="76"/>
      <c r="J549" s="110"/>
      <c r="K549" s="77"/>
      <c r="L549" s="77"/>
      <c r="M549" s="77"/>
      <c r="N549" s="86">
        <f>Table47910[[#This Row],[Expected Revenue]]*Table47910[[#This Row],[Probability]]</f>
        <v>0</v>
      </c>
      <c r="O549" s="78"/>
      <c r="P549" s="86">
        <f>Table47910[[#This Row],[Expected Revenue]]*Table47910[[#This Row],[Expected CMR]]</f>
        <v>0</v>
      </c>
      <c r="Q549" s="210"/>
    </row>
    <row r="550" spans="1:17" hidden="1">
      <c r="A550" s="173"/>
      <c r="B550" s="76"/>
      <c r="C550" s="77"/>
      <c r="D550" s="102"/>
      <c r="E550" s="77"/>
      <c r="F550" s="77"/>
      <c r="G550" s="77"/>
      <c r="H550" s="77"/>
      <c r="I550" s="76"/>
      <c r="J550" s="110"/>
      <c r="K550" s="77"/>
      <c r="L550" s="77"/>
      <c r="M550" s="77"/>
      <c r="N550" s="86">
        <f>Table47910[[#This Row],[Expected Revenue]]*Table47910[[#This Row],[Probability]]</f>
        <v>0</v>
      </c>
      <c r="O550" s="78"/>
      <c r="P550" s="86">
        <f>Table47910[[#This Row],[Expected Revenue]]*Table47910[[#This Row],[Expected CMR]]</f>
        <v>0</v>
      </c>
      <c r="Q550" s="210"/>
    </row>
    <row r="551" spans="1:17" hidden="1">
      <c r="A551" s="173"/>
      <c r="B551" s="76"/>
      <c r="C551" s="77"/>
      <c r="D551" s="102"/>
      <c r="E551" s="77"/>
      <c r="F551" s="77"/>
      <c r="G551" s="77"/>
      <c r="H551" s="77"/>
      <c r="I551" s="76"/>
      <c r="J551" s="110"/>
      <c r="K551" s="77"/>
      <c r="L551" s="77"/>
      <c r="M551" s="77"/>
      <c r="N551" s="86">
        <f>Table47910[[#This Row],[Expected Revenue]]*Table47910[[#This Row],[Probability]]</f>
        <v>0</v>
      </c>
      <c r="O551" s="78"/>
      <c r="P551" s="86">
        <f>Table47910[[#This Row],[Expected Revenue]]*Table47910[[#This Row],[Expected CMR]]</f>
        <v>0</v>
      </c>
      <c r="Q551" s="210"/>
    </row>
    <row r="552" spans="1:17" hidden="1">
      <c r="A552" s="173"/>
      <c r="B552" s="76"/>
      <c r="C552" s="77"/>
      <c r="D552" s="102"/>
      <c r="E552" s="77"/>
      <c r="F552" s="77"/>
      <c r="G552" s="77"/>
      <c r="H552" s="77"/>
      <c r="I552" s="76"/>
      <c r="J552" s="110"/>
      <c r="K552" s="77"/>
      <c r="L552" s="77"/>
      <c r="M552" s="77"/>
      <c r="N552" s="86">
        <f>Table47910[[#This Row],[Expected Revenue]]*Table47910[[#This Row],[Probability]]</f>
        <v>0</v>
      </c>
      <c r="O552" s="78"/>
      <c r="P552" s="86">
        <f>Table47910[[#This Row],[Expected Revenue]]*Table47910[[#This Row],[Expected CMR]]</f>
        <v>0</v>
      </c>
      <c r="Q552" s="210"/>
    </row>
    <row r="553" spans="1:17" hidden="1">
      <c r="A553" s="173"/>
      <c r="B553" s="76"/>
      <c r="C553" s="77"/>
      <c r="D553" s="102"/>
      <c r="E553" s="77"/>
      <c r="F553" s="77"/>
      <c r="G553" s="77"/>
      <c r="H553" s="77"/>
      <c r="I553" s="76"/>
      <c r="J553" s="110"/>
      <c r="K553" s="77"/>
      <c r="L553" s="77"/>
      <c r="M553" s="77"/>
      <c r="N553" s="86">
        <f>Table47910[[#This Row],[Expected Revenue]]*Table47910[[#This Row],[Probability]]</f>
        <v>0</v>
      </c>
      <c r="O553" s="78"/>
      <c r="P553" s="86">
        <f>Table47910[[#This Row],[Expected Revenue]]*Table47910[[#This Row],[Expected CMR]]</f>
        <v>0</v>
      </c>
      <c r="Q553" s="210"/>
    </row>
    <row r="554" spans="1:17" hidden="1">
      <c r="A554" s="173"/>
      <c r="B554" s="76"/>
      <c r="C554" s="77"/>
      <c r="D554" s="102"/>
      <c r="E554" s="77"/>
      <c r="F554" s="77"/>
      <c r="G554" s="77"/>
      <c r="H554" s="77"/>
      <c r="I554" s="76"/>
      <c r="J554" s="110"/>
      <c r="K554" s="77"/>
      <c r="L554" s="77"/>
      <c r="M554" s="77"/>
      <c r="N554" s="86">
        <f>Table47910[[#This Row],[Expected Revenue]]*Table47910[[#This Row],[Probability]]</f>
        <v>0</v>
      </c>
      <c r="O554" s="78"/>
      <c r="P554" s="86">
        <f>Table47910[[#This Row],[Expected Revenue]]*Table47910[[#This Row],[Expected CMR]]</f>
        <v>0</v>
      </c>
      <c r="Q554" s="210"/>
    </row>
    <row r="555" spans="1:17" hidden="1">
      <c r="A555" s="173"/>
      <c r="B555" s="76"/>
      <c r="C555" s="77"/>
      <c r="D555" s="102"/>
      <c r="E555" s="77"/>
      <c r="F555" s="77"/>
      <c r="G555" s="77"/>
      <c r="H555" s="77"/>
      <c r="I555" s="76"/>
      <c r="J555" s="110"/>
      <c r="K555" s="77"/>
      <c r="L555" s="77"/>
      <c r="M555" s="77"/>
      <c r="N555" s="86">
        <f>Table47910[[#This Row],[Expected Revenue]]*Table47910[[#This Row],[Probability]]</f>
        <v>0</v>
      </c>
      <c r="O555" s="78"/>
      <c r="P555" s="86">
        <f>Table47910[[#This Row],[Expected Revenue]]*Table47910[[#This Row],[Expected CMR]]</f>
        <v>0</v>
      </c>
      <c r="Q555" s="210"/>
    </row>
    <row r="556" spans="1:17" hidden="1">
      <c r="A556" s="173"/>
      <c r="B556" s="76"/>
      <c r="C556" s="77"/>
      <c r="D556" s="102"/>
      <c r="E556" s="77"/>
      <c r="F556" s="77"/>
      <c r="G556" s="77"/>
      <c r="H556" s="77"/>
      <c r="I556" s="76"/>
      <c r="J556" s="110"/>
      <c r="K556" s="77"/>
      <c r="L556" s="77"/>
      <c r="M556" s="77"/>
      <c r="N556" s="86">
        <f>Table47910[[#This Row],[Expected Revenue]]*Table47910[[#This Row],[Probability]]</f>
        <v>0</v>
      </c>
      <c r="O556" s="78"/>
      <c r="P556" s="86">
        <f>Table47910[[#This Row],[Expected Revenue]]*Table47910[[#This Row],[Expected CMR]]</f>
        <v>0</v>
      </c>
      <c r="Q556" s="210"/>
    </row>
    <row r="557" spans="1:17" hidden="1">
      <c r="A557" s="173"/>
      <c r="B557" s="76"/>
      <c r="C557" s="77"/>
      <c r="D557" s="102"/>
      <c r="E557" s="77"/>
      <c r="F557" s="77"/>
      <c r="G557" s="77"/>
      <c r="H557" s="77"/>
      <c r="I557" s="76"/>
      <c r="J557" s="110"/>
      <c r="K557" s="77"/>
      <c r="L557" s="77"/>
      <c r="M557" s="77"/>
      <c r="N557" s="86">
        <f>Table47910[[#This Row],[Expected Revenue]]*Table47910[[#This Row],[Probability]]</f>
        <v>0</v>
      </c>
      <c r="O557" s="78"/>
      <c r="P557" s="86">
        <f>Table47910[[#This Row],[Expected Revenue]]*Table47910[[#This Row],[Expected CMR]]</f>
        <v>0</v>
      </c>
      <c r="Q557" s="210"/>
    </row>
    <row r="558" spans="1:17" hidden="1">
      <c r="A558" s="173"/>
      <c r="B558" s="76"/>
      <c r="C558" s="77"/>
      <c r="D558" s="102"/>
      <c r="E558" s="77"/>
      <c r="F558" s="77"/>
      <c r="G558" s="77"/>
      <c r="H558" s="77"/>
      <c r="I558" s="76"/>
      <c r="J558" s="110"/>
      <c r="K558" s="77"/>
      <c r="L558" s="77"/>
      <c r="M558" s="77"/>
      <c r="N558" s="86">
        <f>Table47910[[#This Row],[Expected Revenue]]*Table47910[[#This Row],[Probability]]</f>
        <v>0</v>
      </c>
      <c r="O558" s="78"/>
      <c r="P558" s="86">
        <f>Table47910[[#This Row],[Expected Revenue]]*Table47910[[#This Row],[Expected CMR]]</f>
        <v>0</v>
      </c>
      <c r="Q558" s="210"/>
    </row>
    <row r="559" spans="1:17" hidden="1">
      <c r="A559" s="173"/>
      <c r="B559" s="76"/>
      <c r="C559" s="77"/>
      <c r="D559" s="102"/>
      <c r="E559" s="77"/>
      <c r="F559" s="77"/>
      <c r="G559" s="77"/>
      <c r="H559" s="77"/>
      <c r="I559" s="76"/>
      <c r="J559" s="110"/>
      <c r="K559" s="77"/>
      <c r="L559" s="77"/>
      <c r="M559" s="77"/>
      <c r="N559" s="86">
        <f>Table47910[[#This Row],[Expected Revenue]]*Table47910[[#This Row],[Probability]]</f>
        <v>0</v>
      </c>
      <c r="O559" s="78"/>
      <c r="P559" s="86">
        <f>Table47910[[#This Row],[Expected Revenue]]*Table47910[[#This Row],[Expected CMR]]</f>
        <v>0</v>
      </c>
      <c r="Q559" s="210"/>
    </row>
    <row r="560" spans="1:17" hidden="1">
      <c r="A560" s="173"/>
      <c r="B560" s="76"/>
      <c r="C560" s="77"/>
      <c r="D560" s="102"/>
      <c r="E560" s="77"/>
      <c r="F560" s="77"/>
      <c r="G560" s="77"/>
      <c r="H560" s="77"/>
      <c r="I560" s="76"/>
      <c r="J560" s="110"/>
      <c r="K560" s="77"/>
      <c r="L560" s="77"/>
      <c r="M560" s="77"/>
      <c r="N560" s="86">
        <f>Table47910[[#This Row],[Expected Revenue]]*Table47910[[#This Row],[Probability]]</f>
        <v>0</v>
      </c>
      <c r="O560" s="78"/>
      <c r="P560" s="86">
        <f>Table47910[[#This Row],[Expected Revenue]]*Table47910[[#This Row],[Expected CMR]]</f>
        <v>0</v>
      </c>
      <c r="Q560" s="210"/>
    </row>
    <row r="561" spans="1:17" hidden="1">
      <c r="A561" s="173"/>
      <c r="B561" s="76"/>
      <c r="C561" s="77"/>
      <c r="D561" s="102"/>
      <c r="E561" s="77"/>
      <c r="F561" s="77"/>
      <c r="G561" s="77"/>
      <c r="H561" s="77"/>
      <c r="I561" s="76"/>
      <c r="J561" s="110"/>
      <c r="K561" s="77"/>
      <c r="L561" s="77"/>
      <c r="M561" s="77"/>
      <c r="N561" s="86">
        <f>Table47910[[#This Row],[Expected Revenue]]*Table47910[[#This Row],[Probability]]</f>
        <v>0</v>
      </c>
      <c r="O561" s="78"/>
      <c r="P561" s="86">
        <f>Table47910[[#This Row],[Expected Revenue]]*Table47910[[#This Row],[Expected CMR]]</f>
        <v>0</v>
      </c>
      <c r="Q561" s="210"/>
    </row>
    <row r="562" spans="1:17" hidden="1">
      <c r="A562" s="173"/>
      <c r="B562" s="76"/>
      <c r="C562" s="77"/>
      <c r="D562" s="102"/>
      <c r="E562" s="77"/>
      <c r="F562" s="77"/>
      <c r="G562" s="77"/>
      <c r="H562" s="77"/>
      <c r="I562" s="76"/>
      <c r="J562" s="110"/>
      <c r="K562" s="77"/>
      <c r="L562" s="77"/>
      <c r="M562" s="77"/>
      <c r="N562" s="86">
        <f>Table47910[[#This Row],[Expected Revenue]]*Table47910[[#This Row],[Probability]]</f>
        <v>0</v>
      </c>
      <c r="O562" s="78"/>
      <c r="P562" s="86">
        <f>Table47910[[#This Row],[Expected Revenue]]*Table47910[[#This Row],[Expected CMR]]</f>
        <v>0</v>
      </c>
      <c r="Q562" s="210"/>
    </row>
    <row r="563" spans="1:17" hidden="1">
      <c r="A563" s="173"/>
      <c r="B563" s="76"/>
      <c r="C563" s="77"/>
      <c r="D563" s="102"/>
      <c r="E563" s="77"/>
      <c r="F563" s="77"/>
      <c r="G563" s="77"/>
      <c r="H563" s="77"/>
      <c r="I563" s="76"/>
      <c r="J563" s="110"/>
      <c r="K563" s="77"/>
      <c r="L563" s="77"/>
      <c r="M563" s="77"/>
      <c r="N563" s="86">
        <f>Table47910[[#This Row],[Expected Revenue]]*Table47910[[#This Row],[Probability]]</f>
        <v>0</v>
      </c>
      <c r="O563" s="78"/>
      <c r="P563" s="86">
        <f>Table47910[[#This Row],[Expected Revenue]]*Table47910[[#This Row],[Expected CMR]]</f>
        <v>0</v>
      </c>
      <c r="Q563" s="210"/>
    </row>
    <row r="564" spans="1:17" hidden="1">
      <c r="A564" s="173"/>
      <c r="B564" s="76"/>
      <c r="C564" s="77"/>
      <c r="D564" s="102"/>
      <c r="E564" s="77"/>
      <c r="F564" s="77"/>
      <c r="G564" s="77"/>
      <c r="H564" s="77"/>
      <c r="I564" s="76"/>
      <c r="J564" s="110"/>
      <c r="K564" s="77"/>
      <c r="L564" s="77"/>
      <c r="M564" s="77"/>
      <c r="N564" s="86">
        <f>Table47910[[#This Row],[Expected Revenue]]*Table47910[[#This Row],[Probability]]</f>
        <v>0</v>
      </c>
      <c r="O564" s="78"/>
      <c r="P564" s="86">
        <f>Table47910[[#This Row],[Expected Revenue]]*Table47910[[#This Row],[Expected CMR]]</f>
        <v>0</v>
      </c>
      <c r="Q564" s="210"/>
    </row>
    <row r="565" spans="1:17" hidden="1">
      <c r="A565" s="173"/>
      <c r="B565" s="76"/>
      <c r="C565" s="77"/>
      <c r="D565" s="102"/>
      <c r="E565" s="77"/>
      <c r="F565" s="77"/>
      <c r="G565" s="77"/>
      <c r="H565" s="77"/>
      <c r="I565" s="76"/>
      <c r="J565" s="110"/>
      <c r="K565" s="77"/>
      <c r="L565" s="77"/>
      <c r="M565" s="77"/>
      <c r="N565" s="86">
        <f>Table47910[[#This Row],[Expected Revenue]]*Table47910[[#This Row],[Probability]]</f>
        <v>0</v>
      </c>
      <c r="O565" s="78"/>
      <c r="P565" s="86">
        <f>Table47910[[#This Row],[Expected Revenue]]*Table47910[[#This Row],[Expected CMR]]</f>
        <v>0</v>
      </c>
      <c r="Q565" s="210"/>
    </row>
    <row r="566" spans="1:17" hidden="1">
      <c r="A566" s="173"/>
      <c r="B566" s="76"/>
      <c r="C566" s="77"/>
      <c r="D566" s="102"/>
      <c r="E566" s="77"/>
      <c r="F566" s="77"/>
      <c r="G566" s="77"/>
      <c r="H566" s="77"/>
      <c r="I566" s="76"/>
      <c r="J566" s="110"/>
      <c r="K566" s="77"/>
      <c r="L566" s="77"/>
      <c r="M566" s="77"/>
      <c r="N566" s="86">
        <f>Table47910[[#This Row],[Expected Revenue]]*Table47910[[#This Row],[Probability]]</f>
        <v>0</v>
      </c>
      <c r="O566" s="78"/>
      <c r="P566" s="86">
        <f>Table47910[[#This Row],[Expected Revenue]]*Table47910[[#This Row],[Expected CMR]]</f>
        <v>0</v>
      </c>
      <c r="Q566" s="210"/>
    </row>
    <row r="567" spans="1:17" hidden="1">
      <c r="A567" s="173"/>
      <c r="B567" s="76"/>
      <c r="C567" s="77"/>
      <c r="D567" s="102"/>
      <c r="E567" s="77"/>
      <c r="F567" s="77"/>
      <c r="G567" s="77"/>
      <c r="H567" s="77"/>
      <c r="I567" s="76"/>
      <c r="J567" s="110"/>
      <c r="K567" s="77"/>
      <c r="L567" s="77"/>
      <c r="M567" s="77"/>
      <c r="N567" s="86">
        <f>Table47910[[#This Row],[Expected Revenue]]*Table47910[[#This Row],[Probability]]</f>
        <v>0</v>
      </c>
      <c r="O567" s="78"/>
      <c r="P567" s="86">
        <f>Table47910[[#This Row],[Expected Revenue]]*Table47910[[#This Row],[Expected CMR]]</f>
        <v>0</v>
      </c>
      <c r="Q567" s="210"/>
    </row>
    <row r="568" spans="1:17" hidden="1">
      <c r="A568" s="173"/>
      <c r="B568" s="76"/>
      <c r="C568" s="77"/>
      <c r="D568" s="102"/>
      <c r="E568" s="77"/>
      <c r="F568" s="77"/>
      <c r="G568" s="77"/>
      <c r="H568" s="77"/>
      <c r="I568" s="76"/>
      <c r="J568" s="110"/>
      <c r="K568" s="77"/>
      <c r="L568" s="77"/>
      <c r="M568" s="77"/>
      <c r="N568" s="86">
        <f>Table47910[[#This Row],[Expected Revenue]]*Table47910[[#This Row],[Probability]]</f>
        <v>0</v>
      </c>
      <c r="O568" s="78"/>
      <c r="P568" s="86">
        <f>Table47910[[#This Row],[Expected Revenue]]*Table47910[[#This Row],[Expected CMR]]</f>
        <v>0</v>
      </c>
      <c r="Q568" s="210"/>
    </row>
    <row r="569" spans="1:17" hidden="1">
      <c r="A569" s="173"/>
      <c r="B569" s="76"/>
      <c r="C569" s="77"/>
      <c r="D569" s="102"/>
      <c r="E569" s="77"/>
      <c r="F569" s="77"/>
      <c r="G569" s="77"/>
      <c r="H569" s="77"/>
      <c r="I569" s="76"/>
      <c r="J569" s="110"/>
      <c r="K569" s="77"/>
      <c r="L569" s="77"/>
      <c r="M569" s="77"/>
      <c r="N569" s="86">
        <f>Table47910[[#This Row],[Expected Revenue]]*Table47910[[#This Row],[Probability]]</f>
        <v>0</v>
      </c>
      <c r="O569" s="78"/>
      <c r="P569" s="86">
        <f>Table47910[[#This Row],[Expected Revenue]]*Table47910[[#This Row],[Expected CMR]]</f>
        <v>0</v>
      </c>
      <c r="Q569" s="210"/>
    </row>
    <row r="570" spans="1:17" hidden="1">
      <c r="A570" s="173"/>
      <c r="B570" s="76"/>
      <c r="C570" s="77"/>
      <c r="D570" s="102"/>
      <c r="E570" s="77"/>
      <c r="F570" s="77"/>
      <c r="G570" s="77"/>
      <c r="H570" s="77"/>
      <c r="I570" s="76"/>
      <c r="J570" s="110"/>
      <c r="K570" s="77"/>
      <c r="L570" s="77"/>
      <c r="M570" s="77"/>
      <c r="N570" s="86">
        <f>Table47910[[#This Row],[Expected Revenue]]*Table47910[[#This Row],[Probability]]</f>
        <v>0</v>
      </c>
      <c r="O570" s="78"/>
      <c r="P570" s="86">
        <f>Table47910[[#This Row],[Expected Revenue]]*Table47910[[#This Row],[Expected CMR]]</f>
        <v>0</v>
      </c>
      <c r="Q570" s="210"/>
    </row>
    <row r="571" spans="1:17" hidden="1">
      <c r="A571" s="173"/>
      <c r="B571" s="76"/>
      <c r="C571" s="77"/>
      <c r="D571" s="102"/>
      <c r="E571" s="77"/>
      <c r="F571" s="77"/>
      <c r="G571" s="77"/>
      <c r="H571" s="77"/>
      <c r="I571" s="76"/>
      <c r="J571" s="110"/>
      <c r="K571" s="77"/>
      <c r="L571" s="77"/>
      <c r="M571" s="77"/>
      <c r="N571" s="86">
        <f>Table47910[[#This Row],[Expected Revenue]]*Table47910[[#This Row],[Probability]]</f>
        <v>0</v>
      </c>
      <c r="O571" s="78"/>
      <c r="P571" s="86">
        <f>Table47910[[#This Row],[Expected Revenue]]*Table47910[[#This Row],[Expected CMR]]</f>
        <v>0</v>
      </c>
      <c r="Q571" s="210"/>
    </row>
    <row r="572" spans="1:17" hidden="1">
      <c r="A572" s="173"/>
      <c r="B572" s="76"/>
      <c r="C572" s="77"/>
      <c r="D572" s="102"/>
      <c r="E572" s="77"/>
      <c r="F572" s="77"/>
      <c r="G572" s="77"/>
      <c r="H572" s="77"/>
      <c r="I572" s="76"/>
      <c r="J572" s="110"/>
      <c r="K572" s="77"/>
      <c r="L572" s="77"/>
      <c r="M572" s="77"/>
      <c r="N572" s="86">
        <f>Table47910[[#This Row],[Expected Revenue]]*Table47910[[#This Row],[Probability]]</f>
        <v>0</v>
      </c>
      <c r="O572" s="78"/>
      <c r="P572" s="86">
        <f>Table47910[[#This Row],[Expected Revenue]]*Table47910[[#This Row],[Expected CMR]]</f>
        <v>0</v>
      </c>
      <c r="Q572" s="210"/>
    </row>
    <row r="573" spans="1:17" hidden="1">
      <c r="A573" s="173"/>
      <c r="B573" s="76"/>
      <c r="C573" s="77"/>
      <c r="D573" s="102"/>
      <c r="E573" s="77"/>
      <c r="F573" s="77"/>
      <c r="G573" s="77"/>
      <c r="H573" s="77"/>
      <c r="I573" s="76"/>
      <c r="J573" s="110"/>
      <c r="K573" s="77"/>
      <c r="L573" s="77"/>
      <c r="M573" s="77"/>
      <c r="N573" s="86">
        <f>Table47910[[#This Row],[Expected Revenue]]*Table47910[[#This Row],[Probability]]</f>
        <v>0</v>
      </c>
      <c r="O573" s="78"/>
      <c r="P573" s="86">
        <f>Table47910[[#This Row],[Expected Revenue]]*Table47910[[#This Row],[Expected CMR]]</f>
        <v>0</v>
      </c>
      <c r="Q573" s="210"/>
    </row>
    <row r="574" spans="1:17" hidden="1">
      <c r="A574" s="173"/>
      <c r="B574" s="76"/>
      <c r="C574" s="77"/>
      <c r="D574" s="102"/>
      <c r="E574" s="77"/>
      <c r="F574" s="77"/>
      <c r="G574" s="77"/>
      <c r="H574" s="77"/>
      <c r="I574" s="76"/>
      <c r="J574" s="110"/>
      <c r="K574" s="77"/>
      <c r="L574" s="77"/>
      <c r="M574" s="77"/>
      <c r="N574" s="86">
        <f>Table47910[[#This Row],[Expected Revenue]]*Table47910[[#This Row],[Probability]]</f>
        <v>0</v>
      </c>
      <c r="O574" s="78"/>
      <c r="P574" s="86">
        <f>Table47910[[#This Row],[Expected Revenue]]*Table47910[[#This Row],[Expected CMR]]</f>
        <v>0</v>
      </c>
      <c r="Q574" s="210"/>
    </row>
    <row r="575" spans="1:17" hidden="1">
      <c r="A575" s="173"/>
      <c r="B575" s="76"/>
      <c r="C575" s="77"/>
      <c r="D575" s="102"/>
      <c r="E575" s="77"/>
      <c r="F575" s="77"/>
      <c r="G575" s="77"/>
      <c r="H575" s="77"/>
      <c r="I575" s="76"/>
      <c r="J575" s="110"/>
      <c r="K575" s="77"/>
      <c r="L575" s="77"/>
      <c r="M575" s="77"/>
      <c r="N575" s="86">
        <f>Table47910[[#This Row],[Expected Revenue]]*Table47910[[#This Row],[Probability]]</f>
        <v>0</v>
      </c>
      <c r="O575" s="78"/>
      <c r="P575" s="86">
        <f>Table47910[[#This Row],[Expected Revenue]]*Table47910[[#This Row],[Expected CMR]]</f>
        <v>0</v>
      </c>
      <c r="Q575" s="210"/>
    </row>
    <row r="576" spans="1:17" hidden="1">
      <c r="A576" s="173"/>
      <c r="B576" s="76"/>
      <c r="C576" s="77"/>
      <c r="D576" s="102"/>
      <c r="E576" s="77"/>
      <c r="F576" s="77"/>
      <c r="G576" s="77"/>
      <c r="H576" s="77"/>
      <c r="I576" s="76"/>
      <c r="J576" s="110"/>
      <c r="K576" s="77"/>
      <c r="L576" s="77"/>
      <c r="M576" s="77"/>
      <c r="N576" s="86">
        <f>Table47910[[#This Row],[Expected Revenue]]*Table47910[[#This Row],[Probability]]</f>
        <v>0</v>
      </c>
      <c r="O576" s="78"/>
      <c r="P576" s="86">
        <f>Table47910[[#This Row],[Expected Revenue]]*Table47910[[#This Row],[Expected CMR]]</f>
        <v>0</v>
      </c>
      <c r="Q576" s="210"/>
    </row>
    <row r="577" spans="1:17" hidden="1">
      <c r="A577" s="173"/>
      <c r="B577" s="76"/>
      <c r="C577" s="77"/>
      <c r="D577" s="102"/>
      <c r="E577" s="77"/>
      <c r="F577" s="77"/>
      <c r="G577" s="77"/>
      <c r="H577" s="77"/>
      <c r="I577" s="76"/>
      <c r="J577" s="110"/>
      <c r="K577" s="77"/>
      <c r="L577" s="77"/>
      <c r="M577" s="77"/>
      <c r="N577" s="86">
        <f>Table47910[[#This Row],[Expected Revenue]]*Table47910[[#This Row],[Probability]]</f>
        <v>0</v>
      </c>
      <c r="O577" s="78"/>
      <c r="P577" s="86">
        <f>Table47910[[#This Row],[Expected Revenue]]*Table47910[[#This Row],[Expected CMR]]</f>
        <v>0</v>
      </c>
      <c r="Q577" s="210"/>
    </row>
    <row r="578" spans="1:17" hidden="1">
      <c r="A578" s="173"/>
      <c r="B578" s="76"/>
      <c r="C578" s="77"/>
      <c r="D578" s="102"/>
      <c r="E578" s="77"/>
      <c r="F578" s="77"/>
      <c r="G578" s="77"/>
      <c r="H578" s="77"/>
      <c r="I578" s="76"/>
      <c r="J578" s="110"/>
      <c r="K578" s="77"/>
      <c r="L578" s="77"/>
      <c r="M578" s="77"/>
      <c r="N578" s="86">
        <f>Table47910[[#This Row],[Expected Revenue]]*Table47910[[#This Row],[Probability]]</f>
        <v>0</v>
      </c>
      <c r="O578" s="78"/>
      <c r="P578" s="86">
        <f>Table47910[[#This Row],[Expected Revenue]]*Table47910[[#This Row],[Expected CMR]]</f>
        <v>0</v>
      </c>
      <c r="Q578" s="210"/>
    </row>
    <row r="579" spans="1:17" hidden="1">
      <c r="A579" s="173"/>
      <c r="B579" s="76"/>
      <c r="C579" s="77"/>
      <c r="D579" s="102"/>
      <c r="E579" s="77"/>
      <c r="F579" s="77"/>
      <c r="G579" s="77"/>
      <c r="H579" s="77"/>
      <c r="I579" s="76"/>
      <c r="J579" s="110"/>
      <c r="K579" s="77"/>
      <c r="L579" s="77"/>
      <c r="M579" s="77"/>
      <c r="N579" s="86">
        <f>Table47910[[#This Row],[Expected Revenue]]*Table47910[[#This Row],[Probability]]</f>
        <v>0</v>
      </c>
      <c r="O579" s="78"/>
      <c r="P579" s="86">
        <f>Table47910[[#This Row],[Expected Revenue]]*Table47910[[#This Row],[Expected CMR]]</f>
        <v>0</v>
      </c>
      <c r="Q579" s="210"/>
    </row>
    <row r="580" spans="1:17" hidden="1">
      <c r="A580" s="173"/>
      <c r="B580" s="76"/>
      <c r="C580" s="77"/>
      <c r="D580" s="102"/>
      <c r="E580" s="77"/>
      <c r="F580" s="77"/>
      <c r="G580" s="77"/>
      <c r="H580" s="77"/>
      <c r="I580" s="76"/>
      <c r="J580" s="110"/>
      <c r="K580" s="77"/>
      <c r="L580" s="77"/>
      <c r="M580" s="77"/>
      <c r="N580" s="86">
        <f>Table47910[[#This Row],[Expected Revenue]]*Table47910[[#This Row],[Probability]]</f>
        <v>0</v>
      </c>
      <c r="O580" s="78"/>
      <c r="P580" s="86">
        <f>Table47910[[#This Row],[Expected Revenue]]*Table47910[[#This Row],[Expected CMR]]</f>
        <v>0</v>
      </c>
      <c r="Q580" s="210"/>
    </row>
    <row r="581" spans="1:17" hidden="1">
      <c r="A581" s="173"/>
      <c r="B581" s="76"/>
      <c r="C581" s="77"/>
      <c r="D581" s="102"/>
      <c r="E581" s="77"/>
      <c r="F581" s="77"/>
      <c r="G581" s="77"/>
      <c r="H581" s="77"/>
      <c r="I581" s="76"/>
      <c r="J581" s="110"/>
      <c r="K581" s="77"/>
      <c r="L581" s="77"/>
      <c r="M581" s="77"/>
      <c r="N581" s="86">
        <f>Table47910[[#This Row],[Expected Revenue]]*Table47910[[#This Row],[Probability]]</f>
        <v>0</v>
      </c>
      <c r="O581" s="78"/>
      <c r="P581" s="86">
        <f>Table47910[[#This Row],[Expected Revenue]]*Table47910[[#This Row],[Expected CMR]]</f>
        <v>0</v>
      </c>
      <c r="Q581" s="210"/>
    </row>
    <row r="582" spans="1:17" hidden="1">
      <c r="A582" s="173"/>
      <c r="B582" s="76"/>
      <c r="C582" s="77"/>
      <c r="D582" s="102"/>
      <c r="E582" s="77"/>
      <c r="F582" s="77"/>
      <c r="G582" s="77"/>
      <c r="H582" s="77"/>
      <c r="I582" s="76"/>
      <c r="J582" s="110"/>
      <c r="K582" s="77"/>
      <c r="L582" s="77"/>
      <c r="M582" s="77"/>
      <c r="N582" s="86">
        <f>Table47910[[#This Row],[Expected Revenue]]*Table47910[[#This Row],[Probability]]</f>
        <v>0</v>
      </c>
      <c r="O582" s="78"/>
      <c r="P582" s="86">
        <f>Table47910[[#This Row],[Expected Revenue]]*Table47910[[#This Row],[Expected CMR]]</f>
        <v>0</v>
      </c>
      <c r="Q582" s="210"/>
    </row>
    <row r="583" spans="1:17" hidden="1">
      <c r="A583" s="173"/>
      <c r="B583" s="76"/>
      <c r="C583" s="77"/>
      <c r="D583" s="102"/>
      <c r="E583" s="77"/>
      <c r="F583" s="77"/>
      <c r="G583" s="77"/>
      <c r="H583" s="77"/>
      <c r="I583" s="76"/>
      <c r="J583" s="110"/>
      <c r="K583" s="77"/>
      <c r="L583" s="77"/>
      <c r="M583" s="77"/>
      <c r="N583" s="86">
        <f>Table47910[[#This Row],[Expected Revenue]]*Table47910[[#This Row],[Probability]]</f>
        <v>0</v>
      </c>
      <c r="O583" s="78"/>
      <c r="P583" s="86">
        <f>Table47910[[#This Row],[Expected Revenue]]*Table47910[[#This Row],[Expected CMR]]</f>
        <v>0</v>
      </c>
      <c r="Q583" s="210"/>
    </row>
    <row r="584" spans="1:17" hidden="1">
      <c r="A584" s="173"/>
      <c r="B584" s="76"/>
      <c r="C584" s="77"/>
      <c r="D584" s="102"/>
      <c r="E584" s="77"/>
      <c r="F584" s="77"/>
      <c r="G584" s="77"/>
      <c r="H584" s="77"/>
      <c r="I584" s="76"/>
      <c r="J584" s="110"/>
      <c r="K584" s="77"/>
      <c r="L584" s="77"/>
      <c r="M584" s="77"/>
      <c r="N584" s="86">
        <f>Table47910[[#This Row],[Expected Revenue]]*Table47910[[#This Row],[Probability]]</f>
        <v>0</v>
      </c>
      <c r="O584" s="78"/>
      <c r="P584" s="86">
        <f>Table47910[[#This Row],[Expected Revenue]]*Table47910[[#This Row],[Expected CMR]]</f>
        <v>0</v>
      </c>
      <c r="Q584" s="210"/>
    </row>
    <row r="585" spans="1:17" hidden="1">
      <c r="A585" s="173"/>
      <c r="B585" s="76"/>
      <c r="C585" s="77"/>
      <c r="D585" s="102"/>
      <c r="E585" s="77"/>
      <c r="F585" s="77"/>
      <c r="G585" s="77"/>
      <c r="H585" s="77"/>
      <c r="I585" s="76"/>
      <c r="J585" s="110"/>
      <c r="K585" s="77"/>
      <c r="L585" s="77"/>
      <c r="M585" s="77"/>
      <c r="N585" s="86">
        <f>Table47910[[#This Row],[Expected Revenue]]*Table47910[[#This Row],[Probability]]</f>
        <v>0</v>
      </c>
      <c r="O585" s="78"/>
      <c r="P585" s="86">
        <f>Table47910[[#This Row],[Expected Revenue]]*Table47910[[#This Row],[Expected CMR]]</f>
        <v>0</v>
      </c>
      <c r="Q585" s="210"/>
    </row>
    <row r="586" spans="1:17" hidden="1">
      <c r="A586" s="173"/>
      <c r="B586" s="76"/>
      <c r="C586" s="77"/>
      <c r="D586" s="102"/>
      <c r="E586" s="77"/>
      <c r="F586" s="77"/>
      <c r="G586" s="77"/>
      <c r="H586" s="77"/>
      <c r="I586" s="76"/>
      <c r="J586" s="110"/>
      <c r="K586" s="77"/>
      <c r="L586" s="77"/>
      <c r="M586" s="77"/>
      <c r="N586" s="86">
        <f>Table47910[[#This Row],[Expected Revenue]]*Table47910[[#This Row],[Probability]]</f>
        <v>0</v>
      </c>
      <c r="O586" s="78"/>
      <c r="P586" s="86">
        <f>Table47910[[#This Row],[Expected Revenue]]*Table47910[[#This Row],[Expected CMR]]</f>
        <v>0</v>
      </c>
      <c r="Q586" s="210"/>
    </row>
    <row r="587" spans="1:17" hidden="1">
      <c r="A587" s="173"/>
      <c r="B587" s="76"/>
      <c r="C587" s="77"/>
      <c r="D587" s="102"/>
      <c r="E587" s="77"/>
      <c r="F587" s="77"/>
      <c r="G587" s="77"/>
      <c r="H587" s="77"/>
      <c r="I587" s="76"/>
      <c r="J587" s="110"/>
      <c r="K587" s="77"/>
      <c r="L587" s="77"/>
      <c r="M587" s="77"/>
      <c r="N587" s="86">
        <f>Table47910[[#This Row],[Expected Revenue]]*Table47910[[#This Row],[Probability]]</f>
        <v>0</v>
      </c>
      <c r="O587" s="78"/>
      <c r="P587" s="86">
        <f>Table47910[[#This Row],[Expected Revenue]]*Table47910[[#This Row],[Expected CMR]]</f>
        <v>0</v>
      </c>
      <c r="Q587" s="210"/>
    </row>
    <row r="588" spans="1:17" hidden="1">
      <c r="A588" s="173"/>
      <c r="B588" s="76"/>
      <c r="C588" s="77"/>
      <c r="D588" s="102"/>
      <c r="E588" s="77"/>
      <c r="F588" s="77"/>
      <c r="G588" s="77"/>
      <c r="H588" s="77"/>
      <c r="I588" s="76"/>
      <c r="J588" s="110"/>
      <c r="K588" s="77"/>
      <c r="L588" s="77"/>
      <c r="M588" s="77"/>
      <c r="N588" s="86">
        <f>Table47910[[#This Row],[Expected Revenue]]*Table47910[[#This Row],[Probability]]</f>
        <v>0</v>
      </c>
      <c r="O588" s="78"/>
      <c r="P588" s="86">
        <f>Table47910[[#This Row],[Expected Revenue]]*Table47910[[#This Row],[Expected CMR]]</f>
        <v>0</v>
      </c>
      <c r="Q588" s="210"/>
    </row>
    <row r="589" spans="1:17" hidden="1">
      <c r="A589" s="173"/>
      <c r="B589" s="76"/>
      <c r="C589" s="77"/>
      <c r="D589" s="102"/>
      <c r="E589" s="77"/>
      <c r="F589" s="77"/>
      <c r="G589" s="77"/>
      <c r="H589" s="77"/>
      <c r="I589" s="76"/>
      <c r="J589" s="110"/>
      <c r="K589" s="77"/>
      <c r="L589" s="77"/>
      <c r="M589" s="77"/>
      <c r="N589" s="86">
        <f>Table47910[[#This Row],[Expected Revenue]]*Table47910[[#This Row],[Probability]]</f>
        <v>0</v>
      </c>
      <c r="O589" s="78"/>
      <c r="P589" s="86">
        <f>Table47910[[#This Row],[Expected Revenue]]*Table47910[[#This Row],[Expected CMR]]</f>
        <v>0</v>
      </c>
      <c r="Q589" s="210"/>
    </row>
    <row r="590" spans="1:17" hidden="1">
      <c r="A590" s="173"/>
      <c r="B590" s="76"/>
      <c r="C590" s="77"/>
      <c r="D590" s="102"/>
      <c r="E590" s="77"/>
      <c r="F590" s="77"/>
      <c r="G590" s="77"/>
      <c r="H590" s="77"/>
      <c r="I590" s="76"/>
      <c r="J590" s="110"/>
      <c r="K590" s="77"/>
      <c r="L590" s="77"/>
      <c r="M590" s="77"/>
      <c r="N590" s="86">
        <f>Table47910[[#This Row],[Expected Revenue]]*Table47910[[#This Row],[Probability]]</f>
        <v>0</v>
      </c>
      <c r="O590" s="78"/>
      <c r="P590" s="86">
        <f>Table47910[[#This Row],[Expected Revenue]]*Table47910[[#This Row],[Expected CMR]]</f>
        <v>0</v>
      </c>
      <c r="Q590" s="210"/>
    </row>
    <row r="591" spans="1:17" hidden="1">
      <c r="A591" s="173"/>
      <c r="B591" s="76"/>
      <c r="C591" s="77"/>
      <c r="D591" s="102"/>
      <c r="E591" s="77"/>
      <c r="F591" s="77"/>
      <c r="G591" s="77"/>
      <c r="H591" s="77"/>
      <c r="I591" s="76"/>
      <c r="J591" s="110"/>
      <c r="K591" s="77"/>
      <c r="L591" s="77"/>
      <c r="M591" s="77"/>
      <c r="N591" s="86">
        <f>Table47910[[#This Row],[Expected Revenue]]*Table47910[[#This Row],[Probability]]</f>
        <v>0</v>
      </c>
      <c r="O591" s="78"/>
      <c r="P591" s="86">
        <f>Table47910[[#This Row],[Expected Revenue]]*Table47910[[#This Row],[Expected CMR]]</f>
        <v>0</v>
      </c>
      <c r="Q591" s="210"/>
    </row>
    <row r="592" spans="1:17" hidden="1">
      <c r="A592" s="173"/>
      <c r="B592" s="76"/>
      <c r="C592" s="77"/>
      <c r="D592" s="102"/>
      <c r="E592" s="77"/>
      <c r="F592" s="77"/>
      <c r="G592" s="77"/>
      <c r="H592" s="77"/>
      <c r="I592" s="76"/>
      <c r="J592" s="110"/>
      <c r="K592" s="77"/>
      <c r="L592" s="77"/>
      <c r="M592" s="77"/>
      <c r="N592" s="86">
        <f>Table47910[[#This Row],[Expected Revenue]]*Table47910[[#This Row],[Probability]]</f>
        <v>0</v>
      </c>
      <c r="O592" s="78"/>
      <c r="P592" s="86">
        <f>Table47910[[#This Row],[Expected Revenue]]*Table47910[[#This Row],[Expected CMR]]</f>
        <v>0</v>
      </c>
      <c r="Q592" s="210"/>
    </row>
    <row r="593" spans="1:17" hidden="1">
      <c r="A593" s="173"/>
      <c r="B593" s="76"/>
      <c r="C593" s="77"/>
      <c r="D593" s="102"/>
      <c r="E593" s="77"/>
      <c r="F593" s="77"/>
      <c r="G593" s="77"/>
      <c r="H593" s="77"/>
      <c r="I593" s="76"/>
      <c r="J593" s="110"/>
      <c r="K593" s="77"/>
      <c r="L593" s="77"/>
      <c r="M593" s="77"/>
      <c r="N593" s="86">
        <f>Table47910[[#This Row],[Expected Revenue]]*Table47910[[#This Row],[Probability]]</f>
        <v>0</v>
      </c>
      <c r="O593" s="78"/>
      <c r="P593" s="86">
        <f>Table47910[[#This Row],[Expected Revenue]]*Table47910[[#This Row],[Expected CMR]]</f>
        <v>0</v>
      </c>
      <c r="Q593" s="210"/>
    </row>
    <row r="594" spans="1:17" hidden="1">
      <c r="A594" s="173"/>
      <c r="B594" s="76"/>
      <c r="C594" s="77"/>
      <c r="D594" s="102"/>
      <c r="E594" s="77"/>
      <c r="F594" s="77"/>
      <c r="G594" s="77"/>
      <c r="H594" s="77"/>
      <c r="I594" s="76"/>
      <c r="J594" s="110"/>
      <c r="K594" s="77"/>
      <c r="L594" s="77"/>
      <c r="M594" s="77"/>
      <c r="N594" s="86">
        <f>Table47910[[#This Row],[Expected Revenue]]*Table47910[[#This Row],[Probability]]</f>
        <v>0</v>
      </c>
      <c r="O594" s="78"/>
      <c r="P594" s="86">
        <f>Table47910[[#This Row],[Expected Revenue]]*Table47910[[#This Row],[Expected CMR]]</f>
        <v>0</v>
      </c>
      <c r="Q594" s="210"/>
    </row>
    <row r="595" spans="1:17" hidden="1">
      <c r="A595" s="173"/>
      <c r="B595" s="76"/>
      <c r="C595" s="77"/>
      <c r="D595" s="102"/>
      <c r="E595" s="77"/>
      <c r="F595" s="77"/>
      <c r="G595" s="77"/>
      <c r="H595" s="77"/>
      <c r="I595" s="76"/>
      <c r="J595" s="110"/>
      <c r="K595" s="77"/>
      <c r="L595" s="77"/>
      <c r="M595" s="77"/>
      <c r="N595" s="86">
        <f>Table47910[[#This Row],[Expected Revenue]]*Table47910[[#This Row],[Probability]]</f>
        <v>0</v>
      </c>
      <c r="O595" s="78"/>
      <c r="P595" s="86">
        <f>Table47910[[#This Row],[Expected Revenue]]*Table47910[[#This Row],[Expected CMR]]</f>
        <v>0</v>
      </c>
      <c r="Q595" s="213"/>
    </row>
    <row r="596" spans="1:17" hidden="1">
      <c r="A596" s="173"/>
      <c r="B596" s="76" t="s">
        <v>137</v>
      </c>
      <c r="C596" s="77" t="s">
        <v>57</v>
      </c>
      <c r="D596" s="76" t="s">
        <v>272</v>
      </c>
      <c r="E596" s="77" t="s">
        <v>92</v>
      </c>
      <c r="F596" s="77" t="s">
        <v>58</v>
      </c>
      <c r="G596" s="77" t="s">
        <v>297</v>
      </c>
      <c r="H596" s="77" t="s">
        <v>297</v>
      </c>
      <c r="I596" s="77"/>
      <c r="J596" s="110" t="s">
        <v>222</v>
      </c>
      <c r="K596" s="77">
        <v>2021</v>
      </c>
      <c r="L596" s="78">
        <v>1</v>
      </c>
      <c r="M596" s="79">
        <v>15000</v>
      </c>
      <c r="N596" s="79">
        <f>Table47910[[#This Row],[Expected Revenue]]*Table47910[[#This Row],[Probability]]</f>
        <v>15000</v>
      </c>
      <c r="O596" s="78">
        <v>0.3</v>
      </c>
      <c r="P596" s="86">
        <v>4500</v>
      </c>
      <c r="Q596" s="210" t="s">
        <v>3159</v>
      </c>
    </row>
    <row r="597" spans="1:17">
      <c r="A597" s="75"/>
      <c r="B597" s="256" t="s">
        <v>146</v>
      </c>
      <c r="C597" s="77" t="s">
        <v>57</v>
      </c>
      <c r="D597" s="102" t="s">
        <v>113</v>
      </c>
      <c r="E597" s="77" t="s">
        <v>62</v>
      </c>
      <c r="F597" s="77" t="s">
        <v>58</v>
      </c>
      <c r="G597" s="77" t="s">
        <v>295</v>
      </c>
      <c r="H597" s="77" t="s">
        <v>295</v>
      </c>
      <c r="I597" s="77"/>
      <c r="J597" s="110" t="s">
        <v>93</v>
      </c>
      <c r="K597" s="77">
        <v>2021</v>
      </c>
      <c r="L597" s="78">
        <v>1</v>
      </c>
      <c r="M597" s="79">
        <v>28000</v>
      </c>
      <c r="N597" s="79">
        <f>Table47910[[#This Row],[Expected Revenue]]*Table47910[[#This Row],[Probability]]</f>
        <v>28000</v>
      </c>
      <c r="O597" s="78">
        <v>0.19</v>
      </c>
      <c r="P597" s="79">
        <f>Table47910[[#This Row],[Expected CMR]]*Table47910[[#This Row],[Rev. Based on PROB]]</f>
        <v>5320</v>
      </c>
      <c r="Q597" s="209"/>
    </row>
    <row r="598" spans="1:17" hidden="1">
      <c r="A598" s="173"/>
      <c r="B598" s="76" t="s">
        <v>137</v>
      </c>
      <c r="C598" s="77" t="s">
        <v>3059</v>
      </c>
      <c r="D598" s="102" t="s">
        <v>3178</v>
      </c>
      <c r="E598" s="77" t="s">
        <v>92</v>
      </c>
      <c r="F598" s="77" t="s">
        <v>58</v>
      </c>
      <c r="G598" s="77" t="s">
        <v>297</v>
      </c>
      <c r="H598" s="77" t="s">
        <v>297</v>
      </c>
      <c r="I598" s="77"/>
      <c r="J598" s="110" t="s">
        <v>222</v>
      </c>
      <c r="K598" s="77">
        <v>2021</v>
      </c>
      <c r="L598" s="78">
        <v>1</v>
      </c>
      <c r="M598" s="79">
        <v>5000</v>
      </c>
      <c r="N598" s="79">
        <f>Table47910[[#This Row],[Expected Revenue]]*Table47910[[#This Row],[Probability]]</f>
        <v>5000</v>
      </c>
      <c r="O598" s="78">
        <v>0.3</v>
      </c>
      <c r="P598" s="86">
        <v>1500</v>
      </c>
      <c r="Q598" s="210" t="s">
        <v>3159</v>
      </c>
    </row>
    <row r="599" spans="1:17" hidden="1">
      <c r="A599" s="173"/>
      <c r="B599" s="76" t="s">
        <v>104</v>
      </c>
      <c r="C599" s="77" t="s">
        <v>3059</v>
      </c>
      <c r="D599" s="102" t="s">
        <v>3178</v>
      </c>
      <c r="E599" s="77" t="s">
        <v>92</v>
      </c>
      <c r="F599" s="77" t="s">
        <v>58</v>
      </c>
      <c r="G599" s="77" t="s">
        <v>297</v>
      </c>
      <c r="H599" s="77" t="s">
        <v>297</v>
      </c>
      <c r="I599" s="76"/>
      <c r="J599" s="110" t="s">
        <v>222</v>
      </c>
      <c r="K599" s="77">
        <v>2021</v>
      </c>
      <c r="L599" s="78">
        <v>1</v>
      </c>
      <c r="M599" s="79">
        <v>10000</v>
      </c>
      <c r="N599" s="79">
        <f>Table47910[[#This Row],[Expected Revenue]]*Table47910[[#This Row],[Probability]]</f>
        <v>10000</v>
      </c>
      <c r="O599" s="78"/>
      <c r="P599" s="86">
        <v>0</v>
      </c>
      <c r="Q599" s="210" t="s">
        <v>3159</v>
      </c>
    </row>
    <row r="600" spans="1:17" hidden="1">
      <c r="A600" s="173"/>
      <c r="B600" s="76" t="s">
        <v>117</v>
      </c>
      <c r="C600" s="77" t="s">
        <v>3059</v>
      </c>
      <c r="D600" s="102" t="s">
        <v>3178</v>
      </c>
      <c r="E600" s="77" t="s">
        <v>92</v>
      </c>
      <c r="F600" s="77" t="s">
        <v>58</v>
      </c>
      <c r="G600" s="77" t="s">
        <v>297</v>
      </c>
      <c r="H600" s="77" t="s">
        <v>297</v>
      </c>
      <c r="I600" s="76"/>
      <c r="J600" s="110" t="s">
        <v>222</v>
      </c>
      <c r="K600" s="77">
        <v>2021</v>
      </c>
      <c r="L600" s="78">
        <v>1</v>
      </c>
      <c r="M600" s="79">
        <v>4622</v>
      </c>
      <c r="N600" s="79">
        <f>Table47910[[#This Row],[Expected Revenue]]*Table47910[[#This Row],[Probability]]</f>
        <v>4622</v>
      </c>
      <c r="O600" s="78"/>
      <c r="P600" s="86">
        <v>0</v>
      </c>
      <c r="Q600" s="210" t="s">
        <v>3159</v>
      </c>
    </row>
    <row r="601" spans="1:17" hidden="1">
      <c r="A601" s="173"/>
      <c r="B601" s="76" t="s">
        <v>3180</v>
      </c>
      <c r="C601" s="77" t="s">
        <v>269</v>
      </c>
      <c r="D601" s="102" t="s">
        <v>270</v>
      </c>
      <c r="E601" s="77" t="s">
        <v>281</v>
      </c>
      <c r="F601" s="77" t="s">
        <v>158</v>
      </c>
      <c r="G601" s="77" t="s">
        <v>297</v>
      </c>
      <c r="H601" s="77" t="s">
        <v>297</v>
      </c>
      <c r="I601" s="76"/>
      <c r="J601" s="110" t="s">
        <v>222</v>
      </c>
      <c r="K601" s="77">
        <v>2021</v>
      </c>
      <c r="L601" s="78">
        <v>1</v>
      </c>
      <c r="M601" s="79">
        <v>50000</v>
      </c>
      <c r="N601" s="79">
        <f>Table47910[[#This Row],[Expected Revenue]]*Table47910[[#This Row],[Probability]]</f>
        <v>50000</v>
      </c>
      <c r="O601" s="78"/>
      <c r="P601" s="86">
        <v>0</v>
      </c>
      <c r="Q601" s="210" t="s">
        <v>3159</v>
      </c>
    </row>
    <row r="602" spans="1:17" hidden="1">
      <c r="A602" s="173"/>
      <c r="B602" s="76" t="s">
        <v>146</v>
      </c>
      <c r="C602" s="77" t="s">
        <v>3059</v>
      </c>
      <c r="D602" s="102" t="s">
        <v>3182</v>
      </c>
      <c r="E602" s="77" t="s">
        <v>71</v>
      </c>
      <c r="F602" s="77" t="s">
        <v>58</v>
      </c>
      <c r="G602" s="77" t="s">
        <v>297</v>
      </c>
      <c r="H602" s="77" t="s">
        <v>297</v>
      </c>
      <c r="I602" s="76"/>
      <c r="J602" s="110" t="s">
        <v>222</v>
      </c>
      <c r="K602" s="77">
        <v>2021</v>
      </c>
      <c r="L602" s="78">
        <v>1</v>
      </c>
      <c r="M602" s="79">
        <v>30939</v>
      </c>
      <c r="N602" s="79">
        <f>Table47910[[#This Row],[Expected Revenue]]*Table47910[[#This Row],[Probability]]</f>
        <v>30939</v>
      </c>
      <c r="O602" s="78"/>
      <c r="P602" s="86">
        <v>0</v>
      </c>
      <c r="Q602" s="209" t="s">
        <v>3068</v>
      </c>
    </row>
    <row r="603" spans="1:17" hidden="1">
      <c r="A603" s="173"/>
      <c r="B603" s="76" t="s">
        <v>296</v>
      </c>
      <c r="C603" s="77"/>
      <c r="D603" s="102" t="s">
        <v>296</v>
      </c>
      <c r="E603" s="77" t="s">
        <v>251</v>
      </c>
      <c r="F603" s="77" t="s">
        <v>58</v>
      </c>
      <c r="G603" s="77" t="s">
        <v>3181</v>
      </c>
      <c r="H603" s="77" t="s">
        <v>296</v>
      </c>
      <c r="I603" s="76"/>
      <c r="J603" s="110" t="s">
        <v>222</v>
      </c>
      <c r="K603" s="77">
        <v>2021</v>
      </c>
      <c r="L603" s="78">
        <v>1</v>
      </c>
      <c r="M603" s="79">
        <v>150000</v>
      </c>
      <c r="N603" s="79">
        <v>100000</v>
      </c>
      <c r="O603" s="78"/>
      <c r="P603" s="86">
        <v>0</v>
      </c>
      <c r="Q603" s="210" t="s">
        <v>3159</v>
      </c>
    </row>
    <row r="604" spans="1:17" hidden="1">
      <c r="A604" s="173"/>
      <c r="B604" s="76" t="s">
        <v>104</v>
      </c>
      <c r="C604" s="77" t="s">
        <v>3059</v>
      </c>
      <c r="D604" s="102" t="s">
        <v>3207</v>
      </c>
      <c r="E604" s="77" t="s">
        <v>92</v>
      </c>
      <c r="F604" s="77" t="s">
        <v>58</v>
      </c>
      <c r="G604" s="77" t="s">
        <v>297</v>
      </c>
      <c r="H604" s="77" t="s">
        <v>297</v>
      </c>
      <c r="I604" s="76"/>
      <c r="J604" s="110" t="s">
        <v>222</v>
      </c>
      <c r="K604" s="77">
        <v>2021</v>
      </c>
      <c r="L604" s="78">
        <v>1</v>
      </c>
      <c r="M604" s="79">
        <v>10000</v>
      </c>
      <c r="N604" s="79">
        <f>Table47910[[#This Row],[Expected Revenue]]*Table47910[[#This Row],[Probability]]</f>
        <v>10000</v>
      </c>
      <c r="O604" s="78"/>
      <c r="P604" s="86">
        <v>0</v>
      </c>
      <c r="Q604" s="210" t="s">
        <v>3159</v>
      </c>
    </row>
    <row r="605" spans="1:17" hidden="1">
      <c r="A605" s="173"/>
      <c r="B605" s="76" t="s">
        <v>282</v>
      </c>
      <c r="C605" s="77" t="s">
        <v>283</v>
      </c>
      <c r="D605" s="102" t="s">
        <v>284</v>
      </c>
      <c r="E605" s="77" t="s">
        <v>92</v>
      </c>
      <c r="F605" s="77" t="s">
        <v>58</v>
      </c>
      <c r="G605" s="77" t="s">
        <v>297</v>
      </c>
      <c r="H605" s="77" t="s">
        <v>297</v>
      </c>
      <c r="I605" s="76" t="s">
        <v>3212</v>
      </c>
      <c r="J605" s="110" t="s">
        <v>222</v>
      </c>
      <c r="K605" s="77">
        <v>2021</v>
      </c>
      <c r="L605" s="78">
        <v>1</v>
      </c>
      <c r="M605" s="79">
        <v>29000</v>
      </c>
      <c r="N605" s="79">
        <f>Table47910[[#This Row],[Expected Revenue]]*Table47910[[#This Row],[Probability]]</f>
        <v>29000</v>
      </c>
      <c r="O605" s="78"/>
      <c r="P605" s="86">
        <v>0</v>
      </c>
      <c r="Q605" s="210" t="s">
        <v>3159</v>
      </c>
    </row>
    <row r="606" spans="1:17" hidden="1">
      <c r="A606" s="173"/>
      <c r="B606" s="76" t="s">
        <v>235</v>
      </c>
      <c r="C606" s="77" t="s">
        <v>57</v>
      </c>
      <c r="D606" s="102" t="s">
        <v>3232</v>
      </c>
      <c r="E606" s="77" t="s">
        <v>71</v>
      </c>
      <c r="F606" s="77" t="s">
        <v>58</v>
      </c>
      <c r="G606" s="77" t="s">
        <v>297</v>
      </c>
      <c r="H606" s="77" t="s">
        <v>295</v>
      </c>
      <c r="I606" s="76"/>
      <c r="J606" s="110"/>
      <c r="K606" s="77">
        <v>2021</v>
      </c>
      <c r="L606" s="78">
        <v>1</v>
      </c>
      <c r="M606" s="79">
        <v>15000</v>
      </c>
      <c r="N606" s="79">
        <f>Table47910[[#This Row],[Expected Revenue]]*Table47910[[#This Row],[Probability]]</f>
        <v>15000</v>
      </c>
      <c r="O606" s="78"/>
      <c r="P606" s="86">
        <f>Table47910[[#This Row],[Expected Revenue]]*Table47910[[#This Row],[Expected CMR]]</f>
        <v>0</v>
      </c>
      <c r="Q606" s="210"/>
    </row>
    <row r="607" spans="1:17" hidden="1">
      <c r="A607" s="173" t="s">
        <v>3243</v>
      </c>
      <c r="B607" s="76" t="s">
        <v>146</v>
      </c>
      <c r="C607" s="77" t="s">
        <v>3059</v>
      </c>
      <c r="D607" s="102" t="s">
        <v>3176</v>
      </c>
      <c r="E607" s="77" t="s">
        <v>291</v>
      </c>
      <c r="F607" s="77" t="s">
        <v>58</v>
      </c>
      <c r="G607" s="77" t="s">
        <v>295</v>
      </c>
      <c r="H607" s="77" t="s">
        <v>290</v>
      </c>
      <c r="I607" s="76"/>
      <c r="J607" s="110" t="s">
        <v>68</v>
      </c>
      <c r="K607" s="77">
        <v>2020</v>
      </c>
      <c r="L607" s="78">
        <v>1</v>
      </c>
      <c r="M607" s="79">
        <v>40000</v>
      </c>
      <c r="N607" s="208">
        <v>58000</v>
      </c>
      <c r="O607" s="78">
        <v>0.3</v>
      </c>
      <c r="P607" s="79">
        <f>Table47910[[#This Row],[Expected Revenue]]*Table47910[[#This Row],[Expected CMR]]</f>
        <v>12000</v>
      </c>
      <c r="Q607" s="210"/>
    </row>
    <row r="608" spans="1:17" hidden="1">
      <c r="A608" s="173" t="s">
        <v>3244</v>
      </c>
      <c r="B608" s="76" t="s">
        <v>114</v>
      </c>
      <c r="C608" s="77" t="s">
        <v>3059</v>
      </c>
      <c r="D608" s="102" t="s">
        <v>3221</v>
      </c>
      <c r="E608" s="77" t="s">
        <v>92</v>
      </c>
      <c r="F608" s="77" t="s">
        <v>58</v>
      </c>
      <c r="G608" s="77" t="s">
        <v>295</v>
      </c>
      <c r="H608" s="77" t="s">
        <v>290</v>
      </c>
      <c r="I608" s="76"/>
      <c r="J608" s="110" t="s">
        <v>68</v>
      </c>
      <c r="K608" s="77">
        <v>2020</v>
      </c>
      <c r="L608" s="78">
        <v>1</v>
      </c>
      <c r="M608" s="79">
        <v>18622.271250000002</v>
      </c>
      <c r="N608" s="208">
        <f>Table47910[[#This Row],[Expected Revenue]]*Table47910[[#This Row],[Probability]]</f>
        <v>18622.271250000002</v>
      </c>
      <c r="O608" s="78"/>
      <c r="P608" s="86">
        <f>Table47910[[#This Row],[Expected Revenue]]*Table47910[[#This Row],[Expected CMR]]</f>
        <v>0</v>
      </c>
      <c r="Q608" s="210"/>
    </row>
    <row r="609" spans="1:17" hidden="1">
      <c r="A609" s="173"/>
      <c r="B609" s="76" t="s">
        <v>2355</v>
      </c>
      <c r="C609" s="77" t="s">
        <v>311</v>
      </c>
      <c r="D609" s="102" t="s">
        <v>3245</v>
      </c>
      <c r="E609" s="77" t="s">
        <v>62</v>
      </c>
      <c r="F609" s="77" t="s">
        <v>58</v>
      </c>
      <c r="G609" s="77" t="s">
        <v>257</v>
      </c>
      <c r="H609" s="77" t="s">
        <v>257</v>
      </c>
      <c r="I609" s="76"/>
      <c r="J609" s="110" t="s">
        <v>219</v>
      </c>
      <c r="K609" s="77">
        <v>2021</v>
      </c>
      <c r="L609" s="78">
        <v>0.1</v>
      </c>
      <c r="M609" s="79">
        <v>30000</v>
      </c>
      <c r="N609" s="86">
        <f>Table47910[[#This Row],[Expected Revenue]]*Table47910[[#This Row],[Probability]]</f>
        <v>3000</v>
      </c>
      <c r="O609" s="78"/>
      <c r="P609" s="86">
        <f>Table47910[[#This Row],[Expected Revenue]]*Table47910[[#This Row],[Expected CMR]]</f>
        <v>0</v>
      </c>
      <c r="Q609" s="210"/>
    </row>
    <row r="610" spans="1:17" hidden="1">
      <c r="A610" s="173"/>
      <c r="B610" s="76" t="s">
        <v>146</v>
      </c>
      <c r="C610" s="77" t="s">
        <v>57</v>
      </c>
      <c r="D610" s="102" t="s">
        <v>71</v>
      </c>
      <c r="E610" s="77" t="s">
        <v>71</v>
      </c>
      <c r="F610" s="77" t="s">
        <v>58</v>
      </c>
      <c r="G610" s="77" t="s">
        <v>295</v>
      </c>
      <c r="H610" s="77" t="s">
        <v>295</v>
      </c>
      <c r="I610" s="76"/>
      <c r="J610" s="110" t="s">
        <v>229</v>
      </c>
      <c r="K610" s="77">
        <v>2020</v>
      </c>
      <c r="L610" s="78">
        <v>1</v>
      </c>
      <c r="M610" s="79">
        <v>30000</v>
      </c>
      <c r="N610" s="207">
        <v>30000</v>
      </c>
      <c r="O610" s="78"/>
      <c r="P610" s="86">
        <f>Table47910[[#This Row],[Expected Revenue]]*Table47910[[#This Row],[Expected CMR]]</f>
        <v>0</v>
      </c>
      <c r="Q610" s="210"/>
    </row>
    <row r="611" spans="1:17" hidden="1">
      <c r="A611" s="173" t="s">
        <v>3246</v>
      </c>
      <c r="B611" s="76" t="s">
        <v>114</v>
      </c>
      <c r="C611" s="77" t="s">
        <v>3059</v>
      </c>
      <c r="D611" s="102" t="s">
        <v>3176</v>
      </c>
      <c r="E611" s="77" t="s">
        <v>291</v>
      </c>
      <c r="F611" s="77" t="s">
        <v>58</v>
      </c>
      <c r="G611" s="77" t="s">
        <v>295</v>
      </c>
      <c r="H611" s="77" t="s">
        <v>290</v>
      </c>
      <c r="I611" s="76"/>
      <c r="J611" s="110" t="s">
        <v>231</v>
      </c>
      <c r="K611" s="77">
        <v>2020</v>
      </c>
      <c r="L611" s="78">
        <v>1</v>
      </c>
      <c r="M611" s="79">
        <v>58784.22</v>
      </c>
      <c r="N611" s="208">
        <v>28000</v>
      </c>
      <c r="O611" s="78"/>
      <c r="P611" s="86">
        <f>Table47910[[#This Row],[Expected Revenue]]*Table47910[[#This Row],[Expected CMR]]</f>
        <v>0</v>
      </c>
      <c r="Q611" s="210"/>
    </row>
    <row r="612" spans="1:17" hidden="1">
      <c r="A612" s="173" t="s">
        <v>3246</v>
      </c>
      <c r="B612" s="76" t="s">
        <v>114</v>
      </c>
      <c r="C612" s="77" t="s">
        <v>3059</v>
      </c>
      <c r="D612" s="102" t="s">
        <v>3176</v>
      </c>
      <c r="E612" s="77" t="s">
        <v>291</v>
      </c>
      <c r="F612" s="77" t="s">
        <v>58</v>
      </c>
      <c r="G612" s="77" t="s">
        <v>295</v>
      </c>
      <c r="H612" s="77" t="s">
        <v>290</v>
      </c>
      <c r="I612" s="76"/>
      <c r="J612" s="110" t="s">
        <v>68</v>
      </c>
      <c r="K612" s="77">
        <v>2021</v>
      </c>
      <c r="L612" s="78">
        <v>1</v>
      </c>
      <c r="M612" s="208">
        <v>58784.22</v>
      </c>
      <c r="N612" s="79"/>
      <c r="O612" s="86">
        <v>0</v>
      </c>
      <c r="P612" s="210"/>
      <c r="Q612" s="980"/>
    </row>
    <row r="613" spans="1:17" hidden="1">
      <c r="A613" s="173" t="s">
        <v>3247</v>
      </c>
      <c r="B613" s="76" t="s">
        <v>114</v>
      </c>
      <c r="C613" s="77" t="s">
        <v>3059</v>
      </c>
      <c r="D613" s="102" t="s">
        <v>3182</v>
      </c>
      <c r="E613" s="77" t="s">
        <v>71</v>
      </c>
      <c r="F613" s="77" t="s">
        <v>58</v>
      </c>
      <c r="G613" s="77" t="s">
        <v>295</v>
      </c>
      <c r="H613" s="77" t="s">
        <v>290</v>
      </c>
      <c r="I613" s="76"/>
      <c r="J613" s="110" t="s">
        <v>68</v>
      </c>
      <c r="K613" s="77">
        <v>2021</v>
      </c>
      <c r="L613" s="78">
        <v>1</v>
      </c>
      <c r="M613" s="79">
        <v>30629.61</v>
      </c>
      <c r="N613" s="208"/>
      <c r="O613" s="78"/>
      <c r="P613" s="86">
        <f>Table47910[[#This Row],[Expected Revenue]]*Table47910[[#This Row],[Expected CMR]]</f>
        <v>0</v>
      </c>
      <c r="Q613" s="210"/>
    </row>
    <row r="614" spans="1:17" hidden="1">
      <c r="A614" s="173"/>
      <c r="B614" s="76" t="s">
        <v>296</v>
      </c>
      <c r="C614" s="77"/>
      <c r="D614" s="102"/>
      <c r="E614" s="77" t="s">
        <v>251</v>
      </c>
      <c r="F614" s="77" t="s">
        <v>58</v>
      </c>
      <c r="G614" s="77" t="s">
        <v>3181</v>
      </c>
      <c r="H614" s="77" t="s">
        <v>296</v>
      </c>
      <c r="I614" s="76"/>
      <c r="J614" s="110" t="s">
        <v>68</v>
      </c>
      <c r="K614" s="77">
        <v>2020</v>
      </c>
      <c r="L614" s="78">
        <v>1</v>
      </c>
      <c r="M614" s="79">
        <v>100000</v>
      </c>
      <c r="N614" s="208">
        <f>Table47910[[#This Row],[Expected Revenue]]*Table47910[[#This Row],[Probability]]</f>
        <v>100000</v>
      </c>
      <c r="O614" s="78"/>
      <c r="P614" s="86">
        <f>Table47910[[#This Row],[Expected Revenue]]*Table47910[[#This Row],[Expected CMR]]</f>
        <v>0</v>
      </c>
      <c r="Q614" s="210"/>
    </row>
    <row r="615" spans="1:17" hidden="1">
      <c r="A615" s="173"/>
      <c r="B615" s="76" t="s">
        <v>114</v>
      </c>
      <c r="C615" s="77" t="s">
        <v>57</v>
      </c>
      <c r="D615" s="102" t="s">
        <v>3232</v>
      </c>
      <c r="E615" s="77" t="s">
        <v>71</v>
      </c>
      <c r="F615" s="77" t="s">
        <v>58</v>
      </c>
      <c r="G615" s="77" t="s">
        <v>295</v>
      </c>
      <c r="H615" s="77" t="s">
        <v>295</v>
      </c>
      <c r="I615" s="76"/>
      <c r="J615" s="110" t="s">
        <v>80</v>
      </c>
      <c r="K615" s="77">
        <v>2021</v>
      </c>
      <c r="L615" s="78">
        <v>1</v>
      </c>
      <c r="M615" s="79">
        <v>15000</v>
      </c>
      <c r="N615" s="79">
        <f>Table47910[[#This Row],[Expected Revenue]]*Table47910[[#This Row],[Probability]]</f>
        <v>15000</v>
      </c>
      <c r="O615" s="78"/>
      <c r="P615" s="86">
        <f>Table47910[[#This Row],[Expected Revenue]]*Table47910[[#This Row],[Expected CMR]]</f>
        <v>0</v>
      </c>
      <c r="Q615" s="210"/>
    </row>
    <row r="616" spans="1:17" hidden="1">
      <c r="A616" s="173"/>
      <c r="B616" s="76" t="s">
        <v>73</v>
      </c>
      <c r="C616" s="77" t="s">
        <v>57</v>
      </c>
      <c r="D616" s="102" t="s">
        <v>3232</v>
      </c>
      <c r="E616" s="77" t="s">
        <v>71</v>
      </c>
      <c r="F616" s="77" t="s">
        <v>58</v>
      </c>
      <c r="G616" s="77" t="s">
        <v>297</v>
      </c>
      <c r="H616" s="77" t="s">
        <v>295</v>
      </c>
      <c r="I616" s="76"/>
      <c r="J616" s="110"/>
      <c r="K616" s="77">
        <v>2021</v>
      </c>
      <c r="L616" s="78">
        <v>1</v>
      </c>
      <c r="M616" s="79">
        <v>15000</v>
      </c>
      <c r="N616" s="79">
        <f>Table47910[[#This Row],[Expected Revenue]]*Table47910[[#This Row],[Probability]]</f>
        <v>15000</v>
      </c>
      <c r="O616" s="78"/>
      <c r="P616" s="86">
        <f>Table47910[[#This Row],[Expected Revenue]]*Table47910[[#This Row],[Expected CMR]]</f>
        <v>0</v>
      </c>
      <c r="Q616" s="210"/>
    </row>
    <row r="617" spans="1:17" hidden="1">
      <c r="A617" s="173"/>
      <c r="B617" s="76" t="s">
        <v>114</v>
      </c>
      <c r="C617" s="77" t="s">
        <v>57</v>
      </c>
      <c r="D617" s="102" t="s">
        <v>3213</v>
      </c>
      <c r="E617" s="77" t="s">
        <v>92</v>
      </c>
      <c r="F617" s="77" t="s">
        <v>58</v>
      </c>
      <c r="G617" s="77" t="s">
        <v>297</v>
      </c>
      <c r="H617" s="77" t="s">
        <v>297</v>
      </c>
      <c r="I617" s="76" t="s">
        <v>3214</v>
      </c>
      <c r="J617" s="110" t="s">
        <v>222</v>
      </c>
      <c r="K617" s="77">
        <v>2021</v>
      </c>
      <c r="L617" s="78">
        <v>1</v>
      </c>
      <c r="M617" s="79">
        <v>5000</v>
      </c>
      <c r="N617" s="86">
        <v>5000</v>
      </c>
      <c r="O617" s="78"/>
      <c r="P617" s="86">
        <v>0</v>
      </c>
      <c r="Q617" s="209" t="s">
        <v>3068</v>
      </c>
    </row>
    <row r="618" spans="1:17" ht="15" hidden="1" customHeight="1">
      <c r="A618" s="173"/>
      <c r="B618" s="76"/>
      <c r="C618" s="77"/>
      <c r="D618" s="102"/>
      <c r="E618" s="77"/>
      <c r="F618" s="77"/>
      <c r="G618" s="77"/>
      <c r="H618" s="77"/>
      <c r="I618" s="76"/>
      <c r="J618" s="110"/>
      <c r="K618" s="77"/>
      <c r="L618" s="77"/>
      <c r="M618" s="77"/>
      <c r="N618" s="86">
        <f>Table47910[[#This Row],[Expected Revenue]]*Table47910[[#This Row],[Probability]]</f>
        <v>0</v>
      </c>
      <c r="O618" s="78"/>
      <c r="P618" s="86">
        <f>Table47910[[#This Row],[Expected Revenue]]*Table47910[[#This Row],[Expected CMR]]</f>
        <v>0</v>
      </c>
      <c r="Q618" s="210"/>
    </row>
    <row r="619" spans="1:17" ht="15" hidden="1" customHeight="1">
      <c r="A619" s="173"/>
      <c r="B619" s="76"/>
      <c r="C619" s="77"/>
      <c r="D619" s="102"/>
      <c r="E619" s="77"/>
      <c r="F619" s="77"/>
      <c r="G619" s="77"/>
      <c r="H619" s="77"/>
      <c r="I619" s="76"/>
      <c r="J619" s="110"/>
      <c r="K619" s="77"/>
      <c r="L619" s="77"/>
      <c r="M619" s="77"/>
      <c r="N619" s="86">
        <f>Table47910[[#This Row],[Expected Revenue]]*Table47910[[#This Row],[Probability]]</f>
        <v>0</v>
      </c>
      <c r="O619" s="78"/>
      <c r="P619" s="86">
        <f>Table47910[[#This Row],[Expected Revenue]]*Table47910[[#This Row],[Expected CMR]]</f>
        <v>0</v>
      </c>
      <c r="Q619" s="210"/>
    </row>
    <row r="620" spans="1:17" hidden="1">
      <c r="A620" s="173"/>
      <c r="B620" s="76"/>
      <c r="C620" s="77"/>
      <c r="D620" s="102"/>
      <c r="E620" s="77"/>
      <c r="F620" s="77"/>
      <c r="G620" s="77"/>
      <c r="H620" s="77"/>
      <c r="I620" s="76"/>
      <c r="J620" s="110"/>
      <c r="K620" s="77"/>
      <c r="L620" s="77"/>
      <c r="M620" s="77"/>
      <c r="N620" s="86">
        <f>Table47910[[#This Row],[Expected Revenue]]*Table47910[[#This Row],[Probability]]</f>
        <v>0</v>
      </c>
      <c r="O620" s="78"/>
      <c r="P620" s="86">
        <f>Table47910[[#This Row],[Expected Revenue]]*Table47910[[#This Row],[Expected CMR]]</f>
        <v>0</v>
      </c>
      <c r="Q620" s="210"/>
    </row>
    <row r="621" spans="1:17" hidden="1">
      <c r="A621" s="173"/>
      <c r="B621" s="76"/>
      <c r="C621" s="77"/>
      <c r="D621" s="102"/>
      <c r="E621" s="77"/>
      <c r="F621" s="77"/>
      <c r="G621" s="77"/>
      <c r="H621" s="77"/>
      <c r="I621" s="76"/>
      <c r="J621" s="110"/>
      <c r="K621" s="77"/>
      <c r="L621" s="77"/>
      <c r="M621" s="77"/>
      <c r="N621" s="86">
        <f>Table47910[[#This Row],[Expected Revenue]]*Table47910[[#This Row],[Probability]]</f>
        <v>0</v>
      </c>
      <c r="O621" s="78"/>
      <c r="P621" s="86">
        <f>Table47910[[#This Row],[Expected Revenue]]*Table47910[[#This Row],[Expected CMR]]</f>
        <v>0</v>
      </c>
      <c r="Q621" s="210"/>
    </row>
    <row r="622" spans="1:17" hidden="1">
      <c r="A622" s="173"/>
      <c r="B622" s="76"/>
      <c r="C622" s="77"/>
      <c r="D622" s="102"/>
      <c r="E622" s="77"/>
      <c r="F622" s="77"/>
      <c r="G622" s="77"/>
      <c r="H622" s="77"/>
      <c r="I622" s="76"/>
      <c r="J622" s="110"/>
      <c r="K622" s="77"/>
      <c r="L622" s="77"/>
      <c r="M622" s="77"/>
      <c r="N622" s="86">
        <f>Table47910[[#This Row],[Expected Revenue]]*Table47910[[#This Row],[Probability]]</f>
        <v>0</v>
      </c>
      <c r="O622" s="78"/>
      <c r="P622" s="86">
        <f>Table47910[[#This Row],[Expected Revenue]]*Table47910[[#This Row],[Expected CMR]]</f>
        <v>0</v>
      </c>
      <c r="Q622" s="210"/>
    </row>
    <row r="623" spans="1:17" hidden="1">
      <c r="A623" s="173"/>
      <c r="B623" s="76"/>
      <c r="C623" s="77"/>
      <c r="D623" s="102"/>
      <c r="E623" s="77"/>
      <c r="F623" s="77"/>
      <c r="G623" s="77"/>
      <c r="H623" s="77"/>
      <c r="I623" s="76"/>
      <c r="J623" s="110"/>
      <c r="K623" s="77"/>
      <c r="L623" s="77"/>
      <c r="M623" s="77"/>
      <c r="N623" s="86">
        <f>Table47910[[#This Row],[Expected Revenue]]*Table47910[[#This Row],[Probability]]</f>
        <v>0</v>
      </c>
      <c r="O623" s="78"/>
      <c r="P623" s="86">
        <f>Table47910[[#This Row],[Expected Revenue]]*Table47910[[#This Row],[Expected CMR]]</f>
        <v>0</v>
      </c>
      <c r="Q623" s="210"/>
    </row>
    <row r="624" spans="1:17" hidden="1">
      <c r="A624" s="173"/>
      <c r="B624" s="76"/>
      <c r="C624" s="77"/>
      <c r="D624" s="102"/>
      <c r="E624" s="77"/>
      <c r="F624" s="77"/>
      <c r="G624" s="77"/>
      <c r="H624" s="77"/>
      <c r="I624" s="76"/>
      <c r="J624" s="110"/>
      <c r="K624" s="77"/>
      <c r="L624" s="77"/>
      <c r="M624" s="77"/>
      <c r="N624" s="86">
        <f>Table47910[[#This Row],[Expected Revenue]]*Table47910[[#This Row],[Probability]]</f>
        <v>0</v>
      </c>
      <c r="O624" s="78"/>
      <c r="P624" s="86">
        <f>Table47910[[#This Row],[Expected Revenue]]*Table47910[[#This Row],[Expected CMR]]</f>
        <v>0</v>
      </c>
      <c r="Q624" s="210"/>
    </row>
    <row r="625" spans="1:17" hidden="1">
      <c r="A625" s="173"/>
      <c r="B625" s="76"/>
      <c r="C625" s="77"/>
      <c r="D625" s="102"/>
      <c r="E625" s="77"/>
      <c r="F625" s="77"/>
      <c r="G625" s="77"/>
      <c r="H625" s="77"/>
      <c r="I625" s="76"/>
      <c r="J625" s="110"/>
      <c r="K625" s="77"/>
      <c r="L625" s="77"/>
      <c r="M625" s="77"/>
      <c r="N625" s="86">
        <f>Table47910[[#This Row],[Expected Revenue]]*Table47910[[#This Row],[Probability]]</f>
        <v>0</v>
      </c>
      <c r="O625" s="78"/>
      <c r="P625" s="86">
        <f>Table47910[[#This Row],[Expected Revenue]]*Table47910[[#This Row],[Expected CMR]]</f>
        <v>0</v>
      </c>
      <c r="Q625" s="210"/>
    </row>
    <row r="626" spans="1:17" hidden="1">
      <c r="A626" s="173"/>
      <c r="B626" s="76"/>
      <c r="C626" s="77"/>
      <c r="D626" s="102"/>
      <c r="E626" s="77"/>
      <c r="F626" s="77"/>
      <c r="G626" s="77"/>
      <c r="H626" s="77"/>
      <c r="I626" s="76"/>
      <c r="J626" s="110"/>
      <c r="K626" s="77"/>
      <c r="L626" s="77"/>
      <c r="M626" s="77"/>
      <c r="N626" s="86">
        <f>Table47910[[#This Row],[Expected Revenue]]*Table47910[[#This Row],[Probability]]</f>
        <v>0</v>
      </c>
      <c r="O626" s="78"/>
      <c r="P626" s="86">
        <f>Table47910[[#This Row],[Expected Revenue]]*Table47910[[#This Row],[Expected CMR]]</f>
        <v>0</v>
      </c>
      <c r="Q626" s="210"/>
    </row>
    <row r="627" spans="1:17" hidden="1">
      <c r="A627" s="173"/>
      <c r="B627" s="76" t="s">
        <v>3058</v>
      </c>
      <c r="C627" s="77" t="s">
        <v>3059</v>
      </c>
      <c r="D627" s="102" t="s">
        <v>3060</v>
      </c>
      <c r="E627" s="77" t="s">
        <v>88</v>
      </c>
      <c r="F627" s="77" t="s">
        <v>58</v>
      </c>
      <c r="G627" s="77" t="s">
        <v>297</v>
      </c>
      <c r="H627" s="77" t="s">
        <v>297</v>
      </c>
      <c r="I627" s="76"/>
      <c r="J627" s="110" t="s">
        <v>219</v>
      </c>
      <c r="K627" s="77">
        <v>2021</v>
      </c>
      <c r="L627" s="78">
        <v>1</v>
      </c>
      <c r="M627" s="79">
        <v>13000</v>
      </c>
      <c r="N627" s="215">
        <f>Table47910[[#This Row],[Expected Revenue]]*Table47910[[#This Row],[Probability]]</f>
        <v>13000</v>
      </c>
      <c r="O627" s="78"/>
      <c r="P627" s="86">
        <v>0</v>
      </c>
      <c r="Q627" s="210"/>
    </row>
    <row r="628" spans="1:17" hidden="1">
      <c r="A628" s="173"/>
      <c r="B628" s="76" t="s">
        <v>3058</v>
      </c>
      <c r="C628" s="77" t="s">
        <v>3059</v>
      </c>
      <c r="D628" s="102" t="s">
        <v>3177</v>
      </c>
      <c r="E628" s="77" t="s">
        <v>83</v>
      </c>
      <c r="F628" s="77" t="s">
        <v>58</v>
      </c>
      <c r="G628" s="77" t="s">
        <v>297</v>
      </c>
      <c r="H628" s="77" t="s">
        <v>297</v>
      </c>
      <c r="I628" s="76"/>
      <c r="J628" s="110" t="s">
        <v>219</v>
      </c>
      <c r="K628" s="77">
        <v>2021</v>
      </c>
      <c r="L628" s="78">
        <v>1</v>
      </c>
      <c r="M628" s="79">
        <v>10513.8</v>
      </c>
      <c r="N628" s="215">
        <f>Table47910[[#This Row],[Expected Revenue]]*Table47910[[#This Row],[Probability]]</f>
        <v>10513.8</v>
      </c>
      <c r="O628" s="78"/>
      <c r="P628" s="86">
        <v>0</v>
      </c>
      <c r="Q628" s="210"/>
    </row>
    <row r="629" spans="1:17" hidden="1">
      <c r="A629" s="173"/>
      <c r="B629" s="76" t="s">
        <v>130</v>
      </c>
      <c r="C629" s="77" t="s">
        <v>3059</v>
      </c>
      <c r="D629" s="102" t="s">
        <v>3155</v>
      </c>
      <c r="E629" s="77" t="s">
        <v>92</v>
      </c>
      <c r="F629" s="77" t="s">
        <v>58</v>
      </c>
      <c r="G629" s="77" t="s">
        <v>297</v>
      </c>
      <c r="H629" s="77" t="s">
        <v>297</v>
      </c>
      <c r="I629" s="76"/>
      <c r="J629" s="110" t="s">
        <v>219</v>
      </c>
      <c r="K629" s="77">
        <v>2021</v>
      </c>
      <c r="L629" s="78">
        <v>1</v>
      </c>
      <c r="M629" s="79">
        <v>7000</v>
      </c>
      <c r="N629" s="215">
        <f>Table47910[[#This Row],[Expected Revenue]]*Table47910[[#This Row],[Probability]]</f>
        <v>7000</v>
      </c>
      <c r="O629" s="78"/>
      <c r="P629" s="86"/>
      <c r="Q629" s="210"/>
    </row>
    <row r="630" spans="1:17" hidden="1">
      <c r="A630" s="173"/>
      <c r="B630" s="76" t="s">
        <v>130</v>
      </c>
      <c r="C630" s="77" t="s">
        <v>3059</v>
      </c>
      <c r="D630" s="102" t="s">
        <v>3060</v>
      </c>
      <c r="E630" s="77" t="s">
        <v>88</v>
      </c>
      <c r="F630" s="77" t="s">
        <v>58</v>
      </c>
      <c r="G630" s="77" t="s">
        <v>297</v>
      </c>
      <c r="H630" s="77" t="s">
        <v>297</v>
      </c>
      <c r="I630" s="76"/>
      <c r="J630" s="110" t="s">
        <v>219</v>
      </c>
      <c r="K630" s="77">
        <v>2021</v>
      </c>
      <c r="L630" s="78">
        <v>1</v>
      </c>
      <c r="M630" s="79">
        <v>12000</v>
      </c>
      <c r="N630" s="215">
        <f>Table47910[[#This Row],[Expected Revenue]]*Table47910[[#This Row],[Probability]]</f>
        <v>12000</v>
      </c>
      <c r="O630" s="78"/>
      <c r="P630" s="86">
        <v>0</v>
      </c>
      <c r="Q630" s="210"/>
    </row>
    <row r="631" spans="1:17" hidden="1">
      <c r="A631" s="75" t="s">
        <v>3095</v>
      </c>
      <c r="B631" s="76" t="s">
        <v>137</v>
      </c>
      <c r="C631" s="77" t="s">
        <v>57</v>
      </c>
      <c r="D631" s="102" t="s">
        <v>97</v>
      </c>
      <c r="E631" s="77" t="s">
        <v>92</v>
      </c>
      <c r="F631" s="77" t="s">
        <v>58</v>
      </c>
      <c r="G631" s="77" t="s">
        <v>297</v>
      </c>
      <c r="H631" s="77" t="s">
        <v>297</v>
      </c>
      <c r="I631" s="77"/>
      <c r="J631" s="110" t="s">
        <v>219</v>
      </c>
      <c r="K631" s="77">
        <v>2021</v>
      </c>
      <c r="L631" s="78">
        <v>1</v>
      </c>
      <c r="M631" s="79">
        <v>10000</v>
      </c>
      <c r="N631" s="215">
        <f>Table47910[[#This Row],[Expected Revenue]]*Table47910[[#This Row],[Probability]]</f>
        <v>10000</v>
      </c>
      <c r="O631" s="78">
        <v>0.3</v>
      </c>
      <c r="P631" s="79">
        <v>3000</v>
      </c>
      <c r="Q631" s="209"/>
    </row>
    <row r="632" spans="1:17" hidden="1">
      <c r="A632" s="173"/>
      <c r="B632" s="76" t="s">
        <v>296</v>
      </c>
      <c r="C632" s="77"/>
      <c r="D632" s="102"/>
      <c r="E632" s="77" t="s">
        <v>251</v>
      </c>
      <c r="F632" s="77" t="s">
        <v>58</v>
      </c>
      <c r="G632" s="77" t="s">
        <v>296</v>
      </c>
      <c r="H632" s="77" t="s">
        <v>296</v>
      </c>
      <c r="I632" s="76"/>
      <c r="J632" s="110" t="s">
        <v>219</v>
      </c>
      <c r="K632" s="77">
        <v>2021</v>
      </c>
      <c r="L632" s="78">
        <v>1</v>
      </c>
      <c r="M632" s="79">
        <v>225000</v>
      </c>
      <c r="N632" s="79">
        <v>100000</v>
      </c>
      <c r="O632" s="78"/>
      <c r="P632" s="86">
        <v>0</v>
      </c>
      <c r="Q632" s="210"/>
    </row>
    <row r="633" spans="1:17" hidden="1">
      <c r="A633" s="173"/>
      <c r="B633" s="76"/>
      <c r="C633" s="77"/>
      <c r="D633" s="102"/>
      <c r="E633" s="77"/>
      <c r="F633" s="77"/>
      <c r="G633" s="77"/>
      <c r="H633" s="77"/>
      <c r="I633" s="76"/>
      <c r="J633" s="110"/>
      <c r="K633" s="77"/>
      <c r="L633" s="77"/>
      <c r="M633" s="77"/>
      <c r="N633" s="86">
        <f>Table47910[[#This Row],[Expected Revenue]]*Table47910[[#This Row],[Probability]]</f>
        <v>0</v>
      </c>
      <c r="O633" s="78"/>
      <c r="P633" s="86">
        <f>Table47910[[#This Row],[Expected Revenue]]*Table47910[[#This Row],[Expected CMR]]</f>
        <v>0</v>
      </c>
      <c r="Q633" s="210"/>
    </row>
    <row r="634" spans="1:17" hidden="1">
      <c r="A634" s="173"/>
      <c r="B634" s="76"/>
      <c r="C634" s="77"/>
      <c r="D634" s="102"/>
      <c r="E634" s="77"/>
      <c r="F634" s="77"/>
      <c r="G634" s="77"/>
      <c r="H634" s="77"/>
      <c r="I634" s="76"/>
      <c r="J634" s="110"/>
      <c r="K634" s="77"/>
      <c r="L634" s="77"/>
      <c r="M634" s="77"/>
      <c r="N634" s="86">
        <f>Table47910[[#This Row],[Expected Revenue]]*Table47910[[#This Row],[Probability]]</f>
        <v>0</v>
      </c>
      <c r="O634" s="78"/>
      <c r="P634" s="86">
        <f>Table47910[[#This Row],[Expected Revenue]]*Table47910[[#This Row],[Expected CMR]]</f>
        <v>0</v>
      </c>
      <c r="Q634" s="210"/>
    </row>
    <row r="635" spans="1:17" hidden="1">
      <c r="A635" s="173"/>
      <c r="B635" s="76"/>
      <c r="C635" s="77"/>
      <c r="D635" s="102"/>
      <c r="E635" s="77"/>
      <c r="F635" s="77"/>
      <c r="G635" s="77"/>
      <c r="H635" s="77"/>
      <c r="I635" s="76"/>
      <c r="J635" s="110"/>
      <c r="K635" s="77"/>
      <c r="L635" s="77"/>
      <c r="M635" s="77"/>
      <c r="N635" s="86">
        <f>Table47910[[#This Row],[Expected Revenue]]*Table47910[[#This Row],[Probability]]</f>
        <v>0</v>
      </c>
      <c r="O635" s="78"/>
      <c r="P635" s="86">
        <f>Table47910[[#This Row],[Expected Revenue]]*Table47910[[#This Row],[Expected CMR]]</f>
        <v>0</v>
      </c>
      <c r="Q635" s="210"/>
    </row>
    <row r="636" spans="1:17" hidden="1">
      <c r="A636" s="173"/>
      <c r="B636" s="76"/>
      <c r="C636" s="77"/>
      <c r="D636" s="102"/>
      <c r="E636" s="77"/>
      <c r="F636" s="77"/>
      <c r="G636" s="77"/>
      <c r="H636" s="77"/>
      <c r="I636" s="76"/>
      <c r="J636" s="110"/>
      <c r="K636" s="77"/>
      <c r="L636" s="77"/>
      <c r="M636" s="77"/>
      <c r="N636" s="86">
        <f>Table47910[[#This Row],[Expected Revenue]]*Table47910[[#This Row],[Probability]]</f>
        <v>0</v>
      </c>
      <c r="O636" s="78"/>
      <c r="P636" s="86">
        <f>Table47910[[#This Row],[Expected Revenue]]*Table47910[[#This Row],[Expected CMR]]</f>
        <v>0</v>
      </c>
      <c r="Q636" s="210"/>
    </row>
    <row r="637" spans="1:17" hidden="1">
      <c r="A637" s="173"/>
      <c r="B637" s="76"/>
      <c r="C637" s="77"/>
      <c r="D637" s="102"/>
      <c r="E637" s="77"/>
      <c r="F637" s="77"/>
      <c r="G637" s="77"/>
      <c r="H637" s="77"/>
      <c r="I637" s="76"/>
      <c r="J637" s="110"/>
      <c r="K637" s="77"/>
      <c r="L637" s="77"/>
      <c r="M637" s="77"/>
      <c r="N637" s="86">
        <f>Table47910[[#This Row],[Expected Revenue]]*Table47910[[#This Row],[Probability]]</f>
        <v>0</v>
      </c>
      <c r="O637" s="78"/>
      <c r="P637" s="86">
        <f>Table47910[[#This Row],[Expected Revenue]]*Table47910[[#This Row],[Expected CMR]]</f>
        <v>0</v>
      </c>
      <c r="Q637" s="210"/>
    </row>
    <row r="638" spans="1:17" hidden="1">
      <c r="A638" s="173"/>
      <c r="B638" s="76"/>
      <c r="C638" s="77"/>
      <c r="D638" s="102"/>
      <c r="E638" s="77"/>
      <c r="F638" s="77"/>
      <c r="G638" s="77"/>
      <c r="H638" s="77"/>
      <c r="I638" s="76"/>
      <c r="J638" s="110"/>
      <c r="K638" s="77"/>
      <c r="L638" s="77"/>
      <c r="M638" s="77"/>
      <c r="N638" s="86">
        <f>Table47910[[#This Row],[Expected Revenue]]*Table47910[[#This Row],[Probability]]</f>
        <v>0</v>
      </c>
      <c r="O638" s="78"/>
      <c r="P638" s="86">
        <f>Table47910[[#This Row],[Expected Revenue]]*Table47910[[#This Row],[Expected CMR]]</f>
        <v>0</v>
      </c>
      <c r="Q638" s="210"/>
    </row>
    <row r="639" spans="1:17" hidden="1">
      <c r="A639" s="173"/>
      <c r="B639" s="76"/>
      <c r="C639" s="77"/>
      <c r="D639" s="102"/>
      <c r="E639" s="77"/>
      <c r="F639" s="77"/>
      <c r="G639" s="77"/>
      <c r="H639" s="77"/>
      <c r="I639" s="76"/>
      <c r="J639" s="110"/>
      <c r="K639" s="77"/>
      <c r="L639" s="77"/>
      <c r="M639" s="77"/>
      <c r="N639" s="86">
        <f>Table47910[[#This Row],[Expected Revenue]]*Table47910[[#This Row],[Probability]]</f>
        <v>0</v>
      </c>
      <c r="O639" s="78"/>
      <c r="P639" s="86">
        <f>Table47910[[#This Row],[Expected Revenue]]*Table47910[[#This Row],[Expected CMR]]</f>
        <v>0</v>
      </c>
      <c r="Q639" s="210"/>
    </row>
    <row r="640" spans="1:17" hidden="1">
      <c r="A640" s="173"/>
      <c r="B640" s="76"/>
      <c r="C640" s="77"/>
      <c r="D640" s="102"/>
      <c r="E640" s="77"/>
      <c r="F640" s="77"/>
      <c r="G640" s="77"/>
      <c r="H640" s="77"/>
      <c r="I640" s="76"/>
      <c r="J640" s="110"/>
      <c r="K640" s="77"/>
      <c r="L640" s="77"/>
      <c r="M640" s="77"/>
      <c r="N640" s="86">
        <f>Table47910[[#This Row],[Expected Revenue]]*Table47910[[#This Row],[Probability]]</f>
        <v>0</v>
      </c>
      <c r="O640" s="78"/>
      <c r="P640" s="86">
        <f>Table47910[[#This Row],[Expected Revenue]]*Table47910[[#This Row],[Expected CMR]]</f>
        <v>0</v>
      </c>
      <c r="Q640" s="210"/>
    </row>
    <row r="641" spans="1:17" hidden="1">
      <c r="A641" s="173"/>
      <c r="B641" s="76"/>
      <c r="C641" s="77"/>
      <c r="D641" s="102"/>
      <c r="E641" s="77"/>
      <c r="F641" s="77"/>
      <c r="G641" s="77"/>
      <c r="H641" s="77"/>
      <c r="I641" s="76"/>
      <c r="J641" s="110"/>
      <c r="K641" s="77"/>
      <c r="L641" s="77"/>
      <c r="M641" s="77"/>
      <c r="N641" s="86">
        <f>Table47910[[#This Row],[Expected Revenue]]*Table47910[[#This Row],[Probability]]</f>
        <v>0</v>
      </c>
      <c r="O641" s="78"/>
      <c r="P641" s="86">
        <f>Table47910[[#This Row],[Expected Revenue]]*Table47910[[#This Row],[Expected CMR]]</f>
        <v>0</v>
      </c>
      <c r="Q641" s="210"/>
    </row>
    <row r="642" spans="1:17" hidden="1">
      <c r="A642" s="173"/>
      <c r="B642" s="76"/>
      <c r="C642" s="77"/>
      <c r="D642" s="102"/>
      <c r="E642" s="77"/>
      <c r="F642" s="77"/>
      <c r="G642" s="77"/>
      <c r="H642" s="77"/>
      <c r="I642" s="76"/>
      <c r="J642" s="110"/>
      <c r="K642" s="77"/>
      <c r="L642" s="77"/>
      <c r="M642" s="77"/>
      <c r="N642" s="86">
        <f>Table47910[[#This Row],[Expected Revenue]]*Table47910[[#This Row],[Probability]]</f>
        <v>0</v>
      </c>
      <c r="O642" s="78"/>
      <c r="P642" s="86">
        <f>Table47910[[#This Row],[Expected Revenue]]*Table47910[[#This Row],[Expected CMR]]</f>
        <v>0</v>
      </c>
      <c r="Q642" s="210"/>
    </row>
    <row r="643" spans="1:17" hidden="1">
      <c r="A643" s="173"/>
      <c r="B643" s="76"/>
      <c r="C643" s="77"/>
      <c r="D643" s="102"/>
      <c r="E643" s="77"/>
      <c r="F643" s="77"/>
      <c r="G643" s="77"/>
      <c r="H643" s="77"/>
      <c r="I643" s="76"/>
      <c r="J643" s="110"/>
      <c r="K643" s="77"/>
      <c r="L643" s="77"/>
      <c r="M643" s="77"/>
      <c r="N643" s="86">
        <f>Table47910[[#This Row],[Expected Revenue]]*Table47910[[#This Row],[Probability]]</f>
        <v>0</v>
      </c>
      <c r="O643" s="78"/>
      <c r="P643" s="86">
        <f>Table47910[[#This Row],[Expected Revenue]]*Table47910[[#This Row],[Expected CMR]]</f>
        <v>0</v>
      </c>
      <c r="Q643" s="210"/>
    </row>
    <row r="644" spans="1:17" hidden="1">
      <c r="A644" s="173"/>
      <c r="B644" s="76"/>
      <c r="C644" s="77"/>
      <c r="D644" s="102"/>
      <c r="E644" s="77"/>
      <c r="F644" s="77"/>
      <c r="G644" s="77"/>
      <c r="H644" s="77"/>
      <c r="I644" s="76"/>
      <c r="J644" s="110"/>
      <c r="K644" s="77"/>
      <c r="L644" s="77"/>
      <c r="M644" s="77"/>
      <c r="N644" s="86">
        <f>Table47910[[#This Row],[Expected Revenue]]*Table47910[[#This Row],[Probability]]</f>
        <v>0</v>
      </c>
      <c r="O644" s="78"/>
      <c r="P644" s="86">
        <f>Table47910[[#This Row],[Expected Revenue]]*Table47910[[#This Row],[Expected CMR]]</f>
        <v>0</v>
      </c>
      <c r="Q644" s="210"/>
    </row>
    <row r="645" spans="1:17" hidden="1">
      <c r="A645" s="173"/>
      <c r="B645" s="76"/>
      <c r="C645" s="77"/>
      <c r="D645" s="102"/>
      <c r="E645" s="77"/>
      <c r="F645" s="77"/>
      <c r="G645" s="77"/>
      <c r="H645" s="77"/>
      <c r="I645" s="76"/>
      <c r="J645" s="110"/>
      <c r="K645" s="77"/>
      <c r="L645" s="77"/>
      <c r="M645" s="77"/>
      <c r="N645" s="86">
        <f>Table47910[[#This Row],[Expected Revenue]]*Table47910[[#This Row],[Probability]]</f>
        <v>0</v>
      </c>
      <c r="O645" s="78"/>
      <c r="P645" s="86">
        <f>Table47910[[#This Row],[Expected Revenue]]*Table47910[[#This Row],[Expected CMR]]</f>
        <v>0</v>
      </c>
      <c r="Q645" s="210"/>
    </row>
    <row r="646" spans="1:17" hidden="1">
      <c r="A646" s="173"/>
      <c r="B646" s="76"/>
      <c r="C646" s="77"/>
      <c r="D646" s="102"/>
      <c r="E646" s="77"/>
      <c r="F646" s="77"/>
      <c r="G646" s="77"/>
      <c r="H646" s="77"/>
      <c r="I646" s="76"/>
      <c r="J646" s="110"/>
      <c r="K646" s="77"/>
      <c r="L646" s="77"/>
      <c r="M646" s="77"/>
      <c r="N646" s="86">
        <f>Table47910[[#This Row],[Expected Revenue]]*Table47910[[#This Row],[Probability]]</f>
        <v>0</v>
      </c>
      <c r="O646" s="78"/>
      <c r="P646" s="86">
        <f>Table47910[[#This Row],[Expected Revenue]]*Table47910[[#This Row],[Expected CMR]]</f>
        <v>0</v>
      </c>
      <c r="Q646" s="210"/>
    </row>
    <row r="647" spans="1:17" hidden="1">
      <c r="A647" s="173"/>
      <c r="B647" s="76"/>
      <c r="C647" s="77"/>
      <c r="D647" s="102"/>
      <c r="E647" s="77"/>
      <c r="F647" s="77"/>
      <c r="G647" s="77"/>
      <c r="H647" s="77"/>
      <c r="I647" s="76"/>
      <c r="J647" s="110"/>
      <c r="K647" s="77"/>
      <c r="L647" s="77"/>
      <c r="M647" s="77"/>
      <c r="N647" s="86">
        <f>Table47910[[#This Row],[Expected Revenue]]*Table47910[[#This Row],[Probability]]</f>
        <v>0</v>
      </c>
      <c r="O647" s="78"/>
      <c r="P647" s="86">
        <f>Table47910[[#This Row],[Expected Revenue]]*Table47910[[#This Row],[Expected CMR]]</f>
        <v>0</v>
      </c>
      <c r="Q647" s="210"/>
    </row>
    <row r="648" spans="1:17" hidden="1">
      <c r="A648" s="173"/>
      <c r="B648" s="76"/>
      <c r="C648" s="77"/>
      <c r="D648" s="102"/>
      <c r="E648" s="77"/>
      <c r="F648" s="77"/>
      <c r="G648" s="77"/>
      <c r="H648" s="77"/>
      <c r="I648" s="76"/>
      <c r="J648" s="110"/>
      <c r="K648" s="77"/>
      <c r="L648" s="77"/>
      <c r="M648" s="77"/>
      <c r="N648" s="86">
        <f>Table47910[[#This Row],[Expected Revenue]]*Table47910[[#This Row],[Probability]]</f>
        <v>0</v>
      </c>
      <c r="O648" s="78"/>
      <c r="P648" s="86">
        <f>Table47910[[#This Row],[Expected Revenue]]*Table47910[[#This Row],[Expected CMR]]</f>
        <v>0</v>
      </c>
      <c r="Q648" s="210"/>
    </row>
    <row r="649" spans="1:17" hidden="1">
      <c r="A649" s="173"/>
      <c r="B649" s="76"/>
      <c r="C649" s="77"/>
      <c r="D649" s="102"/>
      <c r="E649" s="77"/>
      <c r="F649" s="77"/>
      <c r="G649" s="77"/>
      <c r="H649" s="77"/>
      <c r="I649" s="76"/>
      <c r="J649" s="110"/>
      <c r="K649" s="77"/>
      <c r="L649" s="77"/>
      <c r="M649" s="77"/>
      <c r="N649" s="86">
        <f>Table47910[[#This Row],[Expected Revenue]]*Table47910[[#This Row],[Probability]]</f>
        <v>0</v>
      </c>
      <c r="O649" s="78"/>
      <c r="P649" s="86">
        <f>Table47910[[#This Row],[Expected Revenue]]*Table47910[[#This Row],[Expected CMR]]</f>
        <v>0</v>
      </c>
      <c r="Q649" s="210"/>
    </row>
    <row r="650" spans="1:17" hidden="1">
      <c r="A650" s="173"/>
      <c r="B650" s="76" t="s">
        <v>487</v>
      </c>
      <c r="C650" s="77" t="s">
        <v>57</v>
      </c>
      <c r="D650" s="102" t="s">
        <v>3173</v>
      </c>
      <c r="E650" s="77" t="s">
        <v>62</v>
      </c>
      <c r="F650" s="77" t="s">
        <v>58</v>
      </c>
      <c r="G650" s="77" t="s">
        <v>65</v>
      </c>
      <c r="H650" s="77" t="s">
        <v>297</v>
      </c>
      <c r="I650" s="76"/>
      <c r="J650" s="110" t="s">
        <v>84</v>
      </c>
      <c r="K650" s="77">
        <v>2021</v>
      </c>
      <c r="L650" s="78">
        <v>1</v>
      </c>
      <c r="M650" s="79">
        <v>12000</v>
      </c>
      <c r="N650" s="215">
        <v>12000</v>
      </c>
      <c r="O650" s="78">
        <v>0.3</v>
      </c>
      <c r="P650" s="86">
        <v>3600</v>
      </c>
      <c r="Q650" s="210"/>
    </row>
    <row r="651" spans="1:17" hidden="1">
      <c r="A651" s="173"/>
      <c r="B651" s="76" t="s">
        <v>3058</v>
      </c>
      <c r="C651" s="77" t="s">
        <v>3059</v>
      </c>
      <c r="D651" s="102" t="s">
        <v>3060</v>
      </c>
      <c r="E651" s="77" t="s">
        <v>88</v>
      </c>
      <c r="F651" s="77" t="s">
        <v>58</v>
      </c>
      <c r="G651" s="77" t="s">
        <v>295</v>
      </c>
      <c r="H651" s="77" t="s">
        <v>297</v>
      </c>
      <c r="I651" s="76"/>
      <c r="J651" s="110" t="s">
        <v>84</v>
      </c>
      <c r="K651" s="77">
        <v>2021</v>
      </c>
      <c r="L651" s="78">
        <v>1</v>
      </c>
      <c r="M651" s="79">
        <v>14537</v>
      </c>
      <c r="N651" s="215">
        <v>14537</v>
      </c>
      <c r="O651" s="78"/>
      <c r="P651" s="86">
        <v>0</v>
      </c>
      <c r="Q651" s="210"/>
    </row>
    <row r="652" spans="1:17" hidden="1">
      <c r="A652" s="173"/>
      <c r="B652" s="202" t="s">
        <v>130</v>
      </c>
      <c r="C652" s="77" t="s">
        <v>3059</v>
      </c>
      <c r="D652" s="102" t="s">
        <v>3060</v>
      </c>
      <c r="E652" s="77" t="s">
        <v>88</v>
      </c>
      <c r="F652" s="77" t="s">
        <v>58</v>
      </c>
      <c r="G652" s="77" t="s">
        <v>295</v>
      </c>
      <c r="H652" s="77" t="s">
        <v>297</v>
      </c>
      <c r="I652" s="76"/>
      <c r="J652" s="110" t="s">
        <v>84</v>
      </c>
      <c r="K652" s="77">
        <v>2021</v>
      </c>
      <c r="L652" s="78">
        <v>1</v>
      </c>
      <c r="M652" s="79">
        <v>15000</v>
      </c>
      <c r="N652" s="215">
        <v>15000</v>
      </c>
      <c r="O652" s="78"/>
      <c r="P652" s="86">
        <v>0</v>
      </c>
      <c r="Q652" s="210"/>
    </row>
    <row r="653" spans="1:17" hidden="1">
      <c r="A653" s="173"/>
      <c r="B653" s="76" t="s">
        <v>122</v>
      </c>
      <c r="C653" s="77" t="s">
        <v>57</v>
      </c>
      <c r="D653" s="102" t="s">
        <v>3196</v>
      </c>
      <c r="E653" s="77" t="s">
        <v>92</v>
      </c>
      <c r="F653" s="77" t="s">
        <v>58</v>
      </c>
      <c r="G653" s="77" t="s">
        <v>65</v>
      </c>
      <c r="H653" s="77" t="s">
        <v>297</v>
      </c>
      <c r="I653" s="77"/>
      <c r="J653" s="110" t="s">
        <v>84</v>
      </c>
      <c r="K653" s="77">
        <v>2021</v>
      </c>
      <c r="L653" s="78">
        <v>1</v>
      </c>
      <c r="M653" s="79">
        <v>18622</v>
      </c>
      <c r="N653" s="214">
        <v>18622</v>
      </c>
      <c r="O653" s="78">
        <v>0.3</v>
      </c>
      <c r="P653" s="79">
        <v>8344.7999999999993</v>
      </c>
      <c r="Q653" s="209"/>
    </row>
    <row r="654" spans="1:17" hidden="1">
      <c r="A654" s="173"/>
      <c r="B654" s="76" t="s">
        <v>487</v>
      </c>
      <c r="C654" s="77" t="s">
        <v>3059</v>
      </c>
      <c r="D654" s="102" t="s">
        <v>1236</v>
      </c>
      <c r="E654" s="77" t="s">
        <v>92</v>
      </c>
      <c r="F654" s="77" t="s">
        <v>58</v>
      </c>
      <c r="G654" s="77" t="s">
        <v>65</v>
      </c>
      <c r="H654" s="77" t="s">
        <v>297</v>
      </c>
      <c r="I654" s="76"/>
      <c r="J654" s="110" t="s">
        <v>84</v>
      </c>
      <c r="K654" s="77">
        <v>2021</v>
      </c>
      <c r="L654" s="78">
        <v>1</v>
      </c>
      <c r="M654" s="79">
        <v>19000</v>
      </c>
      <c r="N654" s="215">
        <v>19000</v>
      </c>
      <c r="O654" s="78">
        <v>0.3</v>
      </c>
      <c r="P654" s="86">
        <v>5700</v>
      </c>
      <c r="Q654" s="210"/>
    </row>
    <row r="655" spans="1:17" hidden="1">
      <c r="A655" s="174"/>
      <c r="B655" s="82" t="s">
        <v>3201</v>
      </c>
      <c r="C655" s="77" t="s">
        <v>57</v>
      </c>
      <c r="D655" s="103" t="s">
        <v>112</v>
      </c>
      <c r="E655" s="77" t="s">
        <v>71</v>
      </c>
      <c r="F655" s="83" t="s">
        <v>58</v>
      </c>
      <c r="G655" s="83" t="s">
        <v>65</v>
      </c>
      <c r="H655" s="77" t="s">
        <v>297</v>
      </c>
      <c r="I655" s="82"/>
      <c r="J655" s="156" t="s">
        <v>84</v>
      </c>
      <c r="K655" s="77">
        <v>2021</v>
      </c>
      <c r="L655" s="84">
        <v>1</v>
      </c>
      <c r="M655" s="85">
        <v>20000</v>
      </c>
      <c r="N655" s="215">
        <v>20000</v>
      </c>
      <c r="O655" s="84">
        <v>0.3</v>
      </c>
      <c r="P655" s="87">
        <v>6000</v>
      </c>
      <c r="Q655" s="210"/>
    </row>
    <row r="656" spans="1:17" hidden="1">
      <c r="A656" s="173"/>
      <c r="B656" s="202" t="s">
        <v>104</v>
      </c>
      <c r="C656" s="77" t="s">
        <v>3059</v>
      </c>
      <c r="D656" s="102" t="s">
        <v>3185</v>
      </c>
      <c r="E656" s="77" t="s">
        <v>62</v>
      </c>
      <c r="F656" s="77" t="s">
        <v>58</v>
      </c>
      <c r="G656" s="77" t="s">
        <v>295</v>
      </c>
      <c r="H656" s="77" t="s">
        <v>297</v>
      </c>
      <c r="I656" s="76"/>
      <c r="J656" s="110" t="s">
        <v>84</v>
      </c>
      <c r="K656" s="77">
        <v>2021</v>
      </c>
      <c r="L656" s="78">
        <v>1</v>
      </c>
      <c r="M656" s="79">
        <v>21000</v>
      </c>
      <c r="N656" s="215">
        <v>21000</v>
      </c>
      <c r="O656" s="78"/>
      <c r="P656" s="86"/>
      <c r="Q656" s="210"/>
    </row>
    <row r="657" spans="1:17" hidden="1">
      <c r="A657" s="173"/>
      <c r="B657" s="76" t="s">
        <v>296</v>
      </c>
      <c r="C657" s="77"/>
      <c r="D657" s="102"/>
      <c r="E657" s="77" t="s">
        <v>251</v>
      </c>
      <c r="F657" s="77" t="s">
        <v>58</v>
      </c>
      <c r="G657" s="77" t="s">
        <v>3181</v>
      </c>
      <c r="H657" s="77" t="s">
        <v>296</v>
      </c>
      <c r="I657" s="76"/>
      <c r="J657" s="110" t="s">
        <v>84</v>
      </c>
      <c r="K657" s="77">
        <v>2021</v>
      </c>
      <c r="L657" s="78">
        <v>1</v>
      </c>
      <c r="M657" s="79">
        <v>200000</v>
      </c>
      <c r="N657" s="79">
        <v>100000</v>
      </c>
      <c r="O657" s="78"/>
      <c r="P657" s="86">
        <v>0</v>
      </c>
      <c r="Q657" s="210"/>
    </row>
    <row r="658" spans="1:17" hidden="1">
      <c r="A658" s="173"/>
      <c r="B658" s="76" t="s">
        <v>146</v>
      </c>
      <c r="C658" s="77" t="s">
        <v>3059</v>
      </c>
      <c r="D658" s="102" t="s">
        <v>3055</v>
      </c>
      <c r="E658" s="77" t="s">
        <v>292</v>
      </c>
      <c r="F658" s="77" t="s">
        <v>58</v>
      </c>
      <c r="G658" s="77" t="s">
        <v>295</v>
      </c>
      <c r="H658" s="77" t="s">
        <v>297</v>
      </c>
      <c r="I658" s="76"/>
      <c r="J658" s="110" t="s">
        <v>84</v>
      </c>
      <c r="K658" s="77">
        <v>2021</v>
      </c>
      <c r="L658" s="78">
        <v>1</v>
      </c>
      <c r="M658" s="79">
        <v>13900</v>
      </c>
      <c r="N658" s="86">
        <v>13900</v>
      </c>
      <c r="O658" s="78"/>
      <c r="P658" s="86"/>
      <c r="Q658" s="210"/>
    </row>
    <row r="659" spans="1:17" hidden="1">
      <c r="A659" s="173"/>
      <c r="B659" s="76"/>
      <c r="C659" s="77"/>
      <c r="D659" s="102"/>
      <c r="E659" s="77"/>
      <c r="F659" s="77"/>
      <c r="G659" s="77"/>
      <c r="H659" s="77"/>
      <c r="I659" s="76"/>
      <c r="J659" s="110"/>
      <c r="K659" s="77"/>
      <c r="L659" s="77"/>
      <c r="M659" s="77"/>
      <c r="N659" s="86">
        <f>Table47910[[#This Row],[Expected Revenue]]*Table47910[[#This Row],[Probability]]</f>
        <v>0</v>
      </c>
      <c r="O659" s="78"/>
      <c r="P659" s="86">
        <f>Table47910[[#This Row],[Expected Revenue]]*Table47910[[#This Row],[Expected CMR]]</f>
        <v>0</v>
      </c>
      <c r="Q659" s="210"/>
    </row>
    <row r="660" spans="1:17" hidden="1">
      <c r="A660" s="173"/>
      <c r="B660" s="76"/>
      <c r="C660" s="77"/>
      <c r="D660" s="102"/>
      <c r="E660" s="77"/>
      <c r="F660" s="77"/>
      <c r="G660" s="77"/>
      <c r="H660" s="77"/>
      <c r="I660" s="76"/>
      <c r="J660" s="110"/>
      <c r="K660" s="77"/>
      <c r="L660" s="77"/>
      <c r="M660" s="77"/>
      <c r="N660" s="86">
        <f>Table47910[[#This Row],[Expected Revenue]]*Table47910[[#This Row],[Probability]]</f>
        <v>0</v>
      </c>
      <c r="O660" s="78"/>
      <c r="P660" s="86">
        <f>Table47910[[#This Row],[Expected Revenue]]*Table47910[[#This Row],[Expected CMR]]</f>
        <v>0</v>
      </c>
      <c r="Q660" s="210"/>
    </row>
    <row r="661" spans="1:17" hidden="1">
      <c r="A661" s="173"/>
      <c r="B661" s="76"/>
      <c r="C661" s="77"/>
      <c r="D661" s="102"/>
      <c r="E661" s="77"/>
      <c r="F661" s="77"/>
      <c r="G661" s="77"/>
      <c r="H661" s="77"/>
      <c r="I661" s="76"/>
      <c r="J661" s="110"/>
      <c r="K661" s="77"/>
      <c r="L661" s="77"/>
      <c r="M661" s="77"/>
      <c r="N661" s="86">
        <f>Table47910[[#This Row],[Expected Revenue]]*Table47910[[#This Row],[Probability]]</f>
        <v>0</v>
      </c>
      <c r="O661" s="78"/>
      <c r="P661" s="86">
        <f>Table47910[[#This Row],[Expected Revenue]]*Table47910[[#This Row],[Expected CMR]]</f>
        <v>0</v>
      </c>
      <c r="Q661" s="210"/>
    </row>
    <row r="662" spans="1:17" hidden="1">
      <c r="A662" s="173"/>
      <c r="B662" s="76"/>
      <c r="C662" s="77"/>
      <c r="D662" s="102"/>
      <c r="E662" s="77"/>
      <c r="F662" s="77"/>
      <c r="G662" s="77"/>
      <c r="H662" s="77"/>
      <c r="I662" s="76"/>
      <c r="J662" s="110"/>
      <c r="K662" s="77"/>
      <c r="L662" s="77"/>
      <c r="M662" s="77"/>
      <c r="N662" s="86">
        <f>Table47910[[#This Row],[Expected Revenue]]*Table47910[[#This Row],[Probability]]</f>
        <v>0</v>
      </c>
      <c r="O662" s="78"/>
      <c r="P662" s="86">
        <f>Table47910[[#This Row],[Expected Revenue]]*Table47910[[#This Row],[Expected CMR]]</f>
        <v>0</v>
      </c>
      <c r="Q662" s="210"/>
    </row>
    <row r="663" spans="1:17" hidden="1">
      <c r="A663" s="173"/>
      <c r="B663" s="76"/>
      <c r="C663" s="77"/>
      <c r="D663" s="102"/>
      <c r="E663" s="77"/>
      <c r="F663" s="77"/>
      <c r="G663" s="77"/>
      <c r="H663" s="77"/>
      <c r="I663" s="76"/>
      <c r="J663" s="110"/>
      <c r="K663" s="77"/>
      <c r="L663" s="77"/>
      <c r="M663" s="77"/>
      <c r="N663" s="86">
        <f>Table47910[[#This Row],[Expected Revenue]]*Table47910[[#This Row],[Probability]]</f>
        <v>0</v>
      </c>
      <c r="O663" s="78"/>
      <c r="P663" s="86">
        <f>Table47910[[#This Row],[Expected Revenue]]*Table47910[[#This Row],[Expected CMR]]</f>
        <v>0</v>
      </c>
      <c r="Q663" s="210"/>
    </row>
    <row r="664" spans="1:17" hidden="1">
      <c r="A664" s="173"/>
      <c r="B664" s="76"/>
      <c r="C664" s="77"/>
      <c r="D664" s="102"/>
      <c r="E664" s="77"/>
      <c r="F664" s="77"/>
      <c r="G664" s="77"/>
      <c r="H664" s="77"/>
      <c r="I664" s="76"/>
      <c r="J664" s="110"/>
      <c r="K664" s="77"/>
      <c r="L664" s="77"/>
      <c r="M664" s="77"/>
      <c r="N664" s="86">
        <f>Table47910[[#This Row],[Expected Revenue]]*Table47910[[#This Row],[Probability]]</f>
        <v>0</v>
      </c>
      <c r="O664" s="78"/>
      <c r="P664" s="86">
        <f>Table47910[[#This Row],[Expected Revenue]]*Table47910[[#This Row],[Expected CMR]]</f>
        <v>0</v>
      </c>
      <c r="Q664" s="210"/>
    </row>
    <row r="665" spans="1:17" hidden="1">
      <c r="A665" s="173"/>
      <c r="B665" s="76"/>
      <c r="C665" s="77"/>
      <c r="D665" s="102"/>
      <c r="E665" s="77"/>
      <c r="F665" s="77"/>
      <c r="G665" s="77"/>
      <c r="H665" s="77"/>
      <c r="I665" s="76"/>
      <c r="J665" s="110"/>
      <c r="K665" s="77"/>
      <c r="L665" s="77"/>
      <c r="M665" s="77"/>
      <c r="N665" s="86">
        <f>Table47910[[#This Row],[Expected Revenue]]*Table47910[[#This Row],[Probability]]</f>
        <v>0</v>
      </c>
      <c r="O665" s="78"/>
      <c r="P665" s="86">
        <f>Table47910[[#This Row],[Expected Revenue]]*Table47910[[#This Row],[Expected CMR]]</f>
        <v>0</v>
      </c>
      <c r="Q665" s="210"/>
    </row>
    <row r="666" spans="1:17" hidden="1">
      <c r="A666" s="173"/>
      <c r="B666" s="76"/>
      <c r="C666" s="77"/>
      <c r="D666" s="102"/>
      <c r="E666" s="77"/>
      <c r="F666" s="77"/>
      <c r="G666" s="77"/>
      <c r="H666" s="77"/>
      <c r="I666" s="76"/>
      <c r="J666" s="110"/>
      <c r="K666" s="77"/>
      <c r="L666" s="77"/>
      <c r="M666" s="77"/>
      <c r="N666" s="86">
        <f>Table47910[[#This Row],[Expected Revenue]]*Table47910[[#This Row],[Probability]]</f>
        <v>0</v>
      </c>
      <c r="O666" s="78"/>
      <c r="P666" s="86">
        <f>Table47910[[#This Row],[Expected Revenue]]*Table47910[[#This Row],[Expected CMR]]</f>
        <v>0</v>
      </c>
      <c r="Q666" s="210"/>
    </row>
    <row r="667" spans="1:17" hidden="1">
      <c r="A667" s="173"/>
      <c r="B667" s="76"/>
      <c r="C667" s="77"/>
      <c r="D667" s="102"/>
      <c r="E667" s="77"/>
      <c r="F667" s="77"/>
      <c r="G667" s="77"/>
      <c r="H667" s="77"/>
      <c r="I667" s="76"/>
      <c r="J667" s="110"/>
      <c r="K667" s="77"/>
      <c r="L667" s="77"/>
      <c r="M667" s="77"/>
      <c r="N667" s="86">
        <f>Table47910[[#This Row],[Expected Revenue]]*Table47910[[#This Row],[Probability]]</f>
        <v>0</v>
      </c>
      <c r="O667" s="78"/>
      <c r="P667" s="86">
        <f>Table47910[[#This Row],[Expected Revenue]]*Table47910[[#This Row],[Expected CMR]]</f>
        <v>0</v>
      </c>
      <c r="Q667" s="210"/>
    </row>
    <row r="668" spans="1:17" hidden="1">
      <c r="A668" s="173"/>
      <c r="B668" s="76"/>
      <c r="C668" s="77"/>
      <c r="D668" s="102"/>
      <c r="E668" s="77"/>
      <c r="F668" s="77"/>
      <c r="G668" s="77"/>
      <c r="H668" s="77"/>
      <c r="I668" s="76"/>
      <c r="J668" s="110"/>
      <c r="K668" s="77"/>
      <c r="L668" s="77"/>
      <c r="M668" s="77"/>
      <c r="N668" s="86">
        <f>Table47910[[#This Row],[Expected Revenue]]*Table47910[[#This Row],[Probability]]</f>
        <v>0</v>
      </c>
      <c r="O668" s="78"/>
      <c r="P668" s="86">
        <f>Table47910[[#This Row],[Expected Revenue]]*Table47910[[#This Row],[Expected CMR]]</f>
        <v>0</v>
      </c>
      <c r="Q668" s="210"/>
    </row>
    <row r="669" spans="1:17" hidden="1">
      <c r="A669" s="173"/>
      <c r="B669" s="76"/>
      <c r="C669" s="77"/>
      <c r="D669" s="102"/>
      <c r="E669" s="77"/>
      <c r="F669" s="77"/>
      <c r="G669" s="77"/>
      <c r="H669" s="77"/>
      <c r="I669" s="76"/>
      <c r="J669" s="110"/>
      <c r="K669" s="77"/>
      <c r="L669" s="77"/>
      <c r="M669" s="77"/>
      <c r="N669" s="86">
        <f>Table47910[[#This Row],[Expected Revenue]]*Table47910[[#This Row],[Probability]]</f>
        <v>0</v>
      </c>
      <c r="O669" s="78"/>
      <c r="P669" s="86">
        <f>Table47910[[#This Row],[Expected Revenue]]*Table47910[[#This Row],[Expected CMR]]</f>
        <v>0</v>
      </c>
      <c r="Q669" s="210"/>
    </row>
    <row r="670" spans="1:17" hidden="1">
      <c r="A670" s="173"/>
      <c r="B670" s="76"/>
      <c r="C670" s="77"/>
      <c r="D670" s="102"/>
      <c r="E670" s="77"/>
      <c r="F670" s="77"/>
      <c r="G670" s="77"/>
      <c r="H670" s="77"/>
      <c r="I670" s="76"/>
      <c r="J670" s="110"/>
      <c r="K670" s="77"/>
      <c r="L670" s="77"/>
      <c r="M670" s="77"/>
      <c r="N670" s="86">
        <f>Table47910[[#This Row],[Expected Revenue]]*Table47910[[#This Row],[Probability]]</f>
        <v>0</v>
      </c>
      <c r="O670" s="78"/>
      <c r="P670" s="86">
        <f>Table47910[[#This Row],[Expected Revenue]]*Table47910[[#This Row],[Expected CMR]]</f>
        <v>0</v>
      </c>
      <c r="Q670" s="210"/>
    </row>
    <row r="671" spans="1:17" hidden="1">
      <c r="A671" s="173"/>
      <c r="B671" s="76"/>
      <c r="C671" s="77"/>
      <c r="D671" s="102"/>
      <c r="E671" s="77"/>
      <c r="F671" s="77"/>
      <c r="G671" s="77"/>
      <c r="H671" s="77"/>
      <c r="I671" s="76"/>
      <c r="J671" s="110"/>
      <c r="K671" s="77"/>
      <c r="L671" s="77"/>
      <c r="M671" s="77"/>
      <c r="N671" s="86">
        <f>Table47910[[#This Row],[Expected Revenue]]*Table47910[[#This Row],[Probability]]</f>
        <v>0</v>
      </c>
      <c r="O671" s="78"/>
      <c r="P671" s="86">
        <f>Table47910[[#This Row],[Expected Revenue]]*Table47910[[#This Row],[Expected CMR]]</f>
        <v>0</v>
      </c>
      <c r="Q671" s="210"/>
    </row>
    <row r="672" spans="1:17" hidden="1">
      <c r="A672" s="173"/>
      <c r="B672" s="76"/>
      <c r="C672" s="77"/>
      <c r="D672" s="102"/>
      <c r="E672" s="77"/>
      <c r="F672" s="77"/>
      <c r="G672" s="77"/>
      <c r="H672" s="77"/>
      <c r="I672" s="76"/>
      <c r="J672" s="110"/>
      <c r="K672" s="77"/>
      <c r="L672" s="77"/>
      <c r="M672" s="77"/>
      <c r="N672" s="86">
        <f>Table47910[[#This Row],[Expected Revenue]]*Table47910[[#This Row],[Probability]]</f>
        <v>0</v>
      </c>
      <c r="O672" s="78"/>
      <c r="P672" s="86">
        <f>Table47910[[#This Row],[Expected Revenue]]*Table47910[[#This Row],[Expected CMR]]</f>
        <v>0</v>
      </c>
      <c r="Q672" s="210"/>
    </row>
    <row r="673" spans="1:17" hidden="1">
      <c r="A673" s="173"/>
      <c r="B673" s="76"/>
      <c r="C673" s="77"/>
      <c r="D673" s="102"/>
      <c r="E673" s="77"/>
      <c r="F673" s="77"/>
      <c r="G673" s="77"/>
      <c r="H673" s="77"/>
      <c r="I673" s="76"/>
      <c r="J673" s="110"/>
      <c r="K673" s="77"/>
      <c r="L673" s="77"/>
      <c r="M673" s="77"/>
      <c r="N673" s="86">
        <f>Table47910[[#This Row],[Expected Revenue]]*Table47910[[#This Row],[Probability]]</f>
        <v>0</v>
      </c>
      <c r="O673" s="78"/>
      <c r="P673" s="86">
        <f>Table47910[[#This Row],[Expected Revenue]]*Table47910[[#This Row],[Expected CMR]]</f>
        <v>0</v>
      </c>
      <c r="Q673" s="210"/>
    </row>
    <row r="674" spans="1:17" hidden="1">
      <c r="A674" s="173"/>
      <c r="B674" s="76"/>
      <c r="C674" s="77"/>
      <c r="D674" s="102"/>
      <c r="E674" s="77"/>
      <c r="F674" s="77"/>
      <c r="G674" s="77"/>
      <c r="H674" s="77"/>
      <c r="I674" s="76"/>
      <c r="J674" s="110"/>
      <c r="K674" s="77"/>
      <c r="L674" s="77"/>
      <c r="M674" s="77"/>
      <c r="N674" s="86">
        <f>Table47910[[#This Row],[Expected Revenue]]*Table47910[[#This Row],[Probability]]</f>
        <v>0</v>
      </c>
      <c r="O674" s="78"/>
      <c r="P674" s="86">
        <f>Table47910[[#This Row],[Expected Revenue]]*Table47910[[#This Row],[Expected CMR]]</f>
        <v>0</v>
      </c>
      <c r="Q674" s="210"/>
    </row>
    <row r="675" spans="1:17" hidden="1">
      <c r="A675" s="173"/>
      <c r="B675" s="76"/>
      <c r="C675" s="77"/>
      <c r="D675" s="102"/>
      <c r="E675" s="77"/>
      <c r="F675" s="77"/>
      <c r="G675" s="77"/>
      <c r="H675" s="77"/>
      <c r="I675" s="76"/>
      <c r="J675" s="110"/>
      <c r="K675" s="77"/>
      <c r="L675" s="77"/>
      <c r="M675" s="77"/>
      <c r="N675" s="86">
        <f>Table47910[[#This Row],[Expected Revenue]]*Table47910[[#This Row],[Probability]]</f>
        <v>0</v>
      </c>
      <c r="O675" s="78"/>
      <c r="P675" s="86">
        <f>Table47910[[#This Row],[Expected Revenue]]*Table47910[[#This Row],[Expected CMR]]</f>
        <v>0</v>
      </c>
      <c r="Q675" s="210"/>
    </row>
    <row r="676" spans="1:17" hidden="1">
      <c r="A676" s="173"/>
      <c r="B676" s="76"/>
      <c r="C676" s="77"/>
      <c r="D676" s="102"/>
      <c r="E676" s="77"/>
      <c r="F676" s="77"/>
      <c r="G676" s="77"/>
      <c r="H676" s="77"/>
      <c r="I676" s="76"/>
      <c r="J676" s="110"/>
      <c r="K676" s="77"/>
      <c r="L676" s="77"/>
      <c r="M676" s="77"/>
      <c r="N676" s="86">
        <f>Table47910[[#This Row],[Expected Revenue]]*Table47910[[#This Row],[Probability]]</f>
        <v>0</v>
      </c>
      <c r="O676" s="78"/>
      <c r="P676" s="86">
        <f>Table47910[[#This Row],[Expected Revenue]]*Table47910[[#This Row],[Expected CMR]]</f>
        <v>0</v>
      </c>
      <c r="Q676" s="210"/>
    </row>
    <row r="677" spans="1:17" hidden="1">
      <c r="A677" s="173"/>
      <c r="B677" s="76"/>
      <c r="C677" s="77"/>
      <c r="D677" s="102"/>
      <c r="E677" s="77"/>
      <c r="F677" s="77"/>
      <c r="G677" s="77"/>
      <c r="H677" s="77"/>
      <c r="I677" s="76"/>
      <c r="J677" s="110"/>
      <c r="K677" s="77"/>
      <c r="L677" s="77"/>
      <c r="M677" s="77"/>
      <c r="N677" s="86">
        <f>Table47910[[#This Row],[Expected Revenue]]*Table47910[[#This Row],[Probability]]</f>
        <v>0</v>
      </c>
      <c r="O677" s="78"/>
      <c r="P677" s="86">
        <f>Table47910[[#This Row],[Expected Revenue]]*Table47910[[#This Row],[Expected CMR]]</f>
        <v>0</v>
      </c>
      <c r="Q677" s="210"/>
    </row>
    <row r="678" spans="1:17" hidden="1">
      <c r="A678" s="173"/>
      <c r="B678" s="76"/>
      <c r="C678" s="77" t="s">
        <v>1202</v>
      </c>
      <c r="D678" s="102"/>
      <c r="E678" s="77"/>
      <c r="F678" s="77"/>
      <c r="G678" s="77" t="s">
        <v>297</v>
      </c>
      <c r="H678" s="77" t="s">
        <v>297</v>
      </c>
      <c r="I678" s="76"/>
      <c r="J678" s="110" t="s">
        <v>139</v>
      </c>
      <c r="K678" s="77">
        <v>2021</v>
      </c>
      <c r="L678" s="78">
        <v>1</v>
      </c>
      <c r="M678" s="86">
        <v>35000</v>
      </c>
      <c r="N678" s="86">
        <v>50000</v>
      </c>
      <c r="O678" s="78"/>
      <c r="P678" s="86">
        <f>Table47910[[#This Row],[Expected Revenue]]*Table47910[[#This Row],[Expected CMR]]</f>
        <v>0</v>
      </c>
      <c r="Q678" s="210"/>
    </row>
    <row r="679" spans="1:17" hidden="1">
      <c r="A679" s="173"/>
      <c r="B679" s="76"/>
      <c r="C679" s="77" t="s">
        <v>1202</v>
      </c>
      <c r="D679" s="102"/>
      <c r="E679" s="77"/>
      <c r="F679" s="77"/>
      <c r="G679" s="77" t="s">
        <v>297</v>
      </c>
      <c r="H679" s="77" t="s">
        <v>297</v>
      </c>
      <c r="I679" s="76"/>
      <c r="J679" s="110" t="s">
        <v>222</v>
      </c>
      <c r="K679" s="77">
        <v>2021</v>
      </c>
      <c r="L679" s="78">
        <v>1</v>
      </c>
      <c r="M679" s="86">
        <v>35000</v>
      </c>
      <c r="N679" s="86">
        <v>70000</v>
      </c>
      <c r="O679" s="78"/>
      <c r="P679" s="86">
        <f>Table47910[[#This Row],[Expected Revenue]]*Table47910[[#This Row],[Expected CMR]]</f>
        <v>0</v>
      </c>
      <c r="Q679" s="210"/>
    </row>
    <row r="680" spans="1:17" hidden="1">
      <c r="A680" s="173"/>
      <c r="B680" s="76"/>
      <c r="C680" s="77" t="s">
        <v>1202</v>
      </c>
      <c r="D680" s="102"/>
      <c r="E680" s="77"/>
      <c r="F680" s="77"/>
      <c r="G680" s="77" t="s">
        <v>297</v>
      </c>
      <c r="H680" s="77" t="s">
        <v>297</v>
      </c>
      <c r="I680" s="76"/>
      <c r="J680" s="110" t="s">
        <v>219</v>
      </c>
      <c r="K680" s="77">
        <v>2021</v>
      </c>
      <c r="L680" s="78">
        <v>1</v>
      </c>
      <c r="M680" s="86">
        <v>35000</v>
      </c>
      <c r="N680" s="86">
        <v>70000</v>
      </c>
      <c r="O680" s="78"/>
      <c r="P680" s="86">
        <f>Table47910[[#This Row],[Expected Revenue]]*Table47910[[#This Row],[Expected CMR]]</f>
        <v>0</v>
      </c>
      <c r="Q680" s="210"/>
    </row>
    <row r="681" spans="1:17" hidden="1">
      <c r="A681" s="173"/>
      <c r="B681" s="76"/>
      <c r="C681" s="77" t="s">
        <v>1202</v>
      </c>
      <c r="D681" s="102"/>
      <c r="E681" s="77"/>
      <c r="F681" s="77"/>
      <c r="G681" s="77" t="s">
        <v>297</v>
      </c>
      <c r="H681" s="77" t="s">
        <v>297</v>
      </c>
      <c r="I681" s="76"/>
      <c r="J681" s="110" t="s">
        <v>84</v>
      </c>
      <c r="K681" s="77">
        <v>2021</v>
      </c>
      <c r="L681" s="78">
        <v>1</v>
      </c>
      <c r="M681" s="86">
        <v>70000</v>
      </c>
      <c r="N681" s="86">
        <v>150000</v>
      </c>
      <c r="O681" s="78"/>
      <c r="P681" s="86">
        <f>Table47910[[#This Row],[Expected Revenue]]*Table47910[[#This Row],[Expected CMR]]</f>
        <v>0</v>
      </c>
      <c r="Q681" s="210"/>
    </row>
    <row r="682" spans="1:17" hidden="1">
      <c r="A682" s="173"/>
      <c r="B682" s="76"/>
      <c r="C682" s="77" t="s">
        <v>1202</v>
      </c>
      <c r="D682" s="102"/>
      <c r="E682" s="77"/>
      <c r="F682" s="77"/>
      <c r="G682" s="77" t="s">
        <v>297</v>
      </c>
      <c r="H682" s="77" t="s">
        <v>297</v>
      </c>
      <c r="I682" s="76"/>
      <c r="J682" s="110"/>
      <c r="K682" s="77"/>
      <c r="L682" s="77"/>
      <c r="M682" s="77"/>
      <c r="N682" s="86">
        <f>Table47910[[#This Row],[Expected Revenue]]*Table47910[[#This Row],[Probability]]</f>
        <v>0</v>
      </c>
      <c r="O682" s="78"/>
      <c r="P682" s="86">
        <f>Table47910[[#This Row],[Expected Revenue]]*Table47910[[#This Row],[Expected CMR]]</f>
        <v>0</v>
      </c>
      <c r="Q682" s="210"/>
    </row>
    <row r="683" spans="1:17" hidden="1">
      <c r="A683" s="173"/>
      <c r="B683" s="76" t="s">
        <v>130</v>
      </c>
      <c r="C683" s="77" t="s">
        <v>3059</v>
      </c>
      <c r="D683" s="102" t="s">
        <v>3221</v>
      </c>
      <c r="E683" s="77" t="s">
        <v>92</v>
      </c>
      <c r="F683" s="77" t="s">
        <v>58</v>
      </c>
      <c r="G683" s="77" t="s">
        <v>295</v>
      </c>
      <c r="H683" s="77" t="s">
        <v>290</v>
      </c>
      <c r="I683" s="76"/>
      <c r="J683" s="110" t="s">
        <v>102</v>
      </c>
      <c r="K683" s="77">
        <v>2021</v>
      </c>
      <c r="L683" s="78">
        <v>1</v>
      </c>
      <c r="M683" s="221">
        <v>8622</v>
      </c>
      <c r="N683" s="78">
        <v>0.3</v>
      </c>
      <c r="O683" s="79">
        <v>2586.6</v>
      </c>
      <c r="P683" s="86">
        <f>Table47910[[#This Row],[Expected Revenue]]*Table47910[[#This Row],[Expected CMR]]</f>
        <v>22301665.199999999</v>
      </c>
      <c r="Q683" s="210"/>
    </row>
    <row r="684" spans="1:17" hidden="1">
      <c r="A684" s="173"/>
      <c r="B684" s="76" t="s">
        <v>130</v>
      </c>
      <c r="C684" s="77" t="s">
        <v>3059</v>
      </c>
      <c r="D684" s="102" t="s">
        <v>3176</v>
      </c>
      <c r="E684" s="77" t="s">
        <v>291</v>
      </c>
      <c r="F684" s="77" t="s">
        <v>58</v>
      </c>
      <c r="G684" s="77" t="s">
        <v>295</v>
      </c>
      <c r="H684" s="77" t="s">
        <v>290</v>
      </c>
      <c r="I684" s="76"/>
      <c r="J684" s="110" t="s">
        <v>102</v>
      </c>
      <c r="K684" s="77">
        <v>2021</v>
      </c>
      <c r="L684" s="78">
        <v>1</v>
      </c>
      <c r="M684" s="221">
        <v>58000</v>
      </c>
      <c r="N684" s="78">
        <v>0.3</v>
      </c>
      <c r="O684" s="79">
        <v>17400</v>
      </c>
      <c r="P684" s="86">
        <f>Table47910[[#This Row],[Expected Revenue]]*Table47910[[#This Row],[Expected CMR]]</f>
        <v>1009200000</v>
      </c>
      <c r="Q684" s="210"/>
    </row>
    <row r="685" spans="1:17" hidden="1">
      <c r="A685" s="173"/>
      <c r="B685" s="76" t="s">
        <v>130</v>
      </c>
      <c r="C685" s="77" t="s">
        <v>3059</v>
      </c>
      <c r="D685" s="102" t="s">
        <v>3182</v>
      </c>
      <c r="E685" s="77" t="s">
        <v>71</v>
      </c>
      <c r="F685" s="77" t="s">
        <v>58</v>
      </c>
      <c r="G685" s="77" t="s">
        <v>295</v>
      </c>
      <c r="H685" s="77" t="s">
        <v>290</v>
      </c>
      <c r="I685" s="76"/>
      <c r="J685" s="110" t="s">
        <v>102</v>
      </c>
      <c r="K685" s="77">
        <v>2021</v>
      </c>
      <c r="L685" s="78">
        <v>1</v>
      </c>
      <c r="M685" s="86">
        <v>30939</v>
      </c>
      <c r="N685" s="79">
        <f>Table47910[[#This Row],[Expected Revenue]]*Table47910[[#This Row],[Probability]]</f>
        <v>30939</v>
      </c>
      <c r="O685" s="79">
        <v>9281.6999999999989</v>
      </c>
      <c r="P685" s="86">
        <f>Table47910[[#This Row],[Expected Revenue]]*Table47910[[#This Row],[Expected CMR]]</f>
        <v>287166516.29999995</v>
      </c>
      <c r="Q685" s="210"/>
    </row>
    <row r="686" spans="1:17" hidden="1">
      <c r="A686" s="173"/>
      <c r="B686" s="76" t="s">
        <v>130</v>
      </c>
      <c r="C686" s="77" t="s">
        <v>3059</v>
      </c>
      <c r="D686" s="102" t="s">
        <v>3055</v>
      </c>
      <c r="E686" s="77" t="s">
        <v>292</v>
      </c>
      <c r="F686" s="77" t="s">
        <v>58</v>
      </c>
      <c r="G686" s="77" t="s">
        <v>295</v>
      </c>
      <c r="H686" s="77" t="s">
        <v>290</v>
      </c>
      <c r="I686" s="76"/>
      <c r="J686" s="110" t="s">
        <v>102</v>
      </c>
      <c r="K686" s="77">
        <v>2021</v>
      </c>
      <c r="L686" s="78">
        <v>1</v>
      </c>
      <c r="M686" s="86">
        <v>13900</v>
      </c>
      <c r="N686" s="78">
        <v>0.3</v>
      </c>
      <c r="O686" s="79">
        <v>4170</v>
      </c>
      <c r="P686" s="86">
        <f>Table47910[[#This Row],[Expected Revenue]]*Table47910[[#This Row],[Expected CMR]]</f>
        <v>57963000</v>
      </c>
      <c r="Q686" s="210"/>
    </row>
    <row r="687" spans="1:17">
      <c r="A687" s="173"/>
      <c r="B687" s="256" t="s">
        <v>146</v>
      </c>
      <c r="C687" s="77" t="s">
        <v>3059</v>
      </c>
      <c r="D687" s="102" t="s">
        <v>61</v>
      </c>
      <c r="E687" s="77" t="s">
        <v>61</v>
      </c>
      <c r="F687" s="77" t="s">
        <v>58</v>
      </c>
      <c r="G687" s="77" t="s">
        <v>295</v>
      </c>
      <c r="H687" s="77" t="s">
        <v>295</v>
      </c>
      <c r="I687" s="76"/>
      <c r="J687" s="110" t="s">
        <v>93</v>
      </c>
      <c r="K687" s="77">
        <v>2021</v>
      </c>
      <c r="L687" s="78">
        <v>1</v>
      </c>
      <c r="M687" s="86">
        <v>22000</v>
      </c>
      <c r="N687" s="86">
        <f>Table47910[[#This Row],[Expected Revenue]]*Table47910[[#This Row],[Probability]]</f>
        <v>22000</v>
      </c>
      <c r="O687" s="79">
        <v>4172.3999999999996</v>
      </c>
      <c r="P687" s="86">
        <f>Table47910[[#This Row],[Expected Revenue]]*Table47910[[#This Row],[Expected CMR]]</f>
        <v>91792799.999999985</v>
      </c>
      <c r="Q687" s="210"/>
    </row>
    <row r="688" spans="1:17" hidden="1">
      <c r="A688" s="173"/>
      <c r="B688" s="76" t="s">
        <v>146</v>
      </c>
      <c r="C688" s="77" t="s">
        <v>3059</v>
      </c>
      <c r="D688" s="102" t="s">
        <v>3060</v>
      </c>
      <c r="E688" s="77" t="s">
        <v>88</v>
      </c>
      <c r="F688" s="77" t="s">
        <v>58</v>
      </c>
      <c r="G688" s="77" t="s">
        <v>295</v>
      </c>
      <c r="H688" s="77" t="s">
        <v>290</v>
      </c>
      <c r="I688" s="76"/>
      <c r="J688" s="110" t="s">
        <v>102</v>
      </c>
      <c r="K688" s="77">
        <v>2021</v>
      </c>
      <c r="L688" s="78">
        <v>1</v>
      </c>
      <c r="M688" s="86">
        <v>13908</v>
      </c>
      <c r="N688" s="86">
        <f>Table47910[[#This Row],[Expected Revenue]]*Table47910[[#This Row],[Probability]]</f>
        <v>13908</v>
      </c>
      <c r="O688" s="79">
        <v>4172.3999999999996</v>
      </c>
      <c r="P688" s="86">
        <f>Table47910[[#This Row],[Expected Revenue]]*Table47910[[#This Row],[Expected CMR]]</f>
        <v>58029739.199999996</v>
      </c>
      <c r="Q688" s="210"/>
    </row>
    <row r="689" spans="1:17" hidden="1">
      <c r="A689" s="173"/>
      <c r="B689" s="76" t="s">
        <v>146</v>
      </c>
      <c r="C689" s="77" t="s">
        <v>3059</v>
      </c>
      <c r="D689" s="102" t="s">
        <v>3176</v>
      </c>
      <c r="E689" s="77" t="s">
        <v>291</v>
      </c>
      <c r="F689" s="77" t="s">
        <v>58</v>
      </c>
      <c r="G689" s="77" t="s">
        <v>295</v>
      </c>
      <c r="H689" s="77" t="s">
        <v>290</v>
      </c>
      <c r="I689" s="76"/>
      <c r="J689" s="110" t="s">
        <v>102</v>
      </c>
      <c r="K689" s="77">
        <v>2021</v>
      </c>
      <c r="L689" s="78">
        <v>1</v>
      </c>
      <c r="M689" s="86">
        <v>19000</v>
      </c>
      <c r="N689" s="86">
        <f>Table47910[[#This Row],[Expected Revenue]]*Table47910[[#This Row],[Probability]]</f>
        <v>19000</v>
      </c>
      <c r="O689" s="79">
        <v>5700</v>
      </c>
      <c r="P689" s="86">
        <f>Table47910[[#This Row],[Expected Revenue]]*Table47910[[#This Row],[Expected CMR]]</f>
        <v>108300000</v>
      </c>
      <c r="Q689" s="210"/>
    </row>
    <row r="690" spans="1:17" hidden="1">
      <c r="A690" s="173"/>
      <c r="B690" s="76" t="s">
        <v>260</v>
      </c>
      <c r="C690" s="77" t="s">
        <v>3227</v>
      </c>
      <c r="D690" s="102" t="s">
        <v>3228</v>
      </c>
      <c r="E690" s="77" t="s">
        <v>92</v>
      </c>
      <c r="F690" s="77" t="s">
        <v>158</v>
      </c>
      <c r="G690" s="77" t="s">
        <v>65</v>
      </c>
      <c r="H690" s="77" t="s">
        <v>290</v>
      </c>
      <c r="I690" s="76"/>
      <c r="J690" s="110" t="s">
        <v>102</v>
      </c>
      <c r="K690" s="77">
        <v>2021</v>
      </c>
      <c r="L690" s="78">
        <v>1</v>
      </c>
      <c r="M690" s="86">
        <v>25000</v>
      </c>
      <c r="N690" s="78">
        <v>0.3</v>
      </c>
      <c r="O690" s="79">
        <v>7500</v>
      </c>
      <c r="P690" s="86">
        <f>Table47910[[#This Row],[Expected Revenue]]*Table47910[[#This Row],[Expected CMR]]</f>
        <v>187500000</v>
      </c>
      <c r="Q690" s="210"/>
    </row>
    <row r="691" spans="1:17" hidden="1">
      <c r="A691" s="173"/>
      <c r="B691" s="76" t="s">
        <v>296</v>
      </c>
      <c r="C691" s="77"/>
      <c r="D691" s="102"/>
      <c r="E691" s="77" t="s">
        <v>251</v>
      </c>
      <c r="F691" s="77" t="s">
        <v>58</v>
      </c>
      <c r="G691" s="77" t="s">
        <v>3181</v>
      </c>
      <c r="H691" s="77" t="s">
        <v>296</v>
      </c>
      <c r="I691" s="76"/>
      <c r="J691" s="110" t="s">
        <v>102</v>
      </c>
      <c r="K691" s="77">
        <v>2021</v>
      </c>
      <c r="L691" s="78">
        <v>1</v>
      </c>
      <c r="M691" s="86">
        <v>100000</v>
      </c>
      <c r="N691" s="79">
        <v>100000</v>
      </c>
      <c r="O691" s="79">
        <v>30000</v>
      </c>
      <c r="P691" s="86">
        <f>Table47910[[#This Row],[Expected Revenue]]*Table47910[[#This Row],[Expected CMR]]</f>
        <v>3000000000</v>
      </c>
      <c r="Q691" s="210"/>
    </row>
    <row r="692" spans="1:17" hidden="1">
      <c r="A692" s="173"/>
      <c r="B692" s="76" t="s">
        <v>156</v>
      </c>
      <c r="C692" s="77" t="s">
        <v>3227</v>
      </c>
      <c r="D692" s="102" t="s">
        <v>3228</v>
      </c>
      <c r="E692" s="77" t="s">
        <v>92</v>
      </c>
      <c r="F692" s="77" t="s">
        <v>158</v>
      </c>
      <c r="G692" s="77" t="s">
        <v>65</v>
      </c>
      <c r="H692" s="77" t="s">
        <v>290</v>
      </c>
      <c r="I692" s="76"/>
      <c r="J692" s="110" t="s">
        <v>102</v>
      </c>
      <c r="K692" s="77">
        <v>2021</v>
      </c>
      <c r="L692" s="78">
        <v>1</v>
      </c>
      <c r="M692" s="86">
        <v>60000</v>
      </c>
      <c r="N692" s="78">
        <v>0.3</v>
      </c>
      <c r="O692" s="79">
        <v>18000</v>
      </c>
      <c r="P692" s="86">
        <f>Table47910[[#This Row],[Expected Revenue]]*Table47910[[#This Row],[Expected CMR]]</f>
        <v>1080000000</v>
      </c>
      <c r="Q692" s="210"/>
    </row>
    <row r="693" spans="1:17" hidden="1">
      <c r="A693" s="173"/>
      <c r="B693" s="76" t="s">
        <v>283</v>
      </c>
      <c r="C693" s="77" t="s">
        <v>281</v>
      </c>
      <c r="D693" s="102" t="s">
        <v>3219</v>
      </c>
      <c r="E693" s="77" t="s">
        <v>92</v>
      </c>
      <c r="F693" s="77" t="s">
        <v>58</v>
      </c>
      <c r="G693" s="77" t="s">
        <v>3216</v>
      </c>
      <c r="H693" s="77" t="s">
        <v>297</v>
      </c>
      <c r="I693" s="76"/>
      <c r="J693" s="110" t="s">
        <v>102</v>
      </c>
      <c r="K693" s="77">
        <v>2021</v>
      </c>
      <c r="L693" s="78">
        <v>1</v>
      </c>
      <c r="M693" s="86">
        <v>13500</v>
      </c>
      <c r="N693" s="78">
        <v>0.3</v>
      </c>
      <c r="O693" s="79">
        <v>4050</v>
      </c>
      <c r="P693" s="86">
        <f>Table47910[[#This Row],[Expected Revenue]]*Table47910[[#This Row],[Expected CMR]]</f>
        <v>54675000</v>
      </c>
      <c r="Q693" s="210"/>
    </row>
    <row r="694" spans="1:17" hidden="1">
      <c r="A694" s="173"/>
      <c r="B694" s="76" t="s">
        <v>125</v>
      </c>
      <c r="C694" s="77" t="s">
        <v>126</v>
      </c>
      <c r="D694" s="102"/>
      <c r="E694" s="77" t="s">
        <v>291</v>
      </c>
      <c r="F694" s="77" t="s">
        <v>58</v>
      </c>
      <c r="G694" s="77" t="s">
        <v>65</v>
      </c>
      <c r="H694" s="77" t="s">
        <v>290</v>
      </c>
      <c r="I694" s="76"/>
      <c r="J694" s="110" t="s">
        <v>102</v>
      </c>
      <c r="K694" s="77">
        <v>2021</v>
      </c>
      <c r="L694" s="78">
        <v>1</v>
      </c>
      <c r="M694" s="86">
        <v>14000</v>
      </c>
      <c r="N694" s="78">
        <v>0.3</v>
      </c>
      <c r="O694" s="79">
        <v>15000</v>
      </c>
      <c r="P694" s="86">
        <f>Table47910[[#This Row],[Expected Revenue]]*Table47910[[#This Row],[Expected CMR]]</f>
        <v>210000000</v>
      </c>
      <c r="Q694" s="210"/>
    </row>
    <row r="695" spans="1:17" hidden="1">
      <c r="A695" s="173"/>
      <c r="B695" s="76"/>
      <c r="C695" s="77"/>
      <c r="D695" s="102"/>
      <c r="E695" s="77"/>
      <c r="F695" s="77"/>
      <c r="G695" s="77"/>
      <c r="H695" s="77"/>
      <c r="I695" s="76"/>
      <c r="J695" s="110"/>
      <c r="K695" s="77"/>
      <c r="L695" s="77"/>
      <c r="M695" s="77"/>
      <c r="N695" s="86">
        <f>Table47910[[#This Row],[Expected Revenue]]*Table47910[[#This Row],[Probability]]</f>
        <v>0</v>
      </c>
      <c r="O695" s="78"/>
      <c r="P695" s="86">
        <f>Table47910[[#This Row],[Expected Revenue]]*Table47910[[#This Row],[Expected CMR]]</f>
        <v>0</v>
      </c>
      <c r="Q695" s="210"/>
    </row>
    <row r="696" spans="1:17" hidden="1">
      <c r="A696" s="173"/>
      <c r="B696" s="76"/>
      <c r="C696" s="77"/>
      <c r="D696" s="102"/>
      <c r="E696" s="77"/>
      <c r="F696" s="77"/>
      <c r="G696" s="77"/>
      <c r="H696" s="77"/>
      <c r="I696" s="76"/>
      <c r="J696" s="110"/>
      <c r="K696" s="77"/>
      <c r="L696" s="77"/>
      <c r="M696" s="77"/>
      <c r="N696" s="86">
        <f>Table47910[[#This Row],[Expected Revenue]]*Table47910[[#This Row],[Probability]]</f>
        <v>0</v>
      </c>
      <c r="O696" s="78"/>
      <c r="P696" s="86">
        <f>Table47910[[#This Row],[Expected Revenue]]*Table47910[[#This Row],[Expected CMR]]</f>
        <v>0</v>
      </c>
      <c r="Q696" s="210"/>
    </row>
    <row r="697" spans="1:17" hidden="1">
      <c r="A697" s="173"/>
      <c r="B697" s="76"/>
      <c r="C697" s="77"/>
      <c r="D697" s="102"/>
      <c r="E697" s="77"/>
      <c r="F697" s="77"/>
      <c r="G697" s="77"/>
      <c r="H697" s="77"/>
      <c r="I697" s="76"/>
      <c r="J697" s="110"/>
      <c r="K697" s="77"/>
      <c r="L697" s="77"/>
      <c r="M697" s="77"/>
      <c r="N697" s="86">
        <f>Table47910[[#This Row],[Expected Revenue]]*Table47910[[#This Row],[Probability]]</f>
        <v>0</v>
      </c>
      <c r="O697" s="78"/>
      <c r="P697" s="86">
        <f>Table47910[[#This Row],[Expected Revenue]]*Table47910[[#This Row],[Expected CMR]]</f>
        <v>0</v>
      </c>
      <c r="Q697" s="210"/>
    </row>
    <row r="698" spans="1:17" hidden="1">
      <c r="A698" s="173"/>
      <c r="B698" s="76"/>
      <c r="C698" s="77"/>
      <c r="D698" s="102"/>
      <c r="E698" s="77"/>
      <c r="F698" s="77"/>
      <c r="G698" s="77"/>
      <c r="H698" s="77"/>
      <c r="I698" s="76"/>
      <c r="J698" s="110"/>
      <c r="K698" s="77"/>
      <c r="L698" s="77"/>
      <c r="M698" s="77"/>
      <c r="N698" s="86">
        <f>Table47910[[#This Row],[Expected Revenue]]*Table47910[[#This Row],[Probability]]</f>
        <v>0</v>
      </c>
      <c r="O698" s="78"/>
      <c r="P698" s="86">
        <f>Table47910[[#This Row],[Expected Revenue]]*Table47910[[#This Row],[Expected CMR]]</f>
        <v>0</v>
      </c>
      <c r="Q698" s="210"/>
    </row>
    <row r="699" spans="1:17">
      <c r="A699" s="174"/>
      <c r="B699" s="82"/>
      <c r="C699" s="77"/>
      <c r="D699" s="103"/>
      <c r="E699" s="83"/>
      <c r="F699" s="77"/>
      <c r="G699" s="83"/>
      <c r="H699" s="83"/>
      <c r="I699" s="82"/>
      <c r="J699" s="156"/>
      <c r="K699" s="83"/>
      <c r="L699" s="83"/>
      <c r="M699" s="83">
        <f>SUBTOTAL(109,Table47910[Expected Revenue])</f>
        <v>500906.5</v>
      </c>
      <c r="N699" s="83">
        <f>SUBTOTAL(109,Table47910[Rev. Based on PROB])</f>
        <v>447090.5</v>
      </c>
      <c r="O699" s="83"/>
      <c r="P699" s="87"/>
      <c r="Q699" s="83"/>
    </row>
  </sheetData>
  <mergeCells count="1">
    <mergeCell ref="A1:D1"/>
  </mergeCells>
  <dataValidations count="1">
    <dataValidation type="list" allowBlank="1" showInputMessage="1" showErrorMessage="1" sqref="G327 G323 H388:H422 G330:G331 G693:G694 G658 G313 G386:G422 G357:G362 G683:G685 G690:G691 G333:G352 G354 G368:G371 G373:G379 G316:G318" xr:uid="{9F87DBB8-2FB6-4150-84B4-84E173E52CD6}">
      <formula1>$BZ$2:$BZ$6</formula1>
    </dataValidation>
  </dataValidations>
  <pageMargins left="0.7" right="0.7" top="0.75" bottom="0.75" header="0.3" footer="0.3"/>
  <pageSetup paperSize="5" scale="68" fitToHeight="0" orientation="landscape" r:id="rId1"/>
  <legacyDrawing r:id="rId2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3570-3032-46A5-B962-957EFDFC7CE8}">
  <dimension ref="A1:L30"/>
  <sheetViews>
    <sheetView zoomScale="70" zoomScaleNormal="70" workbookViewId="0">
      <selection activeCell="E703" sqref="E703"/>
    </sheetView>
  </sheetViews>
  <sheetFormatPr defaultColWidth="8.7109375" defaultRowHeight="14.45"/>
  <cols>
    <col min="1" max="1" width="26" bestFit="1" customWidth="1"/>
    <col min="2" max="2" width="17.42578125" bestFit="1" customWidth="1"/>
    <col min="3" max="3" width="8" bestFit="1" customWidth="1"/>
    <col min="4" max="4" width="11.42578125" bestFit="1" customWidth="1"/>
    <col min="5" max="5" width="13.5703125" bestFit="1" customWidth="1"/>
    <col min="6" max="6" width="8" bestFit="1" customWidth="1"/>
    <col min="7" max="7" width="10.42578125" bestFit="1" customWidth="1"/>
    <col min="8" max="8" width="8" bestFit="1" customWidth="1"/>
    <col min="9" max="9" width="10.42578125" bestFit="1" customWidth="1"/>
    <col min="10" max="10" width="4.42578125" bestFit="1" customWidth="1"/>
    <col min="11" max="11" width="7.42578125" bestFit="1" customWidth="1"/>
    <col min="12" max="12" width="13.5703125" bestFit="1" customWidth="1"/>
    <col min="13" max="13" width="12.5703125" bestFit="1" customWidth="1"/>
    <col min="14" max="14" width="7.42578125" bestFit="1" customWidth="1"/>
    <col min="15" max="15" width="13.5703125" bestFit="1" customWidth="1"/>
  </cols>
  <sheetData>
    <row r="1" spans="1:12">
      <c r="A1" s="169" t="s">
        <v>25</v>
      </c>
      <c r="B1" s="170">
        <v>2021</v>
      </c>
    </row>
    <row r="3" spans="1:12">
      <c r="A3" s="169" t="s">
        <v>285</v>
      </c>
      <c r="B3" s="169" t="s">
        <v>286</v>
      </c>
    </row>
    <row r="4" spans="1:12">
      <c r="A4" s="169" t="s">
        <v>287</v>
      </c>
      <c r="B4" t="s">
        <v>93</v>
      </c>
      <c r="C4" t="s">
        <v>80</v>
      </c>
      <c r="D4" t="s">
        <v>230</v>
      </c>
      <c r="E4" t="s">
        <v>139</v>
      </c>
      <c r="F4" t="s">
        <v>222</v>
      </c>
      <c r="G4" t="s">
        <v>219</v>
      </c>
      <c r="H4" t="s">
        <v>84</v>
      </c>
      <c r="I4" t="s">
        <v>102</v>
      </c>
      <c r="J4" t="s">
        <v>68</v>
      </c>
      <c r="K4" t="s">
        <v>288</v>
      </c>
      <c r="L4" t="s">
        <v>289</v>
      </c>
    </row>
    <row r="5" spans="1:12">
      <c r="A5" s="170" t="s">
        <v>290</v>
      </c>
      <c r="I5">
        <v>30941.4</v>
      </c>
      <c r="L5">
        <v>30941.4</v>
      </c>
    </row>
    <row r="6" spans="1:12">
      <c r="A6" s="171" t="s">
        <v>291</v>
      </c>
      <c r="I6">
        <v>0.89999999999999991</v>
      </c>
      <c r="L6">
        <v>0.89999999999999991</v>
      </c>
    </row>
    <row r="7" spans="1:12">
      <c r="A7" s="171" t="s">
        <v>71</v>
      </c>
      <c r="I7">
        <v>30939</v>
      </c>
      <c r="L7">
        <v>30939</v>
      </c>
    </row>
    <row r="8" spans="1:12">
      <c r="A8" s="171" t="s">
        <v>292</v>
      </c>
      <c r="I8">
        <v>0.3</v>
      </c>
      <c r="L8">
        <v>0.3</v>
      </c>
    </row>
    <row r="9" spans="1:12">
      <c r="A9" s="171" t="s">
        <v>92</v>
      </c>
      <c r="I9">
        <v>0.89999999999999991</v>
      </c>
      <c r="L9">
        <v>0.89999999999999991</v>
      </c>
    </row>
    <row r="10" spans="1:12">
      <c r="A10" s="171" t="s">
        <v>88</v>
      </c>
      <c r="I10">
        <v>0.3</v>
      </c>
      <c r="L10">
        <v>0.3</v>
      </c>
    </row>
    <row r="11" spans="1:12">
      <c r="A11" s="170" t="s">
        <v>295</v>
      </c>
      <c r="B11">
        <v>30000</v>
      </c>
      <c r="C11">
        <v>15000</v>
      </c>
      <c r="K11">
        <v>15000</v>
      </c>
      <c r="L11">
        <v>60000</v>
      </c>
    </row>
    <row r="12" spans="1:12">
      <c r="A12" s="171" t="s">
        <v>71</v>
      </c>
      <c r="B12">
        <v>30000</v>
      </c>
      <c r="C12">
        <v>15000</v>
      </c>
      <c r="K12">
        <v>15000</v>
      </c>
      <c r="L12">
        <v>60000</v>
      </c>
    </row>
    <row r="13" spans="1:12">
      <c r="A13" s="170" t="s">
        <v>296</v>
      </c>
      <c r="B13">
        <v>100000</v>
      </c>
      <c r="C13">
        <v>100000</v>
      </c>
      <c r="D13">
        <v>100000</v>
      </c>
      <c r="E13">
        <v>100000</v>
      </c>
      <c r="F13">
        <v>100000</v>
      </c>
      <c r="G13">
        <v>100000</v>
      </c>
      <c r="H13">
        <v>100000</v>
      </c>
      <c r="I13">
        <v>100000</v>
      </c>
      <c r="L13">
        <v>800000</v>
      </c>
    </row>
    <row r="14" spans="1:12">
      <c r="A14" s="171" t="s">
        <v>251</v>
      </c>
      <c r="B14">
        <v>100000</v>
      </c>
      <c r="C14">
        <v>100000</v>
      </c>
      <c r="D14">
        <v>100000</v>
      </c>
      <c r="E14">
        <v>100000</v>
      </c>
      <c r="F14">
        <v>100000</v>
      </c>
      <c r="G14">
        <v>100000</v>
      </c>
      <c r="H14">
        <v>100000</v>
      </c>
      <c r="I14">
        <v>100000</v>
      </c>
      <c r="L14">
        <v>800000</v>
      </c>
    </row>
    <row r="15" spans="1:12">
      <c r="A15" s="170" t="s">
        <v>297</v>
      </c>
      <c r="B15">
        <v>324374.25</v>
      </c>
      <c r="C15">
        <v>214459</v>
      </c>
      <c r="D15">
        <v>341240.72</v>
      </c>
      <c r="E15">
        <v>231183.81375</v>
      </c>
      <c r="F15">
        <v>229561</v>
      </c>
      <c r="G15">
        <v>122513.8</v>
      </c>
      <c r="H15">
        <v>284059</v>
      </c>
      <c r="I15">
        <v>0.3</v>
      </c>
      <c r="L15">
        <v>1747391.88375</v>
      </c>
    </row>
    <row r="16" spans="1:12">
      <c r="A16" s="171" t="s">
        <v>291</v>
      </c>
      <c r="B16">
        <v>60000</v>
      </c>
      <c r="C16">
        <v>16000</v>
      </c>
      <c r="D16">
        <v>73784.22</v>
      </c>
      <c r="E16">
        <v>94378</v>
      </c>
      <c r="L16">
        <v>244162.22</v>
      </c>
    </row>
    <row r="17" spans="1:12">
      <c r="A17" s="171" t="s">
        <v>71</v>
      </c>
      <c r="B17">
        <v>60939</v>
      </c>
      <c r="C17">
        <v>28000</v>
      </c>
      <c r="D17">
        <v>60939</v>
      </c>
      <c r="E17">
        <v>30939</v>
      </c>
      <c r="F17">
        <v>30939</v>
      </c>
      <c r="H17">
        <v>20000</v>
      </c>
      <c r="L17">
        <v>231756</v>
      </c>
    </row>
    <row r="18" spans="1:12">
      <c r="A18" s="171" t="s">
        <v>292</v>
      </c>
      <c r="H18">
        <v>13900</v>
      </c>
      <c r="L18">
        <v>13900</v>
      </c>
    </row>
    <row r="19" spans="1:12">
      <c r="A19" s="171" t="s">
        <v>83</v>
      </c>
      <c r="D19">
        <v>10620</v>
      </c>
      <c r="G19">
        <v>10513.8</v>
      </c>
      <c r="L19">
        <v>21133.8</v>
      </c>
    </row>
    <row r="20" spans="1:12">
      <c r="A20" s="171" t="s">
        <v>62</v>
      </c>
      <c r="B20">
        <v>156808.75</v>
      </c>
      <c r="C20">
        <v>102838</v>
      </c>
      <c r="D20">
        <v>45907</v>
      </c>
      <c r="H20">
        <v>33000</v>
      </c>
      <c r="L20">
        <v>338553.75</v>
      </c>
    </row>
    <row r="21" spans="1:12">
      <c r="A21" s="171" t="s">
        <v>281</v>
      </c>
      <c r="F21">
        <v>50000</v>
      </c>
      <c r="L21">
        <v>50000</v>
      </c>
    </row>
    <row r="22" spans="1:12">
      <c r="A22" s="171" t="s">
        <v>92</v>
      </c>
      <c r="B22">
        <v>18810.5</v>
      </c>
      <c r="C22">
        <v>67621</v>
      </c>
      <c r="D22">
        <v>96241.5</v>
      </c>
      <c r="E22">
        <v>55866.813750000001</v>
      </c>
      <c r="F22">
        <v>78622</v>
      </c>
      <c r="G22">
        <v>17000</v>
      </c>
      <c r="H22">
        <v>37622</v>
      </c>
      <c r="I22">
        <v>0.3</v>
      </c>
      <c r="L22">
        <v>371784.11374999996</v>
      </c>
    </row>
    <row r="23" spans="1:12">
      <c r="A23" s="171" t="s">
        <v>88</v>
      </c>
      <c r="B23">
        <v>27816</v>
      </c>
      <c r="G23">
        <v>25000</v>
      </c>
      <c r="H23">
        <v>29537</v>
      </c>
      <c r="L23">
        <v>82353</v>
      </c>
    </row>
    <row r="24" spans="1:12">
      <c r="A24" s="171" t="s">
        <v>251</v>
      </c>
      <c r="D24">
        <v>53749</v>
      </c>
      <c r="L24">
        <v>53749</v>
      </c>
    </row>
    <row r="25" spans="1:12">
      <c r="A25" s="171" t="s">
        <v>288</v>
      </c>
      <c r="E25">
        <v>50000</v>
      </c>
      <c r="F25">
        <v>70000</v>
      </c>
      <c r="G25">
        <v>70000</v>
      </c>
      <c r="H25">
        <v>150000</v>
      </c>
      <c r="L25">
        <v>340000</v>
      </c>
    </row>
    <row r="26" spans="1:12">
      <c r="A26" s="170" t="s">
        <v>257</v>
      </c>
      <c r="B26">
        <v>17650.649999999998</v>
      </c>
      <c r="G26">
        <v>3000</v>
      </c>
      <c r="L26">
        <v>20650.649999999998</v>
      </c>
    </row>
    <row r="27" spans="1:12">
      <c r="A27" s="171" t="s">
        <v>71</v>
      </c>
    </row>
    <row r="28" spans="1:12">
      <c r="A28" s="171" t="s">
        <v>62</v>
      </c>
      <c r="G28">
        <v>3000</v>
      </c>
      <c r="L28">
        <v>3000</v>
      </c>
    </row>
    <row r="29" spans="1:12">
      <c r="A29" s="171" t="s">
        <v>92</v>
      </c>
      <c r="B29">
        <v>17650.649999999998</v>
      </c>
      <c r="L29">
        <v>17650.649999999998</v>
      </c>
    </row>
    <row r="30" spans="1:12">
      <c r="A30" s="170" t="s">
        <v>289</v>
      </c>
      <c r="B30">
        <v>472024.9</v>
      </c>
      <c r="C30">
        <v>329459</v>
      </c>
      <c r="D30">
        <v>441240.72</v>
      </c>
      <c r="E30">
        <v>331183.81374999997</v>
      </c>
      <c r="F30">
        <v>329561</v>
      </c>
      <c r="G30">
        <v>225513.8</v>
      </c>
      <c r="H30">
        <v>384059</v>
      </c>
      <c r="I30">
        <v>130941.7</v>
      </c>
      <c r="K30">
        <v>15000</v>
      </c>
      <c r="L30">
        <v>2658983.9337499999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18A1-C975-415C-81C3-076363FBDE05}">
  <sheetPr>
    <pageSetUpPr fitToPage="1"/>
  </sheetPr>
  <dimension ref="A1:Q672"/>
  <sheetViews>
    <sheetView zoomScale="110" zoomScaleNormal="110" workbookViewId="0">
      <pane xSplit="4" ySplit="3" topLeftCell="E4" activePane="bottomRight" state="frozen"/>
      <selection pane="bottomRight" activeCell="D668" sqref="D667:D668"/>
      <selection pane="bottomLeft" activeCell="A6" sqref="A6"/>
      <selection pane="topRight" activeCell="F1" sqref="F1"/>
    </sheetView>
  </sheetViews>
  <sheetFormatPr defaultColWidth="8.5703125" defaultRowHeight="14.45"/>
  <cols>
    <col min="1" max="1" width="12.42578125" style="66" bestFit="1" customWidth="1"/>
    <col min="2" max="2" width="31.140625" style="66" bestFit="1" customWidth="1"/>
    <col min="3" max="3" width="10.5703125" style="66" bestFit="1" customWidth="1"/>
    <col min="4" max="4" width="26" style="104" bestFit="1" customWidth="1"/>
    <col min="5" max="5" width="14.42578125" style="66" bestFit="1" customWidth="1"/>
    <col min="6" max="6" width="12.85546875" style="66" customWidth="1"/>
    <col min="7" max="8" width="11.42578125" style="89" customWidth="1"/>
    <col min="9" max="9" width="9.85546875" style="66" customWidth="1"/>
    <col min="10" max="10" width="11.5703125" style="66" customWidth="1"/>
    <col min="11" max="11" width="8.85546875" style="66" customWidth="1"/>
    <col min="12" max="12" width="12.42578125" style="66" bestFit="1" customWidth="1"/>
    <col min="13" max="13" width="11.42578125" style="66" customWidth="1"/>
    <col min="14" max="14" width="10.140625" style="66" customWidth="1"/>
    <col min="15" max="15" width="15.140625" style="66" customWidth="1"/>
    <col min="16" max="17" width="14.140625" style="66" customWidth="1"/>
    <col min="18" max="16384" width="8.5703125" style="66"/>
  </cols>
  <sheetData>
    <row r="1" spans="1:17" ht="46.15">
      <c r="A1" s="1053" t="s">
        <v>3019</v>
      </c>
      <c r="B1" s="1053"/>
      <c r="C1" s="1053"/>
      <c r="D1" s="1053"/>
      <c r="E1" s="153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</row>
    <row r="3" spans="1:17" ht="20.45">
      <c r="A3" s="175" t="s">
        <v>3020</v>
      </c>
      <c r="B3" s="69" t="s">
        <v>10</v>
      </c>
      <c r="C3" s="70" t="s">
        <v>11</v>
      </c>
      <c r="D3" s="70" t="s">
        <v>15</v>
      </c>
      <c r="E3" s="70" t="s">
        <v>16</v>
      </c>
      <c r="F3" s="70" t="s">
        <v>12</v>
      </c>
      <c r="G3" s="70" t="s">
        <v>19</v>
      </c>
      <c r="H3" s="70" t="s">
        <v>3021</v>
      </c>
      <c r="I3" s="70" t="s">
        <v>21</v>
      </c>
      <c r="J3" s="70" t="s">
        <v>3022</v>
      </c>
      <c r="K3" s="70" t="s">
        <v>25</v>
      </c>
      <c r="L3" s="70" t="s">
        <v>26</v>
      </c>
      <c r="M3" s="70" t="s">
        <v>27</v>
      </c>
      <c r="N3" s="70" t="s">
        <v>28</v>
      </c>
      <c r="O3" s="70" t="s">
        <v>30</v>
      </c>
      <c r="P3" s="70" t="s">
        <v>335</v>
      </c>
      <c r="Q3" s="71" t="s">
        <v>50</v>
      </c>
    </row>
    <row r="4" spans="1:17" hidden="1">
      <c r="A4" s="173" t="s">
        <v>3023</v>
      </c>
      <c r="B4" s="76" t="s">
        <v>172</v>
      </c>
      <c r="C4" s="77" t="s">
        <v>172</v>
      </c>
      <c r="D4" s="102" t="s">
        <v>3024</v>
      </c>
      <c r="E4" s="77" t="s">
        <v>107</v>
      </c>
      <c r="F4" s="77" t="s">
        <v>158</v>
      </c>
      <c r="G4" s="77" t="s">
        <v>65</v>
      </c>
      <c r="H4" s="77" t="s">
        <v>290</v>
      </c>
      <c r="I4" s="77"/>
      <c r="J4" s="110" t="s">
        <v>222</v>
      </c>
      <c r="K4" s="77">
        <v>2019</v>
      </c>
      <c r="L4" s="78">
        <v>1</v>
      </c>
      <c r="M4" s="79">
        <v>20000</v>
      </c>
      <c r="N4" s="79">
        <f>Table47[[#This Row],[Expected Revenue]]*Table47[[#This Row],[Probability]]</f>
        <v>20000</v>
      </c>
      <c r="O4" s="78">
        <v>0.45</v>
      </c>
      <c r="P4" s="79">
        <f>Table47[[#This Row],[Expected Revenue]]*Table47[[#This Row],[Expected CMR]]</f>
        <v>9000</v>
      </c>
      <c r="Q4" s="212"/>
    </row>
    <row r="5" spans="1:17" hidden="1">
      <c r="A5" s="173" t="s">
        <v>3023</v>
      </c>
      <c r="B5" s="76" t="s">
        <v>172</v>
      </c>
      <c r="C5" s="77" t="s">
        <v>172</v>
      </c>
      <c r="D5" s="102" t="s">
        <v>3024</v>
      </c>
      <c r="E5" s="77" t="s">
        <v>107</v>
      </c>
      <c r="F5" s="77" t="s">
        <v>158</v>
      </c>
      <c r="G5" s="77" t="s">
        <v>65</v>
      </c>
      <c r="H5" s="77" t="s">
        <v>290</v>
      </c>
      <c r="I5" s="77"/>
      <c r="J5" s="110" t="s">
        <v>89</v>
      </c>
      <c r="K5" s="77">
        <v>2019</v>
      </c>
      <c r="L5" s="78">
        <v>1</v>
      </c>
      <c r="M5" s="79">
        <v>45000</v>
      </c>
      <c r="N5" s="79">
        <f>Table47[[#This Row],[Expected Revenue]]*Table47[[#This Row],[Probability]]</f>
        <v>45000</v>
      </c>
      <c r="O5" s="78">
        <v>0.45</v>
      </c>
      <c r="P5" s="79">
        <f>Table47[[#This Row],[Expected Revenue]]*Table47[[#This Row],[Expected CMR]]</f>
        <v>20250</v>
      </c>
      <c r="Q5" s="209"/>
    </row>
    <row r="6" spans="1:17" hidden="1">
      <c r="A6" s="173" t="s">
        <v>3023</v>
      </c>
      <c r="B6" s="76" t="s">
        <v>260</v>
      </c>
      <c r="C6" s="77" t="s">
        <v>157</v>
      </c>
      <c r="D6" s="102" t="s">
        <v>261</v>
      </c>
      <c r="E6" s="77" t="s">
        <v>62</v>
      </c>
      <c r="F6" s="77" t="s">
        <v>58</v>
      </c>
      <c r="G6" s="77" t="s">
        <v>65</v>
      </c>
      <c r="H6" s="77" t="s">
        <v>290</v>
      </c>
      <c r="I6" s="77"/>
      <c r="J6" s="152" t="s">
        <v>80</v>
      </c>
      <c r="K6" s="77">
        <v>2019</v>
      </c>
      <c r="L6" s="78">
        <v>1</v>
      </c>
      <c r="M6" s="79">
        <v>35000</v>
      </c>
      <c r="N6" s="79">
        <f>Table47[[#This Row],[Expected Revenue]]*Table47[[#This Row],[Probability]]</f>
        <v>35000</v>
      </c>
      <c r="O6" s="78">
        <v>0.35</v>
      </c>
      <c r="P6" s="79">
        <f>Table47[[#This Row],[Expected Revenue]]*Table47[[#This Row],[Expected CMR]]</f>
        <v>12250</v>
      </c>
      <c r="Q6" s="209"/>
    </row>
    <row r="7" spans="1:17" hidden="1">
      <c r="A7" s="173" t="s">
        <v>3025</v>
      </c>
      <c r="B7" s="76" t="s">
        <v>253</v>
      </c>
      <c r="C7" s="77" t="s">
        <v>254</v>
      </c>
      <c r="D7" s="102" t="s">
        <v>255</v>
      </c>
      <c r="E7" s="77" t="s">
        <v>92</v>
      </c>
      <c r="F7" s="77" t="s">
        <v>158</v>
      </c>
      <c r="G7" s="77" t="s">
        <v>65</v>
      </c>
      <c r="H7" s="77" t="s">
        <v>290</v>
      </c>
      <c r="I7" s="77"/>
      <c r="J7" s="110" t="s">
        <v>80</v>
      </c>
      <c r="K7" s="77">
        <v>2020</v>
      </c>
      <c r="L7" s="78">
        <v>1</v>
      </c>
      <c r="M7" s="79">
        <v>60000</v>
      </c>
      <c r="N7" s="79">
        <f>Table47[[#This Row],[Expected Revenue]]*Table47[[#This Row],[Probability]]</f>
        <v>60000</v>
      </c>
      <c r="O7" s="78">
        <v>0.3</v>
      </c>
      <c r="P7" s="79">
        <v>15000</v>
      </c>
      <c r="Q7" s="209"/>
    </row>
    <row r="8" spans="1:17" hidden="1">
      <c r="A8" s="173" t="s">
        <v>3023</v>
      </c>
      <c r="B8" s="76" t="s">
        <v>296</v>
      </c>
      <c r="C8" s="77"/>
      <c r="D8" s="102"/>
      <c r="E8" s="77" t="s">
        <v>251</v>
      </c>
      <c r="F8" s="77"/>
      <c r="G8" s="77"/>
      <c r="H8" s="77" t="s">
        <v>296</v>
      </c>
      <c r="I8" s="76"/>
      <c r="J8" s="110" t="s">
        <v>139</v>
      </c>
      <c r="K8" s="77">
        <v>2019</v>
      </c>
      <c r="L8" s="78">
        <v>1</v>
      </c>
      <c r="M8" s="79">
        <v>50000</v>
      </c>
      <c r="N8" s="86">
        <f>Table47[[#This Row],[Expected Revenue]]*Table47[[#This Row],[Probability]]</f>
        <v>50000</v>
      </c>
      <c r="O8" s="78">
        <v>0.3</v>
      </c>
      <c r="P8" s="86">
        <f>Table47[[#This Row],[Expected Revenue]]*Table47[[#This Row],[Expected CMR]]</f>
        <v>15000</v>
      </c>
      <c r="Q8" s="210"/>
    </row>
    <row r="9" spans="1:17" hidden="1">
      <c r="A9" s="173" t="s">
        <v>3023</v>
      </c>
      <c r="B9" s="76" t="s">
        <v>296</v>
      </c>
      <c r="C9" s="77"/>
      <c r="D9" s="102"/>
      <c r="E9" s="77" t="s">
        <v>251</v>
      </c>
      <c r="F9" s="77"/>
      <c r="G9" s="77"/>
      <c r="H9" s="77" t="s">
        <v>296</v>
      </c>
      <c r="I9" s="76"/>
      <c r="J9" s="110" t="s">
        <v>84</v>
      </c>
      <c r="K9" s="77">
        <v>2019</v>
      </c>
      <c r="L9" s="78">
        <v>1</v>
      </c>
      <c r="M9" s="79">
        <v>150000</v>
      </c>
      <c r="N9" s="86">
        <f>Table47[[#This Row],[Expected Revenue]]*Table47[[#This Row],[Probability]]</f>
        <v>150000</v>
      </c>
      <c r="O9" s="78">
        <v>0.3</v>
      </c>
      <c r="P9" s="86">
        <f>Table47[[#This Row],[Expected Revenue]]*Table47[[#This Row],[Expected CMR]]</f>
        <v>45000</v>
      </c>
      <c r="Q9" s="210"/>
    </row>
    <row r="10" spans="1:17" hidden="1">
      <c r="A10" s="173" t="s">
        <v>3023</v>
      </c>
      <c r="B10" s="76" t="s">
        <v>296</v>
      </c>
      <c r="C10" s="77"/>
      <c r="D10" s="102"/>
      <c r="E10" s="77" t="s">
        <v>251</v>
      </c>
      <c r="F10" s="77"/>
      <c r="G10" s="77"/>
      <c r="H10" s="77" t="s">
        <v>296</v>
      </c>
      <c r="I10" s="76"/>
      <c r="J10" s="110" t="s">
        <v>80</v>
      </c>
      <c r="K10" s="77">
        <v>2019</v>
      </c>
      <c r="L10" s="78">
        <v>1</v>
      </c>
      <c r="M10" s="79">
        <v>100000</v>
      </c>
      <c r="N10" s="86">
        <f>Table47[[#This Row],[Expected Revenue]]*Table47[[#This Row],[Probability]]</f>
        <v>100000</v>
      </c>
      <c r="O10" s="78">
        <v>0.3</v>
      </c>
      <c r="P10" s="86">
        <f>Table47[[#This Row],[Expected Revenue]]*Table47[[#This Row],[Expected CMR]]</f>
        <v>30000</v>
      </c>
      <c r="Q10" s="210"/>
    </row>
    <row r="11" spans="1:17" hidden="1">
      <c r="A11" s="173" t="s">
        <v>3023</v>
      </c>
      <c r="B11" s="76" t="s">
        <v>309</v>
      </c>
      <c r="C11" s="77" t="s">
        <v>157</v>
      </c>
      <c r="D11" s="102" t="s">
        <v>261</v>
      </c>
      <c r="E11" s="77" t="s">
        <v>62</v>
      </c>
      <c r="F11" s="77" t="s">
        <v>58</v>
      </c>
      <c r="G11" s="77" t="s">
        <v>65</v>
      </c>
      <c r="H11" s="77" t="s">
        <v>290</v>
      </c>
      <c r="I11" s="77"/>
      <c r="J11" s="110" t="s">
        <v>80</v>
      </c>
      <c r="K11" s="77">
        <v>2020</v>
      </c>
      <c r="L11" s="78">
        <v>1</v>
      </c>
      <c r="M11" s="79">
        <v>100000</v>
      </c>
      <c r="N11" s="79">
        <f>Table47[[#This Row],[Expected Revenue]]*Table47[[#This Row],[Probability]]</f>
        <v>100000</v>
      </c>
      <c r="O11" s="78">
        <v>0.35</v>
      </c>
      <c r="P11" s="79">
        <f>Table47[[#This Row],[Expected Revenue]]*Table47[[#This Row],[Expected CMR]]</f>
        <v>35000</v>
      </c>
      <c r="Q11" s="209"/>
    </row>
    <row r="12" spans="1:17" hidden="1">
      <c r="A12" s="173" t="s">
        <v>3023</v>
      </c>
      <c r="B12" s="76" t="s">
        <v>296</v>
      </c>
      <c r="C12" s="77"/>
      <c r="D12" s="102"/>
      <c r="E12" s="77" t="s">
        <v>251</v>
      </c>
      <c r="F12" s="77"/>
      <c r="G12" s="77"/>
      <c r="H12" s="77" t="s">
        <v>296</v>
      </c>
      <c r="I12" s="76"/>
      <c r="J12" s="110" t="s">
        <v>219</v>
      </c>
      <c r="K12" s="77">
        <v>2019</v>
      </c>
      <c r="L12" s="78">
        <v>1</v>
      </c>
      <c r="M12" s="79">
        <v>150000</v>
      </c>
      <c r="N12" s="86">
        <f>Table47[[#This Row],[Expected Revenue]]*Table47[[#This Row],[Probability]]</f>
        <v>150000</v>
      </c>
      <c r="O12" s="78">
        <v>0.3</v>
      </c>
      <c r="P12" s="86">
        <f>Table47[[#This Row],[Expected Revenue]]*Table47[[#This Row],[Expected CMR]]</f>
        <v>45000</v>
      </c>
      <c r="Q12" s="210"/>
    </row>
    <row r="13" spans="1:17" hidden="1">
      <c r="A13" s="173" t="s">
        <v>3023</v>
      </c>
      <c r="B13" s="76" t="s">
        <v>296</v>
      </c>
      <c r="C13" s="77"/>
      <c r="D13" s="102"/>
      <c r="E13" s="77" t="s">
        <v>251</v>
      </c>
      <c r="F13" s="77"/>
      <c r="G13" s="77"/>
      <c r="H13" s="77" t="s">
        <v>296</v>
      </c>
      <c r="I13" s="76"/>
      <c r="J13" s="110" t="s">
        <v>222</v>
      </c>
      <c r="K13" s="77">
        <v>2019</v>
      </c>
      <c r="L13" s="78">
        <v>1</v>
      </c>
      <c r="M13" s="79">
        <v>150000</v>
      </c>
      <c r="N13" s="86">
        <f>Table47[[#This Row],[Expected Revenue]]*Table47[[#This Row],[Probability]]</f>
        <v>150000</v>
      </c>
      <c r="O13" s="78">
        <v>0.3</v>
      </c>
      <c r="P13" s="86">
        <f>Table47[[#This Row],[Expected Revenue]]*Table47[[#This Row],[Expected CMR]]</f>
        <v>45000</v>
      </c>
      <c r="Q13" s="210"/>
    </row>
    <row r="14" spans="1:17" hidden="1">
      <c r="A14" s="173" t="s">
        <v>3023</v>
      </c>
      <c r="B14" s="76" t="s">
        <v>296</v>
      </c>
      <c r="C14" s="77"/>
      <c r="D14" s="102"/>
      <c r="E14" s="77" t="s">
        <v>251</v>
      </c>
      <c r="F14" s="77"/>
      <c r="G14" s="77"/>
      <c r="H14" s="77" t="s">
        <v>296</v>
      </c>
      <c r="I14" s="76"/>
      <c r="J14" s="110" t="s">
        <v>230</v>
      </c>
      <c r="K14" s="77">
        <v>2019</v>
      </c>
      <c r="L14" s="78">
        <v>1</v>
      </c>
      <c r="M14" s="79">
        <v>100000</v>
      </c>
      <c r="N14" s="86">
        <f>Table47[[#This Row],[Expected Revenue]]*Table47[[#This Row],[Probability]]</f>
        <v>100000</v>
      </c>
      <c r="O14" s="78">
        <v>0.3</v>
      </c>
      <c r="P14" s="86">
        <f>Table47[[#This Row],[Expected Revenue]]*Table47[[#This Row],[Expected CMR]]</f>
        <v>30000</v>
      </c>
      <c r="Q14" s="210"/>
    </row>
    <row r="15" spans="1:17" hidden="1">
      <c r="A15" s="173" t="s">
        <v>3023</v>
      </c>
      <c r="B15" s="76" t="s">
        <v>296</v>
      </c>
      <c r="C15" s="77"/>
      <c r="D15" s="102"/>
      <c r="E15" s="77" t="s">
        <v>251</v>
      </c>
      <c r="F15" s="77"/>
      <c r="G15" s="77"/>
      <c r="H15" s="77" t="s">
        <v>296</v>
      </c>
      <c r="I15" s="76"/>
      <c r="J15" s="110" t="s">
        <v>89</v>
      </c>
      <c r="K15" s="77">
        <v>2019</v>
      </c>
      <c r="L15" s="78">
        <v>1</v>
      </c>
      <c r="M15" s="79">
        <v>150000</v>
      </c>
      <c r="N15" s="86">
        <f>Table47[[#This Row],[Expected Revenue]]*Table47[[#This Row],[Probability]]</f>
        <v>150000</v>
      </c>
      <c r="O15" s="78">
        <v>0.3</v>
      </c>
      <c r="P15" s="86">
        <f>Table47[[#This Row],[Expected Revenue]]*Table47[[#This Row],[Expected CMR]]</f>
        <v>45000</v>
      </c>
      <c r="Q15" s="210"/>
    </row>
    <row r="16" spans="1:17" hidden="1">
      <c r="A16" s="173" t="s">
        <v>3023</v>
      </c>
      <c r="B16" s="76" t="s">
        <v>296</v>
      </c>
      <c r="C16" s="77"/>
      <c r="D16" s="102"/>
      <c r="E16" s="77" t="s">
        <v>251</v>
      </c>
      <c r="F16" s="77"/>
      <c r="G16" s="77"/>
      <c r="H16" s="77" t="s">
        <v>296</v>
      </c>
      <c r="I16" s="76"/>
      <c r="J16" s="110" t="s">
        <v>102</v>
      </c>
      <c r="K16" s="77">
        <v>2019</v>
      </c>
      <c r="L16" s="78">
        <v>1</v>
      </c>
      <c r="M16" s="79">
        <v>150000</v>
      </c>
      <c r="N16" s="86">
        <f>Table47[[#This Row],[Expected Revenue]]*Table47[[#This Row],[Probability]]</f>
        <v>150000</v>
      </c>
      <c r="O16" s="78">
        <v>0.3</v>
      </c>
      <c r="P16" s="86">
        <f>Table47[[#This Row],[Expected Revenue]]*Table47[[#This Row],[Expected CMR]]</f>
        <v>45000</v>
      </c>
      <c r="Q16" s="210"/>
    </row>
    <row r="17" spans="1:17" hidden="1">
      <c r="A17" s="173" t="s">
        <v>3023</v>
      </c>
      <c r="B17" s="76" t="s">
        <v>296</v>
      </c>
      <c r="C17" s="77"/>
      <c r="D17" s="102"/>
      <c r="E17" s="77" t="s">
        <v>251</v>
      </c>
      <c r="F17" s="77"/>
      <c r="G17" s="77"/>
      <c r="H17" s="77" t="s">
        <v>296</v>
      </c>
      <c r="I17" s="76"/>
      <c r="J17" s="110" t="s">
        <v>229</v>
      </c>
      <c r="K17" s="77">
        <v>2019</v>
      </c>
      <c r="L17" s="78">
        <v>1</v>
      </c>
      <c r="M17" s="79">
        <v>150000</v>
      </c>
      <c r="N17" s="86">
        <f>Table47[[#This Row],[Expected Revenue]]*Table47[[#This Row],[Probability]]</f>
        <v>150000</v>
      </c>
      <c r="O17" s="78">
        <v>0.3</v>
      </c>
      <c r="P17" s="86">
        <f>Table47[[#This Row],[Expected Revenue]]*Table47[[#This Row],[Expected CMR]]</f>
        <v>45000</v>
      </c>
      <c r="Q17" s="210"/>
    </row>
    <row r="18" spans="1:17" ht="21.6" hidden="1">
      <c r="A18" s="173" t="s">
        <v>3023</v>
      </c>
      <c r="B18" s="76" t="s">
        <v>156</v>
      </c>
      <c r="C18" s="77" t="s">
        <v>157</v>
      </c>
      <c r="D18" s="102" t="s">
        <v>3026</v>
      </c>
      <c r="E18" s="77" t="s">
        <v>92</v>
      </c>
      <c r="F18" s="77" t="s">
        <v>58</v>
      </c>
      <c r="G18" s="77" t="s">
        <v>3027</v>
      </c>
      <c r="H18" s="77" t="s">
        <v>257</v>
      </c>
      <c r="I18" s="77" t="s">
        <v>3028</v>
      </c>
      <c r="J18" s="110" t="s">
        <v>139</v>
      </c>
      <c r="K18" s="77">
        <v>2019</v>
      </c>
      <c r="L18" s="78">
        <v>0.25</v>
      </c>
      <c r="M18" s="79">
        <v>579</v>
      </c>
      <c r="N18" s="79">
        <f>Table47[[#This Row],[Expected Revenue]]*Table47[[#This Row],[Probability]]</f>
        <v>144.75</v>
      </c>
      <c r="O18" s="78">
        <v>0.35</v>
      </c>
      <c r="P18" s="79">
        <f>Table47[[#This Row],[Expected Revenue]]*Table47[[#This Row],[Expected CMR]]</f>
        <v>202.64999999999998</v>
      </c>
      <c r="Q18" s="209"/>
    </row>
    <row r="19" spans="1:17" hidden="1">
      <c r="A19" s="75" t="s">
        <v>3029</v>
      </c>
      <c r="B19" s="76" t="s">
        <v>309</v>
      </c>
      <c r="C19" s="77" t="s">
        <v>157</v>
      </c>
      <c r="D19" s="102" t="s">
        <v>3030</v>
      </c>
      <c r="E19" s="77" t="s">
        <v>62</v>
      </c>
      <c r="F19" s="77" t="s">
        <v>58</v>
      </c>
      <c r="G19" s="77" t="s">
        <v>65</v>
      </c>
      <c r="H19" s="77" t="s">
        <v>290</v>
      </c>
      <c r="I19" s="77"/>
      <c r="J19" s="110" t="s">
        <v>139</v>
      </c>
      <c r="K19" s="77">
        <v>2019</v>
      </c>
      <c r="L19" s="78">
        <v>1</v>
      </c>
      <c r="M19" s="79">
        <v>45000</v>
      </c>
      <c r="N19" s="79">
        <f>Table47[[#This Row],[Expected Revenue]]*Table47[[#This Row],[Probability]]</f>
        <v>45000</v>
      </c>
      <c r="O19" s="78">
        <v>0.35</v>
      </c>
      <c r="P19" s="79">
        <f>Table47[[#This Row],[Expected Revenue]]*Table47[[#This Row],[Expected CMR]]</f>
        <v>15749.999999999998</v>
      </c>
      <c r="Q19" s="209"/>
    </row>
    <row r="20" spans="1:17" hidden="1">
      <c r="A20" s="75" t="s">
        <v>3029</v>
      </c>
      <c r="B20" s="76" t="s">
        <v>156</v>
      </c>
      <c r="C20" s="77" t="s">
        <v>157</v>
      </c>
      <c r="D20" s="102" t="s">
        <v>3031</v>
      </c>
      <c r="E20" s="77" t="s">
        <v>62</v>
      </c>
      <c r="F20" s="77" t="s">
        <v>58</v>
      </c>
      <c r="G20" s="77" t="s">
        <v>65</v>
      </c>
      <c r="H20" s="77" t="s">
        <v>290</v>
      </c>
      <c r="I20" s="77"/>
      <c r="J20" s="110" t="s">
        <v>139</v>
      </c>
      <c r="K20" s="77">
        <v>2019</v>
      </c>
      <c r="L20" s="78">
        <v>0.5</v>
      </c>
      <c r="M20" s="79">
        <v>15000</v>
      </c>
      <c r="N20" s="79">
        <f>Table47[[#This Row],[Expected Revenue]]*Table47[[#This Row],[Probability]]</f>
        <v>7500</v>
      </c>
      <c r="O20" s="78">
        <v>0.35</v>
      </c>
      <c r="P20" s="79">
        <f>Table47[[#This Row],[Expected Revenue]]*Table47[[#This Row],[Expected CMR]]</f>
        <v>5250</v>
      </c>
      <c r="Q20" s="209"/>
    </row>
    <row r="21" spans="1:17" hidden="1">
      <c r="A21" s="75" t="s">
        <v>3032</v>
      </c>
      <c r="B21" s="76" t="s">
        <v>73</v>
      </c>
      <c r="C21" s="77" t="s">
        <v>57</v>
      </c>
      <c r="D21" s="102" t="s">
        <v>106</v>
      </c>
      <c r="E21" s="77" t="s">
        <v>291</v>
      </c>
      <c r="F21" s="77" t="s">
        <v>58</v>
      </c>
      <c r="G21" s="77" t="s">
        <v>65</v>
      </c>
      <c r="H21" s="77" t="s">
        <v>290</v>
      </c>
      <c r="I21" s="77"/>
      <c r="J21" s="110" t="s">
        <v>80</v>
      </c>
      <c r="K21" s="77">
        <v>2020</v>
      </c>
      <c r="L21" s="78">
        <v>1</v>
      </c>
      <c r="M21" s="79">
        <v>0</v>
      </c>
      <c r="N21" s="79">
        <f>Table47[[#This Row],[Expected Revenue]]*Table47[[#This Row],[Probability]]</f>
        <v>0</v>
      </c>
      <c r="O21" s="78">
        <v>0.3</v>
      </c>
      <c r="P21" s="79">
        <v>17813.399999999998</v>
      </c>
      <c r="Q21" s="209"/>
    </row>
    <row r="22" spans="1:17" hidden="1">
      <c r="A22" s="173" t="s">
        <v>3033</v>
      </c>
      <c r="B22" s="76" t="s">
        <v>3034</v>
      </c>
      <c r="C22" s="77" t="s">
        <v>254</v>
      </c>
      <c r="D22" s="102" t="s">
        <v>255</v>
      </c>
      <c r="E22" s="77" t="s">
        <v>92</v>
      </c>
      <c r="F22" s="77" t="s">
        <v>158</v>
      </c>
      <c r="G22" s="77" t="s">
        <v>256</v>
      </c>
      <c r="H22" s="77" t="s">
        <v>290</v>
      </c>
      <c r="I22" s="77"/>
      <c r="J22" s="110" t="s">
        <v>230</v>
      </c>
      <c r="K22" s="77">
        <v>2020</v>
      </c>
      <c r="L22" s="78">
        <v>1</v>
      </c>
      <c r="M22" s="79">
        <v>70000</v>
      </c>
      <c r="N22" s="79">
        <f>Table47[[#This Row],[Expected Revenue]]*Table47[[#This Row],[Probability]]</f>
        <v>70000</v>
      </c>
      <c r="O22" s="78">
        <v>0.3</v>
      </c>
      <c r="P22" s="79">
        <f>Table47[[#This Row],[Expected Revenue]]*Table47[[#This Row],[Expected CMR]]</f>
        <v>21000</v>
      </c>
      <c r="Q22" s="209"/>
    </row>
    <row r="23" spans="1:17" hidden="1">
      <c r="A23" s="75" t="s">
        <v>3029</v>
      </c>
      <c r="B23" s="76" t="s">
        <v>156</v>
      </c>
      <c r="C23" s="77" t="s">
        <v>157</v>
      </c>
      <c r="D23" s="102" t="s">
        <v>3031</v>
      </c>
      <c r="E23" s="77" t="s">
        <v>62</v>
      </c>
      <c r="F23" s="77" t="s">
        <v>58</v>
      </c>
      <c r="G23" s="77" t="s">
        <v>3027</v>
      </c>
      <c r="H23" s="77" t="s">
        <v>257</v>
      </c>
      <c r="I23" s="77"/>
      <c r="J23" s="110" t="s">
        <v>230</v>
      </c>
      <c r="K23" s="77">
        <v>2019</v>
      </c>
      <c r="L23" s="78">
        <v>0.5</v>
      </c>
      <c r="M23" s="79">
        <v>15000</v>
      </c>
      <c r="N23" s="79">
        <f>Table47[[#This Row],[Expected Revenue]]*Table47[[#This Row],[Probability]]</f>
        <v>7500</v>
      </c>
      <c r="O23" s="78">
        <v>0.35</v>
      </c>
      <c r="P23" s="79">
        <f>Table47[[#This Row],[Expected Revenue]]*Table47[[#This Row],[Expected CMR]]</f>
        <v>5250</v>
      </c>
      <c r="Q23" s="209"/>
    </row>
    <row r="24" spans="1:17" hidden="1">
      <c r="A24" s="75" t="s">
        <v>3035</v>
      </c>
      <c r="B24" s="76" t="s">
        <v>104</v>
      </c>
      <c r="C24" s="77" t="s">
        <v>57</v>
      </c>
      <c r="D24" s="102" t="s">
        <v>106</v>
      </c>
      <c r="E24" s="77" t="s">
        <v>107</v>
      </c>
      <c r="F24" s="77" t="s">
        <v>58</v>
      </c>
      <c r="G24" s="77" t="s">
        <v>65</v>
      </c>
      <c r="H24" s="77" t="s">
        <v>290</v>
      </c>
      <c r="I24" s="77"/>
      <c r="J24" s="152" t="s">
        <v>229</v>
      </c>
      <c r="K24" s="77">
        <v>2019</v>
      </c>
      <c r="L24" s="78">
        <v>1</v>
      </c>
      <c r="M24" s="79">
        <v>59378</v>
      </c>
      <c r="N24" s="79">
        <f>Table47[[#This Row],[Expected Revenue]]*Table47[[#This Row],[Probability]]</f>
        <v>59378</v>
      </c>
      <c r="O24" s="78">
        <v>0.3</v>
      </c>
      <c r="P24" s="79">
        <f>Table47[[#This Row],[Expected Revenue]]*Table47[[#This Row],[Expected CMR]]</f>
        <v>17813.399999999998</v>
      </c>
      <c r="Q24" s="209"/>
    </row>
    <row r="25" spans="1:17" hidden="1">
      <c r="A25" s="75" t="s">
        <v>3036</v>
      </c>
      <c r="B25" s="76" t="s">
        <v>104</v>
      </c>
      <c r="C25" s="77" t="s">
        <v>57</v>
      </c>
      <c r="D25" s="102" t="s">
        <v>112</v>
      </c>
      <c r="E25" s="77" t="s">
        <v>71</v>
      </c>
      <c r="F25" s="77" t="s">
        <v>58</v>
      </c>
      <c r="G25" s="77" t="s">
        <v>65</v>
      </c>
      <c r="H25" s="77" t="s">
        <v>290</v>
      </c>
      <c r="I25" s="77"/>
      <c r="J25" s="152" t="s">
        <v>229</v>
      </c>
      <c r="K25" s="77">
        <v>2019</v>
      </c>
      <c r="L25" s="78">
        <v>1</v>
      </c>
      <c r="M25" s="79">
        <v>30939</v>
      </c>
      <c r="N25" s="79">
        <f>Table47[[#This Row],[Expected Revenue]]*Table47[[#This Row],[Probability]]</f>
        <v>30939</v>
      </c>
      <c r="O25" s="78">
        <v>0.3</v>
      </c>
      <c r="P25" s="79">
        <f>Table47[[#This Row],[Expected Revenue]]*Table47[[#This Row],[Expected CMR]]</f>
        <v>9281.6999999999989</v>
      </c>
      <c r="Q25" s="209"/>
    </row>
    <row r="26" spans="1:17" hidden="1">
      <c r="A26" s="75" t="s">
        <v>3037</v>
      </c>
      <c r="B26" s="76" t="s">
        <v>104</v>
      </c>
      <c r="C26" s="77" t="s">
        <v>57</v>
      </c>
      <c r="D26" s="102" t="s">
        <v>113</v>
      </c>
      <c r="E26" s="77" t="s">
        <v>62</v>
      </c>
      <c r="F26" s="77" t="s">
        <v>58</v>
      </c>
      <c r="G26" s="77" t="s">
        <v>65</v>
      </c>
      <c r="H26" s="77" t="s">
        <v>290</v>
      </c>
      <c r="I26" s="77"/>
      <c r="J26" s="152" t="s">
        <v>84</v>
      </c>
      <c r="K26" s="77">
        <v>2019</v>
      </c>
      <c r="L26" s="78">
        <v>1</v>
      </c>
      <c r="M26" s="79">
        <v>31000</v>
      </c>
      <c r="N26" s="79">
        <f>Table47[[#This Row],[Expected Revenue]]*Table47[[#This Row],[Probability]]</f>
        <v>31000</v>
      </c>
      <c r="O26" s="78">
        <v>0.3</v>
      </c>
      <c r="P26" s="79">
        <f>Table47[[#This Row],[Expected Revenue]]*Table47[[#This Row],[Expected CMR]]</f>
        <v>9300</v>
      </c>
      <c r="Q26" s="209"/>
    </row>
    <row r="27" spans="1:17" hidden="1">
      <c r="A27" s="75" t="s">
        <v>3038</v>
      </c>
      <c r="B27" s="76" t="s">
        <v>104</v>
      </c>
      <c r="C27" s="77" t="s">
        <v>57</v>
      </c>
      <c r="D27" s="102" t="s">
        <v>96</v>
      </c>
      <c r="E27" s="77" t="s">
        <v>92</v>
      </c>
      <c r="F27" s="77" t="s">
        <v>58</v>
      </c>
      <c r="G27" s="77" t="s">
        <v>65</v>
      </c>
      <c r="H27" s="77" t="s">
        <v>290</v>
      </c>
      <c r="I27" s="77"/>
      <c r="J27" s="152" t="s">
        <v>222</v>
      </c>
      <c r="K27" s="77">
        <v>2019</v>
      </c>
      <c r="L27" s="78">
        <v>1</v>
      </c>
      <c r="M27" s="79">
        <f>75242/4</f>
        <v>18810.5</v>
      </c>
      <c r="N27" s="79">
        <f>Table47[[#This Row],[Expected Revenue]]*Table47[[#This Row],[Probability]]</f>
        <v>18810.5</v>
      </c>
      <c r="O27" s="78">
        <v>0.3</v>
      </c>
      <c r="P27" s="79">
        <f>Table47[[#This Row],[Expected Revenue]]*Table47[[#This Row],[Expected CMR]]</f>
        <v>5643.15</v>
      </c>
      <c r="Q27" s="209"/>
    </row>
    <row r="28" spans="1:17" hidden="1">
      <c r="A28" s="75" t="s">
        <v>3038</v>
      </c>
      <c r="B28" s="76" t="s">
        <v>104</v>
      </c>
      <c r="C28" s="77" t="s">
        <v>57</v>
      </c>
      <c r="D28" s="102" t="s">
        <v>91</v>
      </c>
      <c r="E28" s="77" t="s">
        <v>92</v>
      </c>
      <c r="F28" s="77" t="s">
        <v>58</v>
      </c>
      <c r="G28" s="77" t="s">
        <v>65</v>
      </c>
      <c r="H28" s="77" t="s">
        <v>290</v>
      </c>
      <c r="I28" s="77"/>
      <c r="J28" s="152" t="s">
        <v>230</v>
      </c>
      <c r="K28" s="77">
        <v>2019</v>
      </c>
      <c r="L28" s="78">
        <v>1</v>
      </c>
      <c r="M28" s="79">
        <f>75242/4</f>
        <v>18810.5</v>
      </c>
      <c r="N28" s="79">
        <f>Table47[[#This Row],[Expected Revenue]]*Table47[[#This Row],[Probability]]</f>
        <v>18810.5</v>
      </c>
      <c r="O28" s="78">
        <v>0.3</v>
      </c>
      <c r="P28" s="79">
        <f>Table47[[#This Row],[Expected Revenue]]*Table47[[#This Row],[Expected CMR]]</f>
        <v>5643.15</v>
      </c>
      <c r="Q28" s="209"/>
    </row>
    <row r="29" spans="1:17" hidden="1">
      <c r="A29" s="75" t="s">
        <v>3038</v>
      </c>
      <c r="B29" s="76" t="s">
        <v>104</v>
      </c>
      <c r="C29" s="77" t="s">
        <v>57</v>
      </c>
      <c r="D29" s="102" t="s">
        <v>97</v>
      </c>
      <c r="E29" s="77" t="s">
        <v>92</v>
      </c>
      <c r="F29" s="77" t="s">
        <v>58</v>
      </c>
      <c r="G29" s="77" t="s">
        <v>65</v>
      </c>
      <c r="H29" s="77" t="s">
        <v>290</v>
      </c>
      <c r="I29" s="77"/>
      <c r="J29" s="152" t="s">
        <v>229</v>
      </c>
      <c r="K29" s="77">
        <v>2019</v>
      </c>
      <c r="L29" s="78">
        <v>1</v>
      </c>
      <c r="M29" s="79">
        <f>75242/4</f>
        <v>18810.5</v>
      </c>
      <c r="N29" s="79">
        <f>Table47[[#This Row],[Expected Revenue]]*Table47[[#This Row],[Probability]]</f>
        <v>18810.5</v>
      </c>
      <c r="O29" s="78">
        <v>0.3</v>
      </c>
      <c r="P29" s="79">
        <f>Table47[[#This Row],[Expected Revenue]]*Table47[[#This Row],[Expected CMR]]</f>
        <v>5643.15</v>
      </c>
      <c r="Q29" s="209"/>
    </row>
    <row r="30" spans="1:17" hidden="1">
      <c r="A30" s="75" t="s">
        <v>3039</v>
      </c>
      <c r="B30" s="76" t="s">
        <v>114</v>
      </c>
      <c r="C30" s="77" t="s">
        <v>57</v>
      </c>
      <c r="D30" s="102" t="s">
        <v>113</v>
      </c>
      <c r="E30" s="77" t="s">
        <v>62</v>
      </c>
      <c r="F30" s="77" t="s">
        <v>58</v>
      </c>
      <c r="G30" s="77" t="s">
        <v>65</v>
      </c>
      <c r="H30" s="77" t="s">
        <v>290</v>
      </c>
      <c r="I30" s="77"/>
      <c r="J30" s="152" t="s">
        <v>80</v>
      </c>
      <c r="K30" s="77">
        <v>2020</v>
      </c>
      <c r="L30" s="78">
        <v>1</v>
      </c>
      <c r="M30" s="79">
        <v>25000</v>
      </c>
      <c r="N30" s="79">
        <f>Table47[[#This Row],[Expected Revenue]]*Table47[[#This Row],[Probability]]</f>
        <v>25000</v>
      </c>
      <c r="O30" s="78">
        <v>0.3</v>
      </c>
      <c r="P30" s="79">
        <v>4500</v>
      </c>
      <c r="Q30" s="209"/>
    </row>
    <row r="31" spans="1:17" hidden="1">
      <c r="A31" s="75" t="s">
        <v>3040</v>
      </c>
      <c r="B31" s="76" t="s">
        <v>104</v>
      </c>
      <c r="C31" s="77" t="s">
        <v>57</v>
      </c>
      <c r="D31" s="102" t="s">
        <v>232</v>
      </c>
      <c r="E31" s="77" t="s">
        <v>62</v>
      </c>
      <c r="F31" s="77" t="s">
        <v>58</v>
      </c>
      <c r="G31" s="77" t="s">
        <v>65</v>
      </c>
      <c r="H31" s="77" t="s">
        <v>290</v>
      </c>
      <c r="I31" s="77"/>
      <c r="J31" s="110" t="s">
        <v>229</v>
      </c>
      <c r="K31" s="77">
        <v>2019</v>
      </c>
      <c r="L31" s="78">
        <v>1</v>
      </c>
      <c r="M31" s="79">
        <v>13900</v>
      </c>
      <c r="N31" s="79">
        <f>Table47[[#This Row],[Expected Revenue]]*Table47[[#This Row],[Probability]]</f>
        <v>13900</v>
      </c>
      <c r="O31" s="78">
        <v>0.3</v>
      </c>
      <c r="P31" s="79">
        <f>Table47[[#This Row],[Expected Revenue]]*Table47[[#This Row],[Expected CMR]]</f>
        <v>4170</v>
      </c>
      <c r="Q31" s="209"/>
    </row>
    <row r="32" spans="1:17" hidden="1">
      <c r="A32" s="75" t="s">
        <v>3041</v>
      </c>
      <c r="B32" s="76" t="s">
        <v>309</v>
      </c>
      <c r="C32" s="77" t="s">
        <v>157</v>
      </c>
      <c r="D32" s="102" t="s">
        <v>3042</v>
      </c>
      <c r="E32" s="77" t="s">
        <v>251</v>
      </c>
      <c r="F32" s="77" t="s">
        <v>58</v>
      </c>
      <c r="G32" s="77" t="s">
        <v>65</v>
      </c>
      <c r="H32" s="77" t="s">
        <v>290</v>
      </c>
      <c r="I32" s="77"/>
      <c r="J32" s="110" t="s">
        <v>230</v>
      </c>
      <c r="K32" s="77">
        <v>2020</v>
      </c>
      <c r="L32" s="78">
        <v>1</v>
      </c>
      <c r="M32" s="79">
        <v>75000</v>
      </c>
      <c r="N32" s="79">
        <f>Table47[[#This Row],[Expected Revenue]]*Table47[[#This Row],[Probability]]</f>
        <v>75000</v>
      </c>
      <c r="O32" s="78">
        <v>0.35</v>
      </c>
      <c r="P32" s="79">
        <f>Table47[[#This Row],[Expected Revenue]]*Table47[[#This Row],[Expected CMR]]</f>
        <v>26250</v>
      </c>
      <c r="Q32" s="209"/>
    </row>
    <row r="33" spans="1:17" hidden="1">
      <c r="A33" s="75" t="s">
        <v>3043</v>
      </c>
      <c r="B33" s="76" t="s">
        <v>117</v>
      </c>
      <c r="C33" s="77" t="s">
        <v>57</v>
      </c>
      <c r="D33" s="102" t="s">
        <v>112</v>
      </c>
      <c r="E33" s="77" t="s">
        <v>71</v>
      </c>
      <c r="F33" s="77" t="s">
        <v>58</v>
      </c>
      <c r="G33" s="77" t="s">
        <v>65</v>
      </c>
      <c r="H33" s="77" t="s">
        <v>290</v>
      </c>
      <c r="I33" s="77"/>
      <c r="J33" s="110" t="s">
        <v>80</v>
      </c>
      <c r="K33" s="77">
        <v>2020</v>
      </c>
      <c r="L33" s="78">
        <v>1</v>
      </c>
      <c r="M33" s="79">
        <v>28000</v>
      </c>
      <c r="N33" s="79">
        <f>Table47[[#This Row],[Expected Revenue]]*Table47[[#This Row],[Probability]]</f>
        <v>28000</v>
      </c>
      <c r="O33" s="78">
        <v>0.3</v>
      </c>
      <c r="P33" s="79">
        <f>Table47[[#This Row],[Expected Revenue]]*Table47[[#This Row],[Expected CMR]]</f>
        <v>8400</v>
      </c>
      <c r="Q33" s="209"/>
    </row>
    <row r="34" spans="1:17" hidden="1">
      <c r="A34" s="75" t="s">
        <v>3044</v>
      </c>
      <c r="B34" s="76" t="s">
        <v>137</v>
      </c>
      <c r="C34" s="77" t="s">
        <v>57</v>
      </c>
      <c r="D34" s="102" t="s">
        <v>113</v>
      </c>
      <c r="E34" s="77" t="s">
        <v>62</v>
      </c>
      <c r="F34" s="77" t="s">
        <v>58</v>
      </c>
      <c r="G34" s="77" t="s">
        <v>65</v>
      </c>
      <c r="H34" s="77" t="s">
        <v>290</v>
      </c>
      <c r="I34" s="77"/>
      <c r="J34" s="152" t="s">
        <v>80</v>
      </c>
      <c r="K34" s="77">
        <v>2020</v>
      </c>
      <c r="L34" s="78">
        <v>1</v>
      </c>
      <c r="M34" s="79">
        <v>31969</v>
      </c>
      <c r="N34" s="79">
        <f>Table47[[#This Row],[Expected Revenue]]*Table47[[#This Row],[Probability]]</f>
        <v>31969</v>
      </c>
      <c r="O34" s="78">
        <v>0.19</v>
      </c>
      <c r="P34" s="79">
        <f>Table47[[#This Row],[Expected Revenue]]*Table47[[#This Row],[Expected CMR]]</f>
        <v>6074.11</v>
      </c>
      <c r="Q34" s="209"/>
    </row>
    <row r="35" spans="1:17" hidden="1">
      <c r="A35" s="75" t="s">
        <v>3045</v>
      </c>
      <c r="B35" s="76" t="s">
        <v>146</v>
      </c>
      <c r="C35" s="77" t="s">
        <v>57</v>
      </c>
      <c r="D35" s="102" t="s">
        <v>113</v>
      </c>
      <c r="E35" s="77" t="s">
        <v>62</v>
      </c>
      <c r="F35" s="77" t="s">
        <v>58</v>
      </c>
      <c r="G35" s="77" t="s">
        <v>65</v>
      </c>
      <c r="H35" s="77" t="s">
        <v>290</v>
      </c>
      <c r="I35" s="77"/>
      <c r="J35" s="110" t="s">
        <v>80</v>
      </c>
      <c r="K35" s="77">
        <v>2020</v>
      </c>
      <c r="L35" s="78">
        <v>1</v>
      </c>
      <c r="M35" s="79">
        <v>31969</v>
      </c>
      <c r="N35" s="79">
        <f>Table47[[#This Row],[Expected Revenue]]*Table47[[#This Row],[Probability]]</f>
        <v>31969</v>
      </c>
      <c r="O35" s="78">
        <v>0.19</v>
      </c>
      <c r="P35" s="79">
        <f>Table47[[#This Row],[Expected Revenue]]*Table47[[#This Row],[Expected CMR]]</f>
        <v>6074.11</v>
      </c>
      <c r="Q35" s="209"/>
    </row>
    <row r="36" spans="1:17" hidden="1">
      <c r="A36" s="75" t="s">
        <v>3046</v>
      </c>
      <c r="B36" s="76" t="s">
        <v>73</v>
      </c>
      <c r="C36" s="77" t="s">
        <v>57</v>
      </c>
      <c r="D36" s="102" t="s">
        <v>87</v>
      </c>
      <c r="E36" s="77" t="s">
        <v>292</v>
      </c>
      <c r="F36" s="77" t="s">
        <v>58</v>
      </c>
      <c r="G36" s="77" t="s">
        <v>65</v>
      </c>
      <c r="H36" s="77" t="s">
        <v>290</v>
      </c>
      <c r="I36" s="77"/>
      <c r="J36" s="110" t="s">
        <v>89</v>
      </c>
      <c r="K36" s="77">
        <v>2020</v>
      </c>
      <c r="L36" s="78">
        <v>1</v>
      </c>
      <c r="M36" s="79">
        <v>13900</v>
      </c>
      <c r="N36" s="79">
        <f>Table47[[#This Row],[Expected Revenue]]*Table47[[#This Row],[Probability]]</f>
        <v>13900</v>
      </c>
      <c r="O36" s="78">
        <v>0.3</v>
      </c>
      <c r="P36" s="79">
        <f>Table47[[#This Row],[Expected Revenue]]*Table47[[#This Row],[Expected CMR]]</f>
        <v>4170</v>
      </c>
      <c r="Q36" s="209"/>
    </row>
    <row r="37" spans="1:17" hidden="1">
      <c r="A37" s="75" t="s">
        <v>3047</v>
      </c>
      <c r="B37" s="76" t="s">
        <v>73</v>
      </c>
      <c r="C37" s="77" t="s">
        <v>57</v>
      </c>
      <c r="D37" s="102" t="s">
        <v>112</v>
      </c>
      <c r="E37" s="77" t="s">
        <v>71</v>
      </c>
      <c r="F37" s="77" t="s">
        <v>58</v>
      </c>
      <c r="G37" s="77" t="s">
        <v>65</v>
      </c>
      <c r="H37" s="77" t="s">
        <v>290</v>
      </c>
      <c r="I37" s="77"/>
      <c r="J37" s="110" t="s">
        <v>230</v>
      </c>
      <c r="K37" s="77">
        <v>2019</v>
      </c>
      <c r="L37" s="78">
        <v>1</v>
      </c>
      <c r="M37" s="79">
        <v>30939</v>
      </c>
      <c r="N37" s="79">
        <f>Table47[[#This Row],[Expected Revenue]]*Table47[[#This Row],[Probability]]</f>
        <v>30939</v>
      </c>
      <c r="O37" s="78">
        <v>0.3</v>
      </c>
      <c r="P37" s="79">
        <f>Table47[[#This Row],[Expected Revenue]]*Table47[[#This Row],[Expected CMR]]</f>
        <v>9281.6999999999989</v>
      </c>
      <c r="Q37" s="209"/>
    </row>
    <row r="38" spans="1:17" hidden="1">
      <c r="A38" s="75" t="s">
        <v>3048</v>
      </c>
      <c r="B38" s="76" t="s">
        <v>73</v>
      </c>
      <c r="C38" s="77" t="s">
        <v>57</v>
      </c>
      <c r="D38" s="102" t="s">
        <v>113</v>
      </c>
      <c r="E38" s="77" t="s">
        <v>62</v>
      </c>
      <c r="F38" s="77" t="s">
        <v>58</v>
      </c>
      <c r="G38" s="77" t="s">
        <v>65</v>
      </c>
      <c r="H38" s="77" t="s">
        <v>290</v>
      </c>
      <c r="I38" s="77"/>
      <c r="J38" s="110" t="s">
        <v>139</v>
      </c>
      <c r="K38" s="77">
        <v>2019</v>
      </c>
      <c r="L38" s="78">
        <v>1</v>
      </c>
      <c r="M38" s="79">
        <v>9000</v>
      </c>
      <c r="N38" s="79">
        <f>Table47[[#This Row],[Expected Revenue]]*Table47[[#This Row],[Probability]]</f>
        <v>9000</v>
      </c>
      <c r="O38" s="78">
        <v>0.3</v>
      </c>
      <c r="P38" s="79">
        <f>Table47[[#This Row],[Expected Revenue]]*Table47[[#This Row],[Expected CMR]]</f>
        <v>2700</v>
      </c>
      <c r="Q38" s="209"/>
    </row>
    <row r="39" spans="1:17" hidden="1">
      <c r="A39" s="173" t="s">
        <v>3023</v>
      </c>
      <c r="B39" s="76" t="s">
        <v>156</v>
      </c>
      <c r="C39" s="77" t="s">
        <v>157</v>
      </c>
      <c r="D39" s="102" t="s">
        <v>261</v>
      </c>
      <c r="E39" s="77" t="s">
        <v>62</v>
      </c>
      <c r="F39" s="77" t="s">
        <v>58</v>
      </c>
      <c r="G39" s="77" t="s">
        <v>65</v>
      </c>
      <c r="H39" s="77" t="s">
        <v>290</v>
      </c>
      <c r="I39" s="77"/>
      <c r="J39" s="110" t="s">
        <v>80</v>
      </c>
      <c r="K39" s="77">
        <v>2020</v>
      </c>
      <c r="L39" s="78">
        <v>1</v>
      </c>
      <c r="M39" s="79">
        <v>16000</v>
      </c>
      <c r="N39" s="79">
        <f>Table47[[#This Row],[Expected Revenue]]*Table47[[#This Row],[Probability]]</f>
        <v>16000</v>
      </c>
      <c r="O39" s="78">
        <v>0.35</v>
      </c>
      <c r="P39" s="79">
        <f>Table47[[#This Row],[Expected Revenue]]*Table47[[#This Row],[Expected CMR]]</f>
        <v>5600</v>
      </c>
      <c r="Q39" s="209"/>
    </row>
    <row r="40" spans="1:17" hidden="1">
      <c r="A40" s="173"/>
      <c r="B40" s="76" t="s">
        <v>150</v>
      </c>
      <c r="C40" s="77" t="s">
        <v>151</v>
      </c>
      <c r="D40" s="102" t="s">
        <v>152</v>
      </c>
      <c r="E40" s="77" t="s">
        <v>92</v>
      </c>
      <c r="F40" s="77" t="s">
        <v>58</v>
      </c>
      <c r="G40" s="77" t="s">
        <v>65</v>
      </c>
      <c r="H40" s="77" t="s">
        <v>290</v>
      </c>
      <c r="I40" s="77"/>
      <c r="J40" s="110" t="s">
        <v>93</v>
      </c>
      <c r="K40" s="77">
        <v>2020</v>
      </c>
      <c r="L40" s="78">
        <v>1</v>
      </c>
      <c r="M40" s="79">
        <v>100000</v>
      </c>
      <c r="N40" s="79">
        <f>Table47[[#This Row],[Expected Revenue]]*Table47[[#This Row],[Probability]]</f>
        <v>100000</v>
      </c>
      <c r="O40" s="78">
        <v>0.3</v>
      </c>
      <c r="P40" s="79">
        <f>Table47[[#This Row],[Expected Revenue]]*Table47[[#This Row],[Expected CMR]]</f>
        <v>30000</v>
      </c>
      <c r="Q40" s="209"/>
    </row>
    <row r="41" spans="1:17" hidden="1">
      <c r="A41" s="173"/>
      <c r="B41" s="76" t="s">
        <v>150</v>
      </c>
      <c r="C41" s="77" t="s">
        <v>151</v>
      </c>
      <c r="D41" s="102" t="s">
        <v>152</v>
      </c>
      <c r="E41" s="77" t="s">
        <v>92</v>
      </c>
      <c r="F41" s="77" t="s">
        <v>58</v>
      </c>
      <c r="G41" s="77" t="s">
        <v>65</v>
      </c>
      <c r="H41" s="77" t="s">
        <v>290</v>
      </c>
      <c r="I41" s="77"/>
      <c r="J41" s="110" t="s">
        <v>80</v>
      </c>
      <c r="K41" s="77">
        <v>2020</v>
      </c>
      <c r="L41" s="78">
        <v>1</v>
      </c>
      <c r="M41" s="79">
        <v>25000</v>
      </c>
      <c r="N41" s="79">
        <f>Table47[[#This Row],[Expected Revenue]]*Table47[[#This Row],[Probability]]</f>
        <v>25000</v>
      </c>
      <c r="O41" s="78">
        <v>0.3</v>
      </c>
      <c r="P41" s="79">
        <f>Table47[[#This Row],[Expected Revenue]]*Table47[[#This Row],[Expected CMR]]</f>
        <v>7500</v>
      </c>
      <c r="Q41" s="209"/>
    </row>
    <row r="42" spans="1:17" hidden="1">
      <c r="A42" s="75" t="s">
        <v>3048</v>
      </c>
      <c r="B42" s="76" t="s">
        <v>73</v>
      </c>
      <c r="C42" s="77" t="s">
        <v>57</v>
      </c>
      <c r="D42" s="102" t="s">
        <v>113</v>
      </c>
      <c r="E42" s="77" t="s">
        <v>62</v>
      </c>
      <c r="F42" s="77" t="s">
        <v>58</v>
      </c>
      <c r="G42" s="77" t="s">
        <v>65</v>
      </c>
      <c r="H42" s="77" t="s">
        <v>290</v>
      </c>
      <c r="I42" s="77"/>
      <c r="J42" s="110" t="s">
        <v>230</v>
      </c>
      <c r="K42" s="77">
        <v>2019</v>
      </c>
      <c r="L42" s="78">
        <v>1</v>
      </c>
      <c r="M42" s="79">
        <v>22969</v>
      </c>
      <c r="N42" s="79">
        <f>Table47[[#This Row],[Expected Revenue]]*Table47[[#This Row],[Probability]]</f>
        <v>22969</v>
      </c>
      <c r="O42" s="78">
        <v>0.3</v>
      </c>
      <c r="P42" s="79">
        <f>Table47[[#This Row],[Expected Revenue]]*Table47[[#This Row],[Expected CMR]]</f>
        <v>6890.7</v>
      </c>
      <c r="Q42" s="209"/>
    </row>
    <row r="43" spans="1:17" hidden="1">
      <c r="A43" s="75" t="s">
        <v>3049</v>
      </c>
      <c r="B43" s="76" t="s">
        <v>73</v>
      </c>
      <c r="C43" s="77" t="s">
        <v>57</v>
      </c>
      <c r="D43" s="102" t="s">
        <v>97</v>
      </c>
      <c r="E43" s="77" t="s">
        <v>92</v>
      </c>
      <c r="F43" s="77" t="s">
        <v>58</v>
      </c>
      <c r="G43" s="77" t="s">
        <v>65</v>
      </c>
      <c r="H43" s="77" t="s">
        <v>290</v>
      </c>
      <c r="I43" s="77"/>
      <c r="J43" s="110" t="s">
        <v>84</v>
      </c>
      <c r="K43" s="77">
        <v>2019</v>
      </c>
      <c r="L43" s="78">
        <v>1</v>
      </c>
      <c r="M43" s="79">
        <v>18000</v>
      </c>
      <c r="N43" s="79">
        <f>Table47[[#This Row],[Expected Revenue]]*Table47[[#This Row],[Probability]]</f>
        <v>18000</v>
      </c>
      <c r="O43" s="78">
        <v>0.3</v>
      </c>
      <c r="P43" s="79">
        <f>Table47[[#This Row],[Expected Revenue]]*Table47[[#This Row],[Expected CMR]]</f>
        <v>5400</v>
      </c>
      <c r="Q43" s="209"/>
    </row>
    <row r="44" spans="1:17" hidden="1">
      <c r="A44" s="75" t="s">
        <v>3049</v>
      </c>
      <c r="B44" s="76" t="s">
        <v>73</v>
      </c>
      <c r="C44" s="77" t="s">
        <v>57</v>
      </c>
      <c r="D44" s="102" t="s">
        <v>97</v>
      </c>
      <c r="E44" s="77" t="s">
        <v>92</v>
      </c>
      <c r="F44" s="77" t="s">
        <v>58</v>
      </c>
      <c r="G44" s="77" t="s">
        <v>65</v>
      </c>
      <c r="H44" s="77" t="s">
        <v>290</v>
      </c>
      <c r="I44" s="77"/>
      <c r="J44" s="110" t="s">
        <v>219</v>
      </c>
      <c r="K44" s="77">
        <v>2019</v>
      </c>
      <c r="L44" s="78">
        <v>1</v>
      </c>
      <c r="M44" s="79">
        <v>16500</v>
      </c>
      <c r="N44" s="79">
        <f>Table47[[#This Row],[Expected Revenue]]*Table47[[#This Row],[Probability]]</f>
        <v>16500</v>
      </c>
      <c r="O44" s="78">
        <v>0.3</v>
      </c>
      <c r="P44" s="79">
        <f>Table47[[#This Row],[Expected Revenue]]*Table47[[#This Row],[Expected CMR]]</f>
        <v>4950</v>
      </c>
      <c r="Q44" s="209"/>
    </row>
    <row r="45" spans="1:17" hidden="1">
      <c r="A45" s="75" t="s">
        <v>3049</v>
      </c>
      <c r="B45" s="76" t="s">
        <v>73</v>
      </c>
      <c r="C45" s="77" t="s">
        <v>57</v>
      </c>
      <c r="D45" s="102" t="s">
        <v>91</v>
      </c>
      <c r="E45" s="77" t="s">
        <v>92</v>
      </c>
      <c r="F45" s="77" t="s">
        <v>58</v>
      </c>
      <c r="G45" s="77" t="s">
        <v>65</v>
      </c>
      <c r="H45" s="77" t="s">
        <v>290</v>
      </c>
      <c r="I45" s="77"/>
      <c r="J45" s="110" t="s">
        <v>230</v>
      </c>
      <c r="K45" s="77">
        <v>2019</v>
      </c>
      <c r="L45" s="78">
        <v>1</v>
      </c>
      <c r="M45" s="79">
        <f>75242/4</f>
        <v>18810.5</v>
      </c>
      <c r="N45" s="79">
        <f>Table47[[#This Row],[Expected Revenue]]*Table47[[#This Row],[Probability]]</f>
        <v>18810.5</v>
      </c>
      <c r="O45" s="78">
        <v>0.3</v>
      </c>
      <c r="P45" s="79">
        <f>Table47[[#This Row],[Expected Revenue]]*Table47[[#This Row],[Expected CMR]]</f>
        <v>5643.15</v>
      </c>
      <c r="Q45" s="209"/>
    </row>
    <row r="46" spans="1:17" hidden="1">
      <c r="A46" s="75" t="s">
        <v>3049</v>
      </c>
      <c r="B46" s="76" t="s">
        <v>73</v>
      </c>
      <c r="C46" s="77" t="s">
        <v>57</v>
      </c>
      <c r="D46" s="102" t="s">
        <v>96</v>
      </c>
      <c r="E46" s="77" t="s">
        <v>92</v>
      </c>
      <c r="F46" s="77" t="s">
        <v>58</v>
      </c>
      <c r="G46" s="77" t="s">
        <v>65</v>
      </c>
      <c r="H46" s="77" t="s">
        <v>290</v>
      </c>
      <c r="I46" s="77"/>
      <c r="J46" s="110" t="s">
        <v>89</v>
      </c>
      <c r="K46" s="77">
        <v>2019</v>
      </c>
      <c r="L46" s="78">
        <v>1</v>
      </c>
      <c r="M46" s="79">
        <f>75242/4</f>
        <v>18810.5</v>
      </c>
      <c r="N46" s="79">
        <f>Table47[[#This Row],[Expected Revenue]]*Table47[[#This Row],[Probability]]</f>
        <v>18810.5</v>
      </c>
      <c r="O46" s="78">
        <v>0.3</v>
      </c>
      <c r="P46" s="79">
        <f>Table47[[#This Row],[Expected Revenue]]*Table47[[#This Row],[Expected CMR]]</f>
        <v>5643.15</v>
      </c>
      <c r="Q46" s="209"/>
    </row>
    <row r="47" spans="1:17" hidden="1">
      <c r="A47" s="75" t="s">
        <v>3046</v>
      </c>
      <c r="B47" s="76" t="s">
        <v>73</v>
      </c>
      <c r="C47" s="77" t="s">
        <v>57</v>
      </c>
      <c r="D47" s="102" t="s">
        <v>87</v>
      </c>
      <c r="E47" s="77" t="s">
        <v>88</v>
      </c>
      <c r="F47" s="77" t="s">
        <v>58</v>
      </c>
      <c r="G47" s="77" t="s">
        <v>65</v>
      </c>
      <c r="H47" s="77" t="s">
        <v>290</v>
      </c>
      <c r="I47" s="77"/>
      <c r="J47" s="110" t="s">
        <v>230</v>
      </c>
      <c r="K47" s="77">
        <v>2019</v>
      </c>
      <c r="L47" s="78">
        <v>1</v>
      </c>
      <c r="M47" s="79">
        <v>27816</v>
      </c>
      <c r="N47" s="79">
        <f>Table47[[#This Row],[Expected Revenue]]*Table47[[#This Row],[Probability]]</f>
        <v>27816</v>
      </c>
      <c r="O47" s="78">
        <v>0.3</v>
      </c>
      <c r="P47" s="79">
        <f>Table47[[#This Row],[Expected Revenue]]*Table47[[#This Row],[Expected CMR]]</f>
        <v>8344.7999999999993</v>
      </c>
      <c r="Q47" s="209"/>
    </row>
    <row r="48" spans="1:17" hidden="1">
      <c r="A48" s="75" t="s">
        <v>3050</v>
      </c>
      <c r="B48" s="76" t="s">
        <v>73</v>
      </c>
      <c r="C48" s="77" t="s">
        <v>57</v>
      </c>
      <c r="D48" s="102" t="s">
        <v>82</v>
      </c>
      <c r="E48" s="77" t="s">
        <v>62</v>
      </c>
      <c r="F48" s="77" t="s">
        <v>58</v>
      </c>
      <c r="G48" s="77" t="s">
        <v>65</v>
      </c>
      <c r="H48" s="77" t="s">
        <v>290</v>
      </c>
      <c r="I48" s="77"/>
      <c r="J48" s="110" t="s">
        <v>89</v>
      </c>
      <c r="K48" s="77">
        <v>2019</v>
      </c>
      <c r="L48" s="78">
        <v>1</v>
      </c>
      <c r="M48" s="79">
        <v>13900</v>
      </c>
      <c r="N48" s="79">
        <f>Table47[[#This Row],[Expected Revenue]]*Table47[[#This Row],[Probability]]</f>
        <v>13900</v>
      </c>
      <c r="O48" s="78">
        <v>0.3</v>
      </c>
      <c r="P48" s="79">
        <f>Table47[[#This Row],[Expected Revenue]]*Table47[[#This Row],[Expected CMR]]</f>
        <v>4170</v>
      </c>
      <c r="Q48" s="209"/>
    </row>
    <row r="49" spans="1:17" hidden="1">
      <c r="A49" s="173" t="s">
        <v>3023</v>
      </c>
      <c r="B49" s="76" t="s">
        <v>296</v>
      </c>
      <c r="C49" s="77"/>
      <c r="D49" s="102"/>
      <c r="E49" s="77" t="s">
        <v>251</v>
      </c>
      <c r="F49" s="77" t="s">
        <v>58</v>
      </c>
      <c r="G49" s="77" t="s">
        <v>65</v>
      </c>
      <c r="H49" s="77" t="s">
        <v>296</v>
      </c>
      <c r="I49" s="76"/>
      <c r="J49" s="110" t="s">
        <v>93</v>
      </c>
      <c r="K49" s="77">
        <v>2020</v>
      </c>
      <c r="L49" s="78">
        <v>1</v>
      </c>
      <c r="M49" s="79">
        <v>100000</v>
      </c>
      <c r="N49" s="79">
        <f>Table47[[#This Row],[Expected Revenue]]*Table47[[#This Row],[Probability]]</f>
        <v>100000</v>
      </c>
      <c r="O49" s="78">
        <v>0.3</v>
      </c>
      <c r="P49" s="86">
        <v>30000</v>
      </c>
      <c r="Q49" s="210"/>
    </row>
    <row r="50" spans="1:17" hidden="1">
      <c r="A50" s="173" t="s">
        <v>3051</v>
      </c>
      <c r="B50" s="76" t="s">
        <v>484</v>
      </c>
      <c r="C50" s="77" t="s">
        <v>57</v>
      </c>
      <c r="D50" s="102" t="s">
        <v>113</v>
      </c>
      <c r="E50" s="77" t="s">
        <v>62</v>
      </c>
      <c r="F50" s="77" t="s">
        <v>58</v>
      </c>
      <c r="G50" s="77" t="s">
        <v>65</v>
      </c>
      <c r="H50" s="77" t="s">
        <v>290</v>
      </c>
      <c r="I50" s="77"/>
      <c r="J50" s="110" t="s">
        <v>84</v>
      </c>
      <c r="K50" s="77">
        <v>2019</v>
      </c>
      <c r="L50" s="78">
        <v>1</v>
      </c>
      <c r="M50" s="79">
        <v>22000</v>
      </c>
      <c r="N50" s="79">
        <f>Table47[[#This Row],[Expected Revenue]]*Table47[[#This Row],[Probability]]</f>
        <v>22000</v>
      </c>
      <c r="O50" s="78">
        <v>0.3</v>
      </c>
      <c r="P50" s="79">
        <f>Table47[[#This Row],[Expected Revenue]]*Table47[[#This Row],[Expected CMR]]</f>
        <v>6600</v>
      </c>
      <c r="Q50" s="209"/>
    </row>
    <row r="51" spans="1:17" hidden="1">
      <c r="A51" s="173" t="s">
        <v>3052</v>
      </c>
      <c r="B51" s="76" t="s">
        <v>484</v>
      </c>
      <c r="C51" s="77" t="s">
        <v>57</v>
      </c>
      <c r="D51" s="102" t="s">
        <v>112</v>
      </c>
      <c r="E51" s="77" t="s">
        <v>62</v>
      </c>
      <c r="F51" s="77" t="s">
        <v>58</v>
      </c>
      <c r="G51" s="77" t="s">
        <v>65</v>
      </c>
      <c r="H51" s="77" t="s">
        <v>290</v>
      </c>
      <c r="I51" s="77"/>
      <c r="J51" s="110" t="s">
        <v>84</v>
      </c>
      <c r="K51" s="77">
        <v>2019</v>
      </c>
      <c r="L51" s="78">
        <v>1</v>
      </c>
      <c r="M51" s="79">
        <v>27000</v>
      </c>
      <c r="N51" s="79">
        <f>Table47[[#This Row],[Expected Revenue]]*Table47[[#This Row],[Probability]]</f>
        <v>27000</v>
      </c>
      <c r="O51" s="78">
        <v>0.3</v>
      </c>
      <c r="P51" s="79">
        <f>Table47[[#This Row],[Expected Revenue]]*Table47[[#This Row],[Expected CMR]]</f>
        <v>8100</v>
      </c>
      <c r="Q51" s="209"/>
    </row>
    <row r="52" spans="1:17" hidden="1">
      <c r="A52" s="173"/>
      <c r="B52" s="76" t="s">
        <v>486</v>
      </c>
      <c r="C52" s="77" t="s">
        <v>126</v>
      </c>
      <c r="D52" s="102" t="s">
        <v>3053</v>
      </c>
      <c r="E52" s="77" t="s">
        <v>291</v>
      </c>
      <c r="F52" s="77" t="s">
        <v>58</v>
      </c>
      <c r="G52" s="77" t="s">
        <v>65</v>
      </c>
      <c r="H52" s="77" t="s">
        <v>290</v>
      </c>
      <c r="I52" s="76"/>
      <c r="J52" s="110" t="s">
        <v>80</v>
      </c>
      <c r="K52" s="77">
        <v>2020</v>
      </c>
      <c r="L52" s="78">
        <v>1</v>
      </c>
      <c r="M52" s="79">
        <v>16000</v>
      </c>
      <c r="N52" s="86">
        <f>Table47[[#This Row],[Expected Revenue]]*Table47[[#This Row],[Probability]]</f>
        <v>16000</v>
      </c>
      <c r="O52" s="78">
        <v>0.3</v>
      </c>
      <c r="P52" s="86">
        <f>Table47[[#This Row],[Expected Revenue]]*Table47[[#This Row],[Expected CMR]]</f>
        <v>4800</v>
      </c>
      <c r="Q52" s="210"/>
    </row>
    <row r="53" spans="1:17" hidden="1">
      <c r="A53" s="75" t="s">
        <v>3054</v>
      </c>
      <c r="B53" s="76" t="s">
        <v>114</v>
      </c>
      <c r="C53" s="77" t="s">
        <v>57</v>
      </c>
      <c r="D53" s="102" t="s">
        <v>106</v>
      </c>
      <c r="E53" s="77" t="s">
        <v>107</v>
      </c>
      <c r="F53" s="77" t="s">
        <v>58</v>
      </c>
      <c r="G53" s="77" t="s">
        <v>65</v>
      </c>
      <c r="H53" s="77" t="s">
        <v>290</v>
      </c>
      <c r="I53" s="77"/>
      <c r="J53" s="110" t="s">
        <v>231</v>
      </c>
      <c r="K53" s="77">
        <v>2019</v>
      </c>
      <c r="L53" s="78">
        <v>1</v>
      </c>
      <c r="M53" s="79">
        <v>30000</v>
      </c>
      <c r="N53" s="79">
        <f>Table47[[#This Row],[Expected Revenue]]*Table47[[#This Row],[Probability]]</f>
        <v>30000</v>
      </c>
      <c r="O53" s="78">
        <v>0.3</v>
      </c>
      <c r="P53" s="79">
        <f>Table47[[#This Row],[Expected Revenue]]*Table47[[#This Row],[Expected CMR]]</f>
        <v>9000</v>
      </c>
      <c r="Q53" s="209"/>
    </row>
    <row r="54" spans="1:17" hidden="1">
      <c r="A54" s="75" t="s">
        <v>3032</v>
      </c>
      <c r="B54" s="76" t="s">
        <v>73</v>
      </c>
      <c r="C54" s="77" t="s">
        <v>57</v>
      </c>
      <c r="D54" s="102" t="s">
        <v>3055</v>
      </c>
      <c r="E54" s="77" t="s">
        <v>291</v>
      </c>
      <c r="F54" s="77" t="s">
        <v>58</v>
      </c>
      <c r="G54" s="77" t="s">
        <v>65</v>
      </c>
      <c r="H54" s="77" t="s">
        <v>290</v>
      </c>
      <c r="I54" s="77"/>
      <c r="J54" s="110" t="s">
        <v>93</v>
      </c>
      <c r="K54" s="77">
        <v>2020</v>
      </c>
      <c r="L54" s="78">
        <v>1</v>
      </c>
      <c r="M54" s="79">
        <v>30000</v>
      </c>
      <c r="N54" s="79">
        <f>Table47[[#This Row],[Expected Revenue]]*Table47[[#This Row],[Probability]]</f>
        <v>30000</v>
      </c>
      <c r="O54" s="78">
        <v>0.3</v>
      </c>
      <c r="P54" s="79">
        <v>17813.399999999998</v>
      </c>
      <c r="Q54" s="209"/>
    </row>
    <row r="55" spans="1:17" hidden="1">
      <c r="A55" s="75" t="s">
        <v>3032</v>
      </c>
      <c r="B55" s="76" t="s">
        <v>73</v>
      </c>
      <c r="C55" s="77" t="s">
        <v>57</v>
      </c>
      <c r="D55" s="102" t="s">
        <v>106</v>
      </c>
      <c r="E55" s="77" t="s">
        <v>291</v>
      </c>
      <c r="F55" s="77" t="s">
        <v>58</v>
      </c>
      <c r="G55" s="77" t="s">
        <v>65</v>
      </c>
      <c r="H55" s="77" t="s">
        <v>290</v>
      </c>
      <c r="I55" s="77"/>
      <c r="J55" s="110" t="s">
        <v>93</v>
      </c>
      <c r="K55" s="77">
        <v>2020</v>
      </c>
      <c r="L55" s="78">
        <v>1</v>
      </c>
      <c r="M55" s="79">
        <v>30000</v>
      </c>
      <c r="N55" s="79">
        <f>Table47[[#This Row],[Expected Revenue]]*Table47[[#This Row],[Probability]]</f>
        <v>30000</v>
      </c>
      <c r="O55" s="78">
        <v>0.3</v>
      </c>
      <c r="P55" s="79">
        <v>17813.399999999998</v>
      </c>
      <c r="Q55" s="209"/>
    </row>
    <row r="56" spans="1:17" hidden="1">
      <c r="A56" s="75" t="s">
        <v>3029</v>
      </c>
      <c r="B56" s="76" t="s">
        <v>156</v>
      </c>
      <c r="C56" s="77" t="s">
        <v>157</v>
      </c>
      <c r="D56" s="102" t="s">
        <v>239</v>
      </c>
      <c r="E56" s="77" t="s">
        <v>62</v>
      </c>
      <c r="F56" s="77" t="s">
        <v>58</v>
      </c>
      <c r="G56" s="77" t="s">
        <v>65</v>
      </c>
      <c r="H56" s="77" t="s">
        <v>290</v>
      </c>
      <c r="I56" s="77"/>
      <c r="J56" s="110" t="s">
        <v>93</v>
      </c>
      <c r="K56" s="77">
        <v>2020</v>
      </c>
      <c r="L56" s="78">
        <v>1</v>
      </c>
      <c r="M56" s="79">
        <v>150000</v>
      </c>
      <c r="N56" s="79">
        <f>Table47[[#This Row],[Expected Revenue]]*Table47[[#This Row],[Probability]]</f>
        <v>150000</v>
      </c>
      <c r="O56" s="78">
        <v>0.35</v>
      </c>
      <c r="P56" s="79">
        <v>10500</v>
      </c>
      <c r="Q56" s="209"/>
    </row>
    <row r="57" spans="1:17" hidden="1">
      <c r="A57" s="75" t="s">
        <v>3056</v>
      </c>
      <c r="B57" s="76" t="s">
        <v>122</v>
      </c>
      <c r="C57" s="77" t="s">
        <v>57</v>
      </c>
      <c r="D57" s="102" t="s">
        <v>82</v>
      </c>
      <c r="E57" s="77" t="s">
        <v>62</v>
      </c>
      <c r="F57" s="77" t="s">
        <v>58</v>
      </c>
      <c r="G57" s="77" t="s">
        <v>65</v>
      </c>
      <c r="H57" s="77" t="s">
        <v>290</v>
      </c>
      <c r="I57" s="77"/>
      <c r="J57" s="110" t="s">
        <v>93</v>
      </c>
      <c r="K57" s="77">
        <v>2020</v>
      </c>
      <c r="L57" s="78">
        <v>1</v>
      </c>
      <c r="M57" s="79">
        <v>13900</v>
      </c>
      <c r="N57" s="79">
        <f>Table47[[#This Row],[Expected Revenue]]*Table47[[#This Row],[Probability]]</f>
        <v>13900</v>
      </c>
      <c r="O57" s="78">
        <v>0.3</v>
      </c>
      <c r="P57" s="79">
        <v>4170</v>
      </c>
      <c r="Q57" s="209"/>
    </row>
    <row r="58" spans="1:17" hidden="1">
      <c r="A58" s="75" t="s">
        <v>3039</v>
      </c>
      <c r="B58" s="76" t="s">
        <v>114</v>
      </c>
      <c r="C58" s="77" t="s">
        <v>57</v>
      </c>
      <c r="D58" s="102" t="s">
        <v>113</v>
      </c>
      <c r="E58" s="77" t="s">
        <v>62</v>
      </c>
      <c r="F58" s="77" t="s">
        <v>58</v>
      </c>
      <c r="G58" s="77" t="s">
        <v>65</v>
      </c>
      <c r="H58" s="77" t="s">
        <v>290</v>
      </c>
      <c r="I58" s="77"/>
      <c r="J58" s="110" t="s">
        <v>93</v>
      </c>
      <c r="K58" s="77">
        <v>2020</v>
      </c>
      <c r="L58" s="78">
        <v>1</v>
      </c>
      <c r="M58" s="79">
        <v>26000</v>
      </c>
      <c r="N58" s="79">
        <f>Table47[[#This Row],[Expected Revenue]]*Table47[[#This Row],[Probability]]</f>
        <v>26000</v>
      </c>
      <c r="O58" s="78">
        <v>0.3</v>
      </c>
      <c r="P58" s="79">
        <v>4500</v>
      </c>
      <c r="Q58" s="209"/>
    </row>
    <row r="59" spans="1:17" hidden="1">
      <c r="A59" s="75" t="s">
        <v>3039</v>
      </c>
      <c r="B59" s="76" t="s">
        <v>114</v>
      </c>
      <c r="C59" s="77" t="s">
        <v>57</v>
      </c>
      <c r="D59" s="102" t="s">
        <v>113</v>
      </c>
      <c r="E59" s="77" t="s">
        <v>62</v>
      </c>
      <c r="F59" s="77" t="s">
        <v>58</v>
      </c>
      <c r="G59" s="77" t="s">
        <v>65</v>
      </c>
      <c r="H59" s="77" t="s">
        <v>290</v>
      </c>
      <c r="I59" s="77"/>
      <c r="J59" s="110" t="s">
        <v>80</v>
      </c>
      <c r="K59" s="77">
        <v>2019</v>
      </c>
      <c r="L59" s="78">
        <v>1</v>
      </c>
      <c r="M59" s="79">
        <f>31969-15000</f>
        <v>16969</v>
      </c>
      <c r="N59" s="79">
        <f>Table47[[#This Row],[Expected Revenue]]*Table47[[#This Row],[Probability]]</f>
        <v>16969</v>
      </c>
      <c r="O59" s="78">
        <v>0.3</v>
      </c>
      <c r="P59" s="79">
        <f>Table47[[#This Row],[Expected Revenue]]*Table47[[#This Row],[Expected CMR]]</f>
        <v>5090.7</v>
      </c>
      <c r="Q59" s="209"/>
    </row>
    <row r="60" spans="1:17">
      <c r="A60" s="75" t="s">
        <v>3238</v>
      </c>
      <c r="B60" s="76" t="s">
        <v>137</v>
      </c>
      <c r="C60" s="77" t="s">
        <v>57</v>
      </c>
      <c r="D60" s="102" t="s">
        <v>87</v>
      </c>
      <c r="E60" s="77" t="s">
        <v>88</v>
      </c>
      <c r="F60" s="77" t="s">
        <v>58</v>
      </c>
      <c r="G60" s="77" t="s">
        <v>65</v>
      </c>
      <c r="H60" s="77" t="s">
        <v>290</v>
      </c>
      <c r="I60" s="77"/>
      <c r="J60" s="110" t="s">
        <v>68</v>
      </c>
      <c r="K60" s="77">
        <v>2020</v>
      </c>
      <c r="L60" s="78">
        <v>1</v>
      </c>
      <c r="M60" s="79">
        <v>27816</v>
      </c>
      <c r="N60" s="79">
        <f>Table47[[#This Row],[Expected Revenue]]*Table47[[#This Row],[Probability]]</f>
        <v>27816</v>
      </c>
      <c r="O60" s="78">
        <v>0.3</v>
      </c>
      <c r="P60" s="79">
        <v>8344.7999999999993</v>
      </c>
      <c r="Q60" s="209"/>
    </row>
    <row r="61" spans="1:17" hidden="1">
      <c r="A61" s="75" t="s">
        <v>3061</v>
      </c>
      <c r="B61" s="76" t="s">
        <v>114</v>
      </c>
      <c r="C61" s="77" t="s">
        <v>57</v>
      </c>
      <c r="D61" s="102" t="s">
        <v>97</v>
      </c>
      <c r="E61" s="77" t="s">
        <v>92</v>
      </c>
      <c r="F61" s="77" t="s">
        <v>58</v>
      </c>
      <c r="G61" s="77" t="s">
        <v>65</v>
      </c>
      <c r="H61" s="77" t="s">
        <v>290</v>
      </c>
      <c r="I61" s="77"/>
      <c r="J61" s="110" t="s">
        <v>84</v>
      </c>
      <c r="K61" s="77">
        <v>2019</v>
      </c>
      <c r="L61" s="78">
        <v>1</v>
      </c>
      <c r="M61" s="79" t="e">
        <f>75242/4-#REF!</f>
        <v>#REF!</v>
      </c>
      <c r="N61" s="79" t="e">
        <f>Table47[[#This Row],[Expected Revenue]]*Table47[[#This Row],[Probability]]</f>
        <v>#REF!</v>
      </c>
      <c r="O61" s="78">
        <v>0.3</v>
      </c>
      <c r="P61" s="79" t="e">
        <f>Table47[[#This Row],[Expected Revenue]]*Table47[[#This Row],[Expected CMR]]</f>
        <v>#REF!</v>
      </c>
      <c r="Q61" s="209"/>
    </row>
    <row r="62" spans="1:17" hidden="1">
      <c r="A62" s="176" t="s">
        <v>3061</v>
      </c>
      <c r="B62" s="82" t="s">
        <v>114</v>
      </c>
      <c r="C62" s="77" t="s">
        <v>57</v>
      </c>
      <c r="D62" s="103" t="s">
        <v>97</v>
      </c>
      <c r="E62" s="83" t="s">
        <v>92</v>
      </c>
      <c r="F62" s="83" t="s">
        <v>58</v>
      </c>
      <c r="G62" s="83" t="s">
        <v>65</v>
      </c>
      <c r="H62" s="77" t="s">
        <v>290</v>
      </c>
      <c r="I62" s="83"/>
      <c r="J62" s="156" t="s">
        <v>219</v>
      </c>
      <c r="K62" s="83">
        <v>2019</v>
      </c>
      <c r="L62" s="84">
        <v>1</v>
      </c>
      <c r="M62" s="85">
        <v>10000</v>
      </c>
      <c r="N62" s="85">
        <f>Table47[[#This Row],[Expected Revenue]]*Table47[[#This Row],[Probability]]</f>
        <v>10000</v>
      </c>
      <c r="O62" s="84">
        <v>0.3</v>
      </c>
      <c r="P62" s="85">
        <f>Table47[[#This Row],[Expected Revenue]]*Table47[[#This Row],[Expected CMR]]</f>
        <v>3000</v>
      </c>
      <c r="Q62" s="209"/>
    </row>
    <row r="63" spans="1:17" hidden="1">
      <c r="A63" s="75" t="s">
        <v>3061</v>
      </c>
      <c r="B63" s="76" t="s">
        <v>114</v>
      </c>
      <c r="C63" s="77" t="s">
        <v>57</v>
      </c>
      <c r="D63" s="102" t="s">
        <v>91</v>
      </c>
      <c r="E63" s="77" t="s">
        <v>92</v>
      </c>
      <c r="F63" s="77" t="s">
        <v>58</v>
      </c>
      <c r="G63" s="77" t="s">
        <v>65</v>
      </c>
      <c r="H63" s="77" t="s">
        <v>290</v>
      </c>
      <c r="I63" s="77"/>
      <c r="J63" s="110" t="s">
        <v>230</v>
      </c>
      <c r="K63" s="77">
        <v>2019</v>
      </c>
      <c r="L63" s="78">
        <v>1</v>
      </c>
      <c r="M63" s="79">
        <f>75242/4</f>
        <v>18810.5</v>
      </c>
      <c r="N63" s="79">
        <f>Table47[[#This Row],[Expected Revenue]]*Table47[[#This Row],[Probability]]</f>
        <v>18810.5</v>
      </c>
      <c r="O63" s="78">
        <v>0.3</v>
      </c>
      <c r="P63" s="79">
        <f>Table47[[#This Row],[Expected Revenue]]*Table47[[#This Row],[Expected CMR]]</f>
        <v>5643.15</v>
      </c>
      <c r="Q63" s="209"/>
    </row>
    <row r="64" spans="1:17" hidden="1">
      <c r="A64" s="75" t="s">
        <v>3061</v>
      </c>
      <c r="B64" s="76" t="s">
        <v>114</v>
      </c>
      <c r="C64" s="77" t="s">
        <v>57</v>
      </c>
      <c r="D64" s="102" t="s">
        <v>96</v>
      </c>
      <c r="E64" s="77" t="s">
        <v>92</v>
      </c>
      <c r="F64" s="77" t="s">
        <v>58</v>
      </c>
      <c r="G64" s="77" t="s">
        <v>65</v>
      </c>
      <c r="H64" s="77" t="s">
        <v>290</v>
      </c>
      <c r="I64" s="77"/>
      <c r="J64" s="110" t="s">
        <v>89</v>
      </c>
      <c r="K64" s="77">
        <v>2019</v>
      </c>
      <c r="L64" s="78">
        <v>1</v>
      </c>
      <c r="M64" s="79">
        <f>75242/4</f>
        <v>18810.5</v>
      </c>
      <c r="N64" s="79">
        <f>Table47[[#This Row],[Expected Revenue]]*Table47[[#This Row],[Probability]]</f>
        <v>18810.5</v>
      </c>
      <c r="O64" s="78">
        <v>0.3</v>
      </c>
      <c r="P64" s="79">
        <f>Table47[[#This Row],[Expected Revenue]]*Table47[[#This Row],[Expected CMR]]</f>
        <v>5643.15</v>
      </c>
      <c r="Q64" s="209"/>
    </row>
    <row r="65" spans="1:17" hidden="1">
      <c r="A65" s="173" t="s">
        <v>3062</v>
      </c>
      <c r="B65" s="76" t="s">
        <v>122</v>
      </c>
      <c r="C65" s="77" t="s">
        <v>57</v>
      </c>
      <c r="D65" s="102" t="s">
        <v>112</v>
      </c>
      <c r="E65" s="77" t="s">
        <v>71</v>
      </c>
      <c r="F65" s="77" t="s">
        <v>58</v>
      </c>
      <c r="G65" s="77" t="s">
        <v>65</v>
      </c>
      <c r="H65" s="77" t="s">
        <v>290</v>
      </c>
      <c r="I65" s="77"/>
      <c r="J65" s="110" t="s">
        <v>93</v>
      </c>
      <c r="K65" s="77">
        <v>2020</v>
      </c>
      <c r="L65" s="78">
        <v>1</v>
      </c>
      <c r="M65" s="79">
        <v>30000</v>
      </c>
      <c r="N65" s="79">
        <f>Table47[[#This Row],[Expected Revenue]]*Table47[[#This Row],[Probability]]</f>
        <v>30000</v>
      </c>
      <c r="O65" s="78">
        <v>0.3</v>
      </c>
      <c r="P65" s="79">
        <v>8344.7999999999993</v>
      </c>
      <c r="Q65" s="209"/>
    </row>
    <row r="66" spans="1:17" hidden="1">
      <c r="A66" s="173" t="s">
        <v>3063</v>
      </c>
      <c r="B66" s="76" t="s">
        <v>122</v>
      </c>
      <c r="C66" s="77" t="s">
        <v>57</v>
      </c>
      <c r="D66" s="102" t="s">
        <v>113</v>
      </c>
      <c r="E66" s="77" t="s">
        <v>62</v>
      </c>
      <c r="F66" s="77" t="s">
        <v>58</v>
      </c>
      <c r="G66" s="77" t="s">
        <v>65</v>
      </c>
      <c r="H66" s="77" t="s">
        <v>290</v>
      </c>
      <c r="I66" s="77"/>
      <c r="J66" s="110" t="s">
        <v>93</v>
      </c>
      <c r="K66" s="77">
        <v>2020</v>
      </c>
      <c r="L66" s="78">
        <v>1</v>
      </c>
      <c r="M66" s="79">
        <v>31000</v>
      </c>
      <c r="N66" s="79">
        <f>Table47[[#This Row],[Expected Revenue]]*Table47[[#This Row],[Probability]]</f>
        <v>31000</v>
      </c>
      <c r="O66" s="78">
        <v>0.3</v>
      </c>
      <c r="P66" s="79">
        <v>8344.7999999999993</v>
      </c>
      <c r="Q66" s="209"/>
    </row>
    <row r="67" spans="1:17" hidden="1">
      <c r="A67" s="173" t="s">
        <v>3064</v>
      </c>
      <c r="B67" s="76" t="s">
        <v>3065</v>
      </c>
      <c r="C67" s="77" t="s">
        <v>185</v>
      </c>
      <c r="D67" s="102" t="s">
        <v>3066</v>
      </c>
      <c r="E67" s="77" t="s">
        <v>293</v>
      </c>
      <c r="F67" s="77" t="s">
        <v>186</v>
      </c>
      <c r="G67" s="77" t="s">
        <v>65</v>
      </c>
      <c r="H67" s="77" t="s">
        <v>290</v>
      </c>
      <c r="I67" s="76"/>
      <c r="J67" s="110" t="s">
        <v>230</v>
      </c>
      <c r="K67" s="77">
        <v>2020</v>
      </c>
      <c r="L67" s="78">
        <v>1</v>
      </c>
      <c r="M67" s="79">
        <v>60000</v>
      </c>
      <c r="N67" s="79">
        <f>Table47[[#This Row],[Expected Revenue]]*Table47[[#This Row],[Probability]]</f>
        <v>60000</v>
      </c>
      <c r="O67" s="78">
        <v>0.3</v>
      </c>
      <c r="P67" s="79">
        <f>Table47[[#This Row],[Expected Revenue]]*Table47[[#This Row],[Expected CMR]]</f>
        <v>18000</v>
      </c>
      <c r="Q67" s="209"/>
    </row>
    <row r="68" spans="1:17" hidden="1">
      <c r="A68" s="75" t="s">
        <v>3067</v>
      </c>
      <c r="B68" s="76" t="s">
        <v>146</v>
      </c>
      <c r="C68" s="77" t="s">
        <v>57</v>
      </c>
      <c r="D68" s="102" t="s">
        <v>208</v>
      </c>
      <c r="E68" s="77" t="s">
        <v>92</v>
      </c>
      <c r="F68" s="77" t="s">
        <v>58</v>
      </c>
      <c r="G68" s="77" t="s">
        <v>65</v>
      </c>
      <c r="H68" s="77" t="s">
        <v>290</v>
      </c>
      <c r="I68" s="77"/>
      <c r="J68" s="110" t="s">
        <v>219</v>
      </c>
      <c r="K68" s="77">
        <v>2020</v>
      </c>
      <c r="L68" s="78">
        <v>1</v>
      </c>
      <c r="M68" s="79">
        <v>24000</v>
      </c>
      <c r="N68" s="214">
        <f>Table47[[#This Row],[Expected Revenue]]*Table47[[#This Row],[Probability]]</f>
        <v>24000</v>
      </c>
      <c r="O68" s="78">
        <v>0.59</v>
      </c>
      <c r="P68" s="79">
        <v>14160</v>
      </c>
      <c r="Q68" s="209"/>
    </row>
    <row r="69" spans="1:17" hidden="1">
      <c r="A69" s="75" t="s">
        <v>3067</v>
      </c>
      <c r="B69" s="76" t="s">
        <v>146</v>
      </c>
      <c r="C69" s="77" t="s">
        <v>57</v>
      </c>
      <c r="D69" s="102" t="s">
        <v>208</v>
      </c>
      <c r="E69" s="77" t="s">
        <v>92</v>
      </c>
      <c r="F69" s="77" t="s">
        <v>58</v>
      </c>
      <c r="G69" s="77" t="s">
        <v>65</v>
      </c>
      <c r="H69" s="77" t="s">
        <v>290</v>
      </c>
      <c r="I69" s="77"/>
      <c r="J69" s="110" t="s">
        <v>222</v>
      </c>
      <c r="K69" s="77">
        <v>2020</v>
      </c>
      <c r="L69" s="78">
        <v>1</v>
      </c>
      <c r="M69" s="79">
        <v>24000</v>
      </c>
      <c r="N69" s="79">
        <f>Table47[[#This Row],[Expected Revenue]]*Table47[[#This Row],[Probability]]</f>
        <v>24000</v>
      </c>
      <c r="O69" s="78">
        <v>0.59</v>
      </c>
      <c r="P69" s="79">
        <v>14160</v>
      </c>
      <c r="Q69" s="209" t="s">
        <v>3068</v>
      </c>
    </row>
    <row r="70" spans="1:17" hidden="1">
      <c r="A70" s="173"/>
      <c r="B70" s="76" t="s">
        <v>117</v>
      </c>
      <c r="C70" s="77" t="s">
        <v>57</v>
      </c>
      <c r="D70" s="102" t="s">
        <v>3069</v>
      </c>
      <c r="E70" s="77" t="s">
        <v>291</v>
      </c>
      <c r="F70" s="77" t="s">
        <v>58</v>
      </c>
      <c r="G70" s="77" t="s">
        <v>3027</v>
      </c>
      <c r="H70" s="77" t="s">
        <v>257</v>
      </c>
      <c r="I70" s="77" t="s">
        <v>3070</v>
      </c>
      <c r="J70" s="110" t="s">
        <v>89</v>
      </c>
      <c r="K70" s="77">
        <v>2020</v>
      </c>
      <c r="L70" s="78">
        <v>1</v>
      </c>
      <c r="M70" s="79">
        <v>25000</v>
      </c>
      <c r="N70" s="79">
        <f>Table47[[#This Row],[Expected Revenue]]*Table47[[#This Row],[Probability]]</f>
        <v>25000</v>
      </c>
      <c r="O70" s="78">
        <v>0.3</v>
      </c>
      <c r="P70" s="79">
        <f>Table47[[#This Row],[Expected Revenue]]*Table47[[#This Row],[Expected CMR]]</f>
        <v>7500</v>
      </c>
      <c r="Q70" s="209"/>
    </row>
    <row r="71" spans="1:17" hidden="1">
      <c r="A71" s="173" t="s">
        <v>3023</v>
      </c>
      <c r="B71" s="76" t="s">
        <v>296</v>
      </c>
      <c r="C71" s="77"/>
      <c r="D71" s="102"/>
      <c r="E71" s="77" t="s">
        <v>251</v>
      </c>
      <c r="F71" s="77"/>
      <c r="G71" s="77"/>
      <c r="H71" s="77" t="s">
        <v>296</v>
      </c>
      <c r="I71" s="76"/>
      <c r="J71" s="110" t="s">
        <v>80</v>
      </c>
      <c r="K71" s="77">
        <v>2020</v>
      </c>
      <c r="L71" s="78">
        <v>1</v>
      </c>
      <c r="M71" s="79">
        <v>100000</v>
      </c>
      <c r="N71" s="86">
        <f>Table47[[#This Row],[Expected Revenue]]*Table47[[#This Row],[Probability]]</f>
        <v>100000</v>
      </c>
      <c r="O71" s="78">
        <v>0.3</v>
      </c>
      <c r="P71" s="86">
        <f>Table47[[#This Row],[Expected Revenue]]*Table47[[#This Row],[Expected CMR]]</f>
        <v>30000</v>
      </c>
      <c r="Q71" s="210"/>
    </row>
    <row r="72" spans="1:17" hidden="1">
      <c r="A72" s="75" t="s">
        <v>3071</v>
      </c>
      <c r="B72" s="76" t="s">
        <v>114</v>
      </c>
      <c r="C72" s="77" t="s">
        <v>57</v>
      </c>
      <c r="D72" s="102" t="s">
        <v>87</v>
      </c>
      <c r="E72" s="77" t="s">
        <v>88</v>
      </c>
      <c r="F72" s="77" t="s">
        <v>58</v>
      </c>
      <c r="G72" s="77" t="s">
        <v>65</v>
      </c>
      <c r="H72" s="77" t="s">
        <v>290</v>
      </c>
      <c r="I72" s="77"/>
      <c r="J72" s="110" t="s">
        <v>139</v>
      </c>
      <c r="K72" s="77">
        <v>2019</v>
      </c>
      <c r="L72" s="78">
        <v>1</v>
      </c>
      <c r="M72" s="79">
        <v>27816</v>
      </c>
      <c r="N72" s="79">
        <f>Table47[[#This Row],[Expected Revenue]]*Table47[[#This Row],[Probability]]</f>
        <v>27816</v>
      </c>
      <c r="O72" s="78">
        <v>0.3</v>
      </c>
      <c r="P72" s="79">
        <f>Table47[[#This Row],[Expected Revenue]]*Table47[[#This Row],[Expected CMR]]</f>
        <v>8344.7999999999993</v>
      </c>
      <c r="Q72" s="209"/>
    </row>
    <row r="73" spans="1:17" hidden="1">
      <c r="A73" s="75" t="s">
        <v>3072</v>
      </c>
      <c r="B73" s="76" t="s">
        <v>114</v>
      </c>
      <c r="C73" s="77" t="s">
        <v>57</v>
      </c>
      <c r="D73" s="102" t="s">
        <v>82</v>
      </c>
      <c r="E73" s="77" t="s">
        <v>62</v>
      </c>
      <c r="F73" s="77" t="s">
        <v>58</v>
      </c>
      <c r="G73" s="77" t="s">
        <v>65</v>
      </c>
      <c r="H73" s="77" t="s">
        <v>290</v>
      </c>
      <c r="I73" s="77"/>
      <c r="J73" s="110" t="s">
        <v>139</v>
      </c>
      <c r="K73" s="77">
        <v>2019</v>
      </c>
      <c r="L73" s="78">
        <v>1</v>
      </c>
      <c r="M73" s="79">
        <v>13900</v>
      </c>
      <c r="N73" s="79">
        <f>Table47[[#This Row],[Expected Revenue]]*Table47[[#This Row],[Probability]]</f>
        <v>13900</v>
      </c>
      <c r="O73" s="78">
        <v>0.3</v>
      </c>
      <c r="P73" s="79">
        <f>Table47[[#This Row],[Expected Revenue]]*Table47[[#This Row],[Expected CMR]]</f>
        <v>4170</v>
      </c>
      <c r="Q73" s="209"/>
    </row>
    <row r="74" spans="1:17" hidden="1">
      <c r="A74" s="75" t="s">
        <v>3073</v>
      </c>
      <c r="B74" s="76" t="s">
        <v>114</v>
      </c>
      <c r="C74" s="77" t="s">
        <v>57</v>
      </c>
      <c r="D74" s="102" t="s">
        <v>3074</v>
      </c>
      <c r="E74" s="77" t="s">
        <v>92</v>
      </c>
      <c r="F74" s="77" t="s">
        <v>58</v>
      </c>
      <c r="G74" s="77" t="s">
        <v>65</v>
      </c>
      <c r="H74" s="77" t="s">
        <v>290</v>
      </c>
      <c r="I74" s="77"/>
      <c r="J74" s="110" t="s">
        <v>84</v>
      </c>
      <c r="K74" s="77">
        <v>2019</v>
      </c>
      <c r="L74" s="78">
        <v>1</v>
      </c>
      <c r="M74" s="79">
        <v>52000</v>
      </c>
      <c r="N74" s="79">
        <f>Table47[[#This Row],[Expected Revenue]]*Table47[[#This Row],[Probability]]</f>
        <v>52000</v>
      </c>
      <c r="O74" s="78">
        <v>0.3</v>
      </c>
      <c r="P74" s="79">
        <f>Table47[[#This Row],[Expected Revenue]]*Table47[[#This Row],[Expected CMR]]</f>
        <v>15600</v>
      </c>
      <c r="Q74" s="209"/>
    </row>
    <row r="75" spans="1:17" hidden="1">
      <c r="A75" s="75" t="s">
        <v>3073</v>
      </c>
      <c r="B75" s="76" t="s">
        <v>114</v>
      </c>
      <c r="C75" s="77" t="s">
        <v>57</v>
      </c>
      <c r="D75" s="102" t="s">
        <v>205</v>
      </c>
      <c r="E75" s="77" t="s">
        <v>92</v>
      </c>
      <c r="F75" s="77" t="s">
        <v>58</v>
      </c>
      <c r="G75" s="77" t="s">
        <v>65</v>
      </c>
      <c r="H75" s="77" t="s">
        <v>290</v>
      </c>
      <c r="I75" s="77"/>
      <c r="J75" s="110" t="s">
        <v>80</v>
      </c>
      <c r="K75" s="77">
        <v>2019</v>
      </c>
      <c r="L75" s="78">
        <v>1</v>
      </c>
      <c r="M75" s="79">
        <v>30000</v>
      </c>
      <c r="N75" s="79">
        <f>Table47[[#This Row],[Expected Revenue]]*Table47[[#This Row],[Probability]]</f>
        <v>30000</v>
      </c>
      <c r="O75" s="78">
        <v>0.3</v>
      </c>
      <c r="P75" s="79">
        <f>Table47[[#This Row],[Expected Revenue]]*Table47[[#This Row],[Expected CMR]]</f>
        <v>9000</v>
      </c>
      <c r="Q75" s="209"/>
    </row>
    <row r="76" spans="1:17" hidden="1">
      <c r="A76" s="75" t="s">
        <v>3073</v>
      </c>
      <c r="B76" s="76" t="s">
        <v>114</v>
      </c>
      <c r="C76" s="77" t="s">
        <v>57</v>
      </c>
      <c r="D76" s="102" t="s">
        <v>242</v>
      </c>
      <c r="E76" s="77" t="s">
        <v>92</v>
      </c>
      <c r="F76" s="77" t="s">
        <v>58</v>
      </c>
      <c r="G76" s="77" t="s">
        <v>65</v>
      </c>
      <c r="H76" s="77" t="s">
        <v>290</v>
      </c>
      <c r="I76" s="77"/>
      <c r="J76" s="110" t="s">
        <v>80</v>
      </c>
      <c r="K76" s="77">
        <v>2019</v>
      </c>
      <c r="L76" s="78">
        <v>1</v>
      </c>
      <c r="M76" s="79">
        <v>15000</v>
      </c>
      <c r="N76" s="79">
        <f>Table47[[#This Row],[Expected Revenue]]*Table47[[#This Row],[Probability]]</f>
        <v>15000</v>
      </c>
      <c r="O76" s="78">
        <v>0.3</v>
      </c>
      <c r="P76" s="79">
        <f>Table47[[#This Row],[Expected Revenue]]*Table47[[#This Row],[Expected CMR]]</f>
        <v>4500</v>
      </c>
      <c r="Q76" s="209"/>
    </row>
    <row r="77" spans="1:17" hidden="1">
      <c r="A77" s="75" t="s">
        <v>3073</v>
      </c>
      <c r="B77" s="76" t="s">
        <v>114</v>
      </c>
      <c r="C77" s="77" t="s">
        <v>57</v>
      </c>
      <c r="D77" s="102" t="s">
        <v>3074</v>
      </c>
      <c r="E77" s="77" t="s">
        <v>92</v>
      </c>
      <c r="F77" s="77" t="s">
        <v>58</v>
      </c>
      <c r="G77" s="77" t="s">
        <v>65</v>
      </c>
      <c r="H77" s="77" t="s">
        <v>290</v>
      </c>
      <c r="I77" s="77"/>
      <c r="J77" s="110" t="s">
        <v>102</v>
      </c>
      <c r="K77" s="77">
        <v>2019</v>
      </c>
      <c r="L77" s="78">
        <v>1</v>
      </c>
      <c r="M77" s="79">
        <v>30000</v>
      </c>
      <c r="N77" s="79">
        <f>Table47[[#This Row],[Expected Revenue]]*Table47[[#This Row],[Probability]]</f>
        <v>30000</v>
      </c>
      <c r="O77" s="78">
        <v>0.3</v>
      </c>
      <c r="P77" s="79">
        <f>Table47[[#This Row],[Expected Revenue]]*Table47[[#This Row],[Expected CMR]]</f>
        <v>9000</v>
      </c>
      <c r="Q77" s="209"/>
    </row>
    <row r="78" spans="1:17" hidden="1">
      <c r="A78" s="75" t="s">
        <v>3075</v>
      </c>
      <c r="B78" s="76" t="s">
        <v>122</v>
      </c>
      <c r="C78" s="77" t="s">
        <v>57</v>
      </c>
      <c r="D78" s="102" t="s">
        <v>106</v>
      </c>
      <c r="E78" s="77" t="s">
        <v>107</v>
      </c>
      <c r="F78" s="77" t="s">
        <v>58</v>
      </c>
      <c r="G78" s="77" t="s">
        <v>65</v>
      </c>
      <c r="H78" s="77" t="s">
        <v>290</v>
      </c>
      <c r="I78" s="77"/>
      <c r="J78" s="110" t="s">
        <v>139</v>
      </c>
      <c r="K78" s="77">
        <v>2019</v>
      </c>
      <c r="L78" s="78">
        <v>1</v>
      </c>
      <c r="M78" s="79">
        <v>59378</v>
      </c>
      <c r="N78" s="79">
        <f>Table47[[#This Row],[Expected Revenue]]*Table47[[#This Row],[Probability]]</f>
        <v>59378</v>
      </c>
      <c r="O78" s="78">
        <v>0.3</v>
      </c>
      <c r="P78" s="79">
        <f>Table47[[#This Row],[Expected Revenue]]*Table47[[#This Row],[Expected CMR]]</f>
        <v>17813.399999999998</v>
      </c>
      <c r="Q78" s="209"/>
    </row>
    <row r="79" spans="1:17" hidden="1">
      <c r="A79" s="75" t="s">
        <v>3076</v>
      </c>
      <c r="B79" s="76" t="s">
        <v>122</v>
      </c>
      <c r="C79" s="77" t="s">
        <v>57</v>
      </c>
      <c r="D79" s="102" t="s">
        <v>112</v>
      </c>
      <c r="E79" s="77" t="s">
        <v>71</v>
      </c>
      <c r="F79" s="77" t="s">
        <v>58</v>
      </c>
      <c r="G79" s="77" t="s">
        <v>65</v>
      </c>
      <c r="H79" s="77" t="s">
        <v>290</v>
      </c>
      <c r="I79" s="77"/>
      <c r="J79" s="110" t="s">
        <v>230</v>
      </c>
      <c r="K79" s="77">
        <v>2019</v>
      </c>
      <c r="L79" s="78">
        <v>1</v>
      </c>
      <c r="M79" s="79">
        <v>30939</v>
      </c>
      <c r="N79" s="79">
        <f>Table47[[#This Row],[Expected Revenue]]*Table47[[#This Row],[Probability]]</f>
        <v>30939</v>
      </c>
      <c r="O79" s="78">
        <v>0.3</v>
      </c>
      <c r="P79" s="79">
        <f>Table47[[#This Row],[Expected Revenue]]*Table47[[#This Row],[Expected CMR]]</f>
        <v>9281.6999999999989</v>
      </c>
      <c r="Q79" s="209"/>
    </row>
    <row r="80" spans="1:17" hidden="1">
      <c r="A80" s="75" t="s">
        <v>3077</v>
      </c>
      <c r="B80" s="76" t="s">
        <v>122</v>
      </c>
      <c r="C80" s="77" t="s">
        <v>57</v>
      </c>
      <c r="D80" s="102" t="s">
        <v>113</v>
      </c>
      <c r="E80" s="77" t="s">
        <v>62</v>
      </c>
      <c r="F80" s="77" t="s">
        <v>58</v>
      </c>
      <c r="G80" s="77" t="s">
        <v>65</v>
      </c>
      <c r="H80" s="77" t="s">
        <v>290</v>
      </c>
      <c r="I80" s="77"/>
      <c r="J80" s="110" t="s">
        <v>230</v>
      </c>
      <c r="K80" s="77">
        <v>2019</v>
      </c>
      <c r="L80" s="78">
        <v>1</v>
      </c>
      <c r="M80" s="79">
        <v>31969</v>
      </c>
      <c r="N80" s="79">
        <f>Table47[[#This Row],[Expected Revenue]]*Table47[[#This Row],[Probability]]</f>
        <v>31969</v>
      </c>
      <c r="O80" s="78">
        <v>0.3</v>
      </c>
      <c r="P80" s="79">
        <f>Table47[[#This Row],[Expected Revenue]]*Table47[[#This Row],[Expected CMR]]</f>
        <v>9590.6999999999989</v>
      </c>
      <c r="Q80" s="209"/>
    </row>
    <row r="81" spans="1:17" hidden="1">
      <c r="A81" s="75" t="s">
        <v>3078</v>
      </c>
      <c r="B81" s="76" t="s">
        <v>122</v>
      </c>
      <c r="C81" s="77" t="s">
        <v>57</v>
      </c>
      <c r="D81" s="102" t="s">
        <v>96</v>
      </c>
      <c r="E81" s="77" t="s">
        <v>92</v>
      </c>
      <c r="F81" s="77" t="s">
        <v>58</v>
      </c>
      <c r="G81" s="77" t="s">
        <v>65</v>
      </c>
      <c r="H81" s="77" t="s">
        <v>290</v>
      </c>
      <c r="I81" s="77"/>
      <c r="J81" s="110" t="s">
        <v>139</v>
      </c>
      <c r="K81" s="77">
        <v>2019</v>
      </c>
      <c r="L81" s="78">
        <v>1</v>
      </c>
      <c r="M81" s="79">
        <f>75242/4</f>
        <v>18810.5</v>
      </c>
      <c r="N81" s="79">
        <f>Table47[[#This Row],[Expected Revenue]]*Table47[[#This Row],[Probability]]</f>
        <v>18810.5</v>
      </c>
      <c r="O81" s="78">
        <v>0.3</v>
      </c>
      <c r="P81" s="79">
        <f>Table47[[#This Row],[Expected Revenue]]*Table47[[#This Row],[Expected CMR]]</f>
        <v>5643.15</v>
      </c>
      <c r="Q81" s="209"/>
    </row>
    <row r="82" spans="1:17" hidden="1">
      <c r="A82" s="75" t="s">
        <v>3078</v>
      </c>
      <c r="B82" s="76" t="s">
        <v>122</v>
      </c>
      <c r="C82" s="77" t="s">
        <v>57</v>
      </c>
      <c r="D82" s="102" t="s">
        <v>97</v>
      </c>
      <c r="E82" s="77" t="s">
        <v>92</v>
      </c>
      <c r="F82" s="77" t="s">
        <v>58</v>
      </c>
      <c r="G82" s="77" t="s">
        <v>65</v>
      </c>
      <c r="H82" s="77" t="s">
        <v>290</v>
      </c>
      <c r="I82" s="77"/>
      <c r="J82" s="110" t="s">
        <v>84</v>
      </c>
      <c r="K82" s="77">
        <v>2019</v>
      </c>
      <c r="L82" s="78">
        <v>1</v>
      </c>
      <c r="M82" s="79">
        <f>75242/4</f>
        <v>18810.5</v>
      </c>
      <c r="N82" s="79">
        <f>Table47[[#This Row],[Expected Revenue]]*Table47[[#This Row],[Probability]]</f>
        <v>18810.5</v>
      </c>
      <c r="O82" s="78">
        <v>0.3</v>
      </c>
      <c r="P82" s="79">
        <f>Table47[[#This Row],[Expected Revenue]]*Table47[[#This Row],[Expected CMR]]</f>
        <v>5643.15</v>
      </c>
      <c r="Q82" s="209"/>
    </row>
    <row r="83" spans="1:17" hidden="1">
      <c r="A83" s="173"/>
      <c r="B83" s="76" t="s">
        <v>1199</v>
      </c>
      <c r="C83" s="77" t="s">
        <v>57</v>
      </c>
      <c r="D83" s="76" t="s">
        <v>3079</v>
      </c>
      <c r="E83" s="77" t="s">
        <v>62</v>
      </c>
      <c r="F83" s="77" t="s">
        <v>58</v>
      </c>
      <c r="G83" s="77"/>
      <c r="H83" s="77" t="s">
        <v>257</v>
      </c>
      <c r="I83" s="77" t="s">
        <v>3080</v>
      </c>
      <c r="J83" s="110" t="s">
        <v>93</v>
      </c>
      <c r="K83" s="77">
        <v>2020</v>
      </c>
      <c r="L83" s="78">
        <v>0.25</v>
      </c>
      <c r="M83" s="79">
        <v>23635</v>
      </c>
      <c r="N83" s="86">
        <f>Table47[[#This Row],[Expected Revenue]]*Table47[[#This Row],[Probability]]</f>
        <v>5908.75</v>
      </c>
      <c r="O83" s="78">
        <v>0.3</v>
      </c>
      <c r="P83" s="86">
        <f>Table47[[#This Row],[Expected Revenue]]*Table47[[#This Row],[Expected CMR]]</f>
        <v>7090.5</v>
      </c>
      <c r="Q83" s="210"/>
    </row>
    <row r="84" spans="1:17" hidden="1">
      <c r="A84" s="75" t="s">
        <v>3078</v>
      </c>
      <c r="B84" s="76" t="s">
        <v>122</v>
      </c>
      <c r="C84" s="77" t="s">
        <v>57</v>
      </c>
      <c r="D84" s="102" t="s">
        <v>97</v>
      </c>
      <c r="E84" s="77" t="s">
        <v>92</v>
      </c>
      <c r="F84" s="77" t="s">
        <v>58</v>
      </c>
      <c r="G84" s="77" t="s">
        <v>65</v>
      </c>
      <c r="H84" s="77" t="s">
        <v>290</v>
      </c>
      <c r="I84" s="77"/>
      <c r="J84" s="110" t="s">
        <v>219</v>
      </c>
      <c r="K84" s="77">
        <v>2019</v>
      </c>
      <c r="L84" s="78">
        <v>1</v>
      </c>
      <c r="M84" s="79">
        <v>10000</v>
      </c>
      <c r="N84" s="79">
        <f>Table47[[#This Row],[Expected Revenue]]*Table47[[#This Row],[Probability]]</f>
        <v>10000</v>
      </c>
      <c r="O84" s="78">
        <v>0.3</v>
      </c>
      <c r="P84" s="79">
        <f>Table47[[#This Row],[Expected Revenue]]*Table47[[#This Row],[Expected CMR]]</f>
        <v>3000</v>
      </c>
      <c r="Q84" s="209"/>
    </row>
    <row r="85" spans="1:17" hidden="1">
      <c r="A85" s="75" t="s">
        <v>3078</v>
      </c>
      <c r="B85" s="76" t="s">
        <v>122</v>
      </c>
      <c r="C85" s="77" t="s">
        <v>57</v>
      </c>
      <c r="D85" s="102" t="s">
        <v>91</v>
      </c>
      <c r="E85" s="77" t="s">
        <v>92</v>
      </c>
      <c r="F85" s="77" t="s">
        <v>58</v>
      </c>
      <c r="G85" s="77" t="s">
        <v>65</v>
      </c>
      <c r="H85" s="77" t="s">
        <v>290</v>
      </c>
      <c r="I85" s="77"/>
      <c r="J85" s="110" t="s">
        <v>230</v>
      </c>
      <c r="K85" s="77">
        <v>2019</v>
      </c>
      <c r="L85" s="78">
        <v>1</v>
      </c>
      <c r="M85" s="79">
        <f>75242/4</f>
        <v>18810.5</v>
      </c>
      <c r="N85" s="79">
        <f>Table47[[#This Row],[Expected Revenue]]*Table47[[#This Row],[Probability]]</f>
        <v>18810.5</v>
      </c>
      <c r="O85" s="78">
        <v>0.3</v>
      </c>
      <c r="P85" s="79">
        <f>Table47[[#This Row],[Expected Revenue]]*Table47[[#This Row],[Expected CMR]]</f>
        <v>5643.15</v>
      </c>
      <c r="Q85" s="209"/>
    </row>
    <row r="86" spans="1:17" hidden="1">
      <c r="A86" s="75" t="s">
        <v>3081</v>
      </c>
      <c r="B86" s="76" t="s">
        <v>122</v>
      </c>
      <c r="C86" s="77" t="s">
        <v>57</v>
      </c>
      <c r="D86" s="102" t="s">
        <v>87</v>
      </c>
      <c r="E86" s="77" t="s">
        <v>88</v>
      </c>
      <c r="F86" s="77" t="s">
        <v>58</v>
      </c>
      <c r="G86" s="77" t="s">
        <v>65</v>
      </c>
      <c r="H86" s="77" t="s">
        <v>290</v>
      </c>
      <c r="I86" s="77"/>
      <c r="J86" s="110" t="s">
        <v>231</v>
      </c>
      <c r="K86" s="77">
        <v>2019</v>
      </c>
      <c r="L86" s="78">
        <v>1</v>
      </c>
      <c r="M86" s="79">
        <v>2816</v>
      </c>
      <c r="N86" s="79">
        <f>Table47[[#This Row],[Expected Revenue]]*Table47[[#This Row],[Probability]]</f>
        <v>2816</v>
      </c>
      <c r="O86" s="78">
        <v>0.3</v>
      </c>
      <c r="P86" s="79">
        <f>Table47[[#This Row],[Expected Revenue]]*Table47[[#This Row],[Expected CMR]]</f>
        <v>844.8</v>
      </c>
      <c r="Q86" s="209"/>
    </row>
    <row r="87" spans="1:17" hidden="1">
      <c r="A87" s="75" t="s">
        <v>3082</v>
      </c>
      <c r="B87" s="76" t="s">
        <v>122</v>
      </c>
      <c r="C87" s="77" t="s">
        <v>57</v>
      </c>
      <c r="D87" s="102" t="s">
        <v>75</v>
      </c>
      <c r="E87" s="77" t="s">
        <v>83</v>
      </c>
      <c r="F87" s="77" t="s">
        <v>58</v>
      </c>
      <c r="G87" s="77" t="s">
        <v>65</v>
      </c>
      <c r="H87" s="77" t="s">
        <v>290</v>
      </c>
      <c r="I87" s="77"/>
      <c r="J87" s="110" t="s">
        <v>219</v>
      </c>
      <c r="K87" s="77">
        <v>2019</v>
      </c>
      <c r="L87" s="78">
        <v>1</v>
      </c>
      <c r="M87" s="79">
        <v>10620</v>
      </c>
      <c r="N87" s="79">
        <f>Table47[[#This Row],[Expected Revenue]]*Table47[[#This Row],[Probability]]</f>
        <v>10620</v>
      </c>
      <c r="O87" s="78">
        <v>0.3</v>
      </c>
      <c r="P87" s="79">
        <f>Table47[[#This Row],[Expected Revenue]]*Table47[[#This Row],[Expected CMR]]</f>
        <v>3186</v>
      </c>
      <c r="Q87" s="209"/>
    </row>
    <row r="88" spans="1:17" hidden="1">
      <c r="A88" s="173" t="s">
        <v>3023</v>
      </c>
      <c r="B88" s="76" t="s">
        <v>260</v>
      </c>
      <c r="C88" s="77" t="s">
        <v>157</v>
      </c>
      <c r="D88" s="102" t="s">
        <v>261</v>
      </c>
      <c r="E88" s="77" t="s">
        <v>62</v>
      </c>
      <c r="F88" s="77" t="s">
        <v>58</v>
      </c>
      <c r="G88" s="77" t="s">
        <v>65</v>
      </c>
      <c r="H88" s="77" t="s">
        <v>290</v>
      </c>
      <c r="I88" s="77"/>
      <c r="J88" s="110" t="s">
        <v>93</v>
      </c>
      <c r="K88" s="77">
        <v>2019</v>
      </c>
      <c r="L88" s="78">
        <v>1</v>
      </c>
      <c r="M88" s="79">
        <v>10000</v>
      </c>
      <c r="N88" s="79">
        <f>Table47[[#This Row],[Expected Revenue]]*Table47[[#This Row],[Probability]]</f>
        <v>10000</v>
      </c>
      <c r="O88" s="78">
        <v>0.35</v>
      </c>
      <c r="P88" s="79">
        <f>Table47[[#This Row],[Expected Revenue]]*Table47[[#This Row],[Expected CMR]]</f>
        <v>3500</v>
      </c>
      <c r="Q88" s="209"/>
    </row>
    <row r="89" spans="1:17" hidden="1">
      <c r="A89" s="173" t="s">
        <v>3023</v>
      </c>
      <c r="B89" s="76" t="s">
        <v>296</v>
      </c>
      <c r="C89" s="77"/>
      <c r="D89" s="102"/>
      <c r="E89" s="77" t="s">
        <v>251</v>
      </c>
      <c r="F89" s="77"/>
      <c r="G89" s="77"/>
      <c r="H89" s="77" t="s">
        <v>296</v>
      </c>
      <c r="I89" s="76"/>
      <c r="J89" s="110" t="s">
        <v>93</v>
      </c>
      <c r="K89" s="77">
        <v>2019</v>
      </c>
      <c r="L89" s="78">
        <v>1</v>
      </c>
      <c r="M89" s="79">
        <v>100000</v>
      </c>
      <c r="N89" s="86">
        <f>Table47[[#This Row],[Expected Revenue]]*Table47[[#This Row],[Probability]]</f>
        <v>100000</v>
      </c>
      <c r="O89" s="78">
        <v>0.3</v>
      </c>
      <c r="P89" s="86">
        <f>Table47[[#This Row],[Expected Revenue]]*Table47[[#This Row],[Expected CMR]]</f>
        <v>30000</v>
      </c>
      <c r="Q89" s="210"/>
    </row>
    <row r="90" spans="1:17" hidden="1">
      <c r="A90" s="75" t="s">
        <v>3029</v>
      </c>
      <c r="B90" s="76" t="s">
        <v>156</v>
      </c>
      <c r="C90" s="77" t="s">
        <v>157</v>
      </c>
      <c r="D90" s="102" t="s">
        <v>239</v>
      </c>
      <c r="E90" s="77" t="s">
        <v>62</v>
      </c>
      <c r="F90" s="77" t="s">
        <v>58</v>
      </c>
      <c r="G90" s="77" t="s">
        <v>65</v>
      </c>
      <c r="H90" s="77" t="s">
        <v>290</v>
      </c>
      <c r="I90" s="77"/>
      <c r="J90" s="110" t="s">
        <v>93</v>
      </c>
      <c r="K90" s="77">
        <v>2019</v>
      </c>
      <c r="L90" s="78">
        <v>1</v>
      </c>
      <c r="M90" s="79">
        <v>30000</v>
      </c>
      <c r="N90" s="79">
        <f>Table47[[#This Row],[Expected Revenue]]*Table47[[#This Row],[Probability]]</f>
        <v>30000</v>
      </c>
      <c r="O90" s="78">
        <v>0.35</v>
      </c>
      <c r="P90" s="79">
        <f>Table47[[#This Row],[Expected Revenue]]*Table47[[#This Row],[Expected CMR]]</f>
        <v>10500</v>
      </c>
      <c r="Q90" s="209"/>
    </row>
    <row r="91" spans="1:17" hidden="1">
      <c r="A91" s="75" t="s">
        <v>3029</v>
      </c>
      <c r="B91" s="76" t="s">
        <v>156</v>
      </c>
      <c r="C91" s="77" t="s">
        <v>157</v>
      </c>
      <c r="D91" s="102" t="s">
        <v>239</v>
      </c>
      <c r="E91" s="77" t="s">
        <v>62</v>
      </c>
      <c r="F91" s="77" t="s">
        <v>58</v>
      </c>
      <c r="G91" s="77" t="s">
        <v>65</v>
      </c>
      <c r="H91" s="77" t="s">
        <v>290</v>
      </c>
      <c r="I91" s="77"/>
      <c r="J91" s="110" t="s">
        <v>93</v>
      </c>
      <c r="K91" s="77">
        <v>2019</v>
      </c>
      <c r="L91" s="78">
        <v>1</v>
      </c>
      <c r="M91" s="79">
        <v>30000</v>
      </c>
      <c r="N91" s="79">
        <f>Table47[[#This Row],[Expected Revenue]]*Table47[[#This Row],[Probability]]</f>
        <v>30000</v>
      </c>
      <c r="O91" s="78">
        <v>0.35</v>
      </c>
      <c r="P91" s="79">
        <f>Table47[[#This Row],[Expected Revenue]]*Table47[[#This Row],[Expected CMR]]</f>
        <v>10500</v>
      </c>
      <c r="Q91" s="209"/>
    </row>
    <row r="92" spans="1:17" hidden="1">
      <c r="A92" s="173" t="s">
        <v>3083</v>
      </c>
      <c r="B92" s="76" t="s">
        <v>235</v>
      </c>
      <c r="C92" s="77" t="s">
        <v>57</v>
      </c>
      <c r="D92" s="102" t="s">
        <v>236</v>
      </c>
      <c r="E92" s="77" t="s">
        <v>209</v>
      </c>
      <c r="F92" s="77" t="s">
        <v>58</v>
      </c>
      <c r="G92" s="77" t="s">
        <v>65</v>
      </c>
      <c r="H92" s="77" t="s">
        <v>290</v>
      </c>
      <c r="I92" s="76"/>
      <c r="J92" s="110" t="s">
        <v>93</v>
      </c>
      <c r="K92" s="77">
        <v>2019</v>
      </c>
      <c r="L92" s="78">
        <v>1</v>
      </c>
      <c r="M92" s="79">
        <v>50000</v>
      </c>
      <c r="N92" s="86">
        <f>Table47[[#This Row],[Expected Revenue]]*Table47[[#This Row],[Probability]]</f>
        <v>50000</v>
      </c>
      <c r="O92" s="154">
        <v>0.3</v>
      </c>
      <c r="P92" s="86">
        <f>Table47[[#This Row],[Expected Revenue]]*Table47[[#This Row],[Expected CMR]]</f>
        <v>15000</v>
      </c>
      <c r="Q92" s="210"/>
    </row>
    <row r="93" spans="1:17" hidden="1">
      <c r="A93" s="75" t="s">
        <v>3038</v>
      </c>
      <c r="B93" s="76" t="s">
        <v>104</v>
      </c>
      <c r="C93" s="77" t="s">
        <v>57</v>
      </c>
      <c r="D93" s="102" t="s">
        <v>101</v>
      </c>
      <c r="E93" s="77" t="s">
        <v>92</v>
      </c>
      <c r="F93" s="77" t="s">
        <v>58</v>
      </c>
      <c r="G93" s="77" t="s">
        <v>65</v>
      </c>
      <c r="H93" s="77" t="s">
        <v>290</v>
      </c>
      <c r="I93" s="77"/>
      <c r="J93" s="110" t="s">
        <v>68</v>
      </c>
      <c r="K93" s="77">
        <v>2019</v>
      </c>
      <c r="L93" s="78">
        <v>1</v>
      </c>
      <c r="M93" s="79">
        <f>75242/4</f>
        <v>18810.5</v>
      </c>
      <c r="N93" s="79">
        <f>Table47[[#This Row],[Expected Revenue]]*Table47[[#This Row],[Probability]]</f>
        <v>18810.5</v>
      </c>
      <c r="O93" s="78">
        <v>0.3</v>
      </c>
      <c r="P93" s="79">
        <f>Table47[[#This Row],[Expected Revenue]]*Table47[[#This Row],[Expected CMR]]</f>
        <v>5643.15</v>
      </c>
      <c r="Q93" s="209"/>
    </row>
    <row r="94" spans="1:17" hidden="1">
      <c r="A94" s="75" t="s">
        <v>3084</v>
      </c>
      <c r="B94" s="76" t="s">
        <v>104</v>
      </c>
      <c r="C94" s="77" t="s">
        <v>57</v>
      </c>
      <c r="D94" s="102" t="s">
        <v>1236</v>
      </c>
      <c r="E94" s="77" t="s">
        <v>92</v>
      </c>
      <c r="F94" s="77" t="s">
        <v>58</v>
      </c>
      <c r="G94" s="77" t="s">
        <v>65</v>
      </c>
      <c r="H94" s="77" t="s">
        <v>290</v>
      </c>
      <c r="I94" s="77"/>
      <c r="J94" s="110" t="s">
        <v>68</v>
      </c>
      <c r="K94" s="77">
        <v>2019</v>
      </c>
      <c r="L94" s="78">
        <v>1</v>
      </c>
      <c r="M94" s="79">
        <v>27000</v>
      </c>
      <c r="N94" s="79">
        <f>Table47[[#This Row],[Expected Revenue]]*Table47[[#This Row],[Probability]]</f>
        <v>27000</v>
      </c>
      <c r="O94" s="78">
        <v>0.3</v>
      </c>
      <c r="P94" s="79">
        <f>Table47[[#This Row],[Expected Revenue]]*Table47[[#This Row],[Expected CMR]]</f>
        <v>8100</v>
      </c>
      <c r="Q94" s="209"/>
    </row>
    <row r="95" spans="1:17" hidden="1">
      <c r="A95" s="75" t="s">
        <v>3085</v>
      </c>
      <c r="B95" s="76" t="s">
        <v>104</v>
      </c>
      <c r="C95" s="77" t="s">
        <v>57</v>
      </c>
      <c r="D95" s="102" t="s">
        <v>243</v>
      </c>
      <c r="E95" s="77" t="s">
        <v>62</v>
      </c>
      <c r="F95" s="77" t="s">
        <v>58</v>
      </c>
      <c r="G95" s="77" t="s">
        <v>65</v>
      </c>
      <c r="H95" s="77" t="s">
        <v>290</v>
      </c>
      <c r="I95" s="77"/>
      <c r="J95" s="110" t="s">
        <v>93</v>
      </c>
      <c r="K95" s="77">
        <v>2019</v>
      </c>
      <c r="L95" s="78">
        <v>1</v>
      </c>
      <c r="M95" s="79">
        <v>6714</v>
      </c>
      <c r="N95" s="79">
        <f>Table47[[#This Row],[Expected Revenue]]*Table47[[#This Row],[Probability]]</f>
        <v>6714</v>
      </c>
      <c r="O95" s="78">
        <v>0.3</v>
      </c>
      <c r="P95" s="79">
        <f>Table47[[#This Row],[Expected Revenue]]*Table47[[#This Row],[Expected CMR]]</f>
        <v>2014.1999999999998</v>
      </c>
      <c r="Q95" s="209"/>
    </row>
    <row r="96" spans="1:17" hidden="1">
      <c r="A96" s="75" t="s">
        <v>3085</v>
      </c>
      <c r="B96" s="76" t="s">
        <v>104</v>
      </c>
      <c r="C96" s="77" t="s">
        <v>57</v>
      </c>
      <c r="D96" s="102" t="s">
        <v>243</v>
      </c>
      <c r="E96" s="77" t="s">
        <v>62</v>
      </c>
      <c r="F96" s="77" t="s">
        <v>58</v>
      </c>
      <c r="G96" s="77" t="s">
        <v>65</v>
      </c>
      <c r="H96" s="77" t="s">
        <v>290</v>
      </c>
      <c r="I96" s="77"/>
      <c r="J96" s="110" t="s">
        <v>93</v>
      </c>
      <c r="K96" s="77">
        <v>2019</v>
      </c>
      <c r="L96" s="78">
        <v>1</v>
      </c>
      <c r="M96" s="79">
        <v>9024</v>
      </c>
      <c r="N96" s="79">
        <f>Table47[[#This Row],[Expected Revenue]]*Table47[[#This Row],[Probability]]</f>
        <v>9024</v>
      </c>
      <c r="O96" s="78">
        <v>0.3</v>
      </c>
      <c r="P96" s="79">
        <f>Table47[[#This Row],[Expected Revenue]]*Table47[[#This Row],[Expected CMR]]</f>
        <v>2707.2</v>
      </c>
      <c r="Q96" s="209"/>
    </row>
    <row r="97" spans="1:17" hidden="1">
      <c r="A97" s="75" t="s">
        <v>3032</v>
      </c>
      <c r="B97" s="76" t="s">
        <v>73</v>
      </c>
      <c r="C97" s="77" t="s">
        <v>57</v>
      </c>
      <c r="D97" s="102" t="s">
        <v>106</v>
      </c>
      <c r="E97" s="77" t="s">
        <v>107</v>
      </c>
      <c r="F97" s="77" t="s">
        <v>58</v>
      </c>
      <c r="G97" s="77" t="s">
        <v>65</v>
      </c>
      <c r="H97" s="77" t="s">
        <v>290</v>
      </c>
      <c r="I97" s="77"/>
      <c r="J97" s="110" t="s">
        <v>93</v>
      </c>
      <c r="K97" s="77">
        <v>2019</v>
      </c>
      <c r="L97" s="78">
        <v>1</v>
      </c>
      <c r="M97" s="79">
        <v>59378</v>
      </c>
      <c r="N97" s="79">
        <f>Table47[[#This Row],[Expected Revenue]]*Table47[[#This Row],[Probability]]</f>
        <v>59378</v>
      </c>
      <c r="O97" s="78">
        <v>0.3</v>
      </c>
      <c r="P97" s="79">
        <f>Table47[[#This Row],[Expected Revenue]]*Table47[[#This Row],[Expected CMR]]</f>
        <v>17813.399999999998</v>
      </c>
      <c r="Q97" s="209"/>
    </row>
    <row r="98" spans="1:17" hidden="1">
      <c r="A98" s="75" t="s">
        <v>3048</v>
      </c>
      <c r="B98" s="76" t="s">
        <v>73</v>
      </c>
      <c r="C98" s="77" t="s">
        <v>57</v>
      </c>
      <c r="D98" s="102" t="s">
        <v>113</v>
      </c>
      <c r="E98" s="77" t="s">
        <v>62</v>
      </c>
      <c r="F98" s="77" t="s">
        <v>58</v>
      </c>
      <c r="G98" s="77" t="s">
        <v>65</v>
      </c>
      <c r="H98" s="77" t="s">
        <v>290</v>
      </c>
      <c r="I98" s="77"/>
      <c r="J98" s="110" t="s">
        <v>93</v>
      </c>
      <c r="K98" s="77">
        <v>2019</v>
      </c>
      <c r="L98" s="78">
        <v>1</v>
      </c>
      <c r="M98" s="79">
        <v>15000</v>
      </c>
      <c r="N98" s="79">
        <f>Table47[[#This Row],[Expected Revenue]]*Table47[[#This Row],[Probability]]</f>
        <v>15000</v>
      </c>
      <c r="O98" s="78">
        <v>0.3</v>
      </c>
      <c r="P98" s="79">
        <f>Table47[[#This Row],[Expected Revenue]]*Table47[[#This Row],[Expected CMR]]</f>
        <v>4500</v>
      </c>
      <c r="Q98" s="209"/>
    </row>
    <row r="99" spans="1:17" hidden="1">
      <c r="A99" s="75" t="s">
        <v>3049</v>
      </c>
      <c r="B99" s="76" t="s">
        <v>73</v>
      </c>
      <c r="C99" s="77" t="s">
        <v>57</v>
      </c>
      <c r="D99" s="102" t="s">
        <v>101</v>
      </c>
      <c r="E99" s="77" t="s">
        <v>92</v>
      </c>
      <c r="F99" s="77" t="s">
        <v>58</v>
      </c>
      <c r="G99" s="77" t="s">
        <v>65</v>
      </c>
      <c r="H99" s="77" t="s">
        <v>290</v>
      </c>
      <c r="I99" s="77"/>
      <c r="J99" s="110" t="s">
        <v>68</v>
      </c>
      <c r="K99" s="77">
        <v>2019</v>
      </c>
      <c r="L99" s="78">
        <v>1</v>
      </c>
      <c r="M99" s="79">
        <f>75242/4</f>
        <v>18810.5</v>
      </c>
      <c r="N99" s="79">
        <f>Table47[[#This Row],[Expected Revenue]]*Table47[[#This Row],[Probability]]</f>
        <v>18810.5</v>
      </c>
      <c r="O99" s="78">
        <v>0.3</v>
      </c>
      <c r="P99" s="79">
        <f>Table47[[#This Row],[Expected Revenue]]*Table47[[#This Row],[Expected CMR]]</f>
        <v>5643.15</v>
      </c>
      <c r="Q99" s="209"/>
    </row>
    <row r="100" spans="1:17" hidden="1">
      <c r="A100" s="75" t="s">
        <v>3086</v>
      </c>
      <c r="B100" s="76" t="s">
        <v>73</v>
      </c>
      <c r="C100" s="77" t="s">
        <v>57</v>
      </c>
      <c r="D100" s="102" t="s">
        <v>249</v>
      </c>
      <c r="E100" s="77" t="s">
        <v>88</v>
      </c>
      <c r="F100" s="77" t="s">
        <v>58</v>
      </c>
      <c r="G100" s="77" t="s">
        <v>65</v>
      </c>
      <c r="H100" s="77" t="s">
        <v>290</v>
      </c>
      <c r="I100" s="77"/>
      <c r="J100" s="110" t="s">
        <v>93</v>
      </c>
      <c r="K100" s="77">
        <v>2019</v>
      </c>
      <c r="L100" s="78">
        <v>1</v>
      </c>
      <c r="M100" s="79">
        <v>28009</v>
      </c>
      <c r="N100" s="79">
        <f>Table47[[#This Row],[Expected Revenue]]*Table47[[#This Row],[Probability]]</f>
        <v>28009</v>
      </c>
      <c r="O100" s="78">
        <v>0.3</v>
      </c>
      <c r="P100" s="79">
        <f>Table47[[#This Row],[Expected Revenue]]*Table47[[#This Row],[Expected CMR]]</f>
        <v>8402.6999999999989</v>
      </c>
      <c r="Q100" s="209"/>
    </row>
    <row r="101" spans="1:17" hidden="1">
      <c r="A101" s="75" t="s">
        <v>3054</v>
      </c>
      <c r="B101" s="76" t="s">
        <v>114</v>
      </c>
      <c r="C101" s="77" t="s">
        <v>57</v>
      </c>
      <c r="D101" s="102" t="s">
        <v>106</v>
      </c>
      <c r="E101" s="77" t="s">
        <v>107</v>
      </c>
      <c r="F101" s="77" t="s">
        <v>58</v>
      </c>
      <c r="G101" s="77" t="s">
        <v>65</v>
      </c>
      <c r="H101" s="77" t="s">
        <v>290</v>
      </c>
      <c r="I101" s="77"/>
      <c r="J101" s="110" t="s">
        <v>68</v>
      </c>
      <c r="K101" s="77">
        <v>2019</v>
      </c>
      <c r="L101" s="78">
        <v>1</v>
      </c>
      <c r="M101" s="79">
        <f>59378-30000</f>
        <v>29378</v>
      </c>
      <c r="N101" s="79">
        <f>Table47[[#This Row],[Expected Revenue]]*Table47[[#This Row],[Probability]]</f>
        <v>29378</v>
      </c>
      <c r="O101" s="78">
        <v>0.3</v>
      </c>
      <c r="P101" s="79">
        <f>Table47[[#This Row],[Expected Revenue]]*Table47[[#This Row],[Expected CMR]]</f>
        <v>8813.4</v>
      </c>
      <c r="Q101" s="209"/>
    </row>
    <row r="102" spans="1:17" hidden="1">
      <c r="A102" s="75" t="s">
        <v>3087</v>
      </c>
      <c r="B102" s="76" t="s">
        <v>114</v>
      </c>
      <c r="C102" s="77" t="s">
        <v>57</v>
      </c>
      <c r="D102" s="102" t="s">
        <v>112</v>
      </c>
      <c r="E102" s="77" t="s">
        <v>71</v>
      </c>
      <c r="F102" s="77" t="s">
        <v>58</v>
      </c>
      <c r="G102" s="77" t="s">
        <v>65</v>
      </c>
      <c r="H102" s="77" t="s">
        <v>290</v>
      </c>
      <c r="I102" s="77"/>
      <c r="J102" s="110" t="s">
        <v>68</v>
      </c>
      <c r="K102" s="77">
        <v>2019</v>
      </c>
      <c r="L102" s="78">
        <v>1</v>
      </c>
      <c r="M102" s="79">
        <f>30939-15000</f>
        <v>15939</v>
      </c>
      <c r="N102" s="79">
        <f>Table47[[#This Row],[Expected Revenue]]*Table47[[#This Row],[Probability]]</f>
        <v>15939</v>
      </c>
      <c r="O102" s="78">
        <v>0.3</v>
      </c>
      <c r="P102" s="79">
        <f>Table47[[#This Row],[Expected Revenue]]*Table47[[#This Row],[Expected CMR]]</f>
        <v>4781.7</v>
      </c>
      <c r="Q102" s="209"/>
    </row>
    <row r="103" spans="1:17" hidden="1">
      <c r="A103" s="75" t="s">
        <v>3039</v>
      </c>
      <c r="B103" s="76" t="s">
        <v>114</v>
      </c>
      <c r="C103" s="77" t="s">
        <v>57</v>
      </c>
      <c r="D103" s="102" t="s">
        <v>113</v>
      </c>
      <c r="E103" s="77" t="s">
        <v>62</v>
      </c>
      <c r="F103" s="77" t="s">
        <v>58</v>
      </c>
      <c r="G103" s="77" t="s">
        <v>65</v>
      </c>
      <c r="H103" s="77" t="s">
        <v>290</v>
      </c>
      <c r="I103" s="77"/>
      <c r="J103" s="110" t="s">
        <v>93</v>
      </c>
      <c r="K103" s="77">
        <v>2019</v>
      </c>
      <c r="L103" s="78">
        <v>1</v>
      </c>
      <c r="M103" s="79">
        <v>15000</v>
      </c>
      <c r="N103" s="79">
        <f>Table47[[#This Row],[Expected Revenue]]*Table47[[#This Row],[Probability]]</f>
        <v>15000</v>
      </c>
      <c r="O103" s="78">
        <v>0.3</v>
      </c>
      <c r="P103" s="79">
        <f>Table47[[#This Row],[Expected Revenue]]*Table47[[#This Row],[Expected CMR]]</f>
        <v>4500</v>
      </c>
      <c r="Q103" s="209"/>
    </row>
    <row r="104" spans="1:17" hidden="1">
      <c r="A104" s="173" t="s">
        <v>3088</v>
      </c>
      <c r="B104" s="76" t="s">
        <v>130</v>
      </c>
      <c r="C104" s="77" t="s">
        <v>57</v>
      </c>
      <c r="D104" s="102" t="s">
        <v>106</v>
      </c>
      <c r="E104" s="77" t="s">
        <v>107</v>
      </c>
      <c r="F104" s="77" t="s">
        <v>58</v>
      </c>
      <c r="G104" s="77" t="s">
        <v>65</v>
      </c>
      <c r="H104" s="77" t="s">
        <v>290</v>
      </c>
      <c r="I104" s="77"/>
      <c r="J104" s="110" t="s">
        <v>231</v>
      </c>
      <c r="K104" s="77">
        <v>2019</v>
      </c>
      <c r="L104" s="78">
        <v>1</v>
      </c>
      <c r="M104" s="79">
        <v>50150</v>
      </c>
      <c r="N104" s="79">
        <f>Table47[[#This Row],[Expected Revenue]]*Table47[[#This Row],[Probability]]</f>
        <v>50150</v>
      </c>
      <c r="O104" s="78">
        <v>0.3</v>
      </c>
      <c r="P104" s="79">
        <f>Table47[[#This Row],[Expected Revenue]]*Table47[[#This Row],[Expected CMR]]</f>
        <v>15045</v>
      </c>
      <c r="Q104" s="209"/>
    </row>
    <row r="105" spans="1:17" hidden="1">
      <c r="A105" s="75" t="s">
        <v>3061</v>
      </c>
      <c r="B105" s="76" t="s">
        <v>114</v>
      </c>
      <c r="C105" s="77" t="s">
        <v>57</v>
      </c>
      <c r="D105" s="102" t="s">
        <v>101</v>
      </c>
      <c r="E105" s="77" t="s">
        <v>92</v>
      </c>
      <c r="F105" s="77" t="s">
        <v>58</v>
      </c>
      <c r="G105" s="77" t="s">
        <v>65</v>
      </c>
      <c r="H105" s="77" t="s">
        <v>290</v>
      </c>
      <c r="I105" s="77"/>
      <c r="J105" s="110" t="s">
        <v>68</v>
      </c>
      <c r="K105" s="77">
        <v>2019</v>
      </c>
      <c r="L105" s="78">
        <v>1</v>
      </c>
      <c r="M105" s="79">
        <f>75242/4</f>
        <v>18810.5</v>
      </c>
      <c r="N105" s="79">
        <f>Table47[[#This Row],[Expected Revenue]]*Table47[[#This Row],[Probability]]</f>
        <v>18810.5</v>
      </c>
      <c r="O105" s="78">
        <v>0.3</v>
      </c>
      <c r="P105" s="79">
        <f>Table47[[#This Row],[Expected Revenue]]*Table47[[#This Row],[Expected CMR]]</f>
        <v>5643.15</v>
      </c>
      <c r="Q105" s="209"/>
    </row>
    <row r="106" spans="1:17" hidden="1">
      <c r="A106" s="75" t="s">
        <v>3089</v>
      </c>
      <c r="B106" s="76" t="s">
        <v>130</v>
      </c>
      <c r="C106" s="77" t="s">
        <v>57</v>
      </c>
      <c r="D106" s="102" t="s">
        <v>113</v>
      </c>
      <c r="E106" s="77" t="s">
        <v>62</v>
      </c>
      <c r="F106" s="77" t="s">
        <v>58</v>
      </c>
      <c r="G106" s="77" t="s">
        <v>65</v>
      </c>
      <c r="H106" s="77" t="s">
        <v>290</v>
      </c>
      <c r="I106" s="77"/>
      <c r="J106" s="110" t="s">
        <v>231</v>
      </c>
      <c r="K106" s="77">
        <v>2019</v>
      </c>
      <c r="L106" s="78">
        <v>1</v>
      </c>
      <c r="M106" s="79">
        <v>12000</v>
      </c>
      <c r="N106" s="79">
        <f>Table47[[#This Row],[Expected Revenue]]*Table47[[#This Row],[Probability]]</f>
        <v>12000</v>
      </c>
      <c r="O106" s="78">
        <v>0.3</v>
      </c>
      <c r="P106" s="79">
        <f>Table47[[#This Row],[Expected Revenue]]*Table47[[#This Row],[Expected CMR]]</f>
        <v>3600</v>
      </c>
      <c r="Q106" s="209"/>
    </row>
    <row r="107" spans="1:17" hidden="1">
      <c r="A107" s="75" t="s">
        <v>3078</v>
      </c>
      <c r="B107" s="76" t="s">
        <v>122</v>
      </c>
      <c r="C107" s="77" t="s">
        <v>57</v>
      </c>
      <c r="D107" s="102" t="s">
        <v>101</v>
      </c>
      <c r="E107" s="77" t="s">
        <v>92</v>
      </c>
      <c r="F107" s="77" t="s">
        <v>58</v>
      </c>
      <c r="G107" s="77" t="s">
        <v>65</v>
      </c>
      <c r="H107" s="77" t="s">
        <v>290</v>
      </c>
      <c r="I107" s="77"/>
      <c r="J107" s="110" t="s">
        <v>68</v>
      </c>
      <c r="K107" s="77">
        <v>2019</v>
      </c>
      <c r="L107" s="78">
        <v>1</v>
      </c>
      <c r="M107" s="79">
        <f>75242/4</f>
        <v>18810.5</v>
      </c>
      <c r="N107" s="79">
        <f>Table47[[#This Row],[Expected Revenue]]*Table47[[#This Row],[Probability]]</f>
        <v>18810.5</v>
      </c>
      <c r="O107" s="78">
        <v>0.3</v>
      </c>
      <c r="P107" s="79">
        <f>Table47[[#This Row],[Expected Revenue]]*Table47[[#This Row],[Expected CMR]]</f>
        <v>5643.15</v>
      </c>
      <c r="Q107" s="209"/>
    </row>
    <row r="108" spans="1:17" hidden="1">
      <c r="A108" s="75" t="s">
        <v>3090</v>
      </c>
      <c r="B108" s="76" t="s">
        <v>130</v>
      </c>
      <c r="C108" s="77" t="s">
        <v>57</v>
      </c>
      <c r="D108" s="102" t="s">
        <v>96</v>
      </c>
      <c r="E108" s="77" t="s">
        <v>92</v>
      </c>
      <c r="F108" s="77" t="s">
        <v>58</v>
      </c>
      <c r="G108" s="77" t="s">
        <v>65</v>
      </c>
      <c r="H108" s="77" t="s">
        <v>290</v>
      </c>
      <c r="I108" s="77"/>
      <c r="J108" s="110" t="s">
        <v>139</v>
      </c>
      <c r="K108" s="77">
        <v>2019</v>
      </c>
      <c r="L108" s="78">
        <v>1</v>
      </c>
      <c r="M108" s="79">
        <f>75242/4</f>
        <v>18810.5</v>
      </c>
      <c r="N108" s="79">
        <f>Table47[[#This Row],[Expected Revenue]]*Table47[[#This Row],[Probability]]</f>
        <v>18810.5</v>
      </c>
      <c r="O108" s="78">
        <v>0.3</v>
      </c>
      <c r="P108" s="79">
        <f>Table47[[#This Row],[Expected Revenue]]*Table47[[#This Row],[Expected CMR]]</f>
        <v>5643.15</v>
      </c>
      <c r="Q108" s="209"/>
    </row>
    <row r="109" spans="1:17" hidden="1">
      <c r="A109" s="75" t="s">
        <v>3056</v>
      </c>
      <c r="B109" s="76" t="s">
        <v>122</v>
      </c>
      <c r="C109" s="77" t="s">
        <v>57</v>
      </c>
      <c r="D109" s="102" t="s">
        <v>82</v>
      </c>
      <c r="E109" s="77" t="s">
        <v>62</v>
      </c>
      <c r="F109" s="77" t="s">
        <v>58</v>
      </c>
      <c r="G109" s="77" t="s">
        <v>65</v>
      </c>
      <c r="H109" s="77" t="s">
        <v>290</v>
      </c>
      <c r="I109" s="77"/>
      <c r="J109" s="110" t="s">
        <v>93</v>
      </c>
      <c r="K109" s="77">
        <v>2019</v>
      </c>
      <c r="L109" s="78">
        <v>1</v>
      </c>
      <c r="M109" s="79">
        <v>13900</v>
      </c>
      <c r="N109" s="79">
        <f>Table47[[#This Row],[Expected Revenue]]*Table47[[#This Row],[Probability]]</f>
        <v>13900</v>
      </c>
      <c r="O109" s="78">
        <v>0.3</v>
      </c>
      <c r="P109" s="79">
        <f>Table47[[#This Row],[Expected Revenue]]*Table47[[#This Row],[Expected CMR]]</f>
        <v>4170</v>
      </c>
      <c r="Q109" s="209"/>
    </row>
    <row r="110" spans="1:17" hidden="1">
      <c r="A110" s="75" t="s">
        <v>3090</v>
      </c>
      <c r="B110" s="76" t="s">
        <v>130</v>
      </c>
      <c r="C110" s="77" t="s">
        <v>57</v>
      </c>
      <c r="D110" s="102" t="s">
        <v>91</v>
      </c>
      <c r="E110" s="77" t="s">
        <v>92</v>
      </c>
      <c r="F110" s="77" t="s">
        <v>58</v>
      </c>
      <c r="G110" s="77" t="s">
        <v>65</v>
      </c>
      <c r="H110" s="77" t="s">
        <v>290</v>
      </c>
      <c r="I110" s="77"/>
      <c r="J110" s="110" t="s">
        <v>230</v>
      </c>
      <c r="K110" s="77">
        <v>2019</v>
      </c>
      <c r="L110" s="78">
        <v>1</v>
      </c>
      <c r="M110" s="79">
        <f>75242/4</f>
        <v>18810.5</v>
      </c>
      <c r="N110" s="79">
        <f>Table47[[#This Row],[Expected Revenue]]*Table47[[#This Row],[Probability]]</f>
        <v>18810.5</v>
      </c>
      <c r="O110" s="78">
        <v>0.3</v>
      </c>
      <c r="P110" s="79">
        <f>Table47[[#This Row],[Expected Revenue]]*Table47[[#This Row],[Expected CMR]]</f>
        <v>5643.15</v>
      </c>
      <c r="Q110" s="209"/>
    </row>
    <row r="111" spans="1:17" hidden="1">
      <c r="A111" s="75" t="s">
        <v>3090</v>
      </c>
      <c r="B111" s="76" t="s">
        <v>130</v>
      </c>
      <c r="C111" s="77" t="s">
        <v>57</v>
      </c>
      <c r="D111" s="102" t="s">
        <v>97</v>
      </c>
      <c r="E111" s="77" t="s">
        <v>92</v>
      </c>
      <c r="F111" s="77" t="s">
        <v>58</v>
      </c>
      <c r="G111" s="77" t="s">
        <v>65</v>
      </c>
      <c r="H111" s="77" t="s">
        <v>290</v>
      </c>
      <c r="I111" s="77"/>
      <c r="J111" s="110" t="s">
        <v>229</v>
      </c>
      <c r="K111" s="77">
        <v>2019</v>
      </c>
      <c r="L111" s="78">
        <v>1</v>
      </c>
      <c r="M111" s="79">
        <f>75242/4</f>
        <v>18810.5</v>
      </c>
      <c r="N111" s="79">
        <f>Table47[[#This Row],[Expected Revenue]]*Table47[[#This Row],[Probability]]</f>
        <v>18810.5</v>
      </c>
      <c r="O111" s="78">
        <v>0.3</v>
      </c>
      <c r="P111" s="79">
        <f>Table47[[#This Row],[Expected Revenue]]*Table47[[#This Row],[Expected CMR]]</f>
        <v>5643.15</v>
      </c>
      <c r="Q111" s="209"/>
    </row>
    <row r="112" spans="1:17" hidden="1">
      <c r="A112" s="75" t="s">
        <v>3088</v>
      </c>
      <c r="B112" s="76" t="s">
        <v>130</v>
      </c>
      <c r="C112" s="77" t="s">
        <v>57</v>
      </c>
      <c r="D112" s="102" t="s">
        <v>106</v>
      </c>
      <c r="E112" s="77" t="s">
        <v>107</v>
      </c>
      <c r="F112" s="77" t="s">
        <v>58</v>
      </c>
      <c r="G112" s="77" t="s">
        <v>65</v>
      </c>
      <c r="H112" s="77" t="s">
        <v>290</v>
      </c>
      <c r="I112" s="77"/>
      <c r="J112" s="110" t="s">
        <v>68</v>
      </c>
      <c r="K112" s="77">
        <v>2019</v>
      </c>
      <c r="L112" s="78">
        <v>1</v>
      </c>
      <c r="M112" s="79">
        <v>9000</v>
      </c>
      <c r="N112" s="79">
        <f>Table47[[#This Row],[Expected Revenue]]*Table47[[#This Row],[Probability]]</f>
        <v>9000</v>
      </c>
      <c r="O112" s="78">
        <v>0.3</v>
      </c>
      <c r="P112" s="79">
        <f>Table47[[#This Row],[Expected Revenue]]*Table47[[#This Row],[Expected CMR]]</f>
        <v>2700</v>
      </c>
      <c r="Q112" s="209"/>
    </row>
    <row r="113" spans="1:17" hidden="1">
      <c r="A113" s="75" t="s">
        <v>3091</v>
      </c>
      <c r="B113" s="76" t="s">
        <v>130</v>
      </c>
      <c r="C113" s="77" t="s">
        <v>57</v>
      </c>
      <c r="D113" s="102" t="s">
        <v>82</v>
      </c>
      <c r="E113" s="77" t="s">
        <v>62</v>
      </c>
      <c r="F113" s="77" t="s">
        <v>58</v>
      </c>
      <c r="G113" s="77" t="s">
        <v>65</v>
      </c>
      <c r="H113" s="77" t="s">
        <v>290</v>
      </c>
      <c r="I113" s="77"/>
      <c r="J113" s="110" t="s">
        <v>231</v>
      </c>
      <c r="K113" s="77">
        <v>2019</v>
      </c>
      <c r="L113" s="78">
        <v>1</v>
      </c>
      <c r="M113" s="79">
        <v>13900</v>
      </c>
      <c r="N113" s="79">
        <f>Table47[[#This Row],[Expected Revenue]]*Table47[[#This Row],[Probability]]</f>
        <v>13900</v>
      </c>
      <c r="O113" s="78">
        <v>0.3</v>
      </c>
      <c r="P113" s="79">
        <f>Table47[[#This Row],[Expected Revenue]]*Table47[[#This Row],[Expected CMR]]</f>
        <v>4170</v>
      </c>
      <c r="Q113" s="209"/>
    </row>
    <row r="114" spans="1:17" hidden="1">
      <c r="A114" s="75" t="s">
        <v>3089</v>
      </c>
      <c r="B114" s="76" t="s">
        <v>130</v>
      </c>
      <c r="C114" s="77" t="s">
        <v>57</v>
      </c>
      <c r="D114" s="102" t="s">
        <v>113</v>
      </c>
      <c r="E114" s="77" t="s">
        <v>62</v>
      </c>
      <c r="F114" s="77" t="s">
        <v>58</v>
      </c>
      <c r="G114" s="77" t="s">
        <v>65</v>
      </c>
      <c r="H114" s="77" t="s">
        <v>290</v>
      </c>
      <c r="I114" s="77"/>
      <c r="J114" s="110" t="s">
        <v>68</v>
      </c>
      <c r="K114" s="77">
        <v>2019</v>
      </c>
      <c r="L114" s="78">
        <v>1</v>
      </c>
      <c r="M114" s="79">
        <f>31969-12000</f>
        <v>19969</v>
      </c>
      <c r="N114" s="79">
        <f>Table47[[#This Row],[Expected Revenue]]*Table47[[#This Row],[Probability]]</f>
        <v>19969</v>
      </c>
      <c r="O114" s="78">
        <v>0.3</v>
      </c>
      <c r="P114" s="79">
        <f>Table47[[#This Row],[Expected Revenue]]*Table47[[#This Row],[Expected CMR]]</f>
        <v>5990.7</v>
      </c>
      <c r="Q114" s="209"/>
    </row>
    <row r="115" spans="1:17" hidden="1">
      <c r="A115" s="75" t="s">
        <v>3092</v>
      </c>
      <c r="B115" s="76" t="s">
        <v>137</v>
      </c>
      <c r="C115" s="77" t="s">
        <v>57</v>
      </c>
      <c r="D115" s="102" t="s">
        <v>106</v>
      </c>
      <c r="E115" s="77" t="s">
        <v>107</v>
      </c>
      <c r="F115" s="77" t="s">
        <v>58</v>
      </c>
      <c r="G115" s="77" t="s">
        <v>65</v>
      </c>
      <c r="H115" s="77" t="s">
        <v>290</v>
      </c>
      <c r="I115" s="77"/>
      <c r="J115" s="110" t="s">
        <v>139</v>
      </c>
      <c r="K115" s="77">
        <v>2019</v>
      </c>
      <c r="L115" s="78">
        <v>1</v>
      </c>
      <c r="M115" s="79">
        <v>59378</v>
      </c>
      <c r="N115" s="79">
        <f>Table47[[#This Row],[Expected Revenue]]*Table47[[#This Row],[Probability]]</f>
        <v>59378</v>
      </c>
      <c r="O115" s="78">
        <v>0.3</v>
      </c>
      <c r="P115" s="79">
        <f>Table47[[#This Row],[Expected Revenue]]*Table47[[#This Row],[Expected CMR]]</f>
        <v>17813.399999999998</v>
      </c>
      <c r="Q115" s="209"/>
    </row>
    <row r="116" spans="1:17" hidden="1">
      <c r="A116" s="75" t="s">
        <v>3093</v>
      </c>
      <c r="B116" s="76" t="s">
        <v>137</v>
      </c>
      <c r="C116" s="77" t="s">
        <v>57</v>
      </c>
      <c r="D116" s="102" t="s">
        <v>112</v>
      </c>
      <c r="E116" s="77" t="s">
        <v>71</v>
      </c>
      <c r="F116" s="77" t="s">
        <v>58</v>
      </c>
      <c r="G116" s="77" t="s">
        <v>65</v>
      </c>
      <c r="H116" s="77" t="s">
        <v>290</v>
      </c>
      <c r="I116" s="77"/>
      <c r="J116" s="110" t="s">
        <v>219</v>
      </c>
      <c r="K116" s="77">
        <v>2019</v>
      </c>
      <c r="L116" s="78">
        <v>1</v>
      </c>
      <c r="M116" s="79">
        <v>30939</v>
      </c>
      <c r="N116" s="79">
        <f>Table47[[#This Row],[Expected Revenue]]*Table47[[#This Row],[Probability]]</f>
        <v>30939</v>
      </c>
      <c r="O116" s="78">
        <v>0.3</v>
      </c>
      <c r="P116" s="79">
        <f>Table47[[#This Row],[Expected Revenue]]*Table47[[#This Row],[Expected CMR]]</f>
        <v>9281.6999999999989</v>
      </c>
      <c r="Q116" s="209"/>
    </row>
    <row r="117" spans="1:17" hidden="1">
      <c r="A117" s="75" t="s">
        <v>3094</v>
      </c>
      <c r="B117" s="76" t="s">
        <v>137</v>
      </c>
      <c r="C117" s="77" t="s">
        <v>57</v>
      </c>
      <c r="D117" s="102" t="s">
        <v>99</v>
      </c>
      <c r="E117" s="77" t="s">
        <v>92</v>
      </c>
      <c r="F117" s="77" t="s">
        <v>58</v>
      </c>
      <c r="G117" s="77" t="s">
        <v>65</v>
      </c>
      <c r="H117" s="77" t="s">
        <v>290</v>
      </c>
      <c r="I117" s="77"/>
      <c r="J117" s="110" t="s">
        <v>230</v>
      </c>
      <c r="K117" s="77">
        <v>2020</v>
      </c>
      <c r="L117" s="78">
        <v>1</v>
      </c>
      <c r="M117" s="79">
        <v>10000</v>
      </c>
      <c r="N117" s="79">
        <f>Table47[[#This Row],[Expected Revenue]]*Table47[[#This Row],[Probability]]</f>
        <v>10000</v>
      </c>
      <c r="O117" s="78">
        <v>0.3</v>
      </c>
      <c r="P117" s="79">
        <f>Table47[[#This Row],[Expected Revenue]]*Table47[[#This Row],[Expected CMR]]</f>
        <v>3000</v>
      </c>
      <c r="Q117" s="209"/>
    </row>
    <row r="118" spans="1:17" hidden="1">
      <c r="A118" s="75" t="s">
        <v>3095</v>
      </c>
      <c r="B118" s="76" t="s">
        <v>137</v>
      </c>
      <c r="C118" s="77" t="s">
        <v>57</v>
      </c>
      <c r="D118" s="102" t="s">
        <v>96</v>
      </c>
      <c r="E118" s="77" t="s">
        <v>92</v>
      </c>
      <c r="F118" s="77" t="s">
        <v>58</v>
      </c>
      <c r="G118" s="77" t="s">
        <v>65</v>
      </c>
      <c r="H118" s="77" t="s">
        <v>290</v>
      </c>
      <c r="I118" s="77"/>
      <c r="J118" s="110" t="s">
        <v>139</v>
      </c>
      <c r="K118" s="77">
        <v>2019</v>
      </c>
      <c r="L118" s="78">
        <v>1</v>
      </c>
      <c r="M118" s="79">
        <f>75242/4</f>
        <v>18810.5</v>
      </c>
      <c r="N118" s="79">
        <f>Table47[[#This Row],[Expected Revenue]]*Table47[[#This Row],[Probability]]</f>
        <v>18810.5</v>
      </c>
      <c r="O118" s="78">
        <v>0.3</v>
      </c>
      <c r="P118" s="79">
        <f>Table47[[#This Row],[Expected Revenue]]*Table47[[#This Row],[Expected CMR]]</f>
        <v>5643.15</v>
      </c>
      <c r="Q118" s="209"/>
    </row>
    <row r="119" spans="1:17" hidden="1">
      <c r="A119" s="75" t="s">
        <v>3095</v>
      </c>
      <c r="B119" s="76" t="s">
        <v>137</v>
      </c>
      <c r="C119" s="77" t="s">
        <v>57</v>
      </c>
      <c r="D119" s="102" t="s">
        <v>97</v>
      </c>
      <c r="E119" s="77" t="s">
        <v>92</v>
      </c>
      <c r="F119" s="77" t="s">
        <v>58</v>
      </c>
      <c r="G119" s="77" t="s">
        <v>65</v>
      </c>
      <c r="H119" s="77" t="s">
        <v>290</v>
      </c>
      <c r="I119" s="77"/>
      <c r="J119" s="110" t="s">
        <v>84</v>
      </c>
      <c r="K119" s="77">
        <v>2019</v>
      </c>
      <c r="L119" s="78">
        <v>1</v>
      </c>
      <c r="M119" s="79">
        <f>75242/4-M118</f>
        <v>0</v>
      </c>
      <c r="N119" s="79">
        <f>Table47[[#This Row],[Expected Revenue]]*Table47[[#This Row],[Probability]]</f>
        <v>0</v>
      </c>
      <c r="O119" s="78">
        <v>0.3</v>
      </c>
      <c r="P119" s="79">
        <f>Table47[[#This Row],[Expected Revenue]]*Table47[[#This Row],[Expected CMR]]</f>
        <v>0</v>
      </c>
      <c r="Q119" s="209"/>
    </row>
    <row r="120" spans="1:17" hidden="1">
      <c r="A120" s="75" t="s">
        <v>3090</v>
      </c>
      <c r="B120" s="76" t="s">
        <v>130</v>
      </c>
      <c r="C120" s="77" t="s">
        <v>57</v>
      </c>
      <c r="D120" s="102" t="s">
        <v>101</v>
      </c>
      <c r="E120" s="77" t="s">
        <v>92</v>
      </c>
      <c r="F120" s="77" t="s">
        <v>58</v>
      </c>
      <c r="G120" s="77" t="s">
        <v>65</v>
      </c>
      <c r="H120" s="77" t="s">
        <v>290</v>
      </c>
      <c r="I120" s="77"/>
      <c r="J120" s="110" t="s">
        <v>68</v>
      </c>
      <c r="K120" s="77">
        <v>2019</v>
      </c>
      <c r="L120" s="78">
        <v>1</v>
      </c>
      <c r="M120" s="79">
        <f>(75242/4)-2000</f>
        <v>16810.5</v>
      </c>
      <c r="N120" s="79">
        <f>Table47[[#This Row],[Expected Revenue]]*Table47[[#This Row],[Probability]]</f>
        <v>16810.5</v>
      </c>
      <c r="O120" s="78">
        <v>0.3</v>
      </c>
      <c r="P120" s="79">
        <f>Table47[[#This Row],[Expected Revenue]]*Table47[[#This Row],[Expected CMR]]</f>
        <v>5043.1499999999996</v>
      </c>
      <c r="Q120" s="209"/>
    </row>
    <row r="121" spans="1:17" hidden="1">
      <c r="A121" s="75" t="s">
        <v>3095</v>
      </c>
      <c r="B121" s="76" t="s">
        <v>137</v>
      </c>
      <c r="C121" s="77" t="s">
        <v>57</v>
      </c>
      <c r="D121" s="102" t="s">
        <v>97</v>
      </c>
      <c r="E121" s="77" t="s">
        <v>92</v>
      </c>
      <c r="F121" s="77" t="s">
        <v>58</v>
      </c>
      <c r="G121" s="77" t="s">
        <v>65</v>
      </c>
      <c r="H121" s="77" t="s">
        <v>290</v>
      </c>
      <c r="I121" s="77"/>
      <c r="J121" s="110" t="s">
        <v>219</v>
      </c>
      <c r="K121" s="77">
        <v>2019</v>
      </c>
      <c r="L121" s="78">
        <v>1</v>
      </c>
      <c r="M121" s="79">
        <v>10000</v>
      </c>
      <c r="N121" s="79">
        <f>Table47[[#This Row],[Expected Revenue]]*Table47[[#This Row],[Probability]]</f>
        <v>10000</v>
      </c>
      <c r="O121" s="78">
        <v>0.3</v>
      </c>
      <c r="P121" s="79">
        <f>Table47[[#This Row],[Expected Revenue]]*Table47[[#This Row],[Expected CMR]]</f>
        <v>3000</v>
      </c>
      <c r="Q121" s="209"/>
    </row>
    <row r="122" spans="1:17" hidden="1">
      <c r="A122" s="75" t="s">
        <v>3095</v>
      </c>
      <c r="B122" s="76" t="s">
        <v>137</v>
      </c>
      <c r="C122" s="77" t="s">
        <v>57</v>
      </c>
      <c r="D122" s="102" t="s">
        <v>91</v>
      </c>
      <c r="E122" s="77" t="s">
        <v>92</v>
      </c>
      <c r="F122" s="77" t="s">
        <v>58</v>
      </c>
      <c r="G122" s="77" t="s">
        <v>65</v>
      </c>
      <c r="H122" s="77" t="s">
        <v>290</v>
      </c>
      <c r="I122" s="77"/>
      <c r="J122" s="110" t="s">
        <v>230</v>
      </c>
      <c r="K122" s="77">
        <v>2019</v>
      </c>
      <c r="L122" s="78">
        <v>1</v>
      </c>
      <c r="M122" s="79">
        <f>75242/4</f>
        <v>18810.5</v>
      </c>
      <c r="N122" s="79">
        <f>Table47[[#This Row],[Expected Revenue]]*Table47[[#This Row],[Probability]]</f>
        <v>18810.5</v>
      </c>
      <c r="O122" s="78">
        <v>0.3</v>
      </c>
      <c r="P122" s="79">
        <f>Table47[[#This Row],[Expected Revenue]]*Table47[[#This Row],[Expected CMR]]</f>
        <v>5643.15</v>
      </c>
      <c r="Q122" s="209"/>
    </row>
    <row r="123" spans="1:17" hidden="1">
      <c r="A123" s="75" t="s">
        <v>3096</v>
      </c>
      <c r="B123" s="76" t="s">
        <v>130</v>
      </c>
      <c r="C123" s="77" t="s">
        <v>57</v>
      </c>
      <c r="D123" s="102" t="s">
        <v>87</v>
      </c>
      <c r="E123" s="77" t="s">
        <v>88</v>
      </c>
      <c r="F123" s="77" t="s">
        <v>58</v>
      </c>
      <c r="G123" s="77" t="s">
        <v>65</v>
      </c>
      <c r="H123" s="77" t="s">
        <v>290</v>
      </c>
      <c r="I123" s="77"/>
      <c r="J123" s="110" t="s">
        <v>68</v>
      </c>
      <c r="K123" s="77">
        <v>2019</v>
      </c>
      <c r="L123" s="78">
        <v>1</v>
      </c>
      <c r="M123" s="79">
        <v>27816</v>
      </c>
      <c r="N123" s="79">
        <f>Table47[[#This Row],[Expected Revenue]]*Table47[[#This Row],[Probability]]</f>
        <v>27816</v>
      </c>
      <c r="O123" s="78">
        <v>0.3</v>
      </c>
      <c r="P123" s="79">
        <f>Table47[[#This Row],[Expected Revenue]]*Table47[[#This Row],[Expected CMR]]</f>
        <v>8344.7999999999993</v>
      </c>
      <c r="Q123" s="209"/>
    </row>
    <row r="124" spans="1:17" hidden="1">
      <c r="A124" s="75" t="s">
        <v>3097</v>
      </c>
      <c r="B124" s="76" t="s">
        <v>137</v>
      </c>
      <c r="C124" s="77" t="s">
        <v>57</v>
      </c>
      <c r="D124" s="102" t="s">
        <v>82</v>
      </c>
      <c r="E124" s="77" t="s">
        <v>62</v>
      </c>
      <c r="F124" s="77" t="s">
        <v>58</v>
      </c>
      <c r="G124" s="77" t="s">
        <v>65</v>
      </c>
      <c r="H124" s="77" t="s">
        <v>290</v>
      </c>
      <c r="I124" s="77"/>
      <c r="J124" s="110" t="s">
        <v>231</v>
      </c>
      <c r="K124" s="77">
        <v>2019</v>
      </c>
      <c r="L124" s="78">
        <v>1</v>
      </c>
      <c r="M124" s="79">
        <v>2300</v>
      </c>
      <c r="N124" s="79">
        <f>Table47[[#This Row],[Expected Revenue]]*Table47[[#This Row],[Probability]]</f>
        <v>2300</v>
      </c>
      <c r="O124" s="78">
        <v>0.3</v>
      </c>
      <c r="P124" s="79">
        <f>Table47[[#This Row],[Expected Revenue]]*Table47[[#This Row],[Expected CMR]]</f>
        <v>690</v>
      </c>
      <c r="Q124" s="209"/>
    </row>
    <row r="125" spans="1:17" hidden="1">
      <c r="A125" s="75" t="s">
        <v>3098</v>
      </c>
      <c r="B125" s="76" t="s">
        <v>130</v>
      </c>
      <c r="C125" s="77" t="s">
        <v>57</v>
      </c>
      <c r="D125" s="102" t="s">
        <v>252</v>
      </c>
      <c r="E125" s="77" t="s">
        <v>209</v>
      </c>
      <c r="F125" s="77" t="s">
        <v>58</v>
      </c>
      <c r="G125" s="77" t="s">
        <v>65</v>
      </c>
      <c r="H125" s="77" t="s">
        <v>290</v>
      </c>
      <c r="I125" s="77"/>
      <c r="J125" s="110" t="s">
        <v>93</v>
      </c>
      <c r="K125" s="77">
        <v>2019</v>
      </c>
      <c r="L125" s="78">
        <v>1</v>
      </c>
      <c r="M125" s="79">
        <v>20000</v>
      </c>
      <c r="N125" s="79">
        <f>Table47[[#This Row],[Expected Revenue]]*Table47[[#This Row],[Probability]]</f>
        <v>20000</v>
      </c>
      <c r="O125" s="78">
        <v>0.3</v>
      </c>
      <c r="P125" s="79">
        <f>Table47[[#This Row],[Expected Revenue]]*Table47[[#This Row],[Expected CMR]]</f>
        <v>6000</v>
      </c>
      <c r="Q125" s="209"/>
    </row>
    <row r="126" spans="1:17" hidden="1">
      <c r="A126" s="75" t="s">
        <v>3099</v>
      </c>
      <c r="B126" s="76" t="s">
        <v>137</v>
      </c>
      <c r="C126" s="77" t="s">
        <v>57</v>
      </c>
      <c r="D126" s="102" t="s">
        <v>3100</v>
      </c>
      <c r="E126" s="77" t="s">
        <v>92</v>
      </c>
      <c r="F126" s="77" t="s">
        <v>58</v>
      </c>
      <c r="G126" s="77" t="s">
        <v>65</v>
      </c>
      <c r="H126" s="77" t="s">
        <v>290</v>
      </c>
      <c r="I126" s="77"/>
      <c r="J126" s="110" t="s">
        <v>222</v>
      </c>
      <c r="K126" s="77">
        <v>2019</v>
      </c>
      <c r="L126" s="78">
        <v>1</v>
      </c>
      <c r="M126" s="79">
        <v>10000</v>
      </c>
      <c r="N126" s="79">
        <f>Table47[[#This Row],[Expected Revenue]]*Table47[[#This Row],[Probability]]</f>
        <v>10000</v>
      </c>
      <c r="O126" s="78">
        <v>0.3</v>
      </c>
      <c r="P126" s="79">
        <f>Table47[[#This Row],[Expected Revenue]]*Table47[[#This Row],[Expected CMR]]</f>
        <v>3000</v>
      </c>
      <c r="Q126" s="209"/>
    </row>
    <row r="127" spans="1:17" hidden="1">
      <c r="A127" s="75" t="s">
        <v>3101</v>
      </c>
      <c r="B127" s="76" t="s">
        <v>146</v>
      </c>
      <c r="C127" s="77" t="s">
        <v>57</v>
      </c>
      <c r="D127" s="102" t="s">
        <v>106</v>
      </c>
      <c r="E127" s="77" t="s">
        <v>107</v>
      </c>
      <c r="F127" s="77" t="s">
        <v>58</v>
      </c>
      <c r="G127" s="77" t="s">
        <v>65</v>
      </c>
      <c r="H127" s="77" t="s">
        <v>290</v>
      </c>
      <c r="I127" s="77"/>
      <c r="J127" s="172" t="s">
        <v>102</v>
      </c>
      <c r="K127" s="77">
        <v>2019</v>
      </c>
      <c r="L127" s="78">
        <v>1</v>
      </c>
      <c r="M127" s="79">
        <v>59378</v>
      </c>
      <c r="N127" s="79">
        <f>Table47[[#This Row],[Expected Revenue]]*Table47[[#This Row],[Probability]]</f>
        <v>59378</v>
      </c>
      <c r="O127" s="78">
        <v>0.3</v>
      </c>
      <c r="P127" s="79">
        <f>Table47[[#This Row],[Expected Revenue]]*Table47[[#This Row],[Expected CMR]]</f>
        <v>17813.399999999998</v>
      </c>
      <c r="Q127" s="209"/>
    </row>
    <row r="128" spans="1:17" hidden="1">
      <c r="A128" s="75" t="s">
        <v>3102</v>
      </c>
      <c r="B128" s="76" t="s">
        <v>146</v>
      </c>
      <c r="C128" s="77" t="s">
        <v>57</v>
      </c>
      <c r="D128" s="102" t="s">
        <v>112</v>
      </c>
      <c r="E128" s="77" t="s">
        <v>71</v>
      </c>
      <c r="F128" s="77" t="s">
        <v>58</v>
      </c>
      <c r="G128" s="77" t="s">
        <v>65</v>
      </c>
      <c r="H128" s="77" t="s">
        <v>290</v>
      </c>
      <c r="I128" s="77"/>
      <c r="J128" s="110" t="s">
        <v>219</v>
      </c>
      <c r="K128" s="77">
        <v>2019</v>
      </c>
      <c r="L128" s="78">
        <v>1</v>
      </c>
      <c r="M128" s="79">
        <f>-15000+30939</f>
        <v>15939</v>
      </c>
      <c r="N128" s="79">
        <f>Table47[[#This Row],[Expected Revenue]]*Table47[[#This Row],[Probability]]</f>
        <v>15939</v>
      </c>
      <c r="O128" s="78">
        <v>0.3</v>
      </c>
      <c r="P128" s="79">
        <f>Table47[[#This Row],[Expected Revenue]]*Table47[[#This Row],[Expected CMR]]</f>
        <v>4781.7</v>
      </c>
      <c r="Q128" s="209"/>
    </row>
    <row r="129" spans="1:17" hidden="1">
      <c r="A129" s="75" t="s">
        <v>3102</v>
      </c>
      <c r="B129" s="76" t="s">
        <v>146</v>
      </c>
      <c r="C129" s="77" t="s">
        <v>57</v>
      </c>
      <c r="D129" s="102" t="s">
        <v>112</v>
      </c>
      <c r="E129" s="77" t="s">
        <v>71</v>
      </c>
      <c r="F129" s="77" t="s">
        <v>58</v>
      </c>
      <c r="G129" s="77" t="s">
        <v>65</v>
      </c>
      <c r="H129" s="77" t="s">
        <v>290</v>
      </c>
      <c r="I129" s="77"/>
      <c r="J129" s="110" t="s">
        <v>222</v>
      </c>
      <c r="K129" s="77">
        <v>2019</v>
      </c>
      <c r="L129" s="78">
        <v>1</v>
      </c>
      <c r="M129" s="79">
        <v>15000</v>
      </c>
      <c r="N129" s="79">
        <f>Table47[[#This Row],[Expected Revenue]]*Table47[[#This Row],[Probability]]</f>
        <v>15000</v>
      </c>
      <c r="O129" s="78">
        <v>0.3</v>
      </c>
      <c r="P129" s="79">
        <f>Table47[[#This Row],[Expected Revenue]]*Table47[[#This Row],[Expected CMR]]</f>
        <v>4500</v>
      </c>
      <c r="Q129" s="209"/>
    </row>
    <row r="130" spans="1:17" hidden="1">
      <c r="A130" s="75" t="s">
        <v>3045</v>
      </c>
      <c r="B130" s="76" t="s">
        <v>146</v>
      </c>
      <c r="C130" s="77" t="s">
        <v>57</v>
      </c>
      <c r="D130" s="102" t="s">
        <v>113</v>
      </c>
      <c r="E130" s="77" t="s">
        <v>62</v>
      </c>
      <c r="F130" s="77" t="s">
        <v>58</v>
      </c>
      <c r="G130" s="77" t="s">
        <v>65</v>
      </c>
      <c r="H130" s="77" t="s">
        <v>290</v>
      </c>
      <c r="I130" s="77"/>
      <c r="J130" s="110" t="s">
        <v>80</v>
      </c>
      <c r="K130" s="77">
        <v>2019</v>
      </c>
      <c r="L130" s="78">
        <v>1</v>
      </c>
      <c r="M130" s="79">
        <v>31969</v>
      </c>
      <c r="N130" s="79">
        <f>Table47[[#This Row],[Expected Revenue]]*Table47[[#This Row],[Probability]]</f>
        <v>31969</v>
      </c>
      <c r="O130" s="78">
        <v>0.19</v>
      </c>
      <c r="P130" s="79">
        <f>Table47[[#This Row],[Expected Revenue]]*Table47[[#This Row],[Expected CMR]]</f>
        <v>6074.11</v>
      </c>
      <c r="Q130" s="209"/>
    </row>
    <row r="131" spans="1:17" hidden="1">
      <c r="A131" s="75" t="s">
        <v>3103</v>
      </c>
      <c r="B131" s="76" t="s">
        <v>146</v>
      </c>
      <c r="C131" s="77" t="s">
        <v>57</v>
      </c>
      <c r="D131" s="102" t="s">
        <v>97</v>
      </c>
      <c r="E131" s="77" t="s">
        <v>92</v>
      </c>
      <c r="F131" s="77" t="s">
        <v>58</v>
      </c>
      <c r="G131" s="77" t="s">
        <v>65</v>
      </c>
      <c r="H131" s="77" t="s">
        <v>290</v>
      </c>
      <c r="I131" s="77"/>
      <c r="J131" s="110" t="s">
        <v>84</v>
      </c>
      <c r="K131" s="77">
        <v>2019</v>
      </c>
      <c r="L131" s="78">
        <v>1</v>
      </c>
      <c r="M131" s="79">
        <f>75242/4</f>
        <v>18810.5</v>
      </c>
      <c r="N131" s="79">
        <f>Table47[[#This Row],[Expected Revenue]]*Table47[[#This Row],[Probability]]</f>
        <v>18810.5</v>
      </c>
      <c r="O131" s="78">
        <v>0.3</v>
      </c>
      <c r="P131" s="79">
        <f>Table47[[#This Row],[Expected Revenue]]*Table47[[#This Row],[Expected CMR]]</f>
        <v>5643.15</v>
      </c>
      <c r="Q131" s="209"/>
    </row>
    <row r="132" spans="1:17" hidden="1">
      <c r="A132" s="75" t="s">
        <v>3095</v>
      </c>
      <c r="B132" s="76" t="s">
        <v>137</v>
      </c>
      <c r="C132" s="77" t="s">
        <v>57</v>
      </c>
      <c r="D132" s="102" t="s">
        <v>101</v>
      </c>
      <c r="E132" s="77" t="s">
        <v>92</v>
      </c>
      <c r="F132" s="77" t="s">
        <v>58</v>
      </c>
      <c r="G132" s="77" t="s">
        <v>65</v>
      </c>
      <c r="H132" s="77" t="s">
        <v>290</v>
      </c>
      <c r="I132" s="77"/>
      <c r="J132" s="110" t="s">
        <v>68</v>
      </c>
      <c r="K132" s="77">
        <v>2019</v>
      </c>
      <c r="L132" s="78">
        <v>1</v>
      </c>
      <c r="M132" s="79">
        <v>3800</v>
      </c>
      <c r="N132" s="79">
        <f>Table47[[#This Row],[Expected Revenue]]*Table47[[#This Row],[Probability]]</f>
        <v>3800</v>
      </c>
      <c r="O132" s="78">
        <v>0.3</v>
      </c>
      <c r="P132" s="79">
        <f>Table47[[#This Row],[Expected Revenue]]*Table47[[#This Row],[Expected CMR]]</f>
        <v>1140</v>
      </c>
      <c r="Q132" s="209"/>
    </row>
    <row r="133" spans="1:17" hidden="1">
      <c r="A133" s="75" t="s">
        <v>3103</v>
      </c>
      <c r="B133" s="76" t="s">
        <v>146</v>
      </c>
      <c r="C133" s="77" t="s">
        <v>57</v>
      </c>
      <c r="D133" s="102" t="s">
        <v>96</v>
      </c>
      <c r="E133" s="77" t="s">
        <v>92</v>
      </c>
      <c r="F133" s="77" t="s">
        <v>58</v>
      </c>
      <c r="G133" s="77" t="s">
        <v>65</v>
      </c>
      <c r="H133" s="77" t="s">
        <v>290</v>
      </c>
      <c r="I133" s="77"/>
      <c r="J133" s="110" t="s">
        <v>222</v>
      </c>
      <c r="K133" s="77">
        <v>2019</v>
      </c>
      <c r="L133" s="78">
        <v>1</v>
      </c>
      <c r="M133" s="79">
        <f>75242/4</f>
        <v>18810.5</v>
      </c>
      <c r="N133" s="79">
        <f>Table47[[#This Row],[Expected Revenue]]*Table47[[#This Row],[Probability]]</f>
        <v>18810.5</v>
      </c>
      <c r="O133" s="78">
        <v>0.3</v>
      </c>
      <c r="P133" s="79">
        <f>Table47[[#This Row],[Expected Revenue]]*Table47[[#This Row],[Expected CMR]]</f>
        <v>5643.15</v>
      </c>
      <c r="Q133" s="209"/>
    </row>
    <row r="134" spans="1:17" hidden="1">
      <c r="A134" s="75" t="s">
        <v>3103</v>
      </c>
      <c r="B134" s="76" t="s">
        <v>146</v>
      </c>
      <c r="C134" s="77" t="s">
        <v>57</v>
      </c>
      <c r="D134" s="102" t="s">
        <v>91</v>
      </c>
      <c r="E134" s="77" t="s">
        <v>92</v>
      </c>
      <c r="F134" s="77" t="s">
        <v>58</v>
      </c>
      <c r="G134" s="77" t="s">
        <v>65</v>
      </c>
      <c r="H134" s="77" t="s">
        <v>290</v>
      </c>
      <c r="I134" s="77"/>
      <c r="J134" s="110" t="s">
        <v>230</v>
      </c>
      <c r="K134" s="77">
        <v>2019</v>
      </c>
      <c r="L134" s="78">
        <v>1</v>
      </c>
      <c r="M134" s="79">
        <f>75242/4</f>
        <v>18810.5</v>
      </c>
      <c r="N134" s="79">
        <f>Table47[[#This Row],[Expected Revenue]]*Table47[[#This Row],[Probability]]</f>
        <v>18810.5</v>
      </c>
      <c r="O134" s="78">
        <v>0.3</v>
      </c>
      <c r="P134" s="79">
        <f>Table47[[#This Row],[Expected Revenue]]*Table47[[#This Row],[Expected CMR]]</f>
        <v>5643.15</v>
      </c>
      <c r="Q134" s="209"/>
    </row>
    <row r="135" spans="1:17" hidden="1">
      <c r="A135" s="75" t="s">
        <v>3104</v>
      </c>
      <c r="B135" s="76" t="s">
        <v>146</v>
      </c>
      <c r="C135" s="77" t="s">
        <v>57</v>
      </c>
      <c r="D135" s="102" t="s">
        <v>87</v>
      </c>
      <c r="E135" s="77" t="s">
        <v>88</v>
      </c>
      <c r="F135" s="77" t="s">
        <v>58</v>
      </c>
      <c r="G135" s="77" t="s">
        <v>65</v>
      </c>
      <c r="H135" s="77" t="s">
        <v>290</v>
      </c>
      <c r="I135" s="77"/>
      <c r="J135" s="110" t="s">
        <v>231</v>
      </c>
      <c r="K135" s="77">
        <v>2019</v>
      </c>
      <c r="L135" s="78">
        <v>1</v>
      </c>
      <c r="M135" s="79">
        <v>27816</v>
      </c>
      <c r="N135" s="79">
        <f>Table47[[#This Row],[Expected Revenue]]*Table47[[#This Row],[Probability]]</f>
        <v>27816</v>
      </c>
      <c r="O135" s="78">
        <v>0.59</v>
      </c>
      <c r="P135" s="79">
        <f>Table47[[#This Row],[Expected Revenue]]*Table47[[#This Row],[Expected CMR]]</f>
        <v>16411.439999999999</v>
      </c>
      <c r="Q135" s="209"/>
    </row>
    <row r="136" spans="1:17" hidden="1">
      <c r="A136" s="75" t="s">
        <v>3105</v>
      </c>
      <c r="B136" s="76" t="s">
        <v>146</v>
      </c>
      <c r="C136" s="77" t="s">
        <v>57</v>
      </c>
      <c r="D136" s="102" t="s">
        <v>82</v>
      </c>
      <c r="E136" s="77" t="s">
        <v>62</v>
      </c>
      <c r="F136" s="77" t="s">
        <v>58</v>
      </c>
      <c r="G136" s="77" t="s">
        <v>65</v>
      </c>
      <c r="H136" s="77" t="s">
        <v>290</v>
      </c>
      <c r="I136" s="77"/>
      <c r="J136" s="110" t="s">
        <v>229</v>
      </c>
      <c r="K136" s="77">
        <v>2019</v>
      </c>
      <c r="L136" s="78">
        <v>1</v>
      </c>
      <c r="M136" s="79">
        <v>13900</v>
      </c>
      <c r="N136" s="79">
        <f>Table47[[#This Row],[Expected Revenue]]*Table47[[#This Row],[Probability]]</f>
        <v>13900</v>
      </c>
      <c r="O136" s="78">
        <v>0.3</v>
      </c>
      <c r="P136" s="79">
        <f>Table47[[#This Row],[Expected Revenue]]*Table47[[#This Row],[Expected CMR]]</f>
        <v>4170</v>
      </c>
      <c r="Q136" s="209"/>
    </row>
    <row r="137" spans="1:17" hidden="1">
      <c r="A137" s="176" t="s">
        <v>3106</v>
      </c>
      <c r="B137" s="82" t="s">
        <v>137</v>
      </c>
      <c r="C137" s="77" t="s">
        <v>57</v>
      </c>
      <c r="D137" s="103" t="s">
        <v>87</v>
      </c>
      <c r="E137" s="83" t="s">
        <v>88</v>
      </c>
      <c r="F137" s="83" t="s">
        <v>58</v>
      </c>
      <c r="G137" s="83" t="s">
        <v>65</v>
      </c>
      <c r="H137" s="77" t="s">
        <v>290</v>
      </c>
      <c r="I137" s="83"/>
      <c r="J137" s="110" t="s">
        <v>93</v>
      </c>
      <c r="K137" s="83">
        <v>2019</v>
      </c>
      <c r="L137" s="84">
        <v>1</v>
      </c>
      <c r="M137" s="85">
        <v>27816</v>
      </c>
      <c r="N137" s="85">
        <f>Table47[[#This Row],[Expected Revenue]]*Table47[[#This Row],[Probability]]</f>
        <v>27816</v>
      </c>
      <c r="O137" s="84">
        <v>0.3</v>
      </c>
      <c r="P137" s="85">
        <f>Table47[[#This Row],[Expected Revenue]]*Table47[[#This Row],[Expected CMR]]</f>
        <v>8344.7999999999993</v>
      </c>
      <c r="Q137" s="209"/>
    </row>
    <row r="138" spans="1:17" hidden="1">
      <c r="A138" s="176" t="s">
        <v>3067</v>
      </c>
      <c r="B138" s="82" t="s">
        <v>146</v>
      </c>
      <c r="C138" s="77" t="s">
        <v>57</v>
      </c>
      <c r="D138" s="103" t="s">
        <v>3107</v>
      </c>
      <c r="E138" s="83" t="s">
        <v>209</v>
      </c>
      <c r="F138" s="83" t="s">
        <v>58</v>
      </c>
      <c r="G138" s="83" t="s">
        <v>65</v>
      </c>
      <c r="H138" s="77" t="s">
        <v>290</v>
      </c>
      <c r="I138" s="83"/>
      <c r="J138" s="156" t="s">
        <v>222</v>
      </c>
      <c r="K138" s="83">
        <v>2019</v>
      </c>
      <c r="L138" s="84">
        <v>1</v>
      </c>
      <c r="M138" s="85">
        <v>12000</v>
      </c>
      <c r="N138" s="85">
        <f>Table47[[#This Row],[Expected Revenue]]*Table47[[#This Row],[Probability]]</f>
        <v>12000</v>
      </c>
      <c r="O138" s="84">
        <v>0.59</v>
      </c>
      <c r="P138" s="85">
        <f>Table47[[#This Row],[Expected Revenue]]*Table47[[#This Row],[Expected CMR]]</f>
        <v>7080</v>
      </c>
      <c r="Q138" s="209"/>
    </row>
    <row r="139" spans="1:17" hidden="1">
      <c r="A139" s="75" t="s">
        <v>3108</v>
      </c>
      <c r="B139" s="76" t="s">
        <v>117</v>
      </c>
      <c r="C139" s="77" t="s">
        <v>57</v>
      </c>
      <c r="D139" s="102" t="s">
        <v>106</v>
      </c>
      <c r="E139" s="77" t="s">
        <v>107</v>
      </c>
      <c r="F139" s="77" t="s">
        <v>58</v>
      </c>
      <c r="G139" s="77" t="s">
        <v>65</v>
      </c>
      <c r="H139" s="77" t="s">
        <v>290</v>
      </c>
      <c r="I139" s="77"/>
      <c r="J139" s="110" t="s">
        <v>219</v>
      </c>
      <c r="K139" s="77">
        <v>2019</v>
      </c>
      <c r="L139" s="78">
        <v>1</v>
      </c>
      <c r="M139" s="79">
        <v>9318</v>
      </c>
      <c r="N139" s="79">
        <f>Table47[[#This Row],[Expected Revenue]]*Table47[[#This Row],[Probability]]</f>
        <v>9318</v>
      </c>
      <c r="O139" s="84">
        <v>0.56000000000000005</v>
      </c>
      <c r="P139" s="85">
        <f>Table47[[#This Row],[Expected Revenue]]*Table47[[#This Row],[Expected CMR]]</f>
        <v>5218.0800000000008</v>
      </c>
      <c r="Q139" s="209"/>
    </row>
    <row r="140" spans="1:17" hidden="1">
      <c r="A140" s="176" t="s">
        <v>3108</v>
      </c>
      <c r="B140" s="82" t="s">
        <v>117</v>
      </c>
      <c r="C140" s="77" t="s">
        <v>57</v>
      </c>
      <c r="D140" s="103" t="s">
        <v>106</v>
      </c>
      <c r="E140" s="83" t="s">
        <v>107</v>
      </c>
      <c r="F140" s="83" t="s">
        <v>58</v>
      </c>
      <c r="G140" s="83" t="s">
        <v>65</v>
      </c>
      <c r="H140" s="77" t="s">
        <v>290</v>
      </c>
      <c r="I140" s="83"/>
      <c r="J140" s="156" t="s">
        <v>222</v>
      </c>
      <c r="K140" s="83">
        <v>2019</v>
      </c>
      <c r="L140" s="84">
        <v>1</v>
      </c>
      <c r="M140" s="85">
        <v>50000</v>
      </c>
      <c r="N140" s="85">
        <f>Table47[[#This Row],[Expected Revenue]]*Table47[[#This Row],[Probability]]</f>
        <v>50000</v>
      </c>
      <c r="O140" s="84">
        <v>0.56000000000000005</v>
      </c>
      <c r="P140" s="85">
        <f>Table47[[#This Row],[Expected Revenue]]*Table47[[#This Row],[Expected CMR]]</f>
        <v>28000.000000000004</v>
      </c>
      <c r="Q140" s="209"/>
    </row>
    <row r="141" spans="1:17" hidden="1">
      <c r="A141" s="176" t="s">
        <v>3043</v>
      </c>
      <c r="B141" s="82" t="s">
        <v>117</v>
      </c>
      <c r="C141" s="77" t="s">
        <v>57</v>
      </c>
      <c r="D141" s="103" t="s">
        <v>112</v>
      </c>
      <c r="E141" s="83" t="s">
        <v>71</v>
      </c>
      <c r="F141" s="83" t="s">
        <v>58</v>
      </c>
      <c r="G141" s="83" t="s">
        <v>65</v>
      </c>
      <c r="H141" s="77" t="s">
        <v>290</v>
      </c>
      <c r="I141" s="83"/>
      <c r="J141" s="110" t="s">
        <v>80</v>
      </c>
      <c r="K141" s="83">
        <v>2019</v>
      </c>
      <c r="L141" s="84">
        <v>1</v>
      </c>
      <c r="M141" s="85">
        <v>15000</v>
      </c>
      <c r="N141" s="85">
        <f>Table47[[#This Row],[Expected Revenue]]*Table47[[#This Row],[Probability]]</f>
        <v>15000</v>
      </c>
      <c r="O141" s="84">
        <v>0.3</v>
      </c>
      <c r="P141" s="85">
        <f>Table47[[#This Row],[Expected Revenue]]*Table47[[#This Row],[Expected CMR]]</f>
        <v>4500</v>
      </c>
      <c r="Q141" s="209"/>
    </row>
    <row r="142" spans="1:17" hidden="1">
      <c r="A142" s="75" t="s">
        <v>3043</v>
      </c>
      <c r="B142" s="76" t="s">
        <v>117</v>
      </c>
      <c r="C142" s="77" t="s">
        <v>57</v>
      </c>
      <c r="D142" s="102" t="s">
        <v>112</v>
      </c>
      <c r="E142" s="77" t="s">
        <v>71</v>
      </c>
      <c r="F142" s="77" t="s">
        <v>58</v>
      </c>
      <c r="G142" s="77" t="s">
        <v>65</v>
      </c>
      <c r="H142" s="77" t="s">
        <v>290</v>
      </c>
      <c r="I142" s="77"/>
      <c r="J142" s="110" t="s">
        <v>230</v>
      </c>
      <c r="K142" s="77">
        <v>2019</v>
      </c>
      <c r="L142" s="78">
        <v>1</v>
      </c>
      <c r="M142" s="79">
        <f>30939-15000</f>
        <v>15939</v>
      </c>
      <c r="N142" s="79">
        <f>Table47[[#This Row],[Expected Revenue]]*Table47[[#This Row],[Probability]]</f>
        <v>15939</v>
      </c>
      <c r="O142" s="78">
        <v>0.3</v>
      </c>
      <c r="P142" s="79">
        <f>Table47[[#This Row],[Expected Revenue]]*Table47[[#This Row],[Expected CMR]]</f>
        <v>4781.7</v>
      </c>
      <c r="Q142" s="209"/>
    </row>
    <row r="143" spans="1:17" hidden="1">
      <c r="A143" s="75" t="s">
        <v>3109</v>
      </c>
      <c r="B143" s="76" t="s">
        <v>117</v>
      </c>
      <c r="C143" s="77" t="s">
        <v>57</v>
      </c>
      <c r="D143" s="102" t="s">
        <v>113</v>
      </c>
      <c r="E143" s="77" t="s">
        <v>62</v>
      </c>
      <c r="F143" s="77" t="s">
        <v>58</v>
      </c>
      <c r="G143" s="77" t="s">
        <v>65</v>
      </c>
      <c r="H143" s="77" t="s">
        <v>290</v>
      </c>
      <c r="I143" s="77"/>
      <c r="J143" s="110" t="s">
        <v>230</v>
      </c>
      <c r="K143" s="77">
        <v>2019</v>
      </c>
      <c r="L143" s="78">
        <v>1</v>
      </c>
      <c r="M143" s="79">
        <f>31969</f>
        <v>31969</v>
      </c>
      <c r="N143" s="79">
        <f>Table47[[#This Row],[Expected Revenue]]*Table47[[#This Row],[Probability]]</f>
        <v>31969</v>
      </c>
      <c r="O143" s="78">
        <v>0.3</v>
      </c>
      <c r="P143" s="79">
        <f>Table47[[#This Row],[Expected Revenue]]*Table47[[#This Row],[Expected CMR]]</f>
        <v>9590.6999999999989</v>
      </c>
      <c r="Q143" s="209"/>
    </row>
    <row r="144" spans="1:17" hidden="1">
      <c r="A144" s="75" t="s">
        <v>3110</v>
      </c>
      <c r="B144" s="76" t="s">
        <v>117</v>
      </c>
      <c r="C144" s="77" t="s">
        <v>57</v>
      </c>
      <c r="D144" s="102" t="s">
        <v>97</v>
      </c>
      <c r="E144" s="77" t="s">
        <v>92</v>
      </c>
      <c r="F144" s="77" t="s">
        <v>58</v>
      </c>
      <c r="G144" s="77" t="s">
        <v>65</v>
      </c>
      <c r="H144" s="77" t="s">
        <v>290</v>
      </c>
      <c r="I144" s="77"/>
      <c r="J144" s="110" t="s">
        <v>84</v>
      </c>
      <c r="K144" s="77">
        <v>2019</v>
      </c>
      <c r="L144" s="78">
        <v>1</v>
      </c>
      <c r="M144" s="79">
        <f>75242/4-M145</f>
        <v>-12128.5</v>
      </c>
      <c r="N144" s="79">
        <f>Table47[[#This Row],[Expected Revenue]]*Table47[[#This Row],[Probability]]</f>
        <v>-12128.5</v>
      </c>
      <c r="O144" s="78">
        <v>0.3</v>
      </c>
      <c r="P144" s="79">
        <f>Table47[[#This Row],[Expected Revenue]]*Table47[[#This Row],[Expected CMR]]</f>
        <v>-3638.5499999999997</v>
      </c>
      <c r="Q144" s="209"/>
    </row>
    <row r="145" spans="1:17" hidden="1">
      <c r="A145" s="75" t="s">
        <v>3076</v>
      </c>
      <c r="B145" s="76" t="s">
        <v>122</v>
      </c>
      <c r="C145" s="77" t="s">
        <v>57</v>
      </c>
      <c r="D145" s="102" t="s">
        <v>112</v>
      </c>
      <c r="E145" s="77" t="s">
        <v>71</v>
      </c>
      <c r="F145" s="77" t="s">
        <v>58</v>
      </c>
      <c r="G145" s="77" t="s">
        <v>65</v>
      </c>
      <c r="H145" s="77" t="s">
        <v>290</v>
      </c>
      <c r="I145" s="77"/>
      <c r="J145" s="110" t="s">
        <v>230</v>
      </c>
      <c r="K145" s="77">
        <v>2020</v>
      </c>
      <c r="L145" s="78">
        <v>1</v>
      </c>
      <c r="M145" s="79">
        <v>30939</v>
      </c>
      <c r="N145" s="79">
        <f>Table47[[#This Row],[Expected Revenue]]*Table47[[#This Row],[Probability]]</f>
        <v>30939</v>
      </c>
      <c r="O145" s="78">
        <v>0.3</v>
      </c>
      <c r="P145" s="79">
        <f>Table47[[#This Row],[Expected Revenue]]*Table47[[#This Row],[Expected CMR]]</f>
        <v>9281.6999999999989</v>
      </c>
      <c r="Q145" s="209"/>
    </row>
    <row r="146" spans="1:17" hidden="1">
      <c r="A146" s="75" t="s">
        <v>3110</v>
      </c>
      <c r="B146" s="76" t="s">
        <v>117</v>
      </c>
      <c r="C146" s="77" t="s">
        <v>57</v>
      </c>
      <c r="D146" s="102" t="s">
        <v>97</v>
      </c>
      <c r="E146" s="77" t="s">
        <v>92</v>
      </c>
      <c r="F146" s="77" t="s">
        <v>58</v>
      </c>
      <c r="G146" s="77" t="s">
        <v>65</v>
      </c>
      <c r="H146" s="77" t="s">
        <v>290</v>
      </c>
      <c r="I146" s="77"/>
      <c r="J146" s="110" t="s">
        <v>219</v>
      </c>
      <c r="K146" s="77">
        <v>2019</v>
      </c>
      <c r="L146" s="78">
        <v>1</v>
      </c>
      <c r="M146" s="79">
        <v>8000</v>
      </c>
      <c r="N146" s="79">
        <f>Table47[[#This Row],[Expected Revenue]]*Table47[[#This Row],[Probability]]</f>
        <v>8000</v>
      </c>
      <c r="O146" s="78">
        <v>0.3</v>
      </c>
      <c r="P146" s="79">
        <f>Table47[[#This Row],[Expected Revenue]]*Table47[[#This Row],[Expected CMR]]</f>
        <v>2400</v>
      </c>
      <c r="Q146" s="209"/>
    </row>
    <row r="147" spans="1:17" hidden="1">
      <c r="A147" s="75" t="s">
        <v>3110</v>
      </c>
      <c r="B147" s="76" t="s">
        <v>117</v>
      </c>
      <c r="C147" s="77" t="s">
        <v>57</v>
      </c>
      <c r="D147" s="102" t="s">
        <v>96</v>
      </c>
      <c r="E147" s="77" t="s">
        <v>92</v>
      </c>
      <c r="F147" s="77" t="s">
        <v>58</v>
      </c>
      <c r="G147" s="77" t="s">
        <v>65</v>
      </c>
      <c r="H147" s="77" t="s">
        <v>290</v>
      </c>
      <c r="I147" s="77"/>
      <c r="J147" s="110" t="s">
        <v>222</v>
      </c>
      <c r="K147" s="77">
        <v>2019</v>
      </c>
      <c r="L147" s="78">
        <v>1</v>
      </c>
      <c r="M147" s="79">
        <f>75242/4</f>
        <v>18810.5</v>
      </c>
      <c r="N147" s="79">
        <f>Table47[[#This Row],[Expected Revenue]]*Table47[[#This Row],[Probability]]</f>
        <v>18810.5</v>
      </c>
      <c r="O147" s="78">
        <v>0.3</v>
      </c>
      <c r="P147" s="79">
        <f>Table47[[#This Row],[Expected Revenue]]*Table47[[#This Row],[Expected CMR]]</f>
        <v>5643.15</v>
      </c>
      <c r="Q147" s="209"/>
    </row>
    <row r="148" spans="1:17" hidden="1">
      <c r="A148" s="75" t="s">
        <v>3110</v>
      </c>
      <c r="B148" s="76" t="s">
        <v>117</v>
      </c>
      <c r="C148" s="77" t="s">
        <v>57</v>
      </c>
      <c r="D148" s="102" t="s">
        <v>91</v>
      </c>
      <c r="E148" s="77" t="s">
        <v>92</v>
      </c>
      <c r="F148" s="77" t="s">
        <v>58</v>
      </c>
      <c r="G148" s="77" t="s">
        <v>65</v>
      </c>
      <c r="H148" s="77" t="s">
        <v>290</v>
      </c>
      <c r="I148" s="77"/>
      <c r="J148" s="110" t="s">
        <v>230</v>
      </c>
      <c r="K148" s="77">
        <v>2019</v>
      </c>
      <c r="L148" s="78">
        <v>1</v>
      </c>
      <c r="M148" s="79">
        <f>75242/4</f>
        <v>18810.5</v>
      </c>
      <c r="N148" s="79">
        <f>Table47[[#This Row],[Expected Revenue]]*Table47[[#This Row],[Probability]]</f>
        <v>18810.5</v>
      </c>
      <c r="O148" s="78">
        <v>0.3</v>
      </c>
      <c r="P148" s="79">
        <f>Table47[[#This Row],[Expected Revenue]]*Table47[[#This Row],[Expected CMR]]</f>
        <v>5643.15</v>
      </c>
      <c r="Q148" s="209"/>
    </row>
    <row r="149" spans="1:17" hidden="1">
      <c r="A149" s="75" t="s">
        <v>3103</v>
      </c>
      <c r="B149" s="76" t="s">
        <v>146</v>
      </c>
      <c r="C149" s="77" t="s">
        <v>57</v>
      </c>
      <c r="D149" s="102" t="s">
        <v>101</v>
      </c>
      <c r="E149" s="77" t="s">
        <v>92</v>
      </c>
      <c r="F149" s="77" t="s">
        <v>58</v>
      </c>
      <c r="G149" s="77" t="s">
        <v>65</v>
      </c>
      <c r="H149" s="77" t="s">
        <v>290</v>
      </c>
      <c r="I149" s="77"/>
      <c r="J149" s="110" t="s">
        <v>68</v>
      </c>
      <c r="K149" s="77">
        <v>2019</v>
      </c>
      <c r="L149" s="78">
        <v>1</v>
      </c>
      <c r="M149" s="79">
        <v>8800</v>
      </c>
      <c r="N149" s="79">
        <f>Table47[[#This Row],[Expected Revenue]]*Table47[[#This Row],[Probability]]</f>
        <v>8800</v>
      </c>
      <c r="O149" s="78">
        <v>0.3</v>
      </c>
      <c r="P149" s="79">
        <f>Table47[[#This Row],[Expected Revenue]]*Table47[[#This Row],[Expected CMR]]</f>
        <v>2640</v>
      </c>
      <c r="Q149" s="209"/>
    </row>
    <row r="150" spans="1:17" hidden="1">
      <c r="A150" s="75" t="s">
        <v>3111</v>
      </c>
      <c r="B150" s="76" t="s">
        <v>117</v>
      </c>
      <c r="C150" s="77" t="s">
        <v>57</v>
      </c>
      <c r="D150" s="102" t="s">
        <v>82</v>
      </c>
      <c r="E150" s="77" t="s">
        <v>62</v>
      </c>
      <c r="F150" s="77" t="s">
        <v>58</v>
      </c>
      <c r="G150" s="77" t="s">
        <v>65</v>
      </c>
      <c r="H150" s="77" t="s">
        <v>290</v>
      </c>
      <c r="I150" s="77"/>
      <c r="J150" s="110" t="s">
        <v>230</v>
      </c>
      <c r="K150" s="77">
        <v>2019</v>
      </c>
      <c r="L150" s="78">
        <v>1</v>
      </c>
      <c r="M150" s="79">
        <v>13900</v>
      </c>
      <c r="N150" s="79">
        <f>Table47[[#This Row],[Expected Revenue]]*Table47[[#This Row],[Probability]]</f>
        <v>13900</v>
      </c>
      <c r="O150" s="78">
        <v>0.3</v>
      </c>
      <c r="P150" s="79">
        <f>Table47[[#This Row],[Expected Revenue]]*Table47[[#This Row],[Expected CMR]]</f>
        <v>4170</v>
      </c>
      <c r="Q150" s="209"/>
    </row>
    <row r="151" spans="1:17" hidden="1">
      <c r="A151" s="75" t="s">
        <v>3112</v>
      </c>
      <c r="B151" s="76" t="s">
        <v>117</v>
      </c>
      <c r="C151" s="77" t="s">
        <v>57</v>
      </c>
      <c r="D151" s="102" t="s">
        <v>242</v>
      </c>
      <c r="E151" s="77" t="s">
        <v>92</v>
      </c>
      <c r="F151" s="77" t="s">
        <v>58</v>
      </c>
      <c r="G151" s="77" t="s">
        <v>65</v>
      </c>
      <c r="H151" s="77" t="s">
        <v>290</v>
      </c>
      <c r="I151" s="77"/>
      <c r="J151" s="110" t="s">
        <v>139</v>
      </c>
      <c r="K151" s="77">
        <v>2019</v>
      </c>
      <c r="L151" s="78">
        <v>1</v>
      </c>
      <c r="M151" s="79">
        <v>35000</v>
      </c>
      <c r="N151" s="79">
        <f>Table47[[#This Row],[Expected Revenue]]*Table47[[#This Row],[Probability]]</f>
        <v>35000</v>
      </c>
      <c r="O151" s="78">
        <v>0.3</v>
      </c>
      <c r="P151" s="79">
        <f>Table47[[#This Row],[Expected Revenue]]*Table47[[#This Row],[Expected CMR]]</f>
        <v>10500</v>
      </c>
      <c r="Q151" s="209"/>
    </row>
    <row r="152" spans="1:17" hidden="1">
      <c r="A152" s="75" t="s">
        <v>3112</v>
      </c>
      <c r="B152" s="76" t="s">
        <v>117</v>
      </c>
      <c r="C152" s="77" t="s">
        <v>57</v>
      </c>
      <c r="D152" s="102" t="s">
        <v>3113</v>
      </c>
      <c r="E152" s="77" t="s">
        <v>92</v>
      </c>
      <c r="F152" s="77" t="s">
        <v>58</v>
      </c>
      <c r="G152" s="77" t="s">
        <v>65</v>
      </c>
      <c r="H152" s="77" t="s">
        <v>290</v>
      </c>
      <c r="I152" s="77"/>
      <c r="J152" s="110" t="s">
        <v>139</v>
      </c>
      <c r="K152" s="77">
        <v>2019</v>
      </c>
      <c r="L152" s="78">
        <v>1</v>
      </c>
      <c r="M152" s="79">
        <v>52000</v>
      </c>
      <c r="N152" s="79">
        <f>Table47[[#This Row],[Expected Revenue]]*Table47[[#This Row],[Probability]]</f>
        <v>52000</v>
      </c>
      <c r="O152" s="78">
        <v>0.3</v>
      </c>
      <c r="P152" s="79">
        <f>Table47[[#This Row],[Expected Revenue]]*Table47[[#This Row],[Expected CMR]]</f>
        <v>15600</v>
      </c>
      <c r="Q152" s="209"/>
    </row>
    <row r="153" spans="1:17" hidden="1">
      <c r="A153" s="75" t="s">
        <v>3114</v>
      </c>
      <c r="B153" s="76" t="s">
        <v>56</v>
      </c>
      <c r="C153" s="77" t="s">
        <v>57</v>
      </c>
      <c r="D153" s="102" t="s">
        <v>3115</v>
      </c>
      <c r="E153" s="77" t="s">
        <v>71</v>
      </c>
      <c r="F153" s="77" t="s">
        <v>58</v>
      </c>
      <c r="G153" s="77" t="s">
        <v>65</v>
      </c>
      <c r="H153" s="77" t="s">
        <v>290</v>
      </c>
      <c r="I153" s="77"/>
      <c r="J153" s="110" t="s">
        <v>231</v>
      </c>
      <c r="K153" s="77">
        <v>2019</v>
      </c>
      <c r="L153" s="78">
        <v>1</v>
      </c>
      <c r="M153" s="79">
        <v>30000</v>
      </c>
      <c r="N153" s="79">
        <f>Table47[[#This Row],[Expected Revenue]]*Table47[[#This Row],[Probability]]</f>
        <v>30000</v>
      </c>
      <c r="O153" s="78">
        <v>0.3</v>
      </c>
      <c r="P153" s="79">
        <f>Table47[[#This Row],[Expected Revenue]]*Table47[[#This Row],[Expected CMR]]</f>
        <v>9000</v>
      </c>
      <c r="Q153" s="209"/>
    </row>
    <row r="154" spans="1:17" hidden="1">
      <c r="A154" s="75" t="s">
        <v>3116</v>
      </c>
      <c r="B154" s="76" t="s">
        <v>85</v>
      </c>
      <c r="C154" s="77" t="s">
        <v>57</v>
      </c>
      <c r="D154" s="102" t="s">
        <v>3115</v>
      </c>
      <c r="E154" s="77" t="s">
        <v>71</v>
      </c>
      <c r="F154" s="77" t="s">
        <v>58</v>
      </c>
      <c r="G154" s="77" t="s">
        <v>65</v>
      </c>
      <c r="H154" s="77" t="s">
        <v>290</v>
      </c>
      <c r="I154" s="77"/>
      <c r="J154" s="110" t="s">
        <v>231</v>
      </c>
      <c r="K154" s="77">
        <v>2019</v>
      </c>
      <c r="L154" s="78">
        <v>1</v>
      </c>
      <c r="M154" s="79">
        <v>30000</v>
      </c>
      <c r="N154" s="79">
        <f>Table47[[#This Row],[Expected Revenue]]*Table47[[#This Row],[Probability]]</f>
        <v>30000</v>
      </c>
      <c r="O154" s="78">
        <v>0.3</v>
      </c>
      <c r="P154" s="79">
        <f>Table47[[#This Row],[Expected Revenue]]*Table47[[#This Row],[Expected CMR]]</f>
        <v>9000</v>
      </c>
      <c r="Q154" s="209"/>
    </row>
    <row r="155" spans="1:17" hidden="1">
      <c r="A155" s="173" t="s">
        <v>3033</v>
      </c>
      <c r="B155" s="76" t="s">
        <v>253</v>
      </c>
      <c r="C155" s="77" t="s">
        <v>254</v>
      </c>
      <c r="D155" s="102" t="s">
        <v>255</v>
      </c>
      <c r="E155" s="77" t="s">
        <v>209</v>
      </c>
      <c r="F155" s="77" t="s">
        <v>158</v>
      </c>
      <c r="G155" s="77" t="s">
        <v>65</v>
      </c>
      <c r="H155" s="77" t="s">
        <v>290</v>
      </c>
      <c r="I155" s="77"/>
      <c r="J155" s="110" t="s">
        <v>89</v>
      </c>
      <c r="K155" s="77">
        <v>2019</v>
      </c>
      <c r="L155" s="78">
        <v>1</v>
      </c>
      <c r="M155" s="79">
        <v>111000</v>
      </c>
      <c r="N155" s="79">
        <f>Table47[[#This Row],[Expected Revenue]]*Table47[[#This Row],[Probability]]</f>
        <v>111000</v>
      </c>
      <c r="O155" s="78">
        <v>0.3</v>
      </c>
      <c r="P155" s="79">
        <f>Table47[[#This Row],[Expected Revenue]]*Table47[[#This Row],[Expected CMR]]</f>
        <v>33300</v>
      </c>
      <c r="Q155" s="209"/>
    </row>
    <row r="156" spans="1:17" hidden="1">
      <c r="A156" s="173" t="s">
        <v>3025</v>
      </c>
      <c r="B156" s="76" t="s">
        <v>253</v>
      </c>
      <c r="C156" s="77" t="s">
        <v>254</v>
      </c>
      <c r="D156" s="102" t="s">
        <v>255</v>
      </c>
      <c r="E156" s="77" t="s">
        <v>209</v>
      </c>
      <c r="F156" s="77" t="s">
        <v>158</v>
      </c>
      <c r="G156" s="77" t="s">
        <v>65</v>
      </c>
      <c r="H156" s="77" t="s">
        <v>290</v>
      </c>
      <c r="I156" s="77"/>
      <c r="J156" s="110" t="s">
        <v>139</v>
      </c>
      <c r="K156" s="77">
        <v>2019</v>
      </c>
      <c r="L156" s="78">
        <v>1</v>
      </c>
      <c r="M156" s="79">
        <v>117000</v>
      </c>
      <c r="N156" s="79">
        <f>Table47[[#This Row],[Expected Revenue]]*Table47[[#This Row],[Probability]]</f>
        <v>117000</v>
      </c>
      <c r="O156" s="78">
        <v>0.3</v>
      </c>
      <c r="P156" s="79">
        <f>Table47[[#This Row],[Expected Revenue]]*Table47[[#This Row],[Expected CMR]]</f>
        <v>35100</v>
      </c>
      <c r="Q156" s="209"/>
    </row>
    <row r="157" spans="1:17" hidden="1">
      <c r="A157" s="173" t="s">
        <v>3025</v>
      </c>
      <c r="B157" s="76" t="s">
        <v>253</v>
      </c>
      <c r="C157" s="77" t="s">
        <v>254</v>
      </c>
      <c r="D157" s="102" t="s">
        <v>255</v>
      </c>
      <c r="E157" s="77" t="s">
        <v>209</v>
      </c>
      <c r="F157" s="77" t="s">
        <v>158</v>
      </c>
      <c r="G157" s="77" t="s">
        <v>256</v>
      </c>
      <c r="H157" s="77" t="s">
        <v>290</v>
      </c>
      <c r="I157" s="77"/>
      <c r="J157" s="110" t="s">
        <v>80</v>
      </c>
      <c r="K157" s="77">
        <v>2019</v>
      </c>
      <c r="L157" s="78">
        <v>1</v>
      </c>
      <c r="M157" s="79">
        <v>70000</v>
      </c>
      <c r="N157" s="79">
        <f>Table47[[#This Row],[Expected Revenue]]*Table47[[#This Row],[Probability]]</f>
        <v>70000</v>
      </c>
      <c r="O157" s="78">
        <v>0.3</v>
      </c>
      <c r="P157" s="79">
        <f>Table47[[#This Row],[Expected Revenue]]*Table47[[#This Row],[Expected CMR]]</f>
        <v>21000</v>
      </c>
      <c r="Q157" s="209"/>
    </row>
    <row r="158" spans="1:17" hidden="1">
      <c r="A158" s="75" t="s">
        <v>3067</v>
      </c>
      <c r="B158" s="76" t="s">
        <v>146</v>
      </c>
      <c r="C158" s="77" t="s">
        <v>57</v>
      </c>
      <c r="D158" s="102" t="s">
        <v>208</v>
      </c>
      <c r="E158" s="77" t="s">
        <v>209</v>
      </c>
      <c r="F158" s="77" t="s">
        <v>58</v>
      </c>
      <c r="G158" s="77" t="s">
        <v>65</v>
      </c>
      <c r="H158" s="77" t="s">
        <v>290</v>
      </c>
      <c r="I158" s="77"/>
      <c r="J158" s="110" t="s">
        <v>93</v>
      </c>
      <c r="K158" s="77">
        <v>2019</v>
      </c>
      <c r="L158" s="78">
        <v>1</v>
      </c>
      <c r="M158" s="79">
        <v>24000</v>
      </c>
      <c r="N158" s="79">
        <f>Table47[[#This Row],[Expected Revenue]]*Table47[[#This Row],[Probability]]</f>
        <v>24000</v>
      </c>
      <c r="O158" s="78">
        <v>0.59</v>
      </c>
      <c r="P158" s="79">
        <f>Table47[[#This Row],[Expected Revenue]]*Table47[[#This Row],[Expected CMR]]</f>
        <v>14160</v>
      </c>
      <c r="Q158" s="209"/>
    </row>
    <row r="159" spans="1:17" hidden="1">
      <c r="A159" s="173" t="s">
        <v>3025</v>
      </c>
      <c r="B159" s="76" t="s">
        <v>253</v>
      </c>
      <c r="C159" s="77" t="s">
        <v>254</v>
      </c>
      <c r="D159" s="102" t="s">
        <v>255</v>
      </c>
      <c r="E159" s="77" t="s">
        <v>209</v>
      </c>
      <c r="F159" s="77" t="s">
        <v>158</v>
      </c>
      <c r="G159" s="77" t="s">
        <v>256</v>
      </c>
      <c r="H159" s="77" t="s">
        <v>290</v>
      </c>
      <c r="I159" s="77"/>
      <c r="J159" s="110" t="s">
        <v>222</v>
      </c>
      <c r="K159" s="77">
        <v>2019</v>
      </c>
      <c r="L159" s="78">
        <v>1</v>
      </c>
      <c r="M159" s="79">
        <v>15000</v>
      </c>
      <c r="N159" s="79">
        <f>Table47[[#This Row],[Expected Revenue]]*Table47[[#This Row],[Probability]]</f>
        <v>15000</v>
      </c>
      <c r="O159" s="78">
        <v>0.3</v>
      </c>
      <c r="P159" s="79">
        <f>Table47[[#This Row],[Expected Revenue]]*Table47[[#This Row],[Expected CMR]]</f>
        <v>4500</v>
      </c>
      <c r="Q159" s="209"/>
    </row>
    <row r="160" spans="1:17" hidden="1">
      <c r="A160" s="173" t="s">
        <v>3025</v>
      </c>
      <c r="B160" s="76" t="s">
        <v>253</v>
      </c>
      <c r="C160" s="77" t="s">
        <v>254</v>
      </c>
      <c r="D160" s="102" t="s">
        <v>255</v>
      </c>
      <c r="E160" s="77" t="s">
        <v>209</v>
      </c>
      <c r="F160" s="77" t="s">
        <v>158</v>
      </c>
      <c r="G160" s="77" t="s">
        <v>65</v>
      </c>
      <c r="H160" s="77" t="s">
        <v>290</v>
      </c>
      <c r="I160" s="77"/>
      <c r="J160" s="110" t="s">
        <v>230</v>
      </c>
      <c r="K160" s="77">
        <v>2019</v>
      </c>
      <c r="L160" s="78">
        <v>1</v>
      </c>
      <c r="M160" s="79">
        <v>185000</v>
      </c>
      <c r="N160" s="79">
        <f>Table47[[#This Row],[Expected Revenue]]*Table47[[#This Row],[Probability]]</f>
        <v>185000</v>
      </c>
      <c r="O160" s="78">
        <v>0.3</v>
      </c>
      <c r="P160" s="79">
        <f>Table47[[#This Row],[Expected Revenue]]*Table47[[#This Row],[Expected CMR]]</f>
        <v>55500</v>
      </c>
      <c r="Q160" s="209"/>
    </row>
    <row r="161" spans="1:17" hidden="1">
      <c r="A161" s="75" t="s">
        <v>3110</v>
      </c>
      <c r="B161" s="76" t="s">
        <v>117</v>
      </c>
      <c r="C161" s="77" t="s">
        <v>57</v>
      </c>
      <c r="D161" s="102" t="s">
        <v>101</v>
      </c>
      <c r="E161" s="77" t="s">
        <v>92</v>
      </c>
      <c r="F161" s="77" t="s">
        <v>58</v>
      </c>
      <c r="G161" s="77" t="s">
        <v>65</v>
      </c>
      <c r="H161" s="77" t="s">
        <v>290</v>
      </c>
      <c r="I161" s="77"/>
      <c r="J161" s="110" t="s">
        <v>68</v>
      </c>
      <c r="K161" s="77">
        <v>2019</v>
      </c>
      <c r="L161" s="78">
        <v>1</v>
      </c>
      <c r="M161" s="79">
        <v>13000</v>
      </c>
      <c r="N161" s="79">
        <f>Table47[[#This Row],[Expected Revenue]]*Table47[[#This Row],[Probability]]</f>
        <v>13000</v>
      </c>
      <c r="O161" s="78">
        <v>0.3</v>
      </c>
      <c r="P161" s="79">
        <f>Table47[[#This Row],[Expected Revenue]]*Table47[[#This Row],[Expected CMR]]</f>
        <v>3900</v>
      </c>
      <c r="Q161" s="209"/>
    </row>
    <row r="162" spans="1:17" hidden="1">
      <c r="A162" s="173" t="s">
        <v>3025</v>
      </c>
      <c r="B162" s="76" t="s">
        <v>253</v>
      </c>
      <c r="C162" s="77" t="s">
        <v>254</v>
      </c>
      <c r="D162" s="102" t="s">
        <v>255</v>
      </c>
      <c r="E162" s="77" t="s">
        <v>209</v>
      </c>
      <c r="F162" s="77" t="s">
        <v>158</v>
      </c>
      <c r="G162" s="77" t="s">
        <v>256</v>
      </c>
      <c r="H162" s="77" t="s">
        <v>290</v>
      </c>
      <c r="I162" s="77"/>
      <c r="J162" s="110" t="s">
        <v>231</v>
      </c>
      <c r="K162" s="77">
        <v>2019</v>
      </c>
      <c r="L162" s="78">
        <v>1</v>
      </c>
      <c r="M162" s="79">
        <v>65000</v>
      </c>
      <c r="N162" s="79">
        <f>Table47[[#This Row],[Expected Revenue]]*Table47[[#This Row],[Probability]]</f>
        <v>65000</v>
      </c>
      <c r="O162" s="78">
        <v>0.3</v>
      </c>
      <c r="P162" s="79">
        <f>Table47[[#This Row],[Expected Revenue]]*Table47[[#This Row],[Expected CMR]]</f>
        <v>19500</v>
      </c>
      <c r="Q162" s="209"/>
    </row>
    <row r="163" spans="1:17" hidden="1">
      <c r="A163" s="173" t="s">
        <v>3025</v>
      </c>
      <c r="B163" s="76" t="s">
        <v>253</v>
      </c>
      <c r="C163" s="77" t="s">
        <v>254</v>
      </c>
      <c r="D163" s="102" t="s">
        <v>255</v>
      </c>
      <c r="E163" s="77" t="s">
        <v>209</v>
      </c>
      <c r="F163" s="77" t="s">
        <v>158</v>
      </c>
      <c r="G163" s="77" t="s">
        <v>256</v>
      </c>
      <c r="H163" s="77" t="s">
        <v>290</v>
      </c>
      <c r="I163" s="77"/>
      <c r="J163" s="110" t="s">
        <v>102</v>
      </c>
      <c r="K163" s="77">
        <v>2019</v>
      </c>
      <c r="L163" s="78">
        <v>1</v>
      </c>
      <c r="M163" s="79">
        <v>42000</v>
      </c>
      <c r="N163" s="79">
        <f>Table47[[#This Row],[Expected Revenue]]*Table47[[#This Row],[Probability]]</f>
        <v>42000</v>
      </c>
      <c r="O163" s="78">
        <v>0.3</v>
      </c>
      <c r="P163" s="79">
        <f>Table47[[#This Row],[Expected Revenue]]*Table47[[#This Row],[Expected CMR]]</f>
        <v>12600</v>
      </c>
      <c r="Q163" s="209"/>
    </row>
    <row r="164" spans="1:17" hidden="1">
      <c r="A164" s="173" t="s">
        <v>3117</v>
      </c>
      <c r="B164" s="76" t="s">
        <v>260</v>
      </c>
      <c r="C164" s="77" t="s">
        <v>157</v>
      </c>
      <c r="D164" s="102"/>
      <c r="E164" s="77" t="s">
        <v>209</v>
      </c>
      <c r="F164" s="77" t="s">
        <v>58</v>
      </c>
      <c r="G164" s="77" t="s">
        <v>65</v>
      </c>
      <c r="H164" s="77" t="s">
        <v>290</v>
      </c>
      <c r="I164" s="77"/>
      <c r="J164" s="110" t="s">
        <v>231</v>
      </c>
      <c r="K164" s="77">
        <v>2019</v>
      </c>
      <c r="L164" s="78">
        <v>1</v>
      </c>
      <c r="M164" s="79">
        <f>13*3*1100</f>
        <v>42900</v>
      </c>
      <c r="N164" s="79">
        <f>Table47[[#This Row],[Expected Revenue]]*Table47[[#This Row],[Probability]]</f>
        <v>42900</v>
      </c>
      <c r="O164" s="78">
        <v>0.3</v>
      </c>
      <c r="P164" s="79">
        <f>Table47[[#This Row],[Expected Revenue]]*Table47[[#This Row],[Expected CMR]]</f>
        <v>12870</v>
      </c>
      <c r="Q164" s="209"/>
    </row>
    <row r="165" spans="1:17" hidden="1">
      <c r="A165" s="173"/>
      <c r="B165" s="76" t="s">
        <v>488</v>
      </c>
      <c r="C165" s="77" t="s">
        <v>151</v>
      </c>
      <c r="D165" s="102" t="s">
        <v>152</v>
      </c>
      <c r="E165" s="77" t="s">
        <v>92</v>
      </c>
      <c r="F165" s="77" t="s">
        <v>58</v>
      </c>
      <c r="G165" s="77" t="s">
        <v>297</v>
      </c>
      <c r="H165" s="77" t="s">
        <v>297</v>
      </c>
      <c r="I165" s="77"/>
      <c r="J165" s="110" t="s">
        <v>84</v>
      </c>
      <c r="K165" s="77">
        <v>2019</v>
      </c>
      <c r="L165" s="78">
        <v>0.5</v>
      </c>
      <c r="M165" s="79">
        <v>15000</v>
      </c>
      <c r="N165" s="79">
        <f>Table47[[#This Row],[Expected Revenue]]*Table47[[#This Row],[Probability]]</f>
        <v>7500</v>
      </c>
      <c r="O165" s="78">
        <v>0.3</v>
      </c>
      <c r="P165" s="79">
        <f>Table47[[#This Row],[Expected Revenue]]*Table47[[#This Row],[Expected CMR]]</f>
        <v>4500</v>
      </c>
      <c r="Q165" s="209"/>
    </row>
    <row r="166" spans="1:17" hidden="1">
      <c r="A166" s="173"/>
      <c r="B166" s="76" t="s">
        <v>488</v>
      </c>
      <c r="C166" s="77" t="s">
        <v>151</v>
      </c>
      <c r="D166" s="102" t="s">
        <v>3118</v>
      </c>
      <c r="E166" s="77" t="s">
        <v>209</v>
      </c>
      <c r="F166" s="77" t="s">
        <v>58</v>
      </c>
      <c r="G166" s="77" t="s">
        <v>3027</v>
      </c>
      <c r="H166" s="77" t="s">
        <v>257</v>
      </c>
      <c r="I166" s="77" t="s">
        <v>3119</v>
      </c>
      <c r="J166" s="110" t="s">
        <v>219</v>
      </c>
      <c r="K166" s="77">
        <v>2019</v>
      </c>
      <c r="L166" s="78">
        <v>0.2</v>
      </c>
      <c r="M166" s="79">
        <v>0</v>
      </c>
      <c r="N166" s="79">
        <f>Table47[[#This Row],[Expected Revenue]]*Table47[[#This Row],[Probability]]</f>
        <v>0</v>
      </c>
      <c r="O166" s="78">
        <v>0.3</v>
      </c>
      <c r="P166" s="79">
        <f>Table47[[#This Row],[Expected Revenue]]*Table47[[#This Row],[Expected CMR]]</f>
        <v>0</v>
      </c>
      <c r="Q166" s="209"/>
    </row>
    <row r="167" spans="1:17" hidden="1">
      <c r="A167" s="173"/>
      <c r="B167" s="76" t="s">
        <v>487</v>
      </c>
      <c r="C167" s="77" t="s">
        <v>57</v>
      </c>
      <c r="D167" s="102" t="s">
        <v>106</v>
      </c>
      <c r="E167" s="77" t="s">
        <v>107</v>
      </c>
      <c r="F167" s="77" t="s">
        <v>58</v>
      </c>
      <c r="G167" s="77" t="s">
        <v>65</v>
      </c>
      <c r="H167" s="77" t="s">
        <v>290</v>
      </c>
      <c r="I167" s="77"/>
      <c r="J167" s="110" t="s">
        <v>219</v>
      </c>
      <c r="K167" s="77">
        <v>2019</v>
      </c>
      <c r="L167" s="78">
        <v>1</v>
      </c>
      <c r="M167" s="79">
        <v>59318</v>
      </c>
      <c r="N167" s="79">
        <f>Table47[[#This Row],[Expected Revenue]]*Table47[[#This Row],[Probability]]</f>
        <v>59318</v>
      </c>
      <c r="O167" s="78">
        <v>0.3</v>
      </c>
      <c r="P167" s="79">
        <f>Table47[[#This Row],[Expected Revenue]]*Table47[[#This Row],[Expected CMR]]</f>
        <v>17795.399999999998</v>
      </c>
      <c r="Q167" s="209"/>
    </row>
    <row r="168" spans="1:17" hidden="1">
      <c r="A168" s="173"/>
      <c r="B168" s="76" t="s">
        <v>487</v>
      </c>
      <c r="C168" s="77" t="s">
        <v>57</v>
      </c>
      <c r="D168" s="102" t="s">
        <v>1235</v>
      </c>
      <c r="E168" s="77" t="s">
        <v>62</v>
      </c>
      <c r="F168" s="77" t="s">
        <v>58</v>
      </c>
      <c r="G168" s="77" t="s">
        <v>65</v>
      </c>
      <c r="H168" s="77" t="s">
        <v>290</v>
      </c>
      <c r="I168" s="77"/>
      <c r="J168" s="110" t="s">
        <v>219</v>
      </c>
      <c r="K168" s="77">
        <v>2019</v>
      </c>
      <c r="L168" s="78">
        <v>1</v>
      </c>
      <c r="M168" s="79">
        <v>18810</v>
      </c>
      <c r="N168" s="79">
        <f>Table47[[#This Row],[Expected Revenue]]*Table47[[#This Row],[Probability]]</f>
        <v>18810</v>
      </c>
      <c r="O168" s="78">
        <v>0.3</v>
      </c>
      <c r="P168" s="79">
        <f>Table47[[#This Row],[Expected Revenue]]*Table47[[#This Row],[Expected CMR]]</f>
        <v>5643</v>
      </c>
      <c r="Q168" s="209"/>
    </row>
    <row r="169" spans="1:17" hidden="1">
      <c r="A169" s="75"/>
      <c r="B169" s="76" t="s">
        <v>73</v>
      </c>
      <c r="C169" s="77" t="s">
        <v>57</v>
      </c>
      <c r="D169" s="102" t="s">
        <v>3120</v>
      </c>
      <c r="E169" s="77" t="s">
        <v>88</v>
      </c>
      <c r="F169" s="77" t="s">
        <v>58</v>
      </c>
      <c r="G169" s="77" t="s">
        <v>3027</v>
      </c>
      <c r="H169" s="77" t="s">
        <v>257</v>
      </c>
      <c r="I169" s="77" t="s">
        <v>3121</v>
      </c>
      <c r="J169" s="110" t="s">
        <v>89</v>
      </c>
      <c r="K169" s="77">
        <v>2019</v>
      </c>
      <c r="L169" s="78">
        <v>0.1</v>
      </c>
      <c r="M169" s="79">
        <v>34890</v>
      </c>
      <c r="N169" s="79">
        <f>Table47[[#This Row],[Expected Revenue]]*Table47[[#This Row],[Probability]]</f>
        <v>3489</v>
      </c>
      <c r="O169" s="78">
        <v>0.3</v>
      </c>
      <c r="P169" s="79">
        <f>Table47[[#This Row],[Expected Revenue]]*Table47[[#This Row],[Expected CMR]]</f>
        <v>10467</v>
      </c>
      <c r="Q169" s="209"/>
    </row>
    <row r="170" spans="1:17" hidden="1">
      <c r="A170" s="75"/>
      <c r="B170" s="76" t="s">
        <v>85</v>
      </c>
      <c r="C170" s="77" t="s">
        <v>57</v>
      </c>
      <c r="D170" s="102" t="s">
        <v>3122</v>
      </c>
      <c r="E170" s="77" t="s">
        <v>62</v>
      </c>
      <c r="F170" s="77" t="s">
        <v>58</v>
      </c>
      <c r="G170" s="77" t="s">
        <v>297</v>
      </c>
      <c r="H170" s="77" t="s">
        <v>297</v>
      </c>
      <c r="I170" s="77"/>
      <c r="J170" s="110" t="s">
        <v>84</v>
      </c>
      <c r="K170" s="77">
        <v>2019</v>
      </c>
      <c r="L170" s="78">
        <v>1</v>
      </c>
      <c r="M170" s="79">
        <v>50000</v>
      </c>
      <c r="N170" s="79">
        <f>Table47[[#This Row],[Expected Revenue]]*Table47[[#This Row],[Probability]]</f>
        <v>50000</v>
      </c>
      <c r="O170" s="78">
        <v>0.3</v>
      </c>
      <c r="P170" s="79">
        <f>Table47[[#This Row],[Expected Revenue]]*Table47[[#This Row],[Expected CMR]]</f>
        <v>15000</v>
      </c>
      <c r="Q170" s="209"/>
    </row>
    <row r="171" spans="1:17" hidden="1">
      <c r="A171" s="75"/>
      <c r="B171" s="76" t="s">
        <v>85</v>
      </c>
      <c r="C171" s="77" t="s">
        <v>57</v>
      </c>
      <c r="D171" s="102" t="s">
        <v>236</v>
      </c>
      <c r="E171" s="77" t="s">
        <v>62</v>
      </c>
      <c r="F171" s="77" t="s">
        <v>58</v>
      </c>
      <c r="G171" s="77" t="s">
        <v>65</v>
      </c>
      <c r="H171" s="77" t="s">
        <v>290</v>
      </c>
      <c r="I171" s="77"/>
      <c r="J171" s="110" t="s">
        <v>219</v>
      </c>
      <c r="K171" s="77">
        <v>2019</v>
      </c>
      <c r="L171" s="78">
        <v>1</v>
      </c>
      <c r="M171" s="79">
        <v>65000</v>
      </c>
      <c r="N171" s="79">
        <f>Table47[[#This Row],[Expected Revenue]]*Table47[[#This Row],[Probability]]</f>
        <v>65000</v>
      </c>
      <c r="O171" s="78">
        <v>0.3</v>
      </c>
      <c r="P171" s="79">
        <f>Table47[[#This Row],[Expected Revenue]]*Table47[[#This Row],[Expected CMR]]</f>
        <v>19500</v>
      </c>
      <c r="Q171" s="209"/>
    </row>
    <row r="172" spans="1:17" hidden="1">
      <c r="A172" s="173"/>
      <c r="B172" s="76" t="s">
        <v>85</v>
      </c>
      <c r="C172" s="77" t="s">
        <v>57</v>
      </c>
      <c r="D172" s="102" t="s">
        <v>3123</v>
      </c>
      <c r="E172" s="77" t="s">
        <v>92</v>
      </c>
      <c r="F172" s="77" t="s">
        <v>58</v>
      </c>
      <c r="G172" s="77" t="s">
        <v>3027</v>
      </c>
      <c r="H172" s="77" t="s">
        <v>257</v>
      </c>
      <c r="I172" s="77" t="s">
        <v>3124</v>
      </c>
      <c r="J172" s="110" t="s">
        <v>219</v>
      </c>
      <c r="K172" s="77">
        <v>2019</v>
      </c>
      <c r="L172" s="78">
        <v>0.5</v>
      </c>
      <c r="M172" s="79">
        <v>10648</v>
      </c>
      <c r="N172" s="79">
        <f>Table47[[#This Row],[Expected Revenue]]*Table47[[#This Row],[Probability]]</f>
        <v>5324</v>
      </c>
      <c r="O172" s="78">
        <v>0.3</v>
      </c>
      <c r="P172" s="79">
        <f>Table47[[#This Row],[Expected Revenue]]*Table47[[#This Row],[Expected CMR]]</f>
        <v>3194.4</v>
      </c>
      <c r="Q172" s="209"/>
    </row>
    <row r="173" spans="1:17" hidden="1">
      <c r="A173" s="75"/>
      <c r="B173" s="76" t="s">
        <v>85</v>
      </c>
      <c r="C173" s="77" t="s">
        <v>57</v>
      </c>
      <c r="D173" s="102" t="s">
        <v>1235</v>
      </c>
      <c r="E173" s="77" t="s">
        <v>62</v>
      </c>
      <c r="F173" s="77" t="s">
        <v>58</v>
      </c>
      <c r="G173" s="77" t="s">
        <v>3027</v>
      </c>
      <c r="H173" s="77" t="s">
        <v>257</v>
      </c>
      <c r="I173" s="77"/>
      <c r="J173" s="110" t="s">
        <v>229</v>
      </c>
      <c r="K173" s="77">
        <v>2019</v>
      </c>
      <c r="L173" s="78">
        <v>0.5</v>
      </c>
      <c r="M173" s="79">
        <v>35000</v>
      </c>
      <c r="N173" s="79">
        <f>Table47[[#This Row],[Expected Revenue]]*Table47[[#This Row],[Probability]]</f>
        <v>17500</v>
      </c>
      <c r="O173" s="78">
        <v>0.3</v>
      </c>
      <c r="P173" s="79">
        <f>Table47[[#This Row],[Expected Revenue]]*Table47[[#This Row],[Expected CMR]]</f>
        <v>10500</v>
      </c>
      <c r="Q173" s="209"/>
    </row>
    <row r="174" spans="1:17" hidden="1">
      <c r="A174" s="75" t="s">
        <v>3125</v>
      </c>
      <c r="B174" s="76" t="s">
        <v>117</v>
      </c>
      <c r="C174" s="77" t="s">
        <v>57</v>
      </c>
      <c r="D174" s="102" t="s">
        <v>87</v>
      </c>
      <c r="E174" s="77" t="s">
        <v>88</v>
      </c>
      <c r="F174" s="77" t="s">
        <v>58</v>
      </c>
      <c r="G174" s="77" t="s">
        <v>65</v>
      </c>
      <c r="H174" s="77" t="s">
        <v>290</v>
      </c>
      <c r="I174" s="77"/>
      <c r="J174" s="110" t="s">
        <v>68</v>
      </c>
      <c r="K174" s="77">
        <v>2019</v>
      </c>
      <c r="L174" s="78">
        <v>1</v>
      </c>
      <c r="M174" s="79">
        <v>27816</v>
      </c>
      <c r="N174" s="79">
        <f>Table47[[#This Row],[Expected Revenue]]*Table47[[#This Row],[Probability]]</f>
        <v>27816</v>
      </c>
      <c r="O174" s="78">
        <v>0.59</v>
      </c>
      <c r="P174" s="79">
        <f>Table47[[#This Row],[Expected Revenue]]*Table47[[#This Row],[Expected CMR]]</f>
        <v>16411.439999999999</v>
      </c>
      <c r="Q174" s="209"/>
    </row>
    <row r="175" spans="1:17" hidden="1">
      <c r="A175" s="75"/>
      <c r="B175" s="76" t="s">
        <v>117</v>
      </c>
      <c r="C175" s="77" t="s">
        <v>57</v>
      </c>
      <c r="D175" s="102" t="s">
        <v>196</v>
      </c>
      <c r="E175" s="77" t="s">
        <v>92</v>
      </c>
      <c r="F175" s="77" t="s">
        <v>58</v>
      </c>
      <c r="G175" s="77" t="s">
        <v>65</v>
      </c>
      <c r="H175" s="77" t="s">
        <v>290</v>
      </c>
      <c r="I175" s="77"/>
      <c r="J175" s="110" t="s">
        <v>219</v>
      </c>
      <c r="K175" s="77">
        <v>2019</v>
      </c>
      <c r="L175" s="78">
        <v>1</v>
      </c>
      <c r="M175" s="79">
        <v>15000</v>
      </c>
      <c r="N175" s="79">
        <f>Table47[[#This Row],[Expected Revenue]]*Table47[[#This Row],[Probability]]</f>
        <v>15000</v>
      </c>
      <c r="O175" s="78">
        <v>0.56000000000000005</v>
      </c>
      <c r="P175" s="79">
        <f>Table47[[#This Row],[Expected Revenue]]*Table47[[#This Row],[Expected CMR]]</f>
        <v>8400</v>
      </c>
      <c r="Q175" s="209"/>
    </row>
    <row r="176" spans="1:17" hidden="1">
      <c r="A176" s="173"/>
      <c r="B176" s="76" t="s">
        <v>56</v>
      </c>
      <c r="C176" s="77" t="s">
        <v>57</v>
      </c>
      <c r="D176" s="102" t="s">
        <v>3126</v>
      </c>
      <c r="E176" s="77" t="s">
        <v>62</v>
      </c>
      <c r="F176" s="77" t="s">
        <v>58</v>
      </c>
      <c r="G176" s="77" t="s">
        <v>297</v>
      </c>
      <c r="H176" s="77" t="s">
        <v>297</v>
      </c>
      <c r="I176" s="77"/>
      <c r="J176" s="110" t="s">
        <v>84</v>
      </c>
      <c r="K176" s="77">
        <v>2019</v>
      </c>
      <c r="L176" s="78">
        <v>0.5</v>
      </c>
      <c r="M176" s="79">
        <v>58000</v>
      </c>
      <c r="N176" s="79">
        <f>Table47[[#This Row],[Expected Revenue]]*Table47[[#This Row],[Probability]]</f>
        <v>29000</v>
      </c>
      <c r="O176" s="78">
        <v>0.3</v>
      </c>
      <c r="P176" s="79">
        <f>Table47[[#This Row],[Expected Revenue]]*Table47[[#This Row],[Expected CMR]]</f>
        <v>17400</v>
      </c>
      <c r="Q176" s="209"/>
    </row>
    <row r="177" spans="1:17" hidden="1">
      <c r="A177" s="75"/>
      <c r="B177" s="76" t="s">
        <v>56</v>
      </c>
      <c r="C177" s="77" t="s">
        <v>57</v>
      </c>
      <c r="D177" s="102" t="s">
        <v>236</v>
      </c>
      <c r="E177" s="77" t="s">
        <v>62</v>
      </c>
      <c r="F177" s="77" t="s">
        <v>58</v>
      </c>
      <c r="G177" s="77" t="s">
        <v>65</v>
      </c>
      <c r="H177" s="77" t="s">
        <v>290</v>
      </c>
      <c r="I177" s="77"/>
      <c r="J177" s="110" t="s">
        <v>219</v>
      </c>
      <c r="K177" s="77">
        <v>2019</v>
      </c>
      <c r="L177" s="78">
        <v>1</v>
      </c>
      <c r="M177" s="79">
        <v>65000</v>
      </c>
      <c r="N177" s="79">
        <f>Table47[[#This Row],[Expected Revenue]]*Table47[[#This Row],[Probability]]</f>
        <v>65000</v>
      </c>
      <c r="O177" s="78">
        <v>0.3</v>
      </c>
      <c r="P177" s="79">
        <f>Table47[[#This Row],[Expected Revenue]]*Table47[[#This Row],[Expected CMR]]</f>
        <v>19500</v>
      </c>
      <c r="Q177" s="209"/>
    </row>
    <row r="178" spans="1:17" hidden="1">
      <c r="A178" s="75"/>
      <c r="B178" s="76" t="s">
        <v>56</v>
      </c>
      <c r="C178" s="77" t="s">
        <v>57</v>
      </c>
      <c r="D178" s="102" t="s">
        <v>3127</v>
      </c>
      <c r="E178" s="77" t="s">
        <v>71</v>
      </c>
      <c r="F178" s="77" t="s">
        <v>58</v>
      </c>
      <c r="G178" s="77" t="s">
        <v>3027</v>
      </c>
      <c r="H178" s="77" t="s">
        <v>290</v>
      </c>
      <c r="I178" s="77"/>
      <c r="J178" s="110" t="s">
        <v>102</v>
      </c>
      <c r="K178" s="77">
        <v>2019</v>
      </c>
      <c r="L178" s="78">
        <v>1</v>
      </c>
      <c r="M178" s="79">
        <v>95000</v>
      </c>
      <c r="N178" s="79">
        <f>Table47[[#This Row],[Expected Revenue]]*Table47[[#This Row],[Probability]]</f>
        <v>95000</v>
      </c>
      <c r="O178" s="78">
        <v>0.3</v>
      </c>
      <c r="P178" s="79">
        <f>Table47[[#This Row],[Expected Revenue]]*Table47[[#This Row],[Expected CMR]]</f>
        <v>28500</v>
      </c>
      <c r="Q178" s="209"/>
    </row>
    <row r="179" spans="1:17" hidden="1">
      <c r="A179" s="176"/>
      <c r="B179" s="76" t="s">
        <v>56</v>
      </c>
      <c r="C179" s="77" t="s">
        <v>57</v>
      </c>
      <c r="D179" s="103" t="s">
        <v>3127</v>
      </c>
      <c r="E179" s="77" t="s">
        <v>71</v>
      </c>
      <c r="F179" s="83" t="s">
        <v>58</v>
      </c>
      <c r="G179" s="83" t="s">
        <v>3027</v>
      </c>
      <c r="H179" s="77" t="s">
        <v>257</v>
      </c>
      <c r="I179" s="83"/>
      <c r="J179" s="156" t="s">
        <v>229</v>
      </c>
      <c r="K179" s="77">
        <v>2019</v>
      </c>
      <c r="L179" s="78">
        <v>1</v>
      </c>
      <c r="M179" s="79">
        <v>70000</v>
      </c>
      <c r="N179" s="85">
        <f>Table47[[#This Row],[Expected Revenue]]*Table47[[#This Row],[Probability]]</f>
        <v>70000</v>
      </c>
      <c r="O179" s="78">
        <v>0.3</v>
      </c>
      <c r="P179" s="85">
        <f>Table47[[#This Row],[Expected Revenue]]*Table47[[#This Row],[Expected CMR]]</f>
        <v>21000</v>
      </c>
      <c r="Q179" s="209"/>
    </row>
    <row r="180" spans="1:17" hidden="1">
      <c r="A180" s="174"/>
      <c r="B180" s="76" t="s">
        <v>122</v>
      </c>
      <c r="C180" s="77" t="s">
        <v>57</v>
      </c>
      <c r="D180" s="103" t="s">
        <v>3128</v>
      </c>
      <c r="E180" s="77" t="s">
        <v>92</v>
      </c>
      <c r="F180" s="83" t="s">
        <v>58</v>
      </c>
      <c r="G180" s="83" t="s">
        <v>3027</v>
      </c>
      <c r="H180" s="77" t="s">
        <v>257</v>
      </c>
      <c r="I180" s="83" t="s">
        <v>3129</v>
      </c>
      <c r="J180" s="156" t="s">
        <v>219</v>
      </c>
      <c r="K180" s="77">
        <v>2019</v>
      </c>
      <c r="L180" s="78">
        <v>0.5</v>
      </c>
      <c r="M180" s="79">
        <v>8125</v>
      </c>
      <c r="N180" s="85">
        <f>Table47[[#This Row],[Expected Revenue]]*Table47[[#This Row],[Probability]]</f>
        <v>4062.5</v>
      </c>
      <c r="O180" s="78">
        <v>0.3</v>
      </c>
      <c r="P180" s="85">
        <f>Table47[[#This Row],[Expected Revenue]]*Table47[[#This Row],[Expected CMR]]</f>
        <v>2437.5</v>
      </c>
      <c r="Q180" s="209"/>
    </row>
    <row r="181" spans="1:17" hidden="1">
      <c r="A181" s="75"/>
      <c r="B181" s="76" t="s">
        <v>146</v>
      </c>
      <c r="C181" s="77" t="s">
        <v>57</v>
      </c>
      <c r="D181" s="102" t="s">
        <v>3130</v>
      </c>
      <c r="E181" s="77" t="s">
        <v>92</v>
      </c>
      <c r="F181" s="77" t="s">
        <v>58</v>
      </c>
      <c r="G181" s="77" t="s">
        <v>65</v>
      </c>
      <c r="H181" s="77" t="s">
        <v>290</v>
      </c>
      <c r="I181" s="77"/>
      <c r="J181" s="110" t="s">
        <v>219</v>
      </c>
      <c r="K181" s="77">
        <v>2019</v>
      </c>
      <c r="L181" s="78">
        <v>1</v>
      </c>
      <c r="M181" s="79">
        <v>35000</v>
      </c>
      <c r="N181" s="79">
        <f>Table47[[#This Row],[Expected Revenue]]*Table47[[#This Row],[Probability]]</f>
        <v>35000</v>
      </c>
      <c r="O181" s="78">
        <v>0.3</v>
      </c>
      <c r="P181" s="79">
        <f>Table47[[#This Row],[Expected Revenue]]*Table47[[#This Row],[Expected CMR]]</f>
        <v>10500</v>
      </c>
      <c r="Q181" s="209"/>
    </row>
    <row r="182" spans="1:17" hidden="1">
      <c r="A182" s="173"/>
      <c r="B182" s="76" t="s">
        <v>146</v>
      </c>
      <c r="C182" s="77" t="s">
        <v>57</v>
      </c>
      <c r="D182" s="102" t="s">
        <v>273</v>
      </c>
      <c r="E182" s="77" t="s">
        <v>92</v>
      </c>
      <c r="F182" s="77" t="s">
        <v>58</v>
      </c>
      <c r="G182" s="77" t="s">
        <v>3027</v>
      </c>
      <c r="H182" s="77" t="s">
        <v>257</v>
      </c>
      <c r="I182" s="77" t="s">
        <v>3131</v>
      </c>
      <c r="J182" s="110" t="s">
        <v>219</v>
      </c>
      <c r="K182" s="77">
        <v>2019</v>
      </c>
      <c r="L182" s="78">
        <v>0.5</v>
      </c>
      <c r="M182" s="79">
        <v>10125</v>
      </c>
      <c r="N182" s="79">
        <f>Table47[[#This Row],[Expected Revenue]]*Table47[[#This Row],[Probability]]</f>
        <v>5062.5</v>
      </c>
      <c r="O182" s="78">
        <v>0.3</v>
      </c>
      <c r="P182" s="79">
        <f>Table47[[#This Row],[Expected Revenue]]*Table47[[#This Row],[Expected CMR]]</f>
        <v>3037.5</v>
      </c>
      <c r="Q182" s="209"/>
    </row>
    <row r="183" spans="1:17" hidden="1">
      <c r="A183" s="173"/>
      <c r="B183" s="76" t="s">
        <v>146</v>
      </c>
      <c r="C183" s="77" t="s">
        <v>57</v>
      </c>
      <c r="D183" s="76" t="s">
        <v>3132</v>
      </c>
      <c r="E183" s="77"/>
      <c r="F183" s="77" t="s">
        <v>58</v>
      </c>
      <c r="G183" s="77"/>
      <c r="H183" s="77" t="s">
        <v>257</v>
      </c>
      <c r="I183" s="77" t="s">
        <v>3133</v>
      </c>
      <c r="J183" s="110" t="s">
        <v>231</v>
      </c>
      <c r="K183" s="77">
        <v>2019</v>
      </c>
      <c r="L183" s="78">
        <v>0.25</v>
      </c>
      <c r="M183" s="79">
        <v>16795</v>
      </c>
      <c r="N183" s="86">
        <f>Table47[[#This Row],[Expected Revenue]]*Table47[[#This Row],[Probability]]</f>
        <v>4198.75</v>
      </c>
      <c r="O183" s="78">
        <v>0.3</v>
      </c>
      <c r="P183" s="86">
        <f>Table47[[#This Row],[Expected Revenue]]*Table47[[#This Row],[Expected CMR]]</f>
        <v>5038.5</v>
      </c>
      <c r="Q183" s="210"/>
    </row>
    <row r="184" spans="1:17" hidden="1">
      <c r="A184" s="174"/>
      <c r="B184" s="76" t="s">
        <v>486</v>
      </c>
      <c r="C184" s="77" t="s">
        <v>126</v>
      </c>
      <c r="D184" s="103" t="s">
        <v>107</v>
      </c>
      <c r="E184" s="77" t="s">
        <v>62</v>
      </c>
      <c r="F184" s="83" t="s">
        <v>58</v>
      </c>
      <c r="G184" s="83" t="s">
        <v>3027</v>
      </c>
      <c r="H184" s="77" t="s">
        <v>257</v>
      </c>
      <c r="I184" s="83" t="s">
        <v>3134</v>
      </c>
      <c r="J184" s="156" t="s">
        <v>102</v>
      </c>
      <c r="K184" s="77">
        <v>2019</v>
      </c>
      <c r="L184" s="78">
        <v>1</v>
      </c>
      <c r="M184" s="79">
        <v>12000</v>
      </c>
      <c r="N184" s="85">
        <f>Table47[[#This Row],[Expected Revenue]]*Table47[[#This Row],[Probability]]</f>
        <v>12000</v>
      </c>
      <c r="O184" s="78">
        <v>0.3</v>
      </c>
      <c r="P184" s="85">
        <f>Table47[[#This Row],[Expected Revenue]]*Table47[[#This Row],[Expected CMR]]</f>
        <v>3600</v>
      </c>
      <c r="Q184" s="209"/>
    </row>
    <row r="185" spans="1:17" hidden="1">
      <c r="A185" s="174"/>
      <c r="B185" s="76" t="s">
        <v>486</v>
      </c>
      <c r="C185" s="77" t="s">
        <v>126</v>
      </c>
      <c r="D185" s="103" t="s">
        <v>107</v>
      </c>
      <c r="E185" s="77" t="s">
        <v>62</v>
      </c>
      <c r="F185" s="83" t="s">
        <v>58</v>
      </c>
      <c r="G185" s="83" t="s">
        <v>3027</v>
      </c>
      <c r="H185" s="77" t="s">
        <v>290</v>
      </c>
      <c r="I185" s="83"/>
      <c r="J185" s="156" t="s">
        <v>102</v>
      </c>
      <c r="K185" s="77">
        <v>2019</v>
      </c>
      <c r="L185" s="78">
        <v>1</v>
      </c>
      <c r="M185" s="79">
        <v>36832</v>
      </c>
      <c r="N185" s="85">
        <f>Table47[[#This Row],[Expected Revenue]]*Table47[[#This Row],[Probability]]</f>
        <v>36832</v>
      </c>
      <c r="O185" s="78">
        <v>0.3</v>
      </c>
      <c r="P185" s="85">
        <f>Table47[[#This Row],[Expected Revenue]]*Table47[[#This Row],[Expected CMR]]</f>
        <v>11049.6</v>
      </c>
      <c r="Q185" s="209"/>
    </row>
    <row r="186" spans="1:17" hidden="1">
      <c r="A186" s="174"/>
      <c r="B186" s="82" t="s">
        <v>486</v>
      </c>
      <c r="C186" s="77" t="s">
        <v>126</v>
      </c>
      <c r="D186" s="103" t="s">
        <v>3135</v>
      </c>
      <c r="E186" s="83" t="s">
        <v>62</v>
      </c>
      <c r="F186" s="83" t="s">
        <v>58</v>
      </c>
      <c r="G186" s="83" t="s">
        <v>3027</v>
      </c>
      <c r="H186" s="77" t="s">
        <v>257</v>
      </c>
      <c r="I186" s="83" t="s">
        <v>3134</v>
      </c>
      <c r="J186" s="156" t="s">
        <v>229</v>
      </c>
      <c r="K186" s="83">
        <v>2019</v>
      </c>
      <c r="L186" s="84">
        <v>0.5</v>
      </c>
      <c r="M186" s="85">
        <v>13836</v>
      </c>
      <c r="N186" s="79">
        <f>Table47[[#This Row],[Expected Revenue]]*Table47[[#This Row],[Probability]]</f>
        <v>6918</v>
      </c>
      <c r="O186" s="84">
        <v>0.3</v>
      </c>
      <c r="P186" s="85">
        <f>Table47[[#This Row],[Expected Revenue]]*Table47[[#This Row],[Expected CMR]]</f>
        <v>4150.8</v>
      </c>
      <c r="Q186" s="209"/>
    </row>
    <row r="187" spans="1:17" hidden="1">
      <c r="A187" s="174"/>
      <c r="B187" s="82" t="s">
        <v>172</v>
      </c>
      <c r="C187" s="77" t="s">
        <v>172</v>
      </c>
      <c r="D187" s="103" t="s">
        <v>62</v>
      </c>
      <c r="E187" s="83" t="s">
        <v>62</v>
      </c>
      <c r="F187" s="83" t="s">
        <v>158</v>
      </c>
      <c r="G187" s="83" t="s">
        <v>65</v>
      </c>
      <c r="H187" s="77" t="s">
        <v>290</v>
      </c>
      <c r="I187" s="82"/>
      <c r="J187" s="156" t="s">
        <v>139</v>
      </c>
      <c r="K187" s="83">
        <v>2019</v>
      </c>
      <c r="L187" s="84">
        <v>1</v>
      </c>
      <c r="M187" s="85">
        <v>100000</v>
      </c>
      <c r="N187" s="79">
        <f>Table47[[#This Row],[Expected Revenue]]*Table47[[#This Row],[Probability]]</f>
        <v>100000</v>
      </c>
      <c r="O187" s="84">
        <v>0.3</v>
      </c>
      <c r="P187" s="85">
        <f>Table47[[#This Row],[Expected Revenue]]*Table47[[#This Row],[Expected CMR]]</f>
        <v>30000</v>
      </c>
      <c r="Q187" s="209"/>
    </row>
    <row r="188" spans="1:17" hidden="1">
      <c r="A188" s="173"/>
      <c r="B188" s="76" t="s">
        <v>172</v>
      </c>
      <c r="C188" s="77" t="s">
        <v>172</v>
      </c>
      <c r="D188" s="102" t="s">
        <v>3136</v>
      </c>
      <c r="E188" s="77" t="s">
        <v>62</v>
      </c>
      <c r="F188" s="83" t="s">
        <v>158</v>
      </c>
      <c r="G188" s="83" t="s">
        <v>65</v>
      </c>
      <c r="H188" s="77" t="s">
        <v>290</v>
      </c>
      <c r="I188" s="82"/>
      <c r="J188" s="156" t="s">
        <v>84</v>
      </c>
      <c r="K188" s="83">
        <v>2019</v>
      </c>
      <c r="L188" s="84">
        <v>1</v>
      </c>
      <c r="M188" s="85">
        <v>70000</v>
      </c>
      <c r="N188" s="79">
        <f>Table47[[#This Row],[Expected Revenue]]*Table47[[#This Row],[Probability]]</f>
        <v>70000</v>
      </c>
      <c r="O188" s="84">
        <v>0.3</v>
      </c>
      <c r="P188" s="85">
        <f>Table47[[#This Row],[Expected Revenue]]*Table47[[#This Row],[Expected CMR]]</f>
        <v>21000</v>
      </c>
      <c r="Q188" s="209"/>
    </row>
    <row r="189" spans="1:17" hidden="1">
      <c r="A189" s="173"/>
      <c r="B189" s="76" t="s">
        <v>172</v>
      </c>
      <c r="C189" s="77" t="s">
        <v>172</v>
      </c>
      <c r="D189" s="102" t="s">
        <v>62</v>
      </c>
      <c r="E189" s="77" t="s">
        <v>62</v>
      </c>
      <c r="F189" s="83" t="s">
        <v>158</v>
      </c>
      <c r="G189" s="83" t="s">
        <v>65</v>
      </c>
      <c r="H189" s="77" t="s">
        <v>290</v>
      </c>
      <c r="I189" s="82"/>
      <c r="J189" s="156" t="s">
        <v>222</v>
      </c>
      <c r="K189" s="83">
        <v>2019</v>
      </c>
      <c r="L189" s="84">
        <v>1</v>
      </c>
      <c r="M189" s="85">
        <v>50000</v>
      </c>
      <c r="N189" s="79">
        <f>Table47[[#This Row],[Expected Revenue]]*Table47[[#This Row],[Probability]]</f>
        <v>50000</v>
      </c>
      <c r="O189" s="84">
        <v>0.3</v>
      </c>
      <c r="P189" s="85">
        <f>Table47[[#This Row],[Expected Revenue]]*Table47[[#This Row],[Expected CMR]]</f>
        <v>15000</v>
      </c>
      <c r="Q189" s="209"/>
    </row>
    <row r="190" spans="1:17" hidden="1">
      <c r="A190" s="173"/>
      <c r="B190" s="76" t="s">
        <v>172</v>
      </c>
      <c r="C190" s="77" t="s">
        <v>172</v>
      </c>
      <c r="D190" s="102" t="s">
        <v>62</v>
      </c>
      <c r="E190" s="77" t="s">
        <v>62</v>
      </c>
      <c r="F190" s="83" t="s">
        <v>158</v>
      </c>
      <c r="G190" s="77" t="s">
        <v>65</v>
      </c>
      <c r="H190" s="77" t="s">
        <v>290</v>
      </c>
      <c r="I190" s="82"/>
      <c r="J190" s="156" t="s">
        <v>89</v>
      </c>
      <c r="K190" s="83">
        <v>2019</v>
      </c>
      <c r="L190" s="84">
        <v>1</v>
      </c>
      <c r="M190" s="85">
        <v>40000</v>
      </c>
      <c r="N190" s="79">
        <f>Table47[[#This Row],[Expected Revenue]]*Table47[[#This Row],[Probability]]</f>
        <v>40000</v>
      </c>
      <c r="O190" s="84">
        <v>0.3</v>
      </c>
      <c r="P190" s="85">
        <f>Table47[[#This Row],[Expected Revenue]]*Table47[[#This Row],[Expected CMR]]</f>
        <v>12000</v>
      </c>
      <c r="Q190" s="209"/>
    </row>
    <row r="191" spans="1:17" hidden="1">
      <c r="A191" s="173"/>
      <c r="B191" s="76" t="s">
        <v>172</v>
      </c>
      <c r="C191" s="77" t="s">
        <v>172</v>
      </c>
      <c r="D191" s="102" t="s">
        <v>71</v>
      </c>
      <c r="E191" s="77" t="s">
        <v>71</v>
      </c>
      <c r="F191" s="83" t="s">
        <v>158</v>
      </c>
      <c r="G191" s="77" t="s">
        <v>3027</v>
      </c>
      <c r="H191" s="77" t="s">
        <v>257</v>
      </c>
      <c r="I191" s="82"/>
      <c r="J191" s="156" t="s">
        <v>231</v>
      </c>
      <c r="K191" s="83">
        <v>2019</v>
      </c>
      <c r="L191" s="84">
        <v>0.5</v>
      </c>
      <c r="M191" s="85">
        <f>3*1100*10*1.25</f>
        <v>41250</v>
      </c>
      <c r="N191" s="79">
        <f>Table47[[#This Row],[Expected Revenue]]*Table47[[#This Row],[Probability]]</f>
        <v>20625</v>
      </c>
      <c r="O191" s="84">
        <v>0.3</v>
      </c>
      <c r="P191" s="85">
        <f>Table47[[#This Row],[Expected Revenue]]*Table47[[#This Row],[Expected CMR]]</f>
        <v>12375</v>
      </c>
      <c r="Q191" s="209"/>
    </row>
    <row r="192" spans="1:17" hidden="1">
      <c r="A192" s="173"/>
      <c r="B192" s="76" t="s">
        <v>172</v>
      </c>
      <c r="C192" s="77" t="s">
        <v>172</v>
      </c>
      <c r="D192" s="102" t="s">
        <v>71</v>
      </c>
      <c r="E192" s="77" t="s">
        <v>71</v>
      </c>
      <c r="F192" s="77" t="s">
        <v>158</v>
      </c>
      <c r="G192" s="77" t="s">
        <v>3027</v>
      </c>
      <c r="H192" s="77" t="s">
        <v>257</v>
      </c>
      <c r="I192" s="76"/>
      <c r="J192" s="110" t="s">
        <v>102</v>
      </c>
      <c r="K192" s="77">
        <v>2019</v>
      </c>
      <c r="L192" s="78">
        <v>0.5</v>
      </c>
      <c r="M192" s="79">
        <v>60000</v>
      </c>
      <c r="N192" s="79">
        <f>Table47[[#This Row],[Expected Revenue]]*Table47[[#This Row],[Probability]]</f>
        <v>30000</v>
      </c>
      <c r="O192" s="78">
        <v>0.3</v>
      </c>
      <c r="P192" s="79">
        <f>Table47[[#This Row],[Expected Revenue]]*Table47[[#This Row],[Expected CMR]]</f>
        <v>18000</v>
      </c>
      <c r="Q192" s="209"/>
    </row>
    <row r="193" spans="1:17" hidden="1">
      <c r="A193" s="173" t="s">
        <v>3025</v>
      </c>
      <c r="B193" s="76" t="s">
        <v>253</v>
      </c>
      <c r="C193" s="77" t="s">
        <v>254</v>
      </c>
      <c r="D193" s="102" t="s">
        <v>255</v>
      </c>
      <c r="E193" s="77" t="s">
        <v>209</v>
      </c>
      <c r="F193" s="77" t="s">
        <v>158</v>
      </c>
      <c r="G193" s="77" t="s">
        <v>256</v>
      </c>
      <c r="H193" s="77" t="s">
        <v>290</v>
      </c>
      <c r="I193" s="77"/>
      <c r="J193" s="110" t="s">
        <v>93</v>
      </c>
      <c r="K193" s="77">
        <v>2019</v>
      </c>
      <c r="L193" s="78">
        <v>1</v>
      </c>
      <c r="M193" s="79">
        <v>50000</v>
      </c>
      <c r="N193" s="79">
        <f>Table47[[#This Row],[Expected Revenue]]*Table47[[#This Row],[Probability]]</f>
        <v>50000</v>
      </c>
      <c r="O193" s="78">
        <v>0.3</v>
      </c>
      <c r="P193" s="79">
        <f>Table47[[#This Row],[Expected Revenue]]*Table47[[#This Row],[Expected CMR]]</f>
        <v>15000</v>
      </c>
      <c r="Q193" s="209"/>
    </row>
    <row r="194" spans="1:17" hidden="1">
      <c r="A194" s="173"/>
      <c r="B194" s="202" t="s">
        <v>3137</v>
      </c>
      <c r="C194" s="77" t="s">
        <v>3138</v>
      </c>
      <c r="D194" s="102" t="s">
        <v>3139</v>
      </c>
      <c r="E194" s="77" t="s">
        <v>281</v>
      </c>
      <c r="F194" s="77" t="s">
        <v>3140</v>
      </c>
      <c r="G194" s="77" t="s">
        <v>257</v>
      </c>
      <c r="H194" s="77" t="s">
        <v>257</v>
      </c>
      <c r="I194" s="77"/>
      <c r="J194" s="156" t="s">
        <v>84</v>
      </c>
      <c r="K194" s="77">
        <v>2020</v>
      </c>
      <c r="L194" s="78">
        <v>0.5</v>
      </c>
      <c r="M194" s="79">
        <v>9000</v>
      </c>
      <c r="N194" s="215">
        <f>Table47[[#This Row],[Expected Revenue]]*Table47[[#This Row],[Probability]]</f>
        <v>4500</v>
      </c>
      <c r="O194" s="78"/>
      <c r="P194" s="86">
        <f>Table47[[#This Row],[Expected Revenue]]*Table47[[#This Row],[Expected CMR]]</f>
        <v>0</v>
      </c>
      <c r="Q194" s="210"/>
    </row>
    <row r="195" spans="1:17" hidden="1">
      <c r="A195" s="173"/>
      <c r="B195" s="76" t="s">
        <v>3065</v>
      </c>
      <c r="C195" s="77" t="s">
        <v>185</v>
      </c>
      <c r="D195" s="102" t="s">
        <v>3066</v>
      </c>
      <c r="E195" s="77" t="s">
        <v>293</v>
      </c>
      <c r="F195" s="77" t="s">
        <v>186</v>
      </c>
      <c r="G195" s="77" t="s">
        <v>65</v>
      </c>
      <c r="H195" s="77" t="s">
        <v>290</v>
      </c>
      <c r="I195" s="76"/>
      <c r="J195" s="110" t="s">
        <v>102</v>
      </c>
      <c r="K195" s="77">
        <v>2019</v>
      </c>
      <c r="L195" s="78">
        <v>1</v>
      </c>
      <c r="M195" s="79">
        <v>70000</v>
      </c>
      <c r="N195" s="79">
        <f>Table47[[#This Row],[Expected Revenue]]*Table47[[#This Row],[Probability]]</f>
        <v>70000</v>
      </c>
      <c r="O195" s="78">
        <v>0.3</v>
      </c>
      <c r="P195" s="79">
        <f>Table47[[#This Row],[Expected Revenue]]*Table47[[#This Row],[Expected CMR]]</f>
        <v>21000</v>
      </c>
      <c r="Q195" s="209"/>
    </row>
    <row r="196" spans="1:17" hidden="1">
      <c r="A196" s="173"/>
      <c r="B196" s="76" t="s">
        <v>260</v>
      </c>
      <c r="C196" s="77" t="s">
        <v>157</v>
      </c>
      <c r="D196" s="102" t="s">
        <v>3141</v>
      </c>
      <c r="E196" s="77" t="s">
        <v>62</v>
      </c>
      <c r="F196" s="77" t="s">
        <v>186</v>
      </c>
      <c r="G196" s="77" t="s">
        <v>65</v>
      </c>
      <c r="H196" s="77" t="s">
        <v>290</v>
      </c>
      <c r="I196" s="77"/>
      <c r="J196" s="110" t="s">
        <v>84</v>
      </c>
      <c r="K196" s="77">
        <v>2019</v>
      </c>
      <c r="L196" s="78">
        <v>1</v>
      </c>
      <c r="M196" s="79">
        <v>20000</v>
      </c>
      <c r="N196" s="79">
        <f>Table47[[#This Row],[Expected Revenue]]*Table47[[#This Row],[Probability]]</f>
        <v>20000</v>
      </c>
      <c r="O196" s="78">
        <v>0.3</v>
      </c>
      <c r="P196" s="79">
        <f>Table47[[#This Row],[Expected Revenue]]*Table47[[#This Row],[Expected CMR]]</f>
        <v>6000</v>
      </c>
      <c r="Q196" s="209"/>
    </row>
    <row r="197" spans="1:17" hidden="1">
      <c r="A197" s="173"/>
      <c r="B197" s="76" t="s">
        <v>489</v>
      </c>
      <c r="C197" s="77" t="s">
        <v>489</v>
      </c>
      <c r="D197" s="102" t="s">
        <v>71</v>
      </c>
      <c r="E197" s="77" t="s">
        <v>71</v>
      </c>
      <c r="F197" s="77" t="s">
        <v>58</v>
      </c>
      <c r="G197" s="77" t="s">
        <v>65</v>
      </c>
      <c r="H197" s="77" t="s">
        <v>257</v>
      </c>
      <c r="I197" s="77" t="s">
        <v>3142</v>
      </c>
      <c r="J197" s="110" t="s">
        <v>84</v>
      </c>
      <c r="K197" s="77">
        <v>2019</v>
      </c>
      <c r="L197" s="78">
        <v>0.5</v>
      </c>
      <c r="M197" s="79">
        <v>25000</v>
      </c>
      <c r="N197" s="79">
        <f>Table47[[#This Row],[Expected Revenue]]*Table47[[#This Row],[Probability]]</f>
        <v>12500</v>
      </c>
      <c r="O197" s="78">
        <v>0.3</v>
      </c>
      <c r="P197" s="79">
        <f>Table47[[#This Row],[Expected Revenue]]*Table47[[#This Row],[Expected CMR]]</f>
        <v>7500</v>
      </c>
      <c r="Q197" s="209"/>
    </row>
    <row r="198" spans="1:17" hidden="1">
      <c r="A198" s="173"/>
      <c r="B198" s="76" t="s">
        <v>489</v>
      </c>
      <c r="C198" s="77" t="s">
        <v>489</v>
      </c>
      <c r="D198" s="102" t="s">
        <v>71</v>
      </c>
      <c r="E198" s="77" t="s">
        <v>71</v>
      </c>
      <c r="F198" s="77" t="s">
        <v>58</v>
      </c>
      <c r="G198" s="77" t="s">
        <v>65</v>
      </c>
      <c r="H198" s="77" t="s">
        <v>290</v>
      </c>
      <c r="I198" s="77" t="s">
        <v>3142</v>
      </c>
      <c r="J198" s="110" t="s">
        <v>229</v>
      </c>
      <c r="K198" s="77">
        <v>2019</v>
      </c>
      <c r="L198" s="78">
        <v>0.5</v>
      </c>
      <c r="M198" s="79">
        <v>23000</v>
      </c>
      <c r="N198" s="79">
        <f>Table47[[#This Row],[Expected Revenue]]*Table47[[#This Row],[Probability]]</f>
        <v>11500</v>
      </c>
      <c r="O198" s="78">
        <v>0.3</v>
      </c>
      <c r="P198" s="79">
        <f>Table47[[#This Row],[Expected Revenue]]*Table47[[#This Row],[Expected CMR]]</f>
        <v>6900</v>
      </c>
      <c r="Q198" s="209"/>
    </row>
    <row r="199" spans="1:17" hidden="1">
      <c r="A199" s="173"/>
      <c r="B199" s="76" t="s">
        <v>2344</v>
      </c>
      <c r="C199" s="77" t="s">
        <v>398</v>
      </c>
      <c r="D199" s="102" t="s">
        <v>3143</v>
      </c>
      <c r="E199" s="77" t="s">
        <v>71</v>
      </c>
      <c r="F199" s="77" t="s">
        <v>158</v>
      </c>
      <c r="G199" s="77" t="s">
        <v>65</v>
      </c>
      <c r="H199" s="77" t="s">
        <v>290</v>
      </c>
      <c r="I199" s="77"/>
      <c r="J199" s="110" t="s">
        <v>231</v>
      </c>
      <c r="K199" s="77">
        <v>2019</v>
      </c>
      <c r="L199" s="78">
        <v>1</v>
      </c>
      <c r="M199" s="79">
        <v>5000</v>
      </c>
      <c r="N199" s="79">
        <f>Table47[[#This Row],[Expected Revenue]]*Table47[[#This Row],[Probability]]</f>
        <v>5000</v>
      </c>
      <c r="O199" s="78">
        <v>0.3</v>
      </c>
      <c r="P199" s="79">
        <f>Table47[[#This Row],[Expected Revenue]]*Table47[[#This Row],[Expected CMR]]</f>
        <v>1500</v>
      </c>
      <c r="Q199" s="209"/>
    </row>
    <row r="200" spans="1:17" hidden="1">
      <c r="A200" s="173"/>
      <c r="B200" s="76" t="s">
        <v>117</v>
      </c>
      <c r="C200" s="77" t="s">
        <v>57</v>
      </c>
      <c r="D200" s="102" t="s">
        <v>62</v>
      </c>
      <c r="E200" s="77" t="s">
        <v>62</v>
      </c>
      <c r="F200" s="77" t="s">
        <v>58</v>
      </c>
      <c r="G200" s="77" t="s">
        <v>3027</v>
      </c>
      <c r="H200" s="77" t="s">
        <v>257</v>
      </c>
      <c r="I200" s="77"/>
      <c r="J200" s="110" t="s">
        <v>68</v>
      </c>
      <c r="K200" s="77">
        <v>2019</v>
      </c>
      <c r="L200" s="78">
        <v>0.5</v>
      </c>
      <c r="M200" s="79">
        <v>25000</v>
      </c>
      <c r="N200" s="79">
        <f>Table47[[#This Row],[Expected Revenue]]*Table47[[#This Row],[Probability]]</f>
        <v>12500</v>
      </c>
      <c r="O200" s="78">
        <v>0.3</v>
      </c>
      <c r="P200" s="79">
        <f>Table47[[#This Row],[Expected Revenue]]*Table47[[#This Row],[Expected CMR]]</f>
        <v>7500</v>
      </c>
      <c r="Q200" s="209"/>
    </row>
    <row r="201" spans="1:17" hidden="1">
      <c r="A201" s="173"/>
      <c r="B201" s="76" t="s">
        <v>2347</v>
      </c>
      <c r="C201" s="77" t="s">
        <v>398</v>
      </c>
      <c r="D201" s="102" t="s">
        <v>3143</v>
      </c>
      <c r="E201" s="77" t="s">
        <v>71</v>
      </c>
      <c r="F201" s="77" t="s">
        <v>158</v>
      </c>
      <c r="G201" s="77" t="s">
        <v>65</v>
      </c>
      <c r="H201" s="77" t="s">
        <v>290</v>
      </c>
      <c r="I201" s="77"/>
      <c r="J201" s="110" t="s">
        <v>231</v>
      </c>
      <c r="K201" s="77">
        <v>2019</v>
      </c>
      <c r="L201" s="78">
        <v>1</v>
      </c>
      <c r="M201" s="79">
        <v>35000</v>
      </c>
      <c r="N201" s="79">
        <f>Table47[[#This Row],[Expected Revenue]]*Table47[[#This Row],[Probability]]</f>
        <v>35000</v>
      </c>
      <c r="O201" s="78">
        <v>0.3</v>
      </c>
      <c r="P201" s="79">
        <f>Table47[[#This Row],[Expected Revenue]]*Table47[[#This Row],[Expected CMR]]</f>
        <v>10500</v>
      </c>
      <c r="Q201" s="209"/>
    </row>
    <row r="202" spans="1:17" hidden="1">
      <c r="A202" s="75"/>
      <c r="B202" s="76" t="s">
        <v>3144</v>
      </c>
      <c r="C202" s="77" t="s">
        <v>57</v>
      </c>
      <c r="D202" s="102" t="s">
        <v>71</v>
      </c>
      <c r="E202" s="77" t="s">
        <v>71</v>
      </c>
      <c r="F202" s="77" t="s">
        <v>58</v>
      </c>
      <c r="G202" s="77" t="s">
        <v>3027</v>
      </c>
      <c r="H202" s="77" t="s">
        <v>257</v>
      </c>
      <c r="I202" s="77"/>
      <c r="J202" s="110" t="s">
        <v>222</v>
      </c>
      <c r="K202" s="77">
        <v>2019</v>
      </c>
      <c r="L202" s="78">
        <v>0.75</v>
      </c>
      <c r="M202" s="79">
        <v>32000</v>
      </c>
      <c r="N202" s="79">
        <f>Table47[[#This Row],[Expected Revenue]]*Table47[[#This Row],[Probability]]</f>
        <v>24000</v>
      </c>
      <c r="O202" s="78">
        <v>0.3</v>
      </c>
      <c r="P202" s="79">
        <f>Table47[[#This Row],[Expected Revenue]]*Table47[[#This Row],[Expected CMR]]</f>
        <v>9600</v>
      </c>
      <c r="Q202" s="209"/>
    </row>
    <row r="203" spans="1:17" hidden="1">
      <c r="A203" s="75"/>
      <c r="B203" s="76" t="s">
        <v>3144</v>
      </c>
      <c r="C203" s="77" t="s">
        <v>57</v>
      </c>
      <c r="D203" s="102" t="s">
        <v>3127</v>
      </c>
      <c r="E203" s="77" t="s">
        <v>71</v>
      </c>
      <c r="F203" s="77" t="s">
        <v>58</v>
      </c>
      <c r="G203" s="77" t="s">
        <v>3027</v>
      </c>
      <c r="H203" s="77" t="s">
        <v>290</v>
      </c>
      <c r="I203" s="77"/>
      <c r="J203" s="110" t="s">
        <v>102</v>
      </c>
      <c r="K203" s="77">
        <v>2019</v>
      </c>
      <c r="L203" s="78">
        <v>1</v>
      </c>
      <c r="M203" s="79">
        <v>110000</v>
      </c>
      <c r="N203" s="79">
        <f>Table47[[#This Row],[Expected Revenue]]*Table47[[#This Row],[Probability]]</f>
        <v>110000</v>
      </c>
      <c r="O203" s="78">
        <v>0.3</v>
      </c>
      <c r="P203" s="79">
        <f>Table47[[#This Row],[Expected Revenue]]*Table47[[#This Row],[Expected CMR]]</f>
        <v>33000</v>
      </c>
      <c r="Q203" s="209"/>
    </row>
    <row r="204" spans="1:17" hidden="1">
      <c r="A204" s="75"/>
      <c r="B204" s="76" t="s">
        <v>3144</v>
      </c>
      <c r="C204" s="77" t="s">
        <v>57</v>
      </c>
      <c r="D204" s="102" t="s">
        <v>1236</v>
      </c>
      <c r="E204" s="77" t="s">
        <v>62</v>
      </c>
      <c r="F204" s="77" t="s">
        <v>58</v>
      </c>
      <c r="G204" s="77" t="s">
        <v>3027</v>
      </c>
      <c r="H204" s="77" t="s">
        <v>257</v>
      </c>
      <c r="I204" s="77"/>
      <c r="J204" s="110" t="s">
        <v>229</v>
      </c>
      <c r="K204" s="77">
        <v>2019</v>
      </c>
      <c r="L204" s="78">
        <v>0.8</v>
      </c>
      <c r="M204" s="79">
        <v>27000</v>
      </c>
      <c r="N204" s="79">
        <f>Table47[[#This Row],[Expected Revenue]]*Table47[[#This Row],[Probability]]</f>
        <v>21600</v>
      </c>
      <c r="O204" s="78">
        <v>0.3</v>
      </c>
      <c r="P204" s="79">
        <f>Table47[[#This Row],[Expected Revenue]]*Table47[[#This Row],[Expected CMR]]</f>
        <v>8100</v>
      </c>
      <c r="Q204" s="209"/>
    </row>
    <row r="205" spans="1:17" hidden="1">
      <c r="A205" s="75"/>
      <c r="B205" s="76" t="s">
        <v>3144</v>
      </c>
      <c r="C205" s="77" t="s">
        <v>57</v>
      </c>
      <c r="D205" s="102" t="s">
        <v>3127</v>
      </c>
      <c r="E205" s="77" t="s">
        <v>71</v>
      </c>
      <c r="F205" s="77" t="s">
        <v>58</v>
      </c>
      <c r="G205" s="77" t="s">
        <v>3027</v>
      </c>
      <c r="H205" s="77" t="s">
        <v>290</v>
      </c>
      <c r="I205" s="77"/>
      <c r="J205" s="110" t="s">
        <v>229</v>
      </c>
      <c r="K205" s="77">
        <v>2019</v>
      </c>
      <c r="L205" s="78">
        <v>1</v>
      </c>
      <c r="M205" s="79">
        <v>65000</v>
      </c>
      <c r="N205" s="79">
        <f>Table47[[#This Row],[Expected Revenue]]*Table47[[#This Row],[Probability]]</f>
        <v>65000</v>
      </c>
      <c r="O205" s="78">
        <v>0.3</v>
      </c>
      <c r="P205" s="79">
        <f>Table47[[#This Row],[Expected Revenue]]*Table47[[#This Row],[Expected CMR]]</f>
        <v>19500</v>
      </c>
      <c r="Q205" s="209"/>
    </row>
    <row r="206" spans="1:17" hidden="1">
      <c r="A206" s="75"/>
      <c r="B206" s="76" t="s">
        <v>3145</v>
      </c>
      <c r="C206" s="77" t="s">
        <v>57</v>
      </c>
      <c r="D206" s="102" t="s">
        <v>236</v>
      </c>
      <c r="E206" s="77" t="s">
        <v>62</v>
      </c>
      <c r="F206" s="77" t="s">
        <v>58</v>
      </c>
      <c r="G206" s="77" t="s">
        <v>65</v>
      </c>
      <c r="H206" s="77" t="s">
        <v>290</v>
      </c>
      <c r="I206" s="77"/>
      <c r="J206" s="110" t="s">
        <v>222</v>
      </c>
      <c r="K206" s="77">
        <v>2019</v>
      </c>
      <c r="L206" s="78">
        <v>1</v>
      </c>
      <c r="M206" s="79">
        <v>150000</v>
      </c>
      <c r="N206" s="79">
        <f>Table47[[#This Row],[Expected Revenue]]*Table47[[#This Row],[Probability]]</f>
        <v>150000</v>
      </c>
      <c r="O206" s="78">
        <v>0.3</v>
      </c>
      <c r="P206" s="79">
        <f>Table47[[#This Row],[Expected Revenue]]*Table47[[#This Row],[Expected CMR]]</f>
        <v>45000</v>
      </c>
      <c r="Q206" s="209"/>
    </row>
    <row r="207" spans="1:17" hidden="1">
      <c r="A207" s="75"/>
      <c r="B207" s="76" t="s">
        <v>3145</v>
      </c>
      <c r="C207" s="77" t="s">
        <v>57</v>
      </c>
      <c r="D207" s="102" t="s">
        <v>71</v>
      </c>
      <c r="E207" s="77" t="s">
        <v>71</v>
      </c>
      <c r="F207" s="77" t="s">
        <v>58</v>
      </c>
      <c r="G207" s="77" t="s">
        <v>65</v>
      </c>
      <c r="H207" s="77" t="s">
        <v>290</v>
      </c>
      <c r="I207" s="77"/>
      <c r="J207" s="110" t="s">
        <v>89</v>
      </c>
      <c r="K207" s="77">
        <v>2019</v>
      </c>
      <c r="L207" s="78">
        <v>1</v>
      </c>
      <c r="M207" s="79">
        <v>32000</v>
      </c>
      <c r="N207" s="79">
        <f>Table47[[#This Row],[Expected Revenue]]*Table47[[#This Row],[Probability]]</f>
        <v>32000</v>
      </c>
      <c r="O207" s="78">
        <v>0.3</v>
      </c>
      <c r="P207" s="79">
        <f>Table47[[#This Row],[Expected Revenue]]*Table47[[#This Row],[Expected CMR]]</f>
        <v>9600</v>
      </c>
      <c r="Q207" s="209"/>
    </row>
    <row r="208" spans="1:17" hidden="1">
      <c r="A208" s="173"/>
      <c r="B208" s="76" t="s">
        <v>3065</v>
      </c>
      <c r="C208" s="77" t="s">
        <v>185</v>
      </c>
      <c r="D208" s="102" t="s">
        <v>3066</v>
      </c>
      <c r="E208" s="77" t="s">
        <v>3146</v>
      </c>
      <c r="F208" s="77" t="s">
        <v>186</v>
      </c>
      <c r="G208" s="77" t="s">
        <v>65</v>
      </c>
      <c r="H208" s="77" t="s">
        <v>290</v>
      </c>
      <c r="I208" s="76"/>
      <c r="J208" s="110" t="s">
        <v>68</v>
      </c>
      <c r="K208" s="77">
        <v>2019</v>
      </c>
      <c r="L208" s="78">
        <v>1</v>
      </c>
      <c r="M208" s="79">
        <v>60000</v>
      </c>
      <c r="N208" s="79">
        <f>Table47[[#This Row],[Expected Revenue]]*Table47[[#This Row],[Probability]]</f>
        <v>60000</v>
      </c>
      <c r="O208" s="78">
        <v>0.3</v>
      </c>
      <c r="P208" s="79">
        <f>Table47[[#This Row],[Expected Revenue]]*Table47[[#This Row],[Expected CMR]]</f>
        <v>18000</v>
      </c>
      <c r="Q208" s="209"/>
    </row>
    <row r="209" spans="1:17" hidden="1">
      <c r="A209" s="173"/>
      <c r="B209" s="76" t="s">
        <v>296</v>
      </c>
      <c r="C209" s="77"/>
      <c r="D209" s="102"/>
      <c r="E209" s="77" t="s">
        <v>251</v>
      </c>
      <c r="F209" s="77"/>
      <c r="G209" s="77"/>
      <c r="H209" s="77" t="s">
        <v>296</v>
      </c>
      <c r="I209" s="76"/>
      <c r="J209" s="110" t="s">
        <v>231</v>
      </c>
      <c r="K209" s="77">
        <v>2019</v>
      </c>
      <c r="L209" s="78">
        <v>1</v>
      </c>
      <c r="M209" s="79">
        <v>150000</v>
      </c>
      <c r="N209" s="86">
        <f>Table47[[#This Row],[Expected Revenue]]*Table47[[#This Row],[Probability]]</f>
        <v>150000</v>
      </c>
      <c r="O209" s="78">
        <v>0.3</v>
      </c>
      <c r="P209" s="86">
        <f>Table47[[#This Row],[Expected Revenue]]*Table47[[#This Row],[Expected CMR]]</f>
        <v>45000</v>
      </c>
      <c r="Q209" s="210"/>
    </row>
    <row r="210" spans="1:17" hidden="1">
      <c r="A210" s="173" t="s">
        <v>3147</v>
      </c>
      <c r="B210" s="76" t="s">
        <v>117</v>
      </c>
      <c r="C210" s="77" t="s">
        <v>57</v>
      </c>
      <c r="D210" s="102" t="s">
        <v>196</v>
      </c>
      <c r="E210" s="77" t="s">
        <v>92</v>
      </c>
      <c r="F210" s="77" t="s">
        <v>58</v>
      </c>
      <c r="G210" s="77" t="s">
        <v>65</v>
      </c>
      <c r="H210" s="77" t="s">
        <v>290</v>
      </c>
      <c r="I210" s="77"/>
      <c r="J210" s="110"/>
      <c r="K210" s="77">
        <v>18</v>
      </c>
      <c r="L210" s="78">
        <v>1</v>
      </c>
      <c r="M210" s="79">
        <v>15945</v>
      </c>
      <c r="N210" s="79">
        <f>Table47[[#This Row],[Expected Revenue]]*Table47[[#This Row],[Probability]]</f>
        <v>15945</v>
      </c>
      <c r="O210" s="78">
        <v>0.56000000000000005</v>
      </c>
      <c r="P210" s="79">
        <f>Table47[[#This Row],[Expected Revenue]]*Table47[[#This Row],[Expected CMR]]</f>
        <v>8929.2000000000007</v>
      </c>
      <c r="Q210" s="209"/>
    </row>
    <row r="211" spans="1:17" hidden="1">
      <c r="A211" s="173" t="s">
        <v>3147</v>
      </c>
      <c r="B211" s="76" t="s">
        <v>117</v>
      </c>
      <c r="C211" s="77" t="s">
        <v>57</v>
      </c>
      <c r="D211" s="102" t="s">
        <v>196</v>
      </c>
      <c r="E211" s="77" t="s">
        <v>92</v>
      </c>
      <c r="F211" s="77" t="s">
        <v>58</v>
      </c>
      <c r="G211" s="77" t="s">
        <v>65</v>
      </c>
      <c r="H211" s="77" t="s">
        <v>290</v>
      </c>
      <c r="I211" s="77"/>
      <c r="J211" s="110"/>
      <c r="K211" s="77">
        <v>18</v>
      </c>
      <c r="L211" s="78">
        <v>1</v>
      </c>
      <c r="M211" s="79">
        <v>27531.67</v>
      </c>
      <c r="N211" s="79">
        <f>Table47[[#This Row],[Expected Revenue]]*Table47[[#This Row],[Probability]]</f>
        <v>27531.67</v>
      </c>
      <c r="O211" s="78">
        <v>0.56000000000000005</v>
      </c>
      <c r="P211" s="79">
        <f>Table47[[#This Row],[Expected Revenue]]*Table47[[#This Row],[Expected CMR]]</f>
        <v>15417.735200000001</v>
      </c>
      <c r="Q211" s="209"/>
    </row>
    <row r="212" spans="1:17" hidden="1">
      <c r="A212" s="75" t="s">
        <v>3148</v>
      </c>
      <c r="B212" s="76" t="s">
        <v>114</v>
      </c>
      <c r="C212" s="77" t="s">
        <v>57</v>
      </c>
      <c r="D212" s="102" t="s">
        <v>201</v>
      </c>
      <c r="E212" s="77" t="s">
        <v>92</v>
      </c>
      <c r="F212" s="77" t="s">
        <v>58</v>
      </c>
      <c r="G212" s="77" t="s">
        <v>65</v>
      </c>
      <c r="H212" s="77" t="s">
        <v>290</v>
      </c>
      <c r="I212" s="77"/>
      <c r="J212" s="110"/>
      <c r="K212" s="77">
        <v>18</v>
      </c>
      <c r="L212" s="78">
        <v>1</v>
      </c>
      <c r="M212" s="79">
        <v>59915</v>
      </c>
      <c r="N212" s="79">
        <f>Table47[[#This Row],[Expected Revenue]]*Table47[[#This Row],[Probability]]</f>
        <v>59915</v>
      </c>
      <c r="O212" s="78">
        <v>0.3</v>
      </c>
      <c r="P212" s="79">
        <f>Table47[[#This Row],[Expected Revenue]]*Table47[[#This Row],[Expected CMR]]</f>
        <v>17974.5</v>
      </c>
      <c r="Q212" s="209"/>
    </row>
    <row r="213" spans="1:17" hidden="1">
      <c r="A213" s="75" t="s">
        <v>3149</v>
      </c>
      <c r="B213" s="76" t="s">
        <v>104</v>
      </c>
      <c r="C213" s="77" t="s">
        <v>57</v>
      </c>
      <c r="D213" s="102" t="s">
        <v>210</v>
      </c>
      <c r="E213" s="77" t="s">
        <v>62</v>
      </c>
      <c r="F213" s="77" t="s">
        <v>58</v>
      </c>
      <c r="G213" s="77" t="s">
        <v>65</v>
      </c>
      <c r="H213" s="77" t="s">
        <v>290</v>
      </c>
      <c r="I213" s="77"/>
      <c r="J213" s="110"/>
      <c r="K213" s="77">
        <v>18</v>
      </c>
      <c r="L213" s="78">
        <v>1</v>
      </c>
      <c r="M213" s="79">
        <v>37560</v>
      </c>
      <c r="N213" s="79">
        <f>Table47[[#This Row],[Expected Revenue]]*Table47[[#This Row],[Probability]]</f>
        <v>37560</v>
      </c>
      <c r="O213" s="78">
        <v>0.3</v>
      </c>
      <c r="P213" s="79">
        <f>Table47[[#This Row],[Expected Revenue]]*Table47[[#This Row],[Expected CMR]]</f>
        <v>11268</v>
      </c>
      <c r="Q213" s="209"/>
    </row>
    <row r="214" spans="1:17" hidden="1">
      <c r="A214" s="75" t="s">
        <v>3150</v>
      </c>
      <c r="B214" s="76" t="s">
        <v>137</v>
      </c>
      <c r="C214" s="77" t="s">
        <v>57</v>
      </c>
      <c r="D214" s="102" t="s">
        <v>75</v>
      </c>
      <c r="E214" s="77" t="s">
        <v>83</v>
      </c>
      <c r="F214" s="77" t="s">
        <v>58</v>
      </c>
      <c r="G214" s="77" t="s">
        <v>65</v>
      </c>
      <c r="H214" s="77" t="s">
        <v>290</v>
      </c>
      <c r="I214" s="77"/>
      <c r="J214" s="110"/>
      <c r="K214" s="77">
        <v>2020</v>
      </c>
      <c r="L214" s="78">
        <v>1</v>
      </c>
      <c r="M214" s="79">
        <v>10620</v>
      </c>
      <c r="N214" s="79">
        <f>Table47[[#This Row],[Expected Revenue]]*Table47[[#This Row],[Probability]]</f>
        <v>10620</v>
      </c>
      <c r="O214" s="78">
        <v>0.3</v>
      </c>
      <c r="P214" s="79">
        <f>Table47[[#This Row],[Expected Revenue]]*Table47[[#This Row],[Expected CMR]]</f>
        <v>3186</v>
      </c>
      <c r="Q214" s="209"/>
    </row>
    <row r="215" spans="1:17" hidden="1">
      <c r="A215" s="75" t="s">
        <v>3151</v>
      </c>
      <c r="B215" s="76" t="s">
        <v>114</v>
      </c>
      <c r="C215" s="77" t="s">
        <v>57</v>
      </c>
      <c r="D215" s="102" t="s">
        <v>75</v>
      </c>
      <c r="E215" s="77" t="s">
        <v>83</v>
      </c>
      <c r="F215" s="77" t="s">
        <v>58</v>
      </c>
      <c r="G215" s="77" t="s">
        <v>65</v>
      </c>
      <c r="H215" s="77" t="s">
        <v>290</v>
      </c>
      <c r="I215" s="77"/>
      <c r="J215" s="110"/>
      <c r="K215" s="77">
        <v>2020</v>
      </c>
      <c r="L215" s="78">
        <v>1</v>
      </c>
      <c r="M215" s="79">
        <v>10620</v>
      </c>
      <c r="N215" s="79">
        <f>Table47[[#This Row],[Expected Revenue]]*Table47[[#This Row],[Probability]]</f>
        <v>10620</v>
      </c>
      <c r="O215" s="78">
        <v>0.3</v>
      </c>
      <c r="P215" s="79">
        <f>Table47[[#This Row],[Expected Revenue]]*Table47[[#This Row],[Expected CMR]]</f>
        <v>3186</v>
      </c>
      <c r="Q215" s="209"/>
    </row>
    <row r="216" spans="1:17" hidden="1">
      <c r="A216" s="176" t="s">
        <v>3152</v>
      </c>
      <c r="B216" s="82" t="s">
        <v>130</v>
      </c>
      <c r="C216" s="77" t="s">
        <v>57</v>
      </c>
      <c r="D216" s="103" t="s">
        <v>75</v>
      </c>
      <c r="E216" s="83" t="s">
        <v>83</v>
      </c>
      <c r="F216" s="83" t="s">
        <v>58</v>
      </c>
      <c r="G216" s="83" t="s">
        <v>65</v>
      </c>
      <c r="H216" s="77" t="s">
        <v>290</v>
      </c>
      <c r="I216" s="83"/>
      <c r="J216" s="156"/>
      <c r="K216" s="77">
        <v>2020</v>
      </c>
      <c r="L216" s="84">
        <v>1</v>
      </c>
      <c r="M216" s="85">
        <v>10620</v>
      </c>
      <c r="N216" s="85">
        <f>Table47[[#This Row],[Expected Revenue]]*Table47[[#This Row],[Probability]]</f>
        <v>10620</v>
      </c>
      <c r="O216" s="84">
        <v>0.3</v>
      </c>
      <c r="P216" s="85">
        <f>Table47[[#This Row],[Expected Revenue]]*Table47[[#This Row],[Expected CMR]]</f>
        <v>3186</v>
      </c>
      <c r="Q216" s="209"/>
    </row>
    <row r="217" spans="1:17" hidden="1">
      <c r="A217" s="75" t="s">
        <v>3153</v>
      </c>
      <c r="B217" s="76" t="s">
        <v>117</v>
      </c>
      <c r="C217" s="77" t="s">
        <v>57</v>
      </c>
      <c r="D217" s="102" t="s">
        <v>75</v>
      </c>
      <c r="E217" s="77" t="s">
        <v>83</v>
      </c>
      <c r="F217" s="77" t="s">
        <v>58</v>
      </c>
      <c r="G217" s="77" t="s">
        <v>65</v>
      </c>
      <c r="H217" s="77" t="s">
        <v>290</v>
      </c>
      <c r="I217" s="77"/>
      <c r="J217" s="110" t="s">
        <v>230</v>
      </c>
      <c r="K217" s="77">
        <v>2020</v>
      </c>
      <c r="L217" s="78">
        <v>1</v>
      </c>
      <c r="M217" s="79">
        <v>10620</v>
      </c>
      <c r="N217" s="79">
        <f>Table47[[#This Row],[Expected Revenue]]*Table47[[#This Row],[Probability]]</f>
        <v>10620</v>
      </c>
      <c r="O217" s="78">
        <v>0.3</v>
      </c>
      <c r="P217" s="79">
        <f>Table47[[#This Row],[Expected Revenue]]*Table47[[#This Row],[Expected CMR]]</f>
        <v>3186</v>
      </c>
      <c r="Q217" s="209"/>
    </row>
    <row r="218" spans="1:17" hidden="1">
      <c r="A218" s="75" t="s">
        <v>3154</v>
      </c>
      <c r="B218" s="76" t="s">
        <v>146</v>
      </c>
      <c r="C218" s="77" t="s">
        <v>57</v>
      </c>
      <c r="D218" s="102" t="s">
        <v>75</v>
      </c>
      <c r="E218" s="77" t="s">
        <v>83</v>
      </c>
      <c r="F218" s="77" t="s">
        <v>58</v>
      </c>
      <c r="G218" s="77" t="s">
        <v>65</v>
      </c>
      <c r="H218" s="77" t="s">
        <v>290</v>
      </c>
      <c r="I218" s="77"/>
      <c r="J218" s="110"/>
      <c r="K218" s="77">
        <v>2020</v>
      </c>
      <c r="L218" s="78">
        <v>1</v>
      </c>
      <c r="M218" s="79">
        <v>10620</v>
      </c>
      <c r="N218" s="79">
        <f>Table47[[#This Row],[Expected Revenue]]*Table47[[#This Row],[Probability]]</f>
        <v>10620</v>
      </c>
      <c r="O218" s="78">
        <v>0.3</v>
      </c>
      <c r="P218" s="79">
        <f>Table47[[#This Row],[Expected Revenue]]*Table47[[#This Row],[Expected CMR]]</f>
        <v>3186</v>
      </c>
      <c r="Q218" s="209"/>
    </row>
    <row r="219" spans="1:17" hidden="1">
      <c r="A219" s="174"/>
      <c r="B219" s="82" t="s">
        <v>114</v>
      </c>
      <c r="C219" s="77" t="s">
        <v>3059</v>
      </c>
      <c r="D219" s="103" t="s">
        <v>3155</v>
      </c>
      <c r="E219" s="83" t="s">
        <v>92</v>
      </c>
      <c r="F219" s="83" t="s">
        <v>58</v>
      </c>
      <c r="G219" s="83" t="s">
        <v>295</v>
      </c>
      <c r="H219" s="77" t="s">
        <v>290</v>
      </c>
      <c r="I219" s="82"/>
      <c r="J219" s="156" t="s">
        <v>84</v>
      </c>
      <c r="K219" s="83">
        <v>2020</v>
      </c>
      <c r="L219" s="84">
        <v>1</v>
      </c>
      <c r="M219" s="85">
        <f>18622.27125*0.3</f>
        <v>5586.6813750000001</v>
      </c>
      <c r="N219" s="219">
        <f>Table47[[#This Row],[Expected Revenue]]*Table47[[#This Row],[Probability]]</f>
        <v>5586.6813750000001</v>
      </c>
      <c r="O219" s="78">
        <v>0.3</v>
      </c>
      <c r="P219" s="79">
        <f>Table47[[#This Row],[Expected Revenue]]*Table47[[#This Row],[Expected CMR]]</f>
        <v>1676.0044124999999</v>
      </c>
      <c r="Q219" s="210"/>
    </row>
    <row r="220" spans="1:17" hidden="1">
      <c r="A220" s="75" t="s">
        <v>3044</v>
      </c>
      <c r="B220" s="76" t="s">
        <v>137</v>
      </c>
      <c r="C220" s="77" t="s">
        <v>57</v>
      </c>
      <c r="D220" s="102" t="s">
        <v>113</v>
      </c>
      <c r="E220" s="77" t="s">
        <v>62</v>
      </c>
      <c r="F220" s="77" t="s">
        <v>58</v>
      </c>
      <c r="G220" s="77" t="s">
        <v>65</v>
      </c>
      <c r="H220" s="77" t="s">
        <v>290</v>
      </c>
      <c r="I220" s="77"/>
      <c r="J220" s="110" t="s">
        <v>230</v>
      </c>
      <c r="K220" s="83">
        <v>2020</v>
      </c>
      <c r="L220" s="78">
        <v>1</v>
      </c>
      <c r="M220" s="79">
        <v>11969</v>
      </c>
      <c r="N220" s="79">
        <f>Table47[[#This Row],[Expected Revenue]]*Table47[[#This Row],[Probability]]</f>
        <v>11969</v>
      </c>
      <c r="O220" s="84">
        <v>0.19</v>
      </c>
      <c r="P220" s="85">
        <f>Table47[[#This Row],[Expected Revenue]]*Table47[[#This Row],[Expected CMR]]</f>
        <v>2274.11</v>
      </c>
      <c r="Q220" s="209"/>
    </row>
    <row r="221" spans="1:17" hidden="1">
      <c r="A221" s="176" t="s">
        <v>3110</v>
      </c>
      <c r="B221" s="82" t="s">
        <v>117</v>
      </c>
      <c r="C221" s="77" t="s">
        <v>57</v>
      </c>
      <c r="D221" s="103" t="s">
        <v>91</v>
      </c>
      <c r="E221" s="77" t="s">
        <v>92</v>
      </c>
      <c r="F221" s="83" t="s">
        <v>58</v>
      </c>
      <c r="G221" s="83" t="s">
        <v>65</v>
      </c>
      <c r="H221" s="77" t="s">
        <v>290</v>
      </c>
      <c r="I221" s="83"/>
      <c r="J221" s="156" t="s">
        <v>80</v>
      </c>
      <c r="K221" s="83">
        <v>2020</v>
      </c>
      <c r="L221" s="84">
        <v>1</v>
      </c>
      <c r="M221" s="85">
        <f>75242/4</f>
        <v>18810.5</v>
      </c>
      <c r="N221" s="85">
        <f>Table47[[#This Row],[Expected Revenue]]*Table47[[#This Row],[Probability]]</f>
        <v>18810.5</v>
      </c>
      <c r="O221" s="84">
        <v>0.3</v>
      </c>
      <c r="P221" s="85">
        <f>Table47[[#This Row],[Expected Revenue]]*Table47[[#This Row],[Expected CMR]]</f>
        <v>5643.15</v>
      </c>
      <c r="Q221" s="209"/>
    </row>
    <row r="222" spans="1:17" hidden="1">
      <c r="A222" s="176" t="s">
        <v>3109</v>
      </c>
      <c r="B222" s="82" t="s">
        <v>117</v>
      </c>
      <c r="C222" s="77" t="s">
        <v>57</v>
      </c>
      <c r="D222" s="103" t="s">
        <v>113</v>
      </c>
      <c r="E222" s="77" t="s">
        <v>62</v>
      </c>
      <c r="F222" s="83" t="s">
        <v>58</v>
      </c>
      <c r="G222" s="83" t="s">
        <v>65</v>
      </c>
      <c r="H222" s="77" t="s">
        <v>290</v>
      </c>
      <c r="I222" s="83"/>
      <c r="J222" s="110" t="s">
        <v>230</v>
      </c>
      <c r="K222" s="83">
        <v>2020</v>
      </c>
      <c r="L222" s="84">
        <v>1</v>
      </c>
      <c r="M222" s="85">
        <v>1969</v>
      </c>
      <c r="N222" s="85">
        <f>Table47[[#This Row],[Expected Revenue]]*Table47[[#This Row],[Probability]]</f>
        <v>1969</v>
      </c>
      <c r="O222" s="84">
        <v>0.3</v>
      </c>
      <c r="P222" s="85">
        <f>Table47[[#This Row],[Expected Revenue]]*Table47[[#This Row],[Expected CMR]]</f>
        <v>590.69999999999993</v>
      </c>
      <c r="Q222" s="209"/>
    </row>
    <row r="223" spans="1:17" hidden="1">
      <c r="A223" s="75" t="s">
        <v>3099</v>
      </c>
      <c r="B223" s="76" t="s">
        <v>137</v>
      </c>
      <c r="C223" s="77" t="s">
        <v>57</v>
      </c>
      <c r="D223" s="102" t="s">
        <v>214</v>
      </c>
      <c r="E223" s="77" t="s">
        <v>92</v>
      </c>
      <c r="F223" s="77" t="s">
        <v>58</v>
      </c>
      <c r="G223" s="77" t="s">
        <v>65</v>
      </c>
      <c r="H223" s="77" t="s">
        <v>290</v>
      </c>
      <c r="I223" s="77"/>
      <c r="J223" s="110" t="s">
        <v>80</v>
      </c>
      <c r="K223" s="83">
        <v>2020</v>
      </c>
      <c r="L223" s="78">
        <v>1</v>
      </c>
      <c r="M223" s="79">
        <v>10000</v>
      </c>
      <c r="N223" s="79">
        <f>Table47[[#This Row],[Expected Revenue]]*Table47[[#This Row],[Probability]]</f>
        <v>10000</v>
      </c>
      <c r="O223" s="78">
        <v>0.3</v>
      </c>
      <c r="P223" s="79">
        <v>3000</v>
      </c>
      <c r="Q223" s="209"/>
    </row>
    <row r="224" spans="1:17" hidden="1">
      <c r="A224" s="75" t="s">
        <v>3043</v>
      </c>
      <c r="B224" s="76" t="s">
        <v>117</v>
      </c>
      <c r="C224" s="77" t="s">
        <v>57</v>
      </c>
      <c r="D224" s="102" t="s">
        <v>112</v>
      </c>
      <c r="E224" s="77" t="s">
        <v>71</v>
      </c>
      <c r="F224" s="77" t="s">
        <v>58</v>
      </c>
      <c r="G224" s="77" t="s">
        <v>65</v>
      </c>
      <c r="H224" s="77" t="s">
        <v>290</v>
      </c>
      <c r="I224" s="77"/>
      <c r="J224" s="110" t="s">
        <v>80</v>
      </c>
      <c r="K224" s="83">
        <v>2020</v>
      </c>
      <c r="L224" s="78">
        <v>1</v>
      </c>
      <c r="M224" s="79">
        <f>30939-15000</f>
        <v>15939</v>
      </c>
      <c r="N224" s="79">
        <f>Table47[[#This Row],[Expected Revenue]]*Table47[[#This Row],[Probability]]</f>
        <v>15939</v>
      </c>
      <c r="O224" s="78">
        <v>0.3</v>
      </c>
      <c r="P224" s="79">
        <f>Table47[[#This Row],[Expected Revenue]]*Table47[[#This Row],[Expected CMR]]</f>
        <v>4781.7</v>
      </c>
      <c r="Q224" s="209"/>
    </row>
    <row r="225" spans="1:17" hidden="1">
      <c r="A225" s="75" t="s">
        <v>3111</v>
      </c>
      <c r="B225" s="76" t="s">
        <v>117</v>
      </c>
      <c r="C225" s="77" t="s">
        <v>57</v>
      </c>
      <c r="D225" s="102" t="s">
        <v>82</v>
      </c>
      <c r="E225" s="77" t="s">
        <v>62</v>
      </c>
      <c r="F225" s="77" t="s">
        <v>58</v>
      </c>
      <c r="G225" s="77" t="s">
        <v>65</v>
      </c>
      <c r="H225" s="77" t="s">
        <v>290</v>
      </c>
      <c r="I225" s="77"/>
      <c r="J225" s="110" t="s">
        <v>80</v>
      </c>
      <c r="K225" s="83">
        <v>2020</v>
      </c>
      <c r="L225" s="78">
        <v>1</v>
      </c>
      <c r="M225" s="79">
        <v>13900</v>
      </c>
      <c r="N225" s="79">
        <f>Table47[[#This Row],[Expected Revenue]]*Table47[[#This Row],[Probability]]</f>
        <v>13900</v>
      </c>
      <c r="O225" s="78">
        <v>0.3</v>
      </c>
      <c r="P225" s="79">
        <f>Table47[[#This Row],[Expected Revenue]]*Table47[[#This Row],[Expected CMR]]</f>
        <v>4170</v>
      </c>
      <c r="Q225" s="209"/>
    </row>
    <row r="226" spans="1:17" hidden="1">
      <c r="A226" s="75" t="s">
        <v>3156</v>
      </c>
      <c r="B226" s="76" t="s">
        <v>117</v>
      </c>
      <c r="C226" s="77" t="s">
        <v>57</v>
      </c>
      <c r="D226" s="102" t="s">
        <v>252</v>
      </c>
      <c r="E226" s="77" t="s">
        <v>92</v>
      </c>
      <c r="F226" s="77" t="s">
        <v>58</v>
      </c>
      <c r="G226" s="77" t="s">
        <v>65</v>
      </c>
      <c r="H226" s="77" t="s">
        <v>290</v>
      </c>
      <c r="I226" s="77"/>
      <c r="J226" s="110" t="s">
        <v>80</v>
      </c>
      <c r="K226" s="83">
        <v>2020</v>
      </c>
      <c r="L226" s="78">
        <v>1</v>
      </c>
      <c r="M226" s="79">
        <v>20000</v>
      </c>
      <c r="N226" s="79">
        <f>Table47[[#This Row],[Expected Revenue]]*Table47[[#This Row],[Probability]]</f>
        <v>20000</v>
      </c>
      <c r="O226" s="78">
        <v>0.3</v>
      </c>
      <c r="P226" s="79">
        <v>6000</v>
      </c>
      <c r="Q226" s="209"/>
    </row>
    <row r="227" spans="1:17" hidden="1">
      <c r="A227" s="75" t="s">
        <v>3077</v>
      </c>
      <c r="B227" s="76" t="s">
        <v>122</v>
      </c>
      <c r="C227" s="77" t="s">
        <v>57</v>
      </c>
      <c r="D227" s="102" t="s">
        <v>113</v>
      </c>
      <c r="E227" s="77" t="s">
        <v>62</v>
      </c>
      <c r="F227" s="77" t="s">
        <v>58</v>
      </c>
      <c r="G227" s="77" t="s">
        <v>65</v>
      </c>
      <c r="H227" s="77" t="s">
        <v>290</v>
      </c>
      <c r="I227" s="77"/>
      <c r="J227" s="110" t="s">
        <v>230</v>
      </c>
      <c r="K227" s="83">
        <v>2020</v>
      </c>
      <c r="L227" s="78">
        <v>1</v>
      </c>
      <c r="M227" s="79">
        <v>31969</v>
      </c>
      <c r="N227" s="79">
        <f>Table47[[#This Row],[Expected Revenue]]*Table47[[#This Row],[Probability]]</f>
        <v>31969</v>
      </c>
      <c r="O227" s="78">
        <v>0.3</v>
      </c>
      <c r="P227" s="79">
        <f>Table47[[#This Row],[Expected Revenue]]*Table47[[#This Row],[Expected CMR]]</f>
        <v>9590.6999999999989</v>
      </c>
      <c r="Q227" s="209"/>
    </row>
    <row r="228" spans="1:17" hidden="1">
      <c r="A228" s="75" t="s">
        <v>3047</v>
      </c>
      <c r="B228" s="76" t="s">
        <v>73</v>
      </c>
      <c r="C228" s="77" t="s">
        <v>57</v>
      </c>
      <c r="D228" s="102" t="s">
        <v>112</v>
      </c>
      <c r="E228" s="77" t="s">
        <v>71</v>
      </c>
      <c r="F228" s="77" t="s">
        <v>58</v>
      </c>
      <c r="G228" s="77" t="s">
        <v>65</v>
      </c>
      <c r="H228" s="77" t="s">
        <v>290</v>
      </c>
      <c r="I228" s="77"/>
      <c r="J228" s="110" t="s">
        <v>93</v>
      </c>
      <c r="K228" s="83">
        <v>2020</v>
      </c>
      <c r="L228" s="78">
        <v>1</v>
      </c>
      <c r="M228" s="79">
        <v>30939</v>
      </c>
      <c r="N228" s="79">
        <f>Table47[[#This Row],[Expected Revenue]]*Table47[[#This Row],[Probability]]</f>
        <v>30939</v>
      </c>
      <c r="O228" s="78">
        <v>0.3</v>
      </c>
      <c r="P228" s="79">
        <f>Table47[[#This Row],[Expected Revenue]]*Table47[[#This Row],[Expected CMR]]</f>
        <v>9281.6999999999989</v>
      </c>
      <c r="Q228" s="209"/>
    </row>
    <row r="229" spans="1:17" hidden="1">
      <c r="A229" s="75" t="s">
        <v>3090</v>
      </c>
      <c r="B229" s="76" t="s">
        <v>130</v>
      </c>
      <c r="C229" s="77" t="s">
        <v>57</v>
      </c>
      <c r="D229" s="102" t="s">
        <v>91</v>
      </c>
      <c r="E229" s="77" t="s">
        <v>92</v>
      </c>
      <c r="F229" s="77" t="s">
        <v>58</v>
      </c>
      <c r="G229" s="77" t="s">
        <v>65</v>
      </c>
      <c r="H229" s="77" t="s">
        <v>290</v>
      </c>
      <c r="I229" s="77"/>
      <c r="J229" s="110" t="s">
        <v>80</v>
      </c>
      <c r="K229" s="83">
        <v>2020</v>
      </c>
      <c r="L229" s="78">
        <v>1</v>
      </c>
      <c r="M229" s="79">
        <f>75242/4</f>
        <v>18810.5</v>
      </c>
      <c r="N229" s="79">
        <f>Table47[[#This Row],[Expected Revenue]]*Table47[[#This Row],[Probability]]</f>
        <v>18810.5</v>
      </c>
      <c r="O229" s="78">
        <v>0.3</v>
      </c>
      <c r="P229" s="79">
        <f>Table47[[#This Row],[Expected Revenue]]*Table47[[#This Row],[Expected CMR]]</f>
        <v>5643.15</v>
      </c>
      <c r="Q229" s="209"/>
    </row>
    <row r="230" spans="1:17" hidden="1">
      <c r="A230" s="173" t="s">
        <v>3157</v>
      </c>
      <c r="B230" s="76" t="s">
        <v>487</v>
      </c>
      <c r="C230" s="77" t="s">
        <v>57</v>
      </c>
      <c r="D230" s="102" t="s">
        <v>3158</v>
      </c>
      <c r="E230" s="77" t="s">
        <v>251</v>
      </c>
      <c r="F230" s="77" t="s">
        <v>58</v>
      </c>
      <c r="G230" s="77" t="s">
        <v>65</v>
      </c>
      <c r="H230" s="77" t="s">
        <v>290</v>
      </c>
      <c r="I230" s="76"/>
      <c r="J230" s="110" t="s">
        <v>222</v>
      </c>
      <c r="K230" s="83">
        <v>2020</v>
      </c>
      <c r="L230" s="78">
        <v>1</v>
      </c>
      <c r="M230" s="79">
        <v>17000</v>
      </c>
      <c r="N230" s="86">
        <f>Table47[[#This Row],[Expected Revenue]]*Table47[[#This Row],[Probability]]</f>
        <v>17000</v>
      </c>
      <c r="O230" s="78">
        <v>0.3</v>
      </c>
      <c r="P230" s="86">
        <f>Table47[[#This Row],[Expected Revenue]]*Table47[[#This Row],[Expected CMR]]</f>
        <v>5100</v>
      </c>
      <c r="Q230" s="210" t="s">
        <v>3159</v>
      </c>
    </row>
    <row r="231" spans="1:17" hidden="1">
      <c r="A231" s="173"/>
      <c r="B231" s="76" t="s">
        <v>323</v>
      </c>
      <c r="C231" s="77" t="s">
        <v>283</v>
      </c>
      <c r="D231" s="102" t="s">
        <v>92</v>
      </c>
      <c r="E231" s="77" t="s">
        <v>92</v>
      </c>
      <c r="F231" s="77" t="s">
        <v>58</v>
      </c>
      <c r="G231" s="77" t="s">
        <v>257</v>
      </c>
      <c r="H231" s="77" t="s">
        <v>257</v>
      </c>
      <c r="I231" s="76"/>
      <c r="J231" s="110"/>
      <c r="K231" s="83">
        <v>2020</v>
      </c>
      <c r="L231" s="78">
        <v>0.5</v>
      </c>
      <c r="M231" s="79">
        <v>10000</v>
      </c>
      <c r="N231" s="215">
        <f>Table47[[#This Row],[Expected Revenue]]*Table47[[#This Row],[Probability]]</f>
        <v>5000</v>
      </c>
      <c r="O231" s="78">
        <v>0.3</v>
      </c>
      <c r="P231" s="86">
        <f>Table47[[#This Row],[Expected Revenue]]*Table47[[#This Row],[Expected CMR]]</f>
        <v>3000</v>
      </c>
      <c r="Q231" s="209"/>
    </row>
    <row r="232" spans="1:17" hidden="1">
      <c r="A232" s="173"/>
      <c r="B232" s="76" t="s">
        <v>323</v>
      </c>
      <c r="C232" s="77" t="s">
        <v>283</v>
      </c>
      <c r="D232" s="102" t="s">
        <v>92</v>
      </c>
      <c r="E232" s="77" t="s">
        <v>92</v>
      </c>
      <c r="F232" s="77" t="s">
        <v>58</v>
      </c>
      <c r="G232" s="77" t="s">
        <v>257</v>
      </c>
      <c r="H232" s="77" t="s">
        <v>257</v>
      </c>
      <c r="I232" s="76"/>
      <c r="J232" s="110" t="s">
        <v>222</v>
      </c>
      <c r="K232" s="83">
        <v>2020</v>
      </c>
      <c r="L232" s="78">
        <v>1</v>
      </c>
      <c r="M232" s="79">
        <v>10000</v>
      </c>
      <c r="N232" s="86">
        <f>Table47[[#This Row],[Expected Revenue]]*Table47[[#This Row],[Probability]]</f>
        <v>10000</v>
      </c>
      <c r="O232" s="78">
        <v>0.3</v>
      </c>
      <c r="P232" s="86">
        <f>Table47[[#This Row],[Expected Revenue]]*Table47[[#This Row],[Expected CMR]]</f>
        <v>3000</v>
      </c>
      <c r="Q232" s="209" t="s">
        <v>3068</v>
      </c>
    </row>
    <row r="233" spans="1:17" hidden="1">
      <c r="A233" s="173"/>
      <c r="B233" s="76" t="s">
        <v>413</v>
      </c>
      <c r="C233" s="77" t="s">
        <v>283</v>
      </c>
      <c r="D233" s="102" t="s">
        <v>92</v>
      </c>
      <c r="E233" s="77" t="s">
        <v>92</v>
      </c>
      <c r="F233" s="77" t="s">
        <v>58</v>
      </c>
      <c r="G233" s="77" t="s">
        <v>257</v>
      </c>
      <c r="H233" s="77" t="s">
        <v>257</v>
      </c>
      <c r="I233" s="76"/>
      <c r="J233" s="110" t="s">
        <v>222</v>
      </c>
      <c r="K233" s="83">
        <v>2020</v>
      </c>
      <c r="L233" s="78">
        <v>1</v>
      </c>
      <c r="M233" s="79">
        <v>7000</v>
      </c>
      <c r="N233" s="86">
        <f>Table47[[#This Row],[Expected Revenue]]*Table47[[#This Row],[Probability]]</f>
        <v>7000</v>
      </c>
      <c r="O233" s="78">
        <v>0.3</v>
      </c>
      <c r="P233" s="86">
        <f>Table47[[#This Row],[Expected Revenue]]*Table47[[#This Row],[Expected CMR]]</f>
        <v>2100</v>
      </c>
      <c r="Q233" s="209" t="s">
        <v>3068</v>
      </c>
    </row>
    <row r="234" spans="1:17" hidden="1">
      <c r="A234" s="173"/>
      <c r="B234" s="76" t="s">
        <v>413</v>
      </c>
      <c r="C234" s="77" t="s">
        <v>283</v>
      </c>
      <c r="D234" s="102" t="s">
        <v>92</v>
      </c>
      <c r="E234" s="77" t="s">
        <v>92</v>
      </c>
      <c r="F234" s="77" t="s">
        <v>58</v>
      </c>
      <c r="G234" s="77" t="s">
        <v>257</v>
      </c>
      <c r="H234" s="77" t="s">
        <v>257</v>
      </c>
      <c r="I234" s="76"/>
      <c r="J234" s="110"/>
      <c r="K234" s="83">
        <v>2020</v>
      </c>
      <c r="L234" s="78">
        <v>0.5</v>
      </c>
      <c r="M234" s="79">
        <v>20000</v>
      </c>
      <c r="N234" s="215">
        <f>Table47[[#This Row],[Expected Revenue]]*Table47[[#This Row],[Probability]]</f>
        <v>10000</v>
      </c>
      <c r="O234" s="78">
        <v>0.3</v>
      </c>
      <c r="P234" s="86">
        <f>Table47[[#This Row],[Expected Revenue]]*Table47[[#This Row],[Expected CMR]]</f>
        <v>6000</v>
      </c>
      <c r="Q234" s="210"/>
    </row>
    <row r="235" spans="1:17" hidden="1">
      <c r="A235" s="75" t="s">
        <v>3095</v>
      </c>
      <c r="B235" s="76" t="s">
        <v>137</v>
      </c>
      <c r="C235" s="77" t="s">
        <v>57</v>
      </c>
      <c r="D235" s="102" t="s">
        <v>97</v>
      </c>
      <c r="E235" s="77" t="s">
        <v>92</v>
      </c>
      <c r="F235" s="77" t="s">
        <v>58</v>
      </c>
      <c r="G235" s="77" t="s">
        <v>65</v>
      </c>
      <c r="H235" s="77" t="s">
        <v>290</v>
      </c>
      <c r="I235" s="77"/>
      <c r="J235" s="110" t="s">
        <v>84</v>
      </c>
      <c r="K235" s="83">
        <v>2020</v>
      </c>
      <c r="L235" s="78">
        <v>1</v>
      </c>
      <c r="M235" s="79">
        <v>8622</v>
      </c>
      <c r="N235" s="214">
        <f>Table47[[#This Row],[Expected Revenue]]*Table47[[#This Row],[Probability]]</f>
        <v>8622</v>
      </c>
      <c r="O235" s="78">
        <v>0.3</v>
      </c>
      <c r="P235" s="79">
        <f>Table47[[#This Row],[Expected Revenue]]*Table47[[#This Row],[Expected CMR]]</f>
        <v>2586.6</v>
      </c>
      <c r="Q235" s="209"/>
    </row>
    <row r="236" spans="1:17" hidden="1">
      <c r="A236" s="75" t="s">
        <v>3160</v>
      </c>
      <c r="B236" s="76" t="s">
        <v>73</v>
      </c>
      <c r="C236" s="77" t="s">
        <v>57</v>
      </c>
      <c r="D236" s="102" t="s">
        <v>3161</v>
      </c>
      <c r="E236" s="77" t="s">
        <v>92</v>
      </c>
      <c r="F236" s="77" t="s">
        <v>58</v>
      </c>
      <c r="G236" s="77" t="s">
        <v>65</v>
      </c>
      <c r="H236" s="77" t="s">
        <v>290</v>
      </c>
      <c r="I236" s="77"/>
      <c r="J236" s="110" t="s">
        <v>229</v>
      </c>
      <c r="K236" s="83">
        <v>2020</v>
      </c>
      <c r="L236" s="78">
        <v>1</v>
      </c>
      <c r="M236" s="79">
        <v>4000</v>
      </c>
      <c r="N236" s="222">
        <f>Table47[[#This Row],[Expected Revenue]]*Table47[[#This Row],[Probability]]</f>
        <v>4000</v>
      </c>
      <c r="O236" s="78">
        <v>0.3</v>
      </c>
      <c r="P236" s="79">
        <f>Table47[[#This Row],[Expected Revenue]]*Table47[[#This Row],[Expected CMR]]</f>
        <v>1200</v>
      </c>
      <c r="Q236" s="209"/>
    </row>
    <row r="237" spans="1:17" hidden="1">
      <c r="A237" s="173"/>
      <c r="B237" s="202" t="s">
        <v>3162</v>
      </c>
      <c r="C237" s="77" t="s">
        <v>3163</v>
      </c>
      <c r="D237" s="102" t="s">
        <v>3164</v>
      </c>
      <c r="E237" s="77" t="s">
        <v>281</v>
      </c>
      <c r="F237" s="77" t="s">
        <v>58</v>
      </c>
      <c r="G237" s="77" t="s">
        <v>295</v>
      </c>
      <c r="H237" s="77" t="s">
        <v>290</v>
      </c>
      <c r="I237" s="76"/>
      <c r="J237" s="110" t="s">
        <v>84</v>
      </c>
      <c r="K237" s="83">
        <v>2020</v>
      </c>
      <c r="L237" s="78">
        <v>1</v>
      </c>
      <c r="M237" s="79">
        <v>9000</v>
      </c>
      <c r="N237" s="215">
        <f>Table47[[#This Row],[Expected Revenue]]*Table47[[#This Row],[Probability]]</f>
        <v>9000</v>
      </c>
      <c r="O237" s="78"/>
      <c r="P237" s="86">
        <f>Table47[[#This Row],[Expected Revenue]]*Table47[[#This Row],[Expected CMR]]</f>
        <v>0</v>
      </c>
      <c r="Q237" s="210"/>
    </row>
    <row r="238" spans="1:17" hidden="1">
      <c r="A238" s="75" t="s">
        <v>3038</v>
      </c>
      <c r="B238" s="76" t="s">
        <v>104</v>
      </c>
      <c r="C238" s="77" t="s">
        <v>57</v>
      </c>
      <c r="D238" s="102" t="s">
        <v>91</v>
      </c>
      <c r="E238" s="77" t="s">
        <v>92</v>
      </c>
      <c r="F238" s="77" t="s">
        <v>58</v>
      </c>
      <c r="G238" s="77" t="s">
        <v>65</v>
      </c>
      <c r="H238" s="77" t="s">
        <v>290</v>
      </c>
      <c r="I238" s="77"/>
      <c r="J238" s="110" t="s">
        <v>230</v>
      </c>
      <c r="K238" s="83">
        <v>2020</v>
      </c>
      <c r="L238" s="78">
        <v>1</v>
      </c>
      <c r="M238" s="79">
        <v>6810</v>
      </c>
      <c r="N238" s="79">
        <f>Table47[[#This Row],[Expected Revenue]]*Table47[[#This Row],[Probability]]</f>
        <v>6810</v>
      </c>
      <c r="O238" s="78">
        <v>0.3</v>
      </c>
      <c r="P238" s="79">
        <f>Table47[[#This Row],[Expected Revenue]]*Table47[[#This Row],[Expected CMR]]</f>
        <v>2043</v>
      </c>
      <c r="Q238" s="209"/>
    </row>
    <row r="239" spans="1:17" hidden="1">
      <c r="A239" s="75" t="s">
        <v>3095</v>
      </c>
      <c r="B239" s="76" t="s">
        <v>137</v>
      </c>
      <c r="C239" s="77" t="s">
        <v>57</v>
      </c>
      <c r="D239" s="102" t="s">
        <v>91</v>
      </c>
      <c r="E239" s="77" t="s">
        <v>92</v>
      </c>
      <c r="F239" s="77" t="s">
        <v>58</v>
      </c>
      <c r="G239" s="77" t="s">
        <v>65</v>
      </c>
      <c r="H239" s="77" t="s">
        <v>290</v>
      </c>
      <c r="I239" s="77"/>
      <c r="J239" s="110" t="s">
        <v>230</v>
      </c>
      <c r="K239" s="83">
        <v>2020</v>
      </c>
      <c r="L239" s="78">
        <v>1</v>
      </c>
      <c r="M239" s="79">
        <f>75242/4</f>
        <v>18810.5</v>
      </c>
      <c r="N239" s="79">
        <f>Table47[[#This Row],[Expected Revenue]]*Table47[[#This Row],[Probability]]</f>
        <v>18810.5</v>
      </c>
      <c r="O239" s="78">
        <v>0.3</v>
      </c>
      <c r="P239" s="79">
        <f>Table47[[#This Row],[Expected Revenue]]*Table47[[#This Row],[Expected CMR]]</f>
        <v>5643.15</v>
      </c>
      <c r="Q239" s="209"/>
    </row>
    <row r="240" spans="1:17" hidden="1">
      <c r="A240" s="75" t="s">
        <v>3048</v>
      </c>
      <c r="B240" s="76" t="s">
        <v>73</v>
      </c>
      <c r="C240" s="77" t="s">
        <v>57</v>
      </c>
      <c r="D240" s="102" t="s">
        <v>113</v>
      </c>
      <c r="E240" s="77" t="s">
        <v>62</v>
      </c>
      <c r="F240" s="77" t="s">
        <v>58</v>
      </c>
      <c r="G240" s="77" t="s">
        <v>65</v>
      </c>
      <c r="H240" s="77" t="s">
        <v>290</v>
      </c>
      <c r="I240" s="77"/>
      <c r="J240" s="110" t="s">
        <v>93</v>
      </c>
      <c r="K240" s="83">
        <v>2020</v>
      </c>
      <c r="L240" s="78">
        <v>1</v>
      </c>
      <c r="M240" s="79">
        <v>30000</v>
      </c>
      <c r="N240" s="79">
        <f>Table47[[#This Row],[Expected Revenue]]*Table47[[#This Row],[Probability]]</f>
        <v>30000</v>
      </c>
      <c r="O240" s="78">
        <v>0.3</v>
      </c>
      <c r="P240" s="79">
        <f>Table47[[#This Row],[Expected Revenue]]*Table47[[#This Row],[Expected CMR]]</f>
        <v>9000</v>
      </c>
      <c r="Q240" s="209"/>
    </row>
    <row r="241" spans="1:17" hidden="1">
      <c r="A241" s="75" t="s">
        <v>3103</v>
      </c>
      <c r="B241" s="76" t="s">
        <v>146</v>
      </c>
      <c r="C241" s="77" t="s">
        <v>57</v>
      </c>
      <c r="D241" s="102" t="s">
        <v>91</v>
      </c>
      <c r="E241" s="77" t="s">
        <v>92</v>
      </c>
      <c r="F241" s="77" t="s">
        <v>58</v>
      </c>
      <c r="G241" s="77" t="s">
        <v>65</v>
      </c>
      <c r="H241" s="77" t="s">
        <v>290</v>
      </c>
      <c r="I241" s="77"/>
      <c r="J241" s="110" t="s">
        <v>230</v>
      </c>
      <c r="K241" s="83">
        <v>2020</v>
      </c>
      <c r="L241" s="78">
        <v>1</v>
      </c>
      <c r="M241" s="79">
        <f>75242/4</f>
        <v>18810.5</v>
      </c>
      <c r="N241" s="79">
        <f>Table47[[#This Row],[Expected Revenue]]*Table47[[#This Row],[Probability]]</f>
        <v>18810.5</v>
      </c>
      <c r="O241" s="78">
        <v>0.3</v>
      </c>
      <c r="P241" s="79">
        <f>Table47[[#This Row],[Expected Revenue]]*Table47[[#This Row],[Expected CMR]]</f>
        <v>5643.15</v>
      </c>
      <c r="Q241" s="209"/>
    </row>
    <row r="242" spans="1:17" hidden="1">
      <c r="A242" s="173"/>
      <c r="B242" s="76" t="s">
        <v>296</v>
      </c>
      <c r="C242" s="77"/>
      <c r="D242" s="76"/>
      <c r="E242" s="77" t="s">
        <v>251</v>
      </c>
      <c r="F242" s="77"/>
      <c r="G242" s="77"/>
      <c r="H242" s="77" t="s">
        <v>296</v>
      </c>
      <c r="I242" s="76"/>
      <c r="J242" s="110" t="s">
        <v>230</v>
      </c>
      <c r="K242" s="83">
        <v>2020</v>
      </c>
      <c r="L242" s="78">
        <v>1</v>
      </c>
      <c r="M242" s="79">
        <v>150000</v>
      </c>
      <c r="N242" s="86">
        <f>Table47[[#This Row],[Expected Revenue]]*Table47[[#This Row],[Probability]]</f>
        <v>150000</v>
      </c>
      <c r="O242" s="78">
        <v>0.3</v>
      </c>
      <c r="P242" s="86">
        <f>Table47[[#This Row],[Expected Revenue]]*Table47[[#This Row],[Expected CMR]]</f>
        <v>45000</v>
      </c>
      <c r="Q242" s="210"/>
    </row>
    <row r="243" spans="1:17" hidden="1">
      <c r="A243" s="173"/>
      <c r="B243" s="76" t="s">
        <v>3165</v>
      </c>
      <c r="C243" s="77" t="s">
        <v>398</v>
      </c>
      <c r="D243" s="102" t="s">
        <v>3143</v>
      </c>
      <c r="E243" s="77" t="s">
        <v>71</v>
      </c>
      <c r="F243" s="77" t="s">
        <v>158</v>
      </c>
      <c r="G243" s="77" t="s">
        <v>65</v>
      </c>
      <c r="H243" s="77" t="s">
        <v>290</v>
      </c>
      <c r="I243" s="77"/>
      <c r="J243" s="110" t="s">
        <v>68</v>
      </c>
      <c r="K243" s="77">
        <v>2019</v>
      </c>
      <c r="L243" s="78">
        <v>1</v>
      </c>
      <c r="M243" s="79">
        <v>50000</v>
      </c>
      <c r="N243" s="79">
        <f>Table47[[#This Row],[Expected Revenue]]*Table47[[#This Row],[Probability]]</f>
        <v>50000</v>
      </c>
      <c r="O243" s="78">
        <v>0.3</v>
      </c>
      <c r="P243" s="79">
        <f>Table47[[#This Row],[Expected Revenue]]*Table47[[#This Row],[Expected CMR]]</f>
        <v>15000</v>
      </c>
      <c r="Q243" s="209"/>
    </row>
    <row r="244" spans="1:17" hidden="1">
      <c r="A244" s="173"/>
      <c r="B244" s="76" t="s">
        <v>2725</v>
      </c>
      <c r="C244" s="77" t="s">
        <v>57</v>
      </c>
      <c r="D244" s="76" t="s">
        <v>3166</v>
      </c>
      <c r="E244" s="77"/>
      <c r="F244" s="77" t="s">
        <v>58</v>
      </c>
      <c r="G244" s="77"/>
      <c r="H244" s="77" t="s">
        <v>257</v>
      </c>
      <c r="I244" s="77" t="s">
        <v>3167</v>
      </c>
      <c r="J244" s="110" t="s">
        <v>231</v>
      </c>
      <c r="K244" s="77">
        <v>2019</v>
      </c>
      <c r="L244" s="78">
        <v>0.15</v>
      </c>
      <c r="M244" s="79">
        <v>29131</v>
      </c>
      <c r="N244" s="86">
        <f>Table47[[#This Row],[Expected Revenue]]*Table47[[#This Row],[Probability]]</f>
        <v>4369.6499999999996</v>
      </c>
      <c r="O244" s="78">
        <v>0.3</v>
      </c>
      <c r="P244" s="86">
        <f>Table47[[#This Row],[Expected Revenue]]*Table47[[#This Row],[Expected CMR]]</f>
        <v>8739.2999999999993</v>
      </c>
      <c r="Q244" s="210"/>
    </row>
    <row r="245" spans="1:17" hidden="1">
      <c r="A245" s="173"/>
      <c r="B245" s="76" t="s">
        <v>2725</v>
      </c>
      <c r="C245" s="77" t="s">
        <v>57</v>
      </c>
      <c r="D245" s="76" t="s">
        <v>3168</v>
      </c>
      <c r="E245" s="77"/>
      <c r="F245" s="77" t="s">
        <v>58</v>
      </c>
      <c r="G245" s="77"/>
      <c r="H245" s="77" t="s">
        <v>257</v>
      </c>
      <c r="I245" s="77" t="s">
        <v>3169</v>
      </c>
      <c r="J245" s="110" t="s">
        <v>231</v>
      </c>
      <c r="K245" s="77">
        <v>2019</v>
      </c>
      <c r="L245" s="78">
        <v>0.15</v>
      </c>
      <c r="M245" s="79">
        <v>3067</v>
      </c>
      <c r="N245" s="86">
        <f>Table47[[#This Row],[Expected Revenue]]*Table47[[#This Row],[Probability]]</f>
        <v>460.05</v>
      </c>
      <c r="O245" s="78">
        <v>0.3</v>
      </c>
      <c r="P245" s="86">
        <f>Table47[[#This Row],[Expected Revenue]]*Table47[[#This Row],[Expected CMR]]</f>
        <v>920.1</v>
      </c>
      <c r="Q245" s="210"/>
    </row>
    <row r="246" spans="1:17" hidden="1">
      <c r="A246" s="173"/>
      <c r="B246" s="76" t="s">
        <v>296</v>
      </c>
      <c r="C246" s="77"/>
      <c r="D246" s="102"/>
      <c r="E246" s="77" t="s">
        <v>251</v>
      </c>
      <c r="F246" s="77"/>
      <c r="G246" s="77"/>
      <c r="H246" s="77" t="s">
        <v>296</v>
      </c>
      <c r="I246" s="76"/>
      <c r="J246" s="110" t="s">
        <v>68</v>
      </c>
      <c r="K246" s="77">
        <v>2019</v>
      </c>
      <c r="L246" s="78">
        <v>1</v>
      </c>
      <c r="M246" s="79">
        <v>100000</v>
      </c>
      <c r="N246" s="86">
        <f>Table47[[#This Row],[Expected Revenue]]*Table47[[#This Row],[Probability]]</f>
        <v>100000</v>
      </c>
      <c r="O246" s="78">
        <v>0.3</v>
      </c>
      <c r="P246" s="86">
        <f>Table47[[#This Row],[Expected Revenue]]*Table47[[#This Row],[Expected CMR]]</f>
        <v>30000</v>
      </c>
      <c r="Q246" s="210"/>
    </row>
    <row r="247" spans="1:17" hidden="1">
      <c r="A247" s="173"/>
      <c r="B247" s="76" t="s">
        <v>2451</v>
      </c>
      <c r="C247" s="77" t="s">
        <v>172</v>
      </c>
      <c r="D247" s="102" t="s">
        <v>3170</v>
      </c>
      <c r="E247" s="77" t="s">
        <v>3146</v>
      </c>
      <c r="F247" s="77" t="s">
        <v>158</v>
      </c>
      <c r="G247" s="77" t="s">
        <v>256</v>
      </c>
      <c r="H247" s="77" t="s">
        <v>290</v>
      </c>
      <c r="I247" s="77"/>
      <c r="J247" s="110" t="s">
        <v>68</v>
      </c>
      <c r="K247" s="77">
        <v>2019</v>
      </c>
      <c r="L247" s="78">
        <v>1</v>
      </c>
      <c r="M247" s="79">
        <v>10000</v>
      </c>
      <c r="N247" s="79">
        <f>Table47[[#This Row],[Expected Revenue]]*Table47[[#This Row],[Probability]]</f>
        <v>10000</v>
      </c>
      <c r="O247" s="78">
        <v>0.3</v>
      </c>
      <c r="P247" s="79">
        <f>Table47[[#This Row],[Expected Revenue]]*Table47[[#This Row],[Expected CMR]]</f>
        <v>3000</v>
      </c>
      <c r="Q247" s="209"/>
    </row>
    <row r="248" spans="1:17" hidden="1">
      <c r="A248" s="75" t="s">
        <v>3171</v>
      </c>
      <c r="B248" s="76" t="s">
        <v>73</v>
      </c>
      <c r="C248" s="77" t="s">
        <v>57</v>
      </c>
      <c r="D248" s="102" t="s">
        <v>3155</v>
      </c>
      <c r="E248" s="77" t="s">
        <v>92</v>
      </c>
      <c r="F248" s="77" t="s">
        <v>58</v>
      </c>
      <c r="G248" s="77" t="s">
        <v>65</v>
      </c>
      <c r="H248" s="77" t="s">
        <v>290</v>
      </c>
      <c r="I248" s="77"/>
      <c r="J248" s="110" t="s">
        <v>229</v>
      </c>
      <c r="K248" s="77">
        <v>2020</v>
      </c>
      <c r="L248" s="78">
        <v>1</v>
      </c>
      <c r="M248" s="79">
        <v>5040</v>
      </c>
      <c r="N248" s="222">
        <f>Table47[[#This Row],[Expected Revenue]]*Table47[[#This Row],[Probability]]</f>
        <v>5040</v>
      </c>
      <c r="O248" s="78">
        <v>0.3</v>
      </c>
      <c r="P248" s="79">
        <f>Table47[[#This Row],[Expected Revenue]]*Table47[[#This Row],[Expected CMR]]</f>
        <v>1512</v>
      </c>
      <c r="Q248" s="209"/>
    </row>
    <row r="249" spans="1:17" hidden="1">
      <c r="A249" s="173"/>
      <c r="B249" s="76" t="s">
        <v>137</v>
      </c>
      <c r="C249" s="77" t="s">
        <v>57</v>
      </c>
      <c r="D249" s="76" t="s">
        <v>272</v>
      </c>
      <c r="E249" s="77" t="s">
        <v>92</v>
      </c>
      <c r="F249" s="77" t="s">
        <v>58</v>
      </c>
      <c r="G249" s="77" t="s">
        <v>65</v>
      </c>
      <c r="H249" s="77" t="s">
        <v>290</v>
      </c>
      <c r="I249" s="77"/>
      <c r="J249" s="110" t="s">
        <v>222</v>
      </c>
      <c r="K249" s="77">
        <v>2020</v>
      </c>
      <c r="L249" s="78">
        <v>1</v>
      </c>
      <c r="M249" s="79">
        <v>15000</v>
      </c>
      <c r="N249" s="86">
        <f>Table47[[#This Row],[Expected Revenue]]*Table47[[#This Row],[Probability]]</f>
        <v>15000</v>
      </c>
      <c r="O249" s="78">
        <v>0.3</v>
      </c>
      <c r="P249" s="86">
        <f>Table47[[#This Row],[Expected Revenue]]*Table47[[#This Row],[Expected CMR]]</f>
        <v>4500</v>
      </c>
      <c r="Q249" s="210" t="s">
        <v>3159</v>
      </c>
    </row>
    <row r="250" spans="1:17" hidden="1">
      <c r="A250" s="75" t="s">
        <v>3061</v>
      </c>
      <c r="B250" s="76" t="s">
        <v>114</v>
      </c>
      <c r="C250" s="77" t="s">
        <v>57</v>
      </c>
      <c r="D250" s="102" t="s">
        <v>91</v>
      </c>
      <c r="E250" s="77" t="s">
        <v>92</v>
      </c>
      <c r="F250" s="77" t="s">
        <v>58</v>
      </c>
      <c r="G250" s="77" t="s">
        <v>65</v>
      </c>
      <c r="H250" s="77" t="s">
        <v>290</v>
      </c>
      <c r="I250" s="77"/>
      <c r="J250" s="110" t="s">
        <v>230</v>
      </c>
      <c r="K250" s="77">
        <v>2020</v>
      </c>
      <c r="L250" s="78">
        <v>1</v>
      </c>
      <c r="M250" s="79">
        <f>75242/4</f>
        <v>18810.5</v>
      </c>
      <c r="N250" s="79">
        <f>Table47[[#This Row],[Expected Revenue]]*Table47[[#This Row],[Probability]]</f>
        <v>18810.5</v>
      </c>
      <c r="O250" s="78">
        <v>0.3</v>
      </c>
      <c r="P250" s="79">
        <f>Table47[[#This Row],[Expected Revenue]]*Table47[[#This Row],[Expected CMR]]</f>
        <v>5643.15</v>
      </c>
      <c r="Q250" s="209"/>
    </row>
    <row r="251" spans="1:17" hidden="1">
      <c r="A251" s="173" t="s">
        <v>3172</v>
      </c>
      <c r="B251" s="76" t="s">
        <v>487</v>
      </c>
      <c r="C251" s="77" t="s">
        <v>57</v>
      </c>
      <c r="D251" s="102" t="s">
        <v>3173</v>
      </c>
      <c r="E251" s="77" t="s">
        <v>62</v>
      </c>
      <c r="F251" s="77" t="s">
        <v>58</v>
      </c>
      <c r="G251" s="77" t="s">
        <v>65</v>
      </c>
      <c r="H251" s="77" t="s">
        <v>290</v>
      </c>
      <c r="I251" s="76"/>
      <c r="J251" s="110" t="s">
        <v>84</v>
      </c>
      <c r="K251" s="77">
        <v>2020</v>
      </c>
      <c r="L251" s="78">
        <v>1</v>
      </c>
      <c r="M251" s="79">
        <v>12000</v>
      </c>
      <c r="N251" s="215">
        <f>Table47[[#This Row],[Expected Revenue]]*Table47[[#This Row],[Probability]]</f>
        <v>12000</v>
      </c>
      <c r="O251" s="78">
        <v>0.3</v>
      </c>
      <c r="P251" s="86">
        <f>Table47[[#This Row],[Expected Revenue]]*Table47[[#This Row],[Expected CMR]]</f>
        <v>3600</v>
      </c>
      <c r="Q251" s="210"/>
    </row>
    <row r="252" spans="1:17">
      <c r="A252" s="173" t="s">
        <v>3057</v>
      </c>
      <c r="B252" s="76" t="s">
        <v>3058</v>
      </c>
      <c r="C252" s="77" t="s">
        <v>3059</v>
      </c>
      <c r="D252" s="102" t="s">
        <v>3060</v>
      </c>
      <c r="E252" s="77" t="s">
        <v>88</v>
      </c>
      <c r="F252" s="77" t="s">
        <v>58</v>
      </c>
      <c r="G252" s="77" t="s">
        <v>295</v>
      </c>
      <c r="H252" s="77" t="s">
        <v>290</v>
      </c>
      <c r="I252" s="76"/>
      <c r="J252" s="110" t="s">
        <v>231</v>
      </c>
      <c r="K252" s="77">
        <v>2020</v>
      </c>
      <c r="L252" s="78">
        <v>1</v>
      </c>
      <c r="M252" s="79">
        <v>14537</v>
      </c>
      <c r="N252" s="215">
        <f>Table47[[#This Row],[Expected Revenue]]*Table47[[#This Row],[Probability]]</f>
        <v>14537</v>
      </c>
      <c r="O252" s="78"/>
      <c r="P252" s="86">
        <f>Table47[[#This Row],[Expected Revenue]]*Table47[[#This Row],[Expected CMR]]</f>
        <v>0</v>
      </c>
      <c r="Q252" s="210"/>
    </row>
    <row r="253" spans="1:17" hidden="1">
      <c r="A253" s="75" t="s">
        <v>3175</v>
      </c>
      <c r="B253" s="76" t="s">
        <v>122</v>
      </c>
      <c r="C253" s="77" t="s">
        <v>57</v>
      </c>
      <c r="D253" s="102" t="s">
        <v>107</v>
      </c>
      <c r="E253" s="77" t="s">
        <v>291</v>
      </c>
      <c r="F253" s="77" t="s">
        <v>58</v>
      </c>
      <c r="G253" s="77" t="s">
        <v>65</v>
      </c>
      <c r="H253" s="77" t="s">
        <v>290</v>
      </c>
      <c r="I253" s="77"/>
      <c r="J253" s="110" t="s">
        <v>230</v>
      </c>
      <c r="K253" s="77">
        <v>2020</v>
      </c>
      <c r="L253" s="78">
        <v>1</v>
      </c>
      <c r="M253" s="79">
        <v>15000</v>
      </c>
      <c r="N253" s="79">
        <f>Table47[[#This Row],[Expected Revenue]]*Table47[[#This Row],[Probability]]</f>
        <v>15000</v>
      </c>
      <c r="O253" s="78">
        <v>0.3</v>
      </c>
      <c r="P253" s="79">
        <f>Table47[[#This Row],[Expected Revenue]]*Table47[[#This Row],[Expected CMR]]</f>
        <v>4500</v>
      </c>
      <c r="Q253" s="209"/>
    </row>
    <row r="254" spans="1:17" hidden="1">
      <c r="A254" s="173"/>
      <c r="B254" s="76" t="s">
        <v>3058</v>
      </c>
      <c r="C254" s="77" t="s">
        <v>3059</v>
      </c>
      <c r="D254" s="102" t="s">
        <v>3176</v>
      </c>
      <c r="E254" s="77" t="s">
        <v>291</v>
      </c>
      <c r="F254" s="77" t="s">
        <v>58</v>
      </c>
      <c r="G254" s="77" t="s">
        <v>295</v>
      </c>
      <c r="H254" s="77" t="s">
        <v>290</v>
      </c>
      <c r="I254" s="77"/>
      <c r="J254" s="110" t="s">
        <v>230</v>
      </c>
      <c r="K254" s="77">
        <v>2020</v>
      </c>
      <c r="L254" s="78">
        <v>1</v>
      </c>
      <c r="M254" s="79">
        <v>58784.22</v>
      </c>
      <c r="N254" s="86">
        <f>Table47[[#This Row],[Expected Revenue]]*Table47[[#This Row],[Probability]]</f>
        <v>58784.22</v>
      </c>
      <c r="O254" s="78">
        <v>0.3</v>
      </c>
      <c r="P254" s="86">
        <f>Table47[[#This Row],[Expected Revenue]]*Table47[[#This Row],[Expected CMR]]</f>
        <v>17635.266</v>
      </c>
      <c r="Q254" s="210"/>
    </row>
    <row r="255" spans="1:17" hidden="1">
      <c r="A255" s="173"/>
      <c r="B255" s="76" t="s">
        <v>137</v>
      </c>
      <c r="C255" s="77" t="s">
        <v>3059</v>
      </c>
      <c r="D255" s="102" t="s">
        <v>3176</v>
      </c>
      <c r="E255" s="77" t="s">
        <v>291</v>
      </c>
      <c r="F255" s="77" t="s">
        <v>58</v>
      </c>
      <c r="G255" s="77" t="s">
        <v>65</v>
      </c>
      <c r="H255" s="77" t="s">
        <v>290</v>
      </c>
      <c r="I255" s="77"/>
      <c r="J255" s="110" t="s">
        <v>139</v>
      </c>
      <c r="K255" s="77">
        <v>2020</v>
      </c>
      <c r="L255" s="78">
        <v>1</v>
      </c>
      <c r="M255" s="79">
        <v>59378</v>
      </c>
      <c r="N255" s="86">
        <f>Table47[[#This Row],[Expected Revenue]]*Table47[[#This Row],[Probability]]</f>
        <v>59378</v>
      </c>
      <c r="O255" s="78">
        <v>0.3</v>
      </c>
      <c r="P255" s="86">
        <f>Table47[[#This Row],[Expected Revenue]]*Table47[[#This Row],[Expected CMR]]</f>
        <v>17813.399999999998</v>
      </c>
      <c r="Q255" s="210"/>
    </row>
    <row r="256" spans="1:17" hidden="1">
      <c r="A256" s="75" t="s">
        <v>3062</v>
      </c>
      <c r="B256" s="76" t="s">
        <v>122</v>
      </c>
      <c r="C256" s="77" t="s">
        <v>57</v>
      </c>
      <c r="D256" s="102" t="s">
        <v>71</v>
      </c>
      <c r="E256" s="77" t="s">
        <v>71</v>
      </c>
      <c r="F256" s="77" t="s">
        <v>58</v>
      </c>
      <c r="G256" s="77" t="s">
        <v>65</v>
      </c>
      <c r="H256" s="77" t="s">
        <v>290</v>
      </c>
      <c r="I256" s="77"/>
      <c r="J256" s="110" t="s">
        <v>230</v>
      </c>
      <c r="K256" s="77">
        <v>2020</v>
      </c>
      <c r="L256" s="78">
        <v>1</v>
      </c>
      <c r="M256" s="79">
        <v>30000</v>
      </c>
      <c r="N256" s="79">
        <f>Table47[[#This Row],[Expected Revenue]]*Table47[[#This Row],[Probability]]</f>
        <v>30000</v>
      </c>
      <c r="O256" s="78">
        <v>0.3</v>
      </c>
      <c r="P256" s="79">
        <f>Table47[[#This Row],[Expected Revenue]]*Table47[[#This Row],[Expected CMR]]</f>
        <v>9000</v>
      </c>
      <c r="Q256" s="209"/>
    </row>
    <row r="257" spans="1:17" hidden="1">
      <c r="A257" s="173"/>
      <c r="B257" s="76" t="s">
        <v>73</v>
      </c>
      <c r="C257" s="77" t="s">
        <v>3059</v>
      </c>
      <c r="D257" s="102" t="s">
        <v>61</v>
      </c>
      <c r="E257" s="77" t="s">
        <v>298</v>
      </c>
      <c r="F257" s="77" t="s">
        <v>58</v>
      </c>
      <c r="G257" s="77" t="s">
        <v>297</v>
      </c>
      <c r="H257" s="77" t="s">
        <v>297</v>
      </c>
      <c r="I257" s="76"/>
      <c r="J257" s="110" t="s">
        <v>230</v>
      </c>
      <c r="K257" s="77">
        <v>2020</v>
      </c>
      <c r="L257" s="78">
        <v>1</v>
      </c>
      <c r="M257" s="79">
        <v>13761</v>
      </c>
      <c r="N257" s="86">
        <f>Table47[[#This Row],[Expected Revenue]]*Table47[[#This Row],[Probability]]</f>
        <v>13761</v>
      </c>
      <c r="O257" s="78">
        <v>0.3</v>
      </c>
      <c r="P257" s="86">
        <f>Table47[[#This Row],[Expected Revenue]]*Table47[[#This Row],[Expected CMR]]</f>
        <v>4128.3</v>
      </c>
      <c r="Q257" s="210"/>
    </row>
    <row r="258" spans="1:17" hidden="1">
      <c r="A258" s="173"/>
      <c r="B258" s="76" t="s">
        <v>117</v>
      </c>
      <c r="C258" s="77" t="s">
        <v>3059</v>
      </c>
      <c r="D258" s="102" t="s">
        <v>3177</v>
      </c>
      <c r="E258" s="77" t="s">
        <v>83</v>
      </c>
      <c r="F258" s="77" t="s">
        <v>58</v>
      </c>
      <c r="G258" s="77" t="s">
        <v>65</v>
      </c>
      <c r="H258" s="77" t="s">
        <v>290</v>
      </c>
      <c r="I258" s="76"/>
      <c r="J258" s="110" t="s">
        <v>80</v>
      </c>
      <c r="K258" s="77">
        <v>2020</v>
      </c>
      <c r="L258" s="78">
        <v>1</v>
      </c>
      <c r="M258" s="79">
        <v>10620</v>
      </c>
      <c r="N258" s="86">
        <f>Table47[[#This Row],[Expected Revenue]]*Table47[[#This Row],[Probability]]</f>
        <v>10620</v>
      </c>
      <c r="O258" s="78"/>
      <c r="P258" s="86">
        <f>Table47[[#This Row],[Expected Revenue]]*Table47[[#This Row],[Expected CMR]]</f>
        <v>0</v>
      </c>
      <c r="Q258" s="210"/>
    </row>
    <row r="259" spans="1:17" hidden="1">
      <c r="A259" s="173"/>
      <c r="B259" s="76" t="s">
        <v>3058</v>
      </c>
      <c r="C259" s="77" t="s">
        <v>3059</v>
      </c>
      <c r="D259" s="102" t="s">
        <v>61</v>
      </c>
      <c r="E259" s="77" t="s">
        <v>92</v>
      </c>
      <c r="F259" s="77" t="s">
        <v>58</v>
      </c>
      <c r="G259" s="77" t="s">
        <v>297</v>
      </c>
      <c r="H259" s="77" t="s">
        <v>297</v>
      </c>
      <c r="I259" s="76"/>
      <c r="J259" s="110" t="s">
        <v>139</v>
      </c>
      <c r="K259" s="77">
        <v>2020</v>
      </c>
      <c r="L259" s="78">
        <v>1</v>
      </c>
      <c r="M259" s="79">
        <v>10000</v>
      </c>
      <c r="N259" s="86">
        <f>Table47[[#This Row],[Expected Revenue]]*Table47[[#This Row],[Probability]]</f>
        <v>10000</v>
      </c>
      <c r="O259" s="78">
        <v>0.3</v>
      </c>
      <c r="P259" s="86">
        <f>Table47[[#This Row],[Expected Revenue]]*Table47[[#This Row],[Expected CMR]]</f>
        <v>3000</v>
      </c>
      <c r="Q259" s="210"/>
    </row>
    <row r="260" spans="1:17" hidden="1">
      <c r="A260" s="75" t="s">
        <v>3049</v>
      </c>
      <c r="B260" s="76" t="s">
        <v>73</v>
      </c>
      <c r="C260" s="77" t="s">
        <v>57</v>
      </c>
      <c r="D260" s="102" t="s">
        <v>91</v>
      </c>
      <c r="E260" s="77" t="s">
        <v>92</v>
      </c>
      <c r="F260" s="77" t="s">
        <v>58</v>
      </c>
      <c r="G260" s="77" t="s">
        <v>65</v>
      </c>
      <c r="H260" s="77" t="s">
        <v>290</v>
      </c>
      <c r="I260" s="77"/>
      <c r="J260" s="110" t="s">
        <v>93</v>
      </c>
      <c r="K260" s="77">
        <v>2020</v>
      </c>
      <c r="L260" s="78">
        <v>1</v>
      </c>
      <c r="M260" s="79">
        <f>75242/4</f>
        <v>18810.5</v>
      </c>
      <c r="N260" s="79">
        <f>Table47[[#This Row],[Expected Revenue]]*Table47[[#This Row],[Probability]]</f>
        <v>18810.5</v>
      </c>
      <c r="O260" s="78">
        <v>0.3</v>
      </c>
      <c r="P260" s="79">
        <f>Table47[[#This Row],[Expected Revenue]]*Table47[[#This Row],[Expected CMR]]</f>
        <v>5643.15</v>
      </c>
      <c r="Q260" s="209"/>
    </row>
    <row r="261" spans="1:17" hidden="1">
      <c r="A261" s="173"/>
      <c r="B261" s="76" t="s">
        <v>73</v>
      </c>
      <c r="C261" s="77" t="s">
        <v>3059</v>
      </c>
      <c r="D261" s="102" t="s">
        <v>3178</v>
      </c>
      <c r="E261" s="77" t="s">
        <v>92</v>
      </c>
      <c r="F261" s="77" t="s">
        <v>58</v>
      </c>
      <c r="G261" s="77" t="s">
        <v>65</v>
      </c>
      <c r="H261" s="77" t="s">
        <v>290</v>
      </c>
      <c r="I261" s="77"/>
      <c r="J261" s="110" t="s">
        <v>89</v>
      </c>
      <c r="K261" s="77">
        <v>2020</v>
      </c>
      <c r="L261" s="78">
        <v>1</v>
      </c>
      <c r="M261" s="79">
        <v>4000</v>
      </c>
      <c r="N261" s="79">
        <f>Table47[[#This Row],[Expected Revenue]]*Table47[[#This Row],[Probability]]</f>
        <v>4000</v>
      </c>
      <c r="O261" s="78">
        <v>0.3</v>
      </c>
      <c r="P261" s="79">
        <f>Table47[[#This Row],[Expected Revenue]]*Table47[[#This Row],[Expected CMR]]</f>
        <v>1200</v>
      </c>
      <c r="Q261" s="209"/>
    </row>
    <row r="262" spans="1:17" hidden="1">
      <c r="A262" s="173"/>
      <c r="B262" s="76" t="s">
        <v>137</v>
      </c>
      <c r="C262" s="77" t="s">
        <v>3059</v>
      </c>
      <c r="D262" s="102" t="s">
        <v>3178</v>
      </c>
      <c r="E262" s="77" t="s">
        <v>92</v>
      </c>
      <c r="F262" s="77" t="s">
        <v>58</v>
      </c>
      <c r="G262" s="77" t="s">
        <v>65</v>
      </c>
      <c r="H262" s="77" t="s">
        <v>290</v>
      </c>
      <c r="I262" s="77"/>
      <c r="J262" s="110" t="s">
        <v>222</v>
      </c>
      <c r="K262" s="77">
        <v>2020</v>
      </c>
      <c r="L262" s="78">
        <v>1</v>
      </c>
      <c r="M262" s="79">
        <v>5000</v>
      </c>
      <c r="N262" s="86">
        <f>Table47[[#This Row],[Expected Revenue]]*Table47[[#This Row],[Probability]]</f>
        <v>5000</v>
      </c>
      <c r="O262" s="78">
        <v>0.3</v>
      </c>
      <c r="P262" s="86">
        <f>Table47[[#This Row],[Expected Revenue]]*Table47[[#This Row],[Expected CMR]]</f>
        <v>1500</v>
      </c>
      <c r="Q262" s="210" t="s">
        <v>3159</v>
      </c>
    </row>
    <row r="263" spans="1:17" hidden="1">
      <c r="A263" s="173"/>
      <c r="B263" s="76" t="s">
        <v>3058</v>
      </c>
      <c r="C263" s="77" t="s">
        <v>3059</v>
      </c>
      <c r="D263" s="102" t="s">
        <v>3178</v>
      </c>
      <c r="E263" s="77" t="s">
        <v>92</v>
      </c>
      <c r="F263" s="77" t="s">
        <v>58</v>
      </c>
      <c r="G263" s="77" t="s">
        <v>65</v>
      </c>
      <c r="H263" s="77" t="s">
        <v>290</v>
      </c>
      <c r="I263" s="77"/>
      <c r="J263" s="110" t="s">
        <v>139</v>
      </c>
      <c r="K263" s="77">
        <v>2020</v>
      </c>
      <c r="L263" s="78">
        <v>1</v>
      </c>
      <c r="M263" s="79">
        <v>18622.271250000002</v>
      </c>
      <c r="N263" s="86">
        <f>Table47[[#This Row],[Expected Revenue]]*Table47[[#This Row],[Probability]]</f>
        <v>18622.271250000002</v>
      </c>
      <c r="O263" s="78">
        <v>0.3</v>
      </c>
      <c r="P263" s="86">
        <f>Table47[[#This Row],[Expected Revenue]]*Table47[[#This Row],[Expected CMR]]</f>
        <v>5586.6813750000001</v>
      </c>
      <c r="Q263" s="210"/>
    </row>
    <row r="264" spans="1:17" hidden="1">
      <c r="A264" s="173"/>
      <c r="B264" s="76" t="s">
        <v>130</v>
      </c>
      <c r="C264" s="77" t="s">
        <v>3059</v>
      </c>
      <c r="D264" s="102" t="s">
        <v>99</v>
      </c>
      <c r="E264" s="77" t="s">
        <v>92</v>
      </c>
      <c r="F264" s="77" t="s">
        <v>58</v>
      </c>
      <c r="G264" s="77" t="s">
        <v>65</v>
      </c>
      <c r="H264" s="77" t="s">
        <v>290</v>
      </c>
      <c r="I264" s="77"/>
      <c r="J264" s="110" t="s">
        <v>139</v>
      </c>
      <c r="K264" s="77">
        <v>2020</v>
      </c>
      <c r="L264" s="78">
        <v>1</v>
      </c>
      <c r="M264" s="79">
        <v>8000</v>
      </c>
      <c r="N264" s="86">
        <f>Table47[[#This Row],[Expected Revenue]]*Table47[[#This Row],[Probability]]</f>
        <v>8000</v>
      </c>
      <c r="O264" s="78">
        <v>0.3</v>
      </c>
      <c r="P264" s="86">
        <f>Table47[[#This Row],[Expected Revenue]]*Table47[[#This Row],[Expected CMR]]</f>
        <v>2400</v>
      </c>
      <c r="Q264" s="210"/>
    </row>
    <row r="265" spans="1:17" hidden="1">
      <c r="A265" s="173"/>
      <c r="B265" s="76" t="s">
        <v>130</v>
      </c>
      <c r="C265" s="77" t="s">
        <v>3059</v>
      </c>
      <c r="D265" s="102" t="s">
        <v>3178</v>
      </c>
      <c r="E265" s="77" t="s">
        <v>92</v>
      </c>
      <c r="F265" s="77" t="s">
        <v>58</v>
      </c>
      <c r="G265" s="77" t="s">
        <v>65</v>
      </c>
      <c r="H265" s="77" t="s">
        <v>290</v>
      </c>
      <c r="I265" s="77"/>
      <c r="J265" s="110" t="s">
        <v>139</v>
      </c>
      <c r="K265" s="77">
        <v>2020</v>
      </c>
      <c r="L265" s="78">
        <v>1</v>
      </c>
      <c r="M265" s="79">
        <v>4622.2712499999998</v>
      </c>
      <c r="N265" s="86">
        <f>Table47[[#This Row],[Expected Revenue]]*Table47[[#This Row],[Probability]]</f>
        <v>4622.2712499999998</v>
      </c>
      <c r="O265" s="78">
        <v>0.3</v>
      </c>
      <c r="P265" s="86">
        <f>Table47[[#This Row],[Expected Revenue]]*Table47[[#This Row],[Expected CMR]]</f>
        <v>1386.6813749999999</v>
      </c>
      <c r="Q265" s="210"/>
    </row>
    <row r="266" spans="1:17" hidden="1">
      <c r="A266" s="173"/>
      <c r="B266" s="76" t="s">
        <v>130</v>
      </c>
      <c r="C266" s="77" t="s">
        <v>3059</v>
      </c>
      <c r="D266" s="102" t="s">
        <v>3178</v>
      </c>
      <c r="E266" s="77" t="s">
        <v>92</v>
      </c>
      <c r="F266" s="77" t="s">
        <v>58</v>
      </c>
      <c r="G266" s="77" t="s">
        <v>65</v>
      </c>
      <c r="H266" s="77" t="s">
        <v>290</v>
      </c>
      <c r="I266" s="77"/>
      <c r="J266" s="110" t="s">
        <v>139</v>
      </c>
      <c r="K266" s="77">
        <v>2020</v>
      </c>
      <c r="L266" s="78">
        <v>1</v>
      </c>
      <c r="M266" s="79">
        <v>14000</v>
      </c>
      <c r="N266" s="86">
        <f>Table47[[#This Row],[Expected Revenue]]*Table47[[#This Row],[Probability]]</f>
        <v>14000</v>
      </c>
      <c r="O266" s="78">
        <v>0.3</v>
      </c>
      <c r="P266" s="86">
        <f>Table47[[#This Row],[Expected Revenue]]*Table47[[#This Row],[Expected CMR]]</f>
        <v>4200</v>
      </c>
      <c r="Q266" s="210"/>
    </row>
    <row r="267" spans="1:17" customFormat="1" hidden="1">
      <c r="A267" s="173"/>
      <c r="B267" s="76" t="s">
        <v>156</v>
      </c>
      <c r="C267" s="77" t="s">
        <v>157</v>
      </c>
      <c r="D267" s="102" t="s">
        <v>3179</v>
      </c>
      <c r="E267" s="77" t="s">
        <v>251</v>
      </c>
      <c r="F267" s="77" t="s">
        <v>58</v>
      </c>
      <c r="G267" s="77" t="s">
        <v>65</v>
      </c>
      <c r="H267" s="77" t="s">
        <v>290</v>
      </c>
      <c r="I267" s="76"/>
      <c r="J267" s="110" t="s">
        <v>230</v>
      </c>
      <c r="K267" s="77">
        <v>2020</v>
      </c>
      <c r="L267" s="78">
        <v>1</v>
      </c>
      <c r="M267" s="79">
        <v>25000</v>
      </c>
      <c r="N267" s="86">
        <f>Table47[[#This Row],[Expected Revenue]]*Table47[[#This Row],[Probability]]</f>
        <v>25000</v>
      </c>
      <c r="O267" s="78"/>
      <c r="P267" s="86">
        <f>Table47[[#This Row],[Expected Revenue]]*Table47[[#This Row],[Expected CMR]]</f>
        <v>0</v>
      </c>
      <c r="Q267" s="210"/>
    </row>
    <row r="268" spans="1:17" hidden="1">
      <c r="A268" s="173"/>
      <c r="B268" s="76" t="s">
        <v>156</v>
      </c>
      <c r="C268" s="77" t="s">
        <v>157</v>
      </c>
      <c r="D268" s="102" t="s">
        <v>3179</v>
      </c>
      <c r="E268" s="77" t="s">
        <v>251</v>
      </c>
      <c r="F268" s="77" t="s">
        <v>58</v>
      </c>
      <c r="G268" s="77" t="s">
        <v>65</v>
      </c>
      <c r="H268" s="77" t="s">
        <v>290</v>
      </c>
      <c r="I268" s="76"/>
      <c r="J268" s="110" t="s">
        <v>139</v>
      </c>
      <c r="K268" s="77">
        <v>2020</v>
      </c>
      <c r="L268" s="78">
        <v>1</v>
      </c>
      <c r="M268" s="79">
        <v>55000</v>
      </c>
      <c r="N268" s="86">
        <f>Table47[[#This Row],[Expected Revenue]]*Table47[[#This Row],[Probability]]</f>
        <v>55000</v>
      </c>
      <c r="O268" s="78">
        <v>0.3</v>
      </c>
      <c r="P268" s="86">
        <f>Table47[[#This Row],[Expected Revenue]]*Table47[[#This Row],[Expected CMR]]</f>
        <v>16500</v>
      </c>
      <c r="Q268" s="210"/>
    </row>
    <row r="269" spans="1:17" hidden="1">
      <c r="A269" s="173"/>
      <c r="B269" s="76" t="s">
        <v>104</v>
      </c>
      <c r="C269" s="77" t="s">
        <v>3059</v>
      </c>
      <c r="D269" s="102" t="s">
        <v>3178</v>
      </c>
      <c r="E269" s="77" t="s">
        <v>92</v>
      </c>
      <c r="F269" s="77" t="s">
        <v>58</v>
      </c>
      <c r="G269" s="77" t="s">
        <v>65</v>
      </c>
      <c r="H269" s="77" t="s">
        <v>290</v>
      </c>
      <c r="I269" s="76"/>
      <c r="J269" s="110" t="s">
        <v>222</v>
      </c>
      <c r="K269" s="77">
        <v>2020</v>
      </c>
      <c r="L269" s="78">
        <v>1</v>
      </c>
      <c r="M269" s="79">
        <v>10000</v>
      </c>
      <c r="N269" s="86">
        <f>Table47[[#This Row],[Expected Revenue]]*Table47[[#This Row],[Probability]]</f>
        <v>10000</v>
      </c>
      <c r="O269" s="78"/>
      <c r="P269" s="86">
        <f>Table47[[#This Row],[Expected Revenue]]*Table47[[#This Row],[Expected CMR]]</f>
        <v>0</v>
      </c>
      <c r="Q269" s="210" t="s">
        <v>3159</v>
      </c>
    </row>
    <row r="270" spans="1:17" hidden="1">
      <c r="A270" s="173"/>
      <c r="B270" s="76" t="s">
        <v>137</v>
      </c>
      <c r="C270" s="77" t="s">
        <v>3059</v>
      </c>
      <c r="D270" s="102" t="s">
        <v>3178</v>
      </c>
      <c r="E270" s="77" t="s">
        <v>92</v>
      </c>
      <c r="F270" s="77" t="s">
        <v>58</v>
      </c>
      <c r="G270" s="77" t="s">
        <v>65</v>
      </c>
      <c r="H270" s="77" t="s">
        <v>290</v>
      </c>
      <c r="I270" s="77"/>
      <c r="J270" s="110" t="s">
        <v>139</v>
      </c>
      <c r="K270" s="77">
        <v>2020</v>
      </c>
      <c r="L270" s="78">
        <v>1</v>
      </c>
      <c r="M270" s="79">
        <v>13622.27125</v>
      </c>
      <c r="N270" s="86">
        <f>Table47[[#This Row],[Expected Revenue]]*Table47[[#This Row],[Probability]]</f>
        <v>13622.27125</v>
      </c>
      <c r="O270" s="78">
        <v>0.3</v>
      </c>
      <c r="P270" s="86">
        <f>Table47[[#This Row],[Expected Revenue]]*Table47[[#This Row],[Expected CMR]]</f>
        <v>4086.6813749999997</v>
      </c>
      <c r="Q270" s="210"/>
    </row>
    <row r="271" spans="1:17" hidden="1">
      <c r="A271" s="173"/>
      <c r="B271" s="76" t="s">
        <v>117</v>
      </c>
      <c r="C271" s="77" t="s">
        <v>3059</v>
      </c>
      <c r="D271" s="102" t="s">
        <v>3178</v>
      </c>
      <c r="E271" s="77" t="s">
        <v>92</v>
      </c>
      <c r="F271" s="77" t="s">
        <v>58</v>
      </c>
      <c r="G271" s="77" t="s">
        <v>65</v>
      </c>
      <c r="H271" s="77" t="s">
        <v>290</v>
      </c>
      <c r="I271" s="76"/>
      <c r="J271" s="110" t="s">
        <v>222</v>
      </c>
      <c r="K271" s="77">
        <v>2020</v>
      </c>
      <c r="L271" s="78">
        <v>1</v>
      </c>
      <c r="M271" s="79">
        <v>4622</v>
      </c>
      <c r="N271" s="86">
        <f>Table47[[#This Row],[Expected Revenue]]*Table47[[#This Row],[Probability]]</f>
        <v>4622</v>
      </c>
      <c r="O271" s="78"/>
      <c r="P271" s="86">
        <f>Table47[[#This Row],[Expected Revenue]]*Table47[[#This Row],[Expected CMR]]</f>
        <v>0</v>
      </c>
      <c r="Q271" s="210" t="s">
        <v>3159</v>
      </c>
    </row>
    <row r="272" spans="1:17" hidden="1">
      <c r="A272" s="173"/>
      <c r="B272" s="202" t="s">
        <v>130</v>
      </c>
      <c r="C272" s="77" t="s">
        <v>3059</v>
      </c>
      <c r="D272" s="102" t="s">
        <v>3060</v>
      </c>
      <c r="E272" s="77" t="s">
        <v>88</v>
      </c>
      <c r="F272" s="77" t="s">
        <v>58</v>
      </c>
      <c r="G272" s="77" t="s">
        <v>295</v>
      </c>
      <c r="H272" s="77" t="s">
        <v>290</v>
      </c>
      <c r="I272" s="76"/>
      <c r="J272" s="110" t="s">
        <v>84</v>
      </c>
      <c r="K272" s="77">
        <v>2020</v>
      </c>
      <c r="L272" s="78">
        <v>1</v>
      </c>
      <c r="M272" s="79">
        <v>15000</v>
      </c>
      <c r="N272" s="215">
        <f>Table47[[#This Row],[Expected Revenue]]*Table47[[#This Row],[Probability]]</f>
        <v>15000</v>
      </c>
      <c r="O272" s="78"/>
      <c r="P272" s="86">
        <f>Table47[[#This Row],[Expected Revenue]]*Table47[[#This Row],[Expected CMR]]</f>
        <v>0</v>
      </c>
      <c r="Q272" s="210"/>
    </row>
    <row r="273" spans="1:17" hidden="1">
      <c r="A273" s="173"/>
      <c r="B273" s="76" t="s">
        <v>3180</v>
      </c>
      <c r="C273" s="77" t="s">
        <v>269</v>
      </c>
      <c r="D273" s="102" t="s">
        <v>270</v>
      </c>
      <c r="E273" s="77" t="s">
        <v>281</v>
      </c>
      <c r="F273" s="77" t="s">
        <v>158</v>
      </c>
      <c r="G273" s="77" t="s">
        <v>65</v>
      </c>
      <c r="H273" s="77" t="s">
        <v>290</v>
      </c>
      <c r="I273" s="76"/>
      <c r="J273" s="110" t="s">
        <v>219</v>
      </c>
      <c r="K273" s="77">
        <v>2020</v>
      </c>
      <c r="L273" s="78">
        <v>1</v>
      </c>
      <c r="M273" s="79">
        <v>7500</v>
      </c>
      <c r="N273" s="215">
        <f>Table47[[#This Row],[Expected Revenue]]*Table47[[#This Row],[Probability]]</f>
        <v>7500</v>
      </c>
      <c r="O273" s="78"/>
      <c r="P273" s="86">
        <f>Table47[[#This Row],[Expected Revenue]]*Table47[[#This Row],[Expected CMR]]</f>
        <v>0</v>
      </c>
      <c r="Q273" s="210"/>
    </row>
    <row r="274" spans="1:17" hidden="1">
      <c r="A274" s="173"/>
      <c r="B274" s="76" t="s">
        <v>3180</v>
      </c>
      <c r="C274" s="77" t="s">
        <v>269</v>
      </c>
      <c r="D274" s="102" t="s">
        <v>270</v>
      </c>
      <c r="E274" s="77" t="s">
        <v>281</v>
      </c>
      <c r="F274" s="77" t="s">
        <v>158</v>
      </c>
      <c r="G274" s="77" t="s">
        <v>65</v>
      </c>
      <c r="H274" s="77" t="s">
        <v>290</v>
      </c>
      <c r="I274" s="76"/>
      <c r="J274" s="110" t="s">
        <v>222</v>
      </c>
      <c r="K274" s="77">
        <v>2020</v>
      </c>
      <c r="L274" s="78">
        <v>1</v>
      </c>
      <c r="M274" s="79">
        <v>50000</v>
      </c>
      <c r="N274" s="86">
        <f>Table47[[#This Row],[Expected Revenue]]*Table47[[#This Row],[Probability]]</f>
        <v>50000</v>
      </c>
      <c r="O274" s="78"/>
      <c r="P274" s="86">
        <f>Table47[[#This Row],[Expected Revenue]]*Table47[[#This Row],[Expected CMR]]</f>
        <v>0</v>
      </c>
      <c r="Q274" s="210" t="s">
        <v>3159</v>
      </c>
    </row>
    <row r="275" spans="1:17" hidden="1">
      <c r="A275" s="173"/>
      <c r="B275" s="76" t="s">
        <v>296</v>
      </c>
      <c r="C275" s="77"/>
      <c r="D275" s="102"/>
      <c r="E275" s="77" t="s">
        <v>251</v>
      </c>
      <c r="F275" s="77" t="s">
        <v>58</v>
      </c>
      <c r="G275" s="77" t="s">
        <v>3181</v>
      </c>
      <c r="H275" s="77" t="s">
        <v>296</v>
      </c>
      <c r="I275" s="76"/>
      <c r="J275" s="110" t="s">
        <v>139</v>
      </c>
      <c r="K275" s="77">
        <v>2020</v>
      </c>
      <c r="L275" s="78">
        <v>1</v>
      </c>
      <c r="M275" s="79">
        <v>70000</v>
      </c>
      <c r="N275" s="86">
        <f>Table47[[#This Row],[Expected Revenue]]*Table47[[#This Row],[Probability]]</f>
        <v>70000</v>
      </c>
      <c r="O275" s="78">
        <v>0.3</v>
      </c>
      <c r="P275" s="86">
        <f>Table47[[#This Row],[Expected Revenue]]*Table47[[#This Row],[Expected CMR]]</f>
        <v>21000</v>
      </c>
      <c r="Q275" s="210"/>
    </row>
    <row r="276" spans="1:17" hidden="1">
      <c r="A276" s="173"/>
      <c r="B276" s="76" t="s">
        <v>146</v>
      </c>
      <c r="C276" s="77" t="s">
        <v>3059</v>
      </c>
      <c r="D276" s="102" t="s">
        <v>3182</v>
      </c>
      <c r="E276" s="77" t="s">
        <v>71</v>
      </c>
      <c r="F276" s="77" t="s">
        <v>58</v>
      </c>
      <c r="G276" s="77" t="s">
        <v>65</v>
      </c>
      <c r="H276" s="77" t="s">
        <v>290</v>
      </c>
      <c r="I276" s="76"/>
      <c r="J276" s="110" t="s">
        <v>219</v>
      </c>
      <c r="K276" s="83">
        <v>2020</v>
      </c>
      <c r="L276" s="78">
        <v>1</v>
      </c>
      <c r="M276" s="79">
        <v>30939</v>
      </c>
      <c r="N276" s="215">
        <f>Table47[[#This Row],[Expected Revenue]]*Table47[[#This Row],[Probability]]</f>
        <v>30939</v>
      </c>
      <c r="O276" s="78"/>
      <c r="P276" s="86">
        <f>Table47[[#This Row],[Expected Revenue]]*Table47[[#This Row],[Expected CMR]]</f>
        <v>0</v>
      </c>
      <c r="Q276" s="209"/>
    </row>
    <row r="277" spans="1:17" hidden="1">
      <c r="A277" s="173"/>
      <c r="B277" s="76" t="s">
        <v>146</v>
      </c>
      <c r="C277" s="77" t="s">
        <v>3059</v>
      </c>
      <c r="D277" s="102" t="s">
        <v>3182</v>
      </c>
      <c r="E277" s="77" t="s">
        <v>71</v>
      </c>
      <c r="F277" s="77" t="s">
        <v>58</v>
      </c>
      <c r="G277" s="77" t="s">
        <v>65</v>
      </c>
      <c r="H277" s="77" t="s">
        <v>290</v>
      </c>
      <c r="I277" s="76"/>
      <c r="J277" s="110" t="s">
        <v>222</v>
      </c>
      <c r="K277" s="83">
        <v>2020</v>
      </c>
      <c r="L277" s="78">
        <v>1</v>
      </c>
      <c r="M277" s="79">
        <v>30939</v>
      </c>
      <c r="N277" s="86">
        <f>Table47[[#This Row],[Expected Revenue]]*Table47[[#This Row],[Probability]]</f>
        <v>30939</v>
      </c>
      <c r="O277" s="78"/>
      <c r="P277" s="86">
        <f>Table47[[#This Row],[Expected Revenue]]*Table47[[#This Row],[Expected CMR]]</f>
        <v>0</v>
      </c>
      <c r="Q277" s="209" t="s">
        <v>3068</v>
      </c>
    </row>
    <row r="278" spans="1:17" hidden="1">
      <c r="A278" s="173"/>
      <c r="B278" s="76" t="s">
        <v>117</v>
      </c>
      <c r="C278" s="77" t="s">
        <v>3059</v>
      </c>
      <c r="D278" s="102" t="s">
        <v>3178</v>
      </c>
      <c r="E278" s="77" t="s">
        <v>92</v>
      </c>
      <c r="F278" s="77" t="s">
        <v>58</v>
      </c>
      <c r="G278" s="77" t="s">
        <v>65</v>
      </c>
      <c r="H278" s="77" t="s">
        <v>290</v>
      </c>
      <c r="I278" s="76"/>
      <c r="J278" s="110" t="s">
        <v>89</v>
      </c>
      <c r="K278" s="83">
        <v>2020</v>
      </c>
      <c r="L278" s="78">
        <v>1</v>
      </c>
      <c r="M278" s="79">
        <v>14000</v>
      </c>
      <c r="N278" s="86">
        <f>Table47[[#This Row],[Expected Revenue]]*Table47[[#This Row],[Probability]]</f>
        <v>14000</v>
      </c>
      <c r="O278" s="78"/>
      <c r="P278" s="86">
        <f>Table47[[#This Row],[Expected Revenue]]*Table47[[#This Row],[Expected CMR]]</f>
        <v>0</v>
      </c>
      <c r="Q278" s="210"/>
    </row>
    <row r="279" spans="1:17" hidden="1">
      <c r="A279" s="173" t="s">
        <v>3183</v>
      </c>
      <c r="B279" s="76" t="s">
        <v>104</v>
      </c>
      <c r="C279" s="77" t="s">
        <v>3059</v>
      </c>
      <c r="D279" s="102" t="s">
        <v>3182</v>
      </c>
      <c r="E279" s="77" t="s">
        <v>71</v>
      </c>
      <c r="F279" s="77" t="s">
        <v>58</v>
      </c>
      <c r="G279" s="77" t="s">
        <v>295</v>
      </c>
      <c r="H279" s="77" t="s">
        <v>290</v>
      </c>
      <c r="I279" s="76"/>
      <c r="J279" s="110" t="s">
        <v>229</v>
      </c>
      <c r="K279" s="83">
        <v>2020</v>
      </c>
      <c r="L279" s="78">
        <v>1</v>
      </c>
      <c r="M279" s="79">
        <v>30939</v>
      </c>
      <c r="N279" s="221">
        <f>Table47[[#This Row],[Expected Revenue]]*Table47[[#This Row],[Probability]]</f>
        <v>30939</v>
      </c>
      <c r="O279" s="78">
        <v>0.3</v>
      </c>
      <c r="P279" s="79">
        <f>Table47[[#This Row],[Expected Revenue]]*Table47[[#This Row],[Expected CMR]]</f>
        <v>9281.6999999999989</v>
      </c>
      <c r="Q279" s="210"/>
    </row>
    <row r="280" spans="1:17" hidden="1">
      <c r="A280" s="173" t="s">
        <v>3184</v>
      </c>
      <c r="B280" s="76" t="s">
        <v>104</v>
      </c>
      <c r="C280" s="77" t="s">
        <v>3059</v>
      </c>
      <c r="D280" s="102" t="s">
        <v>3185</v>
      </c>
      <c r="E280" s="77" t="s">
        <v>62</v>
      </c>
      <c r="F280" s="77" t="s">
        <v>58</v>
      </c>
      <c r="G280" s="77" t="s">
        <v>295</v>
      </c>
      <c r="H280" s="77" t="s">
        <v>290</v>
      </c>
      <c r="I280" s="76"/>
      <c r="J280" s="110" t="s">
        <v>229</v>
      </c>
      <c r="K280" s="83">
        <v>2020</v>
      </c>
      <c r="L280" s="78">
        <v>1</v>
      </c>
      <c r="M280" s="79">
        <f>31969-21000</f>
        <v>10969</v>
      </c>
      <c r="N280" s="221">
        <f>Table47[[#This Row],[Expected Revenue]]*Table47[[#This Row],[Probability]]</f>
        <v>10969</v>
      </c>
      <c r="O280" s="78">
        <v>0.3</v>
      </c>
      <c r="P280" s="79">
        <f>Table47[[#This Row],[Expected Revenue]]*Table47[[#This Row],[Expected CMR]]</f>
        <v>3290.7</v>
      </c>
      <c r="Q280" s="210"/>
    </row>
    <row r="281" spans="1:17" hidden="1">
      <c r="A281" s="75" t="s">
        <v>3171</v>
      </c>
      <c r="B281" s="76" t="s">
        <v>73</v>
      </c>
      <c r="C281" s="77" t="s">
        <v>57</v>
      </c>
      <c r="D281" s="102" t="s">
        <v>3155</v>
      </c>
      <c r="E281" s="77" t="s">
        <v>92</v>
      </c>
      <c r="F281" s="77" t="s">
        <v>58</v>
      </c>
      <c r="G281" s="77" t="s">
        <v>65</v>
      </c>
      <c r="H281" s="77" t="s">
        <v>290</v>
      </c>
      <c r="I281" s="77"/>
      <c r="J281" s="110" t="s">
        <v>219</v>
      </c>
      <c r="K281" s="83">
        <v>2020</v>
      </c>
      <c r="L281" s="78">
        <v>1</v>
      </c>
      <c r="M281" s="79">
        <f>18622*0.4</f>
        <v>7448.8</v>
      </c>
      <c r="N281" s="214">
        <f>Table47[[#This Row],[Expected Revenue]]*Table47[[#This Row],[Probability]]</f>
        <v>7448.8</v>
      </c>
      <c r="O281" s="78">
        <v>0.3</v>
      </c>
      <c r="P281" s="79">
        <f>Table47[[#This Row],[Expected Revenue]]*Table47[[#This Row],[Expected CMR]]</f>
        <v>2234.64</v>
      </c>
      <c r="Q281" s="209"/>
    </row>
    <row r="282" spans="1:17" hidden="1">
      <c r="A282" s="173"/>
      <c r="B282" s="202" t="s">
        <v>3180</v>
      </c>
      <c r="C282" s="77" t="s">
        <v>269</v>
      </c>
      <c r="D282" s="102" t="s">
        <v>270</v>
      </c>
      <c r="E282" s="77" t="s">
        <v>281</v>
      </c>
      <c r="F282" s="77" t="s">
        <v>158</v>
      </c>
      <c r="G282" s="77" t="s">
        <v>65</v>
      </c>
      <c r="H282" s="77" t="s">
        <v>290</v>
      </c>
      <c r="I282" s="76"/>
      <c r="J282" s="110" t="s">
        <v>84</v>
      </c>
      <c r="K282" s="83">
        <v>2020</v>
      </c>
      <c r="L282" s="78">
        <v>1</v>
      </c>
      <c r="M282" s="79">
        <v>15000</v>
      </c>
      <c r="N282" s="215">
        <f>Table47[[#This Row],[Expected Revenue]]*Table47[[#This Row],[Probability]]</f>
        <v>15000</v>
      </c>
      <c r="O282" s="78"/>
      <c r="P282" s="86">
        <f>Table47[[#This Row],[Expected Revenue]]*Table47[[#This Row],[Expected CMR]]</f>
        <v>0</v>
      </c>
      <c r="Q282" s="210"/>
    </row>
    <row r="283" spans="1:17" hidden="1">
      <c r="A283" s="173"/>
      <c r="B283" s="76" t="s">
        <v>114</v>
      </c>
      <c r="C283" s="77" t="s">
        <v>3059</v>
      </c>
      <c r="D283" s="102" t="s">
        <v>3178</v>
      </c>
      <c r="E283" s="77" t="s">
        <v>92</v>
      </c>
      <c r="F283" s="77" t="s">
        <v>58</v>
      </c>
      <c r="G283" s="77" t="s">
        <v>295</v>
      </c>
      <c r="H283" s="77" t="s">
        <v>290</v>
      </c>
      <c r="I283" s="76"/>
      <c r="J283" s="110" t="s">
        <v>230</v>
      </c>
      <c r="K283" s="77">
        <v>2020</v>
      </c>
      <c r="L283" s="78">
        <v>1</v>
      </c>
      <c r="M283" s="79">
        <v>5000</v>
      </c>
      <c r="N283" s="86">
        <f>Table47[[#This Row],[Expected Revenue]]*Table47[[#This Row],[Probability]]</f>
        <v>5000</v>
      </c>
      <c r="O283" s="78">
        <v>0.3</v>
      </c>
      <c r="P283" s="86">
        <f>Table47[[#This Row],[Expected Revenue]]*Table47[[#This Row],[Expected CMR]]</f>
        <v>1500</v>
      </c>
      <c r="Q283" s="210"/>
    </row>
    <row r="284" spans="1:17" s="186" customFormat="1" hidden="1">
      <c r="A284" s="201"/>
      <c r="B284" s="202" t="s">
        <v>73</v>
      </c>
      <c r="C284" s="203" t="s">
        <v>3059</v>
      </c>
      <c r="D284" s="204" t="s">
        <v>3186</v>
      </c>
      <c r="E284" s="203" t="s">
        <v>291</v>
      </c>
      <c r="F284" s="203" t="s">
        <v>58</v>
      </c>
      <c r="G284" s="203" t="s">
        <v>65</v>
      </c>
      <c r="H284" s="203" t="s">
        <v>290</v>
      </c>
      <c r="I284" s="203"/>
      <c r="J284" s="205" t="s">
        <v>89</v>
      </c>
      <c r="K284" s="203">
        <v>2020</v>
      </c>
      <c r="L284" s="206">
        <v>1</v>
      </c>
      <c r="M284" s="207">
        <v>5000</v>
      </c>
      <c r="N284" s="208">
        <f>Table47[[#This Row],[Expected Revenue]]*Table47[[#This Row],[Probability]]</f>
        <v>5000</v>
      </c>
      <c r="O284" s="206">
        <v>0.3</v>
      </c>
      <c r="P284" s="208">
        <f>Table47[[#This Row],[Expected Revenue]]*Table47[[#This Row],[Expected CMR]]</f>
        <v>1500</v>
      </c>
      <c r="Q284" s="211"/>
    </row>
    <row r="285" spans="1:17" hidden="1">
      <c r="A285" s="173"/>
      <c r="B285" s="76" t="s">
        <v>114</v>
      </c>
      <c r="C285" s="77" t="s">
        <v>3059</v>
      </c>
      <c r="D285" s="102" t="s">
        <v>3178</v>
      </c>
      <c r="E285" s="77" t="s">
        <v>92</v>
      </c>
      <c r="F285" s="77" t="s">
        <v>58</v>
      </c>
      <c r="G285" s="77" t="s">
        <v>65</v>
      </c>
      <c r="H285" s="77" t="s">
        <v>290</v>
      </c>
      <c r="I285" s="76"/>
      <c r="J285" s="110" t="s">
        <v>89</v>
      </c>
      <c r="K285" s="77">
        <v>2020</v>
      </c>
      <c r="L285" s="78">
        <v>1</v>
      </c>
      <c r="M285" s="79">
        <v>2622.2712499999998</v>
      </c>
      <c r="N285" s="86">
        <f>Table47[[#This Row],[Expected Revenue]]*Table47[[#This Row],[Probability]]</f>
        <v>2622.2712499999998</v>
      </c>
      <c r="O285" s="78">
        <v>0.3</v>
      </c>
      <c r="P285" s="86">
        <f>Table47[[#This Row],[Expected Revenue]]*Table47[[#This Row],[Expected CMR]]</f>
        <v>786.68137499999989</v>
      </c>
      <c r="Q285" s="210"/>
    </row>
    <row r="286" spans="1:17" hidden="1">
      <c r="A286" s="173"/>
      <c r="B286" s="76" t="s">
        <v>114</v>
      </c>
      <c r="C286" s="77" t="s">
        <v>3059</v>
      </c>
      <c r="D286" s="102" t="s">
        <v>3178</v>
      </c>
      <c r="E286" s="77" t="s">
        <v>92</v>
      </c>
      <c r="F286" s="77" t="s">
        <v>58</v>
      </c>
      <c r="G286" s="77" t="s">
        <v>65</v>
      </c>
      <c r="H286" s="77" t="s">
        <v>290</v>
      </c>
      <c r="I286" s="76"/>
      <c r="J286" s="110" t="s">
        <v>89</v>
      </c>
      <c r="K286" s="77">
        <v>2020</v>
      </c>
      <c r="L286" s="78">
        <v>1</v>
      </c>
      <c r="M286" s="79">
        <v>16000</v>
      </c>
      <c r="N286" s="86">
        <f>Table47[[#This Row],[Expected Revenue]]*Table47[[#This Row],[Probability]]</f>
        <v>16000</v>
      </c>
      <c r="O286" s="78">
        <v>0.3</v>
      </c>
      <c r="P286" s="86">
        <f>Table47[[#This Row],[Expected Revenue]]*Table47[[#This Row],[Expected CMR]]</f>
        <v>4800</v>
      </c>
      <c r="Q286" s="210"/>
    </row>
    <row r="287" spans="1:17" ht="21.6" hidden="1">
      <c r="A287" s="173"/>
      <c r="B287" s="76" t="s">
        <v>146</v>
      </c>
      <c r="C287" s="77" t="s">
        <v>57</v>
      </c>
      <c r="D287" s="102" t="s">
        <v>3187</v>
      </c>
      <c r="E287" s="77" t="s">
        <v>251</v>
      </c>
      <c r="F287" s="77" t="s">
        <v>58</v>
      </c>
      <c r="G287" s="77" t="s">
        <v>3027</v>
      </c>
      <c r="H287" s="77" t="s">
        <v>257</v>
      </c>
      <c r="I287" s="77" t="s">
        <v>3188</v>
      </c>
      <c r="J287" s="110" t="s">
        <v>230</v>
      </c>
      <c r="K287" s="77">
        <v>2020</v>
      </c>
      <c r="L287" s="78">
        <v>0.1</v>
      </c>
      <c r="M287" s="79">
        <v>49134</v>
      </c>
      <c r="N287" s="79">
        <f>Table47[[#This Row],[Expected Revenue]]*Table47[[#This Row],[Probability]]</f>
        <v>4913.4000000000005</v>
      </c>
      <c r="O287" s="78">
        <v>0.3</v>
      </c>
      <c r="P287" s="79">
        <f>Table47[[#This Row],[Expected Revenue]]*Table47[[#This Row],[Expected CMR]]</f>
        <v>14740.199999999999</v>
      </c>
      <c r="Q287" s="209"/>
    </row>
    <row r="288" spans="1:17" ht="21.6" hidden="1">
      <c r="A288" s="173"/>
      <c r="B288" s="76" t="s">
        <v>130</v>
      </c>
      <c r="C288" s="77" t="s">
        <v>57</v>
      </c>
      <c r="D288" s="102" t="s">
        <v>3189</v>
      </c>
      <c r="E288" s="77" t="s">
        <v>251</v>
      </c>
      <c r="F288" s="77" t="s">
        <v>58</v>
      </c>
      <c r="G288" s="77" t="s">
        <v>3027</v>
      </c>
      <c r="H288" s="77" t="s">
        <v>257</v>
      </c>
      <c r="I288" s="77" t="s">
        <v>3190</v>
      </c>
      <c r="J288" s="110" t="s">
        <v>230</v>
      </c>
      <c r="K288" s="77">
        <v>2020</v>
      </c>
      <c r="L288" s="78">
        <v>0.25</v>
      </c>
      <c r="M288" s="79">
        <v>32000</v>
      </c>
      <c r="N288" s="79">
        <f>Table47[[#This Row],[Expected Revenue]]*Table47[[#This Row],[Probability]]</f>
        <v>8000</v>
      </c>
      <c r="O288" s="78">
        <v>0.3</v>
      </c>
      <c r="P288" s="79">
        <f>Table47[[#This Row],[Expected Revenue]]*Table47[[#This Row],[Expected CMR]]</f>
        <v>9600</v>
      </c>
      <c r="Q288" s="209"/>
    </row>
    <row r="289" spans="1:17" ht="21.6" hidden="1">
      <c r="A289" s="173"/>
      <c r="B289" s="76" t="s">
        <v>3191</v>
      </c>
      <c r="C289" s="77" t="s">
        <v>126</v>
      </c>
      <c r="D289" s="102" t="s">
        <v>3192</v>
      </c>
      <c r="E289" s="77" t="s">
        <v>291</v>
      </c>
      <c r="F289" s="77" t="s">
        <v>58</v>
      </c>
      <c r="G289" s="77" t="s">
        <v>3027</v>
      </c>
      <c r="H289" s="77" t="s">
        <v>257</v>
      </c>
      <c r="I289" s="77" t="s">
        <v>3193</v>
      </c>
      <c r="J289" s="110" t="s">
        <v>230</v>
      </c>
      <c r="K289" s="77">
        <v>2020</v>
      </c>
      <c r="L289" s="78">
        <v>0.25</v>
      </c>
      <c r="M289" s="79">
        <v>15000</v>
      </c>
      <c r="N289" s="79">
        <f>Table47[[#This Row],[Expected Revenue]]*Table47[[#This Row],[Probability]]</f>
        <v>3750</v>
      </c>
      <c r="O289" s="78">
        <v>0.3</v>
      </c>
      <c r="P289" s="79">
        <f>Table47[[#This Row],[Expected Revenue]]*Table47[[#This Row],[Expected CMR]]</f>
        <v>4500</v>
      </c>
      <c r="Q289" s="209"/>
    </row>
    <row r="290" spans="1:17" ht="21.6" hidden="1">
      <c r="A290" s="173"/>
      <c r="B290" s="76" t="s">
        <v>3191</v>
      </c>
      <c r="C290" s="77" t="s">
        <v>126</v>
      </c>
      <c r="D290" s="102" t="s">
        <v>3194</v>
      </c>
      <c r="E290" s="77" t="s">
        <v>291</v>
      </c>
      <c r="F290" s="77" t="s">
        <v>58</v>
      </c>
      <c r="G290" s="77" t="s">
        <v>3027</v>
      </c>
      <c r="H290" s="77" t="s">
        <v>257</v>
      </c>
      <c r="I290" s="77" t="s">
        <v>3195</v>
      </c>
      <c r="J290" s="110" t="s">
        <v>230</v>
      </c>
      <c r="K290" s="77">
        <v>2020</v>
      </c>
      <c r="L290" s="78">
        <v>0.25</v>
      </c>
      <c r="M290" s="79">
        <v>45000</v>
      </c>
      <c r="N290" s="79">
        <f>Table47[[#This Row],[Expected Revenue]]*Table47[[#This Row],[Probability]]</f>
        <v>11250</v>
      </c>
      <c r="O290" s="78">
        <v>0.3</v>
      </c>
      <c r="P290" s="79">
        <f>Table47[[#This Row],[Expected Revenue]]*Table47[[#This Row],[Expected CMR]]</f>
        <v>13500</v>
      </c>
      <c r="Q290" s="209"/>
    </row>
    <row r="291" spans="1:17" hidden="1">
      <c r="A291" s="173" t="s">
        <v>129</v>
      </c>
      <c r="B291" s="76" t="s">
        <v>122</v>
      </c>
      <c r="C291" s="77" t="s">
        <v>57</v>
      </c>
      <c r="D291" s="102" t="s">
        <v>3196</v>
      </c>
      <c r="E291" s="77" t="s">
        <v>92</v>
      </c>
      <c r="F291" s="77" t="s">
        <v>58</v>
      </c>
      <c r="G291" s="77" t="s">
        <v>65</v>
      </c>
      <c r="H291" s="77" t="s">
        <v>290</v>
      </c>
      <c r="I291" s="77"/>
      <c r="J291" s="110" t="s">
        <v>84</v>
      </c>
      <c r="K291" s="77">
        <v>2020</v>
      </c>
      <c r="L291" s="78">
        <v>1</v>
      </c>
      <c r="M291" s="79">
        <v>18622</v>
      </c>
      <c r="N291" s="214">
        <f>Table47[[#This Row],[Expected Revenue]]*Table47[[#This Row],[Probability]]</f>
        <v>18622</v>
      </c>
      <c r="O291" s="78">
        <v>0.3</v>
      </c>
      <c r="P291" s="79">
        <v>8344.7999999999993</v>
      </c>
      <c r="Q291" s="209"/>
    </row>
    <row r="292" spans="1:17" hidden="1">
      <c r="A292" s="173"/>
      <c r="B292" s="76" t="s">
        <v>189</v>
      </c>
      <c r="C292" s="77" t="s">
        <v>283</v>
      </c>
      <c r="D292" s="102" t="s">
        <v>3197</v>
      </c>
      <c r="E292" s="77" t="s">
        <v>294</v>
      </c>
      <c r="F292" s="77" t="s">
        <v>58</v>
      </c>
      <c r="G292" s="77" t="s">
        <v>295</v>
      </c>
      <c r="H292" s="77" t="s">
        <v>290</v>
      </c>
      <c r="I292" s="76"/>
      <c r="J292" s="110" t="s">
        <v>89</v>
      </c>
      <c r="K292" s="77">
        <v>2020</v>
      </c>
      <c r="L292" s="78">
        <v>1</v>
      </c>
      <c r="M292" s="79">
        <v>35000</v>
      </c>
      <c r="N292" s="86">
        <f>Table47[[#This Row],[Expected Revenue]]*Table47[[#This Row],[Probability]]</f>
        <v>35000</v>
      </c>
      <c r="O292" s="78">
        <v>0.3</v>
      </c>
      <c r="P292" s="86">
        <f>Table47[[#This Row],[Expected Revenue]]*Table47[[#This Row],[Expected CMR]]</f>
        <v>10500</v>
      </c>
      <c r="Q292" s="210"/>
    </row>
    <row r="293" spans="1:17" s="186" customFormat="1" hidden="1">
      <c r="A293" s="201"/>
      <c r="B293" s="202" t="s">
        <v>3163</v>
      </c>
      <c r="C293" s="203" t="s">
        <v>3163</v>
      </c>
      <c r="D293" s="204" t="s">
        <v>280</v>
      </c>
      <c r="E293" s="203" t="s">
        <v>294</v>
      </c>
      <c r="F293" s="203" t="s">
        <v>58</v>
      </c>
      <c r="G293" s="203" t="s">
        <v>295</v>
      </c>
      <c r="H293" s="203" t="s">
        <v>290</v>
      </c>
      <c r="I293" s="202"/>
      <c r="J293" s="205" t="s">
        <v>89</v>
      </c>
      <c r="K293" s="203">
        <v>2020</v>
      </c>
      <c r="L293" s="206">
        <v>1</v>
      </c>
      <c r="M293" s="207">
        <v>40000</v>
      </c>
      <c r="N293" s="208">
        <f>Table47[[#This Row],[Expected Revenue]]*Table47[[#This Row],[Probability]]</f>
        <v>40000</v>
      </c>
      <c r="O293" s="206">
        <v>0.3</v>
      </c>
      <c r="P293" s="208">
        <f>Table47[[#This Row],[Expected Revenue]]*Table47[[#This Row],[Expected CMR]]</f>
        <v>12000</v>
      </c>
      <c r="Q293" s="211"/>
    </row>
    <row r="294" spans="1:17" hidden="1">
      <c r="A294" s="173"/>
      <c r="B294" s="76" t="s">
        <v>487</v>
      </c>
      <c r="C294" s="77" t="s">
        <v>3059</v>
      </c>
      <c r="D294" s="102" t="s">
        <v>1236</v>
      </c>
      <c r="E294" s="77" t="s">
        <v>92</v>
      </c>
      <c r="F294" s="77" t="s">
        <v>58</v>
      </c>
      <c r="G294" s="77" t="s">
        <v>65</v>
      </c>
      <c r="H294" s="77" t="s">
        <v>290</v>
      </c>
      <c r="I294" s="76"/>
      <c r="J294" s="110" t="s">
        <v>84</v>
      </c>
      <c r="K294" s="77">
        <v>2020</v>
      </c>
      <c r="L294" s="78">
        <v>1</v>
      </c>
      <c r="M294" s="79">
        <v>19000</v>
      </c>
      <c r="N294" s="215">
        <f>Table47[[#This Row],[Expected Revenue]]*Table47[[#This Row],[Probability]]</f>
        <v>19000</v>
      </c>
      <c r="O294" s="78">
        <v>0.3</v>
      </c>
      <c r="P294" s="86">
        <f>Table47[[#This Row],[Expected Revenue]]*Table47[[#This Row],[Expected CMR]]</f>
        <v>5700</v>
      </c>
      <c r="Q294" s="210"/>
    </row>
    <row r="295" spans="1:17" hidden="1">
      <c r="A295" s="173" t="s">
        <v>129</v>
      </c>
      <c r="B295" s="76" t="s">
        <v>122</v>
      </c>
      <c r="C295" s="77" t="s">
        <v>57</v>
      </c>
      <c r="D295" s="102" t="s">
        <v>3199</v>
      </c>
      <c r="E295" s="77" t="s">
        <v>92</v>
      </c>
      <c r="F295" s="77" t="s">
        <v>58</v>
      </c>
      <c r="G295" s="77" t="s">
        <v>65</v>
      </c>
      <c r="H295" s="77" t="s">
        <v>290</v>
      </c>
      <c r="I295" s="77"/>
      <c r="J295" s="110" t="s">
        <v>230</v>
      </c>
      <c r="K295" s="83">
        <v>2020</v>
      </c>
      <c r="L295" s="78">
        <v>1</v>
      </c>
      <c r="M295" s="79">
        <v>18000</v>
      </c>
      <c r="N295" s="79">
        <f>Table47[[#This Row],[Expected Revenue]]*Table47[[#This Row],[Probability]]</f>
        <v>18000</v>
      </c>
      <c r="O295" s="78">
        <v>0.3</v>
      </c>
      <c r="P295" s="79">
        <v>8344.7999999999993</v>
      </c>
      <c r="Q295" s="209"/>
    </row>
    <row r="296" spans="1:17" hidden="1">
      <c r="A296" s="174" t="s">
        <v>3200</v>
      </c>
      <c r="B296" s="82" t="s">
        <v>3201</v>
      </c>
      <c r="C296" s="77" t="s">
        <v>57</v>
      </c>
      <c r="D296" s="103" t="s">
        <v>112</v>
      </c>
      <c r="E296" s="77" t="s">
        <v>71</v>
      </c>
      <c r="F296" s="83" t="s">
        <v>58</v>
      </c>
      <c r="G296" s="83" t="s">
        <v>65</v>
      </c>
      <c r="H296" s="77" t="s">
        <v>290</v>
      </c>
      <c r="I296" s="82"/>
      <c r="J296" s="156" t="s">
        <v>84</v>
      </c>
      <c r="K296" s="83">
        <v>2020</v>
      </c>
      <c r="L296" s="84">
        <v>1</v>
      </c>
      <c r="M296" s="85">
        <v>20000</v>
      </c>
      <c r="N296" s="215">
        <f>Table47[[#This Row],[Expected Revenue]]*Table47[[#This Row],[Probability]]</f>
        <v>20000</v>
      </c>
      <c r="O296" s="84">
        <v>0.3</v>
      </c>
      <c r="P296" s="87">
        <f>Table47[[#This Row],[Expected Revenue]]*Table47[[#This Row],[Expected CMR]]</f>
        <v>6000</v>
      </c>
      <c r="Q296" s="210"/>
    </row>
    <row r="297" spans="1:17" hidden="1">
      <c r="A297" s="173"/>
      <c r="B297" s="76" t="s">
        <v>189</v>
      </c>
      <c r="C297" s="77" t="s">
        <v>283</v>
      </c>
      <c r="D297" s="102" t="s">
        <v>3202</v>
      </c>
      <c r="E297" s="77" t="s">
        <v>294</v>
      </c>
      <c r="F297" s="77" t="s">
        <v>58</v>
      </c>
      <c r="G297" s="77" t="s">
        <v>297</v>
      </c>
      <c r="H297" s="77" t="s">
        <v>297</v>
      </c>
      <c r="I297" s="76"/>
      <c r="J297" s="110" t="s">
        <v>84</v>
      </c>
      <c r="K297" s="77">
        <v>2020</v>
      </c>
      <c r="L297" s="78">
        <v>1</v>
      </c>
      <c r="M297" s="79">
        <v>25000</v>
      </c>
      <c r="N297" s="215">
        <f>Table47[[#This Row],[Expected Revenue]]*Table47[[#This Row],[Probability]]</f>
        <v>25000</v>
      </c>
      <c r="O297" s="78">
        <v>0.3</v>
      </c>
      <c r="P297" s="86">
        <f>Table47[[#This Row],[Expected Revenue]]*Table47[[#This Row],[Expected CMR]]</f>
        <v>7500</v>
      </c>
      <c r="Q297" s="210"/>
    </row>
    <row r="298" spans="1:17" s="186" customFormat="1" hidden="1">
      <c r="A298" s="201"/>
      <c r="B298" s="202" t="s">
        <v>296</v>
      </c>
      <c r="C298" s="203"/>
      <c r="D298" s="204"/>
      <c r="E298" s="203" t="s">
        <v>251</v>
      </c>
      <c r="F298" s="203" t="s">
        <v>58</v>
      </c>
      <c r="G298" s="203" t="s">
        <v>3181</v>
      </c>
      <c r="H298" s="203" t="s">
        <v>296</v>
      </c>
      <c r="I298" s="202"/>
      <c r="J298" s="205" t="s">
        <v>89</v>
      </c>
      <c r="K298" s="203">
        <v>2020</v>
      </c>
      <c r="L298" s="206">
        <v>1</v>
      </c>
      <c r="M298" s="207">
        <v>50000</v>
      </c>
      <c r="N298" s="208">
        <f>Table47[[#This Row],[Expected Revenue]]*Table47[[#This Row],[Probability]]</f>
        <v>50000</v>
      </c>
      <c r="O298" s="206"/>
      <c r="P298" s="208">
        <f>Table47[[#This Row],[Expected Revenue]]*Table47[[#This Row],[Expected CMR]]</f>
        <v>0</v>
      </c>
      <c r="Q298" s="211"/>
    </row>
    <row r="299" spans="1:17" hidden="1">
      <c r="A299" s="173"/>
      <c r="B299" s="202" t="s">
        <v>104</v>
      </c>
      <c r="C299" s="77" t="s">
        <v>3059</v>
      </c>
      <c r="D299" s="102" t="s">
        <v>3203</v>
      </c>
      <c r="E299" s="77" t="s">
        <v>92</v>
      </c>
      <c r="F299" s="77" t="s">
        <v>58</v>
      </c>
      <c r="G299" s="77" t="s">
        <v>257</v>
      </c>
      <c r="H299" s="77" t="s">
        <v>257</v>
      </c>
      <c r="I299" s="77" t="s">
        <v>3204</v>
      </c>
      <c r="J299" s="110" t="s">
        <v>84</v>
      </c>
      <c r="K299" s="77">
        <v>2020</v>
      </c>
      <c r="L299" s="78">
        <v>0.25</v>
      </c>
      <c r="M299" s="79">
        <v>117671</v>
      </c>
      <c r="N299" s="215">
        <f>Table47[[#This Row],[Expected Revenue]]*Table47[[#This Row],[Probability]]</f>
        <v>29417.75</v>
      </c>
      <c r="O299" s="78"/>
      <c r="P299" s="86">
        <f>Table47[[#This Row],[Expected Revenue]]*Table47[[#This Row],[Expected CMR]]</f>
        <v>0</v>
      </c>
      <c r="Q299" s="210"/>
    </row>
    <row r="300" spans="1:17" hidden="1">
      <c r="A300" s="75" t="s">
        <v>129</v>
      </c>
      <c r="B300" s="76" t="s">
        <v>122</v>
      </c>
      <c r="C300" s="77" t="s">
        <v>57</v>
      </c>
      <c r="D300" s="102" t="s">
        <v>97</v>
      </c>
      <c r="E300" s="77" t="s">
        <v>92</v>
      </c>
      <c r="F300" s="77" t="s">
        <v>58</v>
      </c>
      <c r="G300" s="77" t="s">
        <v>295</v>
      </c>
      <c r="H300" s="77" t="s">
        <v>290</v>
      </c>
      <c r="I300" s="77"/>
      <c r="J300" s="110" t="s">
        <v>229</v>
      </c>
      <c r="K300" s="77">
        <v>2020</v>
      </c>
      <c r="L300" s="78">
        <v>1</v>
      </c>
      <c r="M300" s="79">
        <v>6622</v>
      </c>
      <c r="N300" s="222">
        <f>Table47[[#This Row],[Expected Revenue]]*Table47[[#This Row],[Probability]]</f>
        <v>6622</v>
      </c>
      <c r="O300" s="78">
        <v>0.3</v>
      </c>
      <c r="P300" s="79">
        <f>Table47[[#This Row],[Expected Revenue]]*Table47[[#This Row],[Expected CMR]]</f>
        <v>1986.6</v>
      </c>
      <c r="Q300" s="209"/>
    </row>
    <row r="301" spans="1:17" hidden="1">
      <c r="A301" s="173"/>
      <c r="B301" s="76" t="s">
        <v>3205</v>
      </c>
      <c r="C301" s="77" t="s">
        <v>1168</v>
      </c>
      <c r="D301" s="102" t="s">
        <v>3206</v>
      </c>
      <c r="E301" s="77" t="s">
        <v>281</v>
      </c>
      <c r="F301" s="77" t="s">
        <v>158</v>
      </c>
      <c r="G301" s="77" t="s">
        <v>257</v>
      </c>
      <c r="H301" s="77" t="s">
        <v>257</v>
      </c>
      <c r="I301" s="77"/>
      <c r="J301" s="110" t="s">
        <v>229</v>
      </c>
      <c r="K301" s="77">
        <v>2020</v>
      </c>
      <c r="L301" s="78">
        <v>0.5</v>
      </c>
      <c r="M301" s="79">
        <v>8000</v>
      </c>
      <c r="N301" s="221">
        <f>Table47[[#This Row],[Expected Revenue]]*Table47[[#This Row],[Probability]]</f>
        <v>4000</v>
      </c>
      <c r="O301" s="78">
        <v>0.3</v>
      </c>
      <c r="P301" s="79">
        <f>Table47[[#This Row],[Expected Revenue]]*Table47[[#This Row],[Expected CMR]]</f>
        <v>2400</v>
      </c>
      <c r="Q301" s="210"/>
    </row>
    <row r="302" spans="1:17" hidden="1">
      <c r="A302" s="173"/>
      <c r="B302" s="76" t="s">
        <v>296</v>
      </c>
      <c r="C302" s="77"/>
      <c r="D302" s="102" t="s">
        <v>296</v>
      </c>
      <c r="E302" s="77" t="s">
        <v>251</v>
      </c>
      <c r="F302" s="77" t="s">
        <v>58</v>
      </c>
      <c r="G302" s="77" t="s">
        <v>3181</v>
      </c>
      <c r="H302" s="77" t="s">
        <v>296</v>
      </c>
      <c r="I302" s="76"/>
      <c r="J302" s="110" t="s">
        <v>222</v>
      </c>
      <c r="K302" s="77">
        <v>2020</v>
      </c>
      <c r="L302" s="78">
        <v>1</v>
      </c>
      <c r="M302" s="79">
        <v>100000</v>
      </c>
      <c r="N302" s="86">
        <f>Table47[[#This Row],[Expected Revenue]]*Table47[[#This Row],[Probability]]</f>
        <v>100000</v>
      </c>
      <c r="O302" s="78"/>
      <c r="P302" s="86">
        <f>Table47[[#This Row],[Expected Revenue]]*Table47[[#This Row],[Expected CMR]]</f>
        <v>0</v>
      </c>
      <c r="Q302" s="210" t="s">
        <v>3159</v>
      </c>
    </row>
    <row r="303" spans="1:17" hidden="1">
      <c r="A303" s="173"/>
      <c r="B303" s="76" t="s">
        <v>104</v>
      </c>
      <c r="C303" s="77" t="s">
        <v>3059</v>
      </c>
      <c r="D303" s="102" t="s">
        <v>3207</v>
      </c>
      <c r="E303" s="77" t="s">
        <v>92</v>
      </c>
      <c r="F303" s="77" t="s">
        <v>58</v>
      </c>
      <c r="G303" s="77" t="s">
        <v>297</v>
      </c>
      <c r="H303" s="77" t="s">
        <v>297</v>
      </c>
      <c r="I303" s="76"/>
      <c r="J303" s="110" t="s">
        <v>222</v>
      </c>
      <c r="K303" s="77">
        <v>2020</v>
      </c>
      <c r="L303" s="78">
        <v>1</v>
      </c>
      <c r="M303" s="79">
        <v>10000</v>
      </c>
      <c r="N303" s="86">
        <f>Table47[[#This Row],[Expected Revenue]]*Table47[[#This Row],[Probability]]</f>
        <v>10000</v>
      </c>
      <c r="O303" s="78"/>
      <c r="P303" s="86">
        <f>Table47[[#This Row],[Expected Revenue]]*Table47[[#This Row],[Expected CMR]]</f>
        <v>0</v>
      </c>
      <c r="Q303" s="210" t="s">
        <v>3159</v>
      </c>
    </row>
    <row r="304" spans="1:17" hidden="1">
      <c r="A304" s="173"/>
      <c r="B304" s="202" t="s">
        <v>104</v>
      </c>
      <c r="C304" s="77" t="s">
        <v>3059</v>
      </c>
      <c r="D304" s="102" t="s">
        <v>3185</v>
      </c>
      <c r="E304" s="77" t="s">
        <v>62</v>
      </c>
      <c r="F304" s="77" t="s">
        <v>58</v>
      </c>
      <c r="G304" s="77" t="s">
        <v>295</v>
      </c>
      <c r="H304" s="77" t="s">
        <v>290</v>
      </c>
      <c r="I304" s="76"/>
      <c r="J304" s="110" t="s">
        <v>84</v>
      </c>
      <c r="K304" s="77">
        <v>2020</v>
      </c>
      <c r="L304" s="78">
        <v>1</v>
      </c>
      <c r="M304" s="79">
        <v>21000</v>
      </c>
      <c r="N304" s="215">
        <f>Table47[[#This Row],[Expected Revenue]]*Table47[[#This Row],[Probability]]</f>
        <v>21000</v>
      </c>
      <c r="O304" s="78"/>
      <c r="P304" s="86"/>
      <c r="Q304" s="210"/>
    </row>
    <row r="305" spans="1:17" hidden="1">
      <c r="A305" s="173"/>
      <c r="B305" s="76" t="s">
        <v>114</v>
      </c>
      <c r="C305" s="77" t="s">
        <v>3059</v>
      </c>
      <c r="D305" s="102" t="s">
        <v>3155</v>
      </c>
      <c r="E305" s="77" t="s">
        <v>92</v>
      </c>
      <c r="F305" s="77" t="s">
        <v>58</v>
      </c>
      <c r="G305" s="77" t="s">
        <v>295</v>
      </c>
      <c r="H305" s="77" t="s">
        <v>290</v>
      </c>
      <c r="I305" s="76"/>
      <c r="J305" s="110" t="s">
        <v>229</v>
      </c>
      <c r="K305" s="77">
        <v>2020</v>
      </c>
      <c r="L305" s="78">
        <v>1</v>
      </c>
      <c r="M305" s="79">
        <v>10080</v>
      </c>
      <c r="N305" s="221">
        <f>Table47[[#This Row],[Expected Revenue]]*Table47[[#This Row],[Probability]]</f>
        <v>10080</v>
      </c>
      <c r="O305" s="78">
        <v>0.3</v>
      </c>
      <c r="P305" s="79">
        <f>Table47[[#This Row],[Expected Revenue]]*Table47[[#This Row],[Expected CMR]]</f>
        <v>3024</v>
      </c>
      <c r="Q305" s="210"/>
    </row>
    <row r="306" spans="1:17" hidden="1">
      <c r="A306" s="173"/>
      <c r="B306" s="76" t="s">
        <v>3208</v>
      </c>
      <c r="C306" s="77" t="s">
        <v>3163</v>
      </c>
      <c r="D306" s="102" t="s">
        <v>280</v>
      </c>
      <c r="E306" s="77" t="s">
        <v>294</v>
      </c>
      <c r="F306" s="77" t="s">
        <v>58</v>
      </c>
      <c r="G306" s="77" t="s">
        <v>297</v>
      </c>
      <c r="H306" s="77" t="s">
        <v>297</v>
      </c>
      <c r="I306" s="76"/>
      <c r="J306" s="110" t="s">
        <v>219</v>
      </c>
      <c r="K306" s="77">
        <v>2020</v>
      </c>
      <c r="L306" s="78">
        <v>1</v>
      </c>
      <c r="M306" s="79">
        <v>12000</v>
      </c>
      <c r="N306" s="215">
        <f>Table47[[#This Row],[Expected Revenue]]*Table47[[#This Row],[Probability]]</f>
        <v>12000</v>
      </c>
      <c r="O306" s="78"/>
      <c r="P306" s="86">
        <f>Table47[[#This Row],[Expected Revenue]]*Table47[[#This Row],[Expected CMR]]</f>
        <v>0</v>
      </c>
      <c r="Q306" s="209"/>
    </row>
    <row r="307" spans="1:17" hidden="1">
      <c r="A307" s="173"/>
      <c r="B307" s="76" t="s">
        <v>3208</v>
      </c>
      <c r="C307" s="77" t="s">
        <v>3163</v>
      </c>
      <c r="D307" s="102" t="s">
        <v>280</v>
      </c>
      <c r="E307" s="77" t="s">
        <v>294</v>
      </c>
      <c r="F307" s="77" t="s">
        <v>58</v>
      </c>
      <c r="G307" s="77" t="s">
        <v>297</v>
      </c>
      <c r="H307" s="77" t="s">
        <v>297</v>
      </c>
      <c r="I307" s="76"/>
      <c r="J307" s="110" t="s">
        <v>222</v>
      </c>
      <c r="K307" s="77">
        <v>2020</v>
      </c>
      <c r="L307" s="78">
        <v>1</v>
      </c>
      <c r="M307" s="79">
        <v>50000</v>
      </c>
      <c r="N307" s="86">
        <f>Table47[[#This Row],[Expected Revenue]]*Table47[[#This Row],[Probability]]</f>
        <v>50000</v>
      </c>
      <c r="O307" s="78"/>
      <c r="P307" s="86">
        <f>Table47[[#This Row],[Expected Revenue]]*Table47[[#This Row],[Expected CMR]]</f>
        <v>0</v>
      </c>
      <c r="Q307" s="209" t="s">
        <v>3068</v>
      </c>
    </row>
    <row r="308" spans="1:17" hidden="1">
      <c r="A308" s="173"/>
      <c r="B308" s="76" t="s">
        <v>296</v>
      </c>
      <c r="C308" s="77"/>
      <c r="D308" s="102"/>
      <c r="E308" s="77" t="s">
        <v>251</v>
      </c>
      <c r="F308" s="77" t="s">
        <v>58</v>
      </c>
      <c r="G308" s="77" t="s">
        <v>3181</v>
      </c>
      <c r="H308" s="77" t="s">
        <v>296</v>
      </c>
      <c r="I308" s="76"/>
      <c r="J308" s="110" t="s">
        <v>84</v>
      </c>
      <c r="K308" s="77">
        <v>2020</v>
      </c>
      <c r="L308" s="78">
        <v>1</v>
      </c>
      <c r="M308" s="79">
        <v>100000</v>
      </c>
      <c r="N308" s="215">
        <f>Table47[[#This Row],[Expected Revenue]]*Table47[[#This Row],[Probability]]</f>
        <v>100000</v>
      </c>
      <c r="O308" s="78"/>
      <c r="P308" s="86">
        <f>Table47[[#This Row],[Expected Revenue]]*Table47[[#This Row],[Expected CMR]]</f>
        <v>0</v>
      </c>
      <c r="Q308" s="210"/>
    </row>
    <row r="309" spans="1:17" hidden="1">
      <c r="A309" s="173" t="s">
        <v>145</v>
      </c>
      <c r="B309" s="76" t="s">
        <v>137</v>
      </c>
      <c r="C309" s="77" t="s">
        <v>3059</v>
      </c>
      <c r="D309" s="102" t="s">
        <v>3155</v>
      </c>
      <c r="E309" s="77" t="s">
        <v>92</v>
      </c>
      <c r="F309" s="77" t="s">
        <v>58</v>
      </c>
      <c r="G309" s="77" t="s">
        <v>295</v>
      </c>
      <c r="H309" s="77" t="s">
        <v>290</v>
      </c>
      <c r="I309" s="76"/>
      <c r="J309" s="110" t="s">
        <v>229</v>
      </c>
      <c r="K309" s="77">
        <v>2020</v>
      </c>
      <c r="L309" s="78">
        <v>1</v>
      </c>
      <c r="M309" s="79">
        <v>3622</v>
      </c>
      <c r="N309" s="221">
        <f>Table47[[#This Row],[Expected Revenue]]*Table47[[#This Row],[Probability]]</f>
        <v>3622</v>
      </c>
      <c r="O309" s="78">
        <v>0.3</v>
      </c>
      <c r="P309" s="79">
        <f>Table47[[#This Row],[Expected Revenue]]*Table47[[#This Row],[Expected CMR]]</f>
        <v>1086.5999999999999</v>
      </c>
      <c r="Q309" s="210"/>
    </row>
    <row r="310" spans="1:17" hidden="1">
      <c r="A310" s="75" t="s">
        <v>3095</v>
      </c>
      <c r="B310" s="76" t="s">
        <v>137</v>
      </c>
      <c r="C310" s="77" t="s">
        <v>57</v>
      </c>
      <c r="D310" s="102" t="s">
        <v>97</v>
      </c>
      <c r="E310" s="77" t="s">
        <v>92</v>
      </c>
      <c r="F310" s="77" t="s">
        <v>58</v>
      </c>
      <c r="G310" s="77" t="s">
        <v>65</v>
      </c>
      <c r="H310" s="77" t="s">
        <v>290</v>
      </c>
      <c r="I310" s="77"/>
      <c r="J310" s="110" t="s">
        <v>219</v>
      </c>
      <c r="K310" s="77">
        <v>2020</v>
      </c>
      <c r="L310" s="78">
        <v>1</v>
      </c>
      <c r="M310" s="79">
        <v>10000</v>
      </c>
      <c r="N310" s="214">
        <f>Table47[[#This Row],[Expected Revenue]]*Table47[[#This Row],[Probability]]</f>
        <v>10000</v>
      </c>
      <c r="O310" s="78">
        <v>0.3</v>
      </c>
      <c r="P310" s="79">
        <f>Table47[[#This Row],[Expected Revenue]]*Table47[[#This Row],[Expected CMR]]</f>
        <v>3000</v>
      </c>
      <c r="Q310" s="209"/>
    </row>
    <row r="311" spans="1:17" hidden="1">
      <c r="A311" s="173"/>
      <c r="B311" s="76" t="s">
        <v>114</v>
      </c>
      <c r="C311" s="77" t="s">
        <v>3059</v>
      </c>
      <c r="D311" s="102" t="s">
        <v>61</v>
      </c>
      <c r="E311" s="77" t="s">
        <v>92</v>
      </c>
      <c r="F311" s="77" t="s">
        <v>58</v>
      </c>
      <c r="G311" s="77" t="s">
        <v>65</v>
      </c>
      <c r="H311" s="77" t="s">
        <v>290</v>
      </c>
      <c r="I311" s="76"/>
      <c r="J311" s="110" t="s">
        <v>139</v>
      </c>
      <c r="K311" s="77">
        <v>2020</v>
      </c>
      <c r="L311" s="78">
        <v>1</v>
      </c>
      <c r="M311" s="79">
        <v>6000</v>
      </c>
      <c r="N311" s="86">
        <f>Table47[[#This Row],[Expected Revenue]]*Table47[[#This Row],[Probability]]</f>
        <v>6000</v>
      </c>
      <c r="O311" s="78">
        <v>0.3</v>
      </c>
      <c r="P311" s="86">
        <f>Table47[[#This Row],[Expected Revenue]]*Table47[[#This Row],[Expected CMR]]</f>
        <v>1800</v>
      </c>
      <c r="Q311" s="210"/>
    </row>
    <row r="312" spans="1:17" hidden="1">
      <c r="A312" s="173" t="s">
        <v>3209</v>
      </c>
      <c r="B312" s="76" t="s">
        <v>104</v>
      </c>
      <c r="C312" s="77" t="s">
        <v>3059</v>
      </c>
      <c r="D312" s="102" t="s">
        <v>3055</v>
      </c>
      <c r="E312" s="77" t="s">
        <v>292</v>
      </c>
      <c r="F312" s="77" t="s">
        <v>58</v>
      </c>
      <c r="G312" s="77" t="s">
        <v>295</v>
      </c>
      <c r="H312" s="77" t="s">
        <v>290</v>
      </c>
      <c r="I312" s="76"/>
      <c r="J312" s="110" t="s">
        <v>229</v>
      </c>
      <c r="K312" s="77">
        <v>2020</v>
      </c>
      <c r="L312" s="78">
        <v>1</v>
      </c>
      <c r="M312" s="79">
        <v>13900</v>
      </c>
      <c r="N312" s="221">
        <f>Table47[[#This Row],[Expected Revenue]]*Table47[[#This Row],[Probability]]</f>
        <v>13900</v>
      </c>
      <c r="O312" s="78">
        <v>0.3</v>
      </c>
      <c r="P312" s="79">
        <f>Table47[[#This Row],[Expected Revenue]]*Table47[[#This Row],[Expected CMR]]</f>
        <v>4170</v>
      </c>
      <c r="Q312" s="210"/>
    </row>
    <row r="313" spans="1:17" hidden="1">
      <c r="A313" s="173"/>
      <c r="B313" s="76" t="s">
        <v>3058</v>
      </c>
      <c r="C313" s="77" t="s">
        <v>3059</v>
      </c>
      <c r="D313" s="102" t="s">
        <v>3060</v>
      </c>
      <c r="E313" s="77" t="s">
        <v>88</v>
      </c>
      <c r="F313" s="77" t="s">
        <v>58</v>
      </c>
      <c r="G313" s="77" t="s">
        <v>295</v>
      </c>
      <c r="H313" s="77" t="s">
        <v>290</v>
      </c>
      <c r="I313" s="76"/>
      <c r="J313" s="110" t="s">
        <v>219</v>
      </c>
      <c r="K313" s="77">
        <v>2020</v>
      </c>
      <c r="L313" s="78">
        <v>1</v>
      </c>
      <c r="M313" s="79">
        <v>13000</v>
      </c>
      <c r="N313" s="215">
        <f>Table47[[#This Row],[Expected Revenue]]*Table47[[#This Row],[Probability]]</f>
        <v>13000</v>
      </c>
      <c r="O313" s="78"/>
      <c r="P313" s="86">
        <f>Table47[[#This Row],[Expected Revenue]]*Table47[[#This Row],[Expected CMR]]</f>
        <v>0</v>
      </c>
      <c r="Q313" s="210"/>
    </row>
    <row r="314" spans="1:17" hidden="1">
      <c r="A314" s="173"/>
      <c r="B314" s="76" t="s">
        <v>3058</v>
      </c>
      <c r="C314" s="77" t="s">
        <v>3059</v>
      </c>
      <c r="D314" s="102" t="s">
        <v>3177</v>
      </c>
      <c r="E314" s="77" t="s">
        <v>83</v>
      </c>
      <c r="F314" s="77" t="s">
        <v>58</v>
      </c>
      <c r="G314" s="77" t="s">
        <v>295</v>
      </c>
      <c r="H314" s="77" t="s">
        <v>290</v>
      </c>
      <c r="I314" s="76"/>
      <c r="J314" s="110" t="s">
        <v>219</v>
      </c>
      <c r="K314" s="77">
        <v>2020</v>
      </c>
      <c r="L314" s="78">
        <v>1</v>
      </c>
      <c r="M314" s="79">
        <v>10513.8</v>
      </c>
      <c r="N314" s="215">
        <f>Table47[[#This Row],[Expected Revenue]]*Table47[[#This Row],[Probability]]</f>
        <v>10513.8</v>
      </c>
      <c r="O314" s="78"/>
      <c r="P314" s="86">
        <f>Table47[[#This Row],[Expected Revenue]]*Table47[[#This Row],[Expected CMR]]</f>
        <v>0</v>
      </c>
      <c r="Q314" s="210"/>
    </row>
    <row r="315" spans="1:17" hidden="1">
      <c r="A315" s="173"/>
      <c r="B315" s="76" t="s">
        <v>3162</v>
      </c>
      <c r="C315" s="77" t="s">
        <v>3163</v>
      </c>
      <c r="D315" s="102" t="s">
        <v>3164</v>
      </c>
      <c r="E315" s="77" t="s">
        <v>281</v>
      </c>
      <c r="F315" s="77" t="s">
        <v>58</v>
      </c>
      <c r="G315" s="77" t="s">
        <v>295</v>
      </c>
      <c r="H315" s="77" t="s">
        <v>290</v>
      </c>
      <c r="I315" s="76"/>
      <c r="J315" s="110" t="s">
        <v>219</v>
      </c>
      <c r="K315" s="77">
        <v>2020</v>
      </c>
      <c r="L315" s="78">
        <v>1</v>
      </c>
      <c r="M315" s="79">
        <v>16500</v>
      </c>
      <c r="N315" s="215">
        <f>Table47[[#This Row],[Expected Revenue]]*Table47[[#This Row],[Probability]]</f>
        <v>16500</v>
      </c>
      <c r="O315" s="78"/>
      <c r="P315" s="86">
        <f>Table47[[#This Row],[Expected Revenue]]*Table47[[#This Row],[Expected CMR]]</f>
        <v>0</v>
      </c>
      <c r="Q315" s="210"/>
    </row>
    <row r="316" spans="1:17" hidden="1">
      <c r="A316" s="173"/>
      <c r="B316" s="76" t="s">
        <v>146</v>
      </c>
      <c r="C316" s="77" t="s">
        <v>3059</v>
      </c>
      <c r="D316" s="102" t="s">
        <v>61</v>
      </c>
      <c r="E316" s="77" t="s">
        <v>92</v>
      </c>
      <c r="F316" s="77" t="s">
        <v>58</v>
      </c>
      <c r="G316" s="77" t="s">
        <v>65</v>
      </c>
      <c r="H316" s="77" t="s">
        <v>290</v>
      </c>
      <c r="I316" s="76"/>
      <c r="J316" s="110" t="s">
        <v>89</v>
      </c>
      <c r="K316" s="77">
        <v>2020</v>
      </c>
      <c r="L316" s="78">
        <v>1</v>
      </c>
      <c r="M316" s="79">
        <v>30000</v>
      </c>
      <c r="N316" s="86">
        <f>Table47[[#This Row],[Expected Revenue]]*Table47[[#This Row],[Probability]]</f>
        <v>30000</v>
      </c>
      <c r="O316" s="78">
        <v>0.3</v>
      </c>
      <c r="P316" s="86">
        <f>Table47[[#This Row],[Expected Revenue]]*Table47[[#This Row],[Expected CMR]]</f>
        <v>9000</v>
      </c>
      <c r="Q316" s="210"/>
    </row>
    <row r="317" spans="1:17" hidden="1">
      <c r="A317" s="173"/>
      <c r="B317" s="76" t="s">
        <v>146</v>
      </c>
      <c r="C317" s="77" t="s">
        <v>3059</v>
      </c>
      <c r="D317" s="102" t="s">
        <v>61</v>
      </c>
      <c r="E317" s="77" t="s">
        <v>92</v>
      </c>
      <c r="F317" s="77" t="s">
        <v>58</v>
      </c>
      <c r="G317" s="77" t="s">
        <v>65</v>
      </c>
      <c r="H317" s="77" t="s">
        <v>290</v>
      </c>
      <c r="I317" s="76"/>
      <c r="J317" s="110" t="s">
        <v>139</v>
      </c>
      <c r="K317" s="77">
        <v>2020</v>
      </c>
      <c r="L317" s="78">
        <v>1</v>
      </c>
      <c r="M317" s="79">
        <v>50000</v>
      </c>
      <c r="N317" s="86">
        <f>Table47[[#This Row],[Expected Revenue]]*Table47[[#This Row],[Probability]]</f>
        <v>50000</v>
      </c>
      <c r="O317" s="78">
        <v>0.3</v>
      </c>
      <c r="P317" s="86">
        <f>Table47[[#This Row],[Expected Revenue]]*Table47[[#This Row],[Expected CMR]]</f>
        <v>15000</v>
      </c>
      <c r="Q317" s="210"/>
    </row>
    <row r="318" spans="1:17" ht="21.6" hidden="1">
      <c r="A318" s="173" t="s">
        <v>3210</v>
      </c>
      <c r="B318" s="76" t="s">
        <v>3034</v>
      </c>
      <c r="C318" s="77"/>
      <c r="D318" s="102" t="s">
        <v>3211</v>
      </c>
      <c r="E318" s="77" t="s">
        <v>92</v>
      </c>
      <c r="F318" s="77" t="s">
        <v>58</v>
      </c>
      <c r="G318" s="77" t="s">
        <v>65</v>
      </c>
      <c r="H318" s="77" t="s">
        <v>290</v>
      </c>
      <c r="I318" s="76"/>
      <c r="J318" s="110" t="s">
        <v>139</v>
      </c>
      <c r="K318" s="77">
        <v>2020</v>
      </c>
      <c r="L318" s="78">
        <v>1</v>
      </c>
      <c r="M318" s="79">
        <v>25000</v>
      </c>
      <c r="N318" s="86">
        <f>Table47[[#This Row],[Expected Revenue]]*Table47[[#This Row],[Probability]]</f>
        <v>25000</v>
      </c>
      <c r="O318" s="78">
        <v>0.3</v>
      </c>
      <c r="P318" s="86">
        <f>Table47[[#This Row],[Expected Revenue]]*Table47[[#This Row],[Expected CMR]]</f>
        <v>7500</v>
      </c>
      <c r="Q318" s="210"/>
    </row>
    <row r="319" spans="1:17" hidden="1">
      <c r="A319" s="173"/>
      <c r="B319" s="76" t="s">
        <v>137</v>
      </c>
      <c r="C319" s="77" t="s">
        <v>3059</v>
      </c>
      <c r="D319" s="102" t="s">
        <v>3182</v>
      </c>
      <c r="E319" s="77" t="s">
        <v>71</v>
      </c>
      <c r="F319" s="77" t="s">
        <v>58</v>
      </c>
      <c r="G319" s="77" t="s">
        <v>65</v>
      </c>
      <c r="H319" s="77" t="s">
        <v>290</v>
      </c>
      <c r="I319" s="76"/>
      <c r="J319" s="110" t="s">
        <v>139</v>
      </c>
      <c r="K319" s="77">
        <v>2020</v>
      </c>
      <c r="L319" s="78">
        <v>1</v>
      </c>
      <c r="M319" s="79">
        <v>30939</v>
      </c>
      <c r="N319" s="86">
        <f>Table47[[#This Row],[Expected Revenue]]*Table47[[#This Row],[Probability]]</f>
        <v>30939</v>
      </c>
      <c r="O319" s="78">
        <v>0.3</v>
      </c>
      <c r="P319" s="86">
        <f>Table47[[#This Row],[Expected Revenue]]*Table47[[#This Row],[Expected CMR]]</f>
        <v>9281.6999999999989</v>
      </c>
      <c r="Q319" s="210"/>
    </row>
    <row r="320" spans="1:17" hidden="1">
      <c r="A320" s="173"/>
      <c r="B320" s="76" t="s">
        <v>296</v>
      </c>
      <c r="C320" s="77"/>
      <c r="D320" s="102"/>
      <c r="E320" s="77" t="s">
        <v>251</v>
      </c>
      <c r="F320" s="77" t="s">
        <v>58</v>
      </c>
      <c r="G320" s="77" t="s">
        <v>3181</v>
      </c>
      <c r="H320" s="77" t="s">
        <v>296</v>
      </c>
      <c r="I320" s="76"/>
      <c r="J320" s="110" t="s">
        <v>219</v>
      </c>
      <c r="K320" s="77">
        <v>2020</v>
      </c>
      <c r="L320" s="78">
        <v>1</v>
      </c>
      <c r="M320" s="79">
        <v>100000</v>
      </c>
      <c r="N320" s="215">
        <f>Table47[[#This Row],[Expected Revenue]]*Table47[[#This Row],[Probability]]</f>
        <v>100000</v>
      </c>
      <c r="O320" s="78"/>
      <c r="P320" s="86">
        <f>Table47[[#This Row],[Expected Revenue]]*Table47[[#This Row],[Expected CMR]]</f>
        <v>0</v>
      </c>
      <c r="Q320" s="210"/>
    </row>
    <row r="321" spans="1:17" hidden="1">
      <c r="A321" s="173"/>
      <c r="B321" s="76" t="s">
        <v>282</v>
      </c>
      <c r="C321" s="77" t="s">
        <v>283</v>
      </c>
      <c r="D321" s="102" t="s">
        <v>284</v>
      </c>
      <c r="E321" s="77" t="s">
        <v>92</v>
      </c>
      <c r="F321" s="77" t="s">
        <v>58</v>
      </c>
      <c r="G321" s="77" t="s">
        <v>257</v>
      </c>
      <c r="H321" s="77" t="s">
        <v>257</v>
      </c>
      <c r="I321" s="76" t="s">
        <v>3212</v>
      </c>
      <c r="J321" s="110" t="s">
        <v>222</v>
      </c>
      <c r="K321" s="77">
        <v>2020</v>
      </c>
      <c r="L321" s="78">
        <v>0.5</v>
      </c>
      <c r="M321" s="79">
        <v>29000</v>
      </c>
      <c r="N321" s="86">
        <f>Table47[[#This Row],[Expected Revenue]]*Table47[[#This Row],[Probability]]</f>
        <v>14500</v>
      </c>
      <c r="O321" s="78"/>
      <c r="P321" s="86">
        <f>Table47[[#This Row],[Expected Revenue]]*Table47[[#This Row],[Expected CMR]]</f>
        <v>0</v>
      </c>
      <c r="Q321" s="210" t="s">
        <v>3159</v>
      </c>
    </row>
    <row r="322" spans="1:17" hidden="1">
      <c r="A322" s="173"/>
      <c r="B322" s="76" t="s">
        <v>114</v>
      </c>
      <c r="C322" s="77" t="s">
        <v>57</v>
      </c>
      <c r="D322" s="102" t="s">
        <v>3213</v>
      </c>
      <c r="E322" s="77" t="s">
        <v>92</v>
      </c>
      <c r="F322" s="77" t="s">
        <v>58</v>
      </c>
      <c r="G322" s="77" t="s">
        <v>257</v>
      </c>
      <c r="H322" s="77" t="s">
        <v>257</v>
      </c>
      <c r="I322" s="76" t="s">
        <v>3214</v>
      </c>
      <c r="J322" s="110" t="s">
        <v>219</v>
      </c>
      <c r="K322" s="77">
        <v>2020</v>
      </c>
      <c r="L322" s="78">
        <v>1</v>
      </c>
      <c r="M322" s="79">
        <v>5000</v>
      </c>
      <c r="N322" s="215">
        <f>Table47[[#This Row],[Expected Revenue]]*Table47[[#This Row],[Probability]]</f>
        <v>5000</v>
      </c>
      <c r="O322" s="78"/>
      <c r="P322" s="86">
        <f>Table47[[#This Row],[Expected Revenue]]*Table47[[#This Row],[Expected CMR]]</f>
        <v>0</v>
      </c>
      <c r="Q322" s="209"/>
    </row>
    <row r="323" spans="1:17" hidden="1">
      <c r="A323" s="173"/>
      <c r="B323" s="76" t="s">
        <v>114</v>
      </c>
      <c r="C323" s="77" t="s">
        <v>57</v>
      </c>
      <c r="D323" s="102" t="s">
        <v>3213</v>
      </c>
      <c r="E323" s="77" t="s">
        <v>92</v>
      </c>
      <c r="F323" s="77" t="s">
        <v>58</v>
      </c>
      <c r="G323" s="77" t="s">
        <v>257</v>
      </c>
      <c r="H323" s="77" t="s">
        <v>257</v>
      </c>
      <c r="I323" s="76" t="s">
        <v>3214</v>
      </c>
      <c r="J323" s="110" t="s">
        <v>222</v>
      </c>
      <c r="K323" s="77">
        <v>2020</v>
      </c>
      <c r="L323" s="78">
        <v>1</v>
      </c>
      <c r="M323" s="79">
        <v>5000</v>
      </c>
      <c r="N323" s="86">
        <f>Table47[[#This Row],[Expected Revenue]]*Table47[[#This Row],[Probability]]</f>
        <v>5000</v>
      </c>
      <c r="O323" s="78"/>
      <c r="P323" s="86">
        <f>Table47[[#This Row],[Expected Revenue]]*Table47[[#This Row],[Expected CMR]]</f>
        <v>0</v>
      </c>
      <c r="Q323" s="209" t="s">
        <v>3068</v>
      </c>
    </row>
    <row r="324" spans="1:17" hidden="1">
      <c r="A324" s="173"/>
      <c r="B324" s="76" t="s">
        <v>137</v>
      </c>
      <c r="C324" s="77" t="s">
        <v>3059</v>
      </c>
      <c r="D324" s="102" t="s">
        <v>3215</v>
      </c>
      <c r="E324" s="77" t="s">
        <v>92</v>
      </c>
      <c r="F324" s="77" t="s">
        <v>58</v>
      </c>
      <c r="G324" s="77" t="s">
        <v>3216</v>
      </c>
      <c r="H324" s="77" t="s">
        <v>297</v>
      </c>
      <c r="I324" s="76"/>
      <c r="J324" s="110" t="s">
        <v>219</v>
      </c>
      <c r="K324" s="77">
        <v>2020</v>
      </c>
      <c r="L324" s="78">
        <v>0.1</v>
      </c>
      <c r="M324" s="79">
        <v>250000</v>
      </c>
      <c r="N324" s="215">
        <f>Table47[[#This Row],[Expected Revenue]]*Table47[[#This Row],[Probability]]</f>
        <v>25000</v>
      </c>
      <c r="O324" s="78"/>
      <c r="P324" s="86">
        <f>Table47[[#This Row],[Expected Revenue]]*Table47[[#This Row],[Expected CMR]]</f>
        <v>0</v>
      </c>
      <c r="Q324" s="210"/>
    </row>
    <row r="325" spans="1:17" hidden="1">
      <c r="A325" s="173"/>
      <c r="B325" s="76" t="s">
        <v>104</v>
      </c>
      <c r="C325" s="77" t="s">
        <v>3059</v>
      </c>
      <c r="D325" s="102" t="s">
        <v>61</v>
      </c>
      <c r="E325" s="77" t="s">
        <v>92</v>
      </c>
      <c r="F325" s="77" t="s">
        <v>58</v>
      </c>
      <c r="G325" s="77" t="s">
        <v>65</v>
      </c>
      <c r="H325" s="77" t="s">
        <v>290</v>
      </c>
      <c r="I325" s="76"/>
      <c r="J325" s="110" t="s">
        <v>89</v>
      </c>
      <c r="K325" s="77">
        <v>2020</v>
      </c>
      <c r="L325" s="78">
        <v>1</v>
      </c>
      <c r="M325" s="79">
        <v>15000</v>
      </c>
      <c r="N325" s="86">
        <f>Table47[[#This Row],[Expected Revenue]]*Table47[[#This Row],[Probability]]</f>
        <v>15000</v>
      </c>
      <c r="O325" s="78">
        <v>0.3</v>
      </c>
      <c r="P325" s="86">
        <f>Table47[[#This Row],[Expected Revenue]]*Table47[[#This Row],[Expected CMR]]</f>
        <v>4500</v>
      </c>
      <c r="Q325" s="210"/>
    </row>
    <row r="326" spans="1:17" s="186" customFormat="1" hidden="1">
      <c r="A326" s="201"/>
      <c r="B326" s="202" t="s">
        <v>3217</v>
      </c>
      <c r="C326" s="203" t="s">
        <v>560</v>
      </c>
      <c r="D326" s="204" t="s">
        <v>3218</v>
      </c>
      <c r="E326" s="203" t="s">
        <v>294</v>
      </c>
      <c r="F326" s="203" t="s">
        <v>58</v>
      </c>
      <c r="G326" s="203" t="s">
        <v>65</v>
      </c>
      <c r="H326" s="203" t="s">
        <v>290</v>
      </c>
      <c r="I326" s="202"/>
      <c r="J326" s="205" t="s">
        <v>89</v>
      </c>
      <c r="K326" s="203">
        <v>2020</v>
      </c>
      <c r="L326" s="206">
        <v>1</v>
      </c>
      <c r="M326" s="207">
        <v>5000</v>
      </c>
      <c r="N326" s="208">
        <f>Table47[[#This Row],[Expected Revenue]]*Table47[[#This Row],[Probability]]</f>
        <v>5000</v>
      </c>
      <c r="O326" s="206">
        <v>0.3</v>
      </c>
      <c r="P326" s="208">
        <f>Table47[[#This Row],[Expected Revenue]]*Table47[[#This Row],[Expected CMR]]</f>
        <v>1500</v>
      </c>
      <c r="Q326" s="211"/>
    </row>
    <row r="327" spans="1:17" hidden="1">
      <c r="A327" s="173"/>
      <c r="B327" s="76" t="s">
        <v>117</v>
      </c>
      <c r="C327" s="77" t="s">
        <v>3059</v>
      </c>
      <c r="D327" s="102" t="s">
        <v>3176</v>
      </c>
      <c r="E327" s="77" t="s">
        <v>291</v>
      </c>
      <c r="F327" s="77" t="s">
        <v>58</v>
      </c>
      <c r="G327" s="77" t="s">
        <v>295</v>
      </c>
      <c r="H327" s="77" t="s">
        <v>290</v>
      </c>
      <c r="I327" s="76"/>
      <c r="J327" s="110" t="s">
        <v>89</v>
      </c>
      <c r="K327" s="77">
        <v>2020</v>
      </c>
      <c r="L327" s="78">
        <v>1</v>
      </c>
      <c r="M327" s="79">
        <v>24000</v>
      </c>
      <c r="N327" s="86">
        <f>Table47[[#This Row],[Expected Revenue]]*Table47[[#This Row],[Probability]]</f>
        <v>24000</v>
      </c>
      <c r="O327" s="78"/>
      <c r="P327" s="86">
        <f>Table47[[#This Row],[Expected Revenue]]*Table47[[#This Row],[Expected CMR]]</f>
        <v>0</v>
      </c>
      <c r="Q327" s="210"/>
    </row>
    <row r="328" spans="1:17" hidden="1">
      <c r="A328" s="173"/>
      <c r="B328" s="76" t="s">
        <v>117</v>
      </c>
      <c r="C328" s="77" t="s">
        <v>3059</v>
      </c>
      <c r="D328" s="102" t="s">
        <v>3176</v>
      </c>
      <c r="E328" s="77" t="s">
        <v>291</v>
      </c>
      <c r="F328" s="77" t="s">
        <v>58</v>
      </c>
      <c r="G328" s="77" t="s">
        <v>295</v>
      </c>
      <c r="H328" s="77" t="s">
        <v>290</v>
      </c>
      <c r="I328" s="76"/>
      <c r="J328" s="110" t="s">
        <v>139</v>
      </c>
      <c r="K328" s="77">
        <v>2020</v>
      </c>
      <c r="L328" s="78">
        <v>1</v>
      </c>
      <c r="M328" s="79">
        <v>35000</v>
      </c>
      <c r="N328" s="86">
        <f>Table47[[#This Row],[Expected Revenue]]*Table47[[#This Row],[Probability]]</f>
        <v>35000</v>
      </c>
      <c r="O328" s="78"/>
      <c r="P328" s="86">
        <f>Table47[[#This Row],[Expected Revenue]]*Table47[[#This Row],[Expected CMR]]</f>
        <v>0</v>
      </c>
      <c r="Q328" s="210"/>
    </row>
    <row r="329" spans="1:17" hidden="1">
      <c r="A329" s="173"/>
      <c r="B329" s="76" t="s">
        <v>257</v>
      </c>
      <c r="C329" s="77" t="s">
        <v>281</v>
      </c>
      <c r="D329" s="102" t="s">
        <v>3219</v>
      </c>
      <c r="E329" s="77" t="s">
        <v>294</v>
      </c>
      <c r="F329" s="77" t="s">
        <v>58</v>
      </c>
      <c r="G329" s="77" t="s">
        <v>257</v>
      </c>
      <c r="H329" s="77" t="s">
        <v>257</v>
      </c>
      <c r="I329" s="76"/>
      <c r="J329" s="110" t="s">
        <v>219</v>
      </c>
      <c r="K329" s="77">
        <v>2020</v>
      </c>
      <c r="L329" s="78">
        <v>1</v>
      </c>
      <c r="M329" s="79">
        <v>8500</v>
      </c>
      <c r="N329" s="215">
        <f>Table47[[#This Row],[Expected Revenue]]*Table47[[#This Row],[Probability]]</f>
        <v>8500</v>
      </c>
      <c r="O329" s="78"/>
      <c r="P329" s="86">
        <f>Table47[[#This Row],[Expected Revenue]]*Table47[[#This Row],[Expected CMR]]</f>
        <v>0</v>
      </c>
      <c r="Q329" s="210"/>
    </row>
    <row r="330" spans="1:17" hidden="1">
      <c r="A330" s="75" t="s">
        <v>3110</v>
      </c>
      <c r="B330" s="76" t="s">
        <v>117</v>
      </c>
      <c r="C330" s="77" t="s">
        <v>57</v>
      </c>
      <c r="D330" s="102" t="s">
        <v>97</v>
      </c>
      <c r="E330" s="77" t="s">
        <v>92</v>
      </c>
      <c r="F330" s="77" t="s">
        <v>58</v>
      </c>
      <c r="G330" s="77" t="s">
        <v>295</v>
      </c>
      <c r="H330" s="77" t="s">
        <v>290</v>
      </c>
      <c r="I330" s="77"/>
      <c r="J330" s="110" t="s">
        <v>229</v>
      </c>
      <c r="K330" s="77">
        <v>2020</v>
      </c>
      <c r="L330" s="78">
        <v>1</v>
      </c>
      <c r="M330" s="79">
        <v>18622</v>
      </c>
      <c r="N330" s="222">
        <f>Table47[[#This Row],[Expected Revenue]]*Table47[[#This Row],[Probability]]</f>
        <v>18622</v>
      </c>
      <c r="O330" s="78">
        <v>0.3</v>
      </c>
      <c r="P330" s="79">
        <f>Table47[[#This Row],[Expected Revenue]]*Table47[[#This Row],[Expected CMR]]</f>
        <v>5586.5999999999995</v>
      </c>
      <c r="Q330" s="209"/>
    </row>
    <row r="331" spans="1:17" hidden="1">
      <c r="A331" s="173"/>
      <c r="B331" s="76" t="s">
        <v>114</v>
      </c>
      <c r="C331" s="77" t="s">
        <v>3059</v>
      </c>
      <c r="D331" s="102" t="s">
        <v>3155</v>
      </c>
      <c r="E331" s="77" t="s">
        <v>92</v>
      </c>
      <c r="F331" s="77" t="s">
        <v>58</v>
      </c>
      <c r="G331" s="77" t="s">
        <v>295</v>
      </c>
      <c r="H331" s="77" t="s">
        <v>290</v>
      </c>
      <c r="I331" s="76"/>
      <c r="J331" s="110" t="s">
        <v>219</v>
      </c>
      <c r="K331" s="77">
        <v>2020</v>
      </c>
      <c r="L331" s="78">
        <v>1</v>
      </c>
      <c r="M331" s="79">
        <f>18622.27125*0.3</f>
        <v>5586.6813750000001</v>
      </c>
      <c r="N331" s="215">
        <f>Table47[[#This Row],[Expected Revenue]]*Table47[[#This Row],[Probability]]</f>
        <v>5586.6813750000001</v>
      </c>
      <c r="O331" s="78">
        <v>0.3</v>
      </c>
      <c r="P331" s="79">
        <f>Table47[[#This Row],[Expected Revenue]]*Table47[[#This Row],[Expected CMR]]</f>
        <v>1676.0044124999999</v>
      </c>
      <c r="Q331" s="210"/>
    </row>
    <row r="332" spans="1:17" hidden="1">
      <c r="A332" s="173" t="s">
        <v>3220</v>
      </c>
      <c r="B332" s="76" t="s">
        <v>130</v>
      </c>
      <c r="C332" s="77" t="s">
        <v>3059</v>
      </c>
      <c r="D332" s="102" t="s">
        <v>3155</v>
      </c>
      <c r="E332" s="77" t="s">
        <v>92</v>
      </c>
      <c r="F332" s="77" t="s">
        <v>58</v>
      </c>
      <c r="G332" s="77" t="s">
        <v>295</v>
      </c>
      <c r="H332" s="77" t="s">
        <v>290</v>
      </c>
      <c r="I332" s="76"/>
      <c r="J332" s="110" t="s">
        <v>102</v>
      </c>
      <c r="K332" s="77">
        <v>2020</v>
      </c>
      <c r="L332" s="78">
        <v>1</v>
      </c>
      <c r="M332" s="79">
        <v>8622</v>
      </c>
      <c r="N332" s="221">
        <f>Table47[[#This Row],[Expected Revenue]]*Table47[[#This Row],[Probability]]</f>
        <v>8622</v>
      </c>
      <c r="O332" s="78">
        <v>0.3</v>
      </c>
      <c r="P332" s="79">
        <f>Table47[[#This Row],[Expected Revenue]]*Table47[[#This Row],[Expected CMR]]</f>
        <v>2586.6</v>
      </c>
      <c r="Q332" s="210"/>
    </row>
    <row r="333" spans="1:17" hidden="1">
      <c r="A333" s="173" t="s">
        <v>3222</v>
      </c>
      <c r="B333" s="76" t="s">
        <v>104</v>
      </c>
      <c r="C333" s="77" t="s">
        <v>3059</v>
      </c>
      <c r="D333" s="102" t="s">
        <v>3155</v>
      </c>
      <c r="E333" s="77" t="s">
        <v>92</v>
      </c>
      <c r="F333" s="77" t="s">
        <v>58</v>
      </c>
      <c r="G333" s="77" t="s">
        <v>295</v>
      </c>
      <c r="H333" s="77" t="s">
        <v>290</v>
      </c>
      <c r="I333" s="76"/>
      <c r="J333" s="110" t="s">
        <v>229</v>
      </c>
      <c r="K333" s="77">
        <v>2020</v>
      </c>
      <c r="L333" s="78">
        <v>1</v>
      </c>
      <c r="M333" s="79">
        <v>6622</v>
      </c>
      <c r="N333" s="221">
        <f>Table47[[#This Row],[Expected Revenue]]*Table47[[#This Row],[Probability]]</f>
        <v>6622</v>
      </c>
      <c r="O333" s="78">
        <v>0.3</v>
      </c>
      <c r="P333" s="79">
        <f>Table47[[#This Row],[Expected Revenue]]*Table47[[#This Row],[Expected CMR]]</f>
        <v>1986.6</v>
      </c>
      <c r="Q333" s="210"/>
    </row>
    <row r="334" spans="1:17" hidden="1">
      <c r="A334" s="173" t="s">
        <v>3172</v>
      </c>
      <c r="B334" s="76" t="s">
        <v>487</v>
      </c>
      <c r="C334" s="77" t="s">
        <v>3059</v>
      </c>
      <c r="D334" s="102" t="s">
        <v>3155</v>
      </c>
      <c r="E334" s="77" t="s">
        <v>92</v>
      </c>
      <c r="F334" s="77" t="s">
        <v>58</v>
      </c>
      <c r="G334" s="77" t="s">
        <v>295</v>
      </c>
      <c r="H334" s="77" t="s">
        <v>290</v>
      </c>
      <c r="I334" s="76"/>
      <c r="J334" s="110" t="s">
        <v>229</v>
      </c>
      <c r="K334" s="77">
        <v>2020</v>
      </c>
      <c r="L334" s="78">
        <v>1</v>
      </c>
      <c r="M334" s="79">
        <v>3000</v>
      </c>
      <c r="N334" s="221">
        <f>Table47[[#This Row],[Expected Revenue]]*Table47[[#This Row],[Probability]]</f>
        <v>3000</v>
      </c>
      <c r="O334" s="78">
        <v>0.3</v>
      </c>
      <c r="P334" s="79">
        <f>Table47[[#This Row],[Expected Revenue]]*Table47[[#This Row],[Expected CMR]]</f>
        <v>900</v>
      </c>
      <c r="Q334" s="210"/>
    </row>
    <row r="335" spans="1:17" hidden="1">
      <c r="A335" s="173" t="s">
        <v>3223</v>
      </c>
      <c r="B335" s="76" t="s">
        <v>146</v>
      </c>
      <c r="C335" s="77" t="s">
        <v>3059</v>
      </c>
      <c r="D335" s="102" t="s">
        <v>3155</v>
      </c>
      <c r="E335" s="77" t="s">
        <v>92</v>
      </c>
      <c r="F335" s="77" t="s">
        <v>58</v>
      </c>
      <c r="G335" s="77" t="s">
        <v>295</v>
      </c>
      <c r="H335" s="77" t="s">
        <v>290</v>
      </c>
      <c r="I335" s="76"/>
      <c r="J335" s="110" t="s">
        <v>229</v>
      </c>
      <c r="K335" s="77">
        <v>2020</v>
      </c>
      <c r="L335" s="78">
        <v>1</v>
      </c>
      <c r="M335" s="79">
        <v>8622</v>
      </c>
      <c r="N335" s="221">
        <f>Table47[[#This Row],[Expected Revenue]]*Table47[[#This Row],[Probability]]</f>
        <v>8622</v>
      </c>
      <c r="O335" s="78">
        <v>0.3</v>
      </c>
      <c r="P335" s="79">
        <f>Table47[[#This Row],[Expected Revenue]]*Table47[[#This Row],[Expected CMR]]</f>
        <v>2586.6</v>
      </c>
      <c r="Q335" s="210"/>
    </row>
    <row r="336" spans="1:17" hidden="1">
      <c r="A336" s="173" t="s">
        <v>3157</v>
      </c>
      <c r="B336" s="76" t="s">
        <v>3224</v>
      </c>
      <c r="C336" s="77" t="s">
        <v>57</v>
      </c>
      <c r="D336" s="102" t="s">
        <v>113</v>
      </c>
      <c r="E336" s="77" t="s">
        <v>62</v>
      </c>
      <c r="F336" s="77" t="s">
        <v>58</v>
      </c>
      <c r="G336" s="77" t="s">
        <v>65</v>
      </c>
      <c r="H336" s="77" t="s">
        <v>290</v>
      </c>
      <c r="I336" s="76"/>
      <c r="J336" s="110" t="s">
        <v>229</v>
      </c>
      <c r="K336" s="77">
        <v>2020</v>
      </c>
      <c r="L336" s="78">
        <v>1</v>
      </c>
      <c r="M336" s="79">
        <v>27469</v>
      </c>
      <c r="N336" s="221">
        <f>Table47[[#This Row],[Expected Revenue]]*Table47[[#This Row],[Probability]]</f>
        <v>27469</v>
      </c>
      <c r="O336" s="78">
        <v>0.3</v>
      </c>
      <c r="P336" s="79">
        <f>Table47[[#This Row],[Expected Revenue]]*Table47[[#This Row],[Expected CMR]]</f>
        <v>8240.6999999999989</v>
      </c>
      <c r="Q336" s="210"/>
    </row>
    <row r="337" spans="1:17" hidden="1">
      <c r="A337" s="173" t="s">
        <v>3225</v>
      </c>
      <c r="B337" s="76" t="s">
        <v>130</v>
      </c>
      <c r="C337" s="77" t="s">
        <v>3059</v>
      </c>
      <c r="D337" s="102" t="s">
        <v>3176</v>
      </c>
      <c r="E337" s="77" t="s">
        <v>291</v>
      </c>
      <c r="F337" s="77" t="s">
        <v>58</v>
      </c>
      <c r="G337" s="77" t="s">
        <v>295</v>
      </c>
      <c r="H337" s="77" t="s">
        <v>290</v>
      </c>
      <c r="I337" s="76"/>
      <c r="J337" s="110" t="s">
        <v>102</v>
      </c>
      <c r="K337" s="77">
        <v>2020</v>
      </c>
      <c r="L337" s="78">
        <v>1</v>
      </c>
      <c r="M337" s="79">
        <v>29000</v>
      </c>
      <c r="N337" s="221">
        <f>Table47[[#This Row],[Expected Revenue]]*Table47[[#This Row],[Probability]]</f>
        <v>29000</v>
      </c>
      <c r="O337" s="78">
        <v>0.3</v>
      </c>
      <c r="P337" s="79">
        <f>Table47[[#This Row],[Expected Revenue]]*Table47[[#This Row],[Expected CMR]]</f>
        <v>8700</v>
      </c>
      <c r="Q337" s="210"/>
    </row>
    <row r="338" spans="1:17">
      <c r="A338" s="173" t="s">
        <v>3234</v>
      </c>
      <c r="B338" s="76" t="s">
        <v>104</v>
      </c>
      <c r="C338" s="77" t="s">
        <v>3059</v>
      </c>
      <c r="D338" s="102" t="s">
        <v>3060</v>
      </c>
      <c r="E338" s="77" t="s">
        <v>88</v>
      </c>
      <c r="F338" s="77" t="s">
        <v>58</v>
      </c>
      <c r="G338" s="77" t="s">
        <v>65</v>
      </c>
      <c r="H338" s="77" t="s">
        <v>290</v>
      </c>
      <c r="I338" s="76"/>
      <c r="J338" s="110" t="s">
        <v>68</v>
      </c>
      <c r="K338" s="77">
        <v>2020</v>
      </c>
      <c r="L338" s="78">
        <v>1</v>
      </c>
      <c r="M338" s="79">
        <v>27816</v>
      </c>
      <c r="N338" s="221">
        <f>Table47[[#This Row],[Expected Revenue]]*Table47[[#This Row],[Probability]]</f>
        <v>27816</v>
      </c>
      <c r="O338" s="78">
        <v>0.3</v>
      </c>
      <c r="P338" s="79">
        <f>Table47[[#This Row],[Expected Revenue]]*Table47[[#This Row],[Expected CMR]]</f>
        <v>8344.7999999999993</v>
      </c>
      <c r="Q338" s="210"/>
    </row>
    <row r="339" spans="1:17" hidden="1">
      <c r="A339" s="173"/>
      <c r="B339" s="76" t="s">
        <v>146</v>
      </c>
      <c r="C339" s="77" t="s">
        <v>3059</v>
      </c>
      <c r="D339" s="102" t="s">
        <v>3055</v>
      </c>
      <c r="E339" s="77" t="s">
        <v>292</v>
      </c>
      <c r="F339" s="77" t="s">
        <v>58</v>
      </c>
      <c r="G339" s="77" t="s">
        <v>295</v>
      </c>
      <c r="H339" s="77" t="s">
        <v>290</v>
      </c>
      <c r="I339" s="76"/>
      <c r="J339" s="110" t="s">
        <v>84</v>
      </c>
      <c r="K339" s="77">
        <v>2020</v>
      </c>
      <c r="L339" s="78">
        <v>1</v>
      </c>
      <c r="M339" s="79">
        <v>13900</v>
      </c>
      <c r="N339" s="86">
        <f>Table47[[#This Row],[Expected Revenue]]*Table47[[#This Row],[Probability]]</f>
        <v>13900</v>
      </c>
      <c r="O339" s="78"/>
      <c r="P339" s="86"/>
      <c r="Q339" s="210"/>
    </row>
    <row r="340" spans="1:17" hidden="1">
      <c r="A340" s="173" t="s">
        <v>3226</v>
      </c>
      <c r="B340" s="76" t="s">
        <v>104</v>
      </c>
      <c r="C340" s="77" t="s">
        <v>3059</v>
      </c>
      <c r="D340" s="102" t="s">
        <v>3176</v>
      </c>
      <c r="E340" s="77" t="s">
        <v>291</v>
      </c>
      <c r="F340" s="77" t="s">
        <v>58</v>
      </c>
      <c r="G340" s="77" t="s">
        <v>295</v>
      </c>
      <c r="H340" s="77" t="s">
        <v>290</v>
      </c>
      <c r="I340" s="76"/>
      <c r="J340" s="110" t="s">
        <v>229</v>
      </c>
      <c r="K340" s="77">
        <v>2020</v>
      </c>
      <c r="L340" s="78">
        <v>1</v>
      </c>
      <c r="M340" s="79">
        <v>9378</v>
      </c>
      <c r="N340" s="221">
        <f>Table47[[#This Row],[Expected Revenue]]*Table47[[#This Row],[Probability]]</f>
        <v>9378</v>
      </c>
      <c r="O340" s="78">
        <v>0.3</v>
      </c>
      <c r="P340" s="79">
        <f>Table47[[#This Row],[Expected Revenue]]*Table47[[#This Row],[Expected CMR]]</f>
        <v>2813.4</v>
      </c>
      <c r="Q340" s="210"/>
    </row>
    <row r="341" spans="1:17" hidden="1">
      <c r="A341" s="173"/>
      <c r="B341" s="76" t="s">
        <v>104</v>
      </c>
      <c r="C341" s="77" t="s">
        <v>3059</v>
      </c>
      <c r="D341" s="102" t="s">
        <v>3203</v>
      </c>
      <c r="E341" s="77" t="s">
        <v>92</v>
      </c>
      <c r="F341" s="77" t="s">
        <v>58</v>
      </c>
      <c r="G341" s="77" t="s">
        <v>257</v>
      </c>
      <c r="H341" s="77" t="s">
        <v>257</v>
      </c>
      <c r="I341" s="77" t="s">
        <v>3204</v>
      </c>
      <c r="J341" s="110" t="s">
        <v>93</v>
      </c>
      <c r="K341" s="77">
        <v>2021</v>
      </c>
      <c r="L341" s="78">
        <v>0.15</v>
      </c>
      <c r="M341" s="79">
        <v>117671</v>
      </c>
      <c r="N341" s="86">
        <f>Table47[[#This Row],[Expected Revenue]]*Table47[[#This Row],[Probability]]</f>
        <v>17650.649999999998</v>
      </c>
      <c r="O341" s="78"/>
      <c r="P341" s="86">
        <f>Table47[[#This Row],[Expected Revenue]]*Table47[[#This Row],[Expected CMR]]</f>
        <v>0</v>
      </c>
      <c r="Q341" s="210"/>
    </row>
    <row r="342" spans="1:17" hidden="1">
      <c r="A342" s="173"/>
      <c r="B342" s="76" t="s">
        <v>3180</v>
      </c>
      <c r="C342" s="77" t="s">
        <v>269</v>
      </c>
      <c r="D342" s="102" t="s">
        <v>270</v>
      </c>
      <c r="E342" s="77" t="s">
        <v>62</v>
      </c>
      <c r="F342" s="77" t="s">
        <v>158</v>
      </c>
      <c r="G342" s="77" t="s">
        <v>295</v>
      </c>
      <c r="H342" s="77" t="s">
        <v>290</v>
      </c>
      <c r="I342" s="76"/>
      <c r="J342" s="110" t="s">
        <v>229</v>
      </c>
      <c r="K342" s="77">
        <v>2020</v>
      </c>
      <c r="L342" s="78">
        <v>1</v>
      </c>
      <c r="M342" s="79">
        <v>20000</v>
      </c>
      <c r="N342" s="86">
        <f>Table47[[#This Row],[Expected Revenue]]*Table47[[#This Row],[Probability]]</f>
        <v>20000</v>
      </c>
      <c r="O342" s="78">
        <v>0.3</v>
      </c>
      <c r="P342" s="79">
        <f>Table47[[#This Row],[Expected Revenue]]*Table47[[#This Row],[Expected CMR]]</f>
        <v>6000</v>
      </c>
      <c r="Q342" s="210"/>
    </row>
    <row r="343" spans="1:17" hidden="1">
      <c r="A343" s="173"/>
      <c r="B343" s="76" t="s">
        <v>156</v>
      </c>
      <c r="C343" s="77" t="s">
        <v>3227</v>
      </c>
      <c r="D343" s="102" t="s">
        <v>3228</v>
      </c>
      <c r="E343" s="77" t="s">
        <v>92</v>
      </c>
      <c r="F343" s="77" t="s">
        <v>158</v>
      </c>
      <c r="G343" s="77" t="s">
        <v>3216</v>
      </c>
      <c r="H343" s="77" t="s">
        <v>297</v>
      </c>
      <c r="I343" s="76"/>
      <c r="J343" s="110" t="s">
        <v>229</v>
      </c>
      <c r="K343" s="77">
        <v>2020</v>
      </c>
      <c r="L343" s="78">
        <v>1</v>
      </c>
      <c r="M343" s="79">
        <v>20000</v>
      </c>
      <c r="N343" s="86">
        <f>Table47[[#This Row],[Expected Revenue]]*Table47[[#This Row],[Probability]]</f>
        <v>20000</v>
      </c>
      <c r="O343" s="78">
        <v>0.3</v>
      </c>
      <c r="P343" s="79">
        <f>Table47[[#This Row],[Expected Revenue]]*Table47[[#This Row],[Expected CMR]]</f>
        <v>6000</v>
      </c>
      <c r="Q343" s="210"/>
    </row>
    <row r="344" spans="1:17" hidden="1">
      <c r="A344" s="173"/>
      <c r="B344" s="76" t="s">
        <v>130</v>
      </c>
      <c r="C344" s="77" t="s">
        <v>3059</v>
      </c>
      <c r="D344" s="102" t="s">
        <v>3155</v>
      </c>
      <c r="E344" s="77" t="s">
        <v>92</v>
      </c>
      <c r="F344" s="77" t="s">
        <v>58</v>
      </c>
      <c r="G344" s="77" t="s">
        <v>295</v>
      </c>
      <c r="H344" s="77" t="s">
        <v>290</v>
      </c>
      <c r="I344" s="76"/>
      <c r="J344" s="110" t="s">
        <v>219</v>
      </c>
      <c r="K344" s="77">
        <v>2020</v>
      </c>
      <c r="L344" s="78">
        <v>1</v>
      </c>
      <c r="M344" s="79">
        <v>7000</v>
      </c>
      <c r="N344" s="86">
        <f>Table47[[#This Row],[Expected Revenue]]*Table47[[#This Row],[Probability]]</f>
        <v>7000</v>
      </c>
      <c r="O344" s="78">
        <v>0.3</v>
      </c>
      <c r="P344" s="79">
        <f>Table47[[#This Row],[Expected Revenue]]*Table47[[#This Row],[Expected CMR]]</f>
        <v>2100</v>
      </c>
      <c r="Q344" s="210"/>
    </row>
    <row r="345" spans="1:17" hidden="1">
      <c r="A345" s="173"/>
      <c r="B345" s="76" t="s">
        <v>296</v>
      </c>
      <c r="C345" s="77"/>
      <c r="D345" s="102" t="s">
        <v>251</v>
      </c>
      <c r="E345" s="77" t="s">
        <v>251</v>
      </c>
      <c r="F345" s="77" t="s">
        <v>58</v>
      </c>
      <c r="G345" s="77" t="s">
        <v>3181</v>
      </c>
      <c r="H345" s="77" t="s">
        <v>296</v>
      </c>
      <c r="I345" s="76"/>
      <c r="J345" s="110" t="s">
        <v>229</v>
      </c>
      <c r="K345" s="77">
        <v>2020</v>
      </c>
      <c r="L345" s="78">
        <v>1</v>
      </c>
      <c r="M345" s="79">
        <v>80000</v>
      </c>
      <c r="N345" s="86">
        <f>Table47[[#This Row],[Expected Revenue]]*Table47[[#This Row],[Probability]]</f>
        <v>80000</v>
      </c>
      <c r="O345" s="78">
        <v>0.3</v>
      </c>
      <c r="P345" s="79">
        <f>Table47[[#This Row],[Expected Revenue]]*Table47[[#This Row],[Expected CMR]]</f>
        <v>24000</v>
      </c>
      <c r="Q345" s="210"/>
    </row>
    <row r="346" spans="1:17" hidden="1">
      <c r="A346" s="173"/>
      <c r="B346" s="76" t="s">
        <v>2355</v>
      </c>
      <c r="C346" s="77" t="s">
        <v>311</v>
      </c>
      <c r="D346" s="102" t="s">
        <v>3245</v>
      </c>
      <c r="E346" s="77" t="s">
        <v>62</v>
      </c>
      <c r="F346" s="77" t="s">
        <v>58</v>
      </c>
      <c r="G346" s="77" t="s">
        <v>257</v>
      </c>
      <c r="H346" s="77" t="s">
        <v>257</v>
      </c>
      <c r="I346" s="76"/>
      <c r="J346" s="110" t="s">
        <v>102</v>
      </c>
      <c r="K346" s="77">
        <v>2020</v>
      </c>
      <c r="L346" s="78">
        <v>0.1</v>
      </c>
      <c r="M346" s="79">
        <v>30000</v>
      </c>
      <c r="N346" s="86">
        <f>Table47[[#This Row],[Expected Revenue]]*Table47[[#This Row],[Probability]]</f>
        <v>3000</v>
      </c>
      <c r="O346" s="78"/>
      <c r="P346" s="86">
        <f>Table47[[#This Row],[Expected Revenue]]*Table47[[#This Row],[Expected CMR]]</f>
        <v>0</v>
      </c>
      <c r="Q346" s="210"/>
    </row>
    <row r="347" spans="1:17">
      <c r="A347" s="173" t="s">
        <v>3172</v>
      </c>
      <c r="B347" s="76" t="s">
        <v>487</v>
      </c>
      <c r="C347" s="77" t="s">
        <v>57</v>
      </c>
      <c r="D347" s="102" t="s">
        <v>3174</v>
      </c>
      <c r="E347" s="77" t="s">
        <v>62</v>
      </c>
      <c r="F347" s="77" t="s">
        <v>58</v>
      </c>
      <c r="G347" s="77" t="s">
        <v>65</v>
      </c>
      <c r="H347" s="77" t="s">
        <v>290</v>
      </c>
      <c r="I347" s="76"/>
      <c r="J347" s="110" t="s">
        <v>231</v>
      </c>
      <c r="K347" s="77">
        <v>2020</v>
      </c>
      <c r="L347" s="78">
        <v>1</v>
      </c>
      <c r="M347" s="79">
        <v>12000</v>
      </c>
      <c r="N347" s="215">
        <f>Table47[[#This Row],[Expected Revenue]]*Table47[[#This Row],[Probability]]</f>
        <v>12000</v>
      </c>
      <c r="O347" s="78">
        <v>0.3</v>
      </c>
      <c r="P347" s="86">
        <f>Table47[[#This Row],[Expected Revenue]]*Table47[[#This Row],[Expected CMR]]</f>
        <v>3600</v>
      </c>
      <c r="Q347" s="210"/>
    </row>
    <row r="348" spans="1:17" hidden="1">
      <c r="A348" s="173" t="s">
        <v>3171</v>
      </c>
      <c r="B348" s="76" t="s">
        <v>73</v>
      </c>
      <c r="C348" s="77" t="s">
        <v>3059</v>
      </c>
      <c r="D348" s="102" t="s">
        <v>3221</v>
      </c>
      <c r="E348" s="77" t="s">
        <v>92</v>
      </c>
      <c r="F348" s="77" t="s">
        <v>58</v>
      </c>
      <c r="G348" s="77" t="s">
        <v>295</v>
      </c>
      <c r="H348" s="77" t="s">
        <v>290</v>
      </c>
      <c r="I348" s="76"/>
      <c r="J348" s="110" t="s">
        <v>102</v>
      </c>
      <c r="K348" s="77">
        <v>2020</v>
      </c>
      <c r="L348" s="78">
        <v>1</v>
      </c>
      <c r="M348" s="79">
        <v>18622.271250000002</v>
      </c>
      <c r="N348" s="86">
        <f>Table47[[#This Row],[Expected Revenue]]*Table47[[#This Row],[Probability]]</f>
        <v>18622.271250000002</v>
      </c>
      <c r="O348" s="78"/>
      <c r="P348" s="86">
        <f>Table47[[#This Row],[Expected Revenue]]*Table47[[#This Row],[Expected CMR]]</f>
        <v>0</v>
      </c>
      <c r="Q348" s="210"/>
    </row>
    <row r="349" spans="1:17">
      <c r="A349" s="75" t="s">
        <v>3171</v>
      </c>
      <c r="B349" s="76" t="s">
        <v>73</v>
      </c>
      <c r="C349" s="77" t="s">
        <v>57</v>
      </c>
      <c r="D349" s="102" t="s">
        <v>75</v>
      </c>
      <c r="E349" s="77" t="s">
        <v>83</v>
      </c>
      <c r="F349" s="77" t="s">
        <v>58</v>
      </c>
      <c r="G349" s="77" t="s">
        <v>65</v>
      </c>
      <c r="H349" s="77" t="s">
        <v>290</v>
      </c>
      <c r="I349" s="77"/>
      <c r="J349" s="110" t="s">
        <v>231</v>
      </c>
      <c r="K349" s="77">
        <v>2020</v>
      </c>
      <c r="L349" s="78">
        <v>1</v>
      </c>
      <c r="M349" s="79">
        <v>10620</v>
      </c>
      <c r="N349" s="214">
        <f>Table47[[#This Row],[Expected Revenue]]*Table47[[#This Row],[Probability]]</f>
        <v>10620</v>
      </c>
      <c r="O349" s="78">
        <v>0.3</v>
      </c>
      <c r="P349" s="79">
        <f>Table47[[#This Row],[Expected Revenue]]*Table47[[#This Row],[Expected CMR]]</f>
        <v>3186</v>
      </c>
      <c r="Q349" s="209"/>
    </row>
    <row r="350" spans="1:17">
      <c r="A350" s="75" t="s">
        <v>3229</v>
      </c>
      <c r="B350" s="76" t="s">
        <v>104</v>
      </c>
      <c r="C350" s="77" t="s">
        <v>57</v>
      </c>
      <c r="D350" s="102" t="s">
        <v>75</v>
      </c>
      <c r="E350" s="77" t="s">
        <v>83</v>
      </c>
      <c r="F350" s="77" t="s">
        <v>58</v>
      </c>
      <c r="G350" s="77" t="s">
        <v>65</v>
      </c>
      <c r="H350" s="77" t="s">
        <v>290</v>
      </c>
      <c r="I350" s="77"/>
      <c r="J350" s="110" t="s">
        <v>231</v>
      </c>
      <c r="K350" s="77">
        <v>2020</v>
      </c>
      <c r="L350" s="78">
        <v>1</v>
      </c>
      <c r="M350" s="79">
        <v>10620</v>
      </c>
      <c r="N350" s="214">
        <f>Table47[[#This Row],[Expected Revenue]]*Table47[[#This Row],[Probability]]</f>
        <v>10620</v>
      </c>
      <c r="O350" s="78">
        <v>0.3</v>
      </c>
      <c r="P350" s="79">
        <f>Table47[[#This Row],[Expected Revenue]]*Table47[[#This Row],[Expected CMR]]</f>
        <v>3186</v>
      </c>
      <c r="Q350" s="209"/>
    </row>
    <row r="351" spans="1:17">
      <c r="A351" s="173"/>
      <c r="B351" s="76" t="s">
        <v>104</v>
      </c>
      <c r="C351" s="77" t="s">
        <v>3059</v>
      </c>
      <c r="D351" s="102" t="s">
        <v>3230</v>
      </c>
      <c r="E351" s="77" t="s">
        <v>92</v>
      </c>
      <c r="F351" s="77" t="s">
        <v>58</v>
      </c>
      <c r="G351" s="77" t="s">
        <v>257</v>
      </c>
      <c r="H351" s="77" t="s">
        <v>257</v>
      </c>
      <c r="I351" s="77" t="s">
        <v>3231</v>
      </c>
      <c r="J351" s="110" t="s">
        <v>231</v>
      </c>
      <c r="K351" s="77">
        <v>2020</v>
      </c>
      <c r="L351" s="78">
        <v>0.5</v>
      </c>
      <c r="M351" s="79">
        <v>28841</v>
      </c>
      <c r="N351" s="215">
        <f>Table47[[#This Row],[Expected Revenue]]*Table47[[#This Row],[Probability]]</f>
        <v>14420.5</v>
      </c>
      <c r="O351" s="78"/>
      <c r="P351" s="86">
        <f>Table47[[#This Row],[Expected Revenue]]*Table47[[#This Row],[Expected CMR]]</f>
        <v>0</v>
      </c>
      <c r="Q351" s="210"/>
    </row>
    <row r="352" spans="1:17">
      <c r="A352" s="173"/>
      <c r="B352" s="76" t="s">
        <v>104</v>
      </c>
      <c r="C352" s="77" t="s">
        <v>3059</v>
      </c>
      <c r="D352" s="102" t="s">
        <v>3221</v>
      </c>
      <c r="E352" s="77" t="s">
        <v>92</v>
      </c>
      <c r="F352" s="77" t="s">
        <v>58</v>
      </c>
      <c r="G352" s="77" t="s">
        <v>295</v>
      </c>
      <c r="H352" s="77" t="s">
        <v>290</v>
      </c>
      <c r="I352" s="76"/>
      <c r="J352" s="110" t="s">
        <v>68</v>
      </c>
      <c r="K352" s="77">
        <v>2020</v>
      </c>
      <c r="L352" s="78">
        <v>1</v>
      </c>
      <c r="M352" s="79">
        <v>18622.271250000002</v>
      </c>
      <c r="N352" s="86">
        <f>Table47[[#This Row],[Expected Revenue]]*Table47[[#This Row],[Probability]]</f>
        <v>18622.271250000002</v>
      </c>
      <c r="O352" s="78"/>
      <c r="P352" s="86">
        <f>Table47[[#This Row],[Expected Revenue]]*Table47[[#This Row],[Expected CMR]]</f>
        <v>0</v>
      </c>
      <c r="Q352" s="210"/>
    </row>
    <row r="353" spans="1:17" hidden="1">
      <c r="A353" s="173"/>
      <c r="B353" s="76" t="s">
        <v>283</v>
      </c>
      <c r="C353" s="77" t="s">
        <v>281</v>
      </c>
      <c r="D353" s="102" t="s">
        <v>3219</v>
      </c>
      <c r="E353" s="77" t="s">
        <v>92</v>
      </c>
      <c r="F353" s="77" t="s">
        <v>58</v>
      </c>
      <c r="G353" s="77" t="s">
        <v>3216</v>
      </c>
      <c r="H353" s="77" t="s">
        <v>297</v>
      </c>
      <c r="I353" s="76"/>
      <c r="J353" s="110" t="s">
        <v>102</v>
      </c>
      <c r="K353" s="77">
        <v>2020</v>
      </c>
      <c r="L353" s="78">
        <v>1</v>
      </c>
      <c r="M353" s="79">
        <v>13500</v>
      </c>
      <c r="N353" s="86">
        <f>Table47[[#This Row],[Expected Revenue]]*Table47[[#This Row],[Probability]]</f>
        <v>13500</v>
      </c>
      <c r="O353" s="78"/>
      <c r="P353" s="86">
        <f>Table47[[#This Row],[Expected Revenue]]*Table47[[#This Row],[Expected CMR]]</f>
        <v>0</v>
      </c>
      <c r="Q353" s="210"/>
    </row>
    <row r="354" spans="1:17">
      <c r="A354" s="173"/>
      <c r="B354" s="76" t="s">
        <v>104</v>
      </c>
      <c r="C354" s="77" t="s">
        <v>57</v>
      </c>
      <c r="D354" s="102" t="s">
        <v>3232</v>
      </c>
      <c r="E354" s="77" t="s">
        <v>71</v>
      </c>
      <c r="F354" s="77" t="s">
        <v>58</v>
      </c>
      <c r="G354" s="77" t="s">
        <v>295</v>
      </c>
      <c r="H354" s="77" t="s">
        <v>295</v>
      </c>
      <c r="I354" s="76"/>
      <c r="J354" s="110" t="s">
        <v>68</v>
      </c>
      <c r="K354" s="77">
        <v>2020</v>
      </c>
      <c r="L354" s="78">
        <v>1</v>
      </c>
      <c r="M354" s="79">
        <v>15000</v>
      </c>
      <c r="N354" s="79">
        <f>Table47[[#This Row],[Expected Revenue]]*Table47[[#This Row],[Probability]]</f>
        <v>15000</v>
      </c>
      <c r="O354" s="78"/>
      <c r="P354" s="86">
        <f>Table47[[#This Row],[Expected Revenue]]*Table47[[#This Row],[Expected CMR]]</f>
        <v>0</v>
      </c>
      <c r="Q354" s="210"/>
    </row>
    <row r="355" spans="1:17" hidden="1">
      <c r="A355" s="173"/>
      <c r="B355" s="76" t="s">
        <v>117</v>
      </c>
      <c r="C355" s="77" t="s">
        <v>57</v>
      </c>
      <c r="D355" s="102" t="s">
        <v>3232</v>
      </c>
      <c r="E355" s="77" t="s">
        <v>71</v>
      </c>
      <c r="F355" s="77" t="s">
        <v>58</v>
      </c>
      <c r="G355" s="77" t="s">
        <v>295</v>
      </c>
      <c r="H355" s="77" t="s">
        <v>295</v>
      </c>
      <c r="I355" s="76"/>
      <c r="J355" s="110" t="s">
        <v>102</v>
      </c>
      <c r="K355" s="77">
        <v>2020</v>
      </c>
      <c r="L355" s="78">
        <v>1</v>
      </c>
      <c r="M355" s="79">
        <v>15000</v>
      </c>
      <c r="N355" s="79">
        <f>Table47[[#This Row],[Expected Revenue]]*Table47[[#This Row],[Probability]]</f>
        <v>15000</v>
      </c>
      <c r="O355" s="78"/>
      <c r="P355" s="86">
        <f>Table47[[#This Row],[Expected Revenue]]*Table47[[#This Row],[Expected CMR]]</f>
        <v>0</v>
      </c>
      <c r="Q355" s="210"/>
    </row>
    <row r="356" spans="1:17" hidden="1">
      <c r="A356" s="173"/>
      <c r="B356" s="76" t="s">
        <v>156</v>
      </c>
      <c r="C356" s="77" t="s">
        <v>3227</v>
      </c>
      <c r="D356" s="102" t="s">
        <v>3228</v>
      </c>
      <c r="E356" s="77" t="s">
        <v>92</v>
      </c>
      <c r="F356" s="77" t="s">
        <v>158</v>
      </c>
      <c r="G356" s="77" t="s">
        <v>3216</v>
      </c>
      <c r="H356" s="77" t="s">
        <v>297</v>
      </c>
      <c r="I356" s="76"/>
      <c r="J356" s="110" t="s">
        <v>102</v>
      </c>
      <c r="K356" s="77">
        <v>2020</v>
      </c>
      <c r="L356" s="78">
        <v>1</v>
      </c>
      <c r="M356" s="79">
        <v>60000</v>
      </c>
      <c r="N356" s="86">
        <f>Table47[[#This Row],[Expected Revenue]]*Table47[[#This Row],[Probability]]</f>
        <v>60000</v>
      </c>
      <c r="O356" s="78"/>
      <c r="P356" s="86">
        <f>Table47[[#This Row],[Expected Revenue]]*Table47[[#This Row],[Expected CMR]]</f>
        <v>0</v>
      </c>
      <c r="Q356" s="210"/>
    </row>
    <row r="357" spans="1:17" hidden="1">
      <c r="A357" s="173"/>
      <c r="B357" s="76" t="s">
        <v>296</v>
      </c>
      <c r="C357" s="77"/>
      <c r="D357" s="102"/>
      <c r="E357" s="77" t="s">
        <v>251</v>
      </c>
      <c r="F357" s="77" t="s">
        <v>58</v>
      </c>
      <c r="G357" s="77" t="s">
        <v>3181</v>
      </c>
      <c r="H357" s="77" t="s">
        <v>296</v>
      </c>
      <c r="I357" s="76"/>
      <c r="J357" s="110" t="s">
        <v>102</v>
      </c>
      <c r="K357" s="77">
        <v>2020</v>
      </c>
      <c r="L357" s="78">
        <v>1</v>
      </c>
      <c r="M357" s="79">
        <v>100000</v>
      </c>
      <c r="N357" s="86">
        <f>Table47[[#This Row],[Expected Revenue]]*Table47[[#This Row],[Probability]]</f>
        <v>100000</v>
      </c>
      <c r="O357" s="78"/>
      <c r="P357" s="86">
        <f>Table47[[#This Row],[Expected Revenue]]*Table47[[#This Row],[Expected CMR]]</f>
        <v>0</v>
      </c>
      <c r="Q357" s="210"/>
    </row>
    <row r="358" spans="1:17" hidden="1">
      <c r="A358" s="173"/>
      <c r="B358" s="76" t="s">
        <v>117</v>
      </c>
      <c r="C358" s="77" t="s">
        <v>3059</v>
      </c>
      <c r="D358" s="102" t="s">
        <v>3060</v>
      </c>
      <c r="E358" s="77" t="s">
        <v>88</v>
      </c>
      <c r="F358" s="77" t="s">
        <v>58</v>
      </c>
      <c r="G358" s="77" t="s">
        <v>295</v>
      </c>
      <c r="H358" s="77" t="s">
        <v>290</v>
      </c>
      <c r="I358" s="76"/>
      <c r="J358" s="110" t="s">
        <v>102</v>
      </c>
      <c r="K358" s="77">
        <v>2020</v>
      </c>
      <c r="L358" s="78">
        <v>1</v>
      </c>
      <c r="M358" s="79">
        <v>27816</v>
      </c>
      <c r="N358" s="86">
        <f>Table47[[#This Row],[Expected Revenue]]*Table47[[#This Row],[Probability]]</f>
        <v>27816</v>
      </c>
      <c r="O358" s="78"/>
      <c r="P358" s="86">
        <f>Table47[[#This Row],[Expected Revenue]]*Table47[[#This Row],[Expected CMR]]</f>
        <v>0</v>
      </c>
      <c r="Q358" s="210"/>
    </row>
    <row r="359" spans="1:17">
      <c r="A359" s="173"/>
      <c r="B359" s="76" t="s">
        <v>117</v>
      </c>
      <c r="C359" s="77" t="s">
        <v>3059</v>
      </c>
      <c r="D359" s="102" t="s">
        <v>3221</v>
      </c>
      <c r="E359" s="77" t="s">
        <v>92</v>
      </c>
      <c r="F359" s="77" t="s">
        <v>58</v>
      </c>
      <c r="G359" s="77" t="s">
        <v>295</v>
      </c>
      <c r="H359" s="77" t="s">
        <v>290</v>
      </c>
      <c r="I359" s="76"/>
      <c r="J359" s="110" t="s">
        <v>68</v>
      </c>
      <c r="K359" s="77">
        <v>2020</v>
      </c>
      <c r="L359" s="78">
        <v>1</v>
      </c>
      <c r="M359" s="79">
        <v>18622.271250000002</v>
      </c>
      <c r="N359" s="86">
        <f>Table47[[#This Row],[Expected Revenue]]*Table47[[#This Row],[Probability]]</f>
        <v>18622.271250000002</v>
      </c>
      <c r="O359" s="78"/>
      <c r="P359" s="86">
        <f>Table47[[#This Row],[Expected Revenue]]*Table47[[#This Row],[Expected CMR]]</f>
        <v>0</v>
      </c>
      <c r="Q359" s="210"/>
    </row>
    <row r="360" spans="1:17">
      <c r="A360" s="173"/>
      <c r="B360" s="76" t="s">
        <v>122</v>
      </c>
      <c r="C360" s="77" t="s">
        <v>57</v>
      </c>
      <c r="D360" s="102" t="s">
        <v>3232</v>
      </c>
      <c r="E360" s="77" t="s">
        <v>71</v>
      </c>
      <c r="F360" s="77" t="s">
        <v>58</v>
      </c>
      <c r="G360" s="77" t="s">
        <v>295</v>
      </c>
      <c r="H360" s="77" t="s">
        <v>257</v>
      </c>
      <c r="I360" s="76"/>
      <c r="J360" s="110" t="s">
        <v>231</v>
      </c>
      <c r="K360" s="77">
        <v>2020</v>
      </c>
      <c r="L360" s="78">
        <v>1</v>
      </c>
      <c r="M360" s="79">
        <v>15000</v>
      </c>
      <c r="N360" s="79">
        <f>Table47[[#This Row],[Expected Revenue]]*Table47[[#This Row],[Probability]]</f>
        <v>15000</v>
      </c>
      <c r="O360" s="78"/>
      <c r="P360" s="86">
        <f>Table47[[#This Row],[Expected Revenue]]*Table47[[#This Row],[Expected CMR]]</f>
        <v>0</v>
      </c>
      <c r="Q360" s="210"/>
    </row>
    <row r="361" spans="1:17">
      <c r="A361" s="173" t="s">
        <v>129</v>
      </c>
      <c r="B361" s="76" t="s">
        <v>3058</v>
      </c>
      <c r="C361" s="77" t="s">
        <v>3059</v>
      </c>
      <c r="D361" s="102" t="s">
        <v>3221</v>
      </c>
      <c r="E361" s="77" t="s">
        <v>92</v>
      </c>
      <c r="F361" s="77" t="s">
        <v>58</v>
      </c>
      <c r="G361" s="77" t="s">
        <v>295</v>
      </c>
      <c r="H361" s="77" t="s">
        <v>290</v>
      </c>
      <c r="I361" s="76"/>
      <c r="J361" s="110" t="s">
        <v>68</v>
      </c>
      <c r="K361" s="77">
        <v>2020</v>
      </c>
      <c r="L361" s="78">
        <v>1</v>
      </c>
      <c r="M361" s="79">
        <v>18622.271250000002</v>
      </c>
      <c r="N361" s="86">
        <f>Table47[[#This Row],[Expected Revenue]]*Table47[[#This Row],[Probability]]</f>
        <v>18622.271250000002</v>
      </c>
      <c r="O361" s="78"/>
      <c r="P361" s="86">
        <f>Table47[[#This Row],[Expected Revenue]]*Table47[[#This Row],[Expected CMR]]</f>
        <v>0</v>
      </c>
      <c r="Q361" s="210"/>
    </row>
    <row r="362" spans="1:17" hidden="1">
      <c r="A362" s="173"/>
      <c r="B362" s="76" t="s">
        <v>130</v>
      </c>
      <c r="C362" s="77" t="s">
        <v>57</v>
      </c>
      <c r="D362" s="102" t="s">
        <v>3232</v>
      </c>
      <c r="E362" s="77" t="s">
        <v>71</v>
      </c>
      <c r="F362" s="77" t="s">
        <v>58</v>
      </c>
      <c r="G362" s="77" t="s">
        <v>295</v>
      </c>
      <c r="H362" s="77" t="s">
        <v>295</v>
      </c>
      <c r="I362" s="76"/>
      <c r="J362" s="110" t="s">
        <v>102</v>
      </c>
      <c r="K362" s="77">
        <v>2020</v>
      </c>
      <c r="L362" s="78">
        <v>1</v>
      </c>
      <c r="M362" s="79">
        <v>15000</v>
      </c>
      <c r="N362" s="79">
        <f>Table47[[#This Row],[Expected Revenue]]*Table47[[#This Row],[Probability]]</f>
        <v>15000</v>
      </c>
      <c r="O362" s="78"/>
      <c r="P362" s="86">
        <f>Table47[[#This Row],[Expected Revenue]]*Table47[[#This Row],[Expected CMR]]</f>
        <v>0</v>
      </c>
      <c r="Q362" s="210"/>
    </row>
    <row r="363" spans="1:17">
      <c r="A363" s="173"/>
      <c r="B363" s="76" t="s">
        <v>283</v>
      </c>
      <c r="C363" s="77" t="s">
        <v>281</v>
      </c>
      <c r="D363" s="102" t="s">
        <v>3219</v>
      </c>
      <c r="E363" s="77" t="s">
        <v>92</v>
      </c>
      <c r="F363" s="77" t="s">
        <v>58</v>
      </c>
      <c r="G363" s="77" t="s">
        <v>3216</v>
      </c>
      <c r="H363" s="77" t="s">
        <v>297</v>
      </c>
      <c r="I363" s="76"/>
      <c r="J363" s="110" t="s">
        <v>231</v>
      </c>
      <c r="K363" s="77">
        <v>2020</v>
      </c>
      <c r="L363" s="78">
        <v>1</v>
      </c>
      <c r="M363" s="79">
        <v>13500</v>
      </c>
      <c r="N363" s="86">
        <f>Table47[[#This Row],[Expected Revenue]]*Table47[[#This Row],[Probability]]</f>
        <v>13500</v>
      </c>
      <c r="O363" s="78"/>
      <c r="P363" s="86">
        <f>Table47[[#This Row],[Expected Revenue]]*Table47[[#This Row],[Expected CMR]]</f>
        <v>0</v>
      </c>
      <c r="Q363" s="210"/>
    </row>
    <row r="364" spans="1:17" hidden="1">
      <c r="A364" s="173"/>
      <c r="B364" s="76" t="s">
        <v>130</v>
      </c>
      <c r="C364" s="77" t="s">
        <v>3059</v>
      </c>
      <c r="D364" s="102" t="s">
        <v>3176</v>
      </c>
      <c r="E364" s="77" t="s">
        <v>291</v>
      </c>
      <c r="F364" s="77" t="s">
        <v>58</v>
      </c>
      <c r="G364" s="77" t="s">
        <v>295</v>
      </c>
      <c r="H364" s="77" t="s">
        <v>290</v>
      </c>
      <c r="I364" s="76"/>
      <c r="J364" s="110" t="s">
        <v>102</v>
      </c>
      <c r="K364" s="77">
        <v>2020</v>
      </c>
      <c r="L364" s="78">
        <v>1</v>
      </c>
      <c r="M364" s="79">
        <v>29000</v>
      </c>
      <c r="N364" s="86">
        <f>Table47[[#This Row],[Expected Revenue]]*Table47[[#This Row],[Probability]]</f>
        <v>29000</v>
      </c>
      <c r="O364" s="78"/>
      <c r="P364" s="86">
        <f>Table47[[#This Row],[Expected Revenue]]*Table47[[#This Row],[Expected CMR]]</f>
        <v>0</v>
      </c>
      <c r="Q364" s="210"/>
    </row>
    <row r="365" spans="1:17">
      <c r="A365" s="173" t="s">
        <v>3239</v>
      </c>
      <c r="B365" s="76" t="s">
        <v>130</v>
      </c>
      <c r="C365" s="77" t="s">
        <v>3059</v>
      </c>
      <c r="D365" s="102" t="s">
        <v>3185</v>
      </c>
      <c r="E365" s="77" t="s">
        <v>62</v>
      </c>
      <c r="F365" s="77" t="s">
        <v>58</v>
      </c>
      <c r="G365" s="77" t="s">
        <v>295</v>
      </c>
      <c r="H365" s="77" t="s">
        <v>290</v>
      </c>
      <c r="I365" s="76"/>
      <c r="J365" s="110" t="s">
        <v>68</v>
      </c>
      <c r="K365" s="77">
        <v>2020</v>
      </c>
      <c r="L365" s="78">
        <v>1</v>
      </c>
      <c r="M365" s="79">
        <v>31969</v>
      </c>
      <c r="N365" s="86">
        <f>Table47[[#This Row],[Expected Revenue]]*Table47[[#This Row],[Probability]]</f>
        <v>31969</v>
      </c>
      <c r="O365" s="78"/>
      <c r="P365" s="86">
        <f>Table47[[#This Row],[Expected Revenue]]*Table47[[#This Row],[Expected CMR]]</f>
        <v>0</v>
      </c>
      <c r="Q365" s="210"/>
    </row>
    <row r="366" spans="1:17" hidden="1">
      <c r="A366" s="173" t="s">
        <v>3235</v>
      </c>
      <c r="B366" s="76" t="s">
        <v>130</v>
      </c>
      <c r="C366" s="77" t="s">
        <v>3059</v>
      </c>
      <c r="D366" s="102" t="s">
        <v>3182</v>
      </c>
      <c r="E366" s="77" t="s">
        <v>71</v>
      </c>
      <c r="F366" s="77" t="s">
        <v>58</v>
      </c>
      <c r="G366" s="77" t="s">
        <v>295</v>
      </c>
      <c r="H366" s="77" t="s">
        <v>290</v>
      </c>
      <c r="I366" s="76"/>
      <c r="J366" s="110" t="s">
        <v>102</v>
      </c>
      <c r="K366" s="77">
        <v>2020</v>
      </c>
      <c r="L366" s="78">
        <v>1</v>
      </c>
      <c r="M366" s="79">
        <v>30939</v>
      </c>
      <c r="N366" s="86">
        <f>Table47[[#This Row],[Expected Revenue]]*Table47[[#This Row],[Probability]]</f>
        <v>30939</v>
      </c>
      <c r="O366" s="78"/>
      <c r="P366" s="86">
        <f>Table47[[#This Row],[Expected Revenue]]*Table47[[#This Row],[Expected CMR]]</f>
        <v>0</v>
      </c>
      <c r="Q366" s="210"/>
    </row>
    <row r="367" spans="1:17">
      <c r="A367" s="173" t="s">
        <v>3220</v>
      </c>
      <c r="B367" s="76" t="s">
        <v>130</v>
      </c>
      <c r="C367" s="77" t="s">
        <v>3059</v>
      </c>
      <c r="D367" s="102" t="s">
        <v>3221</v>
      </c>
      <c r="E367" s="77" t="s">
        <v>92</v>
      </c>
      <c r="F367" s="77" t="s">
        <v>58</v>
      </c>
      <c r="G367" s="77" t="s">
        <v>295</v>
      </c>
      <c r="H367" s="77" t="s">
        <v>290</v>
      </c>
      <c r="I367" s="76"/>
      <c r="J367" s="110" t="s">
        <v>68</v>
      </c>
      <c r="K367" s="77">
        <v>2020</v>
      </c>
      <c r="L367" s="78">
        <v>1</v>
      </c>
      <c r="M367" s="79">
        <v>18622.271250000002</v>
      </c>
      <c r="N367" s="86">
        <f>Table47[[#This Row],[Expected Revenue]]*Table47[[#This Row],[Probability]]</f>
        <v>18622.271250000002</v>
      </c>
      <c r="O367" s="78"/>
      <c r="P367" s="86">
        <f>Table47[[#This Row],[Expected Revenue]]*Table47[[#This Row],[Expected CMR]]</f>
        <v>0</v>
      </c>
      <c r="Q367" s="210"/>
    </row>
    <row r="368" spans="1:17">
      <c r="A368" s="173"/>
      <c r="B368" s="76" t="s">
        <v>1202</v>
      </c>
      <c r="C368" s="77"/>
      <c r="D368" s="102"/>
      <c r="E368" s="77" t="s">
        <v>251</v>
      </c>
      <c r="F368" s="77" t="s">
        <v>58</v>
      </c>
      <c r="G368" s="77" t="s">
        <v>257</v>
      </c>
      <c r="H368" s="77" t="s">
        <v>257</v>
      </c>
      <c r="I368" s="76"/>
      <c r="J368" s="110" t="s">
        <v>231</v>
      </c>
      <c r="K368" s="77">
        <v>2020</v>
      </c>
      <c r="L368" s="78">
        <v>1</v>
      </c>
      <c r="M368" s="79">
        <v>100000</v>
      </c>
      <c r="N368" s="86">
        <f>Table47[[#This Row],[Expected Revenue]]*Table47[[#This Row],[Probability]]</f>
        <v>100000</v>
      </c>
      <c r="O368" s="78"/>
      <c r="P368" s="86">
        <f>Table47[[#This Row],[Expected Revenue]]*Table47[[#This Row],[Expected CMR]]</f>
        <v>0</v>
      </c>
      <c r="Q368" s="210"/>
    </row>
    <row r="369" spans="1:17" hidden="1">
      <c r="A369" s="173"/>
      <c r="B369" s="76" t="s">
        <v>130</v>
      </c>
      <c r="C369" s="77" t="s">
        <v>3059</v>
      </c>
      <c r="D369" s="102" t="s">
        <v>3060</v>
      </c>
      <c r="E369" s="77" t="s">
        <v>88</v>
      </c>
      <c r="F369" s="77" t="s">
        <v>58</v>
      </c>
      <c r="G369" s="77" t="s">
        <v>295</v>
      </c>
      <c r="H369" s="77" t="s">
        <v>290</v>
      </c>
      <c r="I369" s="76"/>
      <c r="J369" s="110" t="s">
        <v>219</v>
      </c>
      <c r="K369" s="77">
        <v>2020</v>
      </c>
      <c r="L369" s="78">
        <v>1</v>
      </c>
      <c r="M369" s="79">
        <v>12000</v>
      </c>
      <c r="N369" s="86">
        <f>Table47[[#This Row],[Expected Revenue]]*Table47[[#This Row],[Probability]]</f>
        <v>12000</v>
      </c>
      <c r="O369" s="78"/>
      <c r="P369" s="86">
        <f>Table47[[#This Row],[Expected Revenue]]*Table47[[#This Row],[Expected CMR]]</f>
        <v>0</v>
      </c>
      <c r="Q369" s="210"/>
    </row>
    <row r="370" spans="1:17">
      <c r="A370" s="173"/>
      <c r="B370" s="76" t="s">
        <v>296</v>
      </c>
      <c r="C370" s="77"/>
      <c r="D370" s="102"/>
      <c r="E370" s="77" t="s">
        <v>251</v>
      </c>
      <c r="F370" s="77" t="s">
        <v>58</v>
      </c>
      <c r="G370" s="77" t="s">
        <v>3181</v>
      </c>
      <c r="H370" s="77" t="s">
        <v>296</v>
      </c>
      <c r="I370" s="76"/>
      <c r="J370" s="110" t="s">
        <v>231</v>
      </c>
      <c r="K370" s="77">
        <v>2020</v>
      </c>
      <c r="L370" s="78">
        <v>1</v>
      </c>
      <c r="M370" s="79">
        <v>100000</v>
      </c>
      <c r="N370" s="86">
        <f>Table47[[#This Row],[Expected Revenue]]*Table47[[#This Row],[Probability]]</f>
        <v>100000</v>
      </c>
      <c r="O370" s="78"/>
      <c r="P370" s="86">
        <f>Table47[[#This Row],[Expected Revenue]]*Table47[[#This Row],[Expected CMR]]</f>
        <v>0</v>
      </c>
      <c r="Q370" s="210"/>
    </row>
    <row r="371" spans="1:17">
      <c r="A371" s="173"/>
      <c r="B371" s="76" t="s">
        <v>296</v>
      </c>
      <c r="C371" s="77"/>
      <c r="D371" s="102"/>
      <c r="E371" s="77" t="s">
        <v>251</v>
      </c>
      <c r="F371" s="77" t="s">
        <v>58</v>
      </c>
      <c r="G371" s="77" t="s">
        <v>3181</v>
      </c>
      <c r="H371" s="77" t="s">
        <v>296</v>
      </c>
      <c r="I371" s="76"/>
      <c r="J371" s="110" t="s">
        <v>68</v>
      </c>
      <c r="K371" s="77">
        <v>2020</v>
      </c>
      <c r="L371" s="78">
        <v>1</v>
      </c>
      <c r="M371" s="79">
        <v>100000</v>
      </c>
      <c r="N371" s="86">
        <f>Table47[[#This Row],[Expected Revenue]]*Table47[[#This Row],[Probability]]</f>
        <v>100000</v>
      </c>
      <c r="O371" s="78"/>
      <c r="P371" s="86">
        <f>Table47[[#This Row],[Expected Revenue]]*Table47[[#This Row],[Expected CMR]]</f>
        <v>0</v>
      </c>
      <c r="Q371" s="210"/>
    </row>
    <row r="372" spans="1:17" hidden="1">
      <c r="A372" s="173" t="s">
        <v>3236</v>
      </c>
      <c r="B372" s="76" t="s">
        <v>130</v>
      </c>
      <c r="C372" s="77" t="s">
        <v>3059</v>
      </c>
      <c r="D372" s="102" t="s">
        <v>3055</v>
      </c>
      <c r="E372" s="77" t="s">
        <v>292</v>
      </c>
      <c r="F372" s="77" t="s">
        <v>58</v>
      </c>
      <c r="G372" s="77" t="s">
        <v>295</v>
      </c>
      <c r="H372" s="77" t="s">
        <v>290</v>
      </c>
      <c r="I372" s="76"/>
      <c r="J372" s="110" t="s">
        <v>102</v>
      </c>
      <c r="K372" s="77">
        <v>2020</v>
      </c>
      <c r="L372" s="78">
        <v>1</v>
      </c>
      <c r="M372" s="79">
        <v>13900</v>
      </c>
      <c r="N372" s="86">
        <f>Table47[[#This Row],[Expected Revenue]]*Table47[[#This Row],[Probability]]</f>
        <v>13900</v>
      </c>
      <c r="O372" s="78"/>
      <c r="P372" s="86">
        <f>Table47[[#This Row],[Expected Revenue]]*Table47[[#This Row],[Expected CMR]]</f>
        <v>0</v>
      </c>
      <c r="Q372" s="210"/>
    </row>
    <row r="373" spans="1:17" hidden="1">
      <c r="A373" s="173" t="s">
        <v>3241</v>
      </c>
      <c r="B373" s="76" t="s">
        <v>137</v>
      </c>
      <c r="C373" s="77" t="s">
        <v>3059</v>
      </c>
      <c r="D373" s="102" t="s">
        <v>3055</v>
      </c>
      <c r="E373" s="77" t="s">
        <v>292</v>
      </c>
      <c r="F373" s="77" t="s">
        <v>58</v>
      </c>
      <c r="G373" s="77" t="s">
        <v>65</v>
      </c>
      <c r="H373" s="77" t="s">
        <v>290</v>
      </c>
      <c r="I373" s="76"/>
      <c r="J373" s="110" t="s">
        <v>84</v>
      </c>
      <c r="K373" s="77">
        <v>2020</v>
      </c>
      <c r="L373" s="78">
        <v>1</v>
      </c>
      <c r="M373" s="79">
        <v>13900</v>
      </c>
      <c r="N373" s="86">
        <f>Table47[[#This Row],[Expected Revenue]]*Table47[[#This Row],[Probability]]</f>
        <v>13900</v>
      </c>
      <c r="O373" s="78"/>
      <c r="P373" s="86">
        <f>Table47[[#This Row],[Expected Revenue]]*Table47[[#This Row],[Expected CMR]]</f>
        <v>0</v>
      </c>
      <c r="Q373" s="210"/>
    </row>
    <row r="374" spans="1:17">
      <c r="A374" s="173"/>
      <c r="B374" s="76" t="s">
        <v>137</v>
      </c>
      <c r="C374" s="77" t="s">
        <v>57</v>
      </c>
      <c r="D374" s="102" t="s">
        <v>3232</v>
      </c>
      <c r="E374" s="77" t="s">
        <v>71</v>
      </c>
      <c r="F374" s="77" t="s">
        <v>58</v>
      </c>
      <c r="G374" s="77"/>
      <c r="H374" s="77" t="s">
        <v>257</v>
      </c>
      <c r="I374" s="76"/>
      <c r="J374" s="110" t="s">
        <v>231</v>
      </c>
      <c r="K374" s="77">
        <v>2020</v>
      </c>
      <c r="L374" s="78">
        <v>1</v>
      </c>
      <c r="M374" s="79">
        <v>15000</v>
      </c>
      <c r="N374" s="79">
        <f>Table47[[#This Row],[Expected Revenue]]*Table47[[#This Row],[Probability]]</f>
        <v>15000</v>
      </c>
      <c r="O374" s="78"/>
      <c r="P374" s="86">
        <f>Table47[[#This Row],[Expected Revenue]]*Table47[[#This Row],[Expected CMR]]</f>
        <v>0</v>
      </c>
      <c r="Q374" s="210"/>
    </row>
    <row r="375" spans="1:17">
      <c r="A375" s="173" t="s">
        <v>145</v>
      </c>
      <c r="B375" s="76" t="s">
        <v>137</v>
      </c>
      <c r="C375" s="77" t="s">
        <v>3059</v>
      </c>
      <c r="D375" s="102" t="s">
        <v>3221</v>
      </c>
      <c r="E375" s="77" t="s">
        <v>92</v>
      </c>
      <c r="F375" s="77" t="s">
        <v>58</v>
      </c>
      <c r="G375" s="77" t="s">
        <v>65</v>
      </c>
      <c r="H375" s="77" t="s">
        <v>290</v>
      </c>
      <c r="I375" s="76"/>
      <c r="J375" s="110" t="s">
        <v>68</v>
      </c>
      <c r="K375" s="77">
        <v>2020</v>
      </c>
      <c r="L375" s="78">
        <v>1</v>
      </c>
      <c r="M375" s="79">
        <v>18622.271250000002</v>
      </c>
      <c r="N375" s="86">
        <f>Table47[[#This Row],[Expected Revenue]]*Table47[[#This Row],[Probability]]</f>
        <v>18622.271250000002</v>
      </c>
      <c r="O375" s="78"/>
      <c r="P375" s="86">
        <f>Table47[[#This Row],[Expected Revenue]]*Table47[[#This Row],[Expected CMR]]</f>
        <v>0</v>
      </c>
      <c r="Q375" s="210"/>
    </row>
    <row r="376" spans="1:17" hidden="1">
      <c r="A376" s="173"/>
      <c r="B376" s="76" t="s">
        <v>146</v>
      </c>
      <c r="C376" s="77" t="s">
        <v>3059</v>
      </c>
      <c r="D376" s="102" t="s">
        <v>3060</v>
      </c>
      <c r="E376" s="77" t="s">
        <v>88</v>
      </c>
      <c r="F376" s="77" t="s">
        <v>58</v>
      </c>
      <c r="G376" s="77" t="s">
        <v>295</v>
      </c>
      <c r="H376" s="77" t="s">
        <v>290</v>
      </c>
      <c r="I376" s="76"/>
      <c r="J376" s="110" t="s">
        <v>102</v>
      </c>
      <c r="K376" s="77">
        <v>2020</v>
      </c>
      <c r="L376" s="78">
        <v>1</v>
      </c>
      <c r="M376" s="79">
        <v>27816</v>
      </c>
      <c r="N376" s="86">
        <f>Table47[[#This Row],[Expected Revenue]]*Table47[[#This Row],[Probability]]</f>
        <v>27816</v>
      </c>
      <c r="O376" s="78"/>
      <c r="P376" s="86">
        <f>Table47[[#This Row],[Expected Revenue]]*Table47[[#This Row],[Expected CMR]]</f>
        <v>0</v>
      </c>
      <c r="Q376" s="210"/>
    </row>
    <row r="377" spans="1:17" hidden="1">
      <c r="A377" s="173"/>
      <c r="B377" s="76" t="s">
        <v>146</v>
      </c>
      <c r="C377" s="77" t="s">
        <v>3059</v>
      </c>
      <c r="D377" s="102" t="s">
        <v>3176</v>
      </c>
      <c r="E377" s="77" t="s">
        <v>291</v>
      </c>
      <c r="F377" s="77" t="s">
        <v>58</v>
      </c>
      <c r="G377" s="77" t="s">
        <v>295</v>
      </c>
      <c r="H377" s="77" t="s">
        <v>290</v>
      </c>
      <c r="I377" s="76"/>
      <c r="J377" s="110" t="s">
        <v>102</v>
      </c>
      <c r="K377" s="77">
        <v>2020</v>
      </c>
      <c r="L377" s="78">
        <v>1</v>
      </c>
      <c r="M377" s="79">
        <v>59378</v>
      </c>
      <c r="N377" s="86">
        <f>Table47[[#This Row],[Expected Revenue]]*Table47[[#This Row],[Probability]]</f>
        <v>59378</v>
      </c>
      <c r="O377" s="78"/>
      <c r="P377" s="86">
        <f>Table47[[#This Row],[Expected Revenue]]*Table47[[#This Row],[Expected CMR]]</f>
        <v>0</v>
      </c>
      <c r="Q377" s="210"/>
    </row>
    <row r="378" spans="1:17" hidden="1">
      <c r="A378" s="173"/>
      <c r="B378" s="76"/>
      <c r="C378" s="77"/>
      <c r="D378" s="102"/>
      <c r="E378" s="77"/>
      <c r="F378" s="77"/>
      <c r="G378" s="77"/>
      <c r="H378" s="77"/>
      <c r="I378" s="76"/>
      <c r="J378" s="110"/>
      <c r="K378" s="77"/>
      <c r="L378" s="78"/>
      <c r="M378" s="79"/>
      <c r="N378" s="86">
        <f>Table47[[#This Row],[Expected Revenue]]*Table47[[#This Row],[Probability]]</f>
        <v>0</v>
      </c>
      <c r="O378" s="78"/>
      <c r="P378" s="86">
        <f>Table47[[#This Row],[Expected Revenue]]*Table47[[#This Row],[Expected CMR]]</f>
        <v>0</v>
      </c>
      <c r="Q378" s="210"/>
    </row>
    <row r="379" spans="1:17" hidden="1">
      <c r="A379" s="173"/>
      <c r="B379" s="76"/>
      <c r="C379" s="77"/>
      <c r="D379" s="102"/>
      <c r="E379" s="77"/>
      <c r="F379" s="77"/>
      <c r="G379" s="77"/>
      <c r="H379" s="77"/>
      <c r="I379" s="76"/>
      <c r="J379" s="110"/>
      <c r="K379" s="77"/>
      <c r="L379" s="78"/>
      <c r="M379" s="79"/>
      <c r="N379" s="86">
        <f>Table47[[#This Row],[Expected Revenue]]*Table47[[#This Row],[Probability]]</f>
        <v>0</v>
      </c>
      <c r="O379" s="78"/>
      <c r="P379" s="86">
        <f>Table47[[#This Row],[Expected Revenue]]*Table47[[#This Row],[Expected CMR]]</f>
        <v>0</v>
      </c>
      <c r="Q379" s="210"/>
    </row>
    <row r="380" spans="1:17" hidden="1">
      <c r="A380" s="173"/>
      <c r="B380" s="76"/>
      <c r="C380" s="77"/>
      <c r="D380" s="102"/>
      <c r="E380" s="77"/>
      <c r="F380" s="77"/>
      <c r="G380" s="77"/>
      <c r="H380" s="77"/>
      <c r="I380" s="76"/>
      <c r="J380" s="110"/>
      <c r="K380" s="77"/>
      <c r="L380" s="78"/>
      <c r="M380" s="79"/>
      <c r="N380" s="86">
        <f>Table47[[#This Row],[Expected Revenue]]*Table47[[#This Row],[Probability]]</f>
        <v>0</v>
      </c>
      <c r="O380" s="78"/>
      <c r="P380" s="86">
        <f>Table47[[#This Row],[Expected Revenue]]*Table47[[#This Row],[Expected CMR]]</f>
        <v>0</v>
      </c>
      <c r="Q380" s="210"/>
    </row>
    <row r="381" spans="1:17" hidden="1">
      <c r="A381" s="173"/>
      <c r="B381" s="76"/>
      <c r="C381" s="77"/>
      <c r="D381" s="102"/>
      <c r="E381" s="77"/>
      <c r="F381" s="77"/>
      <c r="G381" s="77"/>
      <c r="H381" s="77"/>
      <c r="I381" s="76"/>
      <c r="J381" s="110"/>
      <c r="K381" s="77"/>
      <c r="L381" s="78"/>
      <c r="M381" s="79"/>
      <c r="N381" s="86">
        <f>Table47[[#This Row],[Expected Revenue]]*Table47[[#This Row],[Probability]]</f>
        <v>0</v>
      </c>
      <c r="O381" s="78"/>
      <c r="P381" s="86">
        <f>Table47[[#This Row],[Expected Revenue]]*Table47[[#This Row],[Expected CMR]]</f>
        <v>0</v>
      </c>
      <c r="Q381" s="210"/>
    </row>
    <row r="382" spans="1:17" hidden="1">
      <c r="A382" s="173"/>
      <c r="B382" s="76"/>
      <c r="C382" s="77"/>
      <c r="D382" s="102"/>
      <c r="E382" s="77"/>
      <c r="F382" s="77"/>
      <c r="G382" s="77"/>
      <c r="H382" s="77"/>
      <c r="I382" s="76"/>
      <c r="J382" s="110"/>
      <c r="K382" s="77"/>
      <c r="L382" s="78"/>
      <c r="M382" s="79"/>
      <c r="N382" s="86">
        <f>Table47[[#This Row],[Expected Revenue]]*Table47[[#This Row],[Probability]]</f>
        <v>0</v>
      </c>
      <c r="O382" s="78"/>
      <c r="P382" s="86">
        <f>Table47[[#This Row],[Expected Revenue]]*Table47[[#This Row],[Expected CMR]]</f>
        <v>0</v>
      </c>
      <c r="Q382" s="210"/>
    </row>
    <row r="383" spans="1:17" hidden="1">
      <c r="A383" s="173"/>
      <c r="B383" s="76"/>
      <c r="C383" s="77"/>
      <c r="D383" s="102"/>
      <c r="E383" s="77"/>
      <c r="F383" s="77"/>
      <c r="G383" s="77"/>
      <c r="H383" s="77"/>
      <c r="I383" s="76"/>
      <c r="J383" s="110"/>
      <c r="K383" s="77"/>
      <c r="L383" s="78"/>
      <c r="M383" s="79"/>
      <c r="N383" s="86">
        <f>Table47[[#This Row],[Expected Revenue]]*Table47[[#This Row],[Probability]]</f>
        <v>0</v>
      </c>
      <c r="O383" s="78"/>
      <c r="P383" s="86">
        <f>Table47[[#This Row],[Expected Revenue]]*Table47[[#This Row],[Expected CMR]]</f>
        <v>0</v>
      </c>
      <c r="Q383" s="210"/>
    </row>
    <row r="384" spans="1:17" hidden="1">
      <c r="A384" s="173"/>
      <c r="B384" s="76"/>
      <c r="C384" s="77"/>
      <c r="D384" s="102"/>
      <c r="E384" s="77"/>
      <c r="F384" s="77"/>
      <c r="G384" s="77"/>
      <c r="H384" s="77"/>
      <c r="I384" s="76"/>
      <c r="J384" s="110"/>
      <c r="K384" s="77"/>
      <c r="L384" s="78"/>
      <c r="M384" s="79"/>
      <c r="N384" s="86">
        <f>Table47[[#This Row],[Expected Revenue]]*Table47[[#This Row],[Probability]]</f>
        <v>0</v>
      </c>
      <c r="O384" s="78"/>
      <c r="P384" s="86">
        <f>Table47[[#This Row],[Expected Revenue]]*Table47[[#This Row],[Expected CMR]]</f>
        <v>0</v>
      </c>
      <c r="Q384" s="210"/>
    </row>
    <row r="385" spans="1:17" hidden="1">
      <c r="A385" s="173"/>
      <c r="B385" s="76"/>
      <c r="C385" s="77"/>
      <c r="D385" s="102"/>
      <c r="E385" s="77"/>
      <c r="F385" s="77"/>
      <c r="G385" s="77"/>
      <c r="H385" s="77"/>
      <c r="I385" s="76"/>
      <c r="J385" s="110"/>
      <c r="K385" s="77"/>
      <c r="L385" s="78"/>
      <c r="M385" s="79"/>
      <c r="N385" s="86">
        <f>Table47[[#This Row],[Expected Revenue]]*Table47[[#This Row],[Probability]]</f>
        <v>0</v>
      </c>
      <c r="O385" s="78"/>
      <c r="P385" s="86">
        <f>Table47[[#This Row],[Expected Revenue]]*Table47[[#This Row],[Expected CMR]]</f>
        <v>0</v>
      </c>
      <c r="Q385" s="210"/>
    </row>
    <row r="386" spans="1:17" hidden="1">
      <c r="A386" s="173"/>
      <c r="B386" s="76"/>
      <c r="C386" s="77"/>
      <c r="D386" s="102"/>
      <c r="E386" s="77"/>
      <c r="F386" s="77"/>
      <c r="G386" s="77"/>
      <c r="H386" s="77"/>
      <c r="I386" s="76"/>
      <c r="J386" s="110"/>
      <c r="K386" s="77"/>
      <c r="L386" s="78"/>
      <c r="M386" s="79"/>
      <c r="N386" s="86">
        <f>Table47[[#This Row],[Expected Revenue]]*Table47[[#This Row],[Probability]]</f>
        <v>0</v>
      </c>
      <c r="O386" s="78"/>
      <c r="P386" s="86">
        <f>Table47[[#This Row],[Expected Revenue]]*Table47[[#This Row],[Expected CMR]]</f>
        <v>0</v>
      </c>
      <c r="Q386" s="210"/>
    </row>
    <row r="387" spans="1:17" hidden="1">
      <c r="A387" s="173"/>
      <c r="B387" s="76"/>
      <c r="C387" s="77"/>
      <c r="D387" s="102"/>
      <c r="E387" s="77"/>
      <c r="F387" s="77"/>
      <c r="G387" s="77"/>
      <c r="H387" s="77"/>
      <c r="I387" s="76"/>
      <c r="J387" s="110"/>
      <c r="K387" s="77"/>
      <c r="L387" s="78"/>
      <c r="M387" s="79"/>
      <c r="N387" s="86">
        <f>Table47[[#This Row],[Expected Revenue]]*Table47[[#This Row],[Probability]]</f>
        <v>0</v>
      </c>
      <c r="O387" s="78"/>
      <c r="P387" s="86">
        <f>Table47[[#This Row],[Expected Revenue]]*Table47[[#This Row],[Expected CMR]]</f>
        <v>0</v>
      </c>
      <c r="Q387" s="210"/>
    </row>
    <row r="388" spans="1:17" hidden="1">
      <c r="A388" s="173"/>
      <c r="B388" s="76"/>
      <c r="C388" s="77"/>
      <c r="D388" s="102"/>
      <c r="E388" s="77"/>
      <c r="F388" s="77"/>
      <c r="G388" s="77"/>
      <c r="H388" s="77"/>
      <c r="I388" s="76"/>
      <c r="J388" s="110"/>
      <c r="K388" s="77"/>
      <c r="L388" s="78"/>
      <c r="M388" s="79"/>
      <c r="N388" s="86">
        <f>Table47[[#This Row],[Expected Revenue]]*Table47[[#This Row],[Probability]]</f>
        <v>0</v>
      </c>
      <c r="O388" s="78"/>
      <c r="P388" s="86">
        <f>Table47[[#This Row],[Expected Revenue]]*Table47[[#This Row],[Expected CMR]]</f>
        <v>0</v>
      </c>
      <c r="Q388" s="210"/>
    </row>
    <row r="389" spans="1:17" hidden="1">
      <c r="A389" s="173"/>
      <c r="B389" s="76"/>
      <c r="C389" s="77"/>
      <c r="D389" s="102"/>
      <c r="E389" s="77"/>
      <c r="F389" s="77"/>
      <c r="G389" s="77"/>
      <c r="H389" s="77"/>
      <c r="I389" s="76"/>
      <c r="J389" s="110"/>
      <c r="K389" s="77"/>
      <c r="L389" s="78"/>
      <c r="M389" s="79"/>
      <c r="N389" s="86">
        <f>Table47[[#This Row],[Expected Revenue]]*Table47[[#This Row],[Probability]]</f>
        <v>0</v>
      </c>
      <c r="O389" s="78"/>
      <c r="P389" s="86">
        <f>Table47[[#This Row],[Expected Revenue]]*Table47[[#This Row],[Expected CMR]]</f>
        <v>0</v>
      </c>
      <c r="Q389" s="210"/>
    </row>
    <row r="390" spans="1:17" hidden="1">
      <c r="A390" s="173"/>
      <c r="B390" s="76"/>
      <c r="C390" s="77"/>
      <c r="D390" s="102"/>
      <c r="E390" s="77"/>
      <c r="F390" s="77"/>
      <c r="G390" s="77"/>
      <c r="H390" s="77"/>
      <c r="I390" s="76"/>
      <c r="J390" s="110"/>
      <c r="K390" s="77"/>
      <c r="L390" s="78"/>
      <c r="M390" s="79"/>
      <c r="N390" s="86">
        <f>Table47[[#This Row],[Expected Revenue]]*Table47[[#This Row],[Probability]]</f>
        <v>0</v>
      </c>
      <c r="O390" s="78"/>
      <c r="P390" s="86">
        <f>Table47[[#This Row],[Expected Revenue]]*Table47[[#This Row],[Expected CMR]]</f>
        <v>0</v>
      </c>
      <c r="Q390" s="210"/>
    </row>
    <row r="391" spans="1:17" hidden="1">
      <c r="A391" s="173"/>
      <c r="B391" s="76"/>
      <c r="C391" s="77"/>
      <c r="D391" s="102"/>
      <c r="E391" s="77"/>
      <c r="F391" s="77"/>
      <c r="G391" s="77"/>
      <c r="H391" s="77"/>
      <c r="I391" s="76"/>
      <c r="J391" s="110"/>
      <c r="K391" s="77"/>
      <c r="L391" s="78"/>
      <c r="M391" s="79"/>
      <c r="N391" s="86">
        <f>Table47[[#This Row],[Expected Revenue]]*Table47[[#This Row],[Probability]]</f>
        <v>0</v>
      </c>
      <c r="O391" s="78"/>
      <c r="P391" s="86">
        <f>Table47[[#This Row],[Expected Revenue]]*Table47[[#This Row],[Expected CMR]]</f>
        <v>0</v>
      </c>
      <c r="Q391" s="210"/>
    </row>
    <row r="392" spans="1:17" hidden="1">
      <c r="A392" s="173"/>
      <c r="B392" s="76"/>
      <c r="C392" s="77"/>
      <c r="D392" s="102"/>
      <c r="E392" s="77"/>
      <c r="F392" s="77"/>
      <c r="G392" s="77"/>
      <c r="H392" s="77"/>
      <c r="I392" s="76"/>
      <c r="J392" s="110"/>
      <c r="K392" s="77"/>
      <c r="L392" s="78"/>
      <c r="M392" s="79"/>
      <c r="N392" s="86">
        <f>Table47[[#This Row],[Expected Revenue]]*Table47[[#This Row],[Probability]]</f>
        <v>0</v>
      </c>
      <c r="O392" s="78"/>
      <c r="P392" s="86">
        <f>Table47[[#This Row],[Expected Revenue]]*Table47[[#This Row],[Expected CMR]]</f>
        <v>0</v>
      </c>
      <c r="Q392" s="210"/>
    </row>
    <row r="393" spans="1:17" hidden="1">
      <c r="A393" s="173"/>
      <c r="B393" s="76"/>
      <c r="C393" s="77"/>
      <c r="D393" s="102"/>
      <c r="E393" s="77"/>
      <c r="F393" s="77"/>
      <c r="G393" s="77"/>
      <c r="H393" s="77"/>
      <c r="I393" s="76"/>
      <c r="J393" s="110"/>
      <c r="K393" s="77"/>
      <c r="L393" s="78"/>
      <c r="M393" s="79"/>
      <c r="N393" s="86">
        <f>Table47[[#This Row],[Expected Revenue]]*Table47[[#This Row],[Probability]]</f>
        <v>0</v>
      </c>
      <c r="O393" s="78"/>
      <c r="P393" s="86">
        <f>Table47[[#This Row],[Expected Revenue]]*Table47[[#This Row],[Expected CMR]]</f>
        <v>0</v>
      </c>
      <c r="Q393" s="210"/>
    </row>
    <row r="394" spans="1:17" hidden="1">
      <c r="A394" s="173"/>
      <c r="B394" s="76"/>
      <c r="C394" s="77"/>
      <c r="D394" s="102"/>
      <c r="E394" s="77"/>
      <c r="F394" s="77"/>
      <c r="G394" s="77"/>
      <c r="H394" s="77"/>
      <c r="I394" s="76"/>
      <c r="J394" s="110"/>
      <c r="K394" s="77"/>
      <c r="L394" s="78"/>
      <c r="M394" s="79"/>
      <c r="N394" s="86">
        <f>Table47[[#This Row],[Expected Revenue]]*Table47[[#This Row],[Probability]]</f>
        <v>0</v>
      </c>
      <c r="O394" s="78"/>
      <c r="P394" s="86">
        <f>Table47[[#This Row],[Expected Revenue]]*Table47[[#This Row],[Expected CMR]]</f>
        <v>0</v>
      </c>
      <c r="Q394" s="210"/>
    </row>
    <row r="395" spans="1:17" hidden="1">
      <c r="A395" s="173"/>
      <c r="B395" s="76"/>
      <c r="C395" s="77"/>
      <c r="D395" s="102"/>
      <c r="E395" s="77"/>
      <c r="F395" s="77"/>
      <c r="G395" s="77"/>
      <c r="H395" s="77"/>
      <c r="I395" s="76"/>
      <c r="J395" s="110"/>
      <c r="K395" s="77"/>
      <c r="L395" s="78"/>
      <c r="M395" s="79"/>
      <c r="N395" s="86">
        <f>Table47[[#This Row],[Expected Revenue]]*Table47[[#This Row],[Probability]]</f>
        <v>0</v>
      </c>
      <c r="O395" s="78"/>
      <c r="P395" s="86">
        <f>Table47[[#This Row],[Expected Revenue]]*Table47[[#This Row],[Expected CMR]]</f>
        <v>0</v>
      </c>
      <c r="Q395" s="210"/>
    </row>
    <row r="396" spans="1:17" hidden="1">
      <c r="A396" s="173"/>
      <c r="B396" s="76"/>
      <c r="C396" s="77"/>
      <c r="D396" s="102"/>
      <c r="E396" s="77"/>
      <c r="F396" s="77"/>
      <c r="G396" s="77"/>
      <c r="H396" s="77"/>
      <c r="I396" s="76"/>
      <c r="J396" s="110"/>
      <c r="K396" s="77"/>
      <c r="L396" s="78"/>
      <c r="M396" s="79"/>
      <c r="N396" s="86">
        <f>Table47[[#This Row],[Expected Revenue]]*Table47[[#This Row],[Probability]]</f>
        <v>0</v>
      </c>
      <c r="O396" s="78"/>
      <c r="P396" s="86">
        <f>Table47[[#This Row],[Expected Revenue]]*Table47[[#This Row],[Expected CMR]]</f>
        <v>0</v>
      </c>
      <c r="Q396" s="210"/>
    </row>
    <row r="397" spans="1:17" hidden="1">
      <c r="A397" s="173"/>
      <c r="B397" s="76"/>
      <c r="C397" s="77"/>
      <c r="D397" s="102"/>
      <c r="E397" s="77"/>
      <c r="F397" s="77"/>
      <c r="G397" s="77"/>
      <c r="H397" s="77"/>
      <c r="I397" s="76"/>
      <c r="J397" s="110"/>
      <c r="K397" s="77"/>
      <c r="L397" s="78"/>
      <c r="M397" s="79"/>
      <c r="N397" s="86">
        <f>Table47[[#This Row],[Expected Revenue]]*Table47[[#This Row],[Probability]]</f>
        <v>0</v>
      </c>
      <c r="O397" s="78"/>
      <c r="P397" s="86">
        <f>Table47[[#This Row],[Expected Revenue]]*Table47[[#This Row],[Expected CMR]]</f>
        <v>0</v>
      </c>
      <c r="Q397" s="210"/>
    </row>
    <row r="398" spans="1:17" hidden="1">
      <c r="A398" s="173"/>
      <c r="B398" s="76"/>
      <c r="C398" s="77"/>
      <c r="D398" s="102"/>
      <c r="E398" s="77"/>
      <c r="F398" s="77"/>
      <c r="G398" s="77"/>
      <c r="H398" s="77"/>
      <c r="I398" s="76"/>
      <c r="J398" s="110"/>
      <c r="K398" s="77"/>
      <c r="L398" s="78"/>
      <c r="M398" s="79"/>
      <c r="N398" s="86">
        <f>Table47[[#This Row],[Expected Revenue]]*Table47[[#This Row],[Probability]]</f>
        <v>0</v>
      </c>
      <c r="O398" s="78"/>
      <c r="P398" s="86">
        <f>Table47[[#This Row],[Expected Revenue]]*Table47[[#This Row],[Expected CMR]]</f>
        <v>0</v>
      </c>
      <c r="Q398" s="210"/>
    </row>
    <row r="399" spans="1:17" hidden="1">
      <c r="A399" s="173"/>
      <c r="B399" s="76"/>
      <c r="C399" s="77"/>
      <c r="D399" s="102"/>
      <c r="E399" s="77"/>
      <c r="F399" s="77"/>
      <c r="G399" s="77"/>
      <c r="H399" s="77"/>
      <c r="I399" s="76"/>
      <c r="J399" s="110"/>
      <c r="K399" s="77"/>
      <c r="L399" s="78"/>
      <c r="M399" s="79"/>
      <c r="N399" s="86">
        <f>Table47[[#This Row],[Expected Revenue]]*Table47[[#This Row],[Probability]]</f>
        <v>0</v>
      </c>
      <c r="O399" s="78"/>
      <c r="P399" s="86">
        <f>Table47[[#This Row],[Expected Revenue]]*Table47[[#This Row],[Expected CMR]]</f>
        <v>0</v>
      </c>
      <c r="Q399" s="210"/>
    </row>
    <row r="400" spans="1:17" hidden="1">
      <c r="A400" s="173"/>
      <c r="B400" s="76"/>
      <c r="C400" s="77"/>
      <c r="D400" s="102"/>
      <c r="E400" s="77"/>
      <c r="F400" s="77"/>
      <c r="G400" s="77"/>
      <c r="H400" s="77"/>
      <c r="I400" s="76"/>
      <c r="J400" s="110"/>
      <c r="K400" s="77"/>
      <c r="L400" s="78"/>
      <c r="M400" s="79"/>
      <c r="N400" s="86">
        <f>Table47[[#This Row],[Expected Revenue]]*Table47[[#This Row],[Probability]]</f>
        <v>0</v>
      </c>
      <c r="O400" s="78"/>
      <c r="P400" s="86">
        <f>Table47[[#This Row],[Expected Revenue]]*Table47[[#This Row],[Expected CMR]]</f>
        <v>0</v>
      </c>
      <c r="Q400" s="210"/>
    </row>
    <row r="401" spans="1:17" hidden="1">
      <c r="A401" s="173"/>
      <c r="B401" s="76"/>
      <c r="C401" s="77"/>
      <c r="D401" s="102"/>
      <c r="E401" s="77"/>
      <c r="F401" s="77"/>
      <c r="G401" s="77"/>
      <c r="H401" s="77"/>
      <c r="I401" s="76"/>
      <c r="J401" s="110"/>
      <c r="K401" s="77"/>
      <c r="L401" s="78"/>
      <c r="M401" s="79"/>
      <c r="N401" s="86">
        <f>Table47[[#This Row],[Expected Revenue]]*Table47[[#This Row],[Probability]]</f>
        <v>0</v>
      </c>
      <c r="O401" s="78"/>
      <c r="P401" s="86">
        <f>Table47[[#This Row],[Expected Revenue]]*Table47[[#This Row],[Expected CMR]]</f>
        <v>0</v>
      </c>
      <c r="Q401" s="210"/>
    </row>
    <row r="402" spans="1:17" hidden="1">
      <c r="A402" s="173"/>
      <c r="B402" s="76"/>
      <c r="C402" s="77"/>
      <c r="D402" s="102"/>
      <c r="E402" s="77"/>
      <c r="F402" s="77"/>
      <c r="G402" s="77"/>
      <c r="H402" s="77"/>
      <c r="I402" s="76"/>
      <c r="J402" s="110"/>
      <c r="K402" s="77"/>
      <c r="L402" s="78"/>
      <c r="M402" s="79"/>
      <c r="N402" s="86">
        <f>Table47[[#This Row],[Expected Revenue]]*Table47[[#This Row],[Probability]]</f>
        <v>0</v>
      </c>
      <c r="O402" s="78"/>
      <c r="P402" s="86">
        <f>Table47[[#This Row],[Expected Revenue]]*Table47[[#This Row],[Expected CMR]]</f>
        <v>0</v>
      </c>
      <c r="Q402" s="210"/>
    </row>
    <row r="403" spans="1:17" hidden="1">
      <c r="A403" s="173"/>
      <c r="B403" s="76"/>
      <c r="C403" s="77"/>
      <c r="D403" s="102"/>
      <c r="E403" s="77"/>
      <c r="F403" s="77"/>
      <c r="G403" s="77"/>
      <c r="H403" s="77"/>
      <c r="I403" s="76"/>
      <c r="J403" s="110"/>
      <c r="K403" s="77"/>
      <c r="L403" s="78"/>
      <c r="M403" s="79"/>
      <c r="N403" s="86">
        <f>Table47[[#This Row],[Expected Revenue]]*Table47[[#This Row],[Probability]]</f>
        <v>0</v>
      </c>
      <c r="O403" s="78"/>
      <c r="P403" s="86">
        <f>Table47[[#This Row],[Expected Revenue]]*Table47[[#This Row],[Expected CMR]]</f>
        <v>0</v>
      </c>
      <c r="Q403" s="210"/>
    </row>
    <row r="404" spans="1:17" hidden="1">
      <c r="A404" s="173"/>
      <c r="B404" s="76"/>
      <c r="C404" s="77"/>
      <c r="D404" s="102"/>
      <c r="E404" s="77"/>
      <c r="F404" s="77"/>
      <c r="G404" s="77"/>
      <c r="H404" s="77"/>
      <c r="I404" s="76"/>
      <c r="J404" s="110"/>
      <c r="K404" s="77"/>
      <c r="L404" s="78"/>
      <c r="M404" s="79"/>
      <c r="N404" s="86">
        <f>Table47[[#This Row],[Expected Revenue]]*Table47[[#This Row],[Probability]]</f>
        <v>0</v>
      </c>
      <c r="O404" s="78"/>
      <c r="P404" s="86">
        <f>Table47[[#This Row],[Expected Revenue]]*Table47[[#This Row],[Expected CMR]]</f>
        <v>0</v>
      </c>
      <c r="Q404" s="210"/>
    </row>
    <row r="405" spans="1:17" hidden="1">
      <c r="A405" s="173"/>
      <c r="B405" s="76"/>
      <c r="C405" s="77"/>
      <c r="D405" s="102"/>
      <c r="E405" s="77"/>
      <c r="F405" s="77"/>
      <c r="G405" s="77"/>
      <c r="H405" s="77"/>
      <c r="I405" s="76"/>
      <c r="J405" s="110"/>
      <c r="K405" s="77"/>
      <c r="L405" s="78"/>
      <c r="M405" s="79"/>
      <c r="N405" s="86">
        <f>Table47[[#This Row],[Expected Revenue]]*Table47[[#This Row],[Probability]]</f>
        <v>0</v>
      </c>
      <c r="O405" s="78"/>
      <c r="P405" s="86">
        <f>Table47[[#This Row],[Expected Revenue]]*Table47[[#This Row],[Expected CMR]]</f>
        <v>0</v>
      </c>
      <c r="Q405" s="210"/>
    </row>
    <row r="406" spans="1:17" hidden="1">
      <c r="A406" s="173"/>
      <c r="B406" s="76"/>
      <c r="C406" s="77"/>
      <c r="D406" s="102"/>
      <c r="E406" s="77"/>
      <c r="F406" s="77"/>
      <c r="G406" s="77"/>
      <c r="H406" s="77"/>
      <c r="I406" s="76"/>
      <c r="J406" s="110"/>
      <c r="K406" s="77"/>
      <c r="L406" s="78"/>
      <c r="M406" s="79"/>
      <c r="N406" s="86">
        <f>Table47[[#This Row],[Expected Revenue]]*Table47[[#This Row],[Probability]]</f>
        <v>0</v>
      </c>
      <c r="O406" s="78"/>
      <c r="P406" s="86">
        <f>Table47[[#This Row],[Expected Revenue]]*Table47[[#This Row],[Expected CMR]]</f>
        <v>0</v>
      </c>
      <c r="Q406" s="210"/>
    </row>
    <row r="407" spans="1:17" hidden="1">
      <c r="A407" s="173"/>
      <c r="B407" s="76"/>
      <c r="C407" s="77"/>
      <c r="D407" s="102"/>
      <c r="E407" s="77"/>
      <c r="F407" s="77"/>
      <c r="G407" s="77"/>
      <c r="H407" s="77"/>
      <c r="I407" s="76"/>
      <c r="J407" s="110"/>
      <c r="K407" s="77"/>
      <c r="L407" s="78"/>
      <c r="M407" s="79"/>
      <c r="N407" s="86">
        <f>Table47[[#This Row],[Expected Revenue]]*Table47[[#This Row],[Probability]]</f>
        <v>0</v>
      </c>
      <c r="O407" s="78"/>
      <c r="P407" s="86">
        <f>Table47[[#This Row],[Expected Revenue]]*Table47[[#This Row],[Expected CMR]]</f>
        <v>0</v>
      </c>
      <c r="Q407" s="210"/>
    </row>
    <row r="408" spans="1:17" hidden="1">
      <c r="A408" s="173"/>
      <c r="B408" s="76"/>
      <c r="C408" s="77"/>
      <c r="D408" s="102"/>
      <c r="E408" s="77"/>
      <c r="F408" s="77"/>
      <c r="G408" s="77"/>
      <c r="H408" s="77"/>
      <c r="I408" s="76"/>
      <c r="J408" s="110"/>
      <c r="K408" s="77"/>
      <c r="L408" s="78"/>
      <c r="M408" s="79"/>
      <c r="N408" s="86">
        <f>Table47[[#This Row],[Expected Revenue]]*Table47[[#This Row],[Probability]]</f>
        <v>0</v>
      </c>
      <c r="O408" s="78"/>
      <c r="P408" s="86">
        <f>Table47[[#This Row],[Expected Revenue]]*Table47[[#This Row],[Expected CMR]]</f>
        <v>0</v>
      </c>
      <c r="Q408" s="210"/>
    </row>
    <row r="409" spans="1:17" hidden="1">
      <c r="A409" s="173"/>
      <c r="B409" s="76"/>
      <c r="C409" s="77"/>
      <c r="D409" s="102"/>
      <c r="E409" s="77"/>
      <c r="F409" s="77"/>
      <c r="G409" s="77"/>
      <c r="H409" s="77"/>
      <c r="I409" s="76"/>
      <c r="J409" s="110"/>
      <c r="K409" s="77"/>
      <c r="L409" s="78"/>
      <c r="M409" s="79"/>
      <c r="N409" s="86">
        <f>Table47[[#This Row],[Expected Revenue]]*Table47[[#This Row],[Probability]]</f>
        <v>0</v>
      </c>
      <c r="O409" s="78"/>
      <c r="P409" s="86">
        <f>Table47[[#This Row],[Expected Revenue]]*Table47[[#This Row],[Expected CMR]]</f>
        <v>0</v>
      </c>
      <c r="Q409" s="210"/>
    </row>
    <row r="410" spans="1:17" hidden="1">
      <c r="A410" s="173"/>
      <c r="B410" s="76"/>
      <c r="C410" s="77"/>
      <c r="D410" s="102"/>
      <c r="E410" s="77"/>
      <c r="F410" s="77"/>
      <c r="G410" s="77"/>
      <c r="H410" s="77"/>
      <c r="I410" s="76"/>
      <c r="J410" s="110"/>
      <c r="K410" s="77"/>
      <c r="L410" s="78"/>
      <c r="M410" s="79"/>
      <c r="N410" s="86">
        <f>Table47[[#This Row],[Expected Revenue]]*Table47[[#This Row],[Probability]]</f>
        <v>0</v>
      </c>
      <c r="O410" s="78"/>
      <c r="P410" s="86">
        <f>Table47[[#This Row],[Expected Revenue]]*Table47[[#This Row],[Expected CMR]]</f>
        <v>0</v>
      </c>
      <c r="Q410" s="210"/>
    </row>
    <row r="411" spans="1:17" hidden="1">
      <c r="A411" s="173"/>
      <c r="B411" s="76"/>
      <c r="C411" s="77"/>
      <c r="D411" s="102"/>
      <c r="E411" s="77"/>
      <c r="F411" s="77"/>
      <c r="G411" s="77"/>
      <c r="H411" s="77"/>
      <c r="I411" s="76"/>
      <c r="J411" s="110"/>
      <c r="K411" s="77"/>
      <c r="L411" s="78"/>
      <c r="M411" s="79"/>
      <c r="N411" s="86">
        <f>Table47[[#This Row],[Expected Revenue]]*Table47[[#This Row],[Probability]]</f>
        <v>0</v>
      </c>
      <c r="O411" s="78"/>
      <c r="P411" s="86">
        <f>Table47[[#This Row],[Expected Revenue]]*Table47[[#This Row],[Expected CMR]]</f>
        <v>0</v>
      </c>
      <c r="Q411" s="210"/>
    </row>
    <row r="412" spans="1:17" hidden="1">
      <c r="A412" s="173"/>
      <c r="B412" s="76"/>
      <c r="C412" s="77"/>
      <c r="D412" s="102"/>
      <c r="E412" s="77"/>
      <c r="F412" s="77"/>
      <c r="G412" s="77"/>
      <c r="H412" s="77"/>
      <c r="I412" s="76"/>
      <c r="J412" s="110"/>
      <c r="K412" s="77"/>
      <c r="L412" s="78"/>
      <c r="M412" s="79"/>
      <c r="N412" s="86">
        <f>Table47[[#This Row],[Expected Revenue]]*Table47[[#This Row],[Probability]]</f>
        <v>0</v>
      </c>
      <c r="O412" s="78"/>
      <c r="P412" s="86">
        <f>Table47[[#This Row],[Expected Revenue]]*Table47[[#This Row],[Expected CMR]]</f>
        <v>0</v>
      </c>
      <c r="Q412" s="210"/>
    </row>
    <row r="413" spans="1:17" hidden="1">
      <c r="A413" s="173"/>
      <c r="B413" s="76"/>
      <c r="C413" s="77"/>
      <c r="D413" s="102"/>
      <c r="E413" s="77"/>
      <c r="F413" s="77"/>
      <c r="G413" s="77"/>
      <c r="H413" s="77"/>
      <c r="I413" s="76"/>
      <c r="J413" s="110"/>
      <c r="K413" s="77"/>
      <c r="L413" s="78"/>
      <c r="M413" s="79"/>
      <c r="N413" s="86">
        <f>Table47[[#This Row],[Expected Revenue]]*Table47[[#This Row],[Probability]]</f>
        <v>0</v>
      </c>
      <c r="O413" s="78"/>
      <c r="P413" s="86">
        <f>Table47[[#This Row],[Expected Revenue]]*Table47[[#This Row],[Expected CMR]]</f>
        <v>0</v>
      </c>
      <c r="Q413" s="210"/>
    </row>
    <row r="414" spans="1:17" hidden="1">
      <c r="A414" s="173"/>
      <c r="B414" s="76"/>
      <c r="C414" s="77"/>
      <c r="D414" s="102"/>
      <c r="E414" s="77"/>
      <c r="F414" s="77"/>
      <c r="G414" s="77"/>
      <c r="H414" s="77"/>
      <c r="I414" s="76"/>
      <c r="J414" s="110"/>
      <c r="K414" s="77"/>
      <c r="L414" s="77"/>
      <c r="M414" s="77"/>
      <c r="N414" s="86">
        <f>Table47[[#This Row],[Expected Revenue]]*Table47[[#This Row],[Probability]]</f>
        <v>0</v>
      </c>
      <c r="O414" s="78">
        <v>0.3</v>
      </c>
      <c r="P414" s="86">
        <f>Table47[[#This Row],[Expected Revenue]]*Table47[[#This Row],[Expected CMR]]</f>
        <v>0</v>
      </c>
      <c r="Q414" s="210"/>
    </row>
    <row r="415" spans="1:17" hidden="1">
      <c r="A415" s="75"/>
      <c r="B415" s="76" t="s">
        <v>114</v>
      </c>
      <c r="C415" s="77" t="s">
        <v>57</v>
      </c>
      <c r="D415" s="102" t="s">
        <v>113</v>
      </c>
      <c r="E415" s="77" t="s">
        <v>62</v>
      </c>
      <c r="F415" s="77" t="s">
        <v>58</v>
      </c>
      <c r="G415" s="77" t="s">
        <v>297</v>
      </c>
      <c r="H415" s="77" t="s">
        <v>297</v>
      </c>
      <c r="I415" s="77"/>
      <c r="J415" s="152" t="s">
        <v>80</v>
      </c>
      <c r="K415" s="77">
        <v>2021</v>
      </c>
      <c r="L415" s="78">
        <v>1</v>
      </c>
      <c r="M415" s="79">
        <v>25000</v>
      </c>
      <c r="N415" s="79">
        <f>Table47[[#This Row],[Expected Revenue]]*Table47[[#This Row],[Probability]]</f>
        <v>25000</v>
      </c>
      <c r="O415" s="78">
        <v>0.3</v>
      </c>
      <c r="P415" s="79">
        <f>Table47[[#This Row],[Expected CMR]]*Table47[[#This Row],[Rev. Based on PROB]]</f>
        <v>7500</v>
      </c>
      <c r="Q415" s="209"/>
    </row>
    <row r="416" spans="1:17" hidden="1">
      <c r="A416" s="75"/>
      <c r="B416" s="76" t="s">
        <v>117</v>
      </c>
      <c r="C416" s="77" t="s">
        <v>57</v>
      </c>
      <c r="D416" s="102" t="s">
        <v>112</v>
      </c>
      <c r="E416" s="77" t="s">
        <v>71</v>
      </c>
      <c r="F416" s="77" t="s">
        <v>58</v>
      </c>
      <c r="G416" s="77" t="s">
        <v>297</v>
      </c>
      <c r="H416" s="77" t="s">
        <v>297</v>
      </c>
      <c r="I416" s="77"/>
      <c r="J416" s="110" t="s">
        <v>80</v>
      </c>
      <c r="K416" s="77">
        <v>2021</v>
      </c>
      <c r="L416" s="78">
        <v>1</v>
      </c>
      <c r="M416" s="79">
        <v>28000</v>
      </c>
      <c r="N416" s="79">
        <f>Table47[[#This Row],[Expected Revenue]]*Table47[[#This Row],[Probability]]</f>
        <v>28000</v>
      </c>
      <c r="O416" s="78">
        <v>0.3</v>
      </c>
      <c r="P416" s="79">
        <f>Table47[[#This Row],[Expected CMR]]*Table47[[#This Row],[Rev. Based on PROB]]</f>
        <v>8400</v>
      </c>
      <c r="Q416" s="209"/>
    </row>
    <row r="417" spans="1:17" hidden="1">
      <c r="A417" s="75"/>
      <c r="B417" s="76" t="s">
        <v>137</v>
      </c>
      <c r="C417" s="77" t="s">
        <v>57</v>
      </c>
      <c r="D417" s="102" t="s">
        <v>113</v>
      </c>
      <c r="E417" s="77" t="s">
        <v>62</v>
      </c>
      <c r="F417" s="77" t="s">
        <v>58</v>
      </c>
      <c r="G417" s="77" t="s">
        <v>297</v>
      </c>
      <c r="H417" s="77" t="s">
        <v>297</v>
      </c>
      <c r="I417" s="77"/>
      <c r="J417" s="152" t="s">
        <v>80</v>
      </c>
      <c r="K417" s="77">
        <v>2021</v>
      </c>
      <c r="L417" s="78">
        <v>1</v>
      </c>
      <c r="M417" s="79">
        <v>31969</v>
      </c>
      <c r="N417" s="79">
        <f>Table47[[#This Row],[Expected Revenue]]*Table47[[#This Row],[Probability]]</f>
        <v>31969</v>
      </c>
      <c r="O417" s="78">
        <v>0.19</v>
      </c>
      <c r="P417" s="79">
        <f>Table47[[#This Row],[Expected CMR]]*Table47[[#This Row],[Rev. Based on PROB]]</f>
        <v>6074.11</v>
      </c>
      <c r="Q417" s="209"/>
    </row>
    <row r="418" spans="1:17" hidden="1">
      <c r="A418" s="75"/>
      <c r="B418" s="76" t="s">
        <v>146</v>
      </c>
      <c r="C418" s="77" t="s">
        <v>57</v>
      </c>
      <c r="D418" s="102" t="s">
        <v>113</v>
      </c>
      <c r="E418" s="77" t="s">
        <v>62</v>
      </c>
      <c r="F418" s="77" t="s">
        <v>58</v>
      </c>
      <c r="G418" s="77" t="s">
        <v>297</v>
      </c>
      <c r="H418" s="77" t="s">
        <v>297</v>
      </c>
      <c r="I418" s="77"/>
      <c r="J418" s="110" t="s">
        <v>80</v>
      </c>
      <c r="K418" s="77">
        <v>2021</v>
      </c>
      <c r="L418" s="78">
        <v>1</v>
      </c>
      <c r="M418" s="79">
        <v>31969</v>
      </c>
      <c r="N418" s="79">
        <f>Table47[[#This Row],[Expected Revenue]]*Table47[[#This Row],[Probability]]</f>
        <v>31969</v>
      </c>
      <c r="O418" s="78">
        <v>0.19</v>
      </c>
      <c r="P418" s="79">
        <f>Table47[[#This Row],[Expected CMR]]*Table47[[#This Row],[Rev. Based on PROB]]</f>
        <v>6074.11</v>
      </c>
      <c r="Q418" s="209"/>
    </row>
    <row r="419" spans="1:17" hidden="1">
      <c r="A419" s="173" t="s">
        <v>3023</v>
      </c>
      <c r="B419" s="76" t="s">
        <v>296</v>
      </c>
      <c r="C419" s="77"/>
      <c r="D419" s="102"/>
      <c r="E419" s="77" t="s">
        <v>251</v>
      </c>
      <c r="F419" s="77" t="s">
        <v>58</v>
      </c>
      <c r="G419" s="77" t="s">
        <v>3181</v>
      </c>
      <c r="H419" s="77" t="s">
        <v>296</v>
      </c>
      <c r="I419" s="76"/>
      <c r="J419" s="110" t="s">
        <v>93</v>
      </c>
      <c r="K419" s="77">
        <v>2021</v>
      </c>
      <c r="L419" s="78">
        <v>1</v>
      </c>
      <c r="M419" s="79">
        <v>150000</v>
      </c>
      <c r="N419" s="79">
        <f>Table47[[#This Row],[Expected Revenue]]*Table47[[#This Row],[Probability]]</f>
        <v>150000</v>
      </c>
      <c r="O419" s="78">
        <v>0.3</v>
      </c>
      <c r="P419" s="86">
        <f>Table47[[#This Row],[Expected CMR]]*Table47[[#This Row],[Rev. Based on PROB]]</f>
        <v>45000</v>
      </c>
      <c r="Q419" s="210"/>
    </row>
    <row r="420" spans="1:17" hidden="1">
      <c r="A420" s="173"/>
      <c r="B420" s="76" t="s">
        <v>486</v>
      </c>
      <c r="C420" s="77" t="s">
        <v>126</v>
      </c>
      <c r="D420" s="102" t="s">
        <v>3053</v>
      </c>
      <c r="E420" s="77" t="s">
        <v>291</v>
      </c>
      <c r="F420" s="77" t="s">
        <v>58</v>
      </c>
      <c r="G420" s="77" t="s">
        <v>297</v>
      </c>
      <c r="H420" s="77" t="s">
        <v>297</v>
      </c>
      <c r="I420" s="76"/>
      <c r="J420" s="110" t="s">
        <v>80</v>
      </c>
      <c r="K420" s="77">
        <v>2021</v>
      </c>
      <c r="L420" s="78">
        <v>1</v>
      </c>
      <c r="M420" s="79">
        <v>16000</v>
      </c>
      <c r="N420" s="79">
        <f>Table47[[#This Row],[Expected Revenue]]*Table47[[#This Row],[Probability]]</f>
        <v>16000</v>
      </c>
      <c r="O420" s="78">
        <v>0.3</v>
      </c>
      <c r="P420" s="79">
        <f>Table47[[#This Row],[Expected CMR]]*Table47[[#This Row],[Rev. Based on PROB]]</f>
        <v>4800</v>
      </c>
      <c r="Q420" s="209"/>
    </row>
    <row r="421" spans="1:17" hidden="1">
      <c r="A421" s="75"/>
      <c r="B421" s="76" t="s">
        <v>73</v>
      </c>
      <c r="C421" s="77" t="s">
        <v>57</v>
      </c>
      <c r="D421" s="102" t="s">
        <v>3055</v>
      </c>
      <c r="E421" s="77" t="s">
        <v>291</v>
      </c>
      <c r="F421" s="77" t="s">
        <v>58</v>
      </c>
      <c r="G421" s="77" t="s">
        <v>297</v>
      </c>
      <c r="H421" s="77" t="s">
        <v>297</v>
      </c>
      <c r="I421" s="77"/>
      <c r="J421" s="110" t="s">
        <v>93</v>
      </c>
      <c r="K421" s="77">
        <v>2021</v>
      </c>
      <c r="L421" s="78">
        <v>1</v>
      </c>
      <c r="M421" s="79">
        <v>30000</v>
      </c>
      <c r="N421" s="79">
        <f>Table47[[#This Row],[Expected Revenue]]*Table47[[#This Row],[Probability]]</f>
        <v>30000</v>
      </c>
      <c r="O421" s="78">
        <v>0.3</v>
      </c>
      <c r="P421" s="86">
        <f>Table47[[#This Row],[Expected CMR]]*Table47[[#This Row],[Rev. Based on PROB]]</f>
        <v>9000</v>
      </c>
      <c r="Q421" s="210"/>
    </row>
    <row r="422" spans="1:17" hidden="1">
      <c r="A422" s="75"/>
      <c r="B422" s="76" t="s">
        <v>73</v>
      </c>
      <c r="C422" s="77" t="s">
        <v>57</v>
      </c>
      <c r="D422" s="102" t="s">
        <v>106</v>
      </c>
      <c r="E422" s="77" t="s">
        <v>291</v>
      </c>
      <c r="F422" s="77" t="s">
        <v>58</v>
      </c>
      <c r="G422" s="77" t="s">
        <v>297</v>
      </c>
      <c r="H422" s="77" t="s">
        <v>297</v>
      </c>
      <c r="I422" s="77"/>
      <c r="J422" s="110" t="s">
        <v>93</v>
      </c>
      <c r="K422" s="77">
        <v>2021</v>
      </c>
      <c r="L422" s="78">
        <v>1</v>
      </c>
      <c r="M422" s="79">
        <v>30000</v>
      </c>
      <c r="N422" s="79">
        <f>Table47[[#This Row],[Expected Revenue]]*Table47[[#This Row],[Probability]]</f>
        <v>30000</v>
      </c>
      <c r="O422" s="78">
        <v>0.3</v>
      </c>
      <c r="P422" s="86">
        <f>Table47[[#This Row],[Expected CMR]]*Table47[[#This Row],[Rev. Based on PROB]]</f>
        <v>9000</v>
      </c>
      <c r="Q422" s="210"/>
    </row>
    <row r="423" spans="1:17" hidden="1">
      <c r="A423" s="75"/>
      <c r="B423" s="76" t="s">
        <v>156</v>
      </c>
      <c r="C423" s="77" t="s">
        <v>157</v>
      </c>
      <c r="D423" s="102" t="s">
        <v>239</v>
      </c>
      <c r="E423" s="77" t="s">
        <v>62</v>
      </c>
      <c r="F423" s="77" t="s">
        <v>58</v>
      </c>
      <c r="G423" s="77" t="s">
        <v>297</v>
      </c>
      <c r="H423" s="77" t="s">
        <v>297</v>
      </c>
      <c r="I423" s="77"/>
      <c r="J423" s="110" t="s">
        <v>93</v>
      </c>
      <c r="K423" s="77">
        <v>2021</v>
      </c>
      <c r="L423" s="78">
        <v>1</v>
      </c>
      <c r="M423" s="79">
        <v>50000</v>
      </c>
      <c r="N423" s="79">
        <f>Table47[[#This Row],[Expected Revenue]]*Table47[[#This Row],[Probability]]</f>
        <v>50000</v>
      </c>
      <c r="O423" s="78">
        <v>0.35</v>
      </c>
      <c r="P423" s="86">
        <f>Table47[[#This Row],[Expected CMR]]*Table47[[#This Row],[Rev. Based on PROB]]</f>
        <v>17500</v>
      </c>
      <c r="Q423" s="210"/>
    </row>
    <row r="424" spans="1:17" hidden="1">
      <c r="A424" s="75"/>
      <c r="B424" s="76" t="s">
        <v>122</v>
      </c>
      <c r="C424" s="77" t="s">
        <v>57</v>
      </c>
      <c r="D424" s="102" t="s">
        <v>82</v>
      </c>
      <c r="E424" s="77" t="s">
        <v>62</v>
      </c>
      <c r="F424" s="77" t="s">
        <v>58</v>
      </c>
      <c r="G424" s="77" t="s">
        <v>297</v>
      </c>
      <c r="H424" s="77" t="s">
        <v>297</v>
      </c>
      <c r="I424" s="77"/>
      <c r="J424" s="110" t="s">
        <v>93</v>
      </c>
      <c r="K424" s="77">
        <v>2021</v>
      </c>
      <c r="L424" s="78">
        <v>1</v>
      </c>
      <c r="M424" s="79">
        <v>13900</v>
      </c>
      <c r="N424" s="79">
        <f>Table47[[#This Row],[Expected Revenue]]*Table47[[#This Row],[Probability]]</f>
        <v>13900</v>
      </c>
      <c r="O424" s="78">
        <v>0.3</v>
      </c>
      <c r="P424" s="86">
        <f>Table47[[#This Row],[Expected CMR]]*Table47[[#This Row],[Rev. Based on PROB]]</f>
        <v>4170</v>
      </c>
      <c r="Q424" s="210"/>
    </row>
    <row r="425" spans="1:17" hidden="1">
      <c r="A425" s="75"/>
      <c r="B425" s="76" t="s">
        <v>114</v>
      </c>
      <c r="C425" s="77" t="s">
        <v>57</v>
      </c>
      <c r="D425" s="102" t="s">
        <v>113</v>
      </c>
      <c r="E425" s="77" t="s">
        <v>62</v>
      </c>
      <c r="F425" s="77" t="s">
        <v>58</v>
      </c>
      <c r="G425" s="77" t="s">
        <v>297</v>
      </c>
      <c r="H425" s="77" t="s">
        <v>297</v>
      </c>
      <c r="I425" s="77"/>
      <c r="J425" s="110" t="s">
        <v>93</v>
      </c>
      <c r="K425" s="77">
        <v>2021</v>
      </c>
      <c r="L425" s="78">
        <v>1</v>
      </c>
      <c r="M425" s="79">
        <v>26000</v>
      </c>
      <c r="N425" s="79">
        <f>Table47[[#This Row],[Expected Revenue]]*Table47[[#This Row],[Probability]]</f>
        <v>26000</v>
      </c>
      <c r="O425" s="78">
        <v>0.3</v>
      </c>
      <c r="P425" s="86">
        <f>Table47[[#This Row],[Expected CMR]]*Table47[[#This Row],[Rev. Based on PROB]]</f>
        <v>7800</v>
      </c>
      <c r="Q425" s="210"/>
    </row>
    <row r="426" spans="1:17" hidden="1">
      <c r="A426" s="75"/>
      <c r="B426" s="76" t="s">
        <v>137</v>
      </c>
      <c r="C426" s="77" t="s">
        <v>57</v>
      </c>
      <c r="D426" s="102" t="s">
        <v>87</v>
      </c>
      <c r="E426" s="77" t="s">
        <v>88</v>
      </c>
      <c r="F426" s="77" t="s">
        <v>58</v>
      </c>
      <c r="G426" s="77" t="s">
        <v>297</v>
      </c>
      <c r="H426" s="77" t="s">
        <v>297</v>
      </c>
      <c r="I426" s="77"/>
      <c r="J426" s="110" t="s">
        <v>93</v>
      </c>
      <c r="K426" s="77">
        <v>2021</v>
      </c>
      <c r="L426" s="78">
        <v>1</v>
      </c>
      <c r="M426" s="79">
        <v>27816</v>
      </c>
      <c r="N426" s="79">
        <f>Table47[[#This Row],[Expected Revenue]]*Table47[[#This Row],[Probability]]</f>
        <v>27816</v>
      </c>
      <c r="O426" s="78">
        <v>0.3</v>
      </c>
      <c r="P426" s="86">
        <f>Table47[[#This Row],[Expected CMR]]*Table47[[#This Row],[Rev. Based on PROB]]</f>
        <v>8344.7999999999993</v>
      </c>
      <c r="Q426" s="210"/>
    </row>
    <row r="427" spans="1:17" hidden="1">
      <c r="A427" s="173"/>
      <c r="B427" s="76" t="s">
        <v>122</v>
      </c>
      <c r="C427" s="77" t="s">
        <v>57</v>
      </c>
      <c r="D427" s="102" t="s">
        <v>112</v>
      </c>
      <c r="E427" s="77" t="s">
        <v>71</v>
      </c>
      <c r="F427" s="77" t="s">
        <v>58</v>
      </c>
      <c r="G427" s="77" t="s">
        <v>297</v>
      </c>
      <c r="H427" s="77" t="s">
        <v>297</v>
      </c>
      <c r="I427" s="77"/>
      <c r="J427" s="110" t="s">
        <v>93</v>
      </c>
      <c r="K427" s="77">
        <v>2021</v>
      </c>
      <c r="L427" s="78">
        <v>1</v>
      </c>
      <c r="M427" s="79">
        <v>30000</v>
      </c>
      <c r="N427" s="79">
        <f>Table47[[#This Row],[Expected Revenue]]*Table47[[#This Row],[Probability]]</f>
        <v>30000</v>
      </c>
      <c r="O427" s="78">
        <v>0.3</v>
      </c>
      <c r="P427" s="86">
        <f>Table47[[#This Row],[Expected CMR]]*Table47[[#This Row],[Rev. Based on PROB]]</f>
        <v>9000</v>
      </c>
      <c r="Q427" s="210"/>
    </row>
    <row r="428" spans="1:17" hidden="1">
      <c r="A428" s="173"/>
      <c r="B428" s="76" t="s">
        <v>122</v>
      </c>
      <c r="C428" s="77" t="s">
        <v>57</v>
      </c>
      <c r="D428" s="102" t="s">
        <v>113</v>
      </c>
      <c r="E428" s="77" t="s">
        <v>62</v>
      </c>
      <c r="F428" s="77" t="s">
        <v>58</v>
      </c>
      <c r="G428" s="77" t="s">
        <v>297</v>
      </c>
      <c r="H428" s="77" t="s">
        <v>297</v>
      </c>
      <c r="I428" s="77"/>
      <c r="J428" s="110" t="s">
        <v>93</v>
      </c>
      <c r="K428" s="77">
        <v>2021</v>
      </c>
      <c r="L428" s="78">
        <v>1</v>
      </c>
      <c r="M428" s="79">
        <v>31000</v>
      </c>
      <c r="N428" s="79">
        <f>Table47[[#This Row],[Expected Revenue]]*Table47[[#This Row],[Probability]]</f>
        <v>31000</v>
      </c>
      <c r="O428" s="78">
        <v>0.3</v>
      </c>
      <c r="P428" s="86">
        <f>Table47[[#This Row],[Expected CMR]]*Table47[[#This Row],[Rev. Based on PROB]]</f>
        <v>9300</v>
      </c>
      <c r="Q428" s="210"/>
    </row>
    <row r="429" spans="1:17" hidden="1">
      <c r="A429" s="173"/>
      <c r="B429" s="76" t="s">
        <v>296</v>
      </c>
      <c r="C429" s="77"/>
      <c r="D429" s="102"/>
      <c r="E429" s="77" t="s">
        <v>251</v>
      </c>
      <c r="F429" s="77"/>
      <c r="G429" s="77" t="s">
        <v>297</v>
      </c>
      <c r="H429" s="77" t="s">
        <v>296</v>
      </c>
      <c r="I429" s="76"/>
      <c r="J429" s="110" t="s">
        <v>80</v>
      </c>
      <c r="K429" s="77">
        <v>2021</v>
      </c>
      <c r="L429" s="78">
        <v>1</v>
      </c>
      <c r="M429" s="79">
        <v>150000</v>
      </c>
      <c r="N429" s="79">
        <f>Table47[[#This Row],[Expected Revenue]]*Table47[[#This Row],[Probability]]</f>
        <v>150000</v>
      </c>
      <c r="O429" s="78">
        <v>0.3</v>
      </c>
      <c r="P429" s="79">
        <f>Table47[[#This Row],[Expected CMR]]*Table47[[#This Row],[Rev. Based on PROB]]</f>
        <v>45000</v>
      </c>
      <c r="Q429" s="209"/>
    </row>
    <row r="430" spans="1:17" hidden="1">
      <c r="A430" s="173"/>
      <c r="B430" s="76" t="s">
        <v>1199</v>
      </c>
      <c r="C430" s="77" t="s">
        <v>57</v>
      </c>
      <c r="D430" s="76" t="s">
        <v>3079</v>
      </c>
      <c r="E430" s="77" t="s">
        <v>62</v>
      </c>
      <c r="F430" s="77" t="s">
        <v>58</v>
      </c>
      <c r="G430" s="77" t="s">
        <v>297</v>
      </c>
      <c r="H430" s="77" t="s">
        <v>297</v>
      </c>
      <c r="I430" s="77"/>
      <c r="J430" s="110" t="s">
        <v>93</v>
      </c>
      <c r="K430" s="77">
        <v>2021</v>
      </c>
      <c r="L430" s="78">
        <v>0.25</v>
      </c>
      <c r="M430" s="79">
        <v>23635</v>
      </c>
      <c r="N430" s="79">
        <f>Table47[[#This Row],[Expected Revenue]]*Table47[[#This Row],[Probability]]</f>
        <v>5908.75</v>
      </c>
      <c r="O430" s="78">
        <v>0.3</v>
      </c>
      <c r="P430" s="86">
        <f>Table47[[#This Row],[Expected CMR]]*Table47[[#This Row],[Rev. Based on PROB]]</f>
        <v>1772.625</v>
      </c>
      <c r="Q430" s="210"/>
    </row>
    <row r="431" spans="1:17" hidden="1">
      <c r="A431" s="75"/>
      <c r="B431" s="76" t="s">
        <v>137</v>
      </c>
      <c r="C431" s="77" t="s">
        <v>57</v>
      </c>
      <c r="D431" s="102" t="s">
        <v>99</v>
      </c>
      <c r="E431" s="77" t="s">
        <v>92</v>
      </c>
      <c r="F431" s="77" t="s">
        <v>58</v>
      </c>
      <c r="G431" s="77" t="s">
        <v>297</v>
      </c>
      <c r="H431" s="77" t="s">
        <v>297</v>
      </c>
      <c r="I431" s="77"/>
      <c r="J431" s="110" t="s">
        <v>230</v>
      </c>
      <c r="K431" s="77">
        <v>2021</v>
      </c>
      <c r="L431" s="78">
        <v>1</v>
      </c>
      <c r="M431" s="79">
        <v>10000</v>
      </c>
      <c r="N431" s="79">
        <v>10000</v>
      </c>
      <c r="O431" s="78">
        <v>0.3</v>
      </c>
      <c r="P431" s="79">
        <v>3000</v>
      </c>
      <c r="Q431" s="209"/>
    </row>
    <row r="432" spans="1:17" hidden="1">
      <c r="A432" s="75"/>
      <c r="B432" s="76" t="s">
        <v>122</v>
      </c>
      <c r="C432" s="77" t="s">
        <v>57</v>
      </c>
      <c r="D432" s="102" t="s">
        <v>112</v>
      </c>
      <c r="E432" s="77" t="s">
        <v>71</v>
      </c>
      <c r="F432" s="77" t="s">
        <v>58</v>
      </c>
      <c r="G432" s="77" t="s">
        <v>297</v>
      </c>
      <c r="H432" s="77" t="s">
        <v>297</v>
      </c>
      <c r="I432" s="77"/>
      <c r="J432" s="110" t="s">
        <v>230</v>
      </c>
      <c r="K432" s="77">
        <v>2021</v>
      </c>
      <c r="L432" s="78">
        <v>1</v>
      </c>
      <c r="M432" s="79">
        <v>30939</v>
      </c>
      <c r="N432" s="79">
        <v>30939</v>
      </c>
      <c r="O432" s="78">
        <v>0.3</v>
      </c>
      <c r="P432" s="79">
        <v>9281.6999999999989</v>
      </c>
      <c r="Q432" s="209"/>
    </row>
    <row r="433" spans="1:17" hidden="1">
      <c r="A433" s="173"/>
      <c r="B433" s="76" t="s">
        <v>3201</v>
      </c>
      <c r="C433" s="77" t="s">
        <v>57</v>
      </c>
      <c r="D433" s="102" t="s">
        <v>112</v>
      </c>
      <c r="E433" s="77" t="s">
        <v>251</v>
      </c>
      <c r="F433" s="77" t="s">
        <v>58</v>
      </c>
      <c r="G433" s="77" t="s">
        <v>297</v>
      </c>
      <c r="H433" s="77" t="s">
        <v>297</v>
      </c>
      <c r="I433" s="76"/>
      <c r="J433" s="110" t="s">
        <v>230</v>
      </c>
      <c r="K433" s="77">
        <v>2021</v>
      </c>
      <c r="L433" s="78">
        <v>1</v>
      </c>
      <c r="M433" s="79">
        <v>26280</v>
      </c>
      <c r="N433" s="86">
        <v>26280</v>
      </c>
      <c r="O433" s="78">
        <v>0.3</v>
      </c>
      <c r="P433" s="86">
        <v>7884</v>
      </c>
      <c r="Q433" s="210"/>
    </row>
    <row r="434" spans="1:17" hidden="1">
      <c r="A434" s="75"/>
      <c r="B434" s="76" t="s">
        <v>117</v>
      </c>
      <c r="C434" s="77" t="s">
        <v>57</v>
      </c>
      <c r="D434" s="102" t="s">
        <v>75</v>
      </c>
      <c r="E434" s="77" t="s">
        <v>83</v>
      </c>
      <c r="F434" s="77" t="s">
        <v>58</v>
      </c>
      <c r="G434" s="77" t="s">
        <v>297</v>
      </c>
      <c r="H434" s="77" t="s">
        <v>297</v>
      </c>
      <c r="I434" s="77"/>
      <c r="J434" s="110" t="s">
        <v>230</v>
      </c>
      <c r="K434" s="77">
        <v>2021</v>
      </c>
      <c r="L434" s="78">
        <v>1</v>
      </c>
      <c r="M434" s="79">
        <v>10620</v>
      </c>
      <c r="N434" s="79">
        <v>10620</v>
      </c>
      <c r="O434" s="78">
        <v>0.3</v>
      </c>
      <c r="P434" s="79">
        <v>3186</v>
      </c>
      <c r="Q434" s="209"/>
    </row>
    <row r="435" spans="1:17" hidden="1">
      <c r="A435" s="75"/>
      <c r="B435" s="76" t="s">
        <v>137</v>
      </c>
      <c r="C435" s="77" t="s">
        <v>57</v>
      </c>
      <c r="D435" s="102" t="s">
        <v>113</v>
      </c>
      <c r="E435" s="77" t="s">
        <v>62</v>
      </c>
      <c r="F435" s="77" t="s">
        <v>58</v>
      </c>
      <c r="G435" s="77" t="s">
        <v>297</v>
      </c>
      <c r="H435" s="77" t="s">
        <v>297</v>
      </c>
      <c r="I435" s="77"/>
      <c r="J435" s="110" t="s">
        <v>230</v>
      </c>
      <c r="K435" s="77">
        <v>2021</v>
      </c>
      <c r="L435" s="78">
        <v>1</v>
      </c>
      <c r="M435" s="79">
        <v>11969</v>
      </c>
      <c r="N435" s="79">
        <v>11969</v>
      </c>
      <c r="O435" s="84">
        <v>0.19</v>
      </c>
      <c r="P435" s="85">
        <v>2274.11</v>
      </c>
      <c r="Q435" s="209"/>
    </row>
    <row r="436" spans="1:17" hidden="1">
      <c r="A436" s="176"/>
      <c r="B436" s="82" t="s">
        <v>117</v>
      </c>
      <c r="C436" s="77" t="s">
        <v>57</v>
      </c>
      <c r="D436" s="103" t="s">
        <v>91</v>
      </c>
      <c r="E436" s="77" t="s">
        <v>92</v>
      </c>
      <c r="F436" s="83" t="s">
        <v>58</v>
      </c>
      <c r="G436" s="77" t="s">
        <v>297</v>
      </c>
      <c r="H436" s="77" t="s">
        <v>297</v>
      </c>
      <c r="I436" s="83"/>
      <c r="J436" s="156" t="s">
        <v>80</v>
      </c>
      <c r="K436" s="77">
        <v>2021</v>
      </c>
      <c r="L436" s="84">
        <v>1</v>
      </c>
      <c r="M436" s="85">
        <v>18810.5</v>
      </c>
      <c r="N436" s="79">
        <f>Table47[[#This Row],[Expected Revenue]]*Table47[[#This Row],[Probability]]</f>
        <v>18810.5</v>
      </c>
      <c r="O436" s="84">
        <v>0.3</v>
      </c>
      <c r="P436" s="79">
        <f>Table47[[#This Row],[Expected CMR]]*Table47[[#This Row],[Rev. Based on PROB]]</f>
        <v>5643.15</v>
      </c>
      <c r="Q436" s="209"/>
    </row>
    <row r="437" spans="1:17" hidden="1">
      <c r="A437" s="176"/>
      <c r="B437" s="82" t="s">
        <v>117</v>
      </c>
      <c r="C437" s="77" t="s">
        <v>57</v>
      </c>
      <c r="D437" s="103" t="s">
        <v>113</v>
      </c>
      <c r="E437" s="77" t="s">
        <v>62</v>
      </c>
      <c r="F437" s="83" t="s">
        <v>58</v>
      </c>
      <c r="G437" s="77" t="s">
        <v>297</v>
      </c>
      <c r="H437" s="77" t="s">
        <v>297</v>
      </c>
      <c r="I437" s="83"/>
      <c r="J437" s="110" t="s">
        <v>230</v>
      </c>
      <c r="K437" s="77">
        <v>2021</v>
      </c>
      <c r="L437" s="84">
        <v>1</v>
      </c>
      <c r="M437" s="85">
        <v>1969</v>
      </c>
      <c r="N437" s="85">
        <v>1969</v>
      </c>
      <c r="O437" s="84">
        <v>0.3</v>
      </c>
      <c r="P437" s="85">
        <v>590.69999999999993</v>
      </c>
      <c r="Q437" s="209"/>
    </row>
    <row r="438" spans="1:17" hidden="1">
      <c r="A438" s="75"/>
      <c r="B438" s="76" t="s">
        <v>137</v>
      </c>
      <c r="C438" s="77" t="s">
        <v>57</v>
      </c>
      <c r="D438" s="102" t="s">
        <v>214</v>
      </c>
      <c r="E438" s="77" t="s">
        <v>92</v>
      </c>
      <c r="F438" s="77" t="s">
        <v>58</v>
      </c>
      <c r="G438" s="77" t="s">
        <v>297</v>
      </c>
      <c r="H438" s="77" t="s">
        <v>297</v>
      </c>
      <c r="I438" s="77"/>
      <c r="J438" s="110" t="s">
        <v>80</v>
      </c>
      <c r="K438" s="77">
        <v>2021</v>
      </c>
      <c r="L438" s="78">
        <v>1</v>
      </c>
      <c r="M438" s="79">
        <v>10000</v>
      </c>
      <c r="N438" s="79">
        <f>Table47[[#This Row],[Expected Revenue]]*Table47[[#This Row],[Probability]]</f>
        <v>10000</v>
      </c>
      <c r="O438" s="78">
        <v>0.3</v>
      </c>
      <c r="P438" s="79">
        <f>Table47[[#This Row],[Expected CMR]]*Table47[[#This Row],[Rev. Based on PROB]]</f>
        <v>3000</v>
      </c>
      <c r="Q438" s="209"/>
    </row>
    <row r="439" spans="1:17" hidden="1">
      <c r="A439" s="75"/>
      <c r="B439" s="76" t="s">
        <v>117</v>
      </c>
      <c r="C439" s="77" t="s">
        <v>57</v>
      </c>
      <c r="D439" s="102" t="s">
        <v>112</v>
      </c>
      <c r="E439" s="77" t="s">
        <v>71</v>
      </c>
      <c r="F439" s="77" t="s">
        <v>58</v>
      </c>
      <c r="G439" s="77" t="s">
        <v>297</v>
      </c>
      <c r="H439" s="77" t="s">
        <v>297</v>
      </c>
      <c r="I439" s="77"/>
      <c r="J439" s="110" t="s">
        <v>80</v>
      </c>
      <c r="K439" s="77">
        <v>2021</v>
      </c>
      <c r="L439" s="78">
        <v>1</v>
      </c>
      <c r="M439" s="79">
        <v>15939</v>
      </c>
      <c r="N439" s="79">
        <f>Table47[[#This Row],[Expected Revenue]]*Table47[[#This Row],[Probability]]</f>
        <v>15939</v>
      </c>
      <c r="O439" s="78">
        <v>0.3</v>
      </c>
      <c r="P439" s="79">
        <f>Table47[[#This Row],[Expected CMR]]*Table47[[#This Row],[Rev. Based on PROB]]</f>
        <v>4781.7</v>
      </c>
      <c r="Q439" s="209"/>
    </row>
    <row r="440" spans="1:17" hidden="1">
      <c r="A440" s="75"/>
      <c r="B440" s="76" t="s">
        <v>117</v>
      </c>
      <c r="C440" s="77" t="s">
        <v>57</v>
      </c>
      <c r="D440" s="102" t="s">
        <v>82</v>
      </c>
      <c r="E440" s="77" t="s">
        <v>62</v>
      </c>
      <c r="F440" s="77" t="s">
        <v>58</v>
      </c>
      <c r="G440" s="77" t="s">
        <v>297</v>
      </c>
      <c r="H440" s="77" t="s">
        <v>297</v>
      </c>
      <c r="I440" s="77"/>
      <c r="J440" s="110" t="s">
        <v>80</v>
      </c>
      <c r="K440" s="77">
        <v>2021</v>
      </c>
      <c r="L440" s="78">
        <v>1</v>
      </c>
      <c r="M440" s="79">
        <v>13900</v>
      </c>
      <c r="N440" s="79">
        <f>Table47[[#This Row],[Expected Revenue]]*Table47[[#This Row],[Probability]]</f>
        <v>13900</v>
      </c>
      <c r="O440" s="78">
        <v>0.3</v>
      </c>
      <c r="P440" s="79">
        <f>Table47[[#This Row],[Expected CMR]]*Table47[[#This Row],[Rev. Based on PROB]]</f>
        <v>4170</v>
      </c>
      <c r="Q440" s="209"/>
    </row>
    <row r="441" spans="1:17" hidden="1">
      <c r="A441" s="75"/>
      <c r="B441" s="76" t="s">
        <v>117</v>
      </c>
      <c r="C441" s="77" t="s">
        <v>57</v>
      </c>
      <c r="D441" s="102" t="s">
        <v>252</v>
      </c>
      <c r="E441" s="77" t="s">
        <v>92</v>
      </c>
      <c r="F441" s="77" t="s">
        <v>58</v>
      </c>
      <c r="G441" s="77" t="s">
        <v>297</v>
      </c>
      <c r="H441" s="77" t="s">
        <v>297</v>
      </c>
      <c r="I441" s="77"/>
      <c r="J441" s="110" t="s">
        <v>80</v>
      </c>
      <c r="K441" s="77">
        <v>2021</v>
      </c>
      <c r="L441" s="78">
        <v>1</v>
      </c>
      <c r="M441" s="79">
        <v>20000</v>
      </c>
      <c r="N441" s="79">
        <f>Table47[[#This Row],[Expected Revenue]]*Table47[[#This Row],[Probability]]</f>
        <v>20000</v>
      </c>
      <c r="O441" s="78">
        <v>0.3</v>
      </c>
      <c r="P441" s="79">
        <f>Table47[[#This Row],[Expected CMR]]*Table47[[#This Row],[Rev. Based on PROB]]</f>
        <v>6000</v>
      </c>
      <c r="Q441" s="209"/>
    </row>
    <row r="442" spans="1:17" hidden="1">
      <c r="A442" s="75"/>
      <c r="B442" s="76" t="s">
        <v>122</v>
      </c>
      <c r="C442" s="77" t="s">
        <v>57</v>
      </c>
      <c r="D442" s="102" t="s">
        <v>113</v>
      </c>
      <c r="E442" s="77" t="s">
        <v>62</v>
      </c>
      <c r="F442" s="77" t="s">
        <v>58</v>
      </c>
      <c r="G442" s="77" t="s">
        <v>297</v>
      </c>
      <c r="H442" s="77" t="s">
        <v>297</v>
      </c>
      <c r="I442" s="77"/>
      <c r="J442" s="110" t="s">
        <v>230</v>
      </c>
      <c r="K442" s="77">
        <v>2021</v>
      </c>
      <c r="L442" s="78">
        <v>1</v>
      </c>
      <c r="M442" s="79">
        <v>31969</v>
      </c>
      <c r="N442" s="79">
        <v>31969</v>
      </c>
      <c r="O442" s="78">
        <v>0.3</v>
      </c>
      <c r="P442" s="79">
        <v>9590.6999999999989</v>
      </c>
      <c r="Q442" s="209"/>
    </row>
    <row r="443" spans="1:17" hidden="1">
      <c r="A443" s="75"/>
      <c r="B443" s="76" t="s">
        <v>73</v>
      </c>
      <c r="C443" s="77" t="s">
        <v>57</v>
      </c>
      <c r="D443" s="102" t="s">
        <v>112</v>
      </c>
      <c r="E443" s="77" t="s">
        <v>71</v>
      </c>
      <c r="F443" s="77" t="s">
        <v>58</v>
      </c>
      <c r="G443" s="77" t="s">
        <v>297</v>
      </c>
      <c r="H443" s="77" t="s">
        <v>297</v>
      </c>
      <c r="I443" s="77"/>
      <c r="J443" s="110" t="s">
        <v>93</v>
      </c>
      <c r="K443" s="77">
        <v>2021</v>
      </c>
      <c r="L443" s="78">
        <v>1</v>
      </c>
      <c r="M443" s="79">
        <v>30939</v>
      </c>
      <c r="N443" s="79">
        <f>Table47[[#This Row],[Expected Revenue]]*Table47[[#This Row],[Probability]]</f>
        <v>30939</v>
      </c>
      <c r="O443" s="78">
        <v>0.3</v>
      </c>
      <c r="P443" s="86">
        <f>Table47[[#This Row],[Expected CMR]]*Table47[[#This Row],[Rev. Based on PROB]]</f>
        <v>9281.6999999999989</v>
      </c>
      <c r="Q443" s="210"/>
    </row>
    <row r="444" spans="1:17" hidden="1">
      <c r="A444" s="75"/>
      <c r="B444" s="76" t="s">
        <v>130</v>
      </c>
      <c r="C444" s="77" t="s">
        <v>57</v>
      </c>
      <c r="D444" s="102" t="s">
        <v>91</v>
      </c>
      <c r="E444" s="77" t="s">
        <v>92</v>
      </c>
      <c r="F444" s="77" t="s">
        <v>58</v>
      </c>
      <c r="G444" s="77" t="s">
        <v>297</v>
      </c>
      <c r="H444" s="77" t="s">
        <v>297</v>
      </c>
      <c r="I444" s="77"/>
      <c r="J444" s="110" t="s">
        <v>80</v>
      </c>
      <c r="K444" s="77">
        <v>2021</v>
      </c>
      <c r="L444" s="78">
        <v>1</v>
      </c>
      <c r="M444" s="79">
        <v>18810.5</v>
      </c>
      <c r="N444" s="79">
        <f>Table47[[#This Row],[Expected Revenue]]*Table47[[#This Row],[Probability]]</f>
        <v>18810.5</v>
      </c>
      <c r="O444" s="78">
        <v>0.3</v>
      </c>
      <c r="P444" s="79">
        <f>Table47[[#This Row],[Expected CMR]]*Table47[[#This Row],[Rev. Based on PROB]]</f>
        <v>5643.15</v>
      </c>
      <c r="Q444" s="209"/>
    </row>
    <row r="445" spans="1:17" hidden="1">
      <c r="A445" s="173"/>
      <c r="B445" s="76" t="s">
        <v>3224</v>
      </c>
      <c r="C445" s="77" t="s">
        <v>57</v>
      </c>
      <c r="D445" s="102" t="s">
        <v>113</v>
      </c>
      <c r="E445" s="77" t="s">
        <v>251</v>
      </c>
      <c r="F445" s="77" t="s">
        <v>58</v>
      </c>
      <c r="G445" s="77" t="s">
        <v>297</v>
      </c>
      <c r="H445" s="77" t="s">
        <v>297</v>
      </c>
      <c r="I445" s="76"/>
      <c r="J445" s="110" t="s">
        <v>230</v>
      </c>
      <c r="K445" s="77">
        <v>2021</v>
      </c>
      <c r="L445" s="78">
        <v>1</v>
      </c>
      <c r="M445" s="79">
        <v>27469</v>
      </c>
      <c r="N445" s="86">
        <v>27469</v>
      </c>
      <c r="O445" s="78">
        <v>0.3</v>
      </c>
      <c r="P445" s="86">
        <v>8240.6999999999989</v>
      </c>
      <c r="Q445" s="210"/>
    </row>
    <row r="446" spans="1:17" hidden="1">
      <c r="A446" s="75"/>
      <c r="B446" s="76" t="s">
        <v>104</v>
      </c>
      <c r="C446" s="77" t="s">
        <v>57</v>
      </c>
      <c r="D446" s="102" t="s">
        <v>91</v>
      </c>
      <c r="E446" s="77" t="s">
        <v>92</v>
      </c>
      <c r="F446" s="77" t="s">
        <v>58</v>
      </c>
      <c r="G446" s="77" t="s">
        <v>297</v>
      </c>
      <c r="H446" s="77" t="s">
        <v>297</v>
      </c>
      <c r="I446" s="77"/>
      <c r="J446" s="110" t="s">
        <v>230</v>
      </c>
      <c r="K446" s="77">
        <v>2021</v>
      </c>
      <c r="L446" s="78">
        <v>1</v>
      </c>
      <c r="M446" s="79">
        <v>6810</v>
      </c>
      <c r="N446" s="79">
        <v>6810</v>
      </c>
      <c r="O446" s="78">
        <v>0.3</v>
      </c>
      <c r="P446" s="79">
        <v>2043</v>
      </c>
      <c r="Q446" s="209"/>
    </row>
    <row r="447" spans="1:17" hidden="1">
      <c r="A447" s="75"/>
      <c r="B447" s="76" t="s">
        <v>137</v>
      </c>
      <c r="C447" s="77" t="s">
        <v>57</v>
      </c>
      <c r="D447" s="102" t="s">
        <v>91</v>
      </c>
      <c r="E447" s="77" t="s">
        <v>92</v>
      </c>
      <c r="F447" s="77" t="s">
        <v>58</v>
      </c>
      <c r="G447" s="77" t="s">
        <v>297</v>
      </c>
      <c r="H447" s="77" t="s">
        <v>297</v>
      </c>
      <c r="I447" s="77"/>
      <c r="J447" s="110" t="s">
        <v>230</v>
      </c>
      <c r="K447" s="77">
        <v>2021</v>
      </c>
      <c r="L447" s="78">
        <v>1</v>
      </c>
      <c r="M447" s="79">
        <v>18810.5</v>
      </c>
      <c r="N447" s="79">
        <v>18810.5</v>
      </c>
      <c r="O447" s="78">
        <v>0.3</v>
      </c>
      <c r="P447" s="79">
        <v>5643.15</v>
      </c>
      <c r="Q447" s="209"/>
    </row>
    <row r="448" spans="1:17" hidden="1">
      <c r="A448" s="75"/>
      <c r="B448" s="76" t="s">
        <v>73</v>
      </c>
      <c r="C448" s="77" t="s">
        <v>57</v>
      </c>
      <c r="D448" s="102" t="s">
        <v>113</v>
      </c>
      <c r="E448" s="77" t="s">
        <v>62</v>
      </c>
      <c r="F448" s="77" t="s">
        <v>58</v>
      </c>
      <c r="G448" s="77" t="s">
        <v>297</v>
      </c>
      <c r="H448" s="77" t="s">
        <v>297</v>
      </c>
      <c r="I448" s="77"/>
      <c r="J448" s="110" t="s">
        <v>93</v>
      </c>
      <c r="K448" s="77">
        <v>2021</v>
      </c>
      <c r="L448" s="78">
        <v>1</v>
      </c>
      <c r="M448" s="79">
        <v>30000</v>
      </c>
      <c r="N448" s="79">
        <f>Table47[[#This Row],[Expected Revenue]]*Table47[[#This Row],[Probability]]</f>
        <v>30000</v>
      </c>
      <c r="O448" s="78">
        <v>0.3</v>
      </c>
      <c r="P448" s="86">
        <f>Table47[[#This Row],[Expected CMR]]*Table47[[#This Row],[Rev. Based on PROB]]</f>
        <v>9000</v>
      </c>
      <c r="Q448" s="210"/>
    </row>
    <row r="449" spans="1:17" hidden="1">
      <c r="A449" s="75"/>
      <c r="B449" s="76" t="s">
        <v>146</v>
      </c>
      <c r="C449" s="77" t="s">
        <v>57</v>
      </c>
      <c r="D449" s="102" t="s">
        <v>91</v>
      </c>
      <c r="E449" s="77" t="s">
        <v>92</v>
      </c>
      <c r="F449" s="77" t="s">
        <v>58</v>
      </c>
      <c r="G449" s="77" t="s">
        <v>297</v>
      </c>
      <c r="H449" s="77" t="s">
        <v>297</v>
      </c>
      <c r="I449" s="77"/>
      <c r="J449" s="110" t="s">
        <v>230</v>
      </c>
      <c r="K449" s="77">
        <v>2021</v>
      </c>
      <c r="L449" s="78">
        <v>1</v>
      </c>
      <c r="M449" s="79">
        <v>18810.5</v>
      </c>
      <c r="N449" s="79">
        <v>18810.5</v>
      </c>
      <c r="O449" s="78">
        <v>0.3</v>
      </c>
      <c r="P449" s="79">
        <v>5643.15</v>
      </c>
      <c r="Q449" s="209"/>
    </row>
    <row r="450" spans="1:17" hidden="1">
      <c r="A450" s="173"/>
      <c r="B450" s="76" t="s">
        <v>296</v>
      </c>
      <c r="C450" s="77"/>
      <c r="D450" s="76"/>
      <c r="E450" s="77" t="s">
        <v>251</v>
      </c>
      <c r="F450" s="77"/>
      <c r="G450" s="77" t="s">
        <v>3181</v>
      </c>
      <c r="H450" s="77" t="s">
        <v>296</v>
      </c>
      <c r="I450" s="76"/>
      <c r="J450" s="110" t="s">
        <v>230</v>
      </c>
      <c r="K450" s="77">
        <v>2021</v>
      </c>
      <c r="L450" s="78">
        <v>1</v>
      </c>
      <c r="M450" s="79">
        <v>150000</v>
      </c>
      <c r="N450" s="86">
        <v>150000</v>
      </c>
      <c r="O450" s="78">
        <v>0.3</v>
      </c>
      <c r="P450" s="86">
        <v>45000</v>
      </c>
      <c r="Q450" s="210"/>
    </row>
    <row r="451" spans="1:17" hidden="1">
      <c r="A451" s="75"/>
      <c r="B451" s="76" t="s">
        <v>114</v>
      </c>
      <c r="C451" s="77" t="s">
        <v>57</v>
      </c>
      <c r="D451" s="102" t="s">
        <v>91</v>
      </c>
      <c r="E451" s="77" t="s">
        <v>92</v>
      </c>
      <c r="F451" s="77" t="s">
        <v>58</v>
      </c>
      <c r="G451" s="77" t="s">
        <v>297</v>
      </c>
      <c r="H451" s="77" t="s">
        <v>297</v>
      </c>
      <c r="I451" s="77"/>
      <c r="J451" s="110" t="s">
        <v>230</v>
      </c>
      <c r="K451" s="77">
        <v>2021</v>
      </c>
      <c r="L451" s="78">
        <v>1</v>
      </c>
      <c r="M451" s="79">
        <v>18810.5</v>
      </c>
      <c r="N451" s="79">
        <v>18810.5</v>
      </c>
      <c r="O451" s="78">
        <v>0.3</v>
      </c>
      <c r="P451" s="79">
        <v>5643.15</v>
      </c>
      <c r="Q451" s="209"/>
    </row>
    <row r="452" spans="1:17" hidden="1">
      <c r="A452" s="75"/>
      <c r="B452" s="76" t="s">
        <v>122</v>
      </c>
      <c r="C452" s="77" t="s">
        <v>57</v>
      </c>
      <c r="D452" s="102" t="s">
        <v>107</v>
      </c>
      <c r="E452" s="77" t="s">
        <v>291</v>
      </c>
      <c r="F452" s="77" t="s">
        <v>58</v>
      </c>
      <c r="G452" s="77" t="s">
        <v>297</v>
      </c>
      <c r="H452" s="77" t="s">
        <v>297</v>
      </c>
      <c r="I452" s="77"/>
      <c r="J452" s="110" t="s">
        <v>230</v>
      </c>
      <c r="K452" s="77">
        <v>2021</v>
      </c>
      <c r="L452" s="78">
        <v>1</v>
      </c>
      <c r="M452" s="79">
        <v>15000</v>
      </c>
      <c r="N452" s="79">
        <v>15000</v>
      </c>
      <c r="O452" s="78">
        <v>0.3</v>
      </c>
      <c r="P452" s="79">
        <v>4500</v>
      </c>
      <c r="Q452" s="209"/>
    </row>
    <row r="453" spans="1:17" hidden="1">
      <c r="A453" s="173"/>
      <c r="B453" s="76" t="s">
        <v>3058</v>
      </c>
      <c r="C453" s="77" t="s">
        <v>3059</v>
      </c>
      <c r="D453" s="102" t="s">
        <v>3176</v>
      </c>
      <c r="E453" s="77" t="s">
        <v>291</v>
      </c>
      <c r="F453" s="77" t="s">
        <v>58</v>
      </c>
      <c r="G453" s="77" t="s">
        <v>297</v>
      </c>
      <c r="H453" s="77" t="s">
        <v>297</v>
      </c>
      <c r="I453" s="77"/>
      <c r="J453" s="110" t="s">
        <v>230</v>
      </c>
      <c r="K453" s="77">
        <v>2021</v>
      </c>
      <c r="L453" s="78">
        <v>1</v>
      </c>
      <c r="M453" s="79">
        <v>58784.22</v>
      </c>
      <c r="N453" s="86">
        <v>58784.22</v>
      </c>
      <c r="O453" s="78">
        <v>0.3</v>
      </c>
      <c r="P453" s="86">
        <v>17635.266</v>
      </c>
      <c r="Q453" s="210"/>
    </row>
    <row r="454" spans="1:17" hidden="1">
      <c r="A454" s="173"/>
      <c r="B454" s="76" t="s">
        <v>137</v>
      </c>
      <c r="C454" s="77" t="s">
        <v>3059</v>
      </c>
      <c r="D454" s="102" t="s">
        <v>3176</v>
      </c>
      <c r="E454" s="77" t="s">
        <v>291</v>
      </c>
      <c r="F454" s="77" t="s">
        <v>58</v>
      </c>
      <c r="G454" s="77" t="s">
        <v>297</v>
      </c>
      <c r="H454" s="77" t="s">
        <v>297</v>
      </c>
      <c r="I454" s="77"/>
      <c r="J454" s="110" t="s">
        <v>139</v>
      </c>
      <c r="K454" s="77">
        <v>2021</v>
      </c>
      <c r="L454" s="78">
        <v>1</v>
      </c>
      <c r="M454" s="79">
        <v>59378</v>
      </c>
      <c r="N454" s="86">
        <v>59378</v>
      </c>
      <c r="O454" s="78">
        <v>0.3</v>
      </c>
      <c r="P454" s="86">
        <v>17813.399999999998</v>
      </c>
      <c r="Q454" s="210"/>
    </row>
    <row r="455" spans="1:17" hidden="1">
      <c r="A455" s="75"/>
      <c r="B455" s="76" t="s">
        <v>122</v>
      </c>
      <c r="C455" s="77" t="s">
        <v>57</v>
      </c>
      <c r="D455" s="102" t="s">
        <v>71</v>
      </c>
      <c r="E455" s="77" t="s">
        <v>71</v>
      </c>
      <c r="F455" s="77" t="s">
        <v>58</v>
      </c>
      <c r="G455" s="77" t="s">
        <v>297</v>
      </c>
      <c r="H455" s="77" t="s">
        <v>297</v>
      </c>
      <c r="I455" s="77"/>
      <c r="J455" s="110" t="s">
        <v>230</v>
      </c>
      <c r="K455" s="77">
        <v>2021</v>
      </c>
      <c r="L455" s="78">
        <v>1</v>
      </c>
      <c r="M455" s="79">
        <v>30000</v>
      </c>
      <c r="N455" s="79">
        <v>30000</v>
      </c>
      <c r="O455" s="78">
        <v>0.3</v>
      </c>
      <c r="P455" s="79">
        <v>9000</v>
      </c>
      <c r="Q455" s="209"/>
    </row>
    <row r="456" spans="1:17" hidden="1">
      <c r="A456" s="75"/>
      <c r="B456" s="76" t="s">
        <v>73</v>
      </c>
      <c r="C456" s="77" t="s">
        <v>57</v>
      </c>
      <c r="D456" s="102" t="s">
        <v>91</v>
      </c>
      <c r="E456" s="77" t="s">
        <v>92</v>
      </c>
      <c r="F456" s="77" t="s">
        <v>58</v>
      </c>
      <c r="G456" s="77" t="s">
        <v>297</v>
      </c>
      <c r="H456" s="77" t="s">
        <v>297</v>
      </c>
      <c r="I456" s="77"/>
      <c r="J456" s="110" t="s">
        <v>93</v>
      </c>
      <c r="K456" s="77">
        <v>2021</v>
      </c>
      <c r="L456" s="78">
        <v>1</v>
      </c>
      <c r="M456" s="79">
        <v>18810.5</v>
      </c>
      <c r="N456" s="79">
        <f>Table47[[#This Row],[Expected Revenue]]*Table47[[#This Row],[Probability]]</f>
        <v>18810.5</v>
      </c>
      <c r="O456" s="78">
        <v>0.3</v>
      </c>
      <c r="P456" s="86">
        <f>Table47[[#This Row],[Expected CMR]]*Table47[[#This Row],[Rev. Based on PROB]]</f>
        <v>5643.15</v>
      </c>
      <c r="Q456" s="210"/>
    </row>
    <row r="457" spans="1:17" hidden="1">
      <c r="A457" s="173"/>
      <c r="B457" s="76" t="s">
        <v>3058</v>
      </c>
      <c r="C457" s="77" t="s">
        <v>3059</v>
      </c>
      <c r="D457" s="102" t="s">
        <v>3178</v>
      </c>
      <c r="E457" s="77" t="s">
        <v>92</v>
      </c>
      <c r="F457" s="77" t="s">
        <v>58</v>
      </c>
      <c r="G457" s="77" t="s">
        <v>297</v>
      </c>
      <c r="H457" s="77" t="s">
        <v>297</v>
      </c>
      <c r="I457" s="77"/>
      <c r="J457" s="110" t="s">
        <v>139</v>
      </c>
      <c r="K457" s="77">
        <v>2021</v>
      </c>
      <c r="L457" s="78">
        <v>1</v>
      </c>
      <c r="M457" s="79">
        <v>18622.271250000002</v>
      </c>
      <c r="N457" s="86">
        <v>18622.271250000002</v>
      </c>
      <c r="O457" s="78">
        <v>0.3</v>
      </c>
      <c r="P457" s="86">
        <v>5586.6813750000001</v>
      </c>
      <c r="Q457" s="210"/>
    </row>
    <row r="458" spans="1:17" hidden="1">
      <c r="A458" s="173"/>
      <c r="B458" s="76" t="s">
        <v>130</v>
      </c>
      <c r="C458" s="77" t="s">
        <v>3059</v>
      </c>
      <c r="D458" s="102" t="s">
        <v>3178</v>
      </c>
      <c r="E458" s="77" t="s">
        <v>92</v>
      </c>
      <c r="F458" s="77" t="s">
        <v>58</v>
      </c>
      <c r="G458" s="77" t="s">
        <v>297</v>
      </c>
      <c r="H458" s="77" t="s">
        <v>297</v>
      </c>
      <c r="I458" s="77"/>
      <c r="J458" s="110" t="s">
        <v>139</v>
      </c>
      <c r="K458" s="77">
        <v>2021</v>
      </c>
      <c r="L458" s="78">
        <v>1</v>
      </c>
      <c r="M458" s="79">
        <v>18622.271250000002</v>
      </c>
      <c r="N458" s="86">
        <v>18622.271250000002</v>
      </c>
      <c r="O458" s="78">
        <v>0.3</v>
      </c>
      <c r="P458" s="86">
        <v>5586.6813750000001</v>
      </c>
      <c r="Q458" s="210"/>
    </row>
    <row r="459" spans="1:17" hidden="1">
      <c r="A459" s="173"/>
      <c r="B459" s="76" t="s">
        <v>137</v>
      </c>
      <c r="C459" s="77" t="s">
        <v>3059</v>
      </c>
      <c r="D459" s="102" t="s">
        <v>3178</v>
      </c>
      <c r="E459" s="77" t="s">
        <v>92</v>
      </c>
      <c r="F459" s="77" t="s">
        <v>58</v>
      </c>
      <c r="G459" s="77" t="s">
        <v>297</v>
      </c>
      <c r="H459" s="77" t="s">
        <v>297</v>
      </c>
      <c r="I459" s="77"/>
      <c r="J459" s="110" t="s">
        <v>139</v>
      </c>
      <c r="K459" s="77">
        <v>2021</v>
      </c>
      <c r="L459" s="78">
        <v>1</v>
      </c>
      <c r="M459" s="79">
        <v>18622.271250000002</v>
      </c>
      <c r="N459" s="86">
        <v>18622.271250000002</v>
      </c>
      <c r="O459" s="78">
        <v>0.3</v>
      </c>
      <c r="P459" s="86">
        <v>5586.6813750000001</v>
      </c>
      <c r="Q459" s="210"/>
    </row>
    <row r="460" spans="1:17" hidden="1">
      <c r="A460" s="173"/>
      <c r="B460" s="76" t="s">
        <v>296</v>
      </c>
      <c r="C460" s="77"/>
      <c r="D460" s="102"/>
      <c r="E460" s="77" t="s">
        <v>251</v>
      </c>
      <c r="F460" s="77" t="s">
        <v>58</v>
      </c>
      <c r="G460" s="77" t="s">
        <v>3181</v>
      </c>
      <c r="H460" s="77" t="s">
        <v>296</v>
      </c>
      <c r="I460" s="76"/>
      <c r="J460" s="110" t="s">
        <v>139</v>
      </c>
      <c r="K460" s="77">
        <v>2021</v>
      </c>
      <c r="L460" s="78">
        <v>1</v>
      </c>
      <c r="M460" s="79">
        <v>150000</v>
      </c>
      <c r="N460" s="86">
        <v>150000</v>
      </c>
      <c r="O460" s="78">
        <v>0.3</v>
      </c>
      <c r="P460" s="86">
        <v>45000</v>
      </c>
      <c r="Q460" s="210"/>
    </row>
    <row r="461" spans="1:17" hidden="1">
      <c r="A461" s="173"/>
      <c r="B461" s="76" t="s">
        <v>114</v>
      </c>
      <c r="C461" s="77" t="s">
        <v>3059</v>
      </c>
      <c r="D461" s="102" t="s">
        <v>3178</v>
      </c>
      <c r="E461" s="77" t="s">
        <v>92</v>
      </c>
      <c r="F461" s="77" t="s">
        <v>58</v>
      </c>
      <c r="G461" s="77" t="s">
        <v>297</v>
      </c>
      <c r="H461" s="77" t="s">
        <v>297</v>
      </c>
      <c r="I461" s="76"/>
      <c r="J461" s="110" t="s">
        <v>230</v>
      </c>
      <c r="K461" s="77">
        <v>2021</v>
      </c>
      <c r="L461" s="78">
        <v>1</v>
      </c>
      <c r="M461" s="79">
        <v>5000</v>
      </c>
      <c r="N461" s="86">
        <v>5000</v>
      </c>
      <c r="O461" s="78">
        <v>0.3</v>
      </c>
      <c r="P461" s="86">
        <v>1500</v>
      </c>
      <c r="Q461" s="210"/>
    </row>
    <row r="462" spans="1:17" hidden="1">
      <c r="A462" s="173"/>
      <c r="B462" s="76" t="s">
        <v>122</v>
      </c>
      <c r="C462" s="77" t="s">
        <v>57</v>
      </c>
      <c r="D462" s="102" t="s">
        <v>3199</v>
      </c>
      <c r="E462" s="77" t="s">
        <v>92</v>
      </c>
      <c r="F462" s="77" t="s">
        <v>58</v>
      </c>
      <c r="G462" s="77" t="s">
        <v>297</v>
      </c>
      <c r="H462" s="77" t="s">
        <v>297</v>
      </c>
      <c r="I462" s="77"/>
      <c r="J462" s="110" t="s">
        <v>230</v>
      </c>
      <c r="K462" s="77">
        <v>2021</v>
      </c>
      <c r="L462" s="78">
        <v>1</v>
      </c>
      <c r="M462" s="79">
        <v>18000</v>
      </c>
      <c r="N462" s="79">
        <v>18000</v>
      </c>
      <c r="O462" s="78">
        <v>0.3</v>
      </c>
      <c r="P462" s="79">
        <v>8344.7999999999993</v>
      </c>
      <c r="Q462" s="209"/>
    </row>
    <row r="463" spans="1:17" hidden="1">
      <c r="A463" s="173"/>
      <c r="B463" s="76" t="s">
        <v>137</v>
      </c>
      <c r="C463" s="77" t="s">
        <v>3059</v>
      </c>
      <c r="D463" s="102" t="s">
        <v>3182</v>
      </c>
      <c r="E463" s="77" t="s">
        <v>71</v>
      </c>
      <c r="F463" s="77" t="s">
        <v>58</v>
      </c>
      <c r="G463" s="77" t="s">
        <v>297</v>
      </c>
      <c r="H463" s="77" t="s">
        <v>297</v>
      </c>
      <c r="I463" s="76"/>
      <c r="J463" s="110" t="s">
        <v>139</v>
      </c>
      <c r="K463" s="77">
        <v>2021</v>
      </c>
      <c r="L463" s="78">
        <v>1</v>
      </c>
      <c r="M463" s="79">
        <v>30939</v>
      </c>
      <c r="N463" s="86">
        <v>30939</v>
      </c>
      <c r="O463" s="78">
        <v>0.3</v>
      </c>
      <c r="P463" s="86">
        <v>9281.6999999999989</v>
      </c>
      <c r="Q463" s="210"/>
    </row>
    <row r="464" spans="1:17" hidden="1">
      <c r="A464" s="173"/>
      <c r="B464" s="76" t="s">
        <v>117</v>
      </c>
      <c r="C464" s="77" t="s">
        <v>3059</v>
      </c>
      <c r="D464" s="102" t="s">
        <v>3176</v>
      </c>
      <c r="E464" s="77" t="s">
        <v>291</v>
      </c>
      <c r="F464" s="77" t="s">
        <v>58</v>
      </c>
      <c r="G464" s="77" t="s">
        <v>297</v>
      </c>
      <c r="H464" s="77" t="s">
        <v>297</v>
      </c>
      <c r="I464" s="76"/>
      <c r="J464" s="110" t="s">
        <v>139</v>
      </c>
      <c r="K464" s="77">
        <v>2021</v>
      </c>
      <c r="L464" s="78">
        <v>1</v>
      </c>
      <c r="M464" s="79">
        <v>35000</v>
      </c>
      <c r="N464" s="86">
        <v>35000</v>
      </c>
      <c r="O464" s="78"/>
      <c r="P464" s="86">
        <v>0</v>
      </c>
      <c r="Q464" s="210"/>
    </row>
    <row r="465" spans="1:17" hidden="1">
      <c r="A465" s="173"/>
      <c r="B465" s="76"/>
      <c r="C465" s="77"/>
      <c r="D465" s="102"/>
      <c r="E465" s="77"/>
      <c r="F465" s="77"/>
      <c r="G465" s="77"/>
      <c r="H465" s="77"/>
      <c r="I465" s="76"/>
      <c r="J465" s="110"/>
      <c r="K465" s="77"/>
      <c r="L465" s="77"/>
      <c r="M465" s="77"/>
      <c r="N465" s="86">
        <f>Table47[[#This Row],[Expected Revenue]]*Table47[[#This Row],[Probability]]</f>
        <v>0</v>
      </c>
      <c r="O465" s="78"/>
      <c r="P465" s="86">
        <f>Table47[[#This Row],[Expected Revenue]]*Table47[[#This Row],[Expected CMR]]</f>
        <v>0</v>
      </c>
      <c r="Q465" s="210"/>
    </row>
    <row r="466" spans="1:17" hidden="1">
      <c r="A466" s="173"/>
      <c r="B466" s="76"/>
      <c r="C466" s="77"/>
      <c r="D466" s="102"/>
      <c r="E466" s="77"/>
      <c r="F466" s="77"/>
      <c r="G466" s="77"/>
      <c r="H466" s="77"/>
      <c r="I466" s="76"/>
      <c r="J466" s="110"/>
      <c r="K466" s="77"/>
      <c r="L466" s="77"/>
      <c r="M466" s="77"/>
      <c r="N466" s="86">
        <f>Table47[[#This Row],[Expected Revenue]]*Table47[[#This Row],[Probability]]</f>
        <v>0</v>
      </c>
      <c r="O466" s="78"/>
      <c r="P466" s="86">
        <f>Table47[[#This Row],[Expected Revenue]]*Table47[[#This Row],[Expected CMR]]</f>
        <v>0</v>
      </c>
      <c r="Q466" s="210"/>
    </row>
    <row r="467" spans="1:17" hidden="1">
      <c r="A467" s="173"/>
      <c r="B467" s="76"/>
      <c r="C467" s="77"/>
      <c r="D467" s="102"/>
      <c r="E467" s="77"/>
      <c r="F467" s="77"/>
      <c r="G467" s="77"/>
      <c r="H467" s="77"/>
      <c r="I467" s="76"/>
      <c r="J467" s="110"/>
      <c r="K467" s="77"/>
      <c r="L467" s="77"/>
      <c r="M467" s="77"/>
      <c r="N467" s="86">
        <f>Table47[[#This Row],[Expected Revenue]]*Table47[[#This Row],[Probability]]</f>
        <v>0</v>
      </c>
      <c r="O467" s="78"/>
      <c r="P467" s="86">
        <f>Table47[[#This Row],[Expected Revenue]]*Table47[[#This Row],[Expected CMR]]</f>
        <v>0</v>
      </c>
      <c r="Q467" s="210"/>
    </row>
    <row r="468" spans="1:17" hidden="1">
      <c r="A468" s="173"/>
      <c r="B468" s="76"/>
      <c r="C468" s="77"/>
      <c r="D468" s="102"/>
      <c r="E468" s="77"/>
      <c r="F468" s="77"/>
      <c r="G468" s="77"/>
      <c r="H468" s="77"/>
      <c r="I468" s="76"/>
      <c r="J468" s="110"/>
      <c r="K468" s="77"/>
      <c r="L468" s="77"/>
      <c r="M468" s="77"/>
      <c r="N468" s="86">
        <f>Table47[[#This Row],[Expected Revenue]]*Table47[[#This Row],[Probability]]</f>
        <v>0</v>
      </c>
      <c r="O468" s="78"/>
      <c r="P468" s="86">
        <f>Table47[[#This Row],[Expected Revenue]]*Table47[[#This Row],[Expected CMR]]</f>
        <v>0</v>
      </c>
      <c r="Q468" s="210"/>
    </row>
    <row r="469" spans="1:17" hidden="1">
      <c r="A469" s="173"/>
      <c r="B469" s="76"/>
      <c r="C469" s="77"/>
      <c r="D469" s="102"/>
      <c r="E469" s="77"/>
      <c r="F469" s="77"/>
      <c r="G469" s="77"/>
      <c r="H469" s="77"/>
      <c r="I469" s="76"/>
      <c r="J469" s="110"/>
      <c r="K469" s="77"/>
      <c r="L469" s="77"/>
      <c r="M469" s="77"/>
      <c r="N469" s="86">
        <f>Table47[[#This Row],[Expected Revenue]]*Table47[[#This Row],[Probability]]</f>
        <v>0</v>
      </c>
      <c r="O469" s="78"/>
      <c r="P469" s="86">
        <f>Table47[[#This Row],[Expected Revenue]]*Table47[[#This Row],[Expected CMR]]</f>
        <v>0</v>
      </c>
      <c r="Q469" s="210"/>
    </row>
    <row r="470" spans="1:17" hidden="1">
      <c r="A470" s="173"/>
      <c r="B470" s="76"/>
      <c r="C470" s="77"/>
      <c r="D470" s="102"/>
      <c r="E470" s="77"/>
      <c r="F470" s="77"/>
      <c r="G470" s="77"/>
      <c r="H470" s="77"/>
      <c r="I470" s="76"/>
      <c r="J470" s="110"/>
      <c r="K470" s="77"/>
      <c r="L470" s="77"/>
      <c r="M470" s="77"/>
      <c r="N470" s="86">
        <f>Table47[[#This Row],[Expected Revenue]]*Table47[[#This Row],[Probability]]</f>
        <v>0</v>
      </c>
      <c r="O470" s="78"/>
      <c r="P470" s="86">
        <f>Table47[[#This Row],[Expected Revenue]]*Table47[[#This Row],[Expected CMR]]</f>
        <v>0</v>
      </c>
      <c r="Q470" s="210"/>
    </row>
    <row r="471" spans="1:17" hidden="1">
      <c r="A471" s="173"/>
      <c r="B471" s="76"/>
      <c r="C471" s="77"/>
      <c r="D471" s="102"/>
      <c r="E471" s="77"/>
      <c r="F471" s="77"/>
      <c r="G471" s="77"/>
      <c r="H471" s="77"/>
      <c r="I471" s="76"/>
      <c r="J471" s="110"/>
      <c r="K471" s="77"/>
      <c r="L471" s="77"/>
      <c r="M471" s="77"/>
      <c r="N471" s="86">
        <f>Table47[[#This Row],[Expected Revenue]]*Table47[[#This Row],[Probability]]</f>
        <v>0</v>
      </c>
      <c r="O471" s="78"/>
      <c r="P471" s="86">
        <f>Table47[[#This Row],[Expected Revenue]]*Table47[[#This Row],[Expected CMR]]</f>
        <v>0</v>
      </c>
      <c r="Q471" s="210"/>
    </row>
    <row r="472" spans="1:17" hidden="1">
      <c r="A472" s="173"/>
      <c r="B472" s="76"/>
      <c r="C472" s="77"/>
      <c r="D472" s="102"/>
      <c r="E472" s="77"/>
      <c r="F472" s="77"/>
      <c r="G472" s="77"/>
      <c r="H472" s="77"/>
      <c r="I472" s="76"/>
      <c r="J472" s="110"/>
      <c r="K472" s="77"/>
      <c r="L472" s="77"/>
      <c r="M472" s="77"/>
      <c r="N472" s="86">
        <f>Table47[[#This Row],[Expected Revenue]]*Table47[[#This Row],[Probability]]</f>
        <v>0</v>
      </c>
      <c r="O472" s="78"/>
      <c r="P472" s="86">
        <f>Table47[[#This Row],[Expected Revenue]]*Table47[[#This Row],[Expected CMR]]</f>
        <v>0</v>
      </c>
      <c r="Q472" s="210"/>
    </row>
    <row r="473" spans="1:17" hidden="1">
      <c r="A473" s="173"/>
      <c r="B473" s="76"/>
      <c r="C473" s="77"/>
      <c r="D473" s="102"/>
      <c r="E473" s="77"/>
      <c r="F473" s="77"/>
      <c r="G473" s="77"/>
      <c r="H473" s="77"/>
      <c r="I473" s="76"/>
      <c r="J473" s="110"/>
      <c r="K473" s="77"/>
      <c r="L473" s="77"/>
      <c r="M473" s="77"/>
      <c r="N473" s="86">
        <f>Table47[[#This Row],[Expected Revenue]]*Table47[[#This Row],[Probability]]</f>
        <v>0</v>
      </c>
      <c r="O473" s="78"/>
      <c r="P473" s="86">
        <f>Table47[[#This Row],[Expected Revenue]]*Table47[[#This Row],[Expected CMR]]</f>
        <v>0</v>
      </c>
      <c r="Q473" s="210"/>
    </row>
    <row r="474" spans="1:17" hidden="1">
      <c r="A474" s="173"/>
      <c r="B474" s="76"/>
      <c r="C474" s="77"/>
      <c r="D474" s="102"/>
      <c r="E474" s="77"/>
      <c r="F474" s="77"/>
      <c r="G474" s="77"/>
      <c r="H474" s="77"/>
      <c r="I474" s="76"/>
      <c r="J474" s="110"/>
      <c r="K474" s="77"/>
      <c r="L474" s="77"/>
      <c r="M474" s="77"/>
      <c r="N474" s="86">
        <f>Table47[[#This Row],[Expected Revenue]]*Table47[[#This Row],[Probability]]</f>
        <v>0</v>
      </c>
      <c r="O474" s="78"/>
      <c r="P474" s="86">
        <f>Table47[[#This Row],[Expected Revenue]]*Table47[[#This Row],[Expected CMR]]</f>
        <v>0</v>
      </c>
      <c r="Q474" s="210"/>
    </row>
    <row r="475" spans="1:17" hidden="1">
      <c r="A475" s="173"/>
      <c r="B475" s="76"/>
      <c r="C475" s="77"/>
      <c r="D475" s="102"/>
      <c r="E475" s="77"/>
      <c r="F475" s="77"/>
      <c r="G475" s="77"/>
      <c r="H475" s="77"/>
      <c r="I475" s="76"/>
      <c r="J475" s="110"/>
      <c r="K475" s="77"/>
      <c r="L475" s="77"/>
      <c r="M475" s="77"/>
      <c r="N475" s="86">
        <f>Table47[[#This Row],[Expected Revenue]]*Table47[[#This Row],[Probability]]</f>
        <v>0</v>
      </c>
      <c r="O475" s="78"/>
      <c r="P475" s="86">
        <f>Table47[[#This Row],[Expected Revenue]]*Table47[[#This Row],[Expected CMR]]</f>
        <v>0</v>
      </c>
      <c r="Q475" s="210"/>
    </row>
    <row r="476" spans="1:17" hidden="1">
      <c r="A476" s="173"/>
      <c r="B476" s="76"/>
      <c r="C476" s="77"/>
      <c r="D476" s="102"/>
      <c r="E476" s="77"/>
      <c r="F476" s="77"/>
      <c r="G476" s="77"/>
      <c r="H476" s="77"/>
      <c r="I476" s="76"/>
      <c r="J476" s="110"/>
      <c r="K476" s="77"/>
      <c r="L476" s="77"/>
      <c r="M476" s="77"/>
      <c r="N476" s="86">
        <f>Table47[[#This Row],[Expected Revenue]]*Table47[[#This Row],[Probability]]</f>
        <v>0</v>
      </c>
      <c r="O476" s="78"/>
      <c r="P476" s="86">
        <f>Table47[[#This Row],[Expected Revenue]]*Table47[[#This Row],[Expected CMR]]</f>
        <v>0</v>
      </c>
      <c r="Q476" s="210"/>
    </row>
    <row r="477" spans="1:17" hidden="1">
      <c r="A477" s="173"/>
      <c r="B477" s="76"/>
      <c r="C477" s="77"/>
      <c r="D477" s="102"/>
      <c r="E477" s="77"/>
      <c r="F477" s="77"/>
      <c r="G477" s="77"/>
      <c r="H477" s="77"/>
      <c r="I477" s="76"/>
      <c r="J477" s="110"/>
      <c r="K477" s="77"/>
      <c r="L477" s="77"/>
      <c r="M477" s="77"/>
      <c r="N477" s="86">
        <f>Table47[[#This Row],[Expected Revenue]]*Table47[[#This Row],[Probability]]</f>
        <v>0</v>
      </c>
      <c r="O477" s="78"/>
      <c r="P477" s="86">
        <f>Table47[[#This Row],[Expected Revenue]]*Table47[[#This Row],[Expected CMR]]</f>
        <v>0</v>
      </c>
      <c r="Q477" s="210"/>
    </row>
    <row r="478" spans="1:17" hidden="1">
      <c r="A478" s="173"/>
      <c r="B478" s="76"/>
      <c r="C478" s="77"/>
      <c r="D478" s="102"/>
      <c r="E478" s="77"/>
      <c r="F478" s="77"/>
      <c r="G478" s="77"/>
      <c r="H478" s="77"/>
      <c r="I478" s="76"/>
      <c r="J478" s="110"/>
      <c r="K478" s="77"/>
      <c r="L478" s="77"/>
      <c r="M478" s="77"/>
      <c r="N478" s="86">
        <f>Table47[[#This Row],[Expected Revenue]]*Table47[[#This Row],[Probability]]</f>
        <v>0</v>
      </c>
      <c r="O478" s="78"/>
      <c r="P478" s="86">
        <f>Table47[[#This Row],[Expected Revenue]]*Table47[[#This Row],[Expected CMR]]</f>
        <v>0</v>
      </c>
      <c r="Q478" s="210"/>
    </row>
    <row r="479" spans="1:17" hidden="1">
      <c r="A479" s="173"/>
      <c r="B479" s="76"/>
      <c r="C479" s="77"/>
      <c r="D479" s="102"/>
      <c r="E479" s="77"/>
      <c r="F479" s="77"/>
      <c r="G479" s="77"/>
      <c r="H479" s="77"/>
      <c r="I479" s="76"/>
      <c r="J479" s="110"/>
      <c r="K479" s="77"/>
      <c r="L479" s="77"/>
      <c r="M479" s="77"/>
      <c r="N479" s="86">
        <f>Table47[[#This Row],[Expected Revenue]]*Table47[[#This Row],[Probability]]</f>
        <v>0</v>
      </c>
      <c r="O479" s="78"/>
      <c r="P479" s="86">
        <f>Table47[[#This Row],[Expected Revenue]]*Table47[[#This Row],[Expected CMR]]</f>
        <v>0</v>
      </c>
      <c r="Q479" s="210"/>
    </row>
    <row r="480" spans="1:17" hidden="1">
      <c r="A480" s="173"/>
      <c r="B480" s="76"/>
      <c r="C480" s="77"/>
      <c r="D480" s="102"/>
      <c r="E480" s="77"/>
      <c r="F480" s="77"/>
      <c r="G480" s="77"/>
      <c r="H480" s="77"/>
      <c r="I480" s="76"/>
      <c r="J480" s="110"/>
      <c r="K480" s="77"/>
      <c r="L480" s="77"/>
      <c r="M480" s="77"/>
      <c r="N480" s="86">
        <f>Table47[[#This Row],[Expected Revenue]]*Table47[[#This Row],[Probability]]</f>
        <v>0</v>
      </c>
      <c r="O480" s="78"/>
      <c r="P480" s="86">
        <f>Table47[[#This Row],[Expected Revenue]]*Table47[[#This Row],[Expected CMR]]</f>
        <v>0</v>
      </c>
      <c r="Q480" s="210"/>
    </row>
    <row r="481" spans="1:17" hidden="1">
      <c r="A481" s="173"/>
      <c r="B481" s="76"/>
      <c r="C481" s="77"/>
      <c r="D481" s="102"/>
      <c r="E481" s="77"/>
      <c r="F481" s="77"/>
      <c r="G481" s="77"/>
      <c r="H481" s="77"/>
      <c r="I481" s="76"/>
      <c r="J481" s="110"/>
      <c r="K481" s="77"/>
      <c r="L481" s="77"/>
      <c r="M481" s="77"/>
      <c r="N481" s="86">
        <f>Table47[[#This Row],[Expected Revenue]]*Table47[[#This Row],[Probability]]</f>
        <v>0</v>
      </c>
      <c r="O481" s="78"/>
      <c r="P481" s="86">
        <f>Table47[[#This Row],[Expected Revenue]]*Table47[[#This Row],[Expected CMR]]</f>
        <v>0</v>
      </c>
      <c r="Q481" s="210"/>
    </row>
    <row r="482" spans="1:17" hidden="1">
      <c r="A482" s="173"/>
      <c r="B482" s="76"/>
      <c r="C482" s="77"/>
      <c r="D482" s="102"/>
      <c r="E482" s="77"/>
      <c r="F482" s="77"/>
      <c r="G482" s="77"/>
      <c r="H482" s="77"/>
      <c r="I482" s="76"/>
      <c r="J482" s="110"/>
      <c r="K482" s="77"/>
      <c r="L482" s="77"/>
      <c r="M482" s="77"/>
      <c r="N482" s="86">
        <f>Table47[[#This Row],[Expected Revenue]]*Table47[[#This Row],[Probability]]</f>
        <v>0</v>
      </c>
      <c r="O482" s="78"/>
      <c r="P482" s="86">
        <f>Table47[[#This Row],[Expected Revenue]]*Table47[[#This Row],[Expected CMR]]</f>
        <v>0</v>
      </c>
      <c r="Q482" s="210"/>
    </row>
    <row r="483" spans="1:17" hidden="1">
      <c r="A483" s="173"/>
      <c r="B483" s="76"/>
      <c r="C483" s="77"/>
      <c r="D483" s="102"/>
      <c r="E483" s="77"/>
      <c r="F483" s="77"/>
      <c r="G483" s="77"/>
      <c r="H483" s="77"/>
      <c r="I483" s="76"/>
      <c r="J483" s="110"/>
      <c r="K483" s="77"/>
      <c r="L483" s="77"/>
      <c r="M483" s="77"/>
      <c r="N483" s="86">
        <f>Table47[[#This Row],[Expected Revenue]]*Table47[[#This Row],[Probability]]</f>
        <v>0</v>
      </c>
      <c r="O483" s="78"/>
      <c r="P483" s="86">
        <f>Table47[[#This Row],[Expected Revenue]]*Table47[[#This Row],[Expected CMR]]</f>
        <v>0</v>
      </c>
      <c r="Q483" s="210"/>
    </row>
    <row r="484" spans="1:17" hidden="1">
      <c r="A484" s="173"/>
      <c r="B484" s="76"/>
      <c r="C484" s="77"/>
      <c r="D484" s="102"/>
      <c r="E484" s="77"/>
      <c r="F484" s="77"/>
      <c r="G484" s="77"/>
      <c r="H484" s="77"/>
      <c r="I484" s="76"/>
      <c r="J484" s="110"/>
      <c r="K484" s="77"/>
      <c r="L484" s="77"/>
      <c r="M484" s="77"/>
      <c r="N484" s="86">
        <f>Table47[[#This Row],[Expected Revenue]]*Table47[[#This Row],[Probability]]</f>
        <v>0</v>
      </c>
      <c r="O484" s="78"/>
      <c r="P484" s="86">
        <f>Table47[[#This Row],[Expected Revenue]]*Table47[[#This Row],[Expected CMR]]</f>
        <v>0</v>
      </c>
      <c r="Q484" s="210"/>
    </row>
    <row r="485" spans="1:17" hidden="1">
      <c r="A485" s="173"/>
      <c r="B485" s="76"/>
      <c r="C485" s="77"/>
      <c r="D485" s="102"/>
      <c r="E485" s="77"/>
      <c r="F485" s="77"/>
      <c r="G485" s="77"/>
      <c r="H485" s="77"/>
      <c r="I485" s="76"/>
      <c r="J485" s="110"/>
      <c r="K485" s="77"/>
      <c r="L485" s="77"/>
      <c r="M485" s="77"/>
      <c r="N485" s="86">
        <f>Table47[[#This Row],[Expected Revenue]]*Table47[[#This Row],[Probability]]</f>
        <v>0</v>
      </c>
      <c r="O485" s="78"/>
      <c r="P485" s="86">
        <f>Table47[[#This Row],[Expected Revenue]]*Table47[[#This Row],[Expected CMR]]</f>
        <v>0</v>
      </c>
      <c r="Q485" s="210"/>
    </row>
    <row r="486" spans="1:17" hidden="1">
      <c r="A486" s="173"/>
      <c r="B486" s="76"/>
      <c r="C486" s="77"/>
      <c r="D486" s="102"/>
      <c r="E486" s="77"/>
      <c r="F486" s="77"/>
      <c r="G486" s="77"/>
      <c r="H486" s="77"/>
      <c r="I486" s="76"/>
      <c r="J486" s="110"/>
      <c r="K486" s="77"/>
      <c r="L486" s="77"/>
      <c r="M486" s="77"/>
      <c r="N486" s="86">
        <f>Table47[[#This Row],[Expected Revenue]]*Table47[[#This Row],[Probability]]</f>
        <v>0</v>
      </c>
      <c r="O486" s="78"/>
      <c r="P486" s="86">
        <f>Table47[[#This Row],[Expected Revenue]]*Table47[[#This Row],[Expected CMR]]</f>
        <v>0</v>
      </c>
      <c r="Q486" s="210"/>
    </row>
    <row r="487" spans="1:17" hidden="1">
      <c r="A487" s="173"/>
      <c r="B487" s="76"/>
      <c r="C487" s="77"/>
      <c r="D487" s="102"/>
      <c r="E487" s="77"/>
      <c r="F487" s="77"/>
      <c r="G487" s="77"/>
      <c r="H487" s="77"/>
      <c r="I487" s="76"/>
      <c r="J487" s="110"/>
      <c r="K487" s="77"/>
      <c r="L487" s="77"/>
      <c r="M487" s="77"/>
      <c r="N487" s="86">
        <f>Table47[[#This Row],[Expected Revenue]]*Table47[[#This Row],[Probability]]</f>
        <v>0</v>
      </c>
      <c r="O487" s="78"/>
      <c r="P487" s="86">
        <f>Table47[[#This Row],[Expected Revenue]]*Table47[[#This Row],[Expected CMR]]</f>
        <v>0</v>
      </c>
      <c r="Q487" s="210"/>
    </row>
    <row r="488" spans="1:17" hidden="1">
      <c r="A488" s="173"/>
      <c r="B488" s="76"/>
      <c r="C488" s="77"/>
      <c r="D488" s="102"/>
      <c r="E488" s="77"/>
      <c r="F488" s="77"/>
      <c r="G488" s="77"/>
      <c r="H488" s="77"/>
      <c r="I488" s="76"/>
      <c r="J488" s="110"/>
      <c r="K488" s="77"/>
      <c r="L488" s="77"/>
      <c r="M488" s="77"/>
      <c r="N488" s="86">
        <f>Table47[[#This Row],[Expected Revenue]]*Table47[[#This Row],[Probability]]</f>
        <v>0</v>
      </c>
      <c r="O488" s="78"/>
      <c r="P488" s="86">
        <f>Table47[[#This Row],[Expected Revenue]]*Table47[[#This Row],[Expected CMR]]</f>
        <v>0</v>
      </c>
      <c r="Q488" s="210"/>
    </row>
    <row r="489" spans="1:17" hidden="1">
      <c r="A489" s="173"/>
      <c r="B489" s="76"/>
      <c r="C489" s="77"/>
      <c r="D489" s="102"/>
      <c r="E489" s="77"/>
      <c r="F489" s="77"/>
      <c r="G489" s="77"/>
      <c r="H489" s="77"/>
      <c r="I489" s="76"/>
      <c r="J489" s="110"/>
      <c r="K489" s="77"/>
      <c r="L489" s="77"/>
      <c r="M489" s="77"/>
      <c r="N489" s="86">
        <f>Table47[[#This Row],[Expected Revenue]]*Table47[[#This Row],[Probability]]</f>
        <v>0</v>
      </c>
      <c r="O489" s="78"/>
      <c r="P489" s="86">
        <f>Table47[[#This Row],[Expected Revenue]]*Table47[[#This Row],[Expected CMR]]</f>
        <v>0</v>
      </c>
      <c r="Q489" s="210"/>
    </row>
    <row r="490" spans="1:17" hidden="1">
      <c r="A490" s="173"/>
      <c r="B490" s="76"/>
      <c r="C490" s="77"/>
      <c r="D490" s="102"/>
      <c r="E490" s="77"/>
      <c r="F490" s="77"/>
      <c r="G490" s="77"/>
      <c r="H490" s="77"/>
      <c r="I490" s="76"/>
      <c r="J490" s="110"/>
      <c r="K490" s="77"/>
      <c r="L490" s="77"/>
      <c r="M490" s="77"/>
      <c r="N490" s="86">
        <f>Table47[[#This Row],[Expected Revenue]]*Table47[[#This Row],[Probability]]</f>
        <v>0</v>
      </c>
      <c r="O490" s="78"/>
      <c r="P490" s="86">
        <f>Table47[[#This Row],[Expected Revenue]]*Table47[[#This Row],[Expected CMR]]</f>
        <v>0</v>
      </c>
      <c r="Q490" s="210"/>
    </row>
    <row r="491" spans="1:17" hidden="1">
      <c r="A491" s="173"/>
      <c r="B491" s="76"/>
      <c r="C491" s="77"/>
      <c r="D491" s="102"/>
      <c r="E491" s="77"/>
      <c r="F491" s="77"/>
      <c r="G491" s="77"/>
      <c r="H491" s="77"/>
      <c r="I491" s="76"/>
      <c r="J491" s="110"/>
      <c r="K491" s="77"/>
      <c r="L491" s="77"/>
      <c r="M491" s="77"/>
      <c r="N491" s="86">
        <f>Table47[[#This Row],[Expected Revenue]]*Table47[[#This Row],[Probability]]</f>
        <v>0</v>
      </c>
      <c r="O491" s="78"/>
      <c r="P491" s="86">
        <f>Table47[[#This Row],[Expected Revenue]]*Table47[[#This Row],[Expected CMR]]</f>
        <v>0</v>
      </c>
      <c r="Q491" s="210"/>
    </row>
    <row r="492" spans="1:17" hidden="1">
      <c r="A492" s="173"/>
      <c r="B492" s="76"/>
      <c r="C492" s="77"/>
      <c r="D492" s="102"/>
      <c r="E492" s="77"/>
      <c r="F492" s="77"/>
      <c r="G492" s="77"/>
      <c r="H492" s="77"/>
      <c r="I492" s="76"/>
      <c r="J492" s="110"/>
      <c r="K492" s="77"/>
      <c r="L492" s="77"/>
      <c r="M492" s="77"/>
      <c r="N492" s="86">
        <f>Table47[[#This Row],[Expected Revenue]]*Table47[[#This Row],[Probability]]</f>
        <v>0</v>
      </c>
      <c r="O492" s="78"/>
      <c r="P492" s="86">
        <f>Table47[[#This Row],[Expected Revenue]]*Table47[[#This Row],[Expected CMR]]</f>
        <v>0</v>
      </c>
      <c r="Q492" s="210"/>
    </row>
    <row r="493" spans="1:17" hidden="1">
      <c r="A493" s="173"/>
      <c r="B493" s="76"/>
      <c r="C493" s="77"/>
      <c r="D493" s="102"/>
      <c r="E493" s="77"/>
      <c r="F493" s="77"/>
      <c r="G493" s="77"/>
      <c r="H493" s="77"/>
      <c r="I493" s="76"/>
      <c r="J493" s="110"/>
      <c r="K493" s="77"/>
      <c r="L493" s="77"/>
      <c r="M493" s="77"/>
      <c r="N493" s="86">
        <f>Table47[[#This Row],[Expected Revenue]]*Table47[[#This Row],[Probability]]</f>
        <v>0</v>
      </c>
      <c r="O493" s="78"/>
      <c r="P493" s="86">
        <f>Table47[[#This Row],[Expected Revenue]]*Table47[[#This Row],[Expected CMR]]</f>
        <v>0</v>
      </c>
      <c r="Q493" s="210"/>
    </row>
    <row r="494" spans="1:17" hidden="1">
      <c r="A494" s="173"/>
      <c r="B494" s="76"/>
      <c r="C494" s="77"/>
      <c r="D494" s="102"/>
      <c r="E494" s="77"/>
      <c r="F494" s="77"/>
      <c r="G494" s="77"/>
      <c r="H494" s="77"/>
      <c r="I494" s="76"/>
      <c r="J494" s="110"/>
      <c r="K494" s="77"/>
      <c r="L494" s="77"/>
      <c r="M494" s="77"/>
      <c r="N494" s="86">
        <f>Table47[[#This Row],[Expected Revenue]]*Table47[[#This Row],[Probability]]</f>
        <v>0</v>
      </c>
      <c r="O494" s="78"/>
      <c r="P494" s="86">
        <f>Table47[[#This Row],[Expected Revenue]]*Table47[[#This Row],[Expected CMR]]</f>
        <v>0</v>
      </c>
      <c r="Q494" s="210"/>
    </row>
    <row r="495" spans="1:17" hidden="1">
      <c r="A495" s="173"/>
      <c r="B495" s="76"/>
      <c r="C495" s="77"/>
      <c r="D495" s="102"/>
      <c r="E495" s="77"/>
      <c r="F495" s="77"/>
      <c r="G495" s="77"/>
      <c r="H495" s="77"/>
      <c r="I495" s="76"/>
      <c r="J495" s="110"/>
      <c r="K495" s="77"/>
      <c r="L495" s="77"/>
      <c r="M495" s="77"/>
      <c r="N495" s="86">
        <f>Table47[[#This Row],[Expected Revenue]]*Table47[[#This Row],[Probability]]</f>
        <v>0</v>
      </c>
      <c r="O495" s="78"/>
      <c r="P495" s="86">
        <f>Table47[[#This Row],[Expected Revenue]]*Table47[[#This Row],[Expected CMR]]</f>
        <v>0</v>
      </c>
      <c r="Q495" s="210"/>
    </row>
    <row r="496" spans="1:17" hidden="1">
      <c r="A496" s="173"/>
      <c r="B496" s="76"/>
      <c r="C496" s="77"/>
      <c r="D496" s="102"/>
      <c r="E496" s="77"/>
      <c r="F496" s="77"/>
      <c r="G496" s="77"/>
      <c r="H496" s="77"/>
      <c r="I496" s="76"/>
      <c r="J496" s="110"/>
      <c r="K496" s="77"/>
      <c r="L496" s="77"/>
      <c r="M496" s="77"/>
      <c r="N496" s="86">
        <f>Table47[[#This Row],[Expected Revenue]]*Table47[[#This Row],[Probability]]</f>
        <v>0</v>
      </c>
      <c r="O496" s="78"/>
      <c r="P496" s="86">
        <f>Table47[[#This Row],[Expected Revenue]]*Table47[[#This Row],[Expected CMR]]</f>
        <v>0</v>
      </c>
      <c r="Q496" s="210"/>
    </row>
    <row r="497" spans="1:17" hidden="1">
      <c r="A497" s="173"/>
      <c r="B497" s="76"/>
      <c r="C497" s="77"/>
      <c r="D497" s="102"/>
      <c r="E497" s="77"/>
      <c r="F497" s="77"/>
      <c r="G497" s="77"/>
      <c r="H497" s="77"/>
      <c r="I497" s="76"/>
      <c r="J497" s="110"/>
      <c r="K497" s="77"/>
      <c r="L497" s="77"/>
      <c r="M497" s="77"/>
      <c r="N497" s="86">
        <f>Table47[[#This Row],[Expected Revenue]]*Table47[[#This Row],[Probability]]</f>
        <v>0</v>
      </c>
      <c r="O497" s="78"/>
      <c r="P497" s="86">
        <f>Table47[[#This Row],[Expected Revenue]]*Table47[[#This Row],[Expected CMR]]</f>
        <v>0</v>
      </c>
      <c r="Q497" s="210"/>
    </row>
    <row r="498" spans="1:17" hidden="1">
      <c r="A498" s="173"/>
      <c r="B498" s="76"/>
      <c r="C498" s="77"/>
      <c r="D498" s="102"/>
      <c r="E498" s="77"/>
      <c r="F498" s="77"/>
      <c r="G498" s="77"/>
      <c r="H498" s="77"/>
      <c r="I498" s="76"/>
      <c r="J498" s="110"/>
      <c r="K498" s="77"/>
      <c r="L498" s="77"/>
      <c r="M498" s="77"/>
      <c r="N498" s="86">
        <f>Table47[[#This Row],[Expected Revenue]]*Table47[[#This Row],[Probability]]</f>
        <v>0</v>
      </c>
      <c r="O498" s="78"/>
      <c r="P498" s="86">
        <f>Table47[[#This Row],[Expected Revenue]]*Table47[[#This Row],[Expected CMR]]</f>
        <v>0</v>
      </c>
      <c r="Q498" s="210"/>
    </row>
    <row r="499" spans="1:17" hidden="1">
      <c r="A499" s="173"/>
      <c r="B499" s="76"/>
      <c r="C499" s="77"/>
      <c r="D499" s="102"/>
      <c r="E499" s="77"/>
      <c r="F499" s="77"/>
      <c r="G499" s="77"/>
      <c r="H499" s="77"/>
      <c r="I499" s="76"/>
      <c r="J499" s="110"/>
      <c r="K499" s="77"/>
      <c r="L499" s="77"/>
      <c r="M499" s="77"/>
      <c r="N499" s="86">
        <f>Table47[[#This Row],[Expected Revenue]]*Table47[[#This Row],[Probability]]</f>
        <v>0</v>
      </c>
      <c r="O499" s="78"/>
      <c r="P499" s="86">
        <f>Table47[[#This Row],[Expected Revenue]]*Table47[[#This Row],[Expected CMR]]</f>
        <v>0</v>
      </c>
      <c r="Q499" s="210"/>
    </row>
    <row r="500" spans="1:17" hidden="1">
      <c r="A500" s="173"/>
      <c r="B500" s="76"/>
      <c r="C500" s="77"/>
      <c r="D500" s="102"/>
      <c r="E500" s="77"/>
      <c r="F500" s="77"/>
      <c r="G500" s="77"/>
      <c r="H500" s="77"/>
      <c r="I500" s="76"/>
      <c r="J500" s="110"/>
      <c r="K500" s="77"/>
      <c r="L500" s="77"/>
      <c r="M500" s="77"/>
      <c r="N500" s="86">
        <f>Table47[[#This Row],[Expected Revenue]]*Table47[[#This Row],[Probability]]</f>
        <v>0</v>
      </c>
      <c r="O500" s="78"/>
      <c r="P500" s="86">
        <f>Table47[[#This Row],[Expected Revenue]]*Table47[[#This Row],[Expected CMR]]</f>
        <v>0</v>
      </c>
      <c r="Q500" s="210"/>
    </row>
    <row r="501" spans="1:17" hidden="1">
      <c r="A501" s="173"/>
      <c r="B501" s="76"/>
      <c r="C501" s="77"/>
      <c r="D501" s="102"/>
      <c r="E501" s="77"/>
      <c r="F501" s="77"/>
      <c r="G501" s="77"/>
      <c r="H501" s="77"/>
      <c r="I501" s="76"/>
      <c r="J501" s="110"/>
      <c r="K501" s="77"/>
      <c r="L501" s="77"/>
      <c r="M501" s="77"/>
      <c r="N501" s="86">
        <f>Table47[[#This Row],[Expected Revenue]]*Table47[[#This Row],[Probability]]</f>
        <v>0</v>
      </c>
      <c r="O501" s="78"/>
      <c r="P501" s="86">
        <f>Table47[[#This Row],[Expected Revenue]]*Table47[[#This Row],[Expected CMR]]</f>
        <v>0</v>
      </c>
      <c r="Q501" s="210"/>
    </row>
    <row r="502" spans="1:17" hidden="1">
      <c r="A502" s="173"/>
      <c r="B502" s="76"/>
      <c r="C502" s="77"/>
      <c r="D502" s="102"/>
      <c r="E502" s="77"/>
      <c r="F502" s="77"/>
      <c r="G502" s="77"/>
      <c r="H502" s="77"/>
      <c r="I502" s="76"/>
      <c r="J502" s="110"/>
      <c r="K502" s="77"/>
      <c r="L502" s="77"/>
      <c r="M502" s="77"/>
      <c r="N502" s="86">
        <f>Table47[[#This Row],[Expected Revenue]]*Table47[[#This Row],[Probability]]</f>
        <v>0</v>
      </c>
      <c r="O502" s="78"/>
      <c r="P502" s="86">
        <f>Table47[[#This Row],[Expected Revenue]]*Table47[[#This Row],[Expected CMR]]</f>
        <v>0</v>
      </c>
      <c r="Q502" s="210"/>
    </row>
    <row r="503" spans="1:17" hidden="1">
      <c r="A503" s="173"/>
      <c r="B503" s="76"/>
      <c r="C503" s="77"/>
      <c r="D503" s="102"/>
      <c r="E503" s="77"/>
      <c r="F503" s="77"/>
      <c r="G503" s="77"/>
      <c r="H503" s="77"/>
      <c r="I503" s="76"/>
      <c r="J503" s="110"/>
      <c r="K503" s="77"/>
      <c r="L503" s="77"/>
      <c r="M503" s="77"/>
      <c r="N503" s="86">
        <f>Table47[[#This Row],[Expected Revenue]]*Table47[[#This Row],[Probability]]</f>
        <v>0</v>
      </c>
      <c r="O503" s="78"/>
      <c r="P503" s="86">
        <f>Table47[[#This Row],[Expected Revenue]]*Table47[[#This Row],[Expected CMR]]</f>
        <v>0</v>
      </c>
      <c r="Q503" s="210"/>
    </row>
    <row r="504" spans="1:17" hidden="1">
      <c r="A504" s="173"/>
      <c r="B504" s="76"/>
      <c r="C504" s="77"/>
      <c r="D504" s="102"/>
      <c r="E504" s="77"/>
      <c r="F504" s="77"/>
      <c r="G504" s="77"/>
      <c r="H504" s="77"/>
      <c r="I504" s="76"/>
      <c r="J504" s="110"/>
      <c r="K504" s="77"/>
      <c r="L504" s="77"/>
      <c r="M504" s="77"/>
      <c r="N504" s="86">
        <f>Table47[[#This Row],[Expected Revenue]]*Table47[[#This Row],[Probability]]</f>
        <v>0</v>
      </c>
      <c r="O504" s="78"/>
      <c r="P504" s="86">
        <f>Table47[[#This Row],[Expected Revenue]]*Table47[[#This Row],[Expected CMR]]</f>
        <v>0</v>
      </c>
      <c r="Q504" s="210"/>
    </row>
    <row r="505" spans="1:17" hidden="1">
      <c r="A505" s="173"/>
      <c r="B505" s="76"/>
      <c r="C505" s="77"/>
      <c r="D505" s="102"/>
      <c r="E505" s="77"/>
      <c r="F505" s="77"/>
      <c r="G505" s="77"/>
      <c r="H505" s="77"/>
      <c r="I505" s="76"/>
      <c r="J505" s="110"/>
      <c r="K505" s="77"/>
      <c r="L505" s="77"/>
      <c r="M505" s="77"/>
      <c r="N505" s="86">
        <f>Table47[[#This Row],[Expected Revenue]]*Table47[[#This Row],[Probability]]</f>
        <v>0</v>
      </c>
      <c r="O505" s="78"/>
      <c r="P505" s="86">
        <f>Table47[[#This Row],[Expected Revenue]]*Table47[[#This Row],[Expected CMR]]</f>
        <v>0</v>
      </c>
      <c r="Q505" s="210"/>
    </row>
    <row r="506" spans="1:17" hidden="1">
      <c r="A506" s="173"/>
      <c r="B506" s="76"/>
      <c r="C506" s="77"/>
      <c r="D506" s="102"/>
      <c r="E506" s="77"/>
      <c r="F506" s="77"/>
      <c r="G506" s="77"/>
      <c r="H506" s="77"/>
      <c r="I506" s="76"/>
      <c r="J506" s="110"/>
      <c r="K506" s="77"/>
      <c r="L506" s="77"/>
      <c r="M506" s="77"/>
      <c r="N506" s="86">
        <f>Table47[[#This Row],[Expected Revenue]]*Table47[[#This Row],[Probability]]</f>
        <v>0</v>
      </c>
      <c r="O506" s="78"/>
      <c r="P506" s="86">
        <f>Table47[[#This Row],[Expected Revenue]]*Table47[[#This Row],[Expected CMR]]</f>
        <v>0</v>
      </c>
      <c r="Q506" s="210"/>
    </row>
    <row r="507" spans="1:17" hidden="1">
      <c r="A507" s="173"/>
      <c r="B507" s="76"/>
      <c r="C507" s="77"/>
      <c r="D507" s="102"/>
      <c r="E507" s="77"/>
      <c r="F507" s="77"/>
      <c r="G507" s="77"/>
      <c r="H507" s="77"/>
      <c r="I507" s="76"/>
      <c r="J507" s="110"/>
      <c r="K507" s="77"/>
      <c r="L507" s="77"/>
      <c r="M507" s="77"/>
      <c r="N507" s="86">
        <f>Table47[[#This Row],[Expected Revenue]]*Table47[[#This Row],[Probability]]</f>
        <v>0</v>
      </c>
      <c r="O507" s="78"/>
      <c r="P507" s="86">
        <f>Table47[[#This Row],[Expected Revenue]]*Table47[[#This Row],[Expected CMR]]</f>
        <v>0</v>
      </c>
      <c r="Q507" s="210"/>
    </row>
    <row r="508" spans="1:17" hidden="1">
      <c r="A508" s="173"/>
      <c r="B508" s="76"/>
      <c r="C508" s="77"/>
      <c r="D508" s="102"/>
      <c r="E508" s="77"/>
      <c r="F508" s="77"/>
      <c r="G508" s="77"/>
      <c r="H508" s="77"/>
      <c r="I508" s="76"/>
      <c r="J508" s="110"/>
      <c r="K508" s="77"/>
      <c r="L508" s="77"/>
      <c r="M508" s="77"/>
      <c r="N508" s="86">
        <f>Table47[[#This Row],[Expected Revenue]]*Table47[[#This Row],[Probability]]</f>
        <v>0</v>
      </c>
      <c r="O508" s="78"/>
      <c r="P508" s="86">
        <f>Table47[[#This Row],[Expected Revenue]]*Table47[[#This Row],[Expected CMR]]</f>
        <v>0</v>
      </c>
      <c r="Q508" s="210"/>
    </row>
    <row r="509" spans="1:17" hidden="1">
      <c r="A509" s="173"/>
      <c r="B509" s="76"/>
      <c r="C509" s="77"/>
      <c r="D509" s="102"/>
      <c r="E509" s="77"/>
      <c r="F509" s="77"/>
      <c r="G509" s="77"/>
      <c r="H509" s="77"/>
      <c r="I509" s="76"/>
      <c r="J509" s="110"/>
      <c r="K509" s="77"/>
      <c r="L509" s="77"/>
      <c r="M509" s="77"/>
      <c r="N509" s="86">
        <f>Table47[[#This Row],[Expected Revenue]]*Table47[[#This Row],[Probability]]</f>
        <v>0</v>
      </c>
      <c r="O509" s="78"/>
      <c r="P509" s="86">
        <f>Table47[[#This Row],[Expected Revenue]]*Table47[[#This Row],[Expected CMR]]</f>
        <v>0</v>
      </c>
      <c r="Q509" s="210"/>
    </row>
    <row r="510" spans="1:17" hidden="1">
      <c r="A510" s="173"/>
      <c r="B510" s="76"/>
      <c r="C510" s="77"/>
      <c r="D510" s="102"/>
      <c r="E510" s="77"/>
      <c r="F510" s="77"/>
      <c r="G510" s="77"/>
      <c r="H510" s="77"/>
      <c r="I510" s="76"/>
      <c r="J510" s="110"/>
      <c r="K510" s="77"/>
      <c r="L510" s="77"/>
      <c r="M510" s="77"/>
      <c r="N510" s="86">
        <f>Table47[[#This Row],[Expected Revenue]]*Table47[[#This Row],[Probability]]</f>
        <v>0</v>
      </c>
      <c r="O510" s="78"/>
      <c r="P510" s="86">
        <f>Table47[[#This Row],[Expected Revenue]]*Table47[[#This Row],[Expected CMR]]</f>
        <v>0</v>
      </c>
      <c r="Q510" s="210"/>
    </row>
    <row r="511" spans="1:17" hidden="1">
      <c r="A511" s="173"/>
      <c r="B511" s="76"/>
      <c r="C511" s="77"/>
      <c r="D511" s="102"/>
      <c r="E511" s="77"/>
      <c r="F511" s="77"/>
      <c r="G511" s="77"/>
      <c r="H511" s="77"/>
      <c r="I511" s="76"/>
      <c r="J511" s="110"/>
      <c r="K511" s="77"/>
      <c r="L511" s="77"/>
      <c r="M511" s="77"/>
      <c r="N511" s="86">
        <f>Table47[[#This Row],[Expected Revenue]]*Table47[[#This Row],[Probability]]</f>
        <v>0</v>
      </c>
      <c r="O511" s="78"/>
      <c r="P511" s="86">
        <f>Table47[[#This Row],[Expected Revenue]]*Table47[[#This Row],[Expected CMR]]</f>
        <v>0</v>
      </c>
      <c r="Q511" s="210"/>
    </row>
    <row r="512" spans="1:17" hidden="1">
      <c r="A512" s="173"/>
      <c r="B512" s="76"/>
      <c r="C512" s="77"/>
      <c r="D512" s="102"/>
      <c r="E512" s="77"/>
      <c r="F512" s="77"/>
      <c r="G512" s="77"/>
      <c r="H512" s="77"/>
      <c r="I512" s="76"/>
      <c r="J512" s="110"/>
      <c r="K512" s="77"/>
      <c r="L512" s="77"/>
      <c r="M512" s="77"/>
      <c r="N512" s="86">
        <f>Table47[[#This Row],[Expected Revenue]]*Table47[[#This Row],[Probability]]</f>
        <v>0</v>
      </c>
      <c r="O512" s="78"/>
      <c r="P512" s="86">
        <f>Table47[[#This Row],[Expected Revenue]]*Table47[[#This Row],[Expected CMR]]</f>
        <v>0</v>
      </c>
      <c r="Q512" s="210"/>
    </row>
    <row r="513" spans="1:17" hidden="1">
      <c r="A513" s="173"/>
      <c r="B513" s="76"/>
      <c r="C513" s="77"/>
      <c r="D513" s="102"/>
      <c r="E513" s="77"/>
      <c r="F513" s="77"/>
      <c r="G513" s="77"/>
      <c r="H513" s="77"/>
      <c r="I513" s="76"/>
      <c r="J513" s="110"/>
      <c r="K513" s="77"/>
      <c r="L513" s="77"/>
      <c r="M513" s="77"/>
      <c r="N513" s="86">
        <f>Table47[[#This Row],[Expected Revenue]]*Table47[[#This Row],[Probability]]</f>
        <v>0</v>
      </c>
      <c r="O513" s="78"/>
      <c r="P513" s="86">
        <f>Table47[[#This Row],[Expected Revenue]]*Table47[[#This Row],[Expected CMR]]</f>
        <v>0</v>
      </c>
      <c r="Q513" s="210"/>
    </row>
    <row r="514" spans="1:17" hidden="1">
      <c r="A514" s="173"/>
      <c r="B514" s="76"/>
      <c r="C514" s="77"/>
      <c r="D514" s="102"/>
      <c r="E514" s="77"/>
      <c r="F514" s="77"/>
      <c r="G514" s="77"/>
      <c r="H514" s="77"/>
      <c r="I514" s="76"/>
      <c r="J514" s="110"/>
      <c r="K514" s="77"/>
      <c r="L514" s="77"/>
      <c r="M514" s="77"/>
      <c r="N514" s="86">
        <f>Table47[[#This Row],[Expected Revenue]]*Table47[[#This Row],[Probability]]</f>
        <v>0</v>
      </c>
      <c r="O514" s="78"/>
      <c r="P514" s="86">
        <f>Table47[[#This Row],[Expected Revenue]]*Table47[[#This Row],[Expected CMR]]</f>
        <v>0</v>
      </c>
      <c r="Q514" s="210"/>
    </row>
    <row r="515" spans="1:17" hidden="1">
      <c r="A515" s="173"/>
      <c r="B515" s="76"/>
      <c r="C515" s="77"/>
      <c r="D515" s="102"/>
      <c r="E515" s="77"/>
      <c r="F515" s="77"/>
      <c r="G515" s="77"/>
      <c r="H515" s="77"/>
      <c r="I515" s="76"/>
      <c r="J515" s="110"/>
      <c r="K515" s="77"/>
      <c r="L515" s="77"/>
      <c r="M515" s="77"/>
      <c r="N515" s="86">
        <f>Table47[[#This Row],[Expected Revenue]]*Table47[[#This Row],[Probability]]</f>
        <v>0</v>
      </c>
      <c r="O515" s="78"/>
      <c r="P515" s="86">
        <f>Table47[[#This Row],[Expected Revenue]]*Table47[[#This Row],[Expected CMR]]</f>
        <v>0</v>
      </c>
      <c r="Q515" s="210"/>
    </row>
    <row r="516" spans="1:17" hidden="1">
      <c r="A516" s="173"/>
      <c r="B516" s="76"/>
      <c r="C516" s="77"/>
      <c r="D516" s="102"/>
      <c r="E516" s="77"/>
      <c r="F516" s="77"/>
      <c r="G516" s="77"/>
      <c r="H516" s="77"/>
      <c r="I516" s="76"/>
      <c r="J516" s="110"/>
      <c r="K516" s="77"/>
      <c r="L516" s="77"/>
      <c r="M516" s="77"/>
      <c r="N516" s="86">
        <f>Table47[[#This Row],[Expected Revenue]]*Table47[[#This Row],[Probability]]</f>
        <v>0</v>
      </c>
      <c r="O516" s="78"/>
      <c r="P516" s="86">
        <f>Table47[[#This Row],[Expected Revenue]]*Table47[[#This Row],[Expected CMR]]</f>
        <v>0</v>
      </c>
      <c r="Q516" s="210"/>
    </row>
    <row r="517" spans="1:17" hidden="1">
      <c r="A517" s="173"/>
      <c r="B517" s="76"/>
      <c r="C517" s="77"/>
      <c r="D517" s="102"/>
      <c r="E517" s="77"/>
      <c r="F517" s="77"/>
      <c r="G517" s="77"/>
      <c r="H517" s="77"/>
      <c r="I517" s="76"/>
      <c r="J517" s="110"/>
      <c r="K517" s="77"/>
      <c r="L517" s="77"/>
      <c r="M517" s="77"/>
      <c r="N517" s="86">
        <f>Table47[[#This Row],[Expected Revenue]]*Table47[[#This Row],[Probability]]</f>
        <v>0</v>
      </c>
      <c r="O517" s="78"/>
      <c r="P517" s="86">
        <f>Table47[[#This Row],[Expected Revenue]]*Table47[[#This Row],[Expected CMR]]</f>
        <v>0</v>
      </c>
      <c r="Q517" s="210"/>
    </row>
    <row r="518" spans="1:17" hidden="1">
      <c r="A518" s="173"/>
      <c r="B518" s="76"/>
      <c r="C518" s="77"/>
      <c r="D518" s="102"/>
      <c r="E518" s="77"/>
      <c r="F518" s="77"/>
      <c r="G518" s="77"/>
      <c r="H518" s="77"/>
      <c r="I518" s="76"/>
      <c r="J518" s="110"/>
      <c r="K518" s="77"/>
      <c r="L518" s="77"/>
      <c r="M518" s="77"/>
      <c r="N518" s="86">
        <f>Table47[[#This Row],[Expected Revenue]]*Table47[[#This Row],[Probability]]</f>
        <v>0</v>
      </c>
      <c r="O518" s="78"/>
      <c r="P518" s="86">
        <f>Table47[[#This Row],[Expected Revenue]]*Table47[[#This Row],[Expected CMR]]</f>
        <v>0</v>
      </c>
      <c r="Q518" s="210"/>
    </row>
    <row r="519" spans="1:17" hidden="1">
      <c r="A519" s="173"/>
      <c r="B519" s="76"/>
      <c r="C519" s="77"/>
      <c r="D519" s="102"/>
      <c r="E519" s="77"/>
      <c r="F519" s="77"/>
      <c r="G519" s="77"/>
      <c r="H519" s="77"/>
      <c r="I519" s="76"/>
      <c r="J519" s="110"/>
      <c r="K519" s="77"/>
      <c r="L519" s="77"/>
      <c r="M519" s="77"/>
      <c r="N519" s="86">
        <f>Table47[[#This Row],[Expected Revenue]]*Table47[[#This Row],[Probability]]</f>
        <v>0</v>
      </c>
      <c r="O519" s="78"/>
      <c r="P519" s="86">
        <f>Table47[[#This Row],[Expected Revenue]]*Table47[[#This Row],[Expected CMR]]</f>
        <v>0</v>
      </c>
      <c r="Q519" s="210"/>
    </row>
    <row r="520" spans="1:17" hidden="1">
      <c r="A520" s="173"/>
      <c r="B520" s="76"/>
      <c r="C520" s="77"/>
      <c r="D520" s="102"/>
      <c r="E520" s="77"/>
      <c r="F520" s="77"/>
      <c r="G520" s="77"/>
      <c r="H520" s="77"/>
      <c r="I520" s="76"/>
      <c r="J520" s="110"/>
      <c r="K520" s="77"/>
      <c r="L520" s="77"/>
      <c r="M520" s="77"/>
      <c r="N520" s="86">
        <f>Table47[[#This Row],[Expected Revenue]]*Table47[[#This Row],[Probability]]</f>
        <v>0</v>
      </c>
      <c r="O520" s="78"/>
      <c r="P520" s="86">
        <f>Table47[[#This Row],[Expected Revenue]]*Table47[[#This Row],[Expected CMR]]</f>
        <v>0</v>
      </c>
      <c r="Q520" s="210"/>
    </row>
    <row r="521" spans="1:17" hidden="1">
      <c r="A521" s="173"/>
      <c r="B521" s="76"/>
      <c r="C521" s="77"/>
      <c r="D521" s="102"/>
      <c r="E521" s="77"/>
      <c r="F521" s="77"/>
      <c r="G521" s="77"/>
      <c r="H521" s="77"/>
      <c r="I521" s="76"/>
      <c r="J521" s="110"/>
      <c r="K521" s="77"/>
      <c r="L521" s="77"/>
      <c r="M521" s="77"/>
      <c r="N521" s="86">
        <f>Table47[[#This Row],[Expected Revenue]]*Table47[[#This Row],[Probability]]</f>
        <v>0</v>
      </c>
      <c r="O521" s="78"/>
      <c r="P521" s="86">
        <f>Table47[[#This Row],[Expected Revenue]]*Table47[[#This Row],[Expected CMR]]</f>
        <v>0</v>
      </c>
      <c r="Q521" s="210"/>
    </row>
    <row r="522" spans="1:17" hidden="1">
      <c r="A522" s="173"/>
      <c r="B522" s="76"/>
      <c r="C522" s="77"/>
      <c r="D522" s="102"/>
      <c r="E522" s="77"/>
      <c r="F522" s="77"/>
      <c r="G522" s="77"/>
      <c r="H522" s="77"/>
      <c r="I522" s="76"/>
      <c r="J522" s="110"/>
      <c r="K522" s="77"/>
      <c r="L522" s="77"/>
      <c r="M522" s="77"/>
      <c r="N522" s="86">
        <f>Table47[[#This Row],[Expected Revenue]]*Table47[[#This Row],[Probability]]</f>
        <v>0</v>
      </c>
      <c r="O522" s="78"/>
      <c r="P522" s="86">
        <f>Table47[[#This Row],[Expected Revenue]]*Table47[[#This Row],[Expected CMR]]</f>
        <v>0</v>
      </c>
      <c r="Q522" s="210"/>
    </row>
    <row r="523" spans="1:17" hidden="1">
      <c r="A523" s="173"/>
      <c r="B523" s="76"/>
      <c r="C523" s="77"/>
      <c r="D523" s="102"/>
      <c r="E523" s="77"/>
      <c r="F523" s="77"/>
      <c r="G523" s="77"/>
      <c r="H523" s="77"/>
      <c r="I523" s="76"/>
      <c r="J523" s="110"/>
      <c r="K523" s="77"/>
      <c r="L523" s="77"/>
      <c r="M523" s="77"/>
      <c r="N523" s="86">
        <f>Table47[[#This Row],[Expected Revenue]]*Table47[[#This Row],[Probability]]</f>
        <v>0</v>
      </c>
      <c r="O523" s="78"/>
      <c r="P523" s="86">
        <f>Table47[[#This Row],[Expected Revenue]]*Table47[[#This Row],[Expected CMR]]</f>
        <v>0</v>
      </c>
      <c r="Q523" s="210"/>
    </row>
    <row r="524" spans="1:17" hidden="1">
      <c r="A524" s="173"/>
      <c r="B524" s="76"/>
      <c r="C524" s="77"/>
      <c r="D524" s="102"/>
      <c r="E524" s="77"/>
      <c r="F524" s="77"/>
      <c r="G524" s="77"/>
      <c r="H524" s="77"/>
      <c r="I524" s="76"/>
      <c r="J524" s="110"/>
      <c r="K524" s="77"/>
      <c r="L524" s="77"/>
      <c r="M524" s="77"/>
      <c r="N524" s="86">
        <f>Table47[[#This Row],[Expected Revenue]]*Table47[[#This Row],[Probability]]</f>
        <v>0</v>
      </c>
      <c r="O524" s="78"/>
      <c r="P524" s="86">
        <f>Table47[[#This Row],[Expected Revenue]]*Table47[[#This Row],[Expected CMR]]</f>
        <v>0</v>
      </c>
      <c r="Q524" s="210"/>
    </row>
    <row r="525" spans="1:17" hidden="1">
      <c r="A525" s="173"/>
      <c r="B525" s="76"/>
      <c r="C525" s="77"/>
      <c r="D525" s="102"/>
      <c r="E525" s="77"/>
      <c r="F525" s="77"/>
      <c r="G525" s="77"/>
      <c r="H525" s="77"/>
      <c r="I525" s="76"/>
      <c r="J525" s="110"/>
      <c r="K525" s="77"/>
      <c r="L525" s="77"/>
      <c r="M525" s="77"/>
      <c r="N525" s="86">
        <f>Table47[[#This Row],[Expected Revenue]]*Table47[[#This Row],[Probability]]</f>
        <v>0</v>
      </c>
      <c r="O525" s="78"/>
      <c r="P525" s="86">
        <f>Table47[[#This Row],[Expected Revenue]]*Table47[[#This Row],[Expected CMR]]</f>
        <v>0</v>
      </c>
      <c r="Q525" s="210"/>
    </row>
    <row r="526" spans="1:17" hidden="1">
      <c r="A526" s="173"/>
      <c r="B526" s="76"/>
      <c r="C526" s="77"/>
      <c r="D526" s="102"/>
      <c r="E526" s="77"/>
      <c r="F526" s="77"/>
      <c r="G526" s="77"/>
      <c r="H526" s="77"/>
      <c r="I526" s="76"/>
      <c r="J526" s="110"/>
      <c r="K526" s="77"/>
      <c r="L526" s="77"/>
      <c r="M526" s="77"/>
      <c r="N526" s="86">
        <f>Table47[[#This Row],[Expected Revenue]]*Table47[[#This Row],[Probability]]</f>
        <v>0</v>
      </c>
      <c r="O526" s="78"/>
      <c r="P526" s="86">
        <f>Table47[[#This Row],[Expected Revenue]]*Table47[[#This Row],[Expected CMR]]</f>
        <v>0</v>
      </c>
      <c r="Q526" s="210"/>
    </row>
    <row r="527" spans="1:17" hidden="1">
      <c r="A527" s="173"/>
      <c r="B527" s="76"/>
      <c r="C527" s="77"/>
      <c r="D527" s="102"/>
      <c r="E527" s="77"/>
      <c r="F527" s="77"/>
      <c r="G527" s="77"/>
      <c r="H527" s="77"/>
      <c r="I527" s="76"/>
      <c r="J527" s="110"/>
      <c r="K527" s="77"/>
      <c r="L527" s="77"/>
      <c r="M527" s="77"/>
      <c r="N527" s="86">
        <f>Table47[[#This Row],[Expected Revenue]]*Table47[[#This Row],[Probability]]</f>
        <v>0</v>
      </c>
      <c r="O527" s="78"/>
      <c r="P527" s="86">
        <f>Table47[[#This Row],[Expected Revenue]]*Table47[[#This Row],[Expected CMR]]</f>
        <v>0</v>
      </c>
      <c r="Q527" s="210"/>
    </row>
    <row r="528" spans="1:17" hidden="1">
      <c r="A528" s="173"/>
      <c r="B528" s="76"/>
      <c r="C528" s="77"/>
      <c r="D528" s="102"/>
      <c r="E528" s="77"/>
      <c r="F528" s="77"/>
      <c r="G528" s="77"/>
      <c r="H528" s="77"/>
      <c r="I528" s="76"/>
      <c r="J528" s="110"/>
      <c r="K528" s="77"/>
      <c r="L528" s="77"/>
      <c r="M528" s="77"/>
      <c r="N528" s="86">
        <f>Table47[[#This Row],[Expected Revenue]]*Table47[[#This Row],[Probability]]</f>
        <v>0</v>
      </c>
      <c r="O528" s="78"/>
      <c r="P528" s="86">
        <f>Table47[[#This Row],[Expected Revenue]]*Table47[[#This Row],[Expected CMR]]</f>
        <v>0</v>
      </c>
      <c r="Q528" s="210"/>
    </row>
    <row r="529" spans="1:17" hidden="1">
      <c r="A529" s="173"/>
      <c r="B529" s="76"/>
      <c r="C529" s="77"/>
      <c r="D529" s="102"/>
      <c r="E529" s="77"/>
      <c r="F529" s="77"/>
      <c r="G529" s="77"/>
      <c r="H529" s="77"/>
      <c r="I529" s="76"/>
      <c r="J529" s="110"/>
      <c r="K529" s="77"/>
      <c r="L529" s="77"/>
      <c r="M529" s="77"/>
      <c r="N529" s="86">
        <f>Table47[[#This Row],[Expected Revenue]]*Table47[[#This Row],[Probability]]</f>
        <v>0</v>
      </c>
      <c r="O529" s="78"/>
      <c r="P529" s="86">
        <f>Table47[[#This Row],[Expected Revenue]]*Table47[[#This Row],[Expected CMR]]</f>
        <v>0</v>
      </c>
      <c r="Q529" s="210"/>
    </row>
    <row r="530" spans="1:17" hidden="1">
      <c r="A530" s="173"/>
      <c r="B530" s="76"/>
      <c r="C530" s="77"/>
      <c r="D530" s="102"/>
      <c r="E530" s="77"/>
      <c r="F530" s="77"/>
      <c r="G530" s="77"/>
      <c r="H530" s="77"/>
      <c r="I530" s="76"/>
      <c r="J530" s="110"/>
      <c r="K530" s="77"/>
      <c r="L530" s="77"/>
      <c r="M530" s="77"/>
      <c r="N530" s="86">
        <f>Table47[[#This Row],[Expected Revenue]]*Table47[[#This Row],[Probability]]</f>
        <v>0</v>
      </c>
      <c r="O530" s="78"/>
      <c r="P530" s="86">
        <f>Table47[[#This Row],[Expected Revenue]]*Table47[[#This Row],[Expected CMR]]</f>
        <v>0</v>
      </c>
      <c r="Q530" s="210"/>
    </row>
    <row r="531" spans="1:17" hidden="1">
      <c r="A531" s="173"/>
      <c r="B531" s="76"/>
      <c r="C531" s="77"/>
      <c r="D531" s="102"/>
      <c r="E531" s="77"/>
      <c r="F531" s="77"/>
      <c r="G531" s="77"/>
      <c r="H531" s="77"/>
      <c r="I531" s="76"/>
      <c r="J531" s="110"/>
      <c r="K531" s="77"/>
      <c r="L531" s="77"/>
      <c r="M531" s="77"/>
      <c r="N531" s="86">
        <f>Table47[[#This Row],[Expected Revenue]]*Table47[[#This Row],[Probability]]</f>
        <v>0</v>
      </c>
      <c r="O531" s="78"/>
      <c r="P531" s="86">
        <f>Table47[[#This Row],[Expected Revenue]]*Table47[[#This Row],[Expected CMR]]</f>
        <v>0</v>
      </c>
      <c r="Q531" s="210"/>
    </row>
    <row r="532" spans="1:17" hidden="1">
      <c r="A532" s="173"/>
      <c r="B532" s="76"/>
      <c r="C532" s="77"/>
      <c r="D532" s="102"/>
      <c r="E532" s="77"/>
      <c r="F532" s="77"/>
      <c r="G532" s="77"/>
      <c r="H532" s="77"/>
      <c r="I532" s="76"/>
      <c r="J532" s="110"/>
      <c r="K532" s="77"/>
      <c r="L532" s="77"/>
      <c r="M532" s="77"/>
      <c r="N532" s="86">
        <f>Table47[[#This Row],[Expected Revenue]]*Table47[[#This Row],[Probability]]</f>
        <v>0</v>
      </c>
      <c r="O532" s="78"/>
      <c r="P532" s="86">
        <f>Table47[[#This Row],[Expected Revenue]]*Table47[[#This Row],[Expected CMR]]</f>
        <v>0</v>
      </c>
      <c r="Q532" s="210"/>
    </row>
    <row r="533" spans="1:17" hidden="1">
      <c r="A533" s="173"/>
      <c r="B533" s="76"/>
      <c r="C533" s="77"/>
      <c r="D533" s="102"/>
      <c r="E533" s="77"/>
      <c r="F533" s="77"/>
      <c r="G533" s="77"/>
      <c r="H533" s="77"/>
      <c r="I533" s="76"/>
      <c r="J533" s="110"/>
      <c r="K533" s="77"/>
      <c r="L533" s="77"/>
      <c r="M533" s="77"/>
      <c r="N533" s="86">
        <f>Table47[[#This Row],[Expected Revenue]]*Table47[[#This Row],[Probability]]</f>
        <v>0</v>
      </c>
      <c r="O533" s="78"/>
      <c r="P533" s="86">
        <f>Table47[[#This Row],[Expected Revenue]]*Table47[[#This Row],[Expected CMR]]</f>
        <v>0</v>
      </c>
      <c r="Q533" s="210"/>
    </row>
    <row r="534" spans="1:17" hidden="1">
      <c r="A534" s="173"/>
      <c r="B534" s="76"/>
      <c r="C534" s="77"/>
      <c r="D534" s="102"/>
      <c r="E534" s="77"/>
      <c r="F534" s="77"/>
      <c r="G534" s="77"/>
      <c r="H534" s="77"/>
      <c r="I534" s="76"/>
      <c r="J534" s="110"/>
      <c r="K534" s="77"/>
      <c r="L534" s="77"/>
      <c r="M534" s="77"/>
      <c r="N534" s="86">
        <f>Table47[[#This Row],[Expected Revenue]]*Table47[[#This Row],[Probability]]</f>
        <v>0</v>
      </c>
      <c r="O534" s="78"/>
      <c r="P534" s="86">
        <f>Table47[[#This Row],[Expected Revenue]]*Table47[[#This Row],[Expected CMR]]</f>
        <v>0</v>
      </c>
      <c r="Q534" s="210"/>
    </row>
    <row r="535" spans="1:17" hidden="1">
      <c r="A535" s="173"/>
      <c r="B535" s="76"/>
      <c r="C535" s="77"/>
      <c r="D535" s="102"/>
      <c r="E535" s="77"/>
      <c r="F535" s="77"/>
      <c r="G535" s="77"/>
      <c r="H535" s="77"/>
      <c r="I535" s="76"/>
      <c r="J535" s="110"/>
      <c r="K535" s="77"/>
      <c r="L535" s="77"/>
      <c r="M535" s="77"/>
      <c r="N535" s="86">
        <f>Table47[[#This Row],[Expected Revenue]]*Table47[[#This Row],[Probability]]</f>
        <v>0</v>
      </c>
      <c r="O535" s="78"/>
      <c r="P535" s="86">
        <f>Table47[[#This Row],[Expected Revenue]]*Table47[[#This Row],[Expected CMR]]</f>
        <v>0</v>
      </c>
      <c r="Q535" s="210"/>
    </row>
    <row r="536" spans="1:17" hidden="1">
      <c r="A536" s="173"/>
      <c r="B536" s="76"/>
      <c r="C536" s="77"/>
      <c r="D536" s="102"/>
      <c r="E536" s="77"/>
      <c r="F536" s="77"/>
      <c r="G536" s="77"/>
      <c r="H536" s="77"/>
      <c r="I536" s="76"/>
      <c r="J536" s="110"/>
      <c r="K536" s="77"/>
      <c r="L536" s="77"/>
      <c r="M536" s="77"/>
      <c r="N536" s="86">
        <f>Table47[[#This Row],[Expected Revenue]]*Table47[[#This Row],[Probability]]</f>
        <v>0</v>
      </c>
      <c r="O536" s="78"/>
      <c r="P536" s="86">
        <f>Table47[[#This Row],[Expected Revenue]]*Table47[[#This Row],[Expected CMR]]</f>
        <v>0</v>
      </c>
      <c r="Q536" s="210"/>
    </row>
    <row r="537" spans="1:17" hidden="1">
      <c r="A537" s="173"/>
      <c r="B537" s="76"/>
      <c r="C537" s="77"/>
      <c r="D537" s="102"/>
      <c r="E537" s="77"/>
      <c r="F537" s="77"/>
      <c r="G537" s="77"/>
      <c r="H537" s="77"/>
      <c r="I537" s="76"/>
      <c r="J537" s="110"/>
      <c r="K537" s="77"/>
      <c r="L537" s="77"/>
      <c r="M537" s="77"/>
      <c r="N537" s="86">
        <f>Table47[[#This Row],[Expected Revenue]]*Table47[[#This Row],[Probability]]</f>
        <v>0</v>
      </c>
      <c r="O537" s="78"/>
      <c r="P537" s="86">
        <f>Table47[[#This Row],[Expected Revenue]]*Table47[[#This Row],[Expected CMR]]</f>
        <v>0</v>
      </c>
      <c r="Q537" s="210"/>
    </row>
    <row r="538" spans="1:17" hidden="1">
      <c r="A538" s="173"/>
      <c r="B538" s="76"/>
      <c r="C538" s="77"/>
      <c r="D538" s="102"/>
      <c r="E538" s="77"/>
      <c r="F538" s="77"/>
      <c r="G538" s="77"/>
      <c r="H538" s="77"/>
      <c r="I538" s="76"/>
      <c r="J538" s="110"/>
      <c r="K538" s="77"/>
      <c r="L538" s="77"/>
      <c r="M538" s="77"/>
      <c r="N538" s="86">
        <f>Table47[[#This Row],[Expected Revenue]]*Table47[[#This Row],[Probability]]</f>
        <v>0</v>
      </c>
      <c r="O538" s="78"/>
      <c r="P538" s="86">
        <f>Table47[[#This Row],[Expected Revenue]]*Table47[[#This Row],[Expected CMR]]</f>
        <v>0</v>
      </c>
      <c r="Q538" s="210"/>
    </row>
    <row r="539" spans="1:17" hidden="1">
      <c r="A539" s="173"/>
      <c r="B539" s="76"/>
      <c r="C539" s="77"/>
      <c r="D539" s="102"/>
      <c r="E539" s="77"/>
      <c r="F539" s="77"/>
      <c r="G539" s="77"/>
      <c r="H539" s="77"/>
      <c r="I539" s="76"/>
      <c r="J539" s="110"/>
      <c r="K539" s="77"/>
      <c r="L539" s="77"/>
      <c r="M539" s="77"/>
      <c r="N539" s="86">
        <f>Table47[[#This Row],[Expected Revenue]]*Table47[[#This Row],[Probability]]</f>
        <v>0</v>
      </c>
      <c r="O539" s="78"/>
      <c r="P539" s="86">
        <f>Table47[[#This Row],[Expected Revenue]]*Table47[[#This Row],[Expected CMR]]</f>
        <v>0</v>
      </c>
      <c r="Q539" s="210"/>
    </row>
    <row r="540" spans="1:17" hidden="1">
      <c r="A540" s="173"/>
      <c r="B540" s="76"/>
      <c r="C540" s="77"/>
      <c r="D540" s="102"/>
      <c r="E540" s="77"/>
      <c r="F540" s="77"/>
      <c r="G540" s="77"/>
      <c r="H540" s="77"/>
      <c r="I540" s="76"/>
      <c r="J540" s="110"/>
      <c r="K540" s="77"/>
      <c r="L540" s="77"/>
      <c r="M540" s="77"/>
      <c r="N540" s="86">
        <f>Table47[[#This Row],[Expected Revenue]]*Table47[[#This Row],[Probability]]</f>
        <v>0</v>
      </c>
      <c r="O540" s="78"/>
      <c r="P540" s="86">
        <f>Table47[[#This Row],[Expected Revenue]]*Table47[[#This Row],[Expected CMR]]</f>
        <v>0</v>
      </c>
      <c r="Q540" s="210"/>
    </row>
    <row r="541" spans="1:17" hidden="1">
      <c r="A541" s="173"/>
      <c r="B541" s="76"/>
      <c r="C541" s="77"/>
      <c r="D541" s="102"/>
      <c r="E541" s="77"/>
      <c r="F541" s="77"/>
      <c r="G541" s="77"/>
      <c r="H541" s="77"/>
      <c r="I541" s="76"/>
      <c r="J541" s="110"/>
      <c r="K541" s="77"/>
      <c r="L541" s="77"/>
      <c r="M541" s="77"/>
      <c r="N541" s="86">
        <f>Table47[[#This Row],[Expected Revenue]]*Table47[[#This Row],[Probability]]</f>
        <v>0</v>
      </c>
      <c r="O541" s="78"/>
      <c r="P541" s="86">
        <f>Table47[[#This Row],[Expected Revenue]]*Table47[[#This Row],[Expected CMR]]</f>
        <v>0</v>
      </c>
      <c r="Q541" s="210"/>
    </row>
    <row r="542" spans="1:17" hidden="1">
      <c r="A542" s="173"/>
      <c r="B542" s="76"/>
      <c r="C542" s="77"/>
      <c r="D542" s="102"/>
      <c r="E542" s="77"/>
      <c r="F542" s="77"/>
      <c r="G542" s="77"/>
      <c r="H542" s="77"/>
      <c r="I542" s="76"/>
      <c r="J542" s="110"/>
      <c r="K542" s="77"/>
      <c r="L542" s="77"/>
      <c r="M542" s="77"/>
      <c r="N542" s="86">
        <f>Table47[[#This Row],[Expected Revenue]]*Table47[[#This Row],[Probability]]</f>
        <v>0</v>
      </c>
      <c r="O542" s="78"/>
      <c r="P542" s="86">
        <f>Table47[[#This Row],[Expected Revenue]]*Table47[[#This Row],[Expected CMR]]</f>
        <v>0</v>
      </c>
      <c r="Q542" s="210"/>
    </row>
    <row r="543" spans="1:17" hidden="1">
      <c r="A543" s="173"/>
      <c r="B543" s="76"/>
      <c r="C543" s="77"/>
      <c r="D543" s="102"/>
      <c r="E543" s="77"/>
      <c r="F543" s="77"/>
      <c r="G543" s="77"/>
      <c r="H543" s="77"/>
      <c r="I543" s="76"/>
      <c r="J543" s="110"/>
      <c r="K543" s="77"/>
      <c r="L543" s="77"/>
      <c r="M543" s="77"/>
      <c r="N543" s="86">
        <f>Table47[[#This Row],[Expected Revenue]]*Table47[[#This Row],[Probability]]</f>
        <v>0</v>
      </c>
      <c r="O543" s="78"/>
      <c r="P543" s="86">
        <f>Table47[[#This Row],[Expected Revenue]]*Table47[[#This Row],[Expected CMR]]</f>
        <v>0</v>
      </c>
      <c r="Q543" s="210"/>
    </row>
    <row r="544" spans="1:17" hidden="1">
      <c r="A544" s="173"/>
      <c r="B544" s="76"/>
      <c r="C544" s="77"/>
      <c r="D544" s="102"/>
      <c r="E544" s="77"/>
      <c r="F544" s="77"/>
      <c r="G544" s="77"/>
      <c r="H544" s="77"/>
      <c r="I544" s="76"/>
      <c r="J544" s="110"/>
      <c r="K544" s="77"/>
      <c r="L544" s="77"/>
      <c r="M544" s="77"/>
      <c r="N544" s="86">
        <f>Table47[[#This Row],[Expected Revenue]]*Table47[[#This Row],[Probability]]</f>
        <v>0</v>
      </c>
      <c r="O544" s="78"/>
      <c r="P544" s="86">
        <f>Table47[[#This Row],[Expected Revenue]]*Table47[[#This Row],[Expected CMR]]</f>
        <v>0</v>
      </c>
      <c r="Q544" s="210"/>
    </row>
    <row r="545" spans="1:17" hidden="1">
      <c r="A545" s="173"/>
      <c r="B545" s="76"/>
      <c r="C545" s="77"/>
      <c r="D545" s="102"/>
      <c r="E545" s="77"/>
      <c r="F545" s="77"/>
      <c r="G545" s="77"/>
      <c r="H545" s="77"/>
      <c r="I545" s="76"/>
      <c r="J545" s="110"/>
      <c r="K545" s="77"/>
      <c r="L545" s="77"/>
      <c r="M545" s="77"/>
      <c r="N545" s="86">
        <f>Table47[[#This Row],[Expected Revenue]]*Table47[[#This Row],[Probability]]</f>
        <v>0</v>
      </c>
      <c r="O545" s="78"/>
      <c r="P545" s="86">
        <f>Table47[[#This Row],[Expected Revenue]]*Table47[[#This Row],[Expected CMR]]</f>
        <v>0</v>
      </c>
      <c r="Q545" s="210"/>
    </row>
    <row r="546" spans="1:17" hidden="1">
      <c r="A546" s="173"/>
      <c r="B546" s="76"/>
      <c r="C546" s="77"/>
      <c r="D546" s="102"/>
      <c r="E546" s="77"/>
      <c r="F546" s="77"/>
      <c r="G546" s="77"/>
      <c r="H546" s="77"/>
      <c r="I546" s="76"/>
      <c r="J546" s="110"/>
      <c r="K546" s="77"/>
      <c r="L546" s="77"/>
      <c r="M546" s="77"/>
      <c r="N546" s="86">
        <f>Table47[[#This Row],[Expected Revenue]]*Table47[[#This Row],[Probability]]</f>
        <v>0</v>
      </c>
      <c r="O546" s="78"/>
      <c r="P546" s="86">
        <f>Table47[[#This Row],[Expected Revenue]]*Table47[[#This Row],[Expected CMR]]</f>
        <v>0</v>
      </c>
      <c r="Q546" s="210"/>
    </row>
    <row r="547" spans="1:17" hidden="1">
      <c r="A547" s="173"/>
      <c r="B547" s="76"/>
      <c r="C547" s="77"/>
      <c r="D547" s="102"/>
      <c r="E547" s="77"/>
      <c r="F547" s="77"/>
      <c r="G547" s="77"/>
      <c r="H547" s="77"/>
      <c r="I547" s="76"/>
      <c r="J547" s="110"/>
      <c r="K547" s="77"/>
      <c r="L547" s="77"/>
      <c r="M547" s="77"/>
      <c r="N547" s="86">
        <f>Table47[[#This Row],[Expected Revenue]]*Table47[[#This Row],[Probability]]</f>
        <v>0</v>
      </c>
      <c r="O547" s="78"/>
      <c r="P547" s="86">
        <f>Table47[[#This Row],[Expected Revenue]]*Table47[[#This Row],[Expected CMR]]</f>
        <v>0</v>
      </c>
      <c r="Q547" s="210"/>
    </row>
    <row r="548" spans="1:17" hidden="1">
      <c r="A548" s="173"/>
      <c r="B548" s="76"/>
      <c r="C548" s="77"/>
      <c r="D548" s="102"/>
      <c r="E548" s="77"/>
      <c r="F548" s="77"/>
      <c r="G548" s="77"/>
      <c r="H548" s="77"/>
      <c r="I548" s="76"/>
      <c r="J548" s="110"/>
      <c r="K548" s="77"/>
      <c r="L548" s="77"/>
      <c r="M548" s="77"/>
      <c r="N548" s="86">
        <f>Table47[[#This Row],[Expected Revenue]]*Table47[[#This Row],[Probability]]</f>
        <v>0</v>
      </c>
      <c r="O548" s="78"/>
      <c r="P548" s="86">
        <f>Table47[[#This Row],[Expected Revenue]]*Table47[[#This Row],[Expected CMR]]</f>
        <v>0</v>
      </c>
      <c r="Q548" s="210"/>
    </row>
    <row r="549" spans="1:17" hidden="1">
      <c r="A549" s="173"/>
      <c r="B549" s="76"/>
      <c r="C549" s="77"/>
      <c r="D549" s="102"/>
      <c r="E549" s="77"/>
      <c r="F549" s="77"/>
      <c r="G549" s="77"/>
      <c r="H549" s="77"/>
      <c r="I549" s="76"/>
      <c r="J549" s="110"/>
      <c r="K549" s="77"/>
      <c r="L549" s="77"/>
      <c r="M549" s="77"/>
      <c r="N549" s="86">
        <f>Table47[[#This Row],[Expected Revenue]]*Table47[[#This Row],[Probability]]</f>
        <v>0</v>
      </c>
      <c r="O549" s="78"/>
      <c r="P549" s="86">
        <f>Table47[[#This Row],[Expected Revenue]]*Table47[[#This Row],[Expected CMR]]</f>
        <v>0</v>
      </c>
      <c r="Q549" s="210"/>
    </row>
    <row r="550" spans="1:17" hidden="1">
      <c r="A550" s="173"/>
      <c r="B550" s="76"/>
      <c r="C550" s="77"/>
      <c r="D550" s="102"/>
      <c r="E550" s="77"/>
      <c r="F550" s="77"/>
      <c r="G550" s="77"/>
      <c r="H550" s="77"/>
      <c r="I550" s="76"/>
      <c r="J550" s="110"/>
      <c r="K550" s="77"/>
      <c r="L550" s="77"/>
      <c r="M550" s="77"/>
      <c r="N550" s="86">
        <f>Table47[[#This Row],[Expected Revenue]]*Table47[[#This Row],[Probability]]</f>
        <v>0</v>
      </c>
      <c r="O550" s="78"/>
      <c r="P550" s="86">
        <f>Table47[[#This Row],[Expected Revenue]]*Table47[[#This Row],[Expected CMR]]</f>
        <v>0</v>
      </c>
      <c r="Q550" s="210"/>
    </row>
    <row r="551" spans="1:17" hidden="1">
      <c r="A551" s="173"/>
      <c r="B551" s="76"/>
      <c r="C551" s="77"/>
      <c r="D551" s="102"/>
      <c r="E551" s="77"/>
      <c r="F551" s="77"/>
      <c r="G551" s="77"/>
      <c r="H551" s="77"/>
      <c r="I551" s="76"/>
      <c r="J551" s="110"/>
      <c r="K551" s="77"/>
      <c r="L551" s="77"/>
      <c r="M551" s="77"/>
      <c r="N551" s="86">
        <f>Table47[[#This Row],[Expected Revenue]]*Table47[[#This Row],[Probability]]</f>
        <v>0</v>
      </c>
      <c r="O551" s="78"/>
      <c r="P551" s="86">
        <f>Table47[[#This Row],[Expected Revenue]]*Table47[[#This Row],[Expected CMR]]</f>
        <v>0</v>
      </c>
      <c r="Q551" s="210"/>
    </row>
    <row r="552" spans="1:17" hidden="1">
      <c r="A552" s="173"/>
      <c r="B552" s="76"/>
      <c r="C552" s="77"/>
      <c r="D552" s="102"/>
      <c r="E552" s="77"/>
      <c r="F552" s="77"/>
      <c r="G552" s="77"/>
      <c r="H552" s="77"/>
      <c r="I552" s="76"/>
      <c r="J552" s="110"/>
      <c r="K552" s="77"/>
      <c r="L552" s="77"/>
      <c r="M552" s="77"/>
      <c r="N552" s="86">
        <f>Table47[[#This Row],[Expected Revenue]]*Table47[[#This Row],[Probability]]</f>
        <v>0</v>
      </c>
      <c r="O552" s="78"/>
      <c r="P552" s="86">
        <f>Table47[[#This Row],[Expected Revenue]]*Table47[[#This Row],[Expected CMR]]</f>
        <v>0</v>
      </c>
      <c r="Q552" s="210"/>
    </row>
    <row r="553" spans="1:17" hidden="1">
      <c r="A553" s="173"/>
      <c r="B553" s="76"/>
      <c r="C553" s="77"/>
      <c r="D553" s="102"/>
      <c r="E553" s="77"/>
      <c r="F553" s="77"/>
      <c r="G553" s="77"/>
      <c r="H553" s="77"/>
      <c r="I553" s="76"/>
      <c r="J553" s="110"/>
      <c r="K553" s="77"/>
      <c r="L553" s="77"/>
      <c r="M553" s="77"/>
      <c r="N553" s="86">
        <f>Table47[[#This Row],[Expected Revenue]]*Table47[[#This Row],[Probability]]</f>
        <v>0</v>
      </c>
      <c r="O553" s="78"/>
      <c r="P553" s="86">
        <f>Table47[[#This Row],[Expected Revenue]]*Table47[[#This Row],[Expected CMR]]</f>
        <v>0</v>
      </c>
      <c r="Q553" s="210"/>
    </row>
    <row r="554" spans="1:17" hidden="1">
      <c r="A554" s="173"/>
      <c r="B554" s="76"/>
      <c r="C554" s="77"/>
      <c r="D554" s="102"/>
      <c r="E554" s="77"/>
      <c r="F554" s="77"/>
      <c r="G554" s="77"/>
      <c r="H554" s="77"/>
      <c r="I554" s="76"/>
      <c r="J554" s="110"/>
      <c r="K554" s="77"/>
      <c r="L554" s="77"/>
      <c r="M554" s="77"/>
      <c r="N554" s="86">
        <f>Table47[[#This Row],[Expected Revenue]]*Table47[[#This Row],[Probability]]</f>
        <v>0</v>
      </c>
      <c r="O554" s="78"/>
      <c r="P554" s="86">
        <f>Table47[[#This Row],[Expected Revenue]]*Table47[[#This Row],[Expected CMR]]</f>
        <v>0</v>
      </c>
      <c r="Q554" s="210"/>
    </row>
    <row r="555" spans="1:17" hidden="1">
      <c r="A555" s="173"/>
      <c r="B555" s="76"/>
      <c r="C555" s="77"/>
      <c r="D555" s="102"/>
      <c r="E555" s="77"/>
      <c r="F555" s="77"/>
      <c r="G555" s="77"/>
      <c r="H555" s="77"/>
      <c r="I555" s="76"/>
      <c r="J555" s="110"/>
      <c r="K555" s="77"/>
      <c r="L555" s="77"/>
      <c r="M555" s="77"/>
      <c r="N555" s="86">
        <f>Table47[[#This Row],[Expected Revenue]]*Table47[[#This Row],[Probability]]</f>
        <v>0</v>
      </c>
      <c r="O555" s="78"/>
      <c r="P555" s="86">
        <f>Table47[[#This Row],[Expected Revenue]]*Table47[[#This Row],[Expected CMR]]</f>
        <v>0</v>
      </c>
      <c r="Q555" s="210"/>
    </row>
    <row r="556" spans="1:17" hidden="1">
      <c r="A556" s="173"/>
      <c r="B556" s="76"/>
      <c r="C556" s="77"/>
      <c r="D556" s="102"/>
      <c r="E556" s="77"/>
      <c r="F556" s="77"/>
      <c r="G556" s="77"/>
      <c r="H556" s="77"/>
      <c r="I556" s="76"/>
      <c r="J556" s="110"/>
      <c r="K556" s="77"/>
      <c r="L556" s="77"/>
      <c r="M556" s="77"/>
      <c r="N556" s="86">
        <f>Table47[[#This Row],[Expected Revenue]]*Table47[[#This Row],[Probability]]</f>
        <v>0</v>
      </c>
      <c r="O556" s="78"/>
      <c r="P556" s="86">
        <f>Table47[[#This Row],[Expected Revenue]]*Table47[[#This Row],[Expected CMR]]</f>
        <v>0</v>
      </c>
      <c r="Q556" s="210"/>
    </row>
    <row r="557" spans="1:17" hidden="1">
      <c r="A557" s="173"/>
      <c r="B557" s="76"/>
      <c r="C557" s="77"/>
      <c r="D557" s="102"/>
      <c r="E557" s="77"/>
      <c r="F557" s="77"/>
      <c r="G557" s="77"/>
      <c r="H557" s="77"/>
      <c r="I557" s="76"/>
      <c r="J557" s="110"/>
      <c r="K557" s="77"/>
      <c r="L557" s="77"/>
      <c r="M557" s="77"/>
      <c r="N557" s="86">
        <f>Table47[[#This Row],[Expected Revenue]]*Table47[[#This Row],[Probability]]</f>
        <v>0</v>
      </c>
      <c r="O557" s="78"/>
      <c r="P557" s="86">
        <f>Table47[[#This Row],[Expected Revenue]]*Table47[[#This Row],[Expected CMR]]</f>
        <v>0</v>
      </c>
      <c r="Q557" s="210"/>
    </row>
    <row r="558" spans="1:17" hidden="1">
      <c r="A558" s="173"/>
      <c r="B558" s="76"/>
      <c r="C558" s="77"/>
      <c r="D558" s="102"/>
      <c r="E558" s="77"/>
      <c r="F558" s="77"/>
      <c r="G558" s="77"/>
      <c r="H558" s="77"/>
      <c r="I558" s="76"/>
      <c r="J558" s="110"/>
      <c r="K558" s="77"/>
      <c r="L558" s="77"/>
      <c r="M558" s="77"/>
      <c r="N558" s="86">
        <f>Table47[[#This Row],[Expected Revenue]]*Table47[[#This Row],[Probability]]</f>
        <v>0</v>
      </c>
      <c r="O558" s="78"/>
      <c r="P558" s="86">
        <f>Table47[[#This Row],[Expected Revenue]]*Table47[[#This Row],[Expected CMR]]</f>
        <v>0</v>
      </c>
      <c r="Q558" s="210"/>
    </row>
    <row r="559" spans="1:17" hidden="1">
      <c r="A559" s="173"/>
      <c r="B559" s="76"/>
      <c r="C559" s="77"/>
      <c r="D559" s="102"/>
      <c r="E559" s="77"/>
      <c r="F559" s="77"/>
      <c r="G559" s="77"/>
      <c r="H559" s="77"/>
      <c r="I559" s="76"/>
      <c r="J559" s="110"/>
      <c r="K559" s="77"/>
      <c r="L559" s="77"/>
      <c r="M559" s="77"/>
      <c r="N559" s="86">
        <f>Table47[[#This Row],[Expected Revenue]]*Table47[[#This Row],[Probability]]</f>
        <v>0</v>
      </c>
      <c r="O559" s="78"/>
      <c r="P559" s="86">
        <f>Table47[[#This Row],[Expected Revenue]]*Table47[[#This Row],[Expected CMR]]</f>
        <v>0</v>
      </c>
      <c r="Q559" s="210"/>
    </row>
    <row r="560" spans="1:17" hidden="1">
      <c r="A560" s="173"/>
      <c r="B560" s="76"/>
      <c r="C560" s="77"/>
      <c r="D560" s="102"/>
      <c r="E560" s="77"/>
      <c r="F560" s="77"/>
      <c r="G560" s="77"/>
      <c r="H560" s="77"/>
      <c r="I560" s="76"/>
      <c r="J560" s="110"/>
      <c r="K560" s="77"/>
      <c r="L560" s="77"/>
      <c r="M560" s="77"/>
      <c r="N560" s="86">
        <f>Table47[[#This Row],[Expected Revenue]]*Table47[[#This Row],[Probability]]</f>
        <v>0</v>
      </c>
      <c r="O560" s="78"/>
      <c r="P560" s="86">
        <f>Table47[[#This Row],[Expected Revenue]]*Table47[[#This Row],[Expected CMR]]</f>
        <v>0</v>
      </c>
      <c r="Q560" s="210"/>
    </row>
    <row r="561" spans="1:17" hidden="1">
      <c r="A561" s="173"/>
      <c r="B561" s="76"/>
      <c r="C561" s="77"/>
      <c r="D561" s="102"/>
      <c r="E561" s="77"/>
      <c r="F561" s="77"/>
      <c r="G561" s="77"/>
      <c r="H561" s="77"/>
      <c r="I561" s="76"/>
      <c r="J561" s="110"/>
      <c r="K561" s="77"/>
      <c r="L561" s="77"/>
      <c r="M561" s="77"/>
      <c r="N561" s="86">
        <f>Table47[[#This Row],[Expected Revenue]]*Table47[[#This Row],[Probability]]</f>
        <v>0</v>
      </c>
      <c r="O561" s="78"/>
      <c r="P561" s="86">
        <f>Table47[[#This Row],[Expected Revenue]]*Table47[[#This Row],[Expected CMR]]</f>
        <v>0</v>
      </c>
      <c r="Q561" s="210"/>
    </row>
    <row r="562" spans="1:17" hidden="1">
      <c r="A562" s="173"/>
      <c r="B562" s="76"/>
      <c r="C562" s="77"/>
      <c r="D562" s="102"/>
      <c r="E562" s="77"/>
      <c r="F562" s="77"/>
      <c r="G562" s="77"/>
      <c r="H562" s="77"/>
      <c r="I562" s="76"/>
      <c r="J562" s="110"/>
      <c r="K562" s="77"/>
      <c r="L562" s="77"/>
      <c r="M562" s="77"/>
      <c r="N562" s="86">
        <f>Table47[[#This Row],[Expected Revenue]]*Table47[[#This Row],[Probability]]</f>
        <v>0</v>
      </c>
      <c r="O562" s="78"/>
      <c r="P562" s="86">
        <f>Table47[[#This Row],[Expected Revenue]]*Table47[[#This Row],[Expected CMR]]</f>
        <v>0</v>
      </c>
      <c r="Q562" s="210"/>
    </row>
    <row r="563" spans="1:17" hidden="1">
      <c r="A563" s="173"/>
      <c r="B563" s="76"/>
      <c r="C563" s="77"/>
      <c r="D563" s="102"/>
      <c r="E563" s="77"/>
      <c r="F563" s="77"/>
      <c r="G563" s="77"/>
      <c r="H563" s="77"/>
      <c r="I563" s="76"/>
      <c r="J563" s="110"/>
      <c r="K563" s="77"/>
      <c r="L563" s="77"/>
      <c r="M563" s="77"/>
      <c r="N563" s="86">
        <f>Table47[[#This Row],[Expected Revenue]]*Table47[[#This Row],[Probability]]</f>
        <v>0</v>
      </c>
      <c r="O563" s="78"/>
      <c r="P563" s="86">
        <f>Table47[[#This Row],[Expected Revenue]]*Table47[[#This Row],[Expected CMR]]</f>
        <v>0</v>
      </c>
      <c r="Q563" s="210"/>
    </row>
    <row r="564" spans="1:17" hidden="1">
      <c r="A564" s="173"/>
      <c r="B564" s="76"/>
      <c r="C564" s="77"/>
      <c r="D564" s="102"/>
      <c r="E564" s="77"/>
      <c r="F564" s="77"/>
      <c r="G564" s="77"/>
      <c r="H564" s="77"/>
      <c r="I564" s="76"/>
      <c r="J564" s="110"/>
      <c r="K564" s="77"/>
      <c r="L564" s="77"/>
      <c r="M564" s="77"/>
      <c r="N564" s="86">
        <f>Table47[[#This Row],[Expected Revenue]]*Table47[[#This Row],[Probability]]</f>
        <v>0</v>
      </c>
      <c r="O564" s="78"/>
      <c r="P564" s="86">
        <f>Table47[[#This Row],[Expected Revenue]]*Table47[[#This Row],[Expected CMR]]</f>
        <v>0</v>
      </c>
      <c r="Q564" s="210"/>
    </row>
    <row r="565" spans="1:17" hidden="1">
      <c r="A565" s="173"/>
      <c r="B565" s="76"/>
      <c r="C565" s="77"/>
      <c r="D565" s="102"/>
      <c r="E565" s="77"/>
      <c r="F565" s="77"/>
      <c r="G565" s="77"/>
      <c r="H565" s="77"/>
      <c r="I565" s="76"/>
      <c r="J565" s="110"/>
      <c r="K565" s="77"/>
      <c r="L565" s="77"/>
      <c r="M565" s="77"/>
      <c r="N565" s="86">
        <f>Table47[[#This Row],[Expected Revenue]]*Table47[[#This Row],[Probability]]</f>
        <v>0</v>
      </c>
      <c r="O565" s="78"/>
      <c r="P565" s="86">
        <f>Table47[[#This Row],[Expected Revenue]]*Table47[[#This Row],[Expected CMR]]</f>
        <v>0</v>
      </c>
      <c r="Q565" s="210"/>
    </row>
    <row r="566" spans="1:17" hidden="1">
      <c r="A566" s="173"/>
      <c r="B566" s="76"/>
      <c r="C566" s="77"/>
      <c r="D566" s="102"/>
      <c r="E566" s="77"/>
      <c r="F566" s="77"/>
      <c r="G566" s="77"/>
      <c r="H566" s="77"/>
      <c r="I566" s="76"/>
      <c r="J566" s="110"/>
      <c r="K566" s="77"/>
      <c r="L566" s="77"/>
      <c r="M566" s="77"/>
      <c r="N566" s="86">
        <f>Table47[[#This Row],[Expected Revenue]]*Table47[[#This Row],[Probability]]</f>
        <v>0</v>
      </c>
      <c r="O566" s="78"/>
      <c r="P566" s="86">
        <f>Table47[[#This Row],[Expected Revenue]]*Table47[[#This Row],[Expected CMR]]</f>
        <v>0</v>
      </c>
      <c r="Q566" s="210"/>
    </row>
    <row r="567" spans="1:17" hidden="1">
      <c r="A567" s="173"/>
      <c r="B567" s="76"/>
      <c r="C567" s="77"/>
      <c r="D567" s="102"/>
      <c r="E567" s="77"/>
      <c r="F567" s="77"/>
      <c r="G567" s="77"/>
      <c r="H567" s="77"/>
      <c r="I567" s="76"/>
      <c r="J567" s="110"/>
      <c r="K567" s="77"/>
      <c r="L567" s="77"/>
      <c r="M567" s="77"/>
      <c r="N567" s="86">
        <f>Table47[[#This Row],[Expected Revenue]]*Table47[[#This Row],[Probability]]</f>
        <v>0</v>
      </c>
      <c r="O567" s="78"/>
      <c r="P567" s="86">
        <f>Table47[[#This Row],[Expected Revenue]]*Table47[[#This Row],[Expected CMR]]</f>
        <v>0</v>
      </c>
      <c r="Q567" s="210"/>
    </row>
    <row r="568" spans="1:17" hidden="1">
      <c r="A568" s="173"/>
      <c r="B568" s="76"/>
      <c r="C568" s="77"/>
      <c r="D568" s="102"/>
      <c r="E568" s="77"/>
      <c r="F568" s="77"/>
      <c r="G568" s="77"/>
      <c r="H568" s="77"/>
      <c r="I568" s="76"/>
      <c r="J568" s="110"/>
      <c r="K568" s="77"/>
      <c r="L568" s="77"/>
      <c r="M568" s="77"/>
      <c r="N568" s="86">
        <f>Table47[[#This Row],[Expected Revenue]]*Table47[[#This Row],[Probability]]</f>
        <v>0</v>
      </c>
      <c r="O568" s="78"/>
      <c r="P568" s="86">
        <f>Table47[[#This Row],[Expected Revenue]]*Table47[[#This Row],[Expected CMR]]</f>
        <v>0</v>
      </c>
      <c r="Q568" s="210"/>
    </row>
    <row r="569" spans="1:17" hidden="1">
      <c r="A569" s="173"/>
      <c r="B569" s="76"/>
      <c r="C569" s="77"/>
      <c r="D569" s="102"/>
      <c r="E569" s="77"/>
      <c r="F569" s="77"/>
      <c r="G569" s="77"/>
      <c r="H569" s="77"/>
      <c r="I569" s="76"/>
      <c r="J569" s="110"/>
      <c r="K569" s="77"/>
      <c r="L569" s="77"/>
      <c r="M569" s="77"/>
      <c r="N569" s="86">
        <f>Table47[[#This Row],[Expected Revenue]]*Table47[[#This Row],[Probability]]</f>
        <v>0</v>
      </c>
      <c r="O569" s="78"/>
      <c r="P569" s="86">
        <f>Table47[[#This Row],[Expected Revenue]]*Table47[[#This Row],[Expected CMR]]</f>
        <v>0</v>
      </c>
      <c r="Q569" s="210"/>
    </row>
    <row r="570" spans="1:17" hidden="1">
      <c r="A570" s="173"/>
      <c r="B570" s="76"/>
      <c r="C570" s="77"/>
      <c r="D570" s="102"/>
      <c r="E570" s="77"/>
      <c r="F570" s="77"/>
      <c r="G570" s="77"/>
      <c r="H570" s="77"/>
      <c r="I570" s="76"/>
      <c r="J570" s="110"/>
      <c r="K570" s="77"/>
      <c r="L570" s="77"/>
      <c r="M570" s="77"/>
      <c r="N570" s="86">
        <f>Table47[[#This Row],[Expected Revenue]]*Table47[[#This Row],[Probability]]</f>
        <v>0</v>
      </c>
      <c r="O570" s="78"/>
      <c r="P570" s="86">
        <f>Table47[[#This Row],[Expected Revenue]]*Table47[[#This Row],[Expected CMR]]</f>
        <v>0</v>
      </c>
      <c r="Q570" s="210"/>
    </row>
    <row r="571" spans="1:17" hidden="1">
      <c r="A571" s="173"/>
      <c r="B571" s="76"/>
      <c r="C571" s="77"/>
      <c r="D571" s="102"/>
      <c r="E571" s="77"/>
      <c r="F571" s="77"/>
      <c r="G571" s="77"/>
      <c r="H571" s="77"/>
      <c r="I571" s="76"/>
      <c r="J571" s="110"/>
      <c r="K571" s="77"/>
      <c r="L571" s="77"/>
      <c r="M571" s="77"/>
      <c r="N571" s="86">
        <f>Table47[[#This Row],[Expected Revenue]]*Table47[[#This Row],[Probability]]</f>
        <v>0</v>
      </c>
      <c r="O571" s="78"/>
      <c r="P571" s="86">
        <f>Table47[[#This Row],[Expected Revenue]]*Table47[[#This Row],[Expected CMR]]</f>
        <v>0</v>
      </c>
      <c r="Q571" s="210"/>
    </row>
    <row r="572" spans="1:17" hidden="1">
      <c r="A572" s="173"/>
      <c r="B572" s="76"/>
      <c r="C572" s="77"/>
      <c r="D572" s="102"/>
      <c r="E572" s="77"/>
      <c r="F572" s="77"/>
      <c r="G572" s="77"/>
      <c r="H572" s="77"/>
      <c r="I572" s="76"/>
      <c r="J572" s="110"/>
      <c r="K572" s="77"/>
      <c r="L572" s="77"/>
      <c r="M572" s="77"/>
      <c r="N572" s="86">
        <f>Table47[[#This Row],[Expected Revenue]]*Table47[[#This Row],[Probability]]</f>
        <v>0</v>
      </c>
      <c r="O572" s="78"/>
      <c r="P572" s="86">
        <f>Table47[[#This Row],[Expected Revenue]]*Table47[[#This Row],[Expected CMR]]</f>
        <v>0</v>
      </c>
      <c r="Q572" s="210"/>
    </row>
    <row r="573" spans="1:17" hidden="1">
      <c r="A573" s="173"/>
      <c r="B573" s="76"/>
      <c r="C573" s="77"/>
      <c r="D573" s="102"/>
      <c r="E573" s="77"/>
      <c r="F573" s="77"/>
      <c r="G573" s="77"/>
      <c r="H573" s="77"/>
      <c r="I573" s="76"/>
      <c r="J573" s="110"/>
      <c r="K573" s="77"/>
      <c r="L573" s="77"/>
      <c r="M573" s="77"/>
      <c r="N573" s="86">
        <f>Table47[[#This Row],[Expected Revenue]]*Table47[[#This Row],[Probability]]</f>
        <v>0</v>
      </c>
      <c r="O573" s="78"/>
      <c r="P573" s="86">
        <f>Table47[[#This Row],[Expected Revenue]]*Table47[[#This Row],[Expected CMR]]</f>
        <v>0</v>
      </c>
      <c r="Q573" s="210"/>
    </row>
    <row r="574" spans="1:17" hidden="1">
      <c r="A574" s="173"/>
      <c r="B574" s="76"/>
      <c r="C574" s="77"/>
      <c r="D574" s="102"/>
      <c r="E574" s="77"/>
      <c r="F574" s="77"/>
      <c r="G574" s="77"/>
      <c r="H574" s="77"/>
      <c r="I574" s="76"/>
      <c r="J574" s="110"/>
      <c r="K574" s="77"/>
      <c r="L574" s="77"/>
      <c r="M574" s="77"/>
      <c r="N574" s="86">
        <f>Table47[[#This Row],[Expected Revenue]]*Table47[[#This Row],[Probability]]</f>
        <v>0</v>
      </c>
      <c r="O574" s="78"/>
      <c r="P574" s="86">
        <f>Table47[[#This Row],[Expected Revenue]]*Table47[[#This Row],[Expected CMR]]</f>
        <v>0</v>
      </c>
      <c r="Q574" s="210"/>
    </row>
    <row r="575" spans="1:17" hidden="1">
      <c r="A575" s="173"/>
      <c r="B575" s="76"/>
      <c r="C575" s="77"/>
      <c r="D575" s="102"/>
      <c r="E575" s="77"/>
      <c r="F575" s="77"/>
      <c r="G575" s="77"/>
      <c r="H575" s="77"/>
      <c r="I575" s="76"/>
      <c r="J575" s="110"/>
      <c r="K575" s="77"/>
      <c r="L575" s="77"/>
      <c r="M575" s="77"/>
      <c r="N575" s="86">
        <f>Table47[[#This Row],[Expected Revenue]]*Table47[[#This Row],[Probability]]</f>
        <v>0</v>
      </c>
      <c r="O575" s="78"/>
      <c r="P575" s="86">
        <f>Table47[[#This Row],[Expected Revenue]]*Table47[[#This Row],[Expected CMR]]</f>
        <v>0</v>
      </c>
      <c r="Q575" s="210"/>
    </row>
    <row r="576" spans="1:17" hidden="1">
      <c r="A576" s="173"/>
      <c r="B576" s="76"/>
      <c r="C576" s="77"/>
      <c r="D576" s="102"/>
      <c r="E576" s="77"/>
      <c r="F576" s="77"/>
      <c r="G576" s="77"/>
      <c r="H576" s="77"/>
      <c r="I576" s="76"/>
      <c r="J576" s="110"/>
      <c r="K576" s="77"/>
      <c r="L576" s="77"/>
      <c r="M576" s="77"/>
      <c r="N576" s="86">
        <f>Table47[[#This Row],[Expected Revenue]]*Table47[[#This Row],[Probability]]</f>
        <v>0</v>
      </c>
      <c r="O576" s="78"/>
      <c r="P576" s="86">
        <f>Table47[[#This Row],[Expected Revenue]]*Table47[[#This Row],[Expected CMR]]</f>
        <v>0</v>
      </c>
      <c r="Q576" s="210"/>
    </row>
    <row r="577" spans="1:17" hidden="1">
      <c r="A577" s="173"/>
      <c r="B577" s="76"/>
      <c r="C577" s="77"/>
      <c r="D577" s="102"/>
      <c r="E577" s="77"/>
      <c r="F577" s="77"/>
      <c r="G577" s="77"/>
      <c r="H577" s="77"/>
      <c r="I577" s="76"/>
      <c r="J577" s="110"/>
      <c r="K577" s="77"/>
      <c r="L577" s="77"/>
      <c r="M577" s="77"/>
      <c r="N577" s="86">
        <f>Table47[[#This Row],[Expected Revenue]]*Table47[[#This Row],[Probability]]</f>
        <v>0</v>
      </c>
      <c r="O577" s="78"/>
      <c r="P577" s="86">
        <f>Table47[[#This Row],[Expected Revenue]]*Table47[[#This Row],[Expected CMR]]</f>
        <v>0</v>
      </c>
      <c r="Q577" s="210"/>
    </row>
    <row r="578" spans="1:17" hidden="1">
      <c r="A578" s="173"/>
      <c r="B578" s="76"/>
      <c r="C578" s="77"/>
      <c r="D578" s="102"/>
      <c r="E578" s="77"/>
      <c r="F578" s="77"/>
      <c r="G578" s="77"/>
      <c r="H578" s="77"/>
      <c r="I578" s="76"/>
      <c r="J578" s="110"/>
      <c r="K578" s="77"/>
      <c r="L578" s="77"/>
      <c r="M578" s="77"/>
      <c r="N578" s="86">
        <f>Table47[[#This Row],[Expected Revenue]]*Table47[[#This Row],[Probability]]</f>
        <v>0</v>
      </c>
      <c r="O578" s="78"/>
      <c r="P578" s="86">
        <f>Table47[[#This Row],[Expected Revenue]]*Table47[[#This Row],[Expected CMR]]</f>
        <v>0</v>
      </c>
      <c r="Q578" s="210"/>
    </row>
    <row r="579" spans="1:17" hidden="1">
      <c r="A579" s="173"/>
      <c r="B579" s="76"/>
      <c r="C579" s="77"/>
      <c r="D579" s="102"/>
      <c r="E579" s="77"/>
      <c r="F579" s="77"/>
      <c r="G579" s="77"/>
      <c r="H579" s="77"/>
      <c r="I579" s="76"/>
      <c r="J579" s="110"/>
      <c r="K579" s="77"/>
      <c r="L579" s="77"/>
      <c r="M579" s="77"/>
      <c r="N579" s="86">
        <f>Table47[[#This Row],[Expected Revenue]]*Table47[[#This Row],[Probability]]</f>
        <v>0</v>
      </c>
      <c r="O579" s="78"/>
      <c r="P579" s="86">
        <f>Table47[[#This Row],[Expected Revenue]]*Table47[[#This Row],[Expected CMR]]</f>
        <v>0</v>
      </c>
      <c r="Q579" s="210"/>
    </row>
    <row r="580" spans="1:17" hidden="1">
      <c r="A580" s="173"/>
      <c r="B580" s="76"/>
      <c r="C580" s="77"/>
      <c r="D580" s="102"/>
      <c r="E580" s="77"/>
      <c r="F580" s="77"/>
      <c r="G580" s="77"/>
      <c r="H580" s="77"/>
      <c r="I580" s="76"/>
      <c r="J580" s="110"/>
      <c r="K580" s="77"/>
      <c r="L580" s="77"/>
      <c r="M580" s="77"/>
      <c r="N580" s="86">
        <f>Table47[[#This Row],[Expected Revenue]]*Table47[[#This Row],[Probability]]</f>
        <v>0</v>
      </c>
      <c r="O580" s="78"/>
      <c r="P580" s="86">
        <f>Table47[[#This Row],[Expected Revenue]]*Table47[[#This Row],[Expected CMR]]</f>
        <v>0</v>
      </c>
      <c r="Q580" s="210"/>
    </row>
    <row r="581" spans="1:17" hidden="1">
      <c r="A581" s="173"/>
      <c r="B581" s="76"/>
      <c r="C581" s="77"/>
      <c r="D581" s="102"/>
      <c r="E581" s="77"/>
      <c r="F581" s="77"/>
      <c r="G581" s="77"/>
      <c r="H581" s="77"/>
      <c r="I581" s="76"/>
      <c r="J581" s="110"/>
      <c r="K581" s="77"/>
      <c r="L581" s="77"/>
      <c r="M581" s="77"/>
      <c r="N581" s="86">
        <f>Table47[[#This Row],[Expected Revenue]]*Table47[[#This Row],[Probability]]</f>
        <v>0</v>
      </c>
      <c r="O581" s="78"/>
      <c r="P581" s="86">
        <f>Table47[[#This Row],[Expected Revenue]]*Table47[[#This Row],[Expected CMR]]</f>
        <v>0</v>
      </c>
      <c r="Q581" s="210"/>
    </row>
    <row r="582" spans="1:17" hidden="1">
      <c r="A582" s="173"/>
      <c r="B582" s="76"/>
      <c r="C582" s="77"/>
      <c r="D582" s="102"/>
      <c r="E582" s="77"/>
      <c r="F582" s="77"/>
      <c r="G582" s="77"/>
      <c r="H582" s="77"/>
      <c r="I582" s="76"/>
      <c r="J582" s="110"/>
      <c r="K582" s="77"/>
      <c r="L582" s="77"/>
      <c r="M582" s="77"/>
      <c r="N582" s="86">
        <f>Table47[[#This Row],[Expected Revenue]]*Table47[[#This Row],[Probability]]</f>
        <v>0</v>
      </c>
      <c r="O582" s="78"/>
      <c r="P582" s="86">
        <f>Table47[[#This Row],[Expected Revenue]]*Table47[[#This Row],[Expected CMR]]</f>
        <v>0</v>
      </c>
      <c r="Q582" s="210"/>
    </row>
    <row r="583" spans="1:17" hidden="1">
      <c r="A583" s="173"/>
      <c r="B583" s="76"/>
      <c r="C583" s="77"/>
      <c r="D583" s="102"/>
      <c r="E583" s="77"/>
      <c r="F583" s="77"/>
      <c r="G583" s="77"/>
      <c r="H583" s="77"/>
      <c r="I583" s="76"/>
      <c r="J583" s="110"/>
      <c r="K583" s="77"/>
      <c r="L583" s="77"/>
      <c r="M583" s="77"/>
      <c r="N583" s="86">
        <f>Table47[[#This Row],[Expected Revenue]]*Table47[[#This Row],[Probability]]</f>
        <v>0</v>
      </c>
      <c r="O583" s="78"/>
      <c r="P583" s="86">
        <f>Table47[[#This Row],[Expected Revenue]]*Table47[[#This Row],[Expected CMR]]</f>
        <v>0</v>
      </c>
      <c r="Q583" s="210"/>
    </row>
    <row r="584" spans="1:17" hidden="1">
      <c r="A584" s="173"/>
      <c r="B584" s="76"/>
      <c r="C584" s="77"/>
      <c r="D584" s="102"/>
      <c r="E584" s="77"/>
      <c r="F584" s="77"/>
      <c r="G584" s="77"/>
      <c r="H584" s="77"/>
      <c r="I584" s="76"/>
      <c r="J584" s="110"/>
      <c r="K584" s="77"/>
      <c r="L584" s="77"/>
      <c r="M584" s="77"/>
      <c r="N584" s="86">
        <f>Table47[[#This Row],[Expected Revenue]]*Table47[[#This Row],[Probability]]</f>
        <v>0</v>
      </c>
      <c r="O584" s="78"/>
      <c r="P584" s="86">
        <f>Table47[[#This Row],[Expected Revenue]]*Table47[[#This Row],[Expected CMR]]</f>
        <v>0</v>
      </c>
      <c r="Q584" s="213"/>
    </row>
    <row r="585" spans="1:17" hidden="1">
      <c r="A585" s="173"/>
      <c r="B585" s="76" t="s">
        <v>137</v>
      </c>
      <c r="C585" s="77" t="s">
        <v>57</v>
      </c>
      <c r="D585" s="76" t="s">
        <v>272</v>
      </c>
      <c r="E585" s="77" t="s">
        <v>92</v>
      </c>
      <c r="F585" s="77" t="s">
        <v>58</v>
      </c>
      <c r="G585" s="77" t="s">
        <v>297</v>
      </c>
      <c r="H585" s="77" t="s">
        <v>297</v>
      </c>
      <c r="I585" s="77"/>
      <c r="J585" s="110" t="s">
        <v>222</v>
      </c>
      <c r="K585" s="77">
        <v>2021</v>
      </c>
      <c r="L585" s="78">
        <v>1</v>
      </c>
      <c r="M585" s="79">
        <v>15000</v>
      </c>
      <c r="N585" s="79">
        <f>Table47[[#This Row],[Expected Revenue]]*Table47[[#This Row],[Probability]]</f>
        <v>15000</v>
      </c>
      <c r="O585" s="78">
        <v>0.3</v>
      </c>
      <c r="P585" s="86">
        <v>4500</v>
      </c>
      <c r="Q585" s="210" t="s">
        <v>3159</v>
      </c>
    </row>
    <row r="586" spans="1:17" hidden="1">
      <c r="A586" s="173"/>
      <c r="B586" s="76" t="s">
        <v>137</v>
      </c>
      <c r="C586" s="77" t="s">
        <v>3059</v>
      </c>
      <c r="D586" s="102" t="s">
        <v>3178</v>
      </c>
      <c r="E586" s="77" t="s">
        <v>92</v>
      </c>
      <c r="F586" s="77" t="s">
        <v>58</v>
      </c>
      <c r="G586" s="77" t="s">
        <v>297</v>
      </c>
      <c r="H586" s="77" t="s">
        <v>297</v>
      </c>
      <c r="I586" s="77"/>
      <c r="J586" s="110" t="s">
        <v>222</v>
      </c>
      <c r="K586" s="77">
        <v>2021</v>
      </c>
      <c r="L586" s="78">
        <v>1</v>
      </c>
      <c r="M586" s="79">
        <v>5000</v>
      </c>
      <c r="N586" s="79">
        <f>Table47[[#This Row],[Expected Revenue]]*Table47[[#This Row],[Probability]]</f>
        <v>5000</v>
      </c>
      <c r="O586" s="78">
        <v>0.3</v>
      </c>
      <c r="P586" s="86">
        <v>1500</v>
      </c>
      <c r="Q586" s="210" t="s">
        <v>3159</v>
      </c>
    </row>
    <row r="587" spans="1:17" hidden="1">
      <c r="A587" s="173"/>
      <c r="B587" s="76" t="s">
        <v>104</v>
      </c>
      <c r="C587" s="77" t="s">
        <v>3059</v>
      </c>
      <c r="D587" s="102" t="s">
        <v>3178</v>
      </c>
      <c r="E587" s="77" t="s">
        <v>92</v>
      </c>
      <c r="F587" s="77" t="s">
        <v>58</v>
      </c>
      <c r="G587" s="77" t="s">
        <v>297</v>
      </c>
      <c r="H587" s="77" t="s">
        <v>297</v>
      </c>
      <c r="I587" s="76"/>
      <c r="J587" s="110" t="s">
        <v>222</v>
      </c>
      <c r="K587" s="77">
        <v>2021</v>
      </c>
      <c r="L587" s="78">
        <v>1</v>
      </c>
      <c r="M587" s="79">
        <v>10000</v>
      </c>
      <c r="N587" s="79">
        <f>Table47[[#This Row],[Expected Revenue]]*Table47[[#This Row],[Probability]]</f>
        <v>10000</v>
      </c>
      <c r="O587" s="78"/>
      <c r="P587" s="86">
        <v>0</v>
      </c>
      <c r="Q587" s="210" t="s">
        <v>3159</v>
      </c>
    </row>
    <row r="588" spans="1:17" hidden="1">
      <c r="A588" s="173"/>
      <c r="B588" s="76" t="s">
        <v>117</v>
      </c>
      <c r="C588" s="77" t="s">
        <v>3059</v>
      </c>
      <c r="D588" s="102" t="s">
        <v>3178</v>
      </c>
      <c r="E588" s="77" t="s">
        <v>92</v>
      </c>
      <c r="F588" s="77" t="s">
        <v>58</v>
      </c>
      <c r="G588" s="77" t="s">
        <v>297</v>
      </c>
      <c r="H588" s="77" t="s">
        <v>297</v>
      </c>
      <c r="I588" s="76"/>
      <c r="J588" s="110" t="s">
        <v>222</v>
      </c>
      <c r="K588" s="77">
        <v>2021</v>
      </c>
      <c r="L588" s="78">
        <v>1</v>
      </c>
      <c r="M588" s="79">
        <v>4622</v>
      </c>
      <c r="N588" s="79">
        <f>Table47[[#This Row],[Expected Revenue]]*Table47[[#This Row],[Probability]]</f>
        <v>4622</v>
      </c>
      <c r="O588" s="78"/>
      <c r="P588" s="86">
        <v>0</v>
      </c>
      <c r="Q588" s="210" t="s">
        <v>3159</v>
      </c>
    </row>
    <row r="589" spans="1:17" hidden="1">
      <c r="A589" s="173"/>
      <c r="B589" s="76" t="s">
        <v>3180</v>
      </c>
      <c r="C589" s="77" t="s">
        <v>269</v>
      </c>
      <c r="D589" s="102" t="s">
        <v>270</v>
      </c>
      <c r="E589" s="77" t="s">
        <v>281</v>
      </c>
      <c r="F589" s="77" t="s">
        <v>158</v>
      </c>
      <c r="G589" s="77" t="s">
        <v>297</v>
      </c>
      <c r="H589" s="77" t="s">
        <v>297</v>
      </c>
      <c r="I589" s="76"/>
      <c r="J589" s="110" t="s">
        <v>222</v>
      </c>
      <c r="K589" s="77">
        <v>2021</v>
      </c>
      <c r="L589" s="78">
        <v>1</v>
      </c>
      <c r="M589" s="79">
        <v>50000</v>
      </c>
      <c r="N589" s="79">
        <f>Table47[[#This Row],[Expected Revenue]]*Table47[[#This Row],[Probability]]</f>
        <v>50000</v>
      </c>
      <c r="O589" s="78"/>
      <c r="P589" s="86">
        <v>0</v>
      </c>
      <c r="Q589" s="210" t="s">
        <v>3159</v>
      </c>
    </row>
    <row r="590" spans="1:17" hidden="1">
      <c r="A590" s="173"/>
      <c r="B590" s="76" t="s">
        <v>146</v>
      </c>
      <c r="C590" s="77" t="s">
        <v>3059</v>
      </c>
      <c r="D590" s="102" t="s">
        <v>3182</v>
      </c>
      <c r="E590" s="77" t="s">
        <v>71</v>
      </c>
      <c r="F590" s="77" t="s">
        <v>58</v>
      </c>
      <c r="G590" s="77" t="s">
        <v>297</v>
      </c>
      <c r="H590" s="77" t="s">
        <v>297</v>
      </c>
      <c r="I590" s="76"/>
      <c r="J590" s="110" t="s">
        <v>222</v>
      </c>
      <c r="K590" s="77">
        <v>2021</v>
      </c>
      <c r="L590" s="78">
        <v>1</v>
      </c>
      <c r="M590" s="79">
        <v>30939</v>
      </c>
      <c r="N590" s="79">
        <f>Table47[[#This Row],[Expected Revenue]]*Table47[[#This Row],[Probability]]</f>
        <v>30939</v>
      </c>
      <c r="O590" s="78"/>
      <c r="P590" s="86">
        <v>0</v>
      </c>
      <c r="Q590" s="209" t="s">
        <v>3068</v>
      </c>
    </row>
    <row r="591" spans="1:17" hidden="1">
      <c r="A591" s="173"/>
      <c r="B591" s="76" t="s">
        <v>296</v>
      </c>
      <c r="C591" s="77"/>
      <c r="D591" s="102" t="s">
        <v>296</v>
      </c>
      <c r="E591" s="77" t="s">
        <v>251</v>
      </c>
      <c r="F591" s="77" t="s">
        <v>58</v>
      </c>
      <c r="G591" s="77" t="s">
        <v>3181</v>
      </c>
      <c r="H591" s="77" t="s">
        <v>296</v>
      </c>
      <c r="I591" s="76"/>
      <c r="J591" s="110" t="s">
        <v>222</v>
      </c>
      <c r="K591" s="77">
        <v>2021</v>
      </c>
      <c r="L591" s="78">
        <v>1</v>
      </c>
      <c r="M591" s="79">
        <v>150000</v>
      </c>
      <c r="N591" s="79">
        <f>Table47[[#This Row],[Expected Revenue]]*Table47[[#This Row],[Probability]]</f>
        <v>150000</v>
      </c>
      <c r="O591" s="78"/>
      <c r="P591" s="86">
        <v>0</v>
      </c>
      <c r="Q591" s="210" t="s">
        <v>3159</v>
      </c>
    </row>
    <row r="592" spans="1:17" hidden="1">
      <c r="A592" s="173"/>
      <c r="B592" s="76" t="s">
        <v>104</v>
      </c>
      <c r="C592" s="77" t="s">
        <v>3059</v>
      </c>
      <c r="D592" s="102" t="s">
        <v>3207</v>
      </c>
      <c r="E592" s="77" t="s">
        <v>92</v>
      </c>
      <c r="F592" s="77" t="s">
        <v>58</v>
      </c>
      <c r="G592" s="77" t="s">
        <v>297</v>
      </c>
      <c r="H592" s="77" t="s">
        <v>297</v>
      </c>
      <c r="I592" s="76"/>
      <c r="J592" s="110" t="s">
        <v>222</v>
      </c>
      <c r="K592" s="77">
        <v>2021</v>
      </c>
      <c r="L592" s="78">
        <v>1</v>
      </c>
      <c r="M592" s="79">
        <v>10000</v>
      </c>
      <c r="N592" s="79">
        <f>Table47[[#This Row],[Expected Revenue]]*Table47[[#This Row],[Probability]]</f>
        <v>10000</v>
      </c>
      <c r="O592" s="78"/>
      <c r="P592" s="86">
        <v>0</v>
      </c>
      <c r="Q592" s="210" t="s">
        <v>3159</v>
      </c>
    </row>
    <row r="593" spans="1:17" hidden="1">
      <c r="A593" s="173"/>
      <c r="B593" s="76" t="s">
        <v>282</v>
      </c>
      <c r="C593" s="77" t="s">
        <v>283</v>
      </c>
      <c r="D593" s="102" t="s">
        <v>284</v>
      </c>
      <c r="E593" s="77" t="s">
        <v>92</v>
      </c>
      <c r="F593" s="77" t="s">
        <v>58</v>
      </c>
      <c r="G593" s="77" t="s">
        <v>297</v>
      </c>
      <c r="H593" s="77" t="s">
        <v>297</v>
      </c>
      <c r="I593" s="76" t="s">
        <v>3212</v>
      </c>
      <c r="J593" s="110" t="s">
        <v>222</v>
      </c>
      <c r="K593" s="77">
        <v>2021</v>
      </c>
      <c r="L593" s="78">
        <v>1</v>
      </c>
      <c r="M593" s="79">
        <v>29000</v>
      </c>
      <c r="N593" s="79">
        <f>Table47[[#This Row],[Expected Revenue]]*Table47[[#This Row],[Probability]]</f>
        <v>29000</v>
      </c>
      <c r="O593" s="78"/>
      <c r="P593" s="86">
        <v>0</v>
      </c>
      <c r="Q593" s="210" t="s">
        <v>3159</v>
      </c>
    </row>
    <row r="594" spans="1:17" hidden="1">
      <c r="A594" s="173"/>
      <c r="B594" s="76" t="s">
        <v>235</v>
      </c>
      <c r="C594" s="77" t="s">
        <v>57</v>
      </c>
      <c r="D594" s="102" t="s">
        <v>3232</v>
      </c>
      <c r="E594" s="77" t="s">
        <v>71</v>
      </c>
      <c r="F594" s="77" t="s">
        <v>58</v>
      </c>
      <c r="G594" s="77" t="s">
        <v>297</v>
      </c>
      <c r="H594" s="77" t="s">
        <v>295</v>
      </c>
      <c r="I594" s="76"/>
      <c r="J594" s="110" t="s">
        <v>93</v>
      </c>
      <c r="K594" s="77">
        <v>2021</v>
      </c>
      <c r="L594" s="78">
        <v>1</v>
      </c>
      <c r="M594" s="79">
        <v>15000</v>
      </c>
      <c r="N594" s="79">
        <f>Table47[[#This Row],[Expected Revenue]]*Table47[[#This Row],[Probability]]</f>
        <v>15000</v>
      </c>
      <c r="O594" s="78"/>
      <c r="P594" s="86">
        <f>Table47[[#This Row],[Expected Revenue]]*Table47[[#This Row],[Expected CMR]]</f>
        <v>0</v>
      </c>
      <c r="Q594" s="210"/>
    </row>
    <row r="595" spans="1:17">
      <c r="A595" s="173"/>
      <c r="B595" s="76" t="s">
        <v>146</v>
      </c>
      <c r="C595" s="77" t="s">
        <v>3059</v>
      </c>
      <c r="D595" s="102" t="s">
        <v>3221</v>
      </c>
      <c r="E595" s="77" t="s">
        <v>92</v>
      </c>
      <c r="F595" s="77" t="s">
        <v>58</v>
      </c>
      <c r="G595" s="77" t="s">
        <v>295</v>
      </c>
      <c r="H595" s="77" t="s">
        <v>290</v>
      </c>
      <c r="I595" s="76"/>
      <c r="J595" s="110" t="s">
        <v>231</v>
      </c>
      <c r="K595" s="77">
        <v>2020</v>
      </c>
      <c r="L595" s="78">
        <v>1</v>
      </c>
      <c r="M595" s="79">
        <v>18622.271250000002</v>
      </c>
      <c r="N595" s="86">
        <f>Table47[[#This Row],[Expected Revenue]]*Table47[[#This Row],[Probability]]</f>
        <v>18622.271250000002</v>
      </c>
      <c r="O595" s="78"/>
      <c r="P595" s="86">
        <f>Table47[[#This Row],[Expected Revenue]]*Table47[[#This Row],[Expected CMR]]</f>
        <v>0</v>
      </c>
      <c r="Q595" s="210"/>
    </row>
    <row r="596" spans="1:17">
      <c r="A596" s="173"/>
      <c r="B596" s="76" t="s">
        <v>146</v>
      </c>
      <c r="C596" s="77" t="s">
        <v>57</v>
      </c>
      <c r="D596" s="102" t="s">
        <v>3232</v>
      </c>
      <c r="E596" s="77" t="s">
        <v>71</v>
      </c>
      <c r="F596" s="77" t="s">
        <v>58</v>
      </c>
      <c r="G596" s="77" t="s">
        <v>295</v>
      </c>
      <c r="H596" s="77" t="s">
        <v>295</v>
      </c>
      <c r="I596" s="76"/>
      <c r="J596" s="110" t="s">
        <v>68</v>
      </c>
      <c r="K596" s="77">
        <v>2020</v>
      </c>
      <c r="L596" s="78">
        <v>1</v>
      </c>
      <c r="M596" s="79">
        <v>30000</v>
      </c>
      <c r="N596" s="79">
        <f>Table47[[#This Row],[Expected Revenue]]*Table47[[#This Row],[Probability]]</f>
        <v>30000</v>
      </c>
      <c r="O596" s="78"/>
      <c r="P596" s="86">
        <f>Table47[[#This Row],[Expected Revenue]]*Table47[[#This Row],[Expected CMR]]</f>
        <v>0</v>
      </c>
      <c r="Q596" s="210"/>
    </row>
    <row r="597" spans="1:17">
      <c r="A597" s="173" t="s">
        <v>3237</v>
      </c>
      <c r="B597" s="76" t="s">
        <v>114</v>
      </c>
      <c r="C597" s="77" t="s">
        <v>3059</v>
      </c>
      <c r="D597" s="102" t="s">
        <v>3177</v>
      </c>
      <c r="E597" s="77" t="s">
        <v>83</v>
      </c>
      <c r="F597" s="77" t="s">
        <v>58</v>
      </c>
      <c r="G597" s="77" t="s">
        <v>295</v>
      </c>
      <c r="H597" s="77" t="s">
        <v>290</v>
      </c>
      <c r="I597" s="76"/>
      <c r="J597" s="110" t="s">
        <v>231</v>
      </c>
      <c r="K597" s="77">
        <v>2020</v>
      </c>
      <c r="L597" s="78">
        <v>1</v>
      </c>
      <c r="M597" s="79">
        <v>10513.8</v>
      </c>
      <c r="N597" s="86">
        <f>Table47[[#This Row],[Expected Revenue]]*Table47[[#This Row],[Probability]]</f>
        <v>10513.8</v>
      </c>
      <c r="O597" s="78"/>
      <c r="P597" s="86">
        <f>Table47[[#This Row],[Expected Revenue]]*Table47[[#This Row],[Expected CMR]]</f>
        <v>0</v>
      </c>
      <c r="Q597" s="210"/>
    </row>
    <row r="598" spans="1:17">
      <c r="A598" s="173" t="s">
        <v>3246</v>
      </c>
      <c r="B598" s="76" t="s">
        <v>114</v>
      </c>
      <c r="C598" s="77" t="s">
        <v>3059</v>
      </c>
      <c r="D598" s="102" t="s">
        <v>3176</v>
      </c>
      <c r="E598" s="77" t="s">
        <v>291</v>
      </c>
      <c r="F598" s="77" t="s">
        <v>58</v>
      </c>
      <c r="G598" s="77" t="s">
        <v>295</v>
      </c>
      <c r="H598" s="77" t="s">
        <v>290</v>
      </c>
      <c r="I598" s="76"/>
      <c r="J598" s="110" t="s">
        <v>68</v>
      </c>
      <c r="K598" s="77">
        <v>2020</v>
      </c>
      <c r="L598" s="78">
        <v>1</v>
      </c>
      <c r="M598" s="79">
        <v>58784.22</v>
      </c>
      <c r="N598" s="86">
        <f>Table47[[#This Row],[Expected Revenue]]*Table47[[#This Row],[Probability]]</f>
        <v>58784.22</v>
      </c>
      <c r="O598" s="78"/>
      <c r="P598" s="86">
        <f>Table47[[#This Row],[Expected Revenue]]*Table47[[#This Row],[Expected CMR]]</f>
        <v>0</v>
      </c>
      <c r="Q598" s="210"/>
    </row>
    <row r="599" spans="1:17">
      <c r="A599" s="173" t="s">
        <v>3247</v>
      </c>
      <c r="B599" s="76" t="s">
        <v>114</v>
      </c>
      <c r="C599" s="77" t="s">
        <v>3059</v>
      </c>
      <c r="D599" s="102" t="s">
        <v>3182</v>
      </c>
      <c r="E599" s="77" t="s">
        <v>71</v>
      </c>
      <c r="F599" s="77" t="s">
        <v>58</v>
      </c>
      <c r="G599" s="77" t="s">
        <v>295</v>
      </c>
      <c r="H599" s="77" t="s">
        <v>290</v>
      </c>
      <c r="I599" s="76"/>
      <c r="J599" s="110" t="s">
        <v>68</v>
      </c>
      <c r="K599" s="77">
        <v>2020</v>
      </c>
      <c r="L599" s="78">
        <v>1</v>
      </c>
      <c r="M599" s="79">
        <v>30629.61</v>
      </c>
      <c r="N599" s="86">
        <f>Table47[[#This Row],[Expected Revenue]]*Table47[[#This Row],[Probability]]</f>
        <v>30629.61</v>
      </c>
      <c r="O599" s="78"/>
      <c r="P599" s="86">
        <f>Table47[[#This Row],[Expected Revenue]]*Table47[[#This Row],[Expected CMR]]</f>
        <v>0</v>
      </c>
      <c r="Q599" s="210"/>
    </row>
    <row r="600" spans="1:17">
      <c r="A600" s="173" t="s">
        <v>3244</v>
      </c>
      <c r="B600" s="76" t="s">
        <v>114</v>
      </c>
      <c r="C600" s="77" t="s">
        <v>3059</v>
      </c>
      <c r="D600" s="102" t="s">
        <v>3221</v>
      </c>
      <c r="E600" s="77" t="s">
        <v>92</v>
      </c>
      <c r="F600" s="77" t="s">
        <v>58</v>
      </c>
      <c r="G600" s="77" t="s">
        <v>295</v>
      </c>
      <c r="H600" s="77" t="s">
        <v>290</v>
      </c>
      <c r="I600" s="76"/>
      <c r="J600" s="110" t="s">
        <v>68</v>
      </c>
      <c r="K600" s="77">
        <v>2020</v>
      </c>
      <c r="L600" s="78">
        <v>1</v>
      </c>
      <c r="M600" s="79">
        <v>18622.271250000002</v>
      </c>
      <c r="N600" s="86">
        <f>Table47[[#This Row],[Expected Revenue]]*Table47[[#This Row],[Probability]]</f>
        <v>18622.271250000002</v>
      </c>
      <c r="O600" s="78"/>
      <c r="P600" s="86">
        <f>Table47[[#This Row],[Expected Revenue]]*Table47[[#This Row],[Expected CMR]]</f>
        <v>0</v>
      </c>
      <c r="Q600" s="210"/>
    </row>
    <row r="601" spans="1:17">
      <c r="A601" s="173"/>
      <c r="B601" s="76" t="s">
        <v>260</v>
      </c>
      <c r="C601" s="77" t="s">
        <v>57</v>
      </c>
      <c r="D601" s="76" t="s">
        <v>3141</v>
      </c>
      <c r="E601" s="77" t="s">
        <v>251</v>
      </c>
      <c r="F601" s="77" t="s">
        <v>58</v>
      </c>
      <c r="G601" s="77" t="s">
        <v>297</v>
      </c>
      <c r="H601" s="77" t="s">
        <v>297</v>
      </c>
      <c r="I601" s="77"/>
      <c r="J601" s="110" t="s">
        <v>231</v>
      </c>
      <c r="K601" s="77">
        <v>2020</v>
      </c>
      <c r="L601" s="78">
        <v>1</v>
      </c>
      <c r="M601" s="79">
        <v>100000</v>
      </c>
      <c r="N601" s="86">
        <f>Table47[[#This Row],[Expected Revenue]]*Table47[[#This Row],[Probability]]</f>
        <v>100000</v>
      </c>
      <c r="O601" s="78">
        <v>0.3</v>
      </c>
      <c r="P601" s="86">
        <f>Table47[[#This Row],[Expected Revenue]]*Table47[[#This Row],[Expected CMR]]</f>
        <v>30000</v>
      </c>
      <c r="Q601" s="210"/>
    </row>
    <row r="602" spans="1:17" hidden="1">
      <c r="A602" s="173"/>
      <c r="B602" s="76" t="s">
        <v>114</v>
      </c>
      <c r="C602" s="77" t="s">
        <v>57</v>
      </c>
      <c r="D602" s="102" t="s">
        <v>3232</v>
      </c>
      <c r="E602" s="77" t="s">
        <v>71</v>
      </c>
      <c r="F602" s="77" t="s">
        <v>58</v>
      </c>
      <c r="G602" s="77" t="s">
        <v>295</v>
      </c>
      <c r="H602" s="77" t="s">
        <v>295</v>
      </c>
      <c r="I602" s="76"/>
      <c r="J602" s="110" t="s">
        <v>80</v>
      </c>
      <c r="K602" s="77">
        <v>2021</v>
      </c>
      <c r="L602" s="78">
        <v>1</v>
      </c>
      <c r="M602" s="79">
        <v>15000</v>
      </c>
      <c r="N602" s="79">
        <f>Table47[[#This Row],[Expected Revenue]]*Table47[[#This Row],[Probability]]</f>
        <v>15000</v>
      </c>
      <c r="O602" s="78"/>
      <c r="P602" s="86">
        <f>Table47[[#This Row],[Expected Revenue]]*Table47[[#This Row],[Expected CMR]]</f>
        <v>0</v>
      </c>
      <c r="Q602" s="210"/>
    </row>
    <row r="603" spans="1:17" hidden="1">
      <c r="A603" s="173"/>
      <c r="B603" s="76" t="s">
        <v>73</v>
      </c>
      <c r="C603" s="77" t="s">
        <v>57</v>
      </c>
      <c r="D603" s="102" t="s">
        <v>3232</v>
      </c>
      <c r="E603" s="77" t="s">
        <v>71</v>
      </c>
      <c r="F603" s="77" t="s">
        <v>58</v>
      </c>
      <c r="G603" s="77" t="s">
        <v>297</v>
      </c>
      <c r="H603" s="77" t="s">
        <v>295</v>
      </c>
      <c r="I603" s="76"/>
      <c r="J603" s="110" t="s">
        <v>93</v>
      </c>
      <c r="K603" s="77">
        <v>2021</v>
      </c>
      <c r="L603" s="78">
        <v>1</v>
      </c>
      <c r="M603" s="79">
        <v>15000</v>
      </c>
      <c r="N603" s="79">
        <f>Table47[[#This Row],[Expected Revenue]]*Table47[[#This Row],[Probability]]</f>
        <v>15000</v>
      </c>
      <c r="O603" s="78"/>
      <c r="P603" s="86">
        <f>Table47[[#This Row],[Expected Revenue]]*Table47[[#This Row],[Expected CMR]]</f>
        <v>0</v>
      </c>
      <c r="Q603" s="210"/>
    </row>
    <row r="604" spans="1:17" hidden="1">
      <c r="A604" s="173"/>
      <c r="B604" s="76" t="s">
        <v>114</v>
      </c>
      <c r="C604" s="77" t="s">
        <v>57</v>
      </c>
      <c r="D604" s="102" t="s">
        <v>3213</v>
      </c>
      <c r="E604" s="77" t="s">
        <v>92</v>
      </c>
      <c r="F604" s="77" t="s">
        <v>58</v>
      </c>
      <c r="G604" s="77" t="s">
        <v>297</v>
      </c>
      <c r="H604" s="77" t="s">
        <v>297</v>
      </c>
      <c r="I604" s="76" t="s">
        <v>3214</v>
      </c>
      <c r="J604" s="110" t="s">
        <v>222</v>
      </c>
      <c r="K604" s="77">
        <v>2021</v>
      </c>
      <c r="L604" s="78">
        <v>1</v>
      </c>
      <c r="M604" s="79">
        <v>5000</v>
      </c>
      <c r="N604" s="86">
        <v>5000</v>
      </c>
      <c r="O604" s="78"/>
      <c r="P604" s="86">
        <v>0</v>
      </c>
      <c r="Q604" s="209" t="s">
        <v>3068</v>
      </c>
    </row>
    <row r="605" spans="1:17" ht="15" hidden="1" customHeight="1">
      <c r="A605" s="173"/>
      <c r="B605" s="76"/>
      <c r="C605" s="77"/>
      <c r="D605" s="102"/>
      <c r="E605" s="77"/>
      <c r="F605" s="77"/>
      <c r="G605" s="77"/>
      <c r="H605" s="77"/>
      <c r="I605" s="76"/>
      <c r="J605" s="110"/>
      <c r="K605" s="77"/>
      <c r="L605" s="77"/>
      <c r="M605" s="77"/>
      <c r="N605" s="86">
        <f>Table47[[#This Row],[Expected Revenue]]*Table47[[#This Row],[Probability]]</f>
        <v>0</v>
      </c>
      <c r="O605" s="78"/>
      <c r="P605" s="86">
        <f>Table47[[#This Row],[Expected Revenue]]*Table47[[#This Row],[Expected CMR]]</f>
        <v>0</v>
      </c>
      <c r="Q605" s="210"/>
    </row>
    <row r="606" spans="1:17" ht="15" hidden="1" customHeight="1">
      <c r="A606" s="173"/>
      <c r="B606" s="76"/>
      <c r="C606" s="77"/>
      <c r="D606" s="102"/>
      <c r="E606" s="77"/>
      <c r="F606" s="77"/>
      <c r="G606" s="77"/>
      <c r="H606" s="77"/>
      <c r="I606" s="76"/>
      <c r="J606" s="110"/>
      <c r="K606" s="77"/>
      <c r="L606" s="77"/>
      <c r="M606" s="77"/>
      <c r="N606" s="86">
        <f>Table47[[#This Row],[Expected Revenue]]*Table47[[#This Row],[Probability]]</f>
        <v>0</v>
      </c>
      <c r="O606" s="78"/>
      <c r="P606" s="86">
        <f>Table47[[#This Row],[Expected Revenue]]*Table47[[#This Row],[Expected CMR]]</f>
        <v>0</v>
      </c>
      <c r="Q606" s="210"/>
    </row>
    <row r="607" spans="1:17" hidden="1">
      <c r="A607" s="173"/>
      <c r="B607" s="76"/>
      <c r="C607" s="77"/>
      <c r="D607" s="102"/>
      <c r="E607" s="77"/>
      <c r="F607" s="77"/>
      <c r="G607" s="77"/>
      <c r="H607" s="77"/>
      <c r="I607" s="76"/>
      <c r="J607" s="110"/>
      <c r="K607" s="77"/>
      <c r="L607" s="77"/>
      <c r="M607" s="77"/>
      <c r="N607" s="86">
        <f>Table47[[#This Row],[Expected Revenue]]*Table47[[#This Row],[Probability]]</f>
        <v>0</v>
      </c>
      <c r="O607" s="78"/>
      <c r="P607" s="86">
        <f>Table47[[#This Row],[Expected Revenue]]*Table47[[#This Row],[Expected CMR]]</f>
        <v>0</v>
      </c>
      <c r="Q607" s="210"/>
    </row>
    <row r="608" spans="1:17" hidden="1">
      <c r="A608" s="173"/>
      <c r="B608" s="76"/>
      <c r="C608" s="77"/>
      <c r="D608" s="102"/>
      <c r="E608" s="77"/>
      <c r="F608" s="77"/>
      <c r="G608" s="77"/>
      <c r="H608" s="77"/>
      <c r="I608" s="76"/>
      <c r="J608" s="110"/>
      <c r="K608" s="77"/>
      <c r="L608" s="77"/>
      <c r="M608" s="77"/>
      <c r="N608" s="86">
        <f>Table47[[#This Row],[Expected Revenue]]*Table47[[#This Row],[Probability]]</f>
        <v>0</v>
      </c>
      <c r="O608" s="78"/>
      <c r="P608" s="86">
        <f>Table47[[#This Row],[Expected Revenue]]*Table47[[#This Row],[Expected CMR]]</f>
        <v>0</v>
      </c>
      <c r="Q608" s="210"/>
    </row>
    <row r="609" spans="1:17" hidden="1">
      <c r="A609" s="173"/>
      <c r="B609" s="76"/>
      <c r="C609" s="77"/>
      <c r="D609" s="102"/>
      <c r="E609" s="77"/>
      <c r="F609" s="77"/>
      <c r="G609" s="77"/>
      <c r="H609" s="77"/>
      <c r="I609" s="76"/>
      <c r="J609" s="110"/>
      <c r="K609" s="77"/>
      <c r="L609" s="77"/>
      <c r="M609" s="77"/>
      <c r="N609" s="86">
        <f>Table47[[#This Row],[Expected Revenue]]*Table47[[#This Row],[Probability]]</f>
        <v>0</v>
      </c>
      <c r="O609" s="78"/>
      <c r="P609" s="86">
        <f>Table47[[#This Row],[Expected Revenue]]*Table47[[#This Row],[Expected CMR]]</f>
        <v>0</v>
      </c>
      <c r="Q609" s="210"/>
    </row>
    <row r="610" spans="1:17" hidden="1">
      <c r="A610" s="173"/>
      <c r="B610" s="76"/>
      <c r="C610" s="77"/>
      <c r="D610" s="102"/>
      <c r="E610" s="77"/>
      <c r="F610" s="77"/>
      <c r="G610" s="77"/>
      <c r="H610" s="77"/>
      <c r="I610" s="76"/>
      <c r="J610" s="110"/>
      <c r="K610" s="77"/>
      <c r="L610" s="77"/>
      <c r="M610" s="77"/>
      <c r="N610" s="86">
        <f>Table47[[#This Row],[Expected Revenue]]*Table47[[#This Row],[Probability]]</f>
        <v>0</v>
      </c>
      <c r="O610" s="78"/>
      <c r="P610" s="86">
        <f>Table47[[#This Row],[Expected Revenue]]*Table47[[#This Row],[Expected CMR]]</f>
        <v>0</v>
      </c>
      <c r="Q610" s="210"/>
    </row>
    <row r="611" spans="1:17" hidden="1">
      <c r="A611" s="173"/>
      <c r="B611" s="76"/>
      <c r="C611" s="77"/>
      <c r="D611" s="102"/>
      <c r="E611" s="77"/>
      <c r="F611" s="77"/>
      <c r="G611" s="77"/>
      <c r="H611" s="77"/>
      <c r="I611" s="76"/>
      <c r="J611" s="110"/>
      <c r="K611" s="77"/>
      <c r="L611" s="77"/>
      <c r="M611" s="77"/>
      <c r="N611" s="86">
        <f>Table47[[#This Row],[Expected Revenue]]*Table47[[#This Row],[Probability]]</f>
        <v>0</v>
      </c>
      <c r="O611" s="78"/>
      <c r="P611" s="86">
        <f>Table47[[#This Row],[Expected Revenue]]*Table47[[#This Row],[Expected CMR]]</f>
        <v>0</v>
      </c>
      <c r="Q611" s="210"/>
    </row>
    <row r="612" spans="1:17" hidden="1">
      <c r="A612" s="173"/>
      <c r="B612" s="76"/>
      <c r="C612" s="77"/>
      <c r="D612" s="102"/>
      <c r="E612" s="77"/>
      <c r="F612" s="77"/>
      <c r="G612" s="77"/>
      <c r="H612" s="77"/>
      <c r="I612" s="76"/>
      <c r="J612" s="110"/>
      <c r="K612" s="77"/>
      <c r="L612" s="77"/>
      <c r="M612" s="77"/>
      <c r="N612" s="86">
        <f>Table47[[#This Row],[Expected Revenue]]*Table47[[#This Row],[Probability]]</f>
        <v>0</v>
      </c>
      <c r="O612" s="78"/>
      <c r="P612" s="86">
        <f>Table47[[#This Row],[Expected Revenue]]*Table47[[#This Row],[Expected CMR]]</f>
        <v>0</v>
      </c>
      <c r="Q612" s="210"/>
    </row>
    <row r="613" spans="1:17" hidden="1">
      <c r="A613" s="173"/>
      <c r="B613" s="76"/>
      <c r="C613" s="77"/>
      <c r="D613" s="102"/>
      <c r="E613" s="77"/>
      <c r="F613" s="77"/>
      <c r="G613" s="77"/>
      <c r="H613" s="77"/>
      <c r="I613" s="76"/>
      <c r="J613" s="110"/>
      <c r="K613" s="77"/>
      <c r="L613" s="77"/>
      <c r="M613" s="77"/>
      <c r="N613" s="86">
        <f>Table47[[#This Row],[Expected Revenue]]*Table47[[#This Row],[Probability]]</f>
        <v>0</v>
      </c>
      <c r="O613" s="78"/>
      <c r="P613" s="86">
        <f>Table47[[#This Row],[Expected Revenue]]*Table47[[#This Row],[Expected CMR]]</f>
        <v>0</v>
      </c>
      <c r="Q613" s="210"/>
    </row>
    <row r="614" spans="1:17" hidden="1">
      <c r="A614" s="173"/>
      <c r="B614" s="76" t="s">
        <v>3058</v>
      </c>
      <c r="C614" s="77" t="s">
        <v>3059</v>
      </c>
      <c r="D614" s="102" t="s">
        <v>3060</v>
      </c>
      <c r="E614" s="77" t="s">
        <v>88</v>
      </c>
      <c r="F614" s="77" t="s">
        <v>58</v>
      </c>
      <c r="G614" s="77" t="s">
        <v>297</v>
      </c>
      <c r="H614" s="77" t="s">
        <v>297</v>
      </c>
      <c r="I614" s="76"/>
      <c r="J614" s="110" t="s">
        <v>219</v>
      </c>
      <c r="K614" s="77">
        <v>2021</v>
      </c>
      <c r="L614" s="78">
        <v>1</v>
      </c>
      <c r="M614" s="79">
        <v>13000</v>
      </c>
      <c r="N614" s="215">
        <f>Table47[[#This Row],[Expected Revenue]]*Table47[[#This Row],[Probability]]</f>
        <v>13000</v>
      </c>
      <c r="O614" s="78"/>
      <c r="P614" s="86">
        <v>0</v>
      </c>
      <c r="Q614" s="210"/>
    </row>
    <row r="615" spans="1:17" hidden="1">
      <c r="A615" s="173"/>
      <c r="B615" s="76" t="s">
        <v>3058</v>
      </c>
      <c r="C615" s="77" t="s">
        <v>3059</v>
      </c>
      <c r="D615" s="102" t="s">
        <v>3177</v>
      </c>
      <c r="E615" s="77" t="s">
        <v>83</v>
      </c>
      <c r="F615" s="77" t="s">
        <v>58</v>
      </c>
      <c r="G615" s="77" t="s">
        <v>297</v>
      </c>
      <c r="H615" s="77" t="s">
        <v>297</v>
      </c>
      <c r="I615" s="76"/>
      <c r="J615" s="110" t="s">
        <v>219</v>
      </c>
      <c r="K615" s="77">
        <v>2021</v>
      </c>
      <c r="L615" s="78">
        <v>1</v>
      </c>
      <c r="M615" s="79">
        <v>10513.8</v>
      </c>
      <c r="N615" s="215">
        <f>Table47[[#This Row],[Expected Revenue]]*Table47[[#This Row],[Probability]]</f>
        <v>10513.8</v>
      </c>
      <c r="O615" s="78"/>
      <c r="P615" s="86">
        <v>0</v>
      </c>
      <c r="Q615" s="210"/>
    </row>
    <row r="616" spans="1:17" hidden="1">
      <c r="A616" s="173"/>
      <c r="B616" s="76" t="s">
        <v>130</v>
      </c>
      <c r="C616" s="77" t="s">
        <v>3059</v>
      </c>
      <c r="D616" s="102" t="s">
        <v>3155</v>
      </c>
      <c r="E616" s="77" t="s">
        <v>92</v>
      </c>
      <c r="F616" s="77" t="s">
        <v>58</v>
      </c>
      <c r="G616" s="77" t="s">
        <v>297</v>
      </c>
      <c r="H616" s="77" t="s">
        <v>297</v>
      </c>
      <c r="I616" s="76"/>
      <c r="J616" s="110" t="s">
        <v>219</v>
      </c>
      <c r="K616" s="77">
        <v>2021</v>
      </c>
      <c r="L616" s="78">
        <v>1</v>
      </c>
      <c r="M616" s="79">
        <v>7000</v>
      </c>
      <c r="N616" s="215">
        <f>Table47[[#This Row],[Expected Revenue]]*Table47[[#This Row],[Probability]]</f>
        <v>7000</v>
      </c>
      <c r="O616" s="78"/>
      <c r="P616" s="86"/>
      <c r="Q616" s="210"/>
    </row>
    <row r="617" spans="1:17" hidden="1">
      <c r="A617" s="173"/>
      <c r="B617" s="76" t="s">
        <v>130</v>
      </c>
      <c r="C617" s="77" t="s">
        <v>3059</v>
      </c>
      <c r="D617" s="102" t="s">
        <v>3060</v>
      </c>
      <c r="E617" s="77" t="s">
        <v>88</v>
      </c>
      <c r="F617" s="77" t="s">
        <v>58</v>
      </c>
      <c r="G617" s="77" t="s">
        <v>297</v>
      </c>
      <c r="H617" s="77" t="s">
        <v>297</v>
      </c>
      <c r="I617" s="76"/>
      <c r="J617" s="110" t="s">
        <v>219</v>
      </c>
      <c r="K617" s="77">
        <v>2021</v>
      </c>
      <c r="L617" s="78">
        <v>1</v>
      </c>
      <c r="M617" s="79">
        <v>12000</v>
      </c>
      <c r="N617" s="215">
        <f>Table47[[#This Row],[Expected Revenue]]*Table47[[#This Row],[Probability]]</f>
        <v>12000</v>
      </c>
      <c r="O617" s="78"/>
      <c r="P617" s="86">
        <v>0</v>
      </c>
      <c r="Q617" s="210"/>
    </row>
    <row r="618" spans="1:17" hidden="1">
      <c r="A618" s="75" t="s">
        <v>3095</v>
      </c>
      <c r="B618" s="76" t="s">
        <v>137</v>
      </c>
      <c r="C618" s="77" t="s">
        <v>57</v>
      </c>
      <c r="D618" s="102" t="s">
        <v>97</v>
      </c>
      <c r="E618" s="77" t="s">
        <v>92</v>
      </c>
      <c r="F618" s="77" t="s">
        <v>58</v>
      </c>
      <c r="G618" s="77" t="s">
        <v>297</v>
      </c>
      <c r="H618" s="77" t="s">
        <v>297</v>
      </c>
      <c r="I618" s="77"/>
      <c r="J618" s="110" t="s">
        <v>219</v>
      </c>
      <c r="K618" s="77">
        <v>2021</v>
      </c>
      <c r="L618" s="78">
        <v>1</v>
      </c>
      <c r="M618" s="79">
        <v>10000</v>
      </c>
      <c r="N618" s="215">
        <f>Table47[[#This Row],[Expected Revenue]]*Table47[[#This Row],[Probability]]</f>
        <v>10000</v>
      </c>
      <c r="O618" s="78">
        <v>0.3</v>
      </c>
      <c r="P618" s="79">
        <v>3000</v>
      </c>
      <c r="Q618" s="209"/>
    </row>
    <row r="619" spans="1:17" hidden="1">
      <c r="A619" s="173"/>
      <c r="B619" s="76" t="s">
        <v>146</v>
      </c>
      <c r="C619" s="77" t="s">
        <v>3059</v>
      </c>
      <c r="D619" s="102" t="s">
        <v>3182</v>
      </c>
      <c r="E619" s="77" t="s">
        <v>71</v>
      </c>
      <c r="F619" s="77" t="s">
        <v>58</v>
      </c>
      <c r="G619" s="77" t="s">
        <v>297</v>
      </c>
      <c r="H619" s="77" t="s">
        <v>297</v>
      </c>
      <c r="I619" s="76"/>
      <c r="J619" s="110" t="s">
        <v>219</v>
      </c>
      <c r="K619" s="77">
        <v>2021</v>
      </c>
      <c r="L619" s="78">
        <v>1</v>
      </c>
      <c r="M619" s="79">
        <v>30939</v>
      </c>
      <c r="N619" s="215">
        <f>Table47[[#This Row],[Expected Revenue]]*Table47[[#This Row],[Probability]]</f>
        <v>30939</v>
      </c>
      <c r="O619" s="78"/>
      <c r="P619" s="86">
        <v>0</v>
      </c>
      <c r="Q619" s="209"/>
    </row>
    <row r="620" spans="1:17" hidden="1">
      <c r="A620" s="173"/>
      <c r="B620" s="76" t="s">
        <v>296</v>
      </c>
      <c r="C620" s="77"/>
      <c r="D620" s="102"/>
      <c r="E620" s="77" t="s">
        <v>251</v>
      </c>
      <c r="F620" s="77" t="s">
        <v>58</v>
      </c>
      <c r="G620" s="77" t="s">
        <v>296</v>
      </c>
      <c r="H620" s="77" t="s">
        <v>296</v>
      </c>
      <c r="I620" s="76"/>
      <c r="J620" s="110" t="s">
        <v>219</v>
      </c>
      <c r="K620" s="77">
        <v>2021</v>
      </c>
      <c r="L620" s="78">
        <v>1</v>
      </c>
      <c r="M620" s="79">
        <v>225000</v>
      </c>
      <c r="N620" s="215">
        <f>Table47[[#This Row],[Expected Revenue]]*Table47[[#This Row],[Probability]]</f>
        <v>225000</v>
      </c>
      <c r="O620" s="78"/>
      <c r="P620" s="86">
        <v>0</v>
      </c>
      <c r="Q620" s="210"/>
    </row>
    <row r="621" spans="1:17" hidden="1">
      <c r="A621" s="173"/>
      <c r="B621" s="76"/>
      <c r="C621" s="77"/>
      <c r="D621" s="102"/>
      <c r="E621" s="77"/>
      <c r="F621" s="77"/>
      <c r="G621" s="77"/>
      <c r="H621" s="77"/>
      <c r="I621" s="76"/>
      <c r="J621" s="110"/>
      <c r="K621" s="77"/>
      <c r="L621" s="77"/>
      <c r="M621" s="77"/>
      <c r="N621" s="86">
        <f>Table47[[#This Row],[Expected Revenue]]*Table47[[#This Row],[Probability]]</f>
        <v>0</v>
      </c>
      <c r="O621" s="78"/>
      <c r="P621" s="86">
        <f>Table47[[#This Row],[Expected Revenue]]*Table47[[#This Row],[Expected CMR]]</f>
        <v>0</v>
      </c>
      <c r="Q621" s="210"/>
    </row>
    <row r="622" spans="1:17" hidden="1">
      <c r="A622" s="173"/>
      <c r="B622" s="76"/>
      <c r="C622" s="77"/>
      <c r="D622" s="102"/>
      <c r="E622" s="77"/>
      <c r="F622" s="77"/>
      <c r="G622" s="77"/>
      <c r="H622" s="77"/>
      <c r="I622" s="76"/>
      <c r="J622" s="110"/>
      <c r="K622" s="77"/>
      <c r="L622" s="77"/>
      <c r="M622" s="77"/>
      <c r="N622" s="86">
        <f>Table47[[#This Row],[Expected Revenue]]*Table47[[#This Row],[Probability]]</f>
        <v>0</v>
      </c>
      <c r="O622" s="78"/>
      <c r="P622" s="86">
        <f>Table47[[#This Row],[Expected Revenue]]*Table47[[#This Row],[Expected CMR]]</f>
        <v>0</v>
      </c>
      <c r="Q622" s="210"/>
    </row>
    <row r="623" spans="1:17" hidden="1">
      <c r="A623" s="173"/>
      <c r="B623" s="76"/>
      <c r="C623" s="77"/>
      <c r="D623" s="102"/>
      <c r="E623" s="77"/>
      <c r="F623" s="77"/>
      <c r="G623" s="77"/>
      <c r="H623" s="77"/>
      <c r="I623" s="76"/>
      <c r="J623" s="110"/>
      <c r="K623" s="77"/>
      <c r="L623" s="77"/>
      <c r="M623" s="77"/>
      <c r="N623" s="86">
        <f>Table47[[#This Row],[Expected Revenue]]*Table47[[#This Row],[Probability]]</f>
        <v>0</v>
      </c>
      <c r="O623" s="78"/>
      <c r="P623" s="86">
        <f>Table47[[#This Row],[Expected Revenue]]*Table47[[#This Row],[Expected CMR]]</f>
        <v>0</v>
      </c>
      <c r="Q623" s="210"/>
    </row>
    <row r="624" spans="1:17" hidden="1">
      <c r="A624" s="173"/>
      <c r="B624" s="76"/>
      <c r="C624" s="77"/>
      <c r="D624" s="102"/>
      <c r="E624" s="77"/>
      <c r="F624" s="77"/>
      <c r="G624" s="77"/>
      <c r="H624" s="77"/>
      <c r="I624" s="76"/>
      <c r="J624" s="110"/>
      <c r="K624" s="77"/>
      <c r="L624" s="77"/>
      <c r="M624" s="77"/>
      <c r="N624" s="86">
        <f>Table47[[#This Row],[Expected Revenue]]*Table47[[#This Row],[Probability]]</f>
        <v>0</v>
      </c>
      <c r="O624" s="78"/>
      <c r="P624" s="86">
        <f>Table47[[#This Row],[Expected Revenue]]*Table47[[#This Row],[Expected CMR]]</f>
        <v>0</v>
      </c>
      <c r="Q624" s="210"/>
    </row>
    <row r="625" spans="1:17" hidden="1">
      <c r="A625" s="173"/>
      <c r="B625" s="76"/>
      <c r="C625" s="77"/>
      <c r="D625" s="102"/>
      <c r="E625" s="77"/>
      <c r="F625" s="77"/>
      <c r="G625" s="77"/>
      <c r="H625" s="77"/>
      <c r="I625" s="76"/>
      <c r="J625" s="110"/>
      <c r="K625" s="77"/>
      <c r="L625" s="77"/>
      <c r="M625" s="77"/>
      <c r="N625" s="86">
        <f>Table47[[#This Row],[Expected Revenue]]*Table47[[#This Row],[Probability]]</f>
        <v>0</v>
      </c>
      <c r="O625" s="78"/>
      <c r="P625" s="86">
        <f>Table47[[#This Row],[Expected Revenue]]*Table47[[#This Row],[Expected CMR]]</f>
        <v>0</v>
      </c>
      <c r="Q625" s="210"/>
    </row>
    <row r="626" spans="1:17" hidden="1">
      <c r="A626" s="173"/>
      <c r="B626" s="76"/>
      <c r="C626" s="77"/>
      <c r="D626" s="102"/>
      <c r="E626" s="77"/>
      <c r="F626" s="77"/>
      <c r="G626" s="77"/>
      <c r="H626" s="77"/>
      <c r="I626" s="76"/>
      <c r="J626" s="110"/>
      <c r="K626" s="77"/>
      <c r="L626" s="77"/>
      <c r="M626" s="77"/>
      <c r="N626" s="86">
        <f>Table47[[#This Row],[Expected Revenue]]*Table47[[#This Row],[Probability]]</f>
        <v>0</v>
      </c>
      <c r="O626" s="78"/>
      <c r="P626" s="86">
        <f>Table47[[#This Row],[Expected Revenue]]*Table47[[#This Row],[Expected CMR]]</f>
        <v>0</v>
      </c>
      <c r="Q626" s="210"/>
    </row>
    <row r="627" spans="1:17" hidden="1">
      <c r="A627" s="173"/>
      <c r="B627" s="76"/>
      <c r="C627" s="77"/>
      <c r="D627" s="102"/>
      <c r="E627" s="77"/>
      <c r="F627" s="77"/>
      <c r="G627" s="77"/>
      <c r="H627" s="77"/>
      <c r="I627" s="76"/>
      <c r="J627" s="110"/>
      <c r="K627" s="77"/>
      <c r="L627" s="77"/>
      <c r="M627" s="77"/>
      <c r="N627" s="86">
        <f>Table47[[#This Row],[Expected Revenue]]*Table47[[#This Row],[Probability]]</f>
        <v>0</v>
      </c>
      <c r="O627" s="78"/>
      <c r="P627" s="86">
        <f>Table47[[#This Row],[Expected Revenue]]*Table47[[#This Row],[Expected CMR]]</f>
        <v>0</v>
      </c>
      <c r="Q627" s="210"/>
    </row>
    <row r="628" spans="1:17" hidden="1">
      <c r="A628" s="173"/>
      <c r="B628" s="76"/>
      <c r="C628" s="77"/>
      <c r="D628" s="102"/>
      <c r="E628" s="77"/>
      <c r="F628" s="77"/>
      <c r="G628" s="77"/>
      <c r="H628" s="77"/>
      <c r="I628" s="76"/>
      <c r="J628" s="110"/>
      <c r="K628" s="77"/>
      <c r="L628" s="77"/>
      <c r="M628" s="77"/>
      <c r="N628" s="86">
        <f>Table47[[#This Row],[Expected Revenue]]*Table47[[#This Row],[Probability]]</f>
        <v>0</v>
      </c>
      <c r="O628" s="78"/>
      <c r="P628" s="86">
        <f>Table47[[#This Row],[Expected Revenue]]*Table47[[#This Row],[Expected CMR]]</f>
        <v>0</v>
      </c>
      <c r="Q628" s="210"/>
    </row>
    <row r="629" spans="1:17" hidden="1">
      <c r="A629" s="173"/>
      <c r="B629" s="76"/>
      <c r="C629" s="77"/>
      <c r="D629" s="102"/>
      <c r="E629" s="77"/>
      <c r="F629" s="77"/>
      <c r="G629" s="77"/>
      <c r="H629" s="77"/>
      <c r="I629" s="76"/>
      <c r="J629" s="110"/>
      <c r="K629" s="77"/>
      <c r="L629" s="77"/>
      <c r="M629" s="77"/>
      <c r="N629" s="86">
        <f>Table47[[#This Row],[Expected Revenue]]*Table47[[#This Row],[Probability]]</f>
        <v>0</v>
      </c>
      <c r="O629" s="78"/>
      <c r="P629" s="86">
        <f>Table47[[#This Row],[Expected Revenue]]*Table47[[#This Row],[Expected CMR]]</f>
        <v>0</v>
      </c>
      <c r="Q629" s="210"/>
    </row>
    <row r="630" spans="1:17" hidden="1">
      <c r="A630" s="173"/>
      <c r="B630" s="76"/>
      <c r="C630" s="77"/>
      <c r="D630" s="102"/>
      <c r="E630" s="77"/>
      <c r="F630" s="77"/>
      <c r="G630" s="77"/>
      <c r="H630" s="77"/>
      <c r="I630" s="76"/>
      <c r="J630" s="110"/>
      <c r="K630" s="77"/>
      <c r="L630" s="77"/>
      <c r="M630" s="77"/>
      <c r="N630" s="86">
        <f>Table47[[#This Row],[Expected Revenue]]*Table47[[#This Row],[Probability]]</f>
        <v>0</v>
      </c>
      <c r="O630" s="78"/>
      <c r="P630" s="86">
        <f>Table47[[#This Row],[Expected Revenue]]*Table47[[#This Row],[Expected CMR]]</f>
        <v>0</v>
      </c>
      <c r="Q630" s="210"/>
    </row>
    <row r="631" spans="1:17" hidden="1">
      <c r="A631" s="173"/>
      <c r="B631" s="76"/>
      <c r="C631" s="77"/>
      <c r="D631" s="102"/>
      <c r="E631" s="77"/>
      <c r="F631" s="77"/>
      <c r="G631" s="77"/>
      <c r="H631" s="77"/>
      <c r="I631" s="76"/>
      <c r="J631" s="110"/>
      <c r="K631" s="77"/>
      <c r="L631" s="77"/>
      <c r="M631" s="77"/>
      <c r="N631" s="86">
        <f>Table47[[#This Row],[Expected Revenue]]*Table47[[#This Row],[Probability]]</f>
        <v>0</v>
      </c>
      <c r="O631" s="78"/>
      <c r="P631" s="86">
        <f>Table47[[#This Row],[Expected Revenue]]*Table47[[#This Row],[Expected CMR]]</f>
        <v>0</v>
      </c>
      <c r="Q631" s="210"/>
    </row>
    <row r="632" spans="1:17" hidden="1">
      <c r="A632" s="173"/>
      <c r="B632" s="76"/>
      <c r="C632" s="77"/>
      <c r="D632" s="102"/>
      <c r="E632" s="77"/>
      <c r="F632" s="77"/>
      <c r="G632" s="77"/>
      <c r="H632" s="77"/>
      <c r="I632" s="76"/>
      <c r="J632" s="110"/>
      <c r="K632" s="77"/>
      <c r="L632" s="77"/>
      <c r="M632" s="77"/>
      <c r="N632" s="86">
        <f>Table47[[#This Row],[Expected Revenue]]*Table47[[#This Row],[Probability]]</f>
        <v>0</v>
      </c>
      <c r="O632" s="78"/>
      <c r="P632" s="86">
        <f>Table47[[#This Row],[Expected Revenue]]*Table47[[#This Row],[Expected CMR]]</f>
        <v>0</v>
      </c>
      <c r="Q632" s="210"/>
    </row>
    <row r="633" spans="1:17" hidden="1">
      <c r="A633" s="173"/>
      <c r="B633" s="76"/>
      <c r="C633" s="77"/>
      <c r="D633" s="102"/>
      <c r="E633" s="77"/>
      <c r="F633" s="77"/>
      <c r="G633" s="77"/>
      <c r="H633" s="77"/>
      <c r="I633" s="76"/>
      <c r="J633" s="110"/>
      <c r="K633" s="77"/>
      <c r="L633" s="77"/>
      <c r="M633" s="77"/>
      <c r="N633" s="86">
        <f>Table47[[#This Row],[Expected Revenue]]*Table47[[#This Row],[Probability]]</f>
        <v>0</v>
      </c>
      <c r="O633" s="78"/>
      <c r="P633" s="86">
        <f>Table47[[#This Row],[Expected Revenue]]*Table47[[#This Row],[Expected CMR]]</f>
        <v>0</v>
      </c>
      <c r="Q633" s="210"/>
    </row>
    <row r="634" spans="1:17" hidden="1">
      <c r="A634" s="173"/>
      <c r="B634" s="76"/>
      <c r="C634" s="77"/>
      <c r="D634" s="102"/>
      <c r="E634" s="77"/>
      <c r="F634" s="77"/>
      <c r="G634" s="77"/>
      <c r="H634" s="77"/>
      <c r="I634" s="76"/>
      <c r="J634" s="110"/>
      <c r="K634" s="77"/>
      <c r="L634" s="77"/>
      <c r="M634" s="77"/>
      <c r="N634" s="86">
        <f>Table47[[#This Row],[Expected Revenue]]*Table47[[#This Row],[Probability]]</f>
        <v>0</v>
      </c>
      <c r="O634" s="78"/>
      <c r="P634" s="86">
        <f>Table47[[#This Row],[Expected Revenue]]*Table47[[#This Row],[Expected CMR]]</f>
        <v>0</v>
      </c>
      <c r="Q634" s="210"/>
    </row>
    <row r="635" spans="1:17" hidden="1">
      <c r="A635" s="173"/>
      <c r="B635" s="76"/>
      <c r="C635" s="77"/>
      <c r="D635" s="102"/>
      <c r="E635" s="77"/>
      <c r="F635" s="77"/>
      <c r="G635" s="77"/>
      <c r="H635" s="77"/>
      <c r="I635" s="76"/>
      <c r="J635" s="110"/>
      <c r="K635" s="77"/>
      <c r="L635" s="77"/>
      <c r="M635" s="77"/>
      <c r="N635" s="86">
        <f>Table47[[#This Row],[Expected Revenue]]*Table47[[#This Row],[Probability]]</f>
        <v>0</v>
      </c>
      <c r="O635" s="78"/>
      <c r="P635" s="86">
        <f>Table47[[#This Row],[Expected Revenue]]*Table47[[#This Row],[Expected CMR]]</f>
        <v>0</v>
      </c>
      <c r="Q635" s="210"/>
    </row>
    <row r="636" spans="1:17" hidden="1">
      <c r="A636" s="173"/>
      <c r="B636" s="76"/>
      <c r="C636" s="77"/>
      <c r="D636" s="102"/>
      <c r="E636" s="77"/>
      <c r="F636" s="77"/>
      <c r="G636" s="77"/>
      <c r="H636" s="77"/>
      <c r="I636" s="76"/>
      <c r="J636" s="110"/>
      <c r="K636" s="77"/>
      <c r="L636" s="77"/>
      <c r="M636" s="77"/>
      <c r="N636" s="86">
        <f>Table47[[#This Row],[Expected Revenue]]*Table47[[#This Row],[Probability]]</f>
        <v>0</v>
      </c>
      <c r="O636" s="78"/>
      <c r="P636" s="86">
        <f>Table47[[#This Row],[Expected Revenue]]*Table47[[#This Row],[Expected CMR]]</f>
        <v>0</v>
      </c>
      <c r="Q636" s="210"/>
    </row>
    <row r="637" spans="1:17" hidden="1">
      <c r="A637" s="173"/>
      <c r="B637" s="76"/>
      <c r="C637" s="77"/>
      <c r="D637" s="102"/>
      <c r="E637" s="77"/>
      <c r="F637" s="77"/>
      <c r="G637" s="77"/>
      <c r="H637" s="77"/>
      <c r="I637" s="76"/>
      <c r="J637" s="110"/>
      <c r="K637" s="77"/>
      <c r="L637" s="77"/>
      <c r="M637" s="77"/>
      <c r="N637" s="86">
        <f>Table47[[#This Row],[Expected Revenue]]*Table47[[#This Row],[Probability]]</f>
        <v>0</v>
      </c>
      <c r="O637" s="78"/>
      <c r="P637" s="86">
        <f>Table47[[#This Row],[Expected Revenue]]*Table47[[#This Row],[Expected CMR]]</f>
        <v>0</v>
      </c>
      <c r="Q637" s="210"/>
    </row>
    <row r="638" spans="1:17" hidden="1">
      <c r="A638" s="173"/>
      <c r="B638" s="76" t="s">
        <v>487</v>
      </c>
      <c r="C638" s="77" t="s">
        <v>57</v>
      </c>
      <c r="D638" s="102" t="s">
        <v>3173</v>
      </c>
      <c r="E638" s="77" t="s">
        <v>62</v>
      </c>
      <c r="F638" s="77" t="s">
        <v>58</v>
      </c>
      <c r="G638" s="77" t="s">
        <v>65</v>
      </c>
      <c r="H638" s="77" t="s">
        <v>297</v>
      </c>
      <c r="I638" s="76"/>
      <c r="J638" s="110" t="s">
        <v>84</v>
      </c>
      <c r="K638" s="77">
        <v>2021</v>
      </c>
      <c r="L638" s="78">
        <v>1</v>
      </c>
      <c r="M638" s="79">
        <v>12000</v>
      </c>
      <c r="N638" s="215">
        <v>12000</v>
      </c>
      <c r="O638" s="78">
        <v>0.3</v>
      </c>
      <c r="P638" s="86">
        <v>3600</v>
      </c>
      <c r="Q638" s="210"/>
    </row>
    <row r="639" spans="1:17" hidden="1">
      <c r="A639" s="173"/>
      <c r="B639" s="76" t="s">
        <v>3058</v>
      </c>
      <c r="C639" s="77" t="s">
        <v>3059</v>
      </c>
      <c r="D639" s="102" t="s">
        <v>3060</v>
      </c>
      <c r="E639" s="77" t="s">
        <v>88</v>
      </c>
      <c r="F639" s="77" t="s">
        <v>58</v>
      </c>
      <c r="G639" s="77" t="s">
        <v>295</v>
      </c>
      <c r="H639" s="77" t="s">
        <v>297</v>
      </c>
      <c r="I639" s="76"/>
      <c r="J639" s="110" t="s">
        <v>84</v>
      </c>
      <c r="K639" s="77">
        <v>2021</v>
      </c>
      <c r="L639" s="78">
        <v>1</v>
      </c>
      <c r="M639" s="79">
        <v>14537</v>
      </c>
      <c r="N639" s="215">
        <v>14537</v>
      </c>
      <c r="O639" s="78"/>
      <c r="P639" s="86">
        <v>0</v>
      </c>
      <c r="Q639" s="210"/>
    </row>
    <row r="640" spans="1:17" hidden="1">
      <c r="A640" s="173"/>
      <c r="B640" s="202" t="s">
        <v>130</v>
      </c>
      <c r="C640" s="77" t="s">
        <v>3059</v>
      </c>
      <c r="D640" s="102" t="s">
        <v>3060</v>
      </c>
      <c r="E640" s="77" t="s">
        <v>88</v>
      </c>
      <c r="F640" s="77" t="s">
        <v>58</v>
      </c>
      <c r="G640" s="77" t="s">
        <v>295</v>
      </c>
      <c r="H640" s="77" t="s">
        <v>297</v>
      </c>
      <c r="I640" s="76"/>
      <c r="J640" s="110" t="s">
        <v>84</v>
      </c>
      <c r="K640" s="77">
        <v>2021</v>
      </c>
      <c r="L640" s="78">
        <v>1</v>
      </c>
      <c r="M640" s="79">
        <v>15000</v>
      </c>
      <c r="N640" s="215">
        <v>15000</v>
      </c>
      <c r="O640" s="78"/>
      <c r="P640" s="86">
        <v>0</v>
      </c>
      <c r="Q640" s="210"/>
    </row>
    <row r="641" spans="1:17" hidden="1">
      <c r="A641" s="173"/>
      <c r="B641" s="76" t="s">
        <v>122</v>
      </c>
      <c r="C641" s="77" t="s">
        <v>57</v>
      </c>
      <c r="D641" s="102" t="s">
        <v>3196</v>
      </c>
      <c r="E641" s="77" t="s">
        <v>92</v>
      </c>
      <c r="F641" s="77" t="s">
        <v>58</v>
      </c>
      <c r="G641" s="77" t="s">
        <v>65</v>
      </c>
      <c r="H641" s="77" t="s">
        <v>297</v>
      </c>
      <c r="I641" s="77"/>
      <c r="J641" s="110" t="s">
        <v>84</v>
      </c>
      <c r="K641" s="77">
        <v>2021</v>
      </c>
      <c r="L641" s="78">
        <v>1</v>
      </c>
      <c r="M641" s="79">
        <v>18622</v>
      </c>
      <c r="N641" s="214">
        <v>18622</v>
      </c>
      <c r="O641" s="78">
        <v>0.3</v>
      </c>
      <c r="P641" s="79">
        <v>8344.7999999999993</v>
      </c>
      <c r="Q641" s="209"/>
    </row>
    <row r="642" spans="1:17" hidden="1">
      <c r="A642" s="173"/>
      <c r="B642" s="76" t="s">
        <v>487</v>
      </c>
      <c r="C642" s="77" t="s">
        <v>3059</v>
      </c>
      <c r="D642" s="102" t="s">
        <v>1236</v>
      </c>
      <c r="E642" s="77" t="s">
        <v>92</v>
      </c>
      <c r="F642" s="77" t="s">
        <v>58</v>
      </c>
      <c r="G642" s="77" t="s">
        <v>65</v>
      </c>
      <c r="H642" s="77" t="s">
        <v>297</v>
      </c>
      <c r="I642" s="76"/>
      <c r="J642" s="110" t="s">
        <v>84</v>
      </c>
      <c r="K642" s="77">
        <v>2021</v>
      </c>
      <c r="L642" s="78">
        <v>1</v>
      </c>
      <c r="M642" s="79">
        <v>19000</v>
      </c>
      <c r="N642" s="215">
        <v>19000</v>
      </c>
      <c r="O642" s="78">
        <v>0.3</v>
      </c>
      <c r="P642" s="86">
        <v>5700</v>
      </c>
      <c r="Q642" s="210"/>
    </row>
    <row r="643" spans="1:17" hidden="1">
      <c r="A643" s="174"/>
      <c r="B643" s="82" t="s">
        <v>3201</v>
      </c>
      <c r="C643" s="77" t="s">
        <v>57</v>
      </c>
      <c r="D643" s="103" t="s">
        <v>112</v>
      </c>
      <c r="E643" s="77" t="s">
        <v>71</v>
      </c>
      <c r="F643" s="83" t="s">
        <v>58</v>
      </c>
      <c r="G643" s="83" t="s">
        <v>65</v>
      </c>
      <c r="H643" s="77" t="s">
        <v>297</v>
      </c>
      <c r="I643" s="82"/>
      <c r="J643" s="156" t="s">
        <v>84</v>
      </c>
      <c r="K643" s="77">
        <v>2021</v>
      </c>
      <c r="L643" s="84">
        <v>1</v>
      </c>
      <c r="M643" s="85">
        <v>20000</v>
      </c>
      <c r="N643" s="215">
        <v>20000</v>
      </c>
      <c r="O643" s="84">
        <v>0.3</v>
      </c>
      <c r="P643" s="87">
        <v>6000</v>
      </c>
      <c r="Q643" s="210"/>
    </row>
    <row r="644" spans="1:17" hidden="1">
      <c r="A644" s="173"/>
      <c r="B644" s="202" t="s">
        <v>104</v>
      </c>
      <c r="C644" s="77" t="s">
        <v>3059</v>
      </c>
      <c r="D644" s="102" t="s">
        <v>3185</v>
      </c>
      <c r="E644" s="77" t="s">
        <v>62</v>
      </c>
      <c r="F644" s="77" t="s">
        <v>58</v>
      </c>
      <c r="G644" s="77" t="s">
        <v>295</v>
      </c>
      <c r="H644" s="77" t="s">
        <v>297</v>
      </c>
      <c r="I644" s="76"/>
      <c r="J644" s="110" t="s">
        <v>84</v>
      </c>
      <c r="K644" s="77">
        <v>2021</v>
      </c>
      <c r="L644" s="78">
        <v>1</v>
      </c>
      <c r="M644" s="79">
        <v>21000</v>
      </c>
      <c r="N644" s="215">
        <v>21000</v>
      </c>
      <c r="O644" s="78"/>
      <c r="P644" s="86"/>
      <c r="Q644" s="210"/>
    </row>
    <row r="645" spans="1:17" hidden="1">
      <c r="A645" s="173"/>
      <c r="B645" s="76" t="s">
        <v>296</v>
      </c>
      <c r="C645" s="77"/>
      <c r="D645" s="102"/>
      <c r="E645" s="77" t="s">
        <v>251</v>
      </c>
      <c r="F645" s="77" t="s">
        <v>58</v>
      </c>
      <c r="G645" s="77" t="s">
        <v>3181</v>
      </c>
      <c r="H645" s="77" t="s">
        <v>296</v>
      </c>
      <c r="I645" s="76"/>
      <c r="J645" s="110" t="s">
        <v>84</v>
      </c>
      <c r="K645" s="77">
        <v>2021</v>
      </c>
      <c r="L645" s="78">
        <v>1</v>
      </c>
      <c r="M645" s="79">
        <v>200000</v>
      </c>
      <c r="N645" s="215">
        <v>100000</v>
      </c>
      <c r="O645" s="78"/>
      <c r="P645" s="86">
        <v>0</v>
      </c>
      <c r="Q645" s="210"/>
    </row>
    <row r="646" spans="1:17" hidden="1">
      <c r="A646" s="173"/>
      <c r="B646" s="76" t="s">
        <v>146</v>
      </c>
      <c r="C646" s="77" t="s">
        <v>3059</v>
      </c>
      <c r="D646" s="102" t="s">
        <v>3055</v>
      </c>
      <c r="E646" s="77" t="s">
        <v>292</v>
      </c>
      <c r="F646" s="77" t="s">
        <v>58</v>
      </c>
      <c r="G646" s="77" t="s">
        <v>295</v>
      </c>
      <c r="H646" s="77" t="s">
        <v>297</v>
      </c>
      <c r="I646" s="76"/>
      <c r="J646" s="110" t="s">
        <v>84</v>
      </c>
      <c r="K646" s="77">
        <v>2021</v>
      </c>
      <c r="L646" s="78">
        <v>1</v>
      </c>
      <c r="M646" s="79">
        <v>13900</v>
      </c>
      <c r="N646" s="86">
        <v>13900</v>
      </c>
      <c r="O646" s="78"/>
      <c r="P646" s="86"/>
      <c r="Q646" s="210"/>
    </row>
    <row r="647" spans="1:17" hidden="1">
      <c r="A647" s="173"/>
      <c r="B647" s="76"/>
      <c r="C647" s="77"/>
      <c r="D647" s="102"/>
      <c r="E647" s="77"/>
      <c r="F647" s="77"/>
      <c r="G647" s="77"/>
      <c r="H647" s="77"/>
      <c r="I647" s="76"/>
      <c r="J647" s="110"/>
      <c r="K647" s="77"/>
      <c r="L647" s="77"/>
      <c r="M647" s="77"/>
      <c r="N647" s="86">
        <f>Table47[[#This Row],[Expected Revenue]]*Table47[[#This Row],[Probability]]</f>
        <v>0</v>
      </c>
      <c r="O647" s="78"/>
      <c r="P647" s="86">
        <f>Table47[[#This Row],[Expected Revenue]]*Table47[[#This Row],[Expected CMR]]</f>
        <v>0</v>
      </c>
      <c r="Q647" s="210"/>
    </row>
    <row r="648" spans="1:17" hidden="1">
      <c r="A648" s="173"/>
      <c r="B648" s="76"/>
      <c r="C648" s="77"/>
      <c r="D648" s="102"/>
      <c r="E648" s="77"/>
      <c r="F648" s="77"/>
      <c r="G648" s="77"/>
      <c r="H648" s="77"/>
      <c r="I648" s="76"/>
      <c r="J648" s="110"/>
      <c r="K648" s="77"/>
      <c r="L648" s="77"/>
      <c r="M648" s="77"/>
      <c r="N648" s="86">
        <f>Table47[[#This Row],[Expected Revenue]]*Table47[[#This Row],[Probability]]</f>
        <v>0</v>
      </c>
      <c r="O648" s="78"/>
      <c r="P648" s="86">
        <f>Table47[[#This Row],[Expected Revenue]]*Table47[[#This Row],[Expected CMR]]</f>
        <v>0</v>
      </c>
      <c r="Q648" s="210"/>
    </row>
    <row r="649" spans="1:17" hidden="1">
      <c r="A649" s="173"/>
      <c r="B649" s="76"/>
      <c r="C649" s="77"/>
      <c r="D649" s="102"/>
      <c r="E649" s="77"/>
      <c r="F649" s="77"/>
      <c r="G649" s="77"/>
      <c r="H649" s="77"/>
      <c r="I649" s="76"/>
      <c r="J649" s="110"/>
      <c r="K649" s="77"/>
      <c r="L649" s="77"/>
      <c r="M649" s="77"/>
      <c r="N649" s="86">
        <f>Table47[[#This Row],[Expected Revenue]]*Table47[[#This Row],[Probability]]</f>
        <v>0</v>
      </c>
      <c r="O649" s="78"/>
      <c r="P649" s="86">
        <f>Table47[[#This Row],[Expected Revenue]]*Table47[[#This Row],[Expected CMR]]</f>
        <v>0</v>
      </c>
      <c r="Q649" s="210"/>
    </row>
    <row r="650" spans="1:17" hidden="1">
      <c r="A650" s="173"/>
      <c r="B650" s="76"/>
      <c r="C650" s="77"/>
      <c r="D650" s="102"/>
      <c r="E650" s="77"/>
      <c r="F650" s="77"/>
      <c r="G650" s="77"/>
      <c r="H650" s="77"/>
      <c r="I650" s="76"/>
      <c r="J650" s="110"/>
      <c r="K650" s="77"/>
      <c r="L650" s="77"/>
      <c r="M650" s="77"/>
      <c r="N650" s="86">
        <f>Table47[[#This Row],[Expected Revenue]]*Table47[[#This Row],[Probability]]</f>
        <v>0</v>
      </c>
      <c r="O650" s="78"/>
      <c r="P650" s="86">
        <f>Table47[[#This Row],[Expected Revenue]]*Table47[[#This Row],[Expected CMR]]</f>
        <v>0</v>
      </c>
      <c r="Q650" s="210"/>
    </row>
    <row r="651" spans="1:17" hidden="1">
      <c r="A651" s="173"/>
      <c r="B651" s="76"/>
      <c r="C651" s="77"/>
      <c r="D651" s="102"/>
      <c r="E651" s="77"/>
      <c r="F651" s="77"/>
      <c r="G651" s="77"/>
      <c r="H651" s="77"/>
      <c r="I651" s="76"/>
      <c r="J651" s="110"/>
      <c r="K651" s="77"/>
      <c r="L651" s="77"/>
      <c r="M651" s="77"/>
      <c r="N651" s="86">
        <f>Table47[[#This Row],[Expected Revenue]]*Table47[[#This Row],[Probability]]</f>
        <v>0</v>
      </c>
      <c r="O651" s="78"/>
      <c r="P651" s="86">
        <f>Table47[[#This Row],[Expected Revenue]]*Table47[[#This Row],[Expected CMR]]</f>
        <v>0</v>
      </c>
      <c r="Q651" s="210"/>
    </row>
    <row r="652" spans="1:17" hidden="1">
      <c r="A652" s="173"/>
      <c r="B652" s="76"/>
      <c r="C652" s="77"/>
      <c r="D652" s="102"/>
      <c r="E652" s="77"/>
      <c r="F652" s="77"/>
      <c r="G652" s="77"/>
      <c r="H652" s="77"/>
      <c r="I652" s="76"/>
      <c r="J652" s="110"/>
      <c r="K652" s="77"/>
      <c r="L652" s="77"/>
      <c r="M652" s="77"/>
      <c r="N652" s="86">
        <f>Table47[[#This Row],[Expected Revenue]]*Table47[[#This Row],[Probability]]</f>
        <v>0</v>
      </c>
      <c r="O652" s="78"/>
      <c r="P652" s="86">
        <f>Table47[[#This Row],[Expected Revenue]]*Table47[[#This Row],[Expected CMR]]</f>
        <v>0</v>
      </c>
      <c r="Q652" s="210"/>
    </row>
    <row r="653" spans="1:17" hidden="1">
      <c r="A653" s="173"/>
      <c r="B653" s="76"/>
      <c r="C653" s="77"/>
      <c r="D653" s="102"/>
      <c r="E653" s="77"/>
      <c r="F653" s="77"/>
      <c r="G653" s="77"/>
      <c r="H653" s="77"/>
      <c r="I653" s="76"/>
      <c r="J653" s="110"/>
      <c r="K653" s="77"/>
      <c r="L653" s="77"/>
      <c r="M653" s="77"/>
      <c r="N653" s="86">
        <f>Table47[[#This Row],[Expected Revenue]]*Table47[[#This Row],[Probability]]</f>
        <v>0</v>
      </c>
      <c r="O653" s="78"/>
      <c r="P653" s="86">
        <f>Table47[[#This Row],[Expected Revenue]]*Table47[[#This Row],[Expected CMR]]</f>
        <v>0</v>
      </c>
      <c r="Q653" s="210"/>
    </row>
    <row r="654" spans="1:17" hidden="1">
      <c r="A654" s="173"/>
      <c r="B654" s="76"/>
      <c r="C654" s="77"/>
      <c r="D654" s="102"/>
      <c r="E654" s="77"/>
      <c r="F654" s="77"/>
      <c r="G654" s="77"/>
      <c r="H654" s="77"/>
      <c r="I654" s="76"/>
      <c r="J654" s="110"/>
      <c r="K654" s="77"/>
      <c r="L654" s="77"/>
      <c r="M654" s="77"/>
      <c r="N654" s="86">
        <f>Table47[[#This Row],[Expected Revenue]]*Table47[[#This Row],[Probability]]</f>
        <v>0</v>
      </c>
      <c r="O654" s="78"/>
      <c r="P654" s="86">
        <f>Table47[[#This Row],[Expected Revenue]]*Table47[[#This Row],[Expected CMR]]</f>
        <v>0</v>
      </c>
      <c r="Q654" s="210"/>
    </row>
    <row r="655" spans="1:17" hidden="1">
      <c r="A655" s="173"/>
      <c r="B655" s="76"/>
      <c r="C655" s="77"/>
      <c r="D655" s="102"/>
      <c r="E655" s="77"/>
      <c r="F655" s="77"/>
      <c r="G655" s="77"/>
      <c r="H655" s="77"/>
      <c r="I655" s="76"/>
      <c r="J655" s="110"/>
      <c r="K655" s="77"/>
      <c r="L655" s="77"/>
      <c r="M655" s="77"/>
      <c r="N655" s="86">
        <f>Table47[[#This Row],[Expected Revenue]]*Table47[[#This Row],[Probability]]</f>
        <v>0</v>
      </c>
      <c r="O655" s="78"/>
      <c r="P655" s="86">
        <f>Table47[[#This Row],[Expected Revenue]]*Table47[[#This Row],[Expected CMR]]</f>
        <v>0</v>
      </c>
      <c r="Q655" s="210"/>
    </row>
    <row r="656" spans="1:17" hidden="1">
      <c r="A656" s="173"/>
      <c r="B656" s="76"/>
      <c r="C656" s="77"/>
      <c r="D656" s="102"/>
      <c r="E656" s="77"/>
      <c r="F656" s="77"/>
      <c r="G656" s="77"/>
      <c r="H656" s="77"/>
      <c r="I656" s="76"/>
      <c r="J656" s="110"/>
      <c r="K656" s="77"/>
      <c r="L656" s="77"/>
      <c r="M656" s="77"/>
      <c r="N656" s="86">
        <f>Table47[[#This Row],[Expected Revenue]]*Table47[[#This Row],[Probability]]</f>
        <v>0</v>
      </c>
      <c r="O656" s="78"/>
      <c r="P656" s="86">
        <f>Table47[[#This Row],[Expected Revenue]]*Table47[[#This Row],[Expected CMR]]</f>
        <v>0</v>
      </c>
      <c r="Q656" s="210"/>
    </row>
    <row r="657" spans="1:17" hidden="1">
      <c r="A657" s="173"/>
      <c r="B657" s="76"/>
      <c r="C657" s="77"/>
      <c r="D657" s="102"/>
      <c r="E657" s="77"/>
      <c r="F657" s="77"/>
      <c r="G657" s="77"/>
      <c r="H657" s="77"/>
      <c r="I657" s="76"/>
      <c r="J657" s="110"/>
      <c r="K657" s="77"/>
      <c r="L657" s="77"/>
      <c r="M657" s="77"/>
      <c r="N657" s="86">
        <f>Table47[[#This Row],[Expected Revenue]]*Table47[[#This Row],[Probability]]</f>
        <v>0</v>
      </c>
      <c r="O657" s="78"/>
      <c r="P657" s="86">
        <f>Table47[[#This Row],[Expected Revenue]]*Table47[[#This Row],[Expected CMR]]</f>
        <v>0</v>
      </c>
      <c r="Q657" s="210"/>
    </row>
    <row r="658" spans="1:17" hidden="1">
      <c r="A658" s="173"/>
      <c r="B658" s="76"/>
      <c r="C658" s="77"/>
      <c r="D658" s="102"/>
      <c r="E658" s="77"/>
      <c r="F658" s="77"/>
      <c r="G658" s="77"/>
      <c r="H658" s="77"/>
      <c r="I658" s="76"/>
      <c r="J658" s="110"/>
      <c r="K658" s="77"/>
      <c r="L658" s="77"/>
      <c r="M658" s="77"/>
      <c r="N658" s="86">
        <f>Table47[[#This Row],[Expected Revenue]]*Table47[[#This Row],[Probability]]</f>
        <v>0</v>
      </c>
      <c r="O658" s="78"/>
      <c r="P658" s="86">
        <f>Table47[[#This Row],[Expected Revenue]]*Table47[[#This Row],[Expected CMR]]</f>
        <v>0</v>
      </c>
      <c r="Q658" s="210"/>
    </row>
    <row r="659" spans="1:17" hidden="1">
      <c r="A659" s="173"/>
      <c r="B659" s="76"/>
      <c r="C659" s="77"/>
      <c r="D659" s="102"/>
      <c r="E659" s="77"/>
      <c r="F659" s="77"/>
      <c r="G659" s="77"/>
      <c r="H659" s="77"/>
      <c r="I659" s="76"/>
      <c r="J659" s="110"/>
      <c r="K659" s="77"/>
      <c r="L659" s="77"/>
      <c r="M659" s="77"/>
      <c r="N659" s="86">
        <f>Table47[[#This Row],[Expected Revenue]]*Table47[[#This Row],[Probability]]</f>
        <v>0</v>
      </c>
      <c r="O659" s="78"/>
      <c r="P659" s="86">
        <f>Table47[[#This Row],[Expected Revenue]]*Table47[[#This Row],[Expected CMR]]</f>
        <v>0</v>
      </c>
      <c r="Q659" s="210"/>
    </row>
    <row r="660" spans="1:17" hidden="1">
      <c r="A660" s="173"/>
      <c r="B660" s="76"/>
      <c r="C660" s="77"/>
      <c r="D660" s="102"/>
      <c r="E660" s="77"/>
      <c r="F660" s="77"/>
      <c r="G660" s="77"/>
      <c r="H660" s="77"/>
      <c r="I660" s="76"/>
      <c r="J660" s="110"/>
      <c r="K660" s="77"/>
      <c r="L660" s="77"/>
      <c r="M660" s="77"/>
      <c r="N660" s="86">
        <f>Table47[[#This Row],[Expected Revenue]]*Table47[[#This Row],[Probability]]</f>
        <v>0</v>
      </c>
      <c r="O660" s="78"/>
      <c r="P660" s="86">
        <f>Table47[[#This Row],[Expected Revenue]]*Table47[[#This Row],[Expected CMR]]</f>
        <v>0</v>
      </c>
      <c r="Q660" s="210"/>
    </row>
    <row r="661" spans="1:17" hidden="1">
      <c r="A661" s="173"/>
      <c r="B661" s="76"/>
      <c r="C661" s="77"/>
      <c r="D661" s="102"/>
      <c r="E661" s="77"/>
      <c r="F661" s="77"/>
      <c r="G661" s="77"/>
      <c r="H661" s="77"/>
      <c r="I661" s="76"/>
      <c r="J661" s="110"/>
      <c r="K661" s="77"/>
      <c r="L661" s="77"/>
      <c r="M661" s="77"/>
      <c r="N661" s="86">
        <f>Table47[[#This Row],[Expected Revenue]]*Table47[[#This Row],[Probability]]</f>
        <v>0</v>
      </c>
      <c r="O661" s="78"/>
      <c r="P661" s="86">
        <f>Table47[[#This Row],[Expected Revenue]]*Table47[[#This Row],[Expected CMR]]</f>
        <v>0</v>
      </c>
      <c r="Q661" s="210"/>
    </row>
    <row r="662" spans="1:17" hidden="1">
      <c r="A662" s="173"/>
      <c r="B662" s="76"/>
      <c r="C662" s="77"/>
      <c r="D662" s="102"/>
      <c r="E662" s="77"/>
      <c r="F662" s="77"/>
      <c r="G662" s="77"/>
      <c r="H662" s="77"/>
      <c r="I662" s="76"/>
      <c r="J662" s="110"/>
      <c r="K662" s="77"/>
      <c r="L662" s="77"/>
      <c r="M662" s="77"/>
      <c r="N662" s="86">
        <f>Table47[[#This Row],[Expected Revenue]]*Table47[[#This Row],[Probability]]</f>
        <v>0</v>
      </c>
      <c r="O662" s="78"/>
      <c r="P662" s="86">
        <f>Table47[[#This Row],[Expected Revenue]]*Table47[[#This Row],[Expected CMR]]</f>
        <v>0</v>
      </c>
      <c r="Q662" s="210"/>
    </row>
    <row r="663" spans="1:17" hidden="1">
      <c r="A663" s="173"/>
      <c r="B663" s="76"/>
      <c r="C663" s="77"/>
      <c r="D663" s="102"/>
      <c r="E663" s="77"/>
      <c r="F663" s="77"/>
      <c r="G663" s="77"/>
      <c r="H663" s="77"/>
      <c r="I663" s="76"/>
      <c r="J663" s="110"/>
      <c r="K663" s="77"/>
      <c r="L663" s="77"/>
      <c r="M663" s="77"/>
      <c r="N663" s="86">
        <f>Table47[[#This Row],[Expected Revenue]]*Table47[[#This Row],[Probability]]</f>
        <v>0</v>
      </c>
      <c r="O663" s="78"/>
      <c r="P663" s="86">
        <f>Table47[[#This Row],[Expected Revenue]]*Table47[[#This Row],[Expected CMR]]</f>
        <v>0</v>
      </c>
      <c r="Q663" s="210"/>
    </row>
    <row r="664" spans="1:17" hidden="1">
      <c r="A664" s="173"/>
      <c r="B664" s="76"/>
      <c r="C664" s="77"/>
      <c r="D664" s="102"/>
      <c r="E664" s="77"/>
      <c r="F664" s="77"/>
      <c r="G664" s="77"/>
      <c r="H664" s="77"/>
      <c r="I664" s="76"/>
      <c r="J664" s="110"/>
      <c r="K664" s="77"/>
      <c r="L664" s="77"/>
      <c r="M664" s="77"/>
      <c r="N664" s="86">
        <f>Table47[[#This Row],[Expected Revenue]]*Table47[[#This Row],[Probability]]</f>
        <v>0</v>
      </c>
      <c r="O664" s="78"/>
      <c r="P664" s="86">
        <f>Table47[[#This Row],[Expected Revenue]]*Table47[[#This Row],[Expected CMR]]</f>
        <v>0</v>
      </c>
      <c r="Q664" s="210"/>
    </row>
    <row r="665" spans="1:17" hidden="1">
      <c r="A665" s="173"/>
      <c r="B665" s="76"/>
      <c r="C665" s="77"/>
      <c r="D665" s="102"/>
      <c r="E665" s="77"/>
      <c r="F665" s="77"/>
      <c r="G665" s="77"/>
      <c r="H665" s="77"/>
      <c r="I665" s="76"/>
      <c r="J665" s="110"/>
      <c r="K665" s="77"/>
      <c r="L665" s="77"/>
      <c r="M665" s="77"/>
      <c r="N665" s="86">
        <f>Table47[[#This Row],[Expected Revenue]]*Table47[[#This Row],[Probability]]</f>
        <v>0</v>
      </c>
      <c r="O665" s="78"/>
      <c r="P665" s="86">
        <f>Table47[[#This Row],[Expected Revenue]]*Table47[[#This Row],[Expected CMR]]</f>
        <v>0</v>
      </c>
      <c r="Q665" s="210"/>
    </row>
    <row r="666" spans="1:17">
      <c r="A666" s="174"/>
      <c r="B666" s="82"/>
      <c r="C666" s="77"/>
      <c r="D666" s="103"/>
      <c r="E666" s="83"/>
      <c r="F666" s="77"/>
      <c r="G666" s="83"/>
      <c r="H666" s="83"/>
      <c r="I666" s="82"/>
      <c r="J666" s="156"/>
      <c r="K666" s="83"/>
      <c r="L666" s="83"/>
      <c r="M666" s="83">
        <f>SUBTOTAL(109,Table47[Expected Revenue])</f>
        <v>883002.52874999994</v>
      </c>
      <c r="N666" s="83">
        <f>SUBTOTAL(109,Table47[Rev. Based on PROB])</f>
        <v>868582.02874999994</v>
      </c>
      <c r="O666" s="83"/>
      <c r="P666" s="87"/>
      <c r="Q666" s="83"/>
    </row>
    <row r="670" spans="1:17">
      <c r="A670" s="980"/>
      <c r="B670" s="980"/>
      <c r="C670" s="980"/>
      <c r="D670" s="987"/>
      <c r="E670" s="980"/>
      <c r="F670" s="980"/>
      <c r="G670" s="1002"/>
      <c r="H670" s="1002"/>
      <c r="I670" s="980"/>
      <c r="J670" s="980"/>
      <c r="K670" s="980"/>
      <c r="L670" s="980"/>
      <c r="M670" s="980"/>
      <c r="N670" s="980"/>
      <c r="O670" s="980"/>
      <c r="P670" s="980"/>
      <c r="Q670" s="980"/>
    </row>
    <row r="671" spans="1:17">
      <c r="A671" s="980"/>
      <c r="B671" s="980"/>
      <c r="C671" s="980"/>
      <c r="D671" s="987"/>
      <c r="E671" s="980"/>
      <c r="F671" s="980"/>
      <c r="G671" s="1002"/>
      <c r="H671" s="1002"/>
      <c r="I671" s="980"/>
      <c r="J671" s="980"/>
      <c r="K671" s="980"/>
      <c r="L671" s="980"/>
      <c r="M671" s="980"/>
      <c r="N671" s="980"/>
      <c r="O671" s="980"/>
      <c r="P671" s="980"/>
      <c r="Q671" s="980"/>
    </row>
    <row r="672" spans="1:17">
      <c r="A672" s="980"/>
      <c r="B672" s="980"/>
      <c r="C672" s="980"/>
      <c r="D672" s="987"/>
      <c r="E672" s="980"/>
      <c r="F672" s="980"/>
      <c r="G672" s="1002"/>
      <c r="H672" s="1002"/>
      <c r="I672" s="980"/>
      <c r="J672" s="980"/>
      <c r="K672" s="980"/>
      <c r="L672" s="980"/>
      <c r="M672" s="980"/>
      <c r="N672" s="980"/>
      <c r="O672" s="980"/>
      <c r="P672" s="980"/>
      <c r="Q672" s="980"/>
    </row>
  </sheetData>
  <mergeCells count="1">
    <mergeCell ref="A1:D1"/>
  </mergeCells>
  <dataValidations count="1">
    <dataValidation type="list" allowBlank="1" showInputMessage="1" showErrorMessage="1" sqref="G324 G320 H378:H412 G327:G328 G330:G348 G646 G312:G315 G309 G350:G369 G376:G412" xr:uid="{87ECDDF7-3803-406A-8C04-BFB70B5FC6E6}">
      <formula1>$BZ$2:$BZ$6</formula1>
    </dataValidation>
  </dataValidations>
  <pageMargins left="0.7" right="0.7" top="0.75" bottom="0.75" header="0.3" footer="0.3"/>
  <pageSetup paperSize="5" scale="68" fitToHeight="0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D105C5DF-3AD0-4A69-A67D-5E6B97BF299B}">
          <x14:formula1>
            <xm:f>Validation!$D$3:$D$60</xm:f>
          </x14:formula1>
          <xm:sqref>C97:C98 C139 C142:C143 C220 C223:C224 C435 C438:C439</xm:sqref>
        </x14:dataValidation>
        <x14:dataValidation type="list" allowBlank="1" showInputMessage="1" showErrorMessage="1" xr:uid="{3AE6B496-7C73-4EC8-B85F-057478C08A72}">
          <x14:formula1>
            <xm:f>Validation!$D$3:$D$341</xm:f>
          </x14:formula1>
          <xm:sqref>C9:C18 C4:C5</xm:sqref>
        </x14:dataValidation>
        <x14:dataValidation type="list" allowBlank="1" showInputMessage="1" xr:uid="{2635B4C1-06F5-435C-A653-BCA8552E3E78}">
          <x14:formula1>
            <xm:f>Validation!$L$3:$L$39</xm:f>
          </x14:formula1>
          <xm:sqref>B170:B171 B4:B18 B585 B242:B256 B127:B152 B28:B125 B294:B297 B450:B455 B415:B447 B462 B287:B290 B590 B186:B239 B614 B642:B643 B638:B639 B276:B282</xm:sqref>
        </x14:dataValidation>
        <x14:dataValidation type="list" allowBlank="1" showInputMessage="1" showErrorMessage="1" xr:uid="{FFB68319-3276-4221-A225-3BB383330C4B}">
          <x14:formula1>
            <xm:f>Validation!$D$3:$D$31</xm:f>
          </x14:formula1>
          <xm:sqref>C6:C8 C140:C141 C186:C187 C170:C173 C221:C222 C99:C138 C241:C242 C154:C156 C294:C297 C299:C302 C287:C288 C144:C152 C587:C591 C192:C219 C436:C437 C449:C450 C440:C447 C459 C462 C19:C96 C415:C434 C269:C274 C225:C239 C614 C642:C643 C640 C276:C282</xm:sqref>
        </x14:dataValidation>
        <x14:dataValidation type="list" allowBlank="1" showInputMessage="1" xr:uid="{1A0A6DCB-AB2C-4CE6-AAD2-43ECE685A556}">
          <x14:formula1>
            <xm:f>Validation!$C$3:$C$14</xm:f>
          </x14:formula1>
          <xm:sqref>K6:K8 K181:K183 K170:K174 K28:K163 K585:K604 K415:K464 K186:K256 K287:K297 K614:K620 K638:K646 K370:K372 K276:K282</xm:sqref>
        </x14:dataValidation>
        <x14:dataValidation type="list" allowBlank="1" showInputMessage="1" showErrorMessage="1" xr:uid="{4DC8DAAB-2350-4F84-98B9-31484E3874CE}">
          <x14:formula1>
            <xm:f>Validation!$B$3:$B$14</xm:f>
          </x14:formula1>
          <xm:sqref>J6:J8 J138:J140 J172:J174 J170 J154:J156 J186:J221 J241:J256 J143:J152 J20:J136 J462 J438:J447 J449:J455 J415:J436 J585 J590 J223:J239 J287:J297 J614 J641:J643 J276:J282 J638:J639 J370:J371</xm:sqref>
        </x14:dataValidation>
        <x14:dataValidation type="list" allowBlank="1" showInputMessage="1" xr:uid="{61EDFDE9-24E3-4FDF-9B3F-4F1469858BE5}">
          <x14:formula1>
            <xm:f>Validation!$G$3:$G$13</xm:f>
          </x14:formula1>
          <xm:sqref>G6:G8 H177:H180 H166:H169 G11:H11 I243:I256 G258:H258 G322:H323 G316:G319 G261:H261 H260 H171:H175 G186:G256 H4:H10 G170:G174 H360:H377 G586:H593 H308:H310 G181:H183 H249:H256 I451:I455 G325:G326 G415:H464 G311:H311 G263:H274 G604:H604 G585:I585 H184:H247 G284:G297 G21:G163 H644:H646 G614:H617 G619:H620 H12:H164 G299:G303 H312:H319 G370:G375 H348:H358 G638:I639 G640:H643 G329 H324:H346 G276:G282 H275:H303 G594 G603</xm:sqref>
        </x14:dataValidation>
        <x14:dataValidation type="list" allowBlank="1" showInputMessage="1" xr:uid="{C2BA68B0-12E1-48F1-BE2F-76A1188546AA}">
          <x14:formula1>
            <xm:f>Validation!$I$3:$I$12</xm:f>
          </x14:formula1>
          <xm:sqref>F6:F8 F164 F181:F183 F170:F174 F154:F162 F241:F256 F21:F152 F299:F302 F585 F269:F274 F449:F455 F459 F462 F415:F447 F587:F591 F186:F239 F287:F297 F614 F638:F643 F370:F372 F276:F282</xm:sqref>
        </x14:dataValidation>
        <x14:dataValidation type="list" allowBlank="1" showInputMessage="1" xr:uid="{E6DA69E9-82B0-4376-8060-5E508CB8FF99}">
          <x14:formula1>
            <xm:f>Validation!$N$3:$N$16</xm:f>
          </x14:formula1>
          <xm:sqref>E6 E170:E174 E154:E162 E253:E256 E429:E430 E363:E364 E242:E249 E20:E21 E228 E367 E42:E55 E585 E327:E328 E351 E302:E303 E61:E65 E319 E322:E323 E31:E33 E36:E38 E23:E29 E67 E186:E219 E70:E116 E224 E59 E337 E419:E422 E427 E432:E434 E450 E443 E445 E439 E452:E455 E463:E464 E416 E284 E287:E290 E591:E592 E604 E230:E237 E118:E152 E353</xm:sqref>
        </x14:dataValidation>
        <x14:dataValidation type="list" allowBlank="1" showInputMessage="1" showErrorMessage="1" xr:uid="{3A2F94A2-799E-43E9-BF61-326BB5988AC1}">
          <x14:formula1>
            <xm:f>Validation!$D$3:$D$331</xm:f>
          </x14:formula1>
          <xm:sqref>C188:C191</xm:sqref>
        </x14:dataValidation>
        <x14:dataValidation type="list" allowBlank="1" showInputMessage="1" xr:uid="{B4E71406-BD2C-4BD7-99C4-4E6BD7F04AA9}">
          <x14:formula1>
            <xm:f>Validation!$L$3:$L$27</xm:f>
          </x14:formula1>
          <xm:sqref>B21:B27</xm:sqref>
        </x14:dataValidation>
        <x14:dataValidation type="list" allowBlank="1" showInputMessage="1" showErrorMessage="1" xr:uid="{571AA137-289D-460B-B0F1-56783541DD1E}">
          <x14:formula1>
            <xm:f>Validation!$D$3:$D$70</xm:f>
          </x14:formula1>
          <xm:sqref>C289:C290</xm:sqref>
        </x14:dataValidation>
        <x14:dataValidation type="list" allowBlank="1" showInputMessage="1" showErrorMessage="1" xr:uid="{8198AA68-3F5D-4D1C-A52C-69D1FF915BE2}">
          <x14:formula1>
            <xm:f>Validation!$D$3:$D$66</xm:f>
          </x14:formula1>
          <xm:sqref>C592 C303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C6E9-A306-4867-9AD0-77CA64FD24B7}">
  <sheetPr>
    <pageSetUpPr fitToPage="1"/>
  </sheetPr>
  <dimension ref="A1:DO989"/>
  <sheetViews>
    <sheetView zoomScale="60" zoomScaleNormal="60" workbookViewId="0">
      <pane ySplit="2" topLeftCell="A21" activePane="bottomLeft" state="frozen"/>
      <selection pane="bottomLeft" activeCell="K28" sqref="K28"/>
      <selection activeCell="A3" sqref="A3"/>
    </sheetView>
  </sheetViews>
  <sheetFormatPr defaultColWidth="8.5703125" defaultRowHeight="14.25" customHeight="1"/>
  <cols>
    <col min="1" max="1" width="18" style="328" customWidth="1"/>
    <col min="2" max="2" width="31.28515625" style="329" customWidth="1"/>
    <col min="3" max="3" width="17.42578125" style="336" customWidth="1"/>
    <col min="4" max="4" width="15.42578125" style="750" customWidth="1"/>
    <col min="5" max="5" width="44.42578125" style="329" customWidth="1"/>
    <col min="6" max="6" width="17.28515625" style="329" bestFit="1" customWidth="1"/>
    <col min="7" max="7" width="15.42578125" style="329" customWidth="1"/>
    <col min="8" max="8" width="18" style="329" customWidth="1"/>
    <col min="9" max="9" width="19.42578125" style="329" customWidth="1"/>
    <col min="10" max="10" width="15.7109375" style="330" customWidth="1"/>
    <col min="11" max="11" width="22.42578125" style="331" bestFit="1" customWidth="1"/>
    <col min="12" max="12" width="13.85546875" style="328" customWidth="1"/>
    <col min="13" max="13" width="17.7109375" style="341" customWidth="1"/>
    <col min="14" max="14" width="34.140625" style="328" customWidth="1"/>
    <col min="15" max="15" width="24.85546875" style="339" customWidth="1"/>
    <col min="16" max="16" width="15.42578125" style="332" customWidth="1"/>
    <col min="17" max="17" width="15.5703125" style="328" customWidth="1"/>
    <col min="18" max="18" width="17.28515625" style="333" customWidth="1"/>
    <col min="19" max="19" width="14.140625" style="333" customWidth="1"/>
    <col min="20" max="20" width="14.7109375" style="336" customWidth="1"/>
    <col min="21" max="21" width="15.7109375" style="328" customWidth="1"/>
    <col min="22" max="22" width="16.140625" style="328" customWidth="1"/>
    <col min="23" max="23" width="18.85546875" style="328" customWidth="1" collapsed="1"/>
    <col min="24" max="24" width="17.85546875" style="328" customWidth="1"/>
    <col min="25" max="25" width="13.140625" style="328" customWidth="1"/>
    <col min="26" max="26" width="30.140625" style="328" customWidth="1"/>
    <col min="27" max="28" width="9.85546875" style="328" customWidth="1"/>
    <col min="29" max="29" width="8.5703125" style="335" customWidth="1"/>
    <col min="30" max="30" width="9.42578125" style="335" customWidth="1"/>
    <col min="31" max="31" width="11.85546875" style="328" customWidth="1"/>
    <col min="32" max="32" width="12.140625" style="328" customWidth="1"/>
    <col min="33" max="33" width="33.85546875" style="328" customWidth="1"/>
    <col min="34" max="34" width="21.140625" style="328" hidden="1" customWidth="1"/>
    <col min="35" max="36" width="0" style="328" hidden="1" customWidth="1"/>
    <col min="37" max="37" width="22.5703125" style="328" customWidth="1"/>
    <col min="38" max="38" width="27.7109375" style="342" customWidth="1"/>
    <col min="39" max="40" width="26.140625" style="328" customWidth="1"/>
    <col min="41" max="41" width="25.42578125" style="339" customWidth="1"/>
    <col min="42" max="42" width="8.5703125" style="328"/>
    <col min="43" max="43" width="47.28515625" style="328" customWidth="1"/>
    <col min="44" max="16384" width="8.5703125" style="328"/>
  </cols>
  <sheetData>
    <row r="1" spans="1:43" s="375" customFormat="1" ht="22.5" customHeight="1">
      <c r="A1" s="372"/>
      <c r="B1" s="373"/>
      <c r="C1" s="374"/>
      <c r="D1" s="733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1054" t="s">
        <v>3248</v>
      </c>
      <c r="P1" s="1054"/>
      <c r="Q1" s="1054"/>
      <c r="R1" s="1054"/>
      <c r="S1" s="1054"/>
      <c r="T1" s="1054"/>
      <c r="U1" s="1054"/>
      <c r="V1" s="376" t="s">
        <v>3249</v>
      </c>
      <c r="W1" s="1055" t="s">
        <v>3</v>
      </c>
      <c r="X1" s="1055"/>
      <c r="Y1" s="1055"/>
      <c r="Z1" s="1055"/>
      <c r="AA1" s="372"/>
      <c r="AB1" s="372"/>
      <c r="AC1" s="1055" t="s">
        <v>4</v>
      </c>
      <c r="AD1" s="1055"/>
      <c r="AE1" s="1055" t="s">
        <v>5</v>
      </c>
      <c r="AF1" s="1055"/>
      <c r="AG1" s="1055" t="s">
        <v>3250</v>
      </c>
      <c r="AH1" s="1055"/>
      <c r="AI1" s="1055"/>
      <c r="AJ1" s="1055"/>
      <c r="AK1" s="1055"/>
      <c r="AL1" s="1055"/>
      <c r="AM1" s="372" t="s">
        <v>3251</v>
      </c>
      <c r="AN1" s="372"/>
      <c r="AO1" s="377" t="s">
        <v>3252</v>
      </c>
    </row>
    <row r="2" spans="1:43" s="381" customFormat="1" ht="96.6">
      <c r="A2" s="378" t="s">
        <v>9</v>
      </c>
      <c r="B2" s="379" t="s">
        <v>34</v>
      </c>
      <c r="C2" s="380" t="s">
        <v>35</v>
      </c>
      <c r="D2" s="734" t="s">
        <v>3253</v>
      </c>
      <c r="E2" s="382" t="s">
        <v>15</v>
      </c>
      <c r="F2" s="378" t="s">
        <v>3254</v>
      </c>
      <c r="G2" s="383" t="s">
        <v>10</v>
      </c>
      <c r="H2" s="383" t="s">
        <v>11</v>
      </c>
      <c r="I2" s="383" t="s">
        <v>3255</v>
      </c>
      <c r="J2" s="383" t="s">
        <v>3256</v>
      </c>
      <c r="K2" s="384" t="s">
        <v>3257</v>
      </c>
      <c r="L2" s="385" t="s">
        <v>3258</v>
      </c>
      <c r="M2" s="383" t="s">
        <v>3259</v>
      </c>
      <c r="N2" s="383" t="s">
        <v>16</v>
      </c>
      <c r="O2" s="379" t="s">
        <v>3260</v>
      </c>
      <c r="P2" s="386" t="s">
        <v>36</v>
      </c>
      <c r="Q2" s="387" t="s">
        <v>37</v>
      </c>
      <c r="R2" s="379" t="s">
        <v>3261</v>
      </c>
      <c r="S2" s="388" t="s">
        <v>44</v>
      </c>
      <c r="T2" s="388" t="s">
        <v>45</v>
      </c>
      <c r="U2" s="389" t="s">
        <v>490</v>
      </c>
      <c r="V2" s="379" t="s">
        <v>46</v>
      </c>
      <c r="W2" s="379" t="s">
        <v>3262</v>
      </c>
      <c r="X2" s="379" t="s">
        <v>47</v>
      </c>
      <c r="Y2" s="390" t="s">
        <v>48</v>
      </c>
      <c r="Z2" s="390" t="s">
        <v>49</v>
      </c>
      <c r="AA2" s="378" t="s">
        <v>50</v>
      </c>
      <c r="AB2" s="378" t="s">
        <v>3263</v>
      </c>
      <c r="AC2" s="378" t="s">
        <v>3264</v>
      </c>
      <c r="AD2" s="383" t="s">
        <v>3265</v>
      </c>
      <c r="AE2" s="383" t="s">
        <v>3266</v>
      </c>
      <c r="AF2" s="383" t="s">
        <v>53</v>
      </c>
      <c r="AG2" s="383" t="s">
        <v>54</v>
      </c>
      <c r="AH2" s="383" t="s">
        <v>3267</v>
      </c>
      <c r="AI2" s="383" t="s">
        <v>3268</v>
      </c>
      <c r="AJ2" s="383" t="s">
        <v>3269</v>
      </c>
      <c r="AK2" s="383" t="s">
        <v>3270</v>
      </c>
      <c r="AL2" s="391" t="s">
        <v>3271</v>
      </c>
      <c r="AM2" s="379" t="s">
        <v>3272</v>
      </c>
      <c r="AN2" s="379" t="s">
        <v>3273</v>
      </c>
      <c r="AO2" s="392" t="s">
        <v>3274</v>
      </c>
      <c r="AP2" s="936" t="s">
        <v>3275</v>
      </c>
      <c r="AQ2" s="936" t="s">
        <v>3276</v>
      </c>
    </row>
    <row r="3" spans="1:43" s="838" customFormat="1" ht="35.1" customHeight="1">
      <c r="A3" s="976" t="s">
        <v>3277</v>
      </c>
      <c r="B3" s="977"/>
      <c r="C3" s="977"/>
      <c r="D3" s="977"/>
      <c r="E3" s="977"/>
      <c r="F3" s="977"/>
      <c r="G3" s="977"/>
      <c r="H3" s="977"/>
      <c r="I3" s="977"/>
      <c r="J3" s="977"/>
      <c r="K3" s="977"/>
      <c r="L3" s="977"/>
      <c r="M3" s="977"/>
      <c r="N3" s="977"/>
      <c r="O3" s="977"/>
      <c r="P3" s="977"/>
      <c r="Q3" s="977"/>
      <c r="R3" s="977"/>
      <c r="S3" s="977"/>
      <c r="T3" s="977"/>
      <c r="U3" s="977"/>
      <c r="V3" s="977"/>
      <c r="W3" s="977"/>
      <c r="X3" s="977"/>
      <c r="Y3" s="977"/>
      <c r="Z3" s="977"/>
      <c r="AA3" s="977"/>
      <c r="AB3" s="977"/>
      <c r="AC3" s="977"/>
      <c r="AD3" s="977"/>
      <c r="AE3" s="977"/>
      <c r="AF3" s="977"/>
      <c r="AG3" s="977"/>
      <c r="AH3" s="977"/>
      <c r="AI3" s="977"/>
      <c r="AJ3" s="977"/>
      <c r="AK3" s="977"/>
      <c r="AL3" s="977"/>
      <c r="AM3" s="977"/>
      <c r="AN3" s="977"/>
      <c r="AO3" s="977"/>
      <c r="AP3" s="977"/>
      <c r="AQ3" s="977"/>
    </row>
    <row r="4" spans="1:43" s="846" customFormat="1" ht="35.1" customHeight="1">
      <c r="A4" s="977" t="s">
        <v>3278</v>
      </c>
      <c r="B4" s="977"/>
      <c r="C4" s="977"/>
      <c r="D4" s="977"/>
      <c r="E4" s="977"/>
      <c r="F4" s="977"/>
      <c r="G4" s="977"/>
      <c r="H4" s="977"/>
      <c r="I4" s="977"/>
      <c r="J4" s="977"/>
      <c r="K4" s="977"/>
      <c r="L4" s="977"/>
      <c r="M4" s="977"/>
      <c r="N4" s="977"/>
      <c r="O4" s="977"/>
      <c r="P4" s="977"/>
      <c r="Q4" s="977"/>
      <c r="R4" s="977"/>
      <c r="S4" s="977"/>
      <c r="T4" s="977"/>
      <c r="U4" s="977"/>
      <c r="V4" s="977"/>
      <c r="W4" s="977"/>
      <c r="X4" s="977"/>
      <c r="Y4" s="977"/>
      <c r="Z4" s="977"/>
      <c r="AA4" s="977"/>
      <c r="AB4" s="977"/>
      <c r="AC4" s="977"/>
      <c r="AD4" s="977"/>
      <c r="AE4" s="977"/>
      <c r="AF4" s="977"/>
      <c r="AG4" s="977"/>
      <c r="AH4" s="977"/>
      <c r="AI4" s="977"/>
      <c r="AJ4" s="977"/>
      <c r="AK4" s="977"/>
      <c r="AL4" s="977"/>
      <c r="AM4" s="977"/>
      <c r="AN4" s="977"/>
      <c r="AO4" s="977"/>
      <c r="AP4" s="977"/>
      <c r="AQ4" s="977"/>
    </row>
    <row r="5" spans="1:43" s="846" customFormat="1" ht="35.1" customHeight="1">
      <c r="A5" s="977" t="s">
        <v>3279</v>
      </c>
      <c r="B5" s="977"/>
      <c r="C5" s="977"/>
      <c r="D5" s="977"/>
      <c r="E5" s="977"/>
      <c r="F5" s="977"/>
      <c r="G5" s="977"/>
      <c r="H5" s="977"/>
      <c r="I5" s="977"/>
      <c r="J5" s="977"/>
      <c r="K5" s="977"/>
      <c r="L5" s="977"/>
      <c r="M5" s="977"/>
      <c r="N5" s="977"/>
      <c r="O5" s="977"/>
      <c r="P5" s="977"/>
      <c r="Q5" s="977"/>
      <c r="R5" s="977"/>
      <c r="S5" s="977"/>
      <c r="T5" s="977"/>
      <c r="U5" s="977"/>
      <c r="V5" s="977"/>
      <c r="W5" s="977"/>
      <c r="X5" s="977"/>
      <c r="Y5" s="977"/>
      <c r="Z5" s="977"/>
      <c r="AA5" s="977"/>
      <c r="AB5" s="977"/>
      <c r="AC5" s="977"/>
      <c r="AD5" s="977"/>
      <c r="AE5" s="977"/>
      <c r="AF5" s="977"/>
      <c r="AG5" s="977"/>
      <c r="AH5" s="977"/>
      <c r="AI5" s="977"/>
      <c r="AJ5" s="977"/>
      <c r="AK5" s="977"/>
      <c r="AL5" s="977"/>
      <c r="AM5" s="977"/>
      <c r="AN5" s="977"/>
      <c r="AO5" s="977"/>
      <c r="AP5" s="977"/>
      <c r="AQ5" s="977"/>
    </row>
    <row r="6" spans="1:43" s="846" customFormat="1" ht="35.1" customHeight="1">
      <c r="A6" s="977"/>
      <c r="B6" s="977"/>
      <c r="C6" s="977"/>
      <c r="D6" s="977"/>
      <c r="E6" s="977"/>
      <c r="F6" s="977"/>
      <c r="G6" s="977"/>
      <c r="H6" s="977"/>
      <c r="I6" s="977"/>
      <c r="J6" s="977"/>
      <c r="K6" s="977"/>
      <c r="L6" s="977"/>
      <c r="M6" s="977"/>
      <c r="N6" s="977"/>
      <c r="O6" s="977"/>
      <c r="P6" s="977"/>
      <c r="Q6" s="977"/>
      <c r="R6" s="977"/>
      <c r="S6" s="977"/>
      <c r="T6" s="977"/>
      <c r="U6" s="977"/>
      <c r="V6" s="977"/>
      <c r="W6" s="977"/>
      <c r="X6" s="977"/>
      <c r="Y6" s="977"/>
      <c r="Z6" s="977"/>
      <c r="AA6" s="977"/>
      <c r="AB6" s="977"/>
      <c r="AC6" s="977"/>
      <c r="AD6" s="977"/>
      <c r="AE6" s="977"/>
      <c r="AF6" s="977"/>
      <c r="AG6" s="977"/>
      <c r="AH6" s="977"/>
      <c r="AI6" s="977"/>
      <c r="AJ6" s="977"/>
      <c r="AK6" s="977"/>
      <c r="AL6" s="977"/>
      <c r="AM6" s="977"/>
      <c r="AN6" s="977"/>
      <c r="AO6" s="977"/>
      <c r="AP6" s="977"/>
      <c r="AQ6" s="977"/>
    </row>
    <row r="7" spans="1:43" s="846" customFormat="1" ht="35.1" customHeight="1">
      <c r="A7" s="977"/>
      <c r="B7" s="977"/>
      <c r="C7" s="977"/>
      <c r="D7" s="977"/>
      <c r="E7" s="977"/>
      <c r="F7" s="977"/>
      <c r="G7" s="977"/>
      <c r="H7" s="977"/>
      <c r="I7" s="977"/>
      <c r="J7" s="977"/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977"/>
      <c r="AA7" s="977"/>
      <c r="AB7" s="977"/>
      <c r="AC7" s="977"/>
      <c r="AD7" s="977"/>
      <c r="AE7" s="977"/>
      <c r="AF7" s="977"/>
      <c r="AG7" s="977"/>
      <c r="AH7" s="977"/>
      <c r="AI7" s="977"/>
      <c r="AJ7" s="977"/>
      <c r="AK7" s="977"/>
      <c r="AL7" s="977"/>
      <c r="AM7" s="977"/>
      <c r="AN7" s="977"/>
      <c r="AO7" s="977"/>
      <c r="AP7" s="977"/>
      <c r="AQ7" s="977"/>
    </row>
    <row r="8" spans="1:43" s="846" customFormat="1" ht="35.1" customHeight="1">
      <c r="A8" s="977"/>
      <c r="B8" s="977"/>
      <c r="C8" s="977"/>
      <c r="D8" s="977"/>
      <c r="E8" s="977"/>
      <c r="F8" s="977"/>
      <c r="G8" s="977"/>
      <c r="H8" s="977"/>
      <c r="I8" s="977"/>
      <c r="J8" s="977"/>
      <c r="K8" s="977"/>
      <c r="L8" s="977"/>
      <c r="M8" s="977"/>
      <c r="N8" s="977"/>
      <c r="O8" s="977"/>
      <c r="P8" s="977"/>
      <c r="Q8" s="977"/>
      <c r="R8" s="977"/>
      <c r="S8" s="977"/>
      <c r="T8" s="977"/>
      <c r="U8" s="977"/>
      <c r="V8" s="977"/>
      <c r="W8" s="977"/>
      <c r="X8" s="977"/>
      <c r="Y8" s="977"/>
      <c r="Z8" s="977"/>
      <c r="AA8" s="977"/>
      <c r="AB8" s="977"/>
      <c r="AC8" s="977"/>
      <c r="AD8" s="977"/>
      <c r="AE8" s="977"/>
      <c r="AF8" s="977"/>
      <c r="AG8" s="977"/>
      <c r="AH8" s="977"/>
      <c r="AI8" s="977"/>
      <c r="AJ8" s="977"/>
      <c r="AK8" s="977"/>
      <c r="AL8" s="977"/>
      <c r="AM8" s="977"/>
      <c r="AN8" s="977"/>
      <c r="AO8" s="977"/>
      <c r="AP8" s="977"/>
      <c r="AQ8" s="977"/>
    </row>
    <row r="9" spans="1:43" s="846" customFormat="1" ht="35.1" customHeight="1">
      <c r="A9" s="977"/>
      <c r="B9" s="977"/>
      <c r="C9" s="977"/>
      <c r="D9" s="977"/>
      <c r="E9" s="977"/>
      <c r="F9" s="977"/>
      <c r="G9" s="977"/>
      <c r="H9" s="977"/>
      <c r="I9" s="977"/>
      <c r="J9" s="977"/>
      <c r="K9" s="977"/>
      <c r="L9" s="977"/>
      <c r="M9" s="977"/>
      <c r="N9" s="977"/>
      <c r="O9" s="977"/>
      <c r="P9" s="977"/>
      <c r="Q9" s="977"/>
      <c r="R9" s="977"/>
      <c r="S9" s="977"/>
      <c r="T9" s="977"/>
      <c r="U9" s="977"/>
      <c r="V9" s="977"/>
      <c r="W9" s="977"/>
      <c r="X9" s="977"/>
      <c r="Y9" s="977"/>
      <c r="Z9" s="977"/>
      <c r="AA9" s="977"/>
      <c r="AB9" s="977"/>
      <c r="AC9" s="977"/>
      <c r="AD9" s="977"/>
      <c r="AE9" s="977"/>
      <c r="AF9" s="977"/>
      <c r="AG9" s="977"/>
      <c r="AH9" s="977"/>
      <c r="AI9" s="977"/>
      <c r="AJ9" s="977"/>
      <c r="AK9" s="977"/>
      <c r="AL9" s="977"/>
      <c r="AM9" s="977"/>
      <c r="AN9" s="977"/>
      <c r="AO9" s="977"/>
      <c r="AP9" s="977"/>
      <c r="AQ9" s="977"/>
    </row>
    <row r="10" spans="1:43" s="846" customFormat="1" ht="35.1" customHeight="1">
      <c r="A10" s="977"/>
      <c r="B10" s="977"/>
      <c r="C10" s="977"/>
      <c r="D10" s="977"/>
      <c r="E10" s="977"/>
      <c r="F10" s="977"/>
      <c r="G10" s="977"/>
      <c r="H10" s="977"/>
      <c r="I10" s="977"/>
      <c r="J10" s="977"/>
      <c r="K10" s="977"/>
      <c r="L10" s="977"/>
      <c r="M10" s="977"/>
      <c r="N10" s="977"/>
      <c r="O10" s="977"/>
      <c r="P10" s="977"/>
      <c r="Q10" s="977"/>
      <c r="R10" s="977"/>
      <c r="S10" s="977"/>
      <c r="T10" s="977"/>
      <c r="U10" s="977"/>
      <c r="V10" s="977"/>
      <c r="W10" s="977"/>
      <c r="X10" s="977"/>
      <c r="Y10" s="977"/>
      <c r="Z10" s="977"/>
      <c r="AA10" s="977"/>
      <c r="AB10" s="977"/>
      <c r="AC10" s="977"/>
      <c r="AD10" s="977"/>
      <c r="AE10" s="977"/>
      <c r="AF10" s="977"/>
      <c r="AG10" s="977"/>
      <c r="AH10" s="977"/>
      <c r="AI10" s="977"/>
      <c r="AJ10" s="977"/>
      <c r="AK10" s="977"/>
      <c r="AL10" s="977"/>
      <c r="AM10" s="977"/>
      <c r="AN10" s="977"/>
      <c r="AO10" s="977"/>
      <c r="AP10" s="977"/>
      <c r="AQ10" s="977"/>
    </row>
    <row r="11" spans="1:43" s="846" customFormat="1" ht="35.1" customHeight="1">
      <c r="A11" s="977"/>
      <c r="B11" s="977"/>
      <c r="C11" s="977"/>
      <c r="D11" s="977"/>
      <c r="E11" s="977"/>
      <c r="F11" s="977"/>
      <c r="G11" s="977"/>
      <c r="H11" s="977"/>
      <c r="I11" s="977"/>
      <c r="J11" s="977"/>
      <c r="K11" s="977"/>
      <c r="L11" s="977"/>
      <c r="M11" s="977"/>
      <c r="N11" s="977"/>
      <c r="O11" s="977"/>
      <c r="P11" s="977"/>
      <c r="Q11" s="977"/>
      <c r="R11" s="977"/>
      <c r="S11" s="977"/>
      <c r="T11" s="977"/>
      <c r="U11" s="977"/>
      <c r="V11" s="977"/>
      <c r="W11" s="977"/>
      <c r="X11" s="977"/>
      <c r="Y11" s="977"/>
      <c r="Z11" s="977"/>
      <c r="AA11" s="977"/>
      <c r="AB11" s="977"/>
      <c r="AC11" s="977"/>
      <c r="AD11" s="977"/>
      <c r="AE11" s="977"/>
      <c r="AF11" s="977"/>
      <c r="AG11" s="977"/>
      <c r="AH11" s="977"/>
      <c r="AI11" s="977"/>
      <c r="AJ11" s="977"/>
      <c r="AK11" s="977"/>
      <c r="AL11" s="977"/>
      <c r="AM11" s="977"/>
      <c r="AN11" s="977"/>
      <c r="AO11" s="977"/>
      <c r="AP11" s="977"/>
      <c r="AQ11" s="977"/>
    </row>
    <row r="12" spans="1:43" s="846" customFormat="1" ht="35.1" customHeight="1">
      <c r="A12" s="977"/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977"/>
      <c r="O12" s="977"/>
      <c r="P12" s="977"/>
      <c r="Q12" s="977"/>
      <c r="R12" s="977"/>
      <c r="S12" s="977"/>
      <c r="T12" s="977"/>
      <c r="U12" s="977"/>
      <c r="V12" s="977"/>
      <c r="W12" s="977"/>
      <c r="X12" s="977"/>
      <c r="Y12" s="977"/>
      <c r="Z12" s="977"/>
      <c r="AA12" s="977"/>
      <c r="AB12" s="977"/>
      <c r="AC12" s="977"/>
      <c r="AD12" s="977"/>
      <c r="AE12" s="977"/>
      <c r="AF12" s="977"/>
      <c r="AG12" s="977"/>
      <c r="AH12" s="977"/>
      <c r="AI12" s="977"/>
      <c r="AJ12" s="977"/>
      <c r="AK12" s="977"/>
      <c r="AL12" s="977"/>
      <c r="AM12" s="977"/>
      <c r="AN12" s="977"/>
      <c r="AO12" s="977"/>
      <c r="AP12" s="977"/>
      <c r="AQ12" s="977"/>
    </row>
    <row r="13" spans="1:43" s="849" customFormat="1" ht="35.1" customHeight="1">
      <c r="A13" s="977"/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977"/>
      <c r="O13" s="977"/>
      <c r="P13" s="977"/>
      <c r="Q13" s="977"/>
      <c r="R13" s="977"/>
      <c r="S13" s="977"/>
      <c r="T13" s="977"/>
      <c r="U13" s="977"/>
      <c r="V13" s="977"/>
      <c r="W13" s="977"/>
      <c r="X13" s="977"/>
      <c r="Y13" s="977"/>
      <c r="Z13" s="977"/>
      <c r="AA13" s="977"/>
      <c r="AB13" s="977"/>
      <c r="AC13" s="977"/>
      <c r="AD13" s="977"/>
      <c r="AE13" s="977"/>
      <c r="AF13" s="977"/>
      <c r="AG13" s="977"/>
      <c r="AH13" s="977"/>
      <c r="AI13" s="977"/>
      <c r="AJ13" s="977"/>
      <c r="AK13" s="977"/>
      <c r="AL13" s="977"/>
      <c r="AM13" s="977"/>
      <c r="AN13" s="977"/>
      <c r="AO13" s="977"/>
      <c r="AP13" s="977"/>
      <c r="AQ13" s="977"/>
    </row>
    <row r="14" spans="1:43" s="849" customFormat="1" ht="35.1" customHeight="1">
      <c r="A14" s="977"/>
      <c r="B14" s="978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977"/>
      <c r="O14" s="977"/>
      <c r="P14" s="977"/>
      <c r="Q14" s="977"/>
      <c r="R14" s="977"/>
      <c r="S14" s="977"/>
      <c r="T14" s="977"/>
      <c r="U14" s="977"/>
      <c r="V14" s="977"/>
      <c r="W14" s="977"/>
      <c r="X14" s="977"/>
      <c r="Y14" s="977"/>
      <c r="Z14" s="977"/>
      <c r="AA14" s="977"/>
      <c r="AB14" s="977"/>
      <c r="AC14" s="977"/>
      <c r="AD14" s="977"/>
      <c r="AE14" s="977"/>
      <c r="AF14" s="977"/>
      <c r="AG14" s="977"/>
      <c r="AH14" s="977"/>
      <c r="AI14" s="977"/>
      <c r="AJ14" s="977"/>
      <c r="AK14" s="977"/>
      <c r="AL14" s="977"/>
      <c r="AM14" s="977"/>
      <c r="AN14" s="977"/>
      <c r="AO14" s="977"/>
      <c r="AP14" s="977"/>
      <c r="AQ14" s="977"/>
    </row>
    <row r="15" spans="1:43" s="849" customFormat="1" ht="35.1" customHeight="1">
      <c r="A15" s="977"/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977"/>
      <c r="O15" s="977"/>
      <c r="P15" s="977"/>
      <c r="Q15" s="977"/>
      <c r="R15" s="977"/>
      <c r="S15" s="977"/>
      <c r="T15" s="977"/>
      <c r="U15" s="977"/>
      <c r="V15" s="977"/>
      <c r="W15" s="977"/>
      <c r="X15" s="977"/>
      <c r="Y15" s="977"/>
      <c r="Z15" s="977"/>
      <c r="AA15" s="977"/>
      <c r="AB15" s="977"/>
      <c r="AC15" s="977"/>
      <c r="AD15" s="977"/>
      <c r="AE15" s="977"/>
      <c r="AF15" s="977"/>
      <c r="AG15" s="977"/>
      <c r="AH15" s="977"/>
      <c r="AI15" s="977"/>
      <c r="AJ15" s="977"/>
      <c r="AK15" s="977"/>
      <c r="AL15" s="977"/>
      <c r="AM15" s="977"/>
      <c r="AN15" s="977"/>
      <c r="AO15" s="977"/>
      <c r="AP15" s="977"/>
      <c r="AQ15" s="977"/>
    </row>
    <row r="16" spans="1:43" s="849" customFormat="1" ht="35.1" customHeight="1">
      <c r="A16" s="977"/>
      <c r="B16" s="977"/>
      <c r="C16" s="977"/>
      <c r="D16" s="977"/>
      <c r="E16" s="977"/>
      <c r="F16" s="977"/>
      <c r="G16" s="977"/>
      <c r="H16" s="977"/>
      <c r="I16" s="977"/>
      <c r="J16" s="977"/>
      <c r="K16" s="977"/>
      <c r="L16" s="977"/>
      <c r="M16" s="977"/>
      <c r="N16" s="977"/>
      <c r="O16" s="977"/>
      <c r="P16" s="977"/>
      <c r="Q16" s="977"/>
      <c r="R16" s="977"/>
      <c r="S16" s="977"/>
      <c r="T16" s="977"/>
      <c r="U16" s="977"/>
      <c r="V16" s="977"/>
      <c r="W16" s="977"/>
      <c r="X16" s="977"/>
      <c r="Y16" s="977"/>
      <c r="Z16" s="977"/>
      <c r="AA16" s="977"/>
      <c r="AB16" s="977"/>
      <c r="AC16" s="977"/>
      <c r="AD16" s="977"/>
      <c r="AE16" s="977"/>
      <c r="AF16" s="977"/>
      <c r="AG16" s="977"/>
      <c r="AH16" s="977"/>
      <c r="AI16" s="977"/>
      <c r="AJ16" s="977"/>
      <c r="AK16" s="977"/>
      <c r="AL16" s="977"/>
      <c r="AM16" s="977"/>
      <c r="AN16" s="977"/>
      <c r="AO16" s="977"/>
      <c r="AP16" s="977"/>
      <c r="AQ16" s="977"/>
    </row>
    <row r="17" spans="1:43" s="849" customFormat="1" ht="35.1" customHeight="1">
      <c r="A17" s="977"/>
      <c r="B17" s="977"/>
      <c r="C17" s="977"/>
      <c r="D17" s="977"/>
      <c r="E17" s="977"/>
      <c r="F17" s="977"/>
      <c r="G17" s="977"/>
      <c r="H17" s="977"/>
      <c r="I17" s="977"/>
      <c r="J17" s="977"/>
      <c r="K17" s="977"/>
      <c r="L17" s="977"/>
      <c r="M17" s="977"/>
      <c r="N17" s="977"/>
      <c r="O17" s="977"/>
      <c r="P17" s="977"/>
      <c r="Q17" s="977"/>
      <c r="R17" s="977"/>
      <c r="S17" s="977"/>
      <c r="T17" s="977"/>
      <c r="U17" s="977"/>
      <c r="V17" s="977"/>
      <c r="W17" s="977"/>
      <c r="X17" s="977"/>
      <c r="Y17" s="977"/>
      <c r="Z17" s="977"/>
      <c r="AA17" s="977"/>
      <c r="AB17" s="977"/>
      <c r="AC17" s="977"/>
      <c r="AD17" s="977"/>
      <c r="AE17" s="977"/>
      <c r="AF17" s="977"/>
      <c r="AG17" s="977"/>
      <c r="AH17" s="977"/>
      <c r="AI17" s="977"/>
      <c r="AJ17" s="977"/>
      <c r="AK17" s="977"/>
      <c r="AL17" s="977"/>
      <c r="AM17" s="977"/>
      <c r="AN17" s="977"/>
      <c r="AO17" s="977"/>
      <c r="AP17" s="977"/>
      <c r="AQ17" s="977"/>
    </row>
    <row r="18" spans="1:43" s="849" customFormat="1" ht="35.1" customHeight="1">
      <c r="A18" s="977"/>
      <c r="B18" s="977"/>
      <c r="C18" s="977"/>
      <c r="D18" s="977"/>
      <c r="E18" s="977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977"/>
      <c r="Q18" s="977"/>
      <c r="R18" s="977"/>
      <c r="S18" s="977"/>
      <c r="T18" s="977"/>
      <c r="U18" s="977"/>
      <c r="V18" s="977"/>
      <c r="W18" s="977"/>
      <c r="X18" s="977"/>
      <c r="Y18" s="977"/>
      <c r="Z18" s="977"/>
      <c r="AA18" s="977"/>
      <c r="AB18" s="977"/>
      <c r="AC18" s="977"/>
      <c r="AD18" s="977"/>
      <c r="AE18" s="977"/>
      <c r="AF18" s="977"/>
      <c r="AG18" s="977"/>
      <c r="AH18" s="977"/>
      <c r="AI18" s="977"/>
      <c r="AJ18" s="977"/>
      <c r="AK18" s="977"/>
      <c r="AL18" s="977"/>
      <c r="AM18" s="977"/>
      <c r="AN18" s="977"/>
      <c r="AO18" s="977"/>
      <c r="AP18" s="977"/>
      <c r="AQ18" s="977"/>
    </row>
    <row r="19" spans="1:43" s="846" customFormat="1" ht="35.1" customHeight="1">
      <c r="A19" s="977"/>
      <c r="B19" s="977"/>
      <c r="C19" s="977"/>
      <c r="D19" s="977"/>
      <c r="E19" s="977"/>
      <c r="F19" s="977"/>
      <c r="G19" s="977"/>
      <c r="H19" s="977"/>
      <c r="I19" s="977"/>
      <c r="J19" s="977"/>
      <c r="K19" s="977"/>
      <c r="L19" s="977"/>
      <c r="M19" s="977"/>
      <c r="N19" s="977"/>
      <c r="O19" s="977"/>
      <c r="P19" s="977"/>
      <c r="Q19" s="977"/>
      <c r="R19" s="977"/>
      <c r="S19" s="977"/>
      <c r="T19" s="977"/>
      <c r="U19" s="977"/>
      <c r="V19" s="977"/>
      <c r="W19" s="977"/>
      <c r="X19" s="977"/>
      <c r="Y19" s="977"/>
      <c r="Z19" s="977"/>
      <c r="AA19" s="977"/>
      <c r="AB19" s="977"/>
      <c r="AC19" s="977"/>
      <c r="AD19" s="977"/>
      <c r="AE19" s="977"/>
      <c r="AF19" s="977"/>
      <c r="AG19" s="977"/>
      <c r="AH19" s="977"/>
      <c r="AI19" s="977"/>
      <c r="AJ19" s="977"/>
      <c r="AK19" s="977"/>
      <c r="AL19" s="977"/>
      <c r="AM19" s="977"/>
      <c r="AN19" s="977"/>
      <c r="AO19" s="977"/>
      <c r="AP19" s="977"/>
      <c r="AQ19" s="977"/>
    </row>
    <row r="20" spans="1:43" s="846" customFormat="1" ht="35.1" customHeight="1">
      <c r="A20" s="977"/>
      <c r="B20" s="977"/>
      <c r="C20" s="977"/>
      <c r="D20" s="977"/>
      <c r="E20" s="977"/>
      <c r="F20" s="977"/>
      <c r="G20" s="977"/>
      <c r="H20" s="977"/>
      <c r="I20" s="977"/>
      <c r="J20" s="977"/>
      <c r="K20" s="977"/>
      <c r="L20" s="977"/>
      <c r="M20" s="977"/>
      <c r="N20" s="977"/>
      <c r="O20" s="977"/>
      <c r="P20" s="977"/>
      <c r="Q20" s="977"/>
      <c r="R20" s="977"/>
      <c r="S20" s="977"/>
      <c r="T20" s="977"/>
      <c r="U20" s="977"/>
      <c r="V20" s="977"/>
      <c r="W20" s="977"/>
      <c r="X20" s="977"/>
      <c r="Y20" s="977"/>
      <c r="Z20" s="977"/>
      <c r="AA20" s="977"/>
      <c r="AB20" s="977"/>
      <c r="AC20" s="977"/>
      <c r="AD20" s="977"/>
      <c r="AE20" s="977"/>
      <c r="AF20" s="977"/>
      <c r="AG20" s="977"/>
      <c r="AH20" s="977"/>
      <c r="AI20" s="977"/>
      <c r="AJ20" s="977"/>
      <c r="AK20" s="977"/>
      <c r="AL20" s="977"/>
      <c r="AM20" s="977"/>
      <c r="AN20" s="977"/>
      <c r="AO20" s="977"/>
      <c r="AP20" s="977"/>
      <c r="AQ20" s="977"/>
    </row>
    <row r="21" spans="1:43" s="846" customFormat="1" ht="35.1" customHeight="1">
      <c r="A21" s="977"/>
      <c r="B21" s="977"/>
      <c r="C21" s="977"/>
      <c r="D21" s="977"/>
      <c r="E21" s="977"/>
      <c r="F21" s="977"/>
      <c r="G21" s="977"/>
      <c r="H21" s="977"/>
      <c r="I21" s="977"/>
      <c r="J21" s="977"/>
      <c r="K21" s="977"/>
      <c r="L21" s="977"/>
      <c r="M21" s="977"/>
      <c r="N21" s="977"/>
      <c r="O21" s="977"/>
      <c r="P21" s="977"/>
      <c r="Q21" s="977"/>
      <c r="R21" s="977"/>
      <c r="S21" s="977"/>
      <c r="T21" s="977"/>
      <c r="U21" s="977"/>
      <c r="V21" s="977"/>
      <c r="W21" s="977"/>
      <c r="X21" s="977"/>
      <c r="Y21" s="977"/>
      <c r="Z21" s="977"/>
      <c r="AA21" s="977"/>
      <c r="AB21" s="977"/>
      <c r="AC21" s="977"/>
      <c r="AD21" s="977"/>
      <c r="AE21" s="977"/>
      <c r="AF21" s="977"/>
      <c r="AG21" s="977"/>
      <c r="AH21" s="977"/>
      <c r="AI21" s="977"/>
      <c r="AJ21" s="977"/>
      <c r="AK21" s="977"/>
      <c r="AL21" s="977"/>
      <c r="AM21" s="977"/>
      <c r="AN21" s="977"/>
      <c r="AO21" s="977"/>
      <c r="AP21" s="977"/>
      <c r="AQ21" s="977"/>
    </row>
    <row r="22" spans="1:43" s="846" customFormat="1" ht="35.1" customHeight="1">
      <c r="A22" s="977"/>
      <c r="B22" s="977"/>
      <c r="C22" s="977"/>
      <c r="D22" s="977"/>
      <c r="E22" s="977"/>
      <c r="F22" s="977"/>
      <c r="G22" s="977"/>
      <c r="H22" s="977"/>
      <c r="I22" s="977"/>
      <c r="J22" s="977"/>
      <c r="K22" s="977"/>
      <c r="L22" s="977"/>
      <c r="M22" s="977"/>
      <c r="N22" s="977"/>
      <c r="O22" s="977"/>
      <c r="P22" s="977"/>
      <c r="Q22" s="977"/>
      <c r="R22" s="977"/>
      <c r="S22" s="977"/>
      <c r="T22" s="977"/>
      <c r="U22" s="977"/>
      <c r="V22" s="977"/>
      <c r="W22" s="977"/>
      <c r="X22" s="977"/>
      <c r="Y22" s="977"/>
      <c r="Z22" s="977"/>
      <c r="AA22" s="977"/>
      <c r="AB22" s="977"/>
      <c r="AC22" s="977"/>
      <c r="AD22" s="977"/>
      <c r="AE22" s="977"/>
      <c r="AF22" s="977"/>
      <c r="AG22" s="977"/>
      <c r="AH22" s="977"/>
      <c r="AI22" s="977"/>
      <c r="AJ22" s="977"/>
      <c r="AK22" s="977"/>
      <c r="AL22" s="977"/>
      <c r="AM22" s="977"/>
      <c r="AN22" s="977"/>
      <c r="AO22" s="977"/>
      <c r="AP22" s="977"/>
      <c r="AQ22" s="977"/>
    </row>
    <row r="23" spans="1:43" s="846" customFormat="1" ht="35.1" customHeight="1">
      <c r="A23" s="977"/>
      <c r="B23" s="977"/>
      <c r="C23" s="977"/>
      <c r="D23" s="977"/>
      <c r="E23" s="977"/>
      <c r="F23" s="977"/>
      <c r="G23" s="977"/>
      <c r="H23" s="977"/>
      <c r="I23" s="977"/>
      <c r="J23" s="977"/>
      <c r="K23" s="977"/>
      <c r="L23" s="977"/>
      <c r="M23" s="977"/>
      <c r="N23" s="977"/>
      <c r="O23" s="977"/>
      <c r="P23" s="977"/>
      <c r="Q23" s="977"/>
      <c r="R23" s="977"/>
      <c r="S23" s="977"/>
      <c r="T23" s="977"/>
      <c r="U23" s="977"/>
      <c r="V23" s="977"/>
      <c r="W23" s="977"/>
      <c r="X23" s="977"/>
      <c r="Y23" s="977"/>
      <c r="Z23" s="977"/>
      <c r="AA23" s="977"/>
      <c r="AB23" s="977"/>
      <c r="AC23" s="977"/>
      <c r="AD23" s="977"/>
      <c r="AE23" s="977"/>
      <c r="AF23" s="977"/>
      <c r="AG23" s="977"/>
      <c r="AH23" s="977"/>
      <c r="AI23" s="977"/>
      <c r="AJ23" s="977"/>
      <c r="AK23" s="977"/>
      <c r="AL23" s="977"/>
      <c r="AM23" s="977"/>
      <c r="AN23" s="977"/>
      <c r="AO23" s="977"/>
      <c r="AP23" s="977"/>
      <c r="AQ23" s="977"/>
    </row>
    <row r="24" spans="1:43" s="846" customFormat="1" ht="35.1" customHeight="1">
      <c r="A24" s="977"/>
      <c r="B24" s="977"/>
      <c r="C24" s="977"/>
      <c r="D24" s="977"/>
      <c r="E24" s="977"/>
      <c r="F24" s="977"/>
      <c r="G24" s="977"/>
      <c r="H24" s="977"/>
      <c r="I24" s="977"/>
      <c r="J24" s="977"/>
      <c r="K24" s="977"/>
      <c r="L24" s="977"/>
      <c r="M24" s="977"/>
      <c r="N24" s="977"/>
      <c r="O24" s="977"/>
      <c r="P24" s="977"/>
      <c r="Q24" s="977"/>
      <c r="R24" s="977"/>
      <c r="S24" s="977"/>
      <c r="T24" s="977"/>
      <c r="U24" s="977"/>
      <c r="V24" s="977"/>
      <c r="W24" s="977"/>
      <c r="X24" s="977"/>
      <c r="Y24" s="977"/>
      <c r="Z24" s="977"/>
      <c r="AA24" s="977"/>
      <c r="AB24" s="977"/>
      <c r="AC24" s="977"/>
      <c r="AD24" s="977"/>
      <c r="AE24" s="977"/>
      <c r="AF24" s="977"/>
      <c r="AG24" s="977"/>
      <c r="AH24" s="977"/>
      <c r="AI24" s="977"/>
      <c r="AJ24" s="977"/>
      <c r="AK24" s="977"/>
      <c r="AL24" s="977"/>
      <c r="AM24" s="977"/>
      <c r="AN24" s="977"/>
      <c r="AO24" s="977"/>
      <c r="AP24" s="977"/>
      <c r="AQ24" s="977"/>
    </row>
    <row r="25" spans="1:43" s="846" customFormat="1" ht="35.1" customHeight="1">
      <c r="A25" s="977"/>
      <c r="B25" s="977"/>
      <c r="C25" s="977"/>
      <c r="D25" s="977"/>
      <c r="E25" s="977"/>
      <c r="F25" s="977"/>
      <c r="G25" s="977"/>
      <c r="H25" s="977"/>
      <c r="I25" s="977"/>
      <c r="J25" s="977"/>
      <c r="K25" s="977"/>
      <c r="L25" s="977"/>
      <c r="M25" s="977"/>
      <c r="N25" s="977"/>
      <c r="O25" s="977"/>
      <c r="P25" s="977"/>
      <c r="Q25" s="977"/>
      <c r="R25" s="977"/>
      <c r="S25" s="977"/>
      <c r="T25" s="977"/>
      <c r="U25" s="977"/>
      <c r="V25" s="977"/>
      <c r="W25" s="977"/>
      <c r="X25" s="977"/>
      <c r="Y25" s="977"/>
      <c r="Z25" s="977"/>
      <c r="AA25" s="977"/>
      <c r="AB25" s="977"/>
      <c r="AC25" s="977"/>
      <c r="AD25" s="977"/>
      <c r="AE25" s="977"/>
      <c r="AF25" s="977"/>
      <c r="AG25" s="977"/>
      <c r="AH25" s="977"/>
      <c r="AI25" s="977"/>
      <c r="AJ25" s="977"/>
      <c r="AK25" s="977"/>
      <c r="AL25" s="977"/>
      <c r="AM25" s="977"/>
      <c r="AN25" s="977"/>
      <c r="AO25" s="977"/>
      <c r="AP25" s="977"/>
      <c r="AQ25" s="977"/>
    </row>
    <row r="26" spans="1:43" s="846" customFormat="1" ht="35.1" customHeight="1">
      <c r="A26" s="977"/>
      <c r="B26" s="977"/>
      <c r="C26" s="977"/>
      <c r="D26" s="977"/>
      <c r="E26" s="977"/>
      <c r="F26" s="977"/>
      <c r="G26" s="977"/>
      <c r="H26" s="977"/>
      <c r="I26" s="977"/>
      <c r="J26" s="977"/>
      <c r="K26" s="977"/>
      <c r="L26" s="977"/>
      <c r="M26" s="977"/>
      <c r="N26" s="977"/>
      <c r="O26" s="977"/>
      <c r="P26" s="977"/>
      <c r="Q26" s="977"/>
      <c r="R26" s="977"/>
      <c r="S26" s="977"/>
      <c r="T26" s="977"/>
      <c r="U26" s="977"/>
      <c r="V26" s="977"/>
      <c r="W26" s="977"/>
      <c r="X26" s="977"/>
      <c r="Y26" s="977"/>
      <c r="Z26" s="977"/>
      <c r="AA26" s="977"/>
      <c r="AB26" s="977"/>
      <c r="AC26" s="977"/>
      <c r="AD26" s="977"/>
      <c r="AE26" s="977"/>
      <c r="AF26" s="977"/>
      <c r="AG26" s="977"/>
      <c r="AH26" s="977"/>
      <c r="AI26" s="977"/>
      <c r="AJ26" s="977"/>
      <c r="AK26" s="977"/>
      <c r="AL26" s="977"/>
      <c r="AM26" s="977"/>
      <c r="AN26" s="977"/>
      <c r="AO26" s="977"/>
      <c r="AP26" s="977"/>
      <c r="AQ26" s="977"/>
    </row>
    <row r="27" spans="1:43" s="846" customFormat="1" ht="35.1" customHeight="1">
      <c r="A27" s="977"/>
      <c r="B27" s="977"/>
      <c r="C27" s="977"/>
      <c r="D27" s="977"/>
      <c r="E27" s="977"/>
      <c r="F27" s="977"/>
      <c r="G27" s="977"/>
      <c r="H27" s="977"/>
      <c r="I27" s="977"/>
      <c r="J27" s="977"/>
      <c r="K27" s="977"/>
      <c r="L27" s="977"/>
      <c r="M27" s="977"/>
      <c r="N27" s="977"/>
      <c r="O27" s="977"/>
      <c r="P27" s="977"/>
      <c r="Q27" s="977"/>
      <c r="R27" s="977"/>
      <c r="S27" s="977"/>
      <c r="T27" s="977"/>
      <c r="U27" s="977"/>
      <c r="V27" s="977"/>
      <c r="W27" s="977"/>
      <c r="X27" s="977"/>
      <c r="Y27" s="977"/>
      <c r="Z27" s="977"/>
      <c r="AA27" s="977"/>
      <c r="AB27" s="977"/>
      <c r="AC27" s="977"/>
      <c r="AD27" s="977"/>
      <c r="AE27" s="977"/>
      <c r="AF27" s="977"/>
      <c r="AG27" s="977"/>
      <c r="AH27" s="977"/>
      <c r="AI27" s="977"/>
      <c r="AJ27" s="977"/>
      <c r="AK27" s="977"/>
      <c r="AL27" s="977"/>
      <c r="AM27" s="977"/>
      <c r="AN27" s="977"/>
      <c r="AO27" s="977"/>
      <c r="AP27" s="977"/>
      <c r="AQ27" s="977"/>
    </row>
    <row r="28" spans="1:43" s="846" customFormat="1" ht="35.1" customHeight="1">
      <c r="A28" s="977"/>
      <c r="B28" s="977"/>
      <c r="C28" s="977"/>
      <c r="D28" s="977"/>
      <c r="E28" s="977"/>
      <c r="F28" s="977"/>
      <c r="G28" s="977"/>
      <c r="H28" s="977"/>
      <c r="I28" s="977"/>
      <c r="J28" s="977"/>
      <c r="K28" s="977"/>
      <c r="L28" s="977"/>
      <c r="M28" s="977"/>
      <c r="N28" s="977"/>
      <c r="O28" s="977"/>
      <c r="P28" s="977"/>
      <c r="Q28" s="977"/>
      <c r="R28" s="977"/>
      <c r="S28" s="977"/>
      <c r="T28" s="977"/>
      <c r="U28" s="977"/>
      <c r="V28" s="977"/>
      <c r="W28" s="977"/>
      <c r="X28" s="977"/>
      <c r="Y28" s="977"/>
      <c r="Z28" s="977"/>
      <c r="AA28" s="977"/>
      <c r="AB28" s="977"/>
      <c r="AC28" s="977"/>
      <c r="AD28" s="977"/>
      <c r="AE28" s="977"/>
      <c r="AF28" s="977"/>
      <c r="AG28" s="977"/>
      <c r="AH28" s="977"/>
      <c r="AI28" s="977"/>
      <c r="AJ28" s="977"/>
      <c r="AK28" s="977"/>
      <c r="AL28" s="977"/>
      <c r="AM28" s="977"/>
      <c r="AN28" s="977"/>
      <c r="AO28" s="977"/>
      <c r="AP28" s="977"/>
      <c r="AQ28" s="977"/>
    </row>
    <row r="29" spans="1:43" s="846" customFormat="1" ht="35.1" customHeight="1">
      <c r="A29" s="977"/>
      <c r="B29" s="977"/>
      <c r="C29" s="977"/>
      <c r="D29" s="977"/>
      <c r="E29" s="977"/>
      <c r="F29" s="977"/>
      <c r="G29" s="977"/>
      <c r="H29" s="977"/>
      <c r="I29" s="977"/>
      <c r="J29" s="977"/>
      <c r="K29" s="977"/>
      <c r="L29" s="977"/>
      <c r="M29" s="977"/>
      <c r="N29" s="977"/>
      <c r="O29" s="977"/>
      <c r="P29" s="977"/>
      <c r="Q29" s="977"/>
      <c r="R29" s="977"/>
      <c r="S29" s="977"/>
      <c r="T29" s="977"/>
      <c r="U29" s="977"/>
      <c r="V29" s="977"/>
      <c r="W29" s="977"/>
      <c r="X29" s="977"/>
      <c r="Y29" s="977"/>
      <c r="Z29" s="977"/>
      <c r="AA29" s="977"/>
      <c r="AB29" s="977"/>
      <c r="AC29" s="977"/>
      <c r="AD29" s="977"/>
      <c r="AE29" s="977"/>
      <c r="AF29" s="977"/>
      <c r="AG29" s="977"/>
      <c r="AH29" s="977"/>
      <c r="AI29" s="977"/>
      <c r="AJ29" s="977"/>
      <c r="AK29" s="977"/>
      <c r="AL29" s="977"/>
      <c r="AM29" s="977"/>
      <c r="AN29" s="977"/>
      <c r="AO29" s="977"/>
      <c r="AP29" s="977"/>
      <c r="AQ29" s="977"/>
    </row>
    <row r="30" spans="1:43" s="846" customFormat="1" ht="35.1" customHeight="1">
      <c r="A30" s="977"/>
      <c r="B30" s="977"/>
      <c r="C30" s="977"/>
      <c r="D30" s="977"/>
      <c r="E30" s="977"/>
      <c r="F30" s="977"/>
      <c r="G30" s="977"/>
      <c r="H30" s="977"/>
      <c r="I30" s="977"/>
      <c r="J30" s="977"/>
      <c r="K30" s="977"/>
      <c r="L30" s="977"/>
      <c r="M30" s="977"/>
      <c r="N30" s="977"/>
      <c r="O30" s="977"/>
      <c r="P30" s="977"/>
      <c r="Q30" s="977"/>
      <c r="R30" s="977"/>
      <c r="S30" s="977"/>
      <c r="T30" s="977"/>
      <c r="U30" s="977"/>
      <c r="V30" s="977"/>
      <c r="W30" s="977"/>
      <c r="X30" s="977"/>
      <c r="Y30" s="977"/>
      <c r="Z30" s="977"/>
      <c r="AA30" s="977"/>
      <c r="AB30" s="977"/>
      <c r="AC30" s="977"/>
      <c r="AD30" s="977"/>
      <c r="AE30" s="977"/>
      <c r="AF30" s="977"/>
      <c r="AG30" s="977"/>
      <c r="AH30" s="977"/>
      <c r="AI30" s="977"/>
      <c r="AJ30" s="977"/>
      <c r="AK30" s="977"/>
      <c r="AL30" s="977"/>
      <c r="AM30" s="977"/>
      <c r="AN30" s="977"/>
      <c r="AO30" s="977"/>
      <c r="AP30" s="977"/>
      <c r="AQ30" s="977"/>
    </row>
    <row r="31" spans="1:43" s="846" customFormat="1" ht="35.1" customHeight="1">
      <c r="A31" s="977"/>
      <c r="B31" s="977"/>
      <c r="C31" s="977"/>
      <c r="D31" s="977"/>
      <c r="E31" s="977"/>
      <c r="F31" s="977"/>
      <c r="G31" s="977"/>
      <c r="H31" s="977"/>
      <c r="I31" s="977"/>
      <c r="J31" s="977"/>
      <c r="K31" s="977"/>
      <c r="L31" s="977"/>
      <c r="M31" s="977"/>
      <c r="N31" s="977"/>
      <c r="O31" s="977"/>
      <c r="P31" s="977"/>
      <c r="Q31" s="977"/>
      <c r="R31" s="977"/>
      <c r="S31" s="977"/>
      <c r="T31" s="977"/>
      <c r="U31" s="977"/>
      <c r="V31" s="977"/>
      <c r="W31" s="977"/>
      <c r="X31" s="977"/>
      <c r="Y31" s="977"/>
      <c r="Z31" s="977"/>
      <c r="AA31" s="977"/>
      <c r="AB31" s="977"/>
      <c r="AC31" s="977"/>
      <c r="AD31" s="977"/>
      <c r="AE31" s="977"/>
      <c r="AF31" s="977"/>
      <c r="AG31" s="977"/>
      <c r="AH31" s="977"/>
      <c r="AI31" s="977"/>
      <c r="AJ31" s="977"/>
      <c r="AK31" s="977"/>
      <c r="AL31" s="977"/>
      <c r="AM31" s="977"/>
      <c r="AN31" s="977"/>
      <c r="AO31" s="977"/>
      <c r="AP31" s="977"/>
      <c r="AQ31" s="977"/>
    </row>
    <row r="32" spans="1:43" s="846" customFormat="1" ht="35.1" customHeight="1">
      <c r="A32" s="977"/>
      <c r="B32" s="977"/>
      <c r="C32" s="977"/>
      <c r="D32" s="977"/>
      <c r="E32" s="977"/>
      <c r="F32" s="977"/>
      <c r="G32" s="977"/>
      <c r="H32" s="977"/>
      <c r="I32" s="977"/>
      <c r="J32" s="977"/>
      <c r="K32" s="977"/>
      <c r="L32" s="977"/>
      <c r="M32" s="977"/>
      <c r="N32" s="977"/>
      <c r="O32" s="977"/>
      <c r="P32" s="977"/>
      <c r="Q32" s="977"/>
      <c r="R32" s="977"/>
      <c r="S32" s="977"/>
      <c r="T32" s="977"/>
      <c r="U32" s="977"/>
      <c r="V32" s="977"/>
      <c r="W32" s="977"/>
      <c r="X32" s="977"/>
      <c r="Y32" s="977"/>
      <c r="Z32" s="977"/>
      <c r="AA32" s="977"/>
      <c r="AB32" s="977"/>
      <c r="AC32" s="977"/>
      <c r="AD32" s="977"/>
      <c r="AE32" s="977"/>
      <c r="AF32" s="977"/>
      <c r="AG32" s="977"/>
      <c r="AH32" s="977"/>
      <c r="AI32" s="977"/>
      <c r="AJ32" s="977"/>
      <c r="AK32" s="977"/>
      <c r="AL32" s="977"/>
      <c r="AM32" s="977"/>
      <c r="AN32" s="977"/>
      <c r="AO32" s="977"/>
      <c r="AP32" s="977"/>
      <c r="AQ32" s="977"/>
    </row>
    <row r="33" spans="1:43" s="846" customFormat="1" ht="35.1" customHeight="1">
      <c r="A33" s="977"/>
      <c r="B33" s="977"/>
      <c r="C33" s="977"/>
      <c r="D33" s="977"/>
      <c r="E33" s="977"/>
      <c r="F33" s="977"/>
      <c r="G33" s="977"/>
      <c r="H33" s="977"/>
      <c r="I33" s="977"/>
      <c r="J33" s="977"/>
      <c r="K33" s="977"/>
      <c r="L33" s="977"/>
      <c r="M33" s="977"/>
      <c r="N33" s="977"/>
      <c r="O33" s="977"/>
      <c r="P33" s="977"/>
      <c r="Q33" s="977"/>
      <c r="R33" s="977"/>
      <c r="S33" s="977"/>
      <c r="T33" s="977"/>
      <c r="U33" s="977"/>
      <c r="V33" s="977"/>
      <c r="W33" s="977"/>
      <c r="X33" s="977"/>
      <c r="Y33" s="977"/>
      <c r="Z33" s="977"/>
      <c r="AA33" s="977"/>
      <c r="AB33" s="977"/>
      <c r="AC33" s="977"/>
      <c r="AD33" s="977"/>
      <c r="AE33" s="977"/>
      <c r="AF33" s="977"/>
      <c r="AG33" s="977"/>
      <c r="AH33" s="977"/>
      <c r="AI33" s="977"/>
      <c r="AJ33" s="977"/>
      <c r="AK33" s="977"/>
      <c r="AL33" s="977"/>
      <c r="AM33" s="977"/>
      <c r="AN33" s="977"/>
      <c r="AO33" s="977"/>
      <c r="AP33" s="977"/>
      <c r="AQ33" s="977"/>
    </row>
    <row r="34" spans="1:43" s="846" customFormat="1" ht="35.1" customHeight="1">
      <c r="A34" s="977"/>
      <c r="B34" s="977"/>
      <c r="C34" s="977"/>
      <c r="D34" s="977"/>
      <c r="E34" s="977"/>
      <c r="F34" s="977"/>
      <c r="G34" s="977"/>
      <c r="H34" s="977"/>
      <c r="I34" s="977"/>
      <c r="J34" s="977"/>
      <c r="K34" s="977"/>
      <c r="L34" s="977"/>
      <c r="M34" s="977"/>
      <c r="N34" s="977"/>
      <c r="O34" s="977"/>
      <c r="P34" s="977"/>
      <c r="Q34" s="977"/>
      <c r="R34" s="977"/>
      <c r="S34" s="977"/>
      <c r="T34" s="977"/>
      <c r="U34" s="977"/>
      <c r="V34" s="977"/>
      <c r="W34" s="977"/>
      <c r="X34" s="977"/>
      <c r="Y34" s="977"/>
      <c r="Z34" s="977"/>
      <c r="AA34" s="977"/>
      <c r="AB34" s="977"/>
      <c r="AC34" s="977"/>
      <c r="AD34" s="977"/>
      <c r="AE34" s="977"/>
      <c r="AF34" s="977"/>
      <c r="AG34" s="977"/>
      <c r="AH34" s="977"/>
      <c r="AI34" s="977"/>
      <c r="AJ34" s="977"/>
      <c r="AK34" s="977"/>
      <c r="AL34" s="977"/>
      <c r="AM34" s="977"/>
      <c r="AN34" s="977"/>
      <c r="AO34" s="977"/>
      <c r="AP34" s="977"/>
      <c r="AQ34" s="977"/>
    </row>
    <row r="35" spans="1:43" s="846" customFormat="1" ht="35.1" customHeight="1">
      <c r="A35" s="977"/>
      <c r="B35" s="977"/>
      <c r="C35" s="977"/>
      <c r="D35" s="977"/>
      <c r="E35" s="977"/>
      <c r="F35" s="977"/>
      <c r="G35" s="977"/>
      <c r="H35" s="977"/>
      <c r="I35" s="977"/>
      <c r="J35" s="977"/>
      <c r="K35" s="977"/>
      <c r="L35" s="977"/>
      <c r="M35" s="977"/>
      <c r="N35" s="977"/>
      <c r="O35" s="977"/>
      <c r="P35" s="977"/>
      <c r="Q35" s="977"/>
      <c r="R35" s="977"/>
      <c r="S35" s="977"/>
      <c r="T35" s="977"/>
      <c r="U35" s="977"/>
      <c r="V35" s="977"/>
      <c r="W35" s="977"/>
      <c r="X35" s="977"/>
      <c r="Y35" s="977"/>
      <c r="Z35" s="977"/>
      <c r="AA35" s="977"/>
      <c r="AB35" s="977"/>
      <c r="AC35" s="977"/>
      <c r="AD35" s="977"/>
      <c r="AE35" s="977"/>
      <c r="AF35" s="977"/>
      <c r="AG35" s="977"/>
      <c r="AH35" s="977"/>
      <c r="AI35" s="977"/>
      <c r="AJ35" s="977"/>
      <c r="AK35" s="977"/>
      <c r="AL35" s="977"/>
      <c r="AM35" s="977"/>
      <c r="AN35" s="977"/>
      <c r="AO35" s="977"/>
      <c r="AP35" s="977"/>
      <c r="AQ35" s="977"/>
    </row>
    <row r="36" spans="1:43" s="846" customFormat="1" ht="35.1" customHeight="1">
      <c r="A36" s="977"/>
      <c r="B36" s="977"/>
      <c r="C36" s="977"/>
      <c r="D36" s="977"/>
      <c r="E36" s="977"/>
      <c r="F36" s="977"/>
      <c r="G36" s="977"/>
      <c r="H36" s="977"/>
      <c r="I36" s="977"/>
      <c r="J36" s="977"/>
      <c r="K36" s="977"/>
      <c r="L36" s="977"/>
      <c r="M36" s="977"/>
      <c r="N36" s="977"/>
      <c r="O36" s="977"/>
      <c r="P36" s="977"/>
      <c r="Q36" s="977"/>
      <c r="R36" s="977"/>
      <c r="S36" s="977"/>
      <c r="T36" s="977"/>
      <c r="U36" s="977"/>
      <c r="V36" s="977"/>
      <c r="W36" s="977"/>
      <c r="X36" s="977"/>
      <c r="Y36" s="977"/>
      <c r="Z36" s="977"/>
      <c r="AA36" s="977"/>
      <c r="AB36" s="977"/>
      <c r="AC36" s="977"/>
      <c r="AD36" s="977"/>
      <c r="AE36" s="977"/>
      <c r="AF36" s="977"/>
      <c r="AG36" s="977"/>
      <c r="AH36" s="977"/>
      <c r="AI36" s="977"/>
      <c r="AJ36" s="977"/>
      <c r="AK36" s="977"/>
      <c r="AL36" s="977"/>
      <c r="AM36" s="977"/>
      <c r="AN36" s="977"/>
      <c r="AO36" s="977"/>
      <c r="AP36" s="977"/>
      <c r="AQ36" s="977"/>
    </row>
    <row r="37" spans="1:43" s="846" customFormat="1" ht="35.1" customHeight="1">
      <c r="A37" s="977"/>
      <c r="B37" s="977"/>
      <c r="C37" s="977"/>
      <c r="D37" s="977"/>
      <c r="E37" s="977"/>
      <c r="F37" s="977"/>
      <c r="G37" s="977"/>
      <c r="H37" s="977"/>
      <c r="I37" s="977"/>
      <c r="J37" s="977"/>
      <c r="K37" s="977"/>
      <c r="L37" s="977"/>
      <c r="M37" s="977"/>
      <c r="N37" s="977"/>
      <c r="O37" s="977"/>
      <c r="P37" s="977"/>
      <c r="Q37" s="977"/>
      <c r="R37" s="977"/>
      <c r="S37" s="977"/>
      <c r="T37" s="977"/>
      <c r="U37" s="977"/>
      <c r="V37" s="977"/>
      <c r="W37" s="977"/>
      <c r="X37" s="977"/>
      <c r="Y37" s="977"/>
      <c r="Z37" s="977"/>
      <c r="AA37" s="977"/>
      <c r="AB37" s="977"/>
      <c r="AC37" s="977"/>
      <c r="AD37" s="977"/>
      <c r="AE37" s="977"/>
      <c r="AF37" s="977"/>
      <c r="AG37" s="977"/>
      <c r="AH37" s="977"/>
      <c r="AI37" s="977"/>
      <c r="AJ37" s="977"/>
      <c r="AK37" s="977"/>
      <c r="AL37" s="977"/>
      <c r="AM37" s="977"/>
      <c r="AN37" s="977"/>
      <c r="AO37" s="977"/>
      <c r="AP37" s="977"/>
      <c r="AQ37" s="977"/>
    </row>
    <row r="38" spans="1:43" s="846" customFormat="1" ht="35.1" customHeight="1">
      <c r="A38" s="977"/>
      <c r="B38" s="977"/>
      <c r="C38" s="977"/>
      <c r="D38" s="977"/>
      <c r="E38" s="977"/>
      <c r="F38" s="977"/>
      <c r="G38" s="977"/>
      <c r="H38" s="977"/>
      <c r="I38" s="977"/>
      <c r="J38" s="977"/>
      <c r="K38" s="977"/>
      <c r="L38" s="977"/>
      <c r="M38" s="977"/>
      <c r="N38" s="977"/>
      <c r="O38" s="977"/>
      <c r="P38" s="977"/>
      <c r="Q38" s="977"/>
      <c r="R38" s="977"/>
      <c r="S38" s="977"/>
      <c r="T38" s="977"/>
      <c r="U38" s="977"/>
      <c r="V38" s="977"/>
      <c r="W38" s="977"/>
      <c r="X38" s="977"/>
      <c r="Y38" s="977"/>
      <c r="Z38" s="977"/>
      <c r="AA38" s="977"/>
      <c r="AB38" s="977"/>
      <c r="AC38" s="977"/>
      <c r="AD38" s="977"/>
      <c r="AE38" s="977"/>
      <c r="AF38" s="977"/>
      <c r="AG38" s="977"/>
      <c r="AH38" s="977"/>
      <c r="AI38" s="977"/>
      <c r="AJ38" s="977"/>
      <c r="AK38" s="977"/>
      <c r="AL38" s="977"/>
      <c r="AM38" s="977"/>
      <c r="AN38" s="977"/>
      <c r="AO38" s="977"/>
      <c r="AP38" s="977"/>
      <c r="AQ38" s="977"/>
    </row>
    <row r="39" spans="1:43" s="846" customFormat="1" ht="35.1" customHeight="1">
      <c r="A39" s="977"/>
      <c r="B39" s="977"/>
      <c r="C39" s="977"/>
      <c r="D39" s="977"/>
      <c r="E39" s="977"/>
      <c r="F39" s="977"/>
      <c r="G39" s="977"/>
      <c r="H39" s="977"/>
      <c r="I39" s="977"/>
      <c r="J39" s="977"/>
      <c r="K39" s="977"/>
      <c r="L39" s="977"/>
      <c r="M39" s="977"/>
      <c r="N39" s="977"/>
      <c r="O39" s="977"/>
      <c r="P39" s="977"/>
      <c r="Q39" s="977"/>
      <c r="R39" s="977"/>
      <c r="S39" s="977"/>
      <c r="T39" s="977"/>
      <c r="U39" s="977"/>
      <c r="V39" s="977"/>
      <c r="W39" s="977"/>
      <c r="X39" s="977"/>
      <c r="Y39" s="977"/>
      <c r="Z39" s="977"/>
      <c r="AA39" s="977"/>
      <c r="AB39" s="977"/>
      <c r="AC39" s="977"/>
      <c r="AD39" s="977"/>
      <c r="AE39" s="977"/>
      <c r="AF39" s="977"/>
      <c r="AG39" s="977"/>
      <c r="AH39" s="977"/>
      <c r="AI39" s="977"/>
      <c r="AJ39" s="977"/>
      <c r="AK39" s="977"/>
      <c r="AL39" s="977"/>
      <c r="AM39" s="977"/>
      <c r="AN39" s="977"/>
      <c r="AO39" s="977"/>
      <c r="AP39" s="977"/>
      <c r="AQ39" s="977"/>
    </row>
    <row r="40" spans="1:43" s="846" customFormat="1" ht="35.1" customHeight="1">
      <c r="A40" s="977"/>
      <c r="B40" s="977"/>
      <c r="C40" s="977"/>
      <c r="D40" s="977"/>
      <c r="E40" s="977"/>
      <c r="F40" s="977"/>
      <c r="G40" s="977"/>
      <c r="H40" s="977"/>
      <c r="I40" s="977"/>
      <c r="J40" s="977"/>
      <c r="K40" s="977"/>
      <c r="L40" s="977"/>
      <c r="M40" s="977"/>
      <c r="N40" s="977"/>
      <c r="O40" s="977"/>
      <c r="P40" s="977"/>
      <c r="Q40" s="977"/>
      <c r="R40" s="977"/>
      <c r="S40" s="977"/>
      <c r="T40" s="977"/>
      <c r="U40" s="977"/>
      <c r="V40" s="977"/>
      <c r="W40" s="977"/>
      <c r="X40" s="977"/>
      <c r="Y40" s="977"/>
      <c r="Z40" s="977"/>
      <c r="AA40" s="977"/>
      <c r="AB40" s="977"/>
      <c r="AC40" s="977"/>
      <c r="AD40" s="977"/>
      <c r="AE40" s="977"/>
      <c r="AF40" s="977"/>
      <c r="AG40" s="977"/>
      <c r="AH40" s="977"/>
      <c r="AI40" s="977"/>
      <c r="AJ40" s="977"/>
      <c r="AK40" s="977"/>
      <c r="AL40" s="977"/>
      <c r="AM40" s="977"/>
      <c r="AN40" s="977"/>
      <c r="AO40" s="977"/>
      <c r="AP40" s="977"/>
      <c r="AQ40" s="977"/>
    </row>
    <row r="41" spans="1:43" s="846" customFormat="1" ht="35.1" customHeight="1">
      <c r="A41" s="977"/>
      <c r="B41" s="977"/>
      <c r="C41" s="977"/>
      <c r="D41" s="977"/>
      <c r="E41" s="977"/>
      <c r="F41" s="977"/>
      <c r="G41" s="977"/>
      <c r="H41" s="977"/>
      <c r="I41" s="977"/>
      <c r="J41" s="977"/>
      <c r="K41" s="977"/>
      <c r="L41" s="977"/>
      <c r="M41" s="977"/>
      <c r="N41" s="977"/>
      <c r="O41" s="977"/>
      <c r="P41" s="977"/>
      <c r="Q41" s="977"/>
      <c r="R41" s="977"/>
      <c r="S41" s="977"/>
      <c r="T41" s="977"/>
      <c r="U41" s="977"/>
      <c r="V41" s="977"/>
      <c r="W41" s="977"/>
      <c r="X41" s="977"/>
      <c r="Y41" s="977"/>
      <c r="Z41" s="977"/>
      <c r="AA41" s="977"/>
      <c r="AB41" s="977"/>
      <c r="AC41" s="977"/>
      <c r="AD41" s="977"/>
      <c r="AE41" s="977"/>
      <c r="AF41" s="977"/>
      <c r="AG41" s="977"/>
      <c r="AH41" s="977"/>
      <c r="AI41" s="977"/>
      <c r="AJ41" s="977"/>
      <c r="AK41" s="977"/>
      <c r="AL41" s="977"/>
      <c r="AM41" s="977"/>
      <c r="AN41" s="977"/>
      <c r="AO41" s="977"/>
      <c r="AP41" s="977"/>
      <c r="AQ41" s="977"/>
    </row>
    <row r="42" spans="1:43" s="879" customFormat="1" ht="35.1" customHeight="1">
      <c r="A42" s="977"/>
      <c r="B42" s="977"/>
      <c r="C42" s="977"/>
      <c r="D42" s="977"/>
      <c r="E42" s="977"/>
      <c r="F42" s="977"/>
      <c r="G42" s="977"/>
      <c r="H42" s="977"/>
      <c r="I42" s="977"/>
      <c r="J42" s="977"/>
      <c r="K42" s="977"/>
      <c r="L42" s="977"/>
      <c r="M42" s="977"/>
      <c r="N42" s="977"/>
      <c r="O42" s="977"/>
      <c r="P42" s="977"/>
      <c r="Q42" s="977"/>
      <c r="R42" s="977"/>
      <c r="S42" s="977"/>
      <c r="T42" s="977"/>
      <c r="U42" s="977"/>
      <c r="V42" s="977"/>
      <c r="W42" s="977"/>
      <c r="X42" s="977"/>
      <c r="Y42" s="977"/>
      <c r="Z42" s="977"/>
      <c r="AA42" s="977"/>
      <c r="AB42" s="977"/>
      <c r="AC42" s="977"/>
      <c r="AD42" s="977"/>
      <c r="AE42" s="977"/>
      <c r="AF42" s="977"/>
      <c r="AG42" s="977"/>
      <c r="AH42" s="977"/>
      <c r="AI42" s="977"/>
      <c r="AJ42" s="977"/>
      <c r="AK42" s="977"/>
      <c r="AL42" s="977"/>
      <c r="AM42" s="977"/>
      <c r="AN42" s="977"/>
      <c r="AO42" s="977"/>
      <c r="AP42" s="977"/>
      <c r="AQ42" s="977"/>
    </row>
    <row r="43" spans="1:43" s="934" customFormat="1" ht="35.1" customHeight="1">
      <c r="A43" s="977"/>
      <c r="B43" s="977"/>
      <c r="C43" s="977"/>
      <c r="D43" s="977"/>
      <c r="E43" s="977"/>
      <c r="F43" s="977"/>
      <c r="G43" s="977"/>
      <c r="H43" s="977"/>
      <c r="I43" s="977"/>
      <c r="J43" s="977"/>
      <c r="K43" s="977"/>
      <c r="L43" s="977"/>
      <c r="M43" s="977"/>
      <c r="N43" s="977"/>
      <c r="O43" s="977"/>
      <c r="P43" s="977"/>
      <c r="Q43" s="977"/>
      <c r="R43" s="977"/>
      <c r="S43" s="977"/>
      <c r="T43" s="977"/>
      <c r="U43" s="977"/>
      <c r="V43" s="977"/>
      <c r="W43" s="977"/>
      <c r="X43" s="977"/>
      <c r="Y43" s="977"/>
      <c r="Z43" s="977"/>
      <c r="AA43" s="977"/>
      <c r="AB43" s="977"/>
      <c r="AC43" s="977"/>
      <c r="AD43" s="977"/>
      <c r="AE43" s="977"/>
      <c r="AF43" s="977"/>
      <c r="AG43" s="977"/>
      <c r="AH43" s="977"/>
      <c r="AI43" s="977"/>
      <c r="AJ43" s="977"/>
      <c r="AK43" s="977"/>
      <c r="AL43" s="977"/>
      <c r="AM43" s="977"/>
      <c r="AN43" s="977"/>
      <c r="AO43" s="977"/>
      <c r="AP43" s="977"/>
      <c r="AQ43" s="977"/>
    </row>
    <row r="44" spans="1:43" s="934" customFormat="1" ht="35.1" customHeight="1">
      <c r="A44" s="977"/>
      <c r="B44" s="977"/>
      <c r="C44" s="977"/>
      <c r="D44" s="977"/>
      <c r="E44" s="977"/>
      <c r="F44" s="977"/>
      <c r="G44" s="977"/>
      <c r="H44" s="977"/>
      <c r="I44" s="977"/>
      <c r="J44" s="977"/>
      <c r="K44" s="977"/>
      <c r="L44" s="977"/>
      <c r="M44" s="977"/>
      <c r="N44" s="977"/>
      <c r="O44" s="977"/>
      <c r="P44" s="977"/>
      <c r="Q44" s="977"/>
      <c r="R44" s="977"/>
      <c r="S44" s="977"/>
      <c r="T44" s="977"/>
      <c r="U44" s="977"/>
      <c r="V44" s="977"/>
      <c r="W44" s="977"/>
      <c r="X44" s="977"/>
      <c r="Y44" s="977"/>
      <c r="Z44" s="977"/>
      <c r="AA44" s="977"/>
      <c r="AB44" s="977"/>
      <c r="AC44" s="977"/>
      <c r="AD44" s="977"/>
      <c r="AE44" s="977"/>
      <c r="AF44" s="977"/>
      <c r="AG44" s="977"/>
      <c r="AH44" s="977"/>
      <c r="AI44" s="977"/>
      <c r="AJ44" s="977"/>
      <c r="AK44" s="977"/>
      <c r="AL44" s="977"/>
      <c r="AM44" s="977"/>
      <c r="AN44" s="977"/>
      <c r="AO44" s="977"/>
      <c r="AP44" s="977"/>
      <c r="AQ44" s="977"/>
    </row>
    <row r="45" spans="1:43" s="934" customFormat="1" ht="35.1" customHeight="1">
      <c r="A45" s="977"/>
      <c r="B45" s="977"/>
      <c r="C45" s="977"/>
      <c r="D45" s="977"/>
      <c r="E45" s="977"/>
      <c r="F45" s="977"/>
      <c r="G45" s="977"/>
      <c r="H45" s="977"/>
      <c r="I45" s="977"/>
      <c r="J45" s="977"/>
      <c r="K45" s="977"/>
      <c r="L45" s="977"/>
      <c r="M45" s="977"/>
      <c r="N45" s="977"/>
      <c r="O45" s="977"/>
      <c r="P45" s="977"/>
      <c r="Q45" s="977"/>
      <c r="R45" s="977"/>
      <c r="S45" s="977"/>
      <c r="T45" s="977"/>
      <c r="U45" s="977"/>
      <c r="V45" s="977"/>
      <c r="W45" s="977"/>
      <c r="X45" s="977"/>
      <c r="Y45" s="977"/>
      <c r="Z45" s="977"/>
      <c r="AA45" s="977"/>
      <c r="AB45" s="977"/>
      <c r="AC45" s="977"/>
      <c r="AD45" s="977"/>
      <c r="AE45" s="977"/>
      <c r="AF45" s="977"/>
      <c r="AG45" s="977"/>
      <c r="AH45" s="977"/>
      <c r="AI45" s="977"/>
      <c r="AJ45" s="977"/>
      <c r="AK45" s="977"/>
      <c r="AL45" s="977"/>
      <c r="AM45" s="977"/>
      <c r="AN45" s="977"/>
      <c r="AO45" s="977"/>
      <c r="AP45" s="977"/>
      <c r="AQ45" s="977"/>
    </row>
    <row r="46" spans="1:43" s="934" customFormat="1" ht="35.1" customHeight="1">
      <c r="A46" s="977"/>
      <c r="B46" s="977"/>
      <c r="C46" s="977"/>
      <c r="D46" s="977"/>
      <c r="E46" s="977"/>
      <c r="F46" s="977"/>
      <c r="G46" s="977"/>
      <c r="H46" s="977"/>
      <c r="I46" s="977"/>
      <c r="J46" s="977"/>
      <c r="K46" s="977"/>
      <c r="L46" s="977"/>
      <c r="M46" s="977"/>
      <c r="N46" s="977"/>
      <c r="O46" s="977"/>
      <c r="P46" s="977"/>
      <c r="Q46" s="977"/>
      <c r="R46" s="977"/>
      <c r="S46" s="977"/>
      <c r="T46" s="977"/>
      <c r="U46" s="977"/>
      <c r="V46" s="977"/>
      <c r="W46" s="977"/>
      <c r="X46" s="977"/>
      <c r="Y46" s="977"/>
      <c r="Z46" s="977"/>
      <c r="AA46" s="977"/>
      <c r="AB46" s="977"/>
      <c r="AC46" s="977"/>
      <c r="AD46" s="977"/>
      <c r="AE46" s="977"/>
      <c r="AF46" s="977"/>
      <c r="AG46" s="977"/>
      <c r="AH46" s="977"/>
      <c r="AI46" s="977"/>
      <c r="AJ46" s="977"/>
      <c r="AK46" s="977"/>
      <c r="AL46" s="977"/>
      <c r="AM46" s="977"/>
      <c r="AN46" s="977"/>
      <c r="AO46" s="977"/>
      <c r="AP46" s="977"/>
      <c r="AQ46" s="977"/>
    </row>
    <row r="47" spans="1:43" s="934" customFormat="1" ht="35.1" customHeight="1">
      <c r="A47" s="977"/>
      <c r="B47" s="977"/>
      <c r="C47" s="977"/>
      <c r="D47" s="977"/>
      <c r="E47" s="977"/>
      <c r="F47" s="977"/>
      <c r="G47" s="977"/>
      <c r="H47" s="977"/>
      <c r="I47" s="977"/>
      <c r="J47" s="977"/>
      <c r="K47" s="977"/>
      <c r="L47" s="977"/>
      <c r="M47" s="977"/>
      <c r="N47" s="977"/>
      <c r="O47" s="977"/>
      <c r="P47" s="977"/>
      <c r="Q47" s="977"/>
      <c r="R47" s="977"/>
      <c r="S47" s="977"/>
      <c r="T47" s="977"/>
      <c r="U47" s="977"/>
      <c r="V47" s="977"/>
      <c r="W47" s="977"/>
      <c r="X47" s="977"/>
      <c r="Y47" s="977"/>
      <c r="Z47" s="977"/>
      <c r="AA47" s="977"/>
      <c r="AB47" s="977"/>
      <c r="AC47" s="977"/>
      <c r="AD47" s="977"/>
      <c r="AE47" s="977"/>
      <c r="AF47" s="977"/>
      <c r="AG47" s="977"/>
      <c r="AH47" s="977"/>
      <c r="AI47" s="977"/>
      <c r="AJ47" s="977"/>
      <c r="AK47" s="977"/>
      <c r="AL47" s="977"/>
      <c r="AM47" s="977"/>
      <c r="AN47" s="977"/>
      <c r="AO47" s="977"/>
      <c r="AP47" s="977"/>
      <c r="AQ47" s="977"/>
    </row>
    <row r="48" spans="1:43" s="887" customFormat="1" ht="35.1" customHeight="1">
      <c r="A48" s="977"/>
      <c r="B48" s="977"/>
      <c r="C48" s="977"/>
      <c r="D48" s="977"/>
      <c r="E48" s="977"/>
      <c r="F48" s="977"/>
      <c r="G48" s="977"/>
      <c r="H48" s="977"/>
      <c r="I48" s="977"/>
      <c r="J48" s="977"/>
      <c r="K48" s="977"/>
      <c r="L48" s="977"/>
      <c r="M48" s="977"/>
      <c r="N48" s="977"/>
      <c r="O48" s="977"/>
      <c r="P48" s="977"/>
      <c r="Q48" s="977"/>
      <c r="R48" s="977"/>
      <c r="S48" s="977"/>
      <c r="T48" s="977"/>
      <c r="U48" s="977"/>
      <c r="V48" s="977"/>
      <c r="W48" s="977"/>
      <c r="X48" s="977"/>
      <c r="Y48" s="977"/>
      <c r="Z48" s="977"/>
      <c r="AA48" s="977"/>
      <c r="AB48" s="977"/>
      <c r="AC48" s="977"/>
      <c r="AD48" s="977"/>
      <c r="AE48" s="977"/>
      <c r="AF48" s="977"/>
      <c r="AG48" s="977"/>
      <c r="AH48" s="977"/>
      <c r="AI48" s="977"/>
      <c r="AJ48" s="977"/>
      <c r="AK48" s="977"/>
      <c r="AL48" s="977"/>
      <c r="AM48" s="977"/>
      <c r="AN48" s="977"/>
      <c r="AO48" s="977"/>
      <c r="AP48" s="977"/>
      <c r="AQ48" s="977"/>
    </row>
    <row r="49" spans="1:119" s="887" customFormat="1" ht="35.1" customHeight="1">
      <c r="A49" s="977"/>
      <c r="B49" s="977"/>
      <c r="C49" s="977"/>
      <c r="D49" s="977"/>
      <c r="E49" s="977"/>
      <c r="F49" s="977"/>
      <c r="G49" s="977"/>
      <c r="H49" s="977"/>
      <c r="I49" s="977"/>
      <c r="J49" s="977"/>
      <c r="K49" s="977"/>
      <c r="L49" s="977"/>
      <c r="M49" s="977"/>
      <c r="N49" s="977"/>
      <c r="O49" s="977"/>
      <c r="P49" s="977"/>
      <c r="Q49" s="977"/>
      <c r="R49" s="977"/>
      <c r="S49" s="977"/>
      <c r="T49" s="977"/>
      <c r="U49" s="977"/>
      <c r="V49" s="977"/>
      <c r="W49" s="977"/>
      <c r="X49" s="977"/>
      <c r="Y49" s="977"/>
      <c r="Z49" s="977"/>
      <c r="AA49" s="977"/>
      <c r="AB49" s="977"/>
      <c r="AC49" s="977"/>
      <c r="AD49" s="977"/>
      <c r="AE49" s="977"/>
      <c r="AF49" s="977"/>
      <c r="AG49" s="977"/>
      <c r="AH49" s="977"/>
      <c r="AI49" s="977"/>
      <c r="AJ49" s="977"/>
      <c r="AK49" s="977"/>
      <c r="AL49" s="977"/>
      <c r="AM49" s="977"/>
      <c r="AN49" s="977"/>
      <c r="AO49" s="977"/>
      <c r="AP49" s="977"/>
      <c r="AQ49" s="977"/>
    </row>
    <row r="50" spans="1:119" s="887" customFormat="1" ht="35.1" customHeight="1">
      <c r="A50" s="977"/>
      <c r="B50" s="977"/>
      <c r="C50" s="977"/>
      <c r="D50" s="977"/>
      <c r="E50" s="977"/>
      <c r="F50" s="977"/>
      <c r="G50" s="977"/>
      <c r="H50" s="977"/>
      <c r="I50" s="977"/>
      <c r="J50" s="977"/>
      <c r="K50" s="977"/>
      <c r="L50" s="977"/>
      <c r="M50" s="977"/>
      <c r="N50" s="977"/>
      <c r="O50" s="977"/>
      <c r="P50" s="977"/>
      <c r="Q50" s="977"/>
      <c r="R50" s="977"/>
      <c r="S50" s="977"/>
      <c r="T50" s="977"/>
      <c r="U50" s="977"/>
      <c r="V50" s="977"/>
      <c r="W50" s="977"/>
      <c r="X50" s="977"/>
      <c r="Y50" s="977"/>
      <c r="Z50" s="977"/>
      <c r="AA50" s="977"/>
      <c r="AB50" s="977"/>
      <c r="AC50" s="977"/>
      <c r="AD50" s="977"/>
      <c r="AE50" s="977"/>
      <c r="AF50" s="977"/>
      <c r="AG50" s="977"/>
      <c r="AH50" s="977"/>
      <c r="AI50" s="977"/>
      <c r="AJ50" s="977"/>
      <c r="AK50" s="977"/>
      <c r="AL50" s="977"/>
      <c r="AM50" s="977"/>
      <c r="AN50" s="977"/>
      <c r="AO50" s="977"/>
      <c r="AP50" s="977"/>
      <c r="AQ50" s="977"/>
    </row>
    <row r="51" spans="1:119" s="887" customFormat="1" ht="35.1" customHeight="1">
      <c r="A51" s="977"/>
      <c r="B51" s="977"/>
      <c r="C51" s="977"/>
      <c r="D51" s="977"/>
      <c r="E51" s="977"/>
      <c r="F51" s="977"/>
      <c r="G51" s="977"/>
      <c r="H51" s="977"/>
      <c r="I51" s="977"/>
      <c r="J51" s="977"/>
      <c r="K51" s="977"/>
      <c r="L51" s="977"/>
      <c r="M51" s="977"/>
      <c r="N51" s="977"/>
      <c r="O51" s="977"/>
      <c r="P51" s="977"/>
      <c r="Q51" s="977"/>
      <c r="R51" s="977"/>
      <c r="S51" s="977"/>
      <c r="T51" s="977"/>
      <c r="U51" s="977"/>
      <c r="V51" s="977"/>
      <c r="W51" s="977"/>
      <c r="X51" s="977"/>
      <c r="Y51" s="977"/>
      <c r="Z51" s="977"/>
      <c r="AA51" s="977"/>
      <c r="AB51" s="977"/>
      <c r="AC51" s="977"/>
      <c r="AD51" s="977"/>
      <c r="AE51" s="977"/>
      <c r="AF51" s="977"/>
      <c r="AG51" s="977"/>
      <c r="AH51" s="977"/>
      <c r="AI51" s="977"/>
      <c r="AJ51" s="977"/>
      <c r="AK51" s="977"/>
      <c r="AL51" s="977"/>
      <c r="AM51" s="977"/>
      <c r="AN51" s="977"/>
      <c r="AO51" s="977"/>
      <c r="AP51" s="977"/>
      <c r="AQ51" s="977"/>
    </row>
    <row r="52" spans="1:119" s="887" customFormat="1" ht="35.1" customHeight="1">
      <c r="A52" s="977"/>
      <c r="B52" s="977"/>
      <c r="C52" s="977"/>
      <c r="D52" s="977"/>
      <c r="E52" s="977"/>
      <c r="F52" s="977"/>
      <c r="G52" s="977"/>
      <c r="H52" s="977"/>
      <c r="I52" s="977"/>
      <c r="J52" s="977"/>
      <c r="K52" s="977"/>
      <c r="L52" s="977"/>
      <c r="M52" s="977"/>
      <c r="N52" s="977"/>
      <c r="O52" s="977"/>
      <c r="P52" s="977"/>
      <c r="Q52" s="977"/>
      <c r="R52" s="977"/>
      <c r="S52" s="977"/>
      <c r="T52" s="977"/>
      <c r="U52" s="977"/>
      <c r="V52" s="977"/>
      <c r="W52" s="977"/>
      <c r="X52" s="977"/>
      <c r="Y52" s="977"/>
      <c r="Z52" s="977"/>
      <c r="AA52" s="977"/>
      <c r="AB52" s="977"/>
      <c r="AC52" s="977"/>
      <c r="AD52" s="977"/>
      <c r="AE52" s="977"/>
      <c r="AF52" s="977"/>
      <c r="AG52" s="977"/>
      <c r="AH52" s="977"/>
      <c r="AI52" s="977"/>
      <c r="AJ52" s="977"/>
      <c r="AK52" s="977"/>
      <c r="AL52" s="977"/>
      <c r="AM52" s="977"/>
      <c r="AN52" s="977"/>
      <c r="AO52" s="977"/>
      <c r="AP52" s="977"/>
      <c r="AQ52" s="977"/>
    </row>
    <row r="53" spans="1:119" s="887" customFormat="1" ht="35.1" customHeight="1">
      <c r="A53" s="977"/>
      <c r="B53" s="977"/>
      <c r="C53" s="977"/>
      <c r="D53" s="977"/>
      <c r="E53" s="977"/>
      <c r="F53" s="977"/>
      <c r="G53" s="977"/>
      <c r="H53" s="977"/>
      <c r="I53" s="977"/>
      <c r="J53" s="977"/>
      <c r="K53" s="977"/>
      <c r="L53" s="977"/>
      <c r="M53" s="977"/>
      <c r="N53" s="977"/>
      <c r="O53" s="977"/>
      <c r="P53" s="977"/>
      <c r="Q53" s="977"/>
      <c r="R53" s="977"/>
      <c r="S53" s="977"/>
      <c r="T53" s="977"/>
      <c r="U53" s="977"/>
      <c r="V53" s="977"/>
      <c r="W53" s="977"/>
      <c r="X53" s="977"/>
      <c r="Y53" s="977"/>
      <c r="Z53" s="977"/>
      <c r="AA53" s="977"/>
      <c r="AB53" s="977"/>
      <c r="AC53" s="977"/>
      <c r="AD53" s="977"/>
      <c r="AE53" s="977"/>
      <c r="AF53" s="977"/>
      <c r="AG53" s="977"/>
      <c r="AH53" s="977"/>
      <c r="AI53" s="977"/>
      <c r="AJ53" s="977"/>
      <c r="AK53" s="977"/>
      <c r="AL53" s="977"/>
      <c r="AM53" s="977"/>
      <c r="AN53" s="977"/>
      <c r="AO53" s="977"/>
      <c r="AP53" s="977"/>
      <c r="AQ53" s="977"/>
    </row>
    <row r="54" spans="1:119" s="887" customFormat="1" ht="35.1" customHeight="1">
      <c r="A54" s="977"/>
      <c r="B54" s="977"/>
      <c r="C54" s="977"/>
      <c r="D54" s="977"/>
      <c r="E54" s="977"/>
      <c r="F54" s="977"/>
      <c r="G54" s="977"/>
      <c r="H54" s="977"/>
      <c r="I54" s="977"/>
      <c r="J54" s="977"/>
      <c r="K54" s="977"/>
      <c r="L54" s="977"/>
      <c r="M54" s="977"/>
      <c r="N54" s="977"/>
      <c r="O54" s="977"/>
      <c r="P54" s="977"/>
      <c r="Q54" s="977"/>
      <c r="R54" s="977"/>
      <c r="S54" s="977"/>
      <c r="T54" s="977"/>
      <c r="U54" s="977"/>
      <c r="V54" s="977"/>
      <c r="W54" s="977"/>
      <c r="X54" s="977"/>
      <c r="Y54" s="977"/>
      <c r="Z54" s="977"/>
      <c r="AA54" s="977"/>
      <c r="AB54" s="977"/>
      <c r="AC54" s="977"/>
      <c r="AD54" s="977"/>
      <c r="AE54" s="977"/>
      <c r="AF54" s="977"/>
      <c r="AG54" s="977"/>
      <c r="AH54" s="977"/>
      <c r="AI54" s="977"/>
      <c r="AJ54" s="977"/>
      <c r="AK54" s="977"/>
      <c r="AL54" s="977"/>
      <c r="AM54" s="977"/>
      <c r="AN54" s="977"/>
      <c r="AO54" s="977"/>
      <c r="AP54" s="977"/>
      <c r="AQ54" s="977"/>
    </row>
    <row r="55" spans="1:119" s="342" customFormat="1" ht="35.1" customHeight="1">
      <c r="A55" s="977"/>
      <c r="B55" s="977"/>
      <c r="C55" s="977"/>
      <c r="D55" s="977"/>
      <c r="E55" s="977"/>
      <c r="F55" s="977"/>
      <c r="G55" s="977"/>
      <c r="H55" s="977"/>
      <c r="I55" s="977"/>
      <c r="J55" s="977"/>
      <c r="K55" s="977"/>
      <c r="L55" s="977"/>
      <c r="M55" s="977"/>
      <c r="N55" s="977"/>
      <c r="O55" s="977"/>
      <c r="P55" s="977"/>
      <c r="Q55" s="977"/>
      <c r="R55" s="977"/>
      <c r="S55" s="977"/>
      <c r="T55" s="977"/>
      <c r="U55" s="977"/>
      <c r="V55" s="977"/>
      <c r="W55" s="977"/>
      <c r="X55" s="977"/>
      <c r="Y55" s="977"/>
      <c r="Z55" s="977"/>
      <c r="AA55" s="977"/>
      <c r="AB55" s="977"/>
      <c r="AC55" s="977"/>
      <c r="AD55" s="977"/>
      <c r="AE55" s="977"/>
      <c r="AF55" s="977"/>
      <c r="AG55" s="977"/>
      <c r="AH55" s="977"/>
      <c r="AI55" s="977"/>
      <c r="AJ55" s="977"/>
      <c r="AK55" s="977"/>
      <c r="AL55" s="977"/>
      <c r="AM55" s="977"/>
      <c r="AN55" s="977"/>
      <c r="AO55" s="977"/>
      <c r="AP55" s="977"/>
      <c r="AQ55" s="977"/>
      <c r="AR55" s="887"/>
      <c r="AS55" s="887"/>
      <c r="AT55" s="887"/>
      <c r="AU55" s="887"/>
      <c r="AV55" s="887"/>
      <c r="AW55" s="887"/>
      <c r="AX55" s="887"/>
      <c r="AY55" s="887"/>
      <c r="AZ55" s="887"/>
      <c r="BA55" s="887"/>
      <c r="BB55" s="887"/>
      <c r="BC55" s="887"/>
      <c r="BD55" s="887"/>
      <c r="BE55" s="887"/>
      <c r="BF55" s="887"/>
      <c r="BG55" s="887"/>
      <c r="BH55" s="887"/>
      <c r="BI55" s="887"/>
      <c r="BJ55" s="887"/>
      <c r="BK55" s="887"/>
      <c r="BL55" s="887"/>
      <c r="BM55" s="887"/>
      <c r="BN55" s="887"/>
      <c r="BO55" s="887"/>
      <c r="BP55" s="887"/>
      <c r="BQ55" s="887"/>
      <c r="BR55" s="887"/>
      <c r="BS55" s="887"/>
      <c r="BT55" s="887"/>
      <c r="BU55" s="887"/>
      <c r="BV55" s="887"/>
      <c r="BW55" s="887"/>
      <c r="BX55" s="887"/>
      <c r="BY55" s="887"/>
      <c r="BZ55" s="887"/>
      <c r="CA55" s="887"/>
      <c r="CB55" s="887"/>
      <c r="CC55" s="887"/>
      <c r="CD55" s="887"/>
      <c r="CE55" s="887"/>
      <c r="CF55" s="887"/>
      <c r="CG55" s="887"/>
      <c r="CH55" s="887"/>
      <c r="CI55" s="887"/>
      <c r="CJ55" s="887"/>
      <c r="CK55" s="887"/>
      <c r="CL55" s="887"/>
      <c r="CM55" s="887"/>
      <c r="CN55" s="887"/>
      <c r="CO55" s="887"/>
      <c r="CP55" s="887"/>
      <c r="CQ55" s="887"/>
      <c r="CR55" s="887"/>
      <c r="CS55" s="887"/>
      <c r="CT55" s="887"/>
      <c r="CU55" s="887"/>
      <c r="CV55" s="887"/>
      <c r="CW55" s="887"/>
      <c r="CX55" s="887"/>
      <c r="CY55" s="887"/>
      <c r="CZ55" s="887"/>
      <c r="DA55" s="887"/>
      <c r="DB55" s="887"/>
      <c r="DC55" s="887"/>
      <c r="DD55" s="887"/>
      <c r="DE55" s="887"/>
      <c r="DF55" s="887"/>
      <c r="DG55" s="887"/>
      <c r="DH55" s="887"/>
      <c r="DI55" s="887"/>
      <c r="DJ55" s="887"/>
      <c r="DK55" s="887"/>
      <c r="DL55" s="887"/>
      <c r="DM55" s="887"/>
      <c r="DN55" s="887"/>
      <c r="DO55" s="887"/>
    </row>
    <row r="56" spans="1:119" s="342" customFormat="1" ht="35.1" customHeight="1">
      <c r="A56" s="977"/>
      <c r="B56" s="977"/>
      <c r="C56" s="977"/>
      <c r="D56" s="977"/>
      <c r="E56" s="977"/>
      <c r="F56" s="977"/>
      <c r="G56" s="977"/>
      <c r="H56" s="977"/>
      <c r="I56" s="977"/>
      <c r="J56" s="977"/>
      <c r="K56" s="977"/>
      <c r="L56" s="977"/>
      <c r="M56" s="977"/>
      <c r="N56" s="977"/>
      <c r="O56" s="977"/>
      <c r="P56" s="977"/>
      <c r="Q56" s="977"/>
      <c r="R56" s="977"/>
      <c r="S56" s="977"/>
      <c r="T56" s="977"/>
      <c r="U56" s="977"/>
      <c r="V56" s="977"/>
      <c r="W56" s="977"/>
      <c r="X56" s="977"/>
      <c r="Y56" s="977"/>
      <c r="Z56" s="977"/>
      <c r="AA56" s="977"/>
      <c r="AB56" s="977"/>
      <c r="AC56" s="977"/>
      <c r="AD56" s="977"/>
      <c r="AE56" s="977"/>
      <c r="AF56" s="977"/>
      <c r="AG56" s="977"/>
      <c r="AH56" s="977"/>
      <c r="AI56" s="977"/>
      <c r="AJ56" s="977"/>
      <c r="AK56" s="977"/>
      <c r="AL56" s="977"/>
      <c r="AM56" s="977"/>
      <c r="AN56" s="977"/>
      <c r="AO56" s="977"/>
      <c r="AP56" s="977"/>
      <c r="AQ56" s="977"/>
      <c r="AR56" s="887"/>
      <c r="AS56" s="887"/>
      <c r="AT56" s="887"/>
      <c r="AU56" s="887"/>
      <c r="AV56" s="887"/>
      <c r="AW56" s="887"/>
      <c r="AX56" s="887"/>
      <c r="AY56" s="887"/>
      <c r="AZ56" s="887"/>
      <c r="BA56" s="887"/>
      <c r="BB56" s="887"/>
      <c r="BC56" s="887"/>
      <c r="BD56" s="887"/>
      <c r="BE56" s="887"/>
      <c r="BF56" s="887"/>
      <c r="BG56" s="887"/>
      <c r="BH56" s="887"/>
      <c r="BI56" s="887"/>
      <c r="BJ56" s="887"/>
      <c r="BK56" s="887"/>
      <c r="BL56" s="887"/>
      <c r="BM56" s="887"/>
      <c r="BN56" s="887"/>
      <c r="BO56" s="887"/>
      <c r="BP56" s="887"/>
      <c r="BQ56" s="887"/>
      <c r="BR56" s="887"/>
      <c r="BS56" s="887"/>
      <c r="BT56" s="887"/>
      <c r="BU56" s="887"/>
      <c r="BV56" s="887"/>
      <c r="BW56" s="887"/>
      <c r="BX56" s="887"/>
      <c r="BY56" s="887"/>
      <c r="BZ56" s="887"/>
      <c r="CA56" s="887"/>
      <c r="CB56" s="887"/>
      <c r="CC56" s="887"/>
      <c r="CD56" s="887"/>
      <c r="CE56" s="887"/>
      <c r="CF56" s="887"/>
      <c r="CG56" s="887"/>
      <c r="CH56" s="887"/>
      <c r="CI56" s="887"/>
      <c r="CJ56" s="887"/>
      <c r="CK56" s="887"/>
      <c r="CL56" s="887"/>
      <c r="CM56" s="887"/>
      <c r="CN56" s="887"/>
      <c r="CO56" s="887"/>
      <c r="CP56" s="887"/>
      <c r="CQ56" s="887"/>
      <c r="CR56" s="887"/>
      <c r="CS56" s="887"/>
      <c r="CT56" s="887"/>
      <c r="CU56" s="887"/>
      <c r="CV56" s="887"/>
      <c r="CW56" s="887"/>
      <c r="CX56" s="887"/>
      <c r="CY56" s="887"/>
      <c r="CZ56" s="887"/>
      <c r="DA56" s="887"/>
      <c r="DB56" s="887"/>
      <c r="DC56" s="887"/>
      <c r="DD56" s="887"/>
      <c r="DE56" s="887"/>
      <c r="DF56" s="887"/>
      <c r="DG56" s="887"/>
      <c r="DH56" s="887"/>
      <c r="DI56" s="887"/>
      <c r="DJ56" s="887"/>
      <c r="DK56" s="887"/>
      <c r="DL56" s="887"/>
      <c r="DM56" s="887"/>
      <c r="DN56" s="887"/>
      <c r="DO56" s="887"/>
    </row>
    <row r="57" spans="1:119" s="342" customFormat="1" ht="35.1" customHeight="1">
      <c r="A57" s="977"/>
      <c r="B57" s="977"/>
      <c r="C57" s="977"/>
      <c r="D57" s="977"/>
      <c r="E57" s="977"/>
      <c r="F57" s="977"/>
      <c r="G57" s="977"/>
      <c r="H57" s="977"/>
      <c r="I57" s="977"/>
      <c r="J57" s="977"/>
      <c r="K57" s="977"/>
      <c r="L57" s="977"/>
      <c r="M57" s="977"/>
      <c r="N57" s="977"/>
      <c r="O57" s="977"/>
      <c r="P57" s="977"/>
      <c r="Q57" s="977"/>
      <c r="R57" s="977"/>
      <c r="S57" s="977"/>
      <c r="T57" s="977"/>
      <c r="U57" s="977"/>
      <c r="V57" s="977"/>
      <c r="W57" s="977"/>
      <c r="X57" s="977"/>
      <c r="Y57" s="977"/>
      <c r="Z57" s="977"/>
      <c r="AA57" s="977"/>
      <c r="AB57" s="977"/>
      <c r="AC57" s="977"/>
      <c r="AD57" s="977"/>
      <c r="AE57" s="977"/>
      <c r="AF57" s="977"/>
      <c r="AG57" s="977"/>
      <c r="AH57" s="977"/>
      <c r="AI57" s="977"/>
      <c r="AJ57" s="977"/>
      <c r="AK57" s="977"/>
      <c r="AL57" s="977"/>
      <c r="AM57" s="977"/>
      <c r="AN57" s="977"/>
      <c r="AO57" s="977"/>
      <c r="AP57" s="977"/>
      <c r="AQ57" s="977"/>
      <c r="AR57" s="887"/>
      <c r="AS57" s="887"/>
      <c r="AT57" s="887"/>
      <c r="AU57" s="887"/>
      <c r="AV57" s="887"/>
      <c r="AW57" s="887"/>
      <c r="AX57" s="887"/>
      <c r="AY57" s="887"/>
      <c r="AZ57" s="887"/>
      <c r="BA57" s="887"/>
      <c r="BB57" s="887"/>
      <c r="BC57" s="887"/>
      <c r="BD57" s="887"/>
      <c r="BE57" s="887"/>
      <c r="BF57" s="887"/>
      <c r="BG57" s="887"/>
      <c r="BH57" s="887"/>
      <c r="BI57" s="887"/>
      <c r="BJ57" s="887"/>
      <c r="BK57" s="887"/>
      <c r="BL57" s="887"/>
      <c r="BM57" s="887"/>
      <c r="BN57" s="887"/>
      <c r="BO57" s="887"/>
      <c r="BP57" s="887"/>
      <c r="BQ57" s="887"/>
      <c r="BR57" s="887"/>
      <c r="BS57" s="887"/>
      <c r="BT57" s="887"/>
      <c r="BU57" s="887"/>
      <c r="BV57" s="887"/>
      <c r="BW57" s="887"/>
      <c r="BX57" s="887"/>
      <c r="BY57" s="887"/>
      <c r="BZ57" s="887"/>
      <c r="CA57" s="887"/>
      <c r="CB57" s="887"/>
      <c r="CC57" s="887"/>
      <c r="CD57" s="887"/>
      <c r="CE57" s="887"/>
      <c r="CF57" s="887"/>
      <c r="CG57" s="887"/>
      <c r="CH57" s="887"/>
      <c r="CI57" s="887"/>
      <c r="CJ57" s="887"/>
      <c r="CK57" s="887"/>
      <c r="CL57" s="887"/>
      <c r="CM57" s="887"/>
      <c r="CN57" s="887"/>
      <c r="CO57" s="887"/>
      <c r="CP57" s="887"/>
      <c r="CQ57" s="887"/>
      <c r="CR57" s="887"/>
      <c r="CS57" s="887"/>
      <c r="CT57" s="887"/>
      <c r="CU57" s="887"/>
      <c r="CV57" s="887"/>
      <c r="CW57" s="887"/>
      <c r="CX57" s="887"/>
      <c r="CY57" s="887"/>
      <c r="CZ57" s="887"/>
      <c r="DA57" s="887"/>
      <c r="DB57" s="887"/>
      <c r="DC57" s="887"/>
      <c r="DD57" s="887"/>
      <c r="DE57" s="887"/>
      <c r="DF57" s="887"/>
      <c r="DG57" s="887"/>
      <c r="DH57" s="887"/>
      <c r="DI57" s="887"/>
      <c r="DJ57" s="887"/>
      <c r="DK57" s="887"/>
      <c r="DL57" s="887"/>
      <c r="DM57" s="887"/>
      <c r="DN57" s="887"/>
      <c r="DO57" s="887"/>
    </row>
    <row r="58" spans="1:119" s="342" customFormat="1" ht="35.1" customHeight="1">
      <c r="A58" s="977"/>
      <c r="B58" s="977"/>
      <c r="C58" s="977"/>
      <c r="D58" s="977"/>
      <c r="E58" s="977"/>
      <c r="F58" s="977"/>
      <c r="G58" s="977"/>
      <c r="H58" s="977"/>
      <c r="I58" s="977"/>
      <c r="J58" s="977"/>
      <c r="K58" s="977"/>
      <c r="L58" s="977"/>
      <c r="M58" s="977"/>
      <c r="N58" s="977"/>
      <c r="O58" s="977"/>
      <c r="P58" s="977"/>
      <c r="Q58" s="977"/>
      <c r="R58" s="977"/>
      <c r="S58" s="977"/>
      <c r="T58" s="977"/>
      <c r="U58" s="977"/>
      <c r="V58" s="977"/>
      <c r="W58" s="977"/>
      <c r="X58" s="977"/>
      <c r="Y58" s="977"/>
      <c r="Z58" s="977"/>
      <c r="AA58" s="977"/>
      <c r="AB58" s="977"/>
      <c r="AC58" s="977"/>
      <c r="AD58" s="977"/>
      <c r="AE58" s="977"/>
      <c r="AF58" s="977"/>
      <c r="AG58" s="977"/>
      <c r="AH58" s="977"/>
      <c r="AI58" s="977"/>
      <c r="AJ58" s="977"/>
      <c r="AK58" s="977"/>
      <c r="AL58" s="977"/>
      <c r="AM58" s="977"/>
      <c r="AN58" s="977"/>
      <c r="AO58" s="977"/>
      <c r="AP58" s="977"/>
      <c r="AQ58" s="977"/>
      <c r="AR58" s="887"/>
      <c r="AS58" s="887"/>
      <c r="AT58" s="887"/>
      <c r="AU58" s="887"/>
      <c r="AV58" s="887"/>
      <c r="AW58" s="887"/>
      <c r="AX58" s="887"/>
      <c r="AY58" s="887"/>
      <c r="AZ58" s="887"/>
      <c r="BA58" s="887"/>
      <c r="BB58" s="887"/>
      <c r="BC58" s="887"/>
      <c r="BD58" s="887"/>
      <c r="BE58" s="887"/>
      <c r="BF58" s="887"/>
      <c r="BG58" s="887"/>
      <c r="BH58" s="887"/>
      <c r="BI58" s="887"/>
      <c r="BJ58" s="887"/>
      <c r="BK58" s="887"/>
      <c r="BL58" s="887"/>
      <c r="BM58" s="887"/>
      <c r="BN58" s="887"/>
      <c r="BO58" s="887"/>
      <c r="BP58" s="887"/>
      <c r="BQ58" s="887"/>
      <c r="BR58" s="887"/>
      <c r="BS58" s="887"/>
      <c r="BT58" s="887"/>
      <c r="BU58" s="887"/>
      <c r="BV58" s="887"/>
      <c r="BW58" s="887"/>
      <c r="BX58" s="887"/>
      <c r="BY58" s="887"/>
      <c r="BZ58" s="887"/>
      <c r="CA58" s="887"/>
      <c r="CB58" s="887"/>
      <c r="CC58" s="887"/>
      <c r="CD58" s="887"/>
      <c r="CE58" s="887"/>
      <c r="CF58" s="887"/>
      <c r="CG58" s="887"/>
      <c r="CH58" s="887"/>
      <c r="CI58" s="887"/>
      <c r="CJ58" s="887"/>
      <c r="CK58" s="887"/>
      <c r="CL58" s="887"/>
      <c r="CM58" s="887"/>
      <c r="CN58" s="887"/>
      <c r="CO58" s="887"/>
      <c r="CP58" s="887"/>
      <c r="CQ58" s="887"/>
      <c r="CR58" s="887"/>
      <c r="CS58" s="887"/>
      <c r="CT58" s="887"/>
      <c r="CU58" s="887"/>
      <c r="CV58" s="887"/>
      <c r="CW58" s="887"/>
      <c r="CX58" s="887"/>
      <c r="CY58" s="887"/>
      <c r="CZ58" s="887"/>
      <c r="DA58" s="887"/>
      <c r="DB58" s="887"/>
      <c r="DC58" s="887"/>
      <c r="DD58" s="887"/>
      <c r="DE58" s="887"/>
      <c r="DF58" s="887"/>
      <c r="DG58" s="887"/>
      <c r="DH58" s="887"/>
      <c r="DI58" s="887"/>
      <c r="DJ58" s="887"/>
      <c r="DK58" s="887"/>
      <c r="DL58" s="887"/>
      <c r="DM58" s="887"/>
      <c r="DN58" s="887"/>
      <c r="DO58" s="887"/>
    </row>
    <row r="59" spans="1:119" s="342" customFormat="1" ht="35.1" customHeight="1">
      <c r="A59" s="977"/>
      <c r="B59" s="977"/>
      <c r="C59" s="977"/>
      <c r="D59" s="977"/>
      <c r="E59" s="977"/>
      <c r="F59" s="977"/>
      <c r="G59" s="977"/>
      <c r="H59" s="977"/>
      <c r="I59" s="977"/>
      <c r="J59" s="977"/>
      <c r="K59" s="977"/>
      <c r="L59" s="977"/>
      <c r="M59" s="977"/>
      <c r="N59" s="977"/>
      <c r="O59" s="977"/>
      <c r="P59" s="977"/>
      <c r="Q59" s="977"/>
      <c r="R59" s="977"/>
      <c r="S59" s="977"/>
      <c r="T59" s="977"/>
      <c r="U59" s="977"/>
      <c r="V59" s="977"/>
      <c r="W59" s="977"/>
      <c r="X59" s="977"/>
      <c r="Y59" s="977"/>
      <c r="Z59" s="977"/>
      <c r="AA59" s="977"/>
      <c r="AB59" s="977"/>
      <c r="AC59" s="977"/>
      <c r="AD59" s="977"/>
      <c r="AE59" s="977"/>
      <c r="AF59" s="977"/>
      <c r="AG59" s="977"/>
      <c r="AH59" s="977"/>
      <c r="AI59" s="977"/>
      <c r="AJ59" s="977"/>
      <c r="AK59" s="977"/>
      <c r="AL59" s="977"/>
      <c r="AM59" s="977"/>
      <c r="AN59" s="977"/>
      <c r="AO59" s="977"/>
      <c r="AP59" s="977"/>
      <c r="AQ59" s="977"/>
      <c r="AR59" s="887"/>
      <c r="AS59" s="887"/>
      <c r="AT59" s="887"/>
      <c r="AU59" s="887"/>
      <c r="AV59" s="887"/>
      <c r="AW59" s="887"/>
      <c r="AX59" s="887"/>
      <c r="AY59" s="887"/>
      <c r="AZ59" s="887"/>
      <c r="BA59" s="887"/>
      <c r="BB59" s="887"/>
      <c r="BC59" s="887"/>
      <c r="BD59" s="887"/>
      <c r="BE59" s="887"/>
      <c r="BF59" s="887"/>
      <c r="BG59" s="887"/>
      <c r="BH59" s="887"/>
      <c r="BI59" s="887"/>
      <c r="BJ59" s="887"/>
      <c r="BK59" s="887"/>
      <c r="BL59" s="887"/>
      <c r="BM59" s="887"/>
      <c r="BN59" s="887"/>
      <c r="BO59" s="887"/>
      <c r="BP59" s="887"/>
      <c r="BQ59" s="887"/>
      <c r="BR59" s="887"/>
      <c r="BS59" s="887"/>
      <c r="BT59" s="887"/>
      <c r="BU59" s="887"/>
      <c r="BV59" s="887"/>
      <c r="BW59" s="887"/>
      <c r="BX59" s="887"/>
      <c r="BY59" s="887"/>
      <c r="BZ59" s="887"/>
      <c r="CA59" s="887"/>
      <c r="CB59" s="887"/>
      <c r="CC59" s="887"/>
      <c r="CD59" s="887"/>
      <c r="CE59" s="887"/>
      <c r="CF59" s="887"/>
      <c r="CG59" s="887"/>
      <c r="CH59" s="887"/>
      <c r="CI59" s="887"/>
      <c r="CJ59" s="887"/>
      <c r="CK59" s="887"/>
      <c r="CL59" s="887"/>
      <c r="CM59" s="887"/>
      <c r="CN59" s="887"/>
      <c r="CO59" s="887"/>
      <c r="CP59" s="887"/>
      <c r="CQ59" s="887"/>
      <c r="CR59" s="887"/>
      <c r="CS59" s="887"/>
      <c r="CT59" s="887"/>
      <c r="CU59" s="887"/>
      <c r="CV59" s="887"/>
      <c r="CW59" s="887"/>
      <c r="CX59" s="887"/>
      <c r="CY59" s="887"/>
      <c r="CZ59" s="887"/>
      <c r="DA59" s="887"/>
      <c r="DB59" s="887"/>
      <c r="DC59" s="887"/>
      <c r="DD59" s="887"/>
      <c r="DE59" s="887"/>
      <c r="DF59" s="887"/>
      <c r="DG59" s="887"/>
      <c r="DH59" s="887"/>
      <c r="DI59" s="887"/>
      <c r="DJ59" s="887"/>
      <c r="DK59" s="887"/>
      <c r="DL59" s="887"/>
      <c r="DM59" s="887"/>
      <c r="DN59" s="887"/>
      <c r="DO59" s="887"/>
    </row>
    <row r="60" spans="1:119" s="342" customFormat="1" ht="35.1" customHeight="1">
      <c r="A60" s="977"/>
      <c r="B60" s="977"/>
      <c r="C60" s="977"/>
      <c r="D60" s="977"/>
      <c r="E60" s="977"/>
      <c r="F60" s="977"/>
      <c r="G60" s="977"/>
      <c r="H60" s="977"/>
      <c r="I60" s="977"/>
      <c r="J60" s="977"/>
      <c r="K60" s="977"/>
      <c r="L60" s="977"/>
      <c r="M60" s="977"/>
      <c r="N60" s="977"/>
      <c r="O60" s="977"/>
      <c r="P60" s="977"/>
      <c r="Q60" s="977"/>
      <c r="R60" s="977"/>
      <c r="S60" s="977"/>
      <c r="T60" s="977"/>
      <c r="U60" s="977"/>
      <c r="V60" s="977"/>
      <c r="W60" s="977"/>
      <c r="X60" s="977"/>
      <c r="Y60" s="977"/>
      <c r="Z60" s="977"/>
      <c r="AA60" s="977"/>
      <c r="AB60" s="977"/>
      <c r="AC60" s="977"/>
      <c r="AD60" s="977"/>
      <c r="AE60" s="977"/>
      <c r="AF60" s="977"/>
      <c r="AG60" s="977"/>
      <c r="AH60" s="977"/>
      <c r="AI60" s="977"/>
      <c r="AJ60" s="977"/>
      <c r="AK60" s="977"/>
      <c r="AL60" s="977"/>
      <c r="AM60" s="977"/>
      <c r="AN60" s="977"/>
      <c r="AO60" s="977"/>
      <c r="AP60" s="977"/>
      <c r="AQ60" s="977"/>
      <c r="AR60" s="887"/>
      <c r="AS60" s="887"/>
      <c r="AT60" s="887"/>
      <c r="AU60" s="887"/>
      <c r="AV60" s="887"/>
      <c r="AW60" s="887"/>
      <c r="AX60" s="887"/>
      <c r="AY60" s="887"/>
      <c r="AZ60" s="887"/>
      <c r="BA60" s="887"/>
      <c r="BB60" s="887"/>
      <c r="BC60" s="887"/>
      <c r="BD60" s="887"/>
      <c r="BE60" s="887"/>
      <c r="BF60" s="887"/>
      <c r="BG60" s="887"/>
      <c r="BH60" s="887"/>
      <c r="BI60" s="887"/>
      <c r="BJ60" s="887"/>
      <c r="BK60" s="887"/>
      <c r="BL60" s="887"/>
      <c r="BM60" s="887"/>
      <c r="BN60" s="887"/>
      <c r="BO60" s="887"/>
      <c r="BP60" s="887"/>
      <c r="BQ60" s="887"/>
      <c r="BR60" s="887"/>
      <c r="BS60" s="887"/>
      <c r="BT60" s="887"/>
      <c r="BU60" s="887"/>
      <c r="BV60" s="887"/>
      <c r="BW60" s="887"/>
      <c r="BX60" s="887"/>
      <c r="BY60" s="887"/>
      <c r="BZ60" s="887"/>
      <c r="CA60" s="887"/>
      <c r="CB60" s="887"/>
      <c r="CC60" s="887"/>
      <c r="CD60" s="887"/>
      <c r="CE60" s="887"/>
      <c r="CF60" s="887"/>
      <c r="CG60" s="887"/>
      <c r="CH60" s="887"/>
      <c r="CI60" s="887"/>
      <c r="CJ60" s="887"/>
      <c r="CK60" s="887"/>
      <c r="CL60" s="887"/>
      <c r="CM60" s="887"/>
      <c r="CN60" s="887"/>
      <c r="CO60" s="887"/>
      <c r="CP60" s="887"/>
      <c r="CQ60" s="887"/>
      <c r="CR60" s="887"/>
      <c r="CS60" s="887"/>
      <c r="CT60" s="887"/>
      <c r="CU60" s="887"/>
      <c r="CV60" s="887"/>
      <c r="CW60" s="887"/>
      <c r="CX60" s="887"/>
      <c r="CY60" s="887"/>
      <c r="CZ60" s="887"/>
      <c r="DA60" s="887"/>
      <c r="DB60" s="887"/>
      <c r="DC60" s="887"/>
      <c r="DD60" s="887"/>
      <c r="DE60" s="887"/>
      <c r="DF60" s="887"/>
      <c r="DG60" s="887"/>
      <c r="DH60" s="887"/>
      <c r="DI60" s="887"/>
      <c r="DJ60" s="887"/>
      <c r="DK60" s="887"/>
      <c r="DL60" s="887"/>
      <c r="DM60" s="887"/>
      <c r="DN60" s="887"/>
      <c r="DO60" s="887"/>
    </row>
    <row r="61" spans="1:119" s="342" customFormat="1" ht="35.1" customHeight="1">
      <c r="A61" s="977"/>
      <c r="B61" s="977"/>
      <c r="C61" s="977"/>
      <c r="D61" s="977"/>
      <c r="E61" s="977"/>
      <c r="F61" s="977"/>
      <c r="G61" s="977"/>
      <c r="H61" s="977"/>
      <c r="I61" s="977"/>
      <c r="J61" s="977"/>
      <c r="K61" s="977"/>
      <c r="L61" s="977"/>
      <c r="M61" s="977"/>
      <c r="N61" s="977"/>
      <c r="O61" s="977"/>
      <c r="P61" s="977"/>
      <c r="Q61" s="977"/>
      <c r="R61" s="977"/>
      <c r="S61" s="977"/>
      <c r="T61" s="977"/>
      <c r="U61" s="977"/>
      <c r="V61" s="977"/>
      <c r="W61" s="977"/>
      <c r="X61" s="977"/>
      <c r="Y61" s="977"/>
      <c r="Z61" s="977"/>
      <c r="AA61" s="977"/>
      <c r="AB61" s="977"/>
      <c r="AC61" s="977"/>
      <c r="AD61" s="977"/>
      <c r="AE61" s="977"/>
      <c r="AF61" s="977"/>
      <c r="AG61" s="977"/>
      <c r="AH61" s="977"/>
      <c r="AI61" s="977"/>
      <c r="AJ61" s="977"/>
      <c r="AK61" s="977"/>
      <c r="AL61" s="977"/>
      <c r="AM61" s="977"/>
      <c r="AN61" s="977"/>
      <c r="AO61" s="977"/>
      <c r="AP61" s="977"/>
      <c r="AQ61" s="977"/>
      <c r="AR61" s="887"/>
      <c r="AS61" s="887"/>
      <c r="AT61" s="887"/>
      <c r="AU61" s="887"/>
      <c r="AV61" s="887"/>
      <c r="AW61" s="887"/>
      <c r="AX61" s="887"/>
      <c r="AY61" s="887"/>
      <c r="AZ61" s="887"/>
      <c r="BA61" s="887"/>
      <c r="BB61" s="887"/>
      <c r="BC61" s="887"/>
      <c r="BD61" s="887"/>
      <c r="BE61" s="887"/>
      <c r="BF61" s="887"/>
      <c r="BG61" s="887"/>
      <c r="BH61" s="887"/>
      <c r="BI61" s="887"/>
      <c r="BJ61" s="887"/>
      <c r="BK61" s="887"/>
      <c r="BL61" s="887"/>
      <c r="BM61" s="887"/>
      <c r="BN61" s="887"/>
      <c r="BO61" s="887"/>
      <c r="BP61" s="887"/>
      <c r="BQ61" s="887"/>
      <c r="BR61" s="887"/>
      <c r="BS61" s="887"/>
      <c r="BT61" s="887"/>
      <c r="BU61" s="887"/>
      <c r="BV61" s="887"/>
      <c r="BW61" s="887"/>
      <c r="BX61" s="887"/>
      <c r="BY61" s="887"/>
      <c r="BZ61" s="887"/>
      <c r="CA61" s="887"/>
      <c r="CB61" s="887"/>
      <c r="CC61" s="887"/>
      <c r="CD61" s="887"/>
      <c r="CE61" s="887"/>
      <c r="CF61" s="887"/>
      <c r="CG61" s="887"/>
      <c r="CH61" s="887"/>
      <c r="CI61" s="887"/>
      <c r="CJ61" s="887"/>
      <c r="CK61" s="887"/>
      <c r="CL61" s="887"/>
      <c r="CM61" s="887"/>
      <c r="CN61" s="887"/>
      <c r="CO61" s="887"/>
      <c r="CP61" s="887"/>
      <c r="CQ61" s="887"/>
      <c r="CR61" s="887"/>
      <c r="CS61" s="887"/>
      <c r="CT61" s="887"/>
      <c r="CU61" s="887"/>
      <c r="CV61" s="887"/>
      <c r="CW61" s="887"/>
      <c r="CX61" s="887"/>
      <c r="CY61" s="887"/>
      <c r="CZ61" s="887"/>
      <c r="DA61" s="887"/>
      <c r="DB61" s="887"/>
      <c r="DC61" s="887"/>
      <c r="DD61" s="887"/>
      <c r="DE61" s="887"/>
      <c r="DF61" s="887"/>
      <c r="DG61" s="887"/>
      <c r="DH61" s="887"/>
      <c r="DI61" s="887"/>
      <c r="DJ61" s="887"/>
      <c r="DK61" s="887"/>
      <c r="DL61" s="887"/>
      <c r="DM61" s="887"/>
      <c r="DN61" s="887"/>
      <c r="DO61" s="887"/>
    </row>
    <row r="62" spans="1:119" s="342" customFormat="1" ht="35.1" customHeight="1">
      <c r="A62" s="977"/>
      <c r="B62" s="977"/>
      <c r="C62" s="977"/>
      <c r="D62" s="977"/>
      <c r="E62" s="977"/>
      <c r="F62" s="977"/>
      <c r="G62" s="977"/>
      <c r="H62" s="977"/>
      <c r="I62" s="977"/>
      <c r="J62" s="977"/>
      <c r="K62" s="977"/>
      <c r="L62" s="977"/>
      <c r="M62" s="977"/>
      <c r="N62" s="977"/>
      <c r="O62" s="977"/>
      <c r="P62" s="977"/>
      <c r="Q62" s="977"/>
      <c r="R62" s="977"/>
      <c r="S62" s="977"/>
      <c r="T62" s="977"/>
      <c r="U62" s="977"/>
      <c r="V62" s="977"/>
      <c r="W62" s="977"/>
      <c r="X62" s="977"/>
      <c r="Y62" s="977"/>
      <c r="Z62" s="977"/>
      <c r="AA62" s="977"/>
      <c r="AB62" s="977"/>
      <c r="AC62" s="977"/>
      <c r="AD62" s="977"/>
      <c r="AE62" s="977"/>
      <c r="AF62" s="977"/>
      <c r="AG62" s="977"/>
      <c r="AH62" s="977"/>
      <c r="AI62" s="977"/>
      <c r="AJ62" s="977"/>
      <c r="AK62" s="977"/>
      <c r="AL62" s="977"/>
      <c r="AM62" s="977"/>
      <c r="AN62" s="977"/>
      <c r="AO62" s="977"/>
      <c r="AP62" s="977"/>
      <c r="AQ62" s="977"/>
      <c r="AR62" s="887"/>
      <c r="AS62" s="887"/>
      <c r="AT62" s="887"/>
      <c r="AU62" s="887"/>
      <c r="AV62" s="887"/>
      <c r="AW62" s="887"/>
      <c r="AX62" s="887"/>
      <c r="AY62" s="887"/>
      <c r="AZ62" s="887"/>
      <c r="BA62" s="887"/>
      <c r="BB62" s="887"/>
      <c r="BC62" s="887"/>
      <c r="BD62" s="887"/>
      <c r="BE62" s="887"/>
      <c r="BF62" s="887"/>
      <c r="BG62" s="887"/>
      <c r="BH62" s="887"/>
      <c r="BI62" s="887"/>
      <c r="BJ62" s="887"/>
      <c r="BK62" s="887"/>
      <c r="BL62" s="887"/>
      <c r="BM62" s="887"/>
      <c r="BN62" s="887"/>
      <c r="BO62" s="887"/>
      <c r="BP62" s="887"/>
      <c r="BQ62" s="887"/>
      <c r="BR62" s="887"/>
      <c r="BS62" s="887"/>
      <c r="BT62" s="887"/>
      <c r="BU62" s="887"/>
      <c r="BV62" s="887"/>
      <c r="BW62" s="887"/>
      <c r="BX62" s="887"/>
      <c r="BY62" s="887"/>
      <c r="BZ62" s="887"/>
      <c r="CA62" s="887"/>
      <c r="CB62" s="887"/>
      <c r="CC62" s="887"/>
      <c r="CD62" s="887"/>
      <c r="CE62" s="887"/>
      <c r="CF62" s="887"/>
      <c r="CG62" s="887"/>
      <c r="CH62" s="887"/>
      <c r="CI62" s="887"/>
      <c r="CJ62" s="887"/>
      <c r="CK62" s="887"/>
      <c r="CL62" s="887"/>
      <c r="CM62" s="887"/>
      <c r="CN62" s="887"/>
      <c r="CO62" s="887"/>
      <c r="CP62" s="887"/>
      <c r="CQ62" s="887"/>
      <c r="CR62" s="887"/>
      <c r="CS62" s="887"/>
      <c r="CT62" s="887"/>
      <c r="CU62" s="887"/>
      <c r="CV62" s="887"/>
      <c r="CW62" s="887"/>
      <c r="CX62" s="887"/>
      <c r="CY62" s="887"/>
      <c r="CZ62" s="887"/>
      <c r="DA62" s="887"/>
      <c r="DB62" s="887"/>
      <c r="DC62" s="887"/>
      <c r="DD62" s="887"/>
      <c r="DE62" s="887"/>
      <c r="DF62" s="887"/>
      <c r="DG62" s="887"/>
      <c r="DH62" s="887"/>
      <c r="DI62" s="887"/>
      <c r="DJ62" s="887"/>
      <c r="DK62" s="887"/>
      <c r="DL62" s="887"/>
      <c r="DM62" s="887"/>
      <c r="DN62" s="887"/>
      <c r="DO62" s="887"/>
    </row>
    <row r="63" spans="1:119" s="342" customFormat="1" ht="35.1" customHeight="1">
      <c r="A63" s="977"/>
      <c r="B63" s="977"/>
      <c r="C63" s="977"/>
      <c r="D63" s="977"/>
      <c r="E63" s="977"/>
      <c r="F63" s="977"/>
      <c r="G63" s="977"/>
      <c r="H63" s="977"/>
      <c r="I63" s="977"/>
      <c r="J63" s="977"/>
      <c r="K63" s="977"/>
      <c r="L63" s="977"/>
      <c r="M63" s="977"/>
      <c r="N63" s="977"/>
      <c r="O63" s="977"/>
      <c r="P63" s="977"/>
      <c r="Q63" s="977"/>
      <c r="R63" s="977"/>
      <c r="S63" s="977"/>
      <c r="T63" s="977"/>
      <c r="U63" s="977"/>
      <c r="V63" s="977"/>
      <c r="W63" s="977"/>
      <c r="X63" s="977"/>
      <c r="Y63" s="977"/>
      <c r="Z63" s="977"/>
      <c r="AA63" s="977"/>
      <c r="AB63" s="977"/>
      <c r="AC63" s="977"/>
      <c r="AD63" s="977"/>
      <c r="AE63" s="977"/>
      <c r="AF63" s="977"/>
      <c r="AG63" s="977"/>
      <c r="AH63" s="977"/>
      <c r="AI63" s="977"/>
      <c r="AJ63" s="977"/>
      <c r="AK63" s="977"/>
      <c r="AL63" s="977"/>
      <c r="AM63" s="977"/>
      <c r="AN63" s="977"/>
      <c r="AO63" s="977"/>
      <c r="AP63" s="977"/>
      <c r="AQ63" s="977"/>
      <c r="AR63" s="887"/>
      <c r="AS63" s="887"/>
      <c r="AT63" s="887"/>
      <c r="AU63" s="887"/>
      <c r="AV63" s="887"/>
      <c r="AW63" s="887"/>
      <c r="AX63" s="887"/>
      <c r="AY63" s="887"/>
      <c r="AZ63" s="887"/>
      <c r="BA63" s="887"/>
      <c r="BB63" s="887"/>
      <c r="BC63" s="887"/>
      <c r="BD63" s="887"/>
      <c r="BE63" s="887"/>
      <c r="BF63" s="887"/>
      <c r="BG63" s="887"/>
      <c r="BH63" s="887"/>
      <c r="BI63" s="887"/>
      <c r="BJ63" s="887"/>
      <c r="BK63" s="887"/>
      <c r="BL63" s="887"/>
      <c r="BM63" s="887"/>
      <c r="BN63" s="887"/>
      <c r="BO63" s="887"/>
      <c r="BP63" s="887"/>
      <c r="BQ63" s="887"/>
      <c r="BR63" s="887"/>
      <c r="BS63" s="887"/>
      <c r="BT63" s="887"/>
      <c r="BU63" s="887"/>
      <c r="BV63" s="887"/>
      <c r="BW63" s="887"/>
      <c r="BX63" s="887"/>
      <c r="BY63" s="887"/>
      <c r="BZ63" s="887"/>
      <c r="CA63" s="887"/>
      <c r="CB63" s="887"/>
      <c r="CC63" s="887"/>
      <c r="CD63" s="887"/>
      <c r="CE63" s="887"/>
      <c r="CF63" s="887"/>
      <c r="CG63" s="887"/>
      <c r="CH63" s="887"/>
      <c r="CI63" s="887"/>
      <c r="CJ63" s="887"/>
      <c r="CK63" s="887"/>
      <c r="CL63" s="887"/>
      <c r="CM63" s="887"/>
      <c r="CN63" s="887"/>
      <c r="CO63" s="887"/>
      <c r="CP63" s="887"/>
      <c r="CQ63" s="887"/>
      <c r="CR63" s="887"/>
      <c r="CS63" s="887"/>
      <c r="CT63" s="887"/>
      <c r="CU63" s="887"/>
      <c r="CV63" s="887"/>
      <c r="CW63" s="887"/>
      <c r="CX63" s="887"/>
      <c r="CY63" s="887"/>
      <c r="CZ63" s="887"/>
      <c r="DA63" s="887"/>
      <c r="DB63" s="887"/>
      <c r="DC63" s="887"/>
      <c r="DD63" s="887"/>
      <c r="DE63" s="887"/>
      <c r="DF63" s="887"/>
      <c r="DG63" s="887"/>
      <c r="DH63" s="887"/>
      <c r="DI63" s="887"/>
      <c r="DJ63" s="887"/>
      <c r="DK63" s="887"/>
      <c r="DL63" s="887"/>
      <c r="DM63" s="887"/>
      <c r="DN63" s="887"/>
      <c r="DO63" s="887"/>
    </row>
    <row r="64" spans="1:119" s="342" customFormat="1" ht="35.1" customHeight="1">
      <c r="A64" s="977"/>
      <c r="B64" s="977"/>
      <c r="C64" s="977"/>
      <c r="D64" s="977"/>
      <c r="E64" s="977"/>
      <c r="F64" s="977"/>
      <c r="G64" s="977"/>
      <c r="H64" s="977"/>
      <c r="I64" s="977"/>
      <c r="J64" s="977"/>
      <c r="K64" s="977"/>
      <c r="L64" s="977"/>
      <c r="M64" s="977"/>
      <c r="N64" s="977"/>
      <c r="O64" s="977"/>
      <c r="P64" s="977"/>
      <c r="Q64" s="977"/>
      <c r="R64" s="977"/>
      <c r="S64" s="977"/>
      <c r="T64" s="977"/>
      <c r="U64" s="977"/>
      <c r="V64" s="977"/>
      <c r="W64" s="977"/>
      <c r="X64" s="977"/>
      <c r="Y64" s="977"/>
      <c r="Z64" s="977"/>
      <c r="AA64" s="977"/>
      <c r="AB64" s="977"/>
      <c r="AC64" s="977"/>
      <c r="AD64" s="977"/>
      <c r="AE64" s="977"/>
      <c r="AF64" s="977"/>
      <c r="AG64" s="977"/>
      <c r="AH64" s="977"/>
      <c r="AI64" s="977"/>
      <c r="AJ64" s="977"/>
      <c r="AK64" s="977"/>
      <c r="AL64" s="977"/>
      <c r="AM64" s="977"/>
      <c r="AN64" s="977"/>
      <c r="AO64" s="977"/>
      <c r="AP64" s="977"/>
      <c r="AQ64" s="977"/>
      <c r="AR64" s="887"/>
      <c r="AS64" s="887"/>
      <c r="AT64" s="887"/>
      <c r="AU64" s="887"/>
      <c r="AV64" s="887"/>
      <c r="AW64" s="887"/>
      <c r="AX64" s="887"/>
      <c r="AY64" s="887"/>
      <c r="AZ64" s="887"/>
      <c r="BA64" s="887"/>
      <c r="BB64" s="887"/>
      <c r="BC64" s="887"/>
      <c r="BD64" s="887"/>
      <c r="BE64" s="887"/>
      <c r="BF64" s="887"/>
      <c r="BG64" s="887"/>
      <c r="BH64" s="887"/>
      <c r="BI64" s="887"/>
      <c r="BJ64" s="887"/>
      <c r="BK64" s="887"/>
      <c r="BL64" s="887"/>
      <c r="BM64" s="887"/>
      <c r="BN64" s="887"/>
      <c r="BO64" s="887"/>
      <c r="BP64" s="887"/>
      <c r="BQ64" s="887"/>
      <c r="BR64" s="887"/>
      <c r="BS64" s="887"/>
      <c r="BT64" s="887"/>
      <c r="BU64" s="887"/>
      <c r="BV64" s="887"/>
      <c r="BW64" s="887"/>
      <c r="BX64" s="887"/>
      <c r="BY64" s="887"/>
      <c r="BZ64" s="887"/>
      <c r="CA64" s="887"/>
      <c r="CB64" s="887"/>
      <c r="CC64" s="887"/>
      <c r="CD64" s="887"/>
      <c r="CE64" s="887"/>
      <c r="CF64" s="887"/>
      <c r="CG64" s="887"/>
      <c r="CH64" s="887"/>
      <c r="CI64" s="887"/>
      <c r="CJ64" s="887"/>
      <c r="CK64" s="887"/>
      <c r="CL64" s="887"/>
      <c r="CM64" s="887"/>
      <c r="CN64" s="887"/>
      <c r="CO64" s="887"/>
      <c r="CP64" s="887"/>
      <c r="CQ64" s="887"/>
      <c r="CR64" s="887"/>
      <c r="CS64" s="887"/>
      <c r="CT64" s="887"/>
      <c r="CU64" s="887"/>
      <c r="CV64" s="887"/>
      <c r="CW64" s="887"/>
      <c r="CX64" s="887"/>
      <c r="CY64" s="887"/>
      <c r="CZ64" s="887"/>
      <c r="DA64" s="887"/>
      <c r="DB64" s="887"/>
      <c r="DC64" s="887"/>
      <c r="DD64" s="887"/>
      <c r="DE64" s="887"/>
      <c r="DF64" s="887"/>
      <c r="DG64" s="887"/>
      <c r="DH64" s="887"/>
      <c r="DI64" s="887"/>
      <c r="DJ64" s="887"/>
      <c r="DK64" s="887"/>
      <c r="DL64" s="887"/>
      <c r="DM64" s="887"/>
      <c r="DN64" s="887"/>
      <c r="DO64" s="887"/>
    </row>
    <row r="65" spans="1:119" s="342" customFormat="1" ht="35.1" customHeight="1">
      <c r="A65" s="977"/>
      <c r="B65" s="977"/>
      <c r="C65" s="977"/>
      <c r="D65" s="977"/>
      <c r="E65" s="977"/>
      <c r="F65" s="977"/>
      <c r="G65" s="977"/>
      <c r="H65" s="977"/>
      <c r="I65" s="977"/>
      <c r="J65" s="977"/>
      <c r="K65" s="977"/>
      <c r="L65" s="977"/>
      <c r="M65" s="977"/>
      <c r="N65" s="977"/>
      <c r="O65" s="977"/>
      <c r="P65" s="977"/>
      <c r="Q65" s="977"/>
      <c r="R65" s="977"/>
      <c r="S65" s="977"/>
      <c r="T65" s="977"/>
      <c r="U65" s="977"/>
      <c r="V65" s="977"/>
      <c r="W65" s="977"/>
      <c r="X65" s="977"/>
      <c r="Y65" s="977"/>
      <c r="Z65" s="977"/>
      <c r="AA65" s="977"/>
      <c r="AB65" s="977"/>
      <c r="AC65" s="977"/>
      <c r="AD65" s="977"/>
      <c r="AE65" s="977"/>
      <c r="AF65" s="977"/>
      <c r="AG65" s="977"/>
      <c r="AH65" s="977"/>
      <c r="AI65" s="977"/>
      <c r="AJ65" s="977"/>
      <c r="AK65" s="977"/>
      <c r="AL65" s="977"/>
      <c r="AM65" s="977"/>
      <c r="AN65" s="977"/>
      <c r="AO65" s="977"/>
      <c r="AP65" s="977"/>
      <c r="AQ65" s="977"/>
      <c r="AR65" s="887"/>
      <c r="AS65" s="887"/>
      <c r="AT65" s="887"/>
      <c r="AU65" s="887"/>
      <c r="AV65" s="887"/>
      <c r="AW65" s="887"/>
      <c r="AX65" s="887"/>
      <c r="AY65" s="887"/>
      <c r="AZ65" s="887"/>
      <c r="BA65" s="887"/>
      <c r="BB65" s="887"/>
      <c r="BC65" s="887"/>
      <c r="BD65" s="887"/>
      <c r="BE65" s="887"/>
      <c r="BF65" s="887"/>
      <c r="BG65" s="887"/>
      <c r="BH65" s="887"/>
      <c r="BI65" s="887"/>
      <c r="BJ65" s="887"/>
      <c r="BK65" s="887"/>
      <c r="BL65" s="887"/>
      <c r="BM65" s="887"/>
      <c r="BN65" s="887"/>
      <c r="BO65" s="887"/>
      <c r="BP65" s="887"/>
      <c r="BQ65" s="887"/>
      <c r="BR65" s="887"/>
      <c r="BS65" s="887"/>
      <c r="BT65" s="887"/>
      <c r="BU65" s="887"/>
      <c r="BV65" s="887"/>
      <c r="BW65" s="887"/>
      <c r="BX65" s="887"/>
      <c r="BY65" s="887"/>
      <c r="BZ65" s="887"/>
      <c r="CA65" s="887"/>
      <c r="CB65" s="887"/>
      <c r="CC65" s="887"/>
      <c r="CD65" s="887"/>
      <c r="CE65" s="887"/>
      <c r="CF65" s="887"/>
      <c r="CG65" s="887"/>
      <c r="CH65" s="887"/>
      <c r="CI65" s="887"/>
      <c r="CJ65" s="887"/>
      <c r="CK65" s="887"/>
      <c r="CL65" s="887"/>
      <c r="CM65" s="887"/>
      <c r="CN65" s="887"/>
      <c r="CO65" s="887"/>
      <c r="CP65" s="887"/>
      <c r="CQ65" s="887"/>
      <c r="CR65" s="887"/>
      <c r="CS65" s="887"/>
      <c r="CT65" s="887"/>
      <c r="CU65" s="887"/>
      <c r="CV65" s="887"/>
      <c r="CW65" s="887"/>
      <c r="CX65" s="887"/>
      <c r="CY65" s="887"/>
      <c r="CZ65" s="887"/>
      <c r="DA65" s="887"/>
      <c r="DB65" s="887"/>
      <c r="DC65" s="887"/>
      <c r="DD65" s="887"/>
      <c r="DE65" s="887"/>
      <c r="DF65" s="887"/>
      <c r="DG65" s="887"/>
      <c r="DH65" s="887"/>
      <c r="DI65" s="887"/>
      <c r="DJ65" s="887"/>
      <c r="DK65" s="887"/>
      <c r="DL65" s="887"/>
      <c r="DM65" s="887"/>
      <c r="DN65" s="887"/>
      <c r="DO65" s="887"/>
    </row>
    <row r="66" spans="1:119" ht="35.1" customHeight="1">
      <c r="A66" s="977"/>
      <c r="B66" s="977"/>
      <c r="C66" s="977"/>
      <c r="D66" s="977"/>
      <c r="E66" s="977"/>
      <c r="F66" s="977"/>
      <c r="G66" s="977"/>
      <c r="H66" s="977"/>
      <c r="I66" s="977"/>
      <c r="J66" s="977"/>
      <c r="K66" s="977"/>
      <c r="L66" s="977"/>
      <c r="M66" s="977"/>
      <c r="N66" s="977"/>
      <c r="O66" s="977"/>
      <c r="P66" s="977"/>
      <c r="Q66" s="977"/>
      <c r="R66" s="977"/>
      <c r="S66" s="977"/>
      <c r="T66" s="977"/>
      <c r="U66" s="977"/>
      <c r="V66" s="977"/>
      <c r="W66" s="977"/>
      <c r="X66" s="977"/>
      <c r="Y66" s="977"/>
      <c r="Z66" s="977"/>
      <c r="AA66" s="977"/>
      <c r="AB66" s="977"/>
      <c r="AC66" s="977"/>
      <c r="AD66" s="977"/>
      <c r="AE66" s="977"/>
      <c r="AF66" s="977"/>
      <c r="AG66" s="977"/>
      <c r="AH66" s="977"/>
      <c r="AI66" s="977"/>
      <c r="AJ66" s="977"/>
      <c r="AK66" s="977"/>
      <c r="AL66" s="977"/>
      <c r="AM66" s="977"/>
      <c r="AN66" s="977"/>
      <c r="AO66" s="977"/>
      <c r="AP66" s="977"/>
      <c r="AQ66" s="977"/>
      <c r="AR66" s="335"/>
      <c r="AS66" s="335"/>
      <c r="AT66" s="335"/>
      <c r="AU66" s="335"/>
      <c r="AV66" s="335"/>
      <c r="AW66" s="335"/>
      <c r="AX66" s="335"/>
      <c r="AY66" s="335"/>
      <c r="AZ66" s="335"/>
      <c r="BA66" s="335"/>
      <c r="BB66" s="335"/>
      <c r="BC66" s="335"/>
      <c r="BD66" s="335"/>
      <c r="BE66" s="335"/>
      <c r="BF66" s="335"/>
      <c r="BG66" s="335"/>
      <c r="BH66" s="335"/>
      <c r="BI66" s="335"/>
      <c r="BJ66" s="335"/>
      <c r="BK66" s="335"/>
      <c r="BL66" s="335"/>
      <c r="BM66" s="335"/>
      <c r="BN66" s="335"/>
      <c r="BO66" s="335"/>
      <c r="BP66" s="335"/>
      <c r="BQ66" s="335"/>
      <c r="BR66" s="335"/>
      <c r="BS66" s="335"/>
      <c r="BT66" s="335"/>
      <c r="BU66" s="335"/>
      <c r="BV66" s="335"/>
      <c r="BW66" s="335"/>
      <c r="BX66" s="335"/>
      <c r="BY66" s="335"/>
      <c r="BZ66" s="335"/>
      <c r="CA66" s="335"/>
      <c r="CB66" s="335"/>
      <c r="CC66" s="335"/>
      <c r="CD66" s="335"/>
      <c r="CE66" s="335"/>
      <c r="CF66" s="335"/>
      <c r="CG66" s="335"/>
      <c r="CH66" s="335"/>
      <c r="CI66" s="335"/>
      <c r="CJ66" s="335"/>
      <c r="CK66" s="335"/>
      <c r="CL66" s="335"/>
      <c r="CM66" s="335"/>
      <c r="CN66" s="335"/>
      <c r="CO66" s="335"/>
      <c r="CP66" s="335"/>
      <c r="CQ66" s="335"/>
      <c r="CR66" s="335"/>
      <c r="CS66" s="335"/>
      <c r="CT66" s="335"/>
      <c r="CU66" s="335"/>
      <c r="CV66" s="335"/>
      <c r="CW66" s="335"/>
      <c r="CX66" s="335"/>
      <c r="CY66" s="335"/>
      <c r="CZ66" s="335"/>
      <c r="DA66" s="335"/>
      <c r="DB66" s="335"/>
      <c r="DC66" s="335"/>
      <c r="DD66" s="335"/>
      <c r="DE66" s="335"/>
      <c r="DF66" s="335"/>
      <c r="DG66" s="335"/>
      <c r="DH66" s="335"/>
      <c r="DI66" s="335"/>
      <c r="DJ66" s="335"/>
      <c r="DK66" s="335"/>
      <c r="DL66" s="335"/>
      <c r="DM66" s="335"/>
      <c r="DN66" s="335"/>
      <c r="DO66" s="335"/>
    </row>
    <row r="67" spans="1:119" ht="35.1" customHeight="1">
      <c r="A67" s="977"/>
      <c r="B67" s="977"/>
      <c r="C67" s="977"/>
      <c r="D67" s="977"/>
      <c r="E67" s="977"/>
      <c r="F67" s="977"/>
      <c r="G67" s="977"/>
      <c r="H67" s="977"/>
      <c r="I67" s="977"/>
      <c r="J67" s="977"/>
      <c r="K67" s="977"/>
      <c r="L67" s="977"/>
      <c r="M67" s="977"/>
      <c r="N67" s="977"/>
      <c r="O67" s="977"/>
      <c r="P67" s="977"/>
      <c r="Q67" s="977"/>
      <c r="R67" s="977"/>
      <c r="S67" s="977"/>
      <c r="T67" s="977"/>
      <c r="U67" s="977"/>
      <c r="V67" s="977"/>
      <c r="W67" s="977"/>
      <c r="X67" s="977"/>
      <c r="Y67" s="977"/>
      <c r="Z67" s="977"/>
      <c r="AA67" s="977"/>
      <c r="AB67" s="977"/>
      <c r="AC67" s="977"/>
      <c r="AD67" s="977"/>
      <c r="AE67" s="977"/>
      <c r="AF67" s="977"/>
      <c r="AG67" s="977"/>
      <c r="AH67" s="977"/>
      <c r="AI67" s="977"/>
      <c r="AJ67" s="977"/>
      <c r="AK67" s="977"/>
      <c r="AL67" s="977"/>
      <c r="AM67" s="977"/>
      <c r="AN67" s="977"/>
      <c r="AO67" s="977"/>
      <c r="AP67" s="977"/>
      <c r="AQ67" s="977"/>
      <c r="AR67" s="335"/>
      <c r="AS67" s="335"/>
      <c r="AT67" s="335"/>
      <c r="AU67" s="335"/>
      <c r="AV67" s="335"/>
      <c r="AW67" s="335"/>
      <c r="AX67" s="335"/>
      <c r="AY67" s="335"/>
      <c r="AZ67" s="335"/>
      <c r="BA67" s="335"/>
      <c r="BB67" s="335"/>
      <c r="BC67" s="335"/>
      <c r="BD67" s="335"/>
      <c r="BE67" s="335"/>
      <c r="BF67" s="335"/>
      <c r="BG67" s="335"/>
      <c r="BH67" s="335"/>
      <c r="BI67" s="335"/>
      <c r="BJ67" s="335"/>
      <c r="BK67" s="335"/>
      <c r="BL67" s="335"/>
      <c r="BM67" s="335"/>
      <c r="BN67" s="335"/>
      <c r="BO67" s="335"/>
      <c r="BP67" s="335"/>
      <c r="BQ67" s="335"/>
      <c r="BR67" s="335"/>
      <c r="BS67" s="335"/>
      <c r="BT67" s="335"/>
      <c r="BU67" s="335"/>
      <c r="BV67" s="335"/>
      <c r="BW67" s="335"/>
      <c r="BX67" s="335"/>
      <c r="BY67" s="335"/>
      <c r="BZ67" s="335"/>
      <c r="CA67" s="335"/>
      <c r="CB67" s="335"/>
      <c r="CC67" s="335"/>
      <c r="CD67" s="335"/>
      <c r="CE67" s="335"/>
      <c r="CF67" s="335"/>
      <c r="CG67" s="335"/>
      <c r="CH67" s="335"/>
      <c r="CI67" s="335"/>
      <c r="CJ67" s="335"/>
      <c r="CK67" s="335"/>
      <c r="CL67" s="335"/>
      <c r="CM67" s="335"/>
      <c r="CN67" s="335"/>
      <c r="CO67" s="335"/>
      <c r="CP67" s="335"/>
      <c r="CQ67" s="335"/>
      <c r="CR67" s="335"/>
      <c r="CS67" s="335"/>
      <c r="CT67" s="335"/>
      <c r="CU67" s="335"/>
      <c r="CV67" s="335"/>
      <c r="CW67" s="335"/>
      <c r="CX67" s="335"/>
      <c r="CY67" s="335"/>
      <c r="CZ67" s="335"/>
      <c r="DA67" s="335"/>
      <c r="DB67" s="335"/>
      <c r="DC67" s="335"/>
      <c r="DD67" s="335"/>
      <c r="DE67" s="335"/>
      <c r="DF67" s="335"/>
      <c r="DG67" s="335"/>
      <c r="DH67" s="335"/>
      <c r="DI67" s="335"/>
      <c r="DJ67" s="335"/>
      <c r="DK67" s="335"/>
      <c r="DL67" s="335"/>
      <c r="DM67" s="335"/>
      <c r="DN67" s="335"/>
      <c r="DO67" s="335"/>
    </row>
    <row r="68" spans="1:119" ht="35.1" customHeight="1">
      <c r="A68" s="977"/>
      <c r="B68" s="977"/>
      <c r="C68" s="977"/>
      <c r="D68" s="977"/>
      <c r="E68" s="977"/>
      <c r="F68" s="977"/>
      <c r="G68" s="977"/>
      <c r="H68" s="977"/>
      <c r="I68" s="977"/>
      <c r="J68" s="977"/>
      <c r="K68" s="977"/>
      <c r="L68" s="977"/>
      <c r="M68" s="977"/>
      <c r="N68" s="977"/>
      <c r="O68" s="977"/>
      <c r="P68" s="977"/>
      <c r="Q68" s="977"/>
      <c r="R68" s="977"/>
      <c r="S68" s="977"/>
      <c r="T68" s="977"/>
      <c r="U68" s="977"/>
      <c r="V68" s="977"/>
      <c r="W68" s="977"/>
      <c r="X68" s="977"/>
      <c r="Y68" s="977"/>
      <c r="Z68" s="977"/>
      <c r="AA68" s="977"/>
      <c r="AB68" s="977"/>
      <c r="AC68" s="977"/>
      <c r="AD68" s="977"/>
      <c r="AE68" s="977"/>
      <c r="AF68" s="977"/>
      <c r="AG68" s="977"/>
      <c r="AH68" s="977"/>
      <c r="AI68" s="977"/>
      <c r="AJ68" s="977"/>
      <c r="AK68" s="977"/>
      <c r="AL68" s="977"/>
      <c r="AM68" s="977"/>
      <c r="AN68" s="977"/>
      <c r="AO68" s="977"/>
      <c r="AP68" s="977"/>
      <c r="AQ68" s="977"/>
      <c r="AR68" s="335"/>
      <c r="AS68" s="335"/>
      <c r="AT68" s="335"/>
      <c r="AU68" s="335"/>
      <c r="AV68" s="335"/>
      <c r="AW68" s="335"/>
      <c r="AX68" s="335"/>
      <c r="AY68" s="335"/>
      <c r="AZ68" s="335"/>
      <c r="BA68" s="335"/>
      <c r="BB68" s="335"/>
      <c r="BC68" s="335"/>
      <c r="BD68" s="335"/>
      <c r="BE68" s="335"/>
      <c r="BF68" s="335"/>
      <c r="BG68" s="335"/>
      <c r="BH68" s="335"/>
      <c r="BI68" s="335"/>
      <c r="BJ68" s="335"/>
      <c r="BK68" s="335"/>
      <c r="BL68" s="335"/>
      <c r="BM68" s="335"/>
      <c r="BN68" s="335"/>
      <c r="BO68" s="335"/>
      <c r="BP68" s="335"/>
      <c r="BQ68" s="335"/>
      <c r="BR68" s="335"/>
      <c r="BS68" s="335"/>
      <c r="BT68" s="335"/>
      <c r="BU68" s="335"/>
      <c r="BV68" s="335"/>
      <c r="BW68" s="335"/>
      <c r="BX68" s="335"/>
      <c r="BY68" s="335"/>
      <c r="BZ68" s="335"/>
      <c r="CA68" s="335"/>
      <c r="CB68" s="335"/>
      <c r="CC68" s="335"/>
      <c r="CD68" s="335"/>
      <c r="CE68" s="335"/>
      <c r="CF68" s="335"/>
      <c r="CG68" s="335"/>
      <c r="CH68" s="335"/>
      <c r="CI68" s="335"/>
      <c r="CJ68" s="335"/>
      <c r="CK68" s="335"/>
      <c r="CL68" s="335"/>
      <c r="CM68" s="335"/>
      <c r="CN68" s="335"/>
      <c r="CO68" s="335"/>
      <c r="CP68" s="335"/>
      <c r="CQ68" s="335"/>
      <c r="CR68" s="335"/>
      <c r="CS68" s="335"/>
      <c r="CT68" s="335"/>
      <c r="CU68" s="335"/>
      <c r="CV68" s="335"/>
      <c r="CW68" s="335"/>
      <c r="CX68" s="335"/>
      <c r="CY68" s="335"/>
      <c r="CZ68" s="335"/>
      <c r="DA68" s="335"/>
      <c r="DB68" s="335"/>
      <c r="DC68" s="335"/>
      <c r="DD68" s="335"/>
      <c r="DE68" s="335"/>
      <c r="DF68" s="335"/>
      <c r="DG68" s="335"/>
      <c r="DH68" s="335"/>
      <c r="DI68" s="335"/>
      <c r="DJ68" s="335"/>
      <c r="DK68" s="335"/>
      <c r="DL68" s="335"/>
      <c r="DM68" s="335"/>
      <c r="DN68" s="335"/>
      <c r="DO68" s="335"/>
    </row>
    <row r="69" spans="1:119" ht="35.1" customHeight="1">
      <c r="A69" s="977"/>
      <c r="B69" s="977"/>
      <c r="C69" s="977"/>
      <c r="D69" s="977"/>
      <c r="E69" s="977"/>
      <c r="F69" s="977"/>
      <c r="G69" s="977"/>
      <c r="H69" s="977"/>
      <c r="I69" s="977"/>
      <c r="J69" s="977"/>
      <c r="K69" s="977"/>
      <c r="L69" s="977"/>
      <c r="M69" s="977"/>
      <c r="N69" s="977"/>
      <c r="O69" s="977"/>
      <c r="P69" s="977"/>
      <c r="Q69" s="977"/>
      <c r="R69" s="977"/>
      <c r="S69" s="977"/>
      <c r="T69" s="977"/>
      <c r="U69" s="977"/>
      <c r="V69" s="977"/>
      <c r="W69" s="977"/>
      <c r="X69" s="977"/>
      <c r="Y69" s="977"/>
      <c r="Z69" s="977"/>
      <c r="AA69" s="977"/>
      <c r="AB69" s="977"/>
      <c r="AC69" s="977"/>
      <c r="AD69" s="977"/>
      <c r="AE69" s="977"/>
      <c r="AF69" s="977"/>
      <c r="AG69" s="977"/>
      <c r="AH69" s="977"/>
      <c r="AI69" s="977"/>
      <c r="AJ69" s="977"/>
      <c r="AK69" s="977"/>
      <c r="AL69" s="977"/>
      <c r="AM69" s="977"/>
      <c r="AN69" s="977"/>
      <c r="AO69" s="977"/>
      <c r="AP69" s="977"/>
      <c r="AQ69" s="977"/>
      <c r="AR69" s="335"/>
      <c r="AS69" s="335"/>
      <c r="AT69" s="335"/>
      <c r="AU69" s="335"/>
      <c r="AV69" s="335"/>
      <c r="AW69" s="335"/>
      <c r="AX69" s="335"/>
      <c r="AY69" s="335"/>
      <c r="AZ69" s="335"/>
      <c r="BA69" s="335"/>
      <c r="BB69" s="335"/>
      <c r="BC69" s="335"/>
      <c r="BD69" s="335"/>
      <c r="BE69" s="335"/>
      <c r="BF69" s="335"/>
      <c r="BG69" s="335"/>
      <c r="BH69" s="335"/>
      <c r="BI69" s="335"/>
      <c r="BJ69" s="335"/>
      <c r="BK69" s="335"/>
      <c r="BL69" s="335"/>
      <c r="BM69" s="335"/>
      <c r="BN69" s="335"/>
      <c r="BO69" s="335"/>
      <c r="BP69" s="335"/>
      <c r="BQ69" s="335"/>
      <c r="BR69" s="335"/>
      <c r="BS69" s="335"/>
      <c r="BT69" s="335"/>
      <c r="BU69" s="335"/>
      <c r="BV69" s="335"/>
      <c r="BW69" s="335"/>
      <c r="BX69" s="335"/>
      <c r="BY69" s="335"/>
      <c r="BZ69" s="335"/>
      <c r="CA69" s="335"/>
      <c r="CB69" s="335"/>
      <c r="CC69" s="335"/>
      <c r="CD69" s="335"/>
      <c r="CE69" s="335"/>
      <c r="CF69" s="335"/>
      <c r="CG69" s="335"/>
      <c r="CH69" s="335"/>
      <c r="CI69" s="335"/>
      <c r="CJ69" s="335"/>
      <c r="CK69" s="335"/>
      <c r="CL69" s="335"/>
      <c r="CM69" s="335"/>
      <c r="CN69" s="335"/>
      <c r="CO69" s="335"/>
      <c r="CP69" s="335"/>
      <c r="CQ69" s="335"/>
      <c r="CR69" s="335"/>
      <c r="CS69" s="335"/>
      <c r="CT69" s="335"/>
      <c r="CU69" s="335"/>
      <c r="CV69" s="335"/>
      <c r="CW69" s="335"/>
      <c r="CX69" s="335"/>
      <c r="CY69" s="335"/>
      <c r="CZ69" s="335"/>
      <c r="DA69" s="335"/>
      <c r="DB69" s="335"/>
      <c r="DC69" s="335"/>
      <c r="DD69" s="335"/>
      <c r="DE69" s="335"/>
      <c r="DF69" s="335"/>
      <c r="DG69" s="335"/>
      <c r="DH69" s="335"/>
      <c r="DI69" s="335"/>
      <c r="DJ69" s="335"/>
      <c r="DK69" s="335"/>
      <c r="DL69" s="335"/>
      <c r="DM69" s="335"/>
      <c r="DN69" s="335"/>
      <c r="DO69" s="335"/>
    </row>
    <row r="70" spans="1:119" ht="35.1" customHeight="1">
      <c r="A70" s="977"/>
      <c r="B70" s="977"/>
      <c r="C70" s="977"/>
      <c r="D70" s="977"/>
      <c r="E70" s="977"/>
      <c r="F70" s="977"/>
      <c r="G70" s="977"/>
      <c r="H70" s="977"/>
      <c r="I70" s="977"/>
      <c r="J70" s="977"/>
      <c r="K70" s="977"/>
      <c r="L70" s="977"/>
      <c r="M70" s="977"/>
      <c r="N70" s="977"/>
      <c r="O70" s="977"/>
      <c r="P70" s="977"/>
      <c r="Q70" s="977"/>
      <c r="R70" s="977"/>
      <c r="S70" s="977"/>
      <c r="T70" s="977"/>
      <c r="U70" s="977"/>
      <c r="V70" s="977"/>
      <c r="W70" s="977"/>
      <c r="X70" s="977"/>
      <c r="Y70" s="977"/>
      <c r="Z70" s="977"/>
      <c r="AA70" s="977"/>
      <c r="AB70" s="977"/>
      <c r="AC70" s="977"/>
      <c r="AD70" s="977"/>
      <c r="AE70" s="977"/>
      <c r="AF70" s="977"/>
      <c r="AG70" s="977"/>
      <c r="AH70" s="977"/>
      <c r="AI70" s="977"/>
      <c r="AJ70" s="977"/>
      <c r="AK70" s="977"/>
      <c r="AL70" s="977"/>
      <c r="AM70" s="977"/>
      <c r="AN70" s="977"/>
      <c r="AO70" s="977"/>
      <c r="AP70" s="977"/>
      <c r="AQ70" s="977"/>
      <c r="AR70" s="335"/>
      <c r="AS70" s="335"/>
      <c r="AT70" s="335"/>
      <c r="AU70" s="335"/>
      <c r="AV70" s="335"/>
      <c r="AW70" s="335"/>
      <c r="AX70" s="335"/>
      <c r="AY70" s="335"/>
      <c r="AZ70" s="335"/>
      <c r="BA70" s="335"/>
      <c r="BB70" s="335"/>
      <c r="BC70" s="335"/>
      <c r="BD70" s="335"/>
      <c r="BE70" s="335"/>
      <c r="BF70" s="335"/>
      <c r="BG70" s="335"/>
      <c r="BH70" s="335"/>
      <c r="BI70" s="335"/>
      <c r="BJ70" s="335"/>
      <c r="BK70" s="335"/>
      <c r="BL70" s="335"/>
      <c r="BM70" s="335"/>
      <c r="BN70" s="335"/>
      <c r="BO70" s="335"/>
      <c r="BP70" s="335"/>
      <c r="BQ70" s="335"/>
      <c r="BR70" s="335"/>
      <c r="BS70" s="335"/>
      <c r="BT70" s="335"/>
      <c r="BU70" s="335"/>
      <c r="BV70" s="335"/>
      <c r="BW70" s="335"/>
      <c r="BX70" s="335"/>
      <c r="BY70" s="335"/>
      <c r="BZ70" s="335"/>
      <c r="CA70" s="335"/>
      <c r="CB70" s="335"/>
      <c r="CC70" s="335"/>
      <c r="CD70" s="335"/>
      <c r="CE70" s="335"/>
      <c r="CF70" s="335"/>
      <c r="CG70" s="335"/>
      <c r="CH70" s="335"/>
      <c r="CI70" s="335"/>
      <c r="CJ70" s="335"/>
      <c r="CK70" s="335"/>
      <c r="CL70" s="335"/>
      <c r="CM70" s="335"/>
      <c r="CN70" s="335"/>
      <c r="CO70" s="335"/>
      <c r="CP70" s="335"/>
      <c r="CQ70" s="335"/>
      <c r="CR70" s="335"/>
      <c r="CS70" s="335"/>
      <c r="CT70" s="335"/>
      <c r="CU70" s="335"/>
      <c r="CV70" s="335"/>
      <c r="CW70" s="335"/>
      <c r="CX70" s="335"/>
      <c r="CY70" s="335"/>
      <c r="CZ70" s="335"/>
      <c r="DA70" s="335"/>
      <c r="DB70" s="335"/>
      <c r="DC70" s="335"/>
      <c r="DD70" s="335"/>
      <c r="DE70" s="335"/>
      <c r="DF70" s="335"/>
      <c r="DG70" s="335"/>
      <c r="DH70" s="335"/>
      <c r="DI70" s="335"/>
      <c r="DJ70" s="335"/>
      <c r="DK70" s="335"/>
      <c r="DL70" s="335"/>
      <c r="DM70" s="335"/>
      <c r="DN70" s="335"/>
      <c r="DO70" s="335"/>
    </row>
    <row r="71" spans="1:119" ht="35.1" customHeight="1">
      <c r="A71" s="977"/>
      <c r="B71" s="977"/>
      <c r="C71" s="977"/>
      <c r="D71" s="977"/>
      <c r="E71" s="977"/>
      <c r="F71" s="977"/>
      <c r="G71" s="977"/>
      <c r="H71" s="977"/>
      <c r="I71" s="977"/>
      <c r="J71" s="977"/>
      <c r="K71" s="977"/>
      <c r="L71" s="977"/>
      <c r="M71" s="977"/>
      <c r="N71" s="977"/>
      <c r="O71" s="977"/>
      <c r="P71" s="977"/>
      <c r="Q71" s="977"/>
      <c r="R71" s="977"/>
      <c r="S71" s="977"/>
      <c r="T71" s="977"/>
      <c r="U71" s="977"/>
      <c r="V71" s="977"/>
      <c r="W71" s="977"/>
      <c r="X71" s="977"/>
      <c r="Y71" s="977"/>
      <c r="Z71" s="977"/>
      <c r="AA71" s="977"/>
      <c r="AB71" s="977"/>
      <c r="AC71" s="977"/>
      <c r="AD71" s="977"/>
      <c r="AE71" s="977"/>
      <c r="AF71" s="977"/>
      <c r="AG71" s="977"/>
      <c r="AH71" s="977"/>
      <c r="AI71" s="977"/>
      <c r="AJ71" s="977"/>
      <c r="AK71" s="977"/>
      <c r="AL71" s="977"/>
      <c r="AM71" s="977"/>
      <c r="AN71" s="977"/>
      <c r="AO71" s="977"/>
      <c r="AP71" s="977"/>
      <c r="AQ71" s="977"/>
      <c r="AR71" s="335"/>
      <c r="AS71" s="335"/>
      <c r="AT71" s="335"/>
      <c r="AU71" s="335"/>
      <c r="AV71" s="335"/>
      <c r="AW71" s="335"/>
      <c r="AX71" s="335"/>
      <c r="AY71" s="335"/>
      <c r="AZ71" s="335"/>
      <c r="BA71" s="335"/>
      <c r="BB71" s="335"/>
      <c r="BC71" s="335"/>
      <c r="BD71" s="335"/>
      <c r="BE71" s="335"/>
      <c r="BF71" s="335"/>
      <c r="BG71" s="335"/>
      <c r="BH71" s="335"/>
      <c r="BI71" s="335"/>
      <c r="BJ71" s="335"/>
      <c r="BK71" s="335"/>
      <c r="BL71" s="335"/>
      <c r="BM71" s="335"/>
      <c r="BN71" s="335"/>
      <c r="BO71" s="335"/>
      <c r="BP71" s="335"/>
      <c r="BQ71" s="335"/>
      <c r="BR71" s="335"/>
      <c r="BS71" s="335"/>
      <c r="BT71" s="335"/>
      <c r="BU71" s="335"/>
      <c r="BV71" s="335"/>
      <c r="BW71" s="335"/>
      <c r="BX71" s="335"/>
      <c r="BY71" s="335"/>
      <c r="BZ71" s="335"/>
      <c r="CA71" s="335"/>
      <c r="CB71" s="335"/>
      <c r="CC71" s="335"/>
      <c r="CD71" s="335"/>
      <c r="CE71" s="335"/>
      <c r="CF71" s="335"/>
      <c r="CG71" s="335"/>
      <c r="CH71" s="335"/>
      <c r="CI71" s="335"/>
      <c r="CJ71" s="335"/>
      <c r="CK71" s="335"/>
      <c r="CL71" s="335"/>
      <c r="CM71" s="335"/>
      <c r="CN71" s="335"/>
      <c r="CO71" s="335"/>
      <c r="CP71" s="335"/>
      <c r="CQ71" s="335"/>
      <c r="CR71" s="335"/>
      <c r="CS71" s="335"/>
      <c r="CT71" s="335"/>
      <c r="CU71" s="335"/>
      <c r="CV71" s="335"/>
      <c r="CW71" s="335"/>
      <c r="CX71" s="335"/>
      <c r="CY71" s="335"/>
      <c r="CZ71" s="335"/>
      <c r="DA71" s="335"/>
      <c r="DB71" s="335"/>
      <c r="DC71" s="335"/>
      <c r="DD71" s="335"/>
      <c r="DE71" s="335"/>
      <c r="DF71" s="335"/>
      <c r="DG71" s="335"/>
      <c r="DH71" s="335"/>
      <c r="DI71" s="335"/>
      <c r="DJ71" s="335"/>
      <c r="DK71" s="335"/>
      <c r="DL71" s="335"/>
      <c r="DM71" s="335"/>
      <c r="DN71" s="335"/>
      <c r="DO71" s="335"/>
    </row>
    <row r="72" spans="1:119" ht="35.1" customHeight="1">
      <c r="A72" s="977"/>
      <c r="B72" s="977"/>
      <c r="C72" s="977"/>
      <c r="D72" s="977"/>
      <c r="E72" s="977"/>
      <c r="F72" s="977"/>
      <c r="G72" s="977"/>
      <c r="H72" s="977"/>
      <c r="I72" s="977"/>
      <c r="J72" s="977"/>
      <c r="K72" s="977"/>
      <c r="L72" s="977"/>
      <c r="M72" s="977"/>
      <c r="N72" s="977"/>
      <c r="O72" s="977"/>
      <c r="P72" s="977"/>
      <c r="Q72" s="977"/>
      <c r="R72" s="977"/>
      <c r="S72" s="977"/>
      <c r="T72" s="977"/>
      <c r="U72" s="977"/>
      <c r="V72" s="977"/>
      <c r="W72" s="977"/>
      <c r="X72" s="977"/>
      <c r="Y72" s="977"/>
      <c r="Z72" s="977"/>
      <c r="AA72" s="977"/>
      <c r="AB72" s="977"/>
      <c r="AC72" s="977"/>
      <c r="AD72" s="977"/>
      <c r="AE72" s="977"/>
      <c r="AF72" s="977"/>
      <c r="AG72" s="977"/>
      <c r="AH72" s="977"/>
      <c r="AI72" s="977"/>
      <c r="AJ72" s="977"/>
      <c r="AK72" s="977"/>
      <c r="AL72" s="977"/>
      <c r="AM72" s="977"/>
      <c r="AN72" s="977"/>
      <c r="AO72" s="977"/>
      <c r="AP72" s="977"/>
      <c r="AQ72" s="977"/>
      <c r="AR72" s="335"/>
      <c r="AS72" s="335"/>
      <c r="AT72" s="335"/>
      <c r="AU72" s="335"/>
      <c r="AV72" s="335"/>
      <c r="AW72" s="335"/>
      <c r="AX72" s="335"/>
      <c r="AY72" s="335"/>
      <c r="AZ72" s="335"/>
      <c r="BA72" s="335"/>
      <c r="BB72" s="335"/>
      <c r="BC72" s="335"/>
      <c r="BD72" s="335"/>
      <c r="BE72" s="335"/>
      <c r="BF72" s="335"/>
      <c r="BG72" s="335"/>
      <c r="BH72" s="335"/>
      <c r="BI72" s="335"/>
      <c r="BJ72" s="335"/>
      <c r="BK72" s="335"/>
      <c r="BL72" s="335"/>
      <c r="BM72" s="335"/>
      <c r="BN72" s="335"/>
      <c r="BO72" s="335"/>
      <c r="BP72" s="335"/>
      <c r="BQ72" s="335"/>
      <c r="BR72" s="335"/>
      <c r="BS72" s="335"/>
      <c r="BT72" s="335"/>
      <c r="BU72" s="335"/>
      <c r="BV72" s="335"/>
      <c r="BW72" s="335"/>
      <c r="BX72" s="335"/>
      <c r="BY72" s="335"/>
      <c r="BZ72" s="335"/>
      <c r="CA72" s="335"/>
      <c r="CB72" s="335"/>
      <c r="CC72" s="335"/>
      <c r="CD72" s="335"/>
      <c r="CE72" s="335"/>
      <c r="CF72" s="335"/>
      <c r="CG72" s="335"/>
      <c r="CH72" s="335"/>
      <c r="CI72" s="335"/>
      <c r="CJ72" s="335"/>
      <c r="CK72" s="335"/>
      <c r="CL72" s="335"/>
      <c r="CM72" s="335"/>
      <c r="CN72" s="335"/>
      <c r="CO72" s="335"/>
      <c r="CP72" s="335"/>
      <c r="CQ72" s="335"/>
      <c r="CR72" s="335"/>
      <c r="CS72" s="335"/>
      <c r="CT72" s="335"/>
      <c r="CU72" s="335"/>
      <c r="CV72" s="335"/>
      <c r="CW72" s="335"/>
      <c r="CX72" s="335"/>
      <c r="CY72" s="335"/>
      <c r="CZ72" s="335"/>
      <c r="DA72" s="335"/>
      <c r="DB72" s="335"/>
      <c r="DC72" s="335"/>
      <c r="DD72" s="335"/>
      <c r="DE72" s="335"/>
      <c r="DF72" s="335"/>
      <c r="DG72" s="335"/>
      <c r="DH72" s="335"/>
      <c r="DI72" s="335"/>
      <c r="DJ72" s="335"/>
      <c r="DK72" s="335"/>
      <c r="DL72" s="335"/>
      <c r="DM72" s="335"/>
      <c r="DN72" s="335"/>
      <c r="DO72" s="335"/>
    </row>
    <row r="73" spans="1:119" ht="35.1" customHeight="1">
      <c r="A73" s="977"/>
      <c r="B73" s="977"/>
      <c r="C73" s="977"/>
      <c r="D73" s="977"/>
      <c r="E73" s="977"/>
      <c r="F73" s="977"/>
      <c r="G73" s="977"/>
      <c r="H73" s="977"/>
      <c r="I73" s="977"/>
      <c r="J73" s="977"/>
      <c r="K73" s="977"/>
      <c r="L73" s="977"/>
      <c r="M73" s="977"/>
      <c r="N73" s="977"/>
      <c r="O73" s="977"/>
      <c r="P73" s="977"/>
      <c r="Q73" s="977"/>
      <c r="R73" s="977"/>
      <c r="S73" s="977"/>
      <c r="T73" s="977"/>
      <c r="U73" s="977"/>
      <c r="V73" s="977"/>
      <c r="W73" s="977"/>
      <c r="X73" s="977"/>
      <c r="Y73" s="977"/>
      <c r="Z73" s="977"/>
      <c r="AA73" s="977"/>
      <c r="AB73" s="977"/>
      <c r="AC73" s="977"/>
      <c r="AD73" s="977"/>
      <c r="AE73" s="977"/>
      <c r="AF73" s="977"/>
      <c r="AG73" s="977"/>
      <c r="AH73" s="977"/>
      <c r="AI73" s="977"/>
      <c r="AJ73" s="977"/>
      <c r="AK73" s="977"/>
      <c r="AL73" s="977"/>
      <c r="AM73" s="977"/>
      <c r="AN73" s="977"/>
      <c r="AO73" s="977"/>
      <c r="AP73" s="977"/>
      <c r="AQ73" s="977"/>
      <c r="AR73" s="335"/>
      <c r="AS73" s="335"/>
      <c r="AT73" s="335"/>
      <c r="AU73" s="335"/>
      <c r="AV73" s="335"/>
      <c r="AW73" s="335"/>
      <c r="AX73" s="335"/>
      <c r="AY73" s="335"/>
      <c r="AZ73" s="335"/>
      <c r="BA73" s="335"/>
      <c r="BB73" s="335"/>
      <c r="BC73" s="335"/>
      <c r="BD73" s="335"/>
      <c r="BE73" s="335"/>
      <c r="BF73" s="335"/>
      <c r="BG73" s="335"/>
      <c r="BH73" s="335"/>
      <c r="BI73" s="335"/>
      <c r="BJ73" s="335"/>
      <c r="BK73" s="335"/>
      <c r="BL73" s="335"/>
      <c r="BM73" s="335"/>
      <c r="BN73" s="335"/>
      <c r="BO73" s="335"/>
      <c r="BP73" s="335"/>
      <c r="BQ73" s="335"/>
      <c r="BR73" s="335"/>
      <c r="BS73" s="335"/>
      <c r="BT73" s="335"/>
      <c r="BU73" s="335"/>
      <c r="BV73" s="335"/>
      <c r="BW73" s="335"/>
      <c r="BX73" s="335"/>
      <c r="BY73" s="335"/>
      <c r="BZ73" s="335"/>
      <c r="CA73" s="335"/>
      <c r="CB73" s="335"/>
      <c r="CC73" s="335"/>
      <c r="CD73" s="335"/>
      <c r="CE73" s="335"/>
      <c r="CF73" s="335"/>
      <c r="CG73" s="335"/>
      <c r="CH73" s="335"/>
      <c r="CI73" s="335"/>
      <c r="CJ73" s="335"/>
      <c r="CK73" s="335"/>
      <c r="CL73" s="335"/>
      <c r="CM73" s="335"/>
      <c r="CN73" s="335"/>
      <c r="CO73" s="335"/>
      <c r="CP73" s="335"/>
      <c r="CQ73" s="335"/>
      <c r="CR73" s="335"/>
      <c r="CS73" s="335"/>
      <c r="CT73" s="335"/>
      <c r="CU73" s="335"/>
      <c r="CV73" s="335"/>
      <c r="CW73" s="335"/>
      <c r="CX73" s="335"/>
      <c r="CY73" s="335"/>
      <c r="CZ73" s="335"/>
      <c r="DA73" s="335"/>
      <c r="DB73" s="335"/>
      <c r="DC73" s="335"/>
      <c r="DD73" s="335"/>
      <c r="DE73" s="335"/>
      <c r="DF73" s="335"/>
      <c r="DG73" s="335"/>
      <c r="DH73" s="335"/>
      <c r="DI73" s="335"/>
      <c r="DJ73" s="335"/>
      <c r="DK73" s="335"/>
      <c r="DL73" s="335"/>
      <c r="DM73" s="335"/>
      <c r="DN73" s="335"/>
      <c r="DO73" s="335"/>
    </row>
    <row r="74" spans="1:119" ht="35.1" customHeight="1">
      <c r="A74" s="977"/>
      <c r="B74" s="977"/>
      <c r="C74" s="977"/>
      <c r="D74" s="977"/>
      <c r="E74" s="977"/>
      <c r="F74" s="977"/>
      <c r="G74" s="977"/>
      <c r="H74" s="977"/>
      <c r="I74" s="977"/>
      <c r="J74" s="977"/>
      <c r="K74" s="977"/>
      <c r="L74" s="977"/>
      <c r="M74" s="977"/>
      <c r="N74" s="977"/>
      <c r="O74" s="977"/>
      <c r="P74" s="977"/>
      <c r="Q74" s="977"/>
      <c r="R74" s="977"/>
      <c r="S74" s="977"/>
      <c r="T74" s="977"/>
      <c r="U74" s="977"/>
      <c r="V74" s="977"/>
      <c r="W74" s="977"/>
      <c r="X74" s="977"/>
      <c r="Y74" s="977"/>
      <c r="Z74" s="977"/>
      <c r="AA74" s="977"/>
      <c r="AB74" s="977"/>
      <c r="AC74" s="977"/>
      <c r="AD74" s="977"/>
      <c r="AE74" s="977"/>
      <c r="AF74" s="977"/>
      <c r="AG74" s="977"/>
      <c r="AH74" s="977"/>
      <c r="AI74" s="977"/>
      <c r="AJ74" s="977"/>
      <c r="AK74" s="977"/>
      <c r="AL74" s="977"/>
      <c r="AM74" s="977"/>
      <c r="AN74" s="977"/>
      <c r="AO74" s="977"/>
      <c r="AP74" s="977"/>
      <c r="AQ74" s="977"/>
      <c r="AR74" s="335"/>
      <c r="AS74" s="335"/>
      <c r="AT74" s="335"/>
      <c r="AU74" s="335"/>
      <c r="AV74" s="335"/>
      <c r="AW74" s="335"/>
      <c r="AX74" s="335"/>
      <c r="AY74" s="335"/>
      <c r="AZ74" s="335"/>
      <c r="BA74" s="335"/>
      <c r="BB74" s="335"/>
      <c r="BC74" s="335"/>
      <c r="BD74" s="335"/>
      <c r="BE74" s="335"/>
      <c r="BF74" s="335"/>
      <c r="BG74" s="335"/>
      <c r="BH74" s="335"/>
      <c r="BI74" s="335"/>
      <c r="BJ74" s="335"/>
      <c r="BK74" s="335"/>
      <c r="BL74" s="335"/>
      <c r="BM74" s="335"/>
      <c r="BN74" s="335"/>
      <c r="BO74" s="335"/>
      <c r="BP74" s="335"/>
      <c r="BQ74" s="335"/>
      <c r="BR74" s="335"/>
      <c r="BS74" s="335"/>
      <c r="BT74" s="335"/>
      <c r="BU74" s="335"/>
      <c r="BV74" s="335"/>
      <c r="BW74" s="335"/>
      <c r="BX74" s="335"/>
      <c r="BY74" s="335"/>
      <c r="BZ74" s="335"/>
      <c r="CA74" s="335"/>
      <c r="CB74" s="335"/>
      <c r="CC74" s="335"/>
      <c r="CD74" s="335"/>
      <c r="CE74" s="335"/>
      <c r="CF74" s="335"/>
      <c r="CG74" s="335"/>
      <c r="CH74" s="335"/>
      <c r="CI74" s="335"/>
      <c r="CJ74" s="335"/>
      <c r="CK74" s="335"/>
      <c r="CL74" s="335"/>
      <c r="CM74" s="335"/>
      <c r="CN74" s="335"/>
      <c r="CO74" s="335"/>
      <c r="CP74" s="335"/>
      <c r="CQ74" s="335"/>
      <c r="CR74" s="335"/>
      <c r="CS74" s="335"/>
      <c r="CT74" s="335"/>
      <c r="CU74" s="335"/>
      <c r="CV74" s="335"/>
      <c r="CW74" s="335"/>
      <c r="CX74" s="335"/>
      <c r="CY74" s="335"/>
      <c r="CZ74" s="335"/>
      <c r="DA74" s="335"/>
      <c r="DB74" s="335"/>
      <c r="DC74" s="335"/>
      <c r="DD74" s="335"/>
      <c r="DE74" s="335"/>
      <c r="DF74" s="335"/>
      <c r="DG74" s="335"/>
      <c r="DH74" s="335"/>
      <c r="DI74" s="335"/>
      <c r="DJ74" s="335"/>
      <c r="DK74" s="335"/>
      <c r="DL74" s="335"/>
      <c r="DM74" s="335"/>
      <c r="DN74" s="335"/>
      <c r="DO74" s="335"/>
    </row>
    <row r="75" spans="1:119" ht="35.1" customHeight="1">
      <c r="A75" s="977"/>
      <c r="B75" s="977"/>
      <c r="C75" s="977"/>
      <c r="D75" s="977"/>
      <c r="E75" s="977"/>
      <c r="F75" s="977"/>
      <c r="G75" s="977"/>
      <c r="H75" s="977"/>
      <c r="I75" s="977"/>
      <c r="J75" s="977"/>
      <c r="K75" s="977"/>
      <c r="L75" s="977"/>
      <c r="M75" s="977"/>
      <c r="N75" s="977"/>
      <c r="O75" s="977"/>
      <c r="P75" s="977"/>
      <c r="Q75" s="977"/>
      <c r="R75" s="977"/>
      <c r="S75" s="977"/>
      <c r="T75" s="977"/>
      <c r="U75" s="977"/>
      <c r="V75" s="977"/>
      <c r="W75" s="977"/>
      <c r="X75" s="977"/>
      <c r="Y75" s="977"/>
      <c r="Z75" s="977"/>
      <c r="AA75" s="977"/>
      <c r="AB75" s="977"/>
      <c r="AC75" s="977"/>
      <c r="AD75" s="977"/>
      <c r="AE75" s="977"/>
      <c r="AF75" s="977"/>
      <c r="AG75" s="977"/>
      <c r="AH75" s="977"/>
      <c r="AI75" s="977"/>
      <c r="AJ75" s="977"/>
      <c r="AK75" s="977"/>
      <c r="AL75" s="977"/>
      <c r="AM75" s="977"/>
      <c r="AN75" s="977"/>
      <c r="AO75" s="977"/>
      <c r="AP75" s="977"/>
      <c r="AQ75" s="977"/>
      <c r="AR75" s="335"/>
      <c r="AS75" s="335"/>
      <c r="AT75" s="335"/>
      <c r="AU75" s="335"/>
      <c r="AV75" s="335"/>
      <c r="AW75" s="335"/>
      <c r="AX75" s="335"/>
      <c r="AY75" s="335"/>
      <c r="AZ75" s="335"/>
      <c r="BA75" s="335"/>
      <c r="BB75" s="335"/>
      <c r="BC75" s="335"/>
      <c r="BD75" s="335"/>
      <c r="BE75" s="335"/>
      <c r="BF75" s="335"/>
      <c r="BG75" s="335"/>
      <c r="BH75" s="335"/>
      <c r="BI75" s="335"/>
      <c r="BJ75" s="335"/>
      <c r="BK75" s="335"/>
      <c r="BL75" s="335"/>
      <c r="BM75" s="335"/>
      <c r="BN75" s="335"/>
      <c r="BO75" s="335"/>
      <c r="BP75" s="335"/>
      <c r="BQ75" s="335"/>
      <c r="BR75" s="335"/>
      <c r="BS75" s="335"/>
      <c r="BT75" s="335"/>
      <c r="BU75" s="335"/>
      <c r="BV75" s="335"/>
      <c r="BW75" s="335"/>
      <c r="BX75" s="335"/>
      <c r="BY75" s="335"/>
      <c r="BZ75" s="335"/>
      <c r="CA75" s="335"/>
      <c r="CB75" s="335"/>
      <c r="CC75" s="335"/>
      <c r="CD75" s="335"/>
      <c r="CE75" s="335"/>
      <c r="CF75" s="335"/>
      <c r="CG75" s="335"/>
      <c r="CH75" s="335"/>
      <c r="CI75" s="335"/>
      <c r="CJ75" s="335"/>
      <c r="CK75" s="335"/>
      <c r="CL75" s="335"/>
      <c r="CM75" s="335"/>
      <c r="CN75" s="335"/>
      <c r="CO75" s="335"/>
      <c r="CP75" s="335"/>
      <c r="CQ75" s="335"/>
      <c r="CR75" s="335"/>
      <c r="CS75" s="335"/>
      <c r="CT75" s="335"/>
      <c r="CU75" s="335"/>
      <c r="CV75" s="335"/>
      <c r="CW75" s="335"/>
      <c r="CX75" s="335"/>
      <c r="CY75" s="335"/>
      <c r="CZ75" s="335"/>
      <c r="DA75" s="335"/>
      <c r="DB75" s="335"/>
      <c r="DC75" s="335"/>
      <c r="DD75" s="335"/>
      <c r="DE75" s="335"/>
      <c r="DF75" s="335"/>
      <c r="DG75" s="335"/>
      <c r="DH75" s="335"/>
      <c r="DI75" s="335"/>
      <c r="DJ75" s="335"/>
      <c r="DK75" s="335"/>
      <c r="DL75" s="335"/>
      <c r="DM75" s="335"/>
      <c r="DN75" s="335"/>
      <c r="DO75" s="335"/>
    </row>
    <row r="76" spans="1:119" ht="35.1" customHeight="1">
      <c r="A76" s="977"/>
      <c r="B76" s="977"/>
      <c r="C76" s="977"/>
      <c r="D76" s="977"/>
      <c r="E76" s="977"/>
      <c r="F76" s="977"/>
      <c r="G76" s="977"/>
      <c r="H76" s="977"/>
      <c r="I76" s="977"/>
      <c r="J76" s="977"/>
      <c r="K76" s="977"/>
      <c r="L76" s="977"/>
      <c r="M76" s="977"/>
      <c r="N76" s="977"/>
      <c r="O76" s="977"/>
      <c r="P76" s="977"/>
      <c r="Q76" s="977"/>
      <c r="R76" s="977"/>
      <c r="S76" s="977"/>
      <c r="T76" s="977"/>
      <c r="U76" s="977"/>
      <c r="V76" s="977"/>
      <c r="W76" s="977"/>
      <c r="X76" s="977"/>
      <c r="Y76" s="977"/>
      <c r="Z76" s="977"/>
      <c r="AA76" s="977"/>
      <c r="AB76" s="977"/>
      <c r="AC76" s="977"/>
      <c r="AD76" s="977"/>
      <c r="AE76" s="977"/>
      <c r="AF76" s="977"/>
      <c r="AG76" s="977"/>
      <c r="AH76" s="977"/>
      <c r="AI76" s="977"/>
      <c r="AJ76" s="977"/>
      <c r="AK76" s="977"/>
      <c r="AL76" s="977"/>
      <c r="AM76" s="977"/>
      <c r="AN76" s="977"/>
      <c r="AO76" s="977"/>
      <c r="AP76" s="977"/>
      <c r="AQ76" s="977"/>
      <c r="AR76" s="335"/>
      <c r="AS76" s="335"/>
      <c r="AT76" s="335"/>
      <c r="AU76" s="335"/>
      <c r="AV76" s="335"/>
      <c r="AW76" s="335"/>
      <c r="AX76" s="335"/>
      <c r="AY76" s="335"/>
      <c r="AZ76" s="335"/>
      <c r="BA76" s="335"/>
      <c r="BB76" s="335"/>
      <c r="BC76" s="335"/>
      <c r="BD76" s="335"/>
      <c r="BE76" s="335"/>
      <c r="BF76" s="335"/>
      <c r="BG76" s="335"/>
      <c r="BH76" s="335"/>
      <c r="BI76" s="335"/>
      <c r="BJ76" s="335"/>
      <c r="BK76" s="335"/>
      <c r="BL76" s="335"/>
      <c r="BM76" s="335"/>
      <c r="BN76" s="335"/>
      <c r="BO76" s="335"/>
      <c r="BP76" s="335"/>
      <c r="BQ76" s="335"/>
      <c r="BR76" s="335"/>
      <c r="BS76" s="335"/>
      <c r="BT76" s="335"/>
      <c r="BU76" s="335"/>
      <c r="BV76" s="335"/>
      <c r="BW76" s="335"/>
      <c r="BX76" s="335"/>
      <c r="BY76" s="335"/>
      <c r="BZ76" s="335"/>
      <c r="CA76" s="335"/>
      <c r="CB76" s="335"/>
      <c r="CC76" s="335"/>
      <c r="CD76" s="335"/>
      <c r="CE76" s="335"/>
      <c r="CF76" s="335"/>
      <c r="CG76" s="335"/>
      <c r="CH76" s="335"/>
      <c r="CI76" s="335"/>
      <c r="CJ76" s="335"/>
      <c r="CK76" s="335"/>
      <c r="CL76" s="335"/>
      <c r="CM76" s="335"/>
      <c r="CN76" s="335"/>
      <c r="CO76" s="335"/>
      <c r="CP76" s="335"/>
      <c r="CQ76" s="335"/>
      <c r="CR76" s="335"/>
      <c r="CS76" s="335"/>
      <c r="CT76" s="335"/>
      <c r="CU76" s="335"/>
      <c r="CV76" s="335"/>
      <c r="CW76" s="335"/>
      <c r="CX76" s="335"/>
      <c r="CY76" s="335"/>
      <c r="CZ76" s="335"/>
      <c r="DA76" s="335"/>
      <c r="DB76" s="335"/>
      <c r="DC76" s="335"/>
      <c r="DD76" s="335"/>
      <c r="DE76" s="335"/>
      <c r="DF76" s="335"/>
      <c r="DG76" s="335"/>
      <c r="DH76" s="335"/>
      <c r="DI76" s="335"/>
      <c r="DJ76" s="335"/>
      <c r="DK76" s="335"/>
      <c r="DL76" s="335"/>
      <c r="DM76" s="335"/>
      <c r="DN76" s="335"/>
      <c r="DO76" s="335"/>
    </row>
    <row r="77" spans="1:119" ht="35.1" customHeight="1">
      <c r="A77" s="977"/>
      <c r="B77" s="977"/>
      <c r="C77" s="977"/>
      <c r="D77" s="977"/>
      <c r="E77" s="977"/>
      <c r="F77" s="977"/>
      <c r="G77" s="977"/>
      <c r="H77" s="977"/>
      <c r="I77" s="977"/>
      <c r="J77" s="977"/>
      <c r="K77" s="977"/>
      <c r="L77" s="977"/>
      <c r="M77" s="977"/>
      <c r="N77" s="977"/>
      <c r="O77" s="977"/>
      <c r="P77" s="977"/>
      <c r="Q77" s="977"/>
      <c r="R77" s="977"/>
      <c r="S77" s="977"/>
      <c r="T77" s="977"/>
      <c r="U77" s="977"/>
      <c r="V77" s="977"/>
      <c r="W77" s="977"/>
      <c r="X77" s="977"/>
      <c r="Y77" s="977"/>
      <c r="Z77" s="977"/>
      <c r="AA77" s="977"/>
      <c r="AB77" s="977"/>
      <c r="AC77" s="977"/>
      <c r="AD77" s="977"/>
      <c r="AE77" s="977"/>
      <c r="AF77" s="977"/>
      <c r="AG77" s="977"/>
      <c r="AH77" s="977"/>
      <c r="AI77" s="977"/>
      <c r="AJ77" s="977"/>
      <c r="AK77" s="977"/>
      <c r="AL77" s="977"/>
      <c r="AM77" s="977"/>
      <c r="AN77" s="977"/>
      <c r="AO77" s="977"/>
      <c r="AP77" s="977"/>
      <c r="AQ77" s="977"/>
      <c r="AR77" s="335"/>
      <c r="AS77" s="335"/>
      <c r="AT77" s="335"/>
      <c r="AU77" s="335"/>
      <c r="AV77" s="335"/>
      <c r="AW77" s="335"/>
      <c r="AX77" s="335"/>
      <c r="AY77" s="335"/>
      <c r="AZ77" s="335"/>
      <c r="BA77" s="335"/>
      <c r="BB77" s="335"/>
      <c r="BC77" s="335"/>
      <c r="BD77" s="335"/>
      <c r="BE77" s="335"/>
      <c r="BF77" s="335"/>
      <c r="BG77" s="335"/>
      <c r="BH77" s="335"/>
      <c r="BI77" s="335"/>
      <c r="BJ77" s="335"/>
      <c r="BK77" s="335"/>
      <c r="BL77" s="335"/>
      <c r="BM77" s="335"/>
      <c r="BN77" s="335"/>
      <c r="BO77" s="335"/>
      <c r="BP77" s="335"/>
      <c r="BQ77" s="335"/>
      <c r="BR77" s="335"/>
      <c r="BS77" s="335"/>
      <c r="BT77" s="335"/>
      <c r="BU77" s="335"/>
      <c r="BV77" s="335"/>
      <c r="BW77" s="335"/>
      <c r="BX77" s="335"/>
      <c r="BY77" s="335"/>
      <c r="BZ77" s="335"/>
      <c r="CA77" s="335"/>
      <c r="CB77" s="335"/>
      <c r="CC77" s="335"/>
      <c r="CD77" s="335"/>
      <c r="CE77" s="335"/>
      <c r="CF77" s="335"/>
      <c r="CG77" s="335"/>
      <c r="CH77" s="335"/>
      <c r="CI77" s="335"/>
      <c r="CJ77" s="335"/>
      <c r="CK77" s="335"/>
      <c r="CL77" s="335"/>
      <c r="CM77" s="335"/>
      <c r="CN77" s="335"/>
      <c r="CO77" s="335"/>
      <c r="CP77" s="335"/>
      <c r="CQ77" s="335"/>
      <c r="CR77" s="335"/>
      <c r="CS77" s="335"/>
      <c r="CT77" s="335"/>
      <c r="CU77" s="335"/>
      <c r="CV77" s="335"/>
      <c r="CW77" s="335"/>
      <c r="CX77" s="335"/>
      <c r="CY77" s="335"/>
      <c r="CZ77" s="335"/>
      <c r="DA77" s="335"/>
      <c r="DB77" s="335"/>
      <c r="DC77" s="335"/>
      <c r="DD77" s="335"/>
      <c r="DE77" s="335"/>
      <c r="DF77" s="335"/>
      <c r="DG77" s="335"/>
      <c r="DH77" s="335"/>
      <c r="DI77" s="335"/>
      <c r="DJ77" s="335"/>
      <c r="DK77" s="335"/>
      <c r="DL77" s="335"/>
      <c r="DM77" s="335"/>
      <c r="DN77" s="335"/>
      <c r="DO77" s="335"/>
    </row>
    <row r="78" spans="1:119" ht="35.1" customHeight="1">
      <c r="A78" s="977"/>
      <c r="B78" s="977"/>
      <c r="C78" s="977"/>
      <c r="D78" s="977"/>
      <c r="E78" s="977"/>
      <c r="F78" s="977"/>
      <c r="G78" s="977"/>
      <c r="H78" s="977"/>
      <c r="I78" s="977"/>
      <c r="J78" s="977"/>
      <c r="K78" s="977"/>
      <c r="L78" s="977"/>
      <c r="M78" s="977"/>
      <c r="N78" s="977"/>
      <c r="O78" s="977"/>
      <c r="P78" s="977"/>
      <c r="Q78" s="977"/>
      <c r="R78" s="977"/>
      <c r="S78" s="977"/>
      <c r="T78" s="977"/>
      <c r="U78" s="977"/>
      <c r="V78" s="977"/>
      <c r="W78" s="977"/>
      <c r="X78" s="977"/>
      <c r="Y78" s="977"/>
      <c r="Z78" s="977"/>
      <c r="AA78" s="977"/>
      <c r="AB78" s="977"/>
      <c r="AC78" s="977"/>
      <c r="AD78" s="977"/>
      <c r="AE78" s="977"/>
      <c r="AF78" s="977"/>
      <c r="AG78" s="977"/>
      <c r="AH78" s="977"/>
      <c r="AI78" s="977"/>
      <c r="AJ78" s="977"/>
      <c r="AK78" s="977"/>
      <c r="AL78" s="977"/>
      <c r="AM78" s="977"/>
      <c r="AN78" s="977"/>
      <c r="AO78" s="977"/>
      <c r="AP78" s="977"/>
      <c r="AQ78" s="977"/>
      <c r="AR78" s="335"/>
      <c r="AS78" s="335"/>
      <c r="AT78" s="335"/>
      <c r="AU78" s="335"/>
      <c r="AV78" s="335"/>
      <c r="AW78" s="335"/>
      <c r="AX78" s="335"/>
      <c r="AY78" s="335"/>
      <c r="AZ78" s="335"/>
      <c r="BA78" s="335"/>
      <c r="BB78" s="335"/>
      <c r="BC78" s="335"/>
      <c r="BD78" s="335"/>
      <c r="BE78" s="335"/>
      <c r="BF78" s="335"/>
      <c r="BG78" s="335"/>
      <c r="BH78" s="335"/>
      <c r="BI78" s="335"/>
      <c r="BJ78" s="335"/>
      <c r="BK78" s="335"/>
      <c r="BL78" s="335"/>
      <c r="BM78" s="335"/>
      <c r="BN78" s="335"/>
      <c r="BO78" s="335"/>
      <c r="BP78" s="335"/>
      <c r="BQ78" s="335"/>
      <c r="BR78" s="335"/>
      <c r="BS78" s="335"/>
      <c r="BT78" s="335"/>
      <c r="BU78" s="335"/>
      <c r="BV78" s="335"/>
      <c r="BW78" s="335"/>
      <c r="BX78" s="335"/>
      <c r="BY78" s="335"/>
      <c r="BZ78" s="335"/>
      <c r="CA78" s="335"/>
      <c r="CB78" s="335"/>
      <c r="CC78" s="335"/>
      <c r="CD78" s="335"/>
      <c r="CE78" s="335"/>
      <c r="CF78" s="335"/>
      <c r="CG78" s="335"/>
      <c r="CH78" s="335"/>
      <c r="CI78" s="335"/>
      <c r="CJ78" s="335"/>
      <c r="CK78" s="335"/>
      <c r="CL78" s="335"/>
      <c r="CM78" s="335"/>
      <c r="CN78" s="335"/>
      <c r="CO78" s="335"/>
      <c r="CP78" s="335"/>
      <c r="CQ78" s="335"/>
      <c r="CR78" s="335"/>
      <c r="CS78" s="335"/>
      <c r="CT78" s="335"/>
      <c r="CU78" s="335"/>
      <c r="CV78" s="335"/>
      <c r="CW78" s="335"/>
      <c r="CX78" s="335"/>
      <c r="CY78" s="335"/>
      <c r="CZ78" s="335"/>
      <c r="DA78" s="335"/>
      <c r="DB78" s="335"/>
      <c r="DC78" s="335"/>
      <c r="DD78" s="335"/>
      <c r="DE78" s="335"/>
      <c r="DF78" s="335"/>
      <c r="DG78" s="335"/>
      <c r="DH78" s="335"/>
      <c r="DI78" s="335"/>
      <c r="DJ78" s="335"/>
      <c r="DK78" s="335"/>
      <c r="DL78" s="335"/>
      <c r="DM78" s="335"/>
      <c r="DN78" s="335"/>
      <c r="DO78" s="335"/>
    </row>
    <row r="79" spans="1:119" ht="35.1" customHeight="1">
      <c r="A79" s="977"/>
      <c r="B79" s="977"/>
      <c r="C79" s="977"/>
      <c r="D79" s="977"/>
      <c r="E79" s="977"/>
      <c r="F79" s="977"/>
      <c r="G79" s="977"/>
      <c r="H79" s="977"/>
      <c r="I79" s="977"/>
      <c r="J79" s="977"/>
      <c r="K79" s="977"/>
      <c r="L79" s="977"/>
      <c r="M79" s="977"/>
      <c r="N79" s="977"/>
      <c r="O79" s="977"/>
      <c r="P79" s="977"/>
      <c r="Q79" s="977"/>
      <c r="R79" s="977"/>
      <c r="S79" s="977"/>
      <c r="T79" s="977"/>
      <c r="U79" s="977"/>
      <c r="V79" s="977"/>
      <c r="W79" s="977"/>
      <c r="X79" s="977"/>
      <c r="Y79" s="977"/>
      <c r="Z79" s="977"/>
      <c r="AA79" s="977"/>
      <c r="AB79" s="977"/>
      <c r="AC79" s="977"/>
      <c r="AD79" s="977"/>
      <c r="AE79" s="977"/>
      <c r="AF79" s="977"/>
      <c r="AG79" s="977"/>
      <c r="AH79" s="977"/>
      <c r="AI79" s="977"/>
      <c r="AJ79" s="977"/>
      <c r="AK79" s="977"/>
      <c r="AL79" s="977"/>
      <c r="AM79" s="977"/>
      <c r="AN79" s="977"/>
      <c r="AO79" s="977"/>
      <c r="AP79" s="977"/>
      <c r="AQ79" s="977"/>
      <c r="AR79" s="335"/>
      <c r="AS79" s="335"/>
      <c r="AT79" s="335"/>
      <c r="AU79" s="335"/>
      <c r="AV79" s="335"/>
      <c r="AW79" s="335"/>
      <c r="AX79" s="335"/>
      <c r="AY79" s="335"/>
      <c r="AZ79" s="335"/>
      <c r="BA79" s="335"/>
      <c r="BB79" s="335"/>
      <c r="BC79" s="335"/>
      <c r="BD79" s="335"/>
      <c r="BE79" s="335"/>
      <c r="BF79" s="335"/>
      <c r="BG79" s="335"/>
      <c r="BH79" s="335"/>
      <c r="BI79" s="335"/>
      <c r="BJ79" s="335"/>
      <c r="BK79" s="335"/>
      <c r="BL79" s="335"/>
      <c r="BM79" s="335"/>
      <c r="BN79" s="335"/>
      <c r="BO79" s="335"/>
      <c r="BP79" s="335"/>
      <c r="BQ79" s="335"/>
      <c r="BR79" s="335"/>
      <c r="BS79" s="335"/>
      <c r="BT79" s="335"/>
      <c r="BU79" s="335"/>
      <c r="BV79" s="335"/>
      <c r="BW79" s="335"/>
      <c r="BX79" s="335"/>
      <c r="BY79" s="335"/>
      <c r="BZ79" s="335"/>
      <c r="CA79" s="335"/>
      <c r="CB79" s="335"/>
      <c r="CC79" s="335"/>
      <c r="CD79" s="335"/>
      <c r="CE79" s="335"/>
      <c r="CF79" s="335"/>
      <c r="CG79" s="335"/>
      <c r="CH79" s="335"/>
      <c r="CI79" s="335"/>
      <c r="CJ79" s="335"/>
      <c r="CK79" s="335"/>
      <c r="CL79" s="335"/>
      <c r="CM79" s="335"/>
      <c r="CN79" s="335"/>
      <c r="CO79" s="335"/>
      <c r="CP79" s="335"/>
      <c r="CQ79" s="335"/>
      <c r="CR79" s="335"/>
      <c r="CS79" s="335"/>
      <c r="CT79" s="335"/>
      <c r="CU79" s="335"/>
      <c r="CV79" s="335"/>
      <c r="CW79" s="335"/>
      <c r="CX79" s="335"/>
      <c r="CY79" s="335"/>
      <c r="CZ79" s="335"/>
      <c r="DA79" s="335"/>
      <c r="DB79" s="335"/>
      <c r="DC79" s="335"/>
      <c r="DD79" s="335"/>
      <c r="DE79" s="335"/>
      <c r="DF79" s="335"/>
      <c r="DG79" s="335"/>
      <c r="DH79" s="335"/>
      <c r="DI79" s="335"/>
      <c r="DJ79" s="335"/>
      <c r="DK79" s="335"/>
      <c r="DL79" s="335"/>
      <c r="DM79" s="335"/>
      <c r="DN79" s="335"/>
      <c r="DO79" s="335"/>
    </row>
    <row r="80" spans="1:119" ht="35.1" customHeight="1">
      <c r="A80" s="977"/>
      <c r="B80" s="977"/>
      <c r="C80" s="977"/>
      <c r="D80" s="977"/>
      <c r="E80" s="977"/>
      <c r="F80" s="977"/>
      <c r="G80" s="977"/>
      <c r="H80" s="977"/>
      <c r="I80" s="977"/>
      <c r="J80" s="977"/>
      <c r="K80" s="977"/>
      <c r="L80" s="977"/>
      <c r="M80" s="977"/>
      <c r="N80" s="977"/>
      <c r="O80" s="977"/>
      <c r="P80" s="977"/>
      <c r="Q80" s="977"/>
      <c r="R80" s="977"/>
      <c r="S80" s="977"/>
      <c r="T80" s="977"/>
      <c r="U80" s="977"/>
      <c r="V80" s="977"/>
      <c r="W80" s="977"/>
      <c r="X80" s="977"/>
      <c r="Y80" s="977"/>
      <c r="Z80" s="977"/>
      <c r="AA80" s="977"/>
      <c r="AB80" s="977"/>
      <c r="AC80" s="977"/>
      <c r="AD80" s="977"/>
      <c r="AE80" s="977"/>
      <c r="AF80" s="977"/>
      <c r="AG80" s="977"/>
      <c r="AH80" s="977"/>
      <c r="AI80" s="977"/>
      <c r="AJ80" s="977"/>
      <c r="AK80" s="977"/>
      <c r="AL80" s="977"/>
      <c r="AM80" s="977"/>
      <c r="AN80" s="977"/>
      <c r="AO80" s="977"/>
      <c r="AP80" s="977"/>
      <c r="AQ80" s="977"/>
      <c r="AR80" s="335"/>
      <c r="AS80" s="335"/>
      <c r="AT80" s="335"/>
      <c r="AU80" s="335"/>
      <c r="AV80" s="335"/>
      <c r="AW80" s="335"/>
      <c r="AX80" s="335"/>
      <c r="AY80" s="335"/>
      <c r="AZ80" s="335"/>
      <c r="BA80" s="335"/>
      <c r="BB80" s="335"/>
      <c r="BC80" s="335"/>
      <c r="BD80" s="335"/>
      <c r="BE80" s="335"/>
      <c r="BF80" s="335"/>
      <c r="BG80" s="335"/>
      <c r="BH80" s="335"/>
      <c r="BI80" s="335"/>
      <c r="BJ80" s="335"/>
      <c r="BK80" s="335"/>
      <c r="BL80" s="335"/>
      <c r="BM80" s="335"/>
      <c r="BN80" s="335"/>
      <c r="BO80" s="335"/>
      <c r="BP80" s="335"/>
      <c r="BQ80" s="335"/>
      <c r="BR80" s="335"/>
      <c r="BS80" s="335"/>
      <c r="BT80" s="335"/>
      <c r="BU80" s="335"/>
      <c r="BV80" s="335"/>
      <c r="BW80" s="335"/>
      <c r="BX80" s="335"/>
      <c r="BY80" s="335"/>
      <c r="BZ80" s="335"/>
      <c r="CA80" s="335"/>
      <c r="CB80" s="335"/>
      <c r="CC80" s="335"/>
      <c r="CD80" s="335"/>
      <c r="CE80" s="335"/>
      <c r="CF80" s="335"/>
      <c r="CG80" s="335"/>
      <c r="CH80" s="335"/>
      <c r="CI80" s="335"/>
      <c r="CJ80" s="335"/>
      <c r="CK80" s="335"/>
      <c r="CL80" s="335"/>
      <c r="CM80" s="335"/>
      <c r="CN80" s="335"/>
      <c r="CO80" s="335"/>
      <c r="CP80" s="335"/>
      <c r="CQ80" s="335"/>
      <c r="CR80" s="335"/>
      <c r="CS80" s="335"/>
      <c r="CT80" s="335"/>
      <c r="CU80" s="335"/>
      <c r="CV80" s="335"/>
      <c r="CW80" s="335"/>
      <c r="CX80" s="335"/>
      <c r="CY80" s="335"/>
      <c r="CZ80" s="335"/>
      <c r="DA80" s="335"/>
      <c r="DB80" s="335"/>
      <c r="DC80" s="335"/>
      <c r="DD80" s="335"/>
      <c r="DE80" s="335"/>
      <c r="DF80" s="335"/>
      <c r="DG80" s="335"/>
      <c r="DH80" s="335"/>
      <c r="DI80" s="335"/>
      <c r="DJ80" s="335"/>
      <c r="DK80" s="335"/>
      <c r="DL80" s="335"/>
      <c r="DM80" s="335"/>
      <c r="DN80" s="335"/>
      <c r="DO80" s="335"/>
    </row>
    <row r="81" spans="1:119" ht="35.1" customHeight="1">
      <c r="A81" s="977"/>
      <c r="B81" s="977"/>
      <c r="C81" s="977"/>
      <c r="D81" s="977"/>
      <c r="E81" s="977"/>
      <c r="F81" s="977"/>
      <c r="G81" s="977"/>
      <c r="H81" s="977"/>
      <c r="I81" s="977"/>
      <c r="J81" s="977"/>
      <c r="K81" s="977"/>
      <c r="L81" s="977"/>
      <c r="M81" s="977"/>
      <c r="N81" s="977"/>
      <c r="O81" s="977"/>
      <c r="P81" s="977"/>
      <c r="Q81" s="977"/>
      <c r="R81" s="977"/>
      <c r="S81" s="977"/>
      <c r="T81" s="977"/>
      <c r="U81" s="977"/>
      <c r="V81" s="977"/>
      <c r="W81" s="977"/>
      <c r="X81" s="977"/>
      <c r="Y81" s="977"/>
      <c r="Z81" s="977"/>
      <c r="AA81" s="977"/>
      <c r="AB81" s="977"/>
      <c r="AC81" s="977"/>
      <c r="AD81" s="977"/>
      <c r="AE81" s="977"/>
      <c r="AF81" s="977"/>
      <c r="AG81" s="977"/>
      <c r="AH81" s="977"/>
      <c r="AI81" s="977"/>
      <c r="AJ81" s="977"/>
      <c r="AK81" s="977"/>
      <c r="AL81" s="977"/>
      <c r="AM81" s="977"/>
      <c r="AN81" s="977"/>
      <c r="AO81" s="977"/>
      <c r="AP81" s="977"/>
      <c r="AQ81" s="977"/>
      <c r="AR81" s="335"/>
      <c r="AS81" s="335"/>
      <c r="AT81" s="335"/>
      <c r="AU81" s="335"/>
      <c r="AV81" s="335"/>
      <c r="AW81" s="335"/>
      <c r="AX81" s="335"/>
      <c r="AY81" s="335"/>
      <c r="AZ81" s="335"/>
      <c r="BA81" s="335"/>
      <c r="BB81" s="335"/>
      <c r="BC81" s="335"/>
      <c r="BD81" s="335"/>
      <c r="BE81" s="335"/>
      <c r="BF81" s="335"/>
      <c r="BG81" s="335"/>
      <c r="BH81" s="335"/>
      <c r="BI81" s="335"/>
      <c r="BJ81" s="335"/>
      <c r="BK81" s="335"/>
      <c r="BL81" s="335"/>
      <c r="BM81" s="335"/>
      <c r="BN81" s="335"/>
      <c r="BO81" s="335"/>
      <c r="BP81" s="335"/>
      <c r="BQ81" s="335"/>
      <c r="BR81" s="335"/>
      <c r="BS81" s="335"/>
      <c r="BT81" s="335"/>
      <c r="BU81" s="335"/>
      <c r="BV81" s="335"/>
      <c r="BW81" s="335"/>
      <c r="BX81" s="335"/>
      <c r="BY81" s="335"/>
      <c r="BZ81" s="335"/>
      <c r="CA81" s="335"/>
      <c r="CB81" s="335"/>
      <c r="CC81" s="335"/>
      <c r="CD81" s="335"/>
      <c r="CE81" s="335"/>
      <c r="CF81" s="335"/>
      <c r="CG81" s="335"/>
      <c r="CH81" s="335"/>
      <c r="CI81" s="335"/>
      <c r="CJ81" s="335"/>
      <c r="CK81" s="335"/>
      <c r="CL81" s="335"/>
      <c r="CM81" s="335"/>
      <c r="CN81" s="335"/>
      <c r="CO81" s="335"/>
      <c r="CP81" s="335"/>
      <c r="CQ81" s="335"/>
      <c r="CR81" s="335"/>
      <c r="CS81" s="335"/>
      <c r="CT81" s="335"/>
      <c r="CU81" s="335"/>
      <c r="CV81" s="335"/>
      <c r="CW81" s="335"/>
      <c r="CX81" s="335"/>
      <c r="CY81" s="335"/>
      <c r="CZ81" s="335"/>
      <c r="DA81" s="335"/>
      <c r="DB81" s="335"/>
      <c r="DC81" s="335"/>
      <c r="DD81" s="335"/>
      <c r="DE81" s="335"/>
      <c r="DF81" s="335"/>
      <c r="DG81" s="335"/>
      <c r="DH81" s="335"/>
      <c r="DI81" s="335"/>
      <c r="DJ81" s="335"/>
      <c r="DK81" s="335"/>
      <c r="DL81" s="335"/>
      <c r="DM81" s="335"/>
      <c r="DN81" s="335"/>
      <c r="DO81" s="335"/>
    </row>
    <row r="82" spans="1:119" ht="35.1" customHeight="1">
      <c r="A82" s="977"/>
      <c r="B82" s="977"/>
      <c r="C82" s="977"/>
      <c r="D82" s="977"/>
      <c r="E82" s="977"/>
      <c r="F82" s="977"/>
      <c r="G82" s="977"/>
      <c r="H82" s="977"/>
      <c r="I82" s="977"/>
      <c r="J82" s="977"/>
      <c r="K82" s="977"/>
      <c r="L82" s="977"/>
      <c r="M82" s="977"/>
      <c r="N82" s="977"/>
      <c r="O82" s="977"/>
      <c r="P82" s="977"/>
      <c r="Q82" s="977"/>
      <c r="R82" s="977"/>
      <c r="S82" s="977"/>
      <c r="T82" s="977"/>
      <c r="U82" s="977"/>
      <c r="V82" s="977"/>
      <c r="W82" s="977"/>
      <c r="X82" s="977"/>
      <c r="Y82" s="977"/>
      <c r="Z82" s="977"/>
      <c r="AA82" s="977"/>
      <c r="AB82" s="977"/>
      <c r="AC82" s="977"/>
      <c r="AD82" s="977"/>
      <c r="AE82" s="977"/>
      <c r="AF82" s="977"/>
      <c r="AG82" s="977"/>
      <c r="AH82" s="977"/>
      <c r="AI82" s="977"/>
      <c r="AJ82" s="977"/>
      <c r="AK82" s="977"/>
      <c r="AL82" s="977"/>
      <c r="AM82" s="977"/>
      <c r="AN82" s="977"/>
      <c r="AO82" s="977"/>
      <c r="AP82" s="977"/>
      <c r="AQ82" s="977"/>
      <c r="AR82" s="335"/>
      <c r="AS82" s="335"/>
      <c r="AT82" s="335"/>
      <c r="AU82" s="335"/>
      <c r="AV82" s="335"/>
      <c r="AW82" s="335"/>
      <c r="AX82" s="335"/>
      <c r="AY82" s="335"/>
      <c r="AZ82" s="335"/>
      <c r="BA82" s="335"/>
      <c r="BB82" s="335"/>
      <c r="BC82" s="335"/>
      <c r="BD82" s="335"/>
      <c r="BE82" s="335"/>
      <c r="BF82" s="335"/>
      <c r="BG82" s="335"/>
      <c r="BH82" s="335"/>
      <c r="BI82" s="335"/>
      <c r="BJ82" s="335"/>
      <c r="BK82" s="335"/>
      <c r="BL82" s="335"/>
      <c r="BM82" s="335"/>
      <c r="BN82" s="335"/>
      <c r="BO82" s="335"/>
      <c r="BP82" s="335"/>
      <c r="BQ82" s="335"/>
      <c r="BR82" s="335"/>
      <c r="BS82" s="335"/>
      <c r="BT82" s="335"/>
      <c r="BU82" s="335"/>
      <c r="BV82" s="335"/>
      <c r="BW82" s="335"/>
      <c r="BX82" s="335"/>
      <c r="BY82" s="335"/>
      <c r="BZ82" s="335"/>
      <c r="CA82" s="335"/>
      <c r="CB82" s="335"/>
      <c r="CC82" s="335"/>
      <c r="CD82" s="335"/>
      <c r="CE82" s="335"/>
      <c r="CF82" s="335"/>
      <c r="CG82" s="335"/>
      <c r="CH82" s="335"/>
      <c r="CI82" s="335"/>
      <c r="CJ82" s="335"/>
      <c r="CK82" s="335"/>
      <c r="CL82" s="335"/>
      <c r="CM82" s="335"/>
      <c r="CN82" s="335"/>
      <c r="CO82" s="335"/>
      <c r="CP82" s="335"/>
      <c r="CQ82" s="335"/>
      <c r="CR82" s="335"/>
      <c r="CS82" s="335"/>
      <c r="CT82" s="335"/>
      <c r="CU82" s="335"/>
      <c r="CV82" s="335"/>
      <c r="CW82" s="335"/>
      <c r="CX82" s="335"/>
      <c r="CY82" s="335"/>
      <c r="CZ82" s="335"/>
      <c r="DA82" s="335"/>
      <c r="DB82" s="335"/>
      <c r="DC82" s="335"/>
      <c r="DD82" s="335"/>
      <c r="DE82" s="335"/>
      <c r="DF82" s="335"/>
      <c r="DG82" s="335"/>
      <c r="DH82" s="335"/>
      <c r="DI82" s="335"/>
      <c r="DJ82" s="335"/>
      <c r="DK82" s="335"/>
      <c r="DL82" s="335"/>
      <c r="DM82" s="335"/>
      <c r="DN82" s="335"/>
      <c r="DO82" s="335"/>
    </row>
    <row r="83" spans="1:119" ht="35.1" customHeight="1">
      <c r="A83" s="977"/>
      <c r="B83" s="977"/>
      <c r="C83" s="977"/>
      <c r="D83" s="977"/>
      <c r="E83" s="977"/>
      <c r="F83" s="977"/>
      <c r="G83" s="977"/>
      <c r="H83" s="977"/>
      <c r="I83" s="977"/>
      <c r="J83" s="977"/>
      <c r="K83" s="977"/>
      <c r="L83" s="977"/>
      <c r="M83" s="977"/>
      <c r="N83" s="977"/>
      <c r="O83" s="977"/>
      <c r="P83" s="977"/>
      <c r="Q83" s="977"/>
      <c r="R83" s="977"/>
      <c r="S83" s="977"/>
      <c r="T83" s="977"/>
      <c r="U83" s="977"/>
      <c r="V83" s="977"/>
      <c r="W83" s="977"/>
      <c r="X83" s="977"/>
      <c r="Y83" s="977"/>
      <c r="Z83" s="977"/>
      <c r="AA83" s="977"/>
      <c r="AB83" s="977"/>
      <c r="AC83" s="977"/>
      <c r="AD83" s="977"/>
      <c r="AE83" s="977"/>
      <c r="AF83" s="977"/>
      <c r="AG83" s="977"/>
      <c r="AH83" s="977"/>
      <c r="AI83" s="977"/>
      <c r="AJ83" s="977"/>
      <c r="AK83" s="977"/>
      <c r="AL83" s="977"/>
      <c r="AM83" s="977"/>
      <c r="AN83" s="977"/>
      <c r="AO83" s="977"/>
      <c r="AP83" s="977"/>
      <c r="AQ83" s="977"/>
      <c r="AR83" s="335"/>
      <c r="AS83" s="335"/>
      <c r="AT83" s="335"/>
      <c r="AU83" s="335"/>
      <c r="AV83" s="335"/>
      <c r="AW83" s="335"/>
      <c r="AX83" s="335"/>
      <c r="AY83" s="335"/>
      <c r="AZ83" s="335"/>
      <c r="BA83" s="335"/>
      <c r="BB83" s="335"/>
      <c r="BC83" s="335"/>
      <c r="BD83" s="335"/>
      <c r="BE83" s="335"/>
      <c r="BF83" s="335"/>
      <c r="BG83" s="335"/>
      <c r="BH83" s="335"/>
      <c r="BI83" s="335"/>
      <c r="BJ83" s="335"/>
      <c r="BK83" s="335"/>
      <c r="BL83" s="335"/>
      <c r="BM83" s="335"/>
      <c r="BN83" s="335"/>
      <c r="BO83" s="335"/>
      <c r="BP83" s="335"/>
      <c r="BQ83" s="335"/>
      <c r="BR83" s="335"/>
      <c r="BS83" s="335"/>
      <c r="BT83" s="335"/>
      <c r="BU83" s="335"/>
      <c r="BV83" s="335"/>
      <c r="BW83" s="335"/>
      <c r="BX83" s="335"/>
      <c r="BY83" s="335"/>
      <c r="BZ83" s="335"/>
      <c r="CA83" s="335"/>
      <c r="CB83" s="335"/>
      <c r="CC83" s="335"/>
      <c r="CD83" s="335"/>
      <c r="CE83" s="335"/>
      <c r="CF83" s="335"/>
      <c r="CG83" s="335"/>
      <c r="CH83" s="335"/>
      <c r="CI83" s="335"/>
      <c r="CJ83" s="335"/>
      <c r="CK83" s="335"/>
      <c r="CL83" s="335"/>
      <c r="CM83" s="335"/>
      <c r="CN83" s="335"/>
      <c r="CO83" s="335"/>
      <c r="CP83" s="335"/>
      <c r="CQ83" s="335"/>
      <c r="CR83" s="335"/>
      <c r="CS83" s="335"/>
      <c r="CT83" s="335"/>
      <c r="CU83" s="335"/>
      <c r="CV83" s="335"/>
      <c r="CW83" s="335"/>
      <c r="CX83" s="335"/>
      <c r="CY83" s="335"/>
      <c r="CZ83" s="335"/>
      <c r="DA83" s="335"/>
      <c r="DB83" s="335"/>
      <c r="DC83" s="335"/>
      <c r="DD83" s="335"/>
      <c r="DE83" s="335"/>
      <c r="DF83" s="335"/>
      <c r="DG83" s="335"/>
      <c r="DH83" s="335"/>
      <c r="DI83" s="335"/>
      <c r="DJ83" s="335"/>
      <c r="DK83" s="335"/>
      <c r="DL83" s="335"/>
      <c r="DM83" s="335"/>
      <c r="DN83" s="335"/>
      <c r="DO83" s="335"/>
    </row>
    <row r="84" spans="1:119" ht="35.1" customHeight="1">
      <c r="A84" s="977"/>
      <c r="B84" s="977"/>
      <c r="C84" s="977"/>
      <c r="D84" s="977"/>
      <c r="E84" s="977"/>
      <c r="F84" s="977"/>
      <c r="G84" s="977"/>
      <c r="H84" s="977"/>
      <c r="I84" s="977"/>
      <c r="J84" s="977"/>
      <c r="K84" s="977"/>
      <c r="L84" s="977"/>
      <c r="M84" s="977"/>
      <c r="N84" s="977"/>
      <c r="O84" s="977"/>
      <c r="P84" s="977"/>
      <c r="Q84" s="977"/>
      <c r="R84" s="977"/>
      <c r="S84" s="977"/>
      <c r="T84" s="977"/>
      <c r="U84" s="977"/>
      <c r="V84" s="977"/>
      <c r="W84" s="977"/>
      <c r="X84" s="977"/>
      <c r="Y84" s="977"/>
      <c r="Z84" s="977"/>
      <c r="AA84" s="977"/>
      <c r="AB84" s="977"/>
      <c r="AC84" s="977"/>
      <c r="AD84" s="977"/>
      <c r="AE84" s="977"/>
      <c r="AF84" s="977"/>
      <c r="AG84" s="977"/>
      <c r="AH84" s="977"/>
      <c r="AI84" s="977"/>
      <c r="AJ84" s="977"/>
      <c r="AK84" s="977"/>
      <c r="AL84" s="977"/>
      <c r="AM84" s="977"/>
      <c r="AN84" s="977"/>
      <c r="AO84" s="977"/>
      <c r="AP84" s="977"/>
      <c r="AQ84" s="977"/>
      <c r="AR84" s="335"/>
      <c r="AS84" s="335"/>
      <c r="AT84" s="335"/>
      <c r="AU84" s="335"/>
      <c r="AV84" s="335"/>
      <c r="AW84" s="335"/>
      <c r="AX84" s="335"/>
      <c r="AY84" s="335"/>
      <c r="AZ84" s="335"/>
      <c r="BA84" s="335"/>
      <c r="BB84" s="335"/>
      <c r="BC84" s="335"/>
      <c r="BD84" s="335"/>
      <c r="BE84" s="335"/>
      <c r="BF84" s="335"/>
      <c r="BG84" s="335"/>
      <c r="BH84" s="335"/>
      <c r="BI84" s="335"/>
      <c r="BJ84" s="335"/>
      <c r="BK84" s="335"/>
      <c r="BL84" s="335"/>
      <c r="BM84" s="335"/>
      <c r="BN84" s="335"/>
      <c r="BO84" s="335"/>
      <c r="BP84" s="335"/>
      <c r="BQ84" s="335"/>
      <c r="BR84" s="335"/>
      <c r="BS84" s="335"/>
      <c r="BT84" s="335"/>
      <c r="BU84" s="335"/>
      <c r="BV84" s="335"/>
      <c r="BW84" s="335"/>
      <c r="BX84" s="335"/>
      <c r="BY84" s="335"/>
      <c r="BZ84" s="335"/>
      <c r="CA84" s="335"/>
      <c r="CB84" s="335"/>
      <c r="CC84" s="335"/>
      <c r="CD84" s="335"/>
      <c r="CE84" s="335"/>
      <c r="CF84" s="335"/>
      <c r="CG84" s="335"/>
      <c r="CH84" s="335"/>
      <c r="CI84" s="335"/>
      <c r="CJ84" s="335"/>
      <c r="CK84" s="335"/>
      <c r="CL84" s="335"/>
      <c r="CM84" s="335"/>
      <c r="CN84" s="335"/>
      <c r="CO84" s="335"/>
      <c r="CP84" s="335"/>
      <c r="CQ84" s="335"/>
      <c r="CR84" s="335"/>
      <c r="CS84" s="335"/>
      <c r="CT84" s="335"/>
      <c r="CU84" s="335"/>
      <c r="CV84" s="335"/>
      <c r="CW84" s="335"/>
      <c r="CX84" s="335"/>
      <c r="CY84" s="335"/>
      <c r="CZ84" s="335"/>
      <c r="DA84" s="335"/>
      <c r="DB84" s="335"/>
      <c r="DC84" s="335"/>
      <c r="DD84" s="335"/>
      <c r="DE84" s="335"/>
      <c r="DF84" s="335"/>
      <c r="DG84" s="335"/>
      <c r="DH84" s="335"/>
      <c r="DI84" s="335"/>
      <c r="DJ84" s="335"/>
      <c r="DK84" s="335"/>
      <c r="DL84" s="335"/>
      <c r="DM84" s="335"/>
      <c r="DN84" s="335"/>
      <c r="DO84" s="335"/>
    </row>
    <row r="85" spans="1:119" ht="35.1" customHeight="1">
      <c r="A85" s="977"/>
      <c r="B85" s="977"/>
      <c r="C85" s="977"/>
      <c r="D85" s="977"/>
      <c r="E85" s="977"/>
      <c r="F85" s="977"/>
      <c r="G85" s="977"/>
      <c r="H85" s="977"/>
      <c r="I85" s="977"/>
      <c r="J85" s="977"/>
      <c r="K85" s="977"/>
      <c r="L85" s="977"/>
      <c r="M85" s="977"/>
      <c r="N85" s="977"/>
      <c r="O85" s="977"/>
      <c r="P85" s="977"/>
      <c r="Q85" s="977"/>
      <c r="R85" s="977"/>
      <c r="S85" s="977"/>
      <c r="T85" s="977"/>
      <c r="U85" s="977"/>
      <c r="V85" s="977"/>
      <c r="W85" s="977"/>
      <c r="X85" s="977"/>
      <c r="Y85" s="977"/>
      <c r="Z85" s="977"/>
      <c r="AA85" s="977"/>
      <c r="AB85" s="977"/>
      <c r="AC85" s="977"/>
      <c r="AD85" s="977"/>
      <c r="AE85" s="977"/>
      <c r="AF85" s="977"/>
      <c r="AG85" s="977"/>
      <c r="AH85" s="977"/>
      <c r="AI85" s="977"/>
      <c r="AJ85" s="977"/>
      <c r="AK85" s="977"/>
      <c r="AL85" s="977"/>
      <c r="AM85" s="977"/>
      <c r="AN85" s="977"/>
      <c r="AO85" s="977"/>
      <c r="AP85" s="977"/>
      <c r="AQ85" s="977"/>
      <c r="AR85" s="335"/>
      <c r="AS85" s="335"/>
      <c r="AT85" s="335"/>
      <c r="AU85" s="335"/>
      <c r="AV85" s="335"/>
      <c r="AW85" s="335"/>
      <c r="AX85" s="335"/>
      <c r="AY85" s="335"/>
      <c r="AZ85" s="335"/>
      <c r="BA85" s="335"/>
      <c r="BB85" s="335"/>
      <c r="BC85" s="335"/>
      <c r="BD85" s="335"/>
      <c r="BE85" s="335"/>
      <c r="BF85" s="335"/>
      <c r="BG85" s="335"/>
      <c r="BH85" s="335"/>
      <c r="BI85" s="335"/>
      <c r="BJ85" s="335"/>
      <c r="BK85" s="335"/>
      <c r="BL85" s="335"/>
      <c r="BM85" s="335"/>
      <c r="BN85" s="335"/>
      <c r="BO85" s="335"/>
      <c r="BP85" s="335"/>
      <c r="BQ85" s="335"/>
      <c r="BR85" s="335"/>
      <c r="BS85" s="335"/>
      <c r="BT85" s="335"/>
      <c r="BU85" s="335"/>
      <c r="BV85" s="335"/>
      <c r="BW85" s="335"/>
      <c r="BX85" s="335"/>
      <c r="BY85" s="335"/>
      <c r="BZ85" s="335"/>
      <c r="CA85" s="335"/>
      <c r="CB85" s="335"/>
      <c r="CC85" s="335"/>
      <c r="CD85" s="335"/>
      <c r="CE85" s="335"/>
      <c r="CF85" s="335"/>
      <c r="CG85" s="335"/>
      <c r="CH85" s="335"/>
      <c r="CI85" s="335"/>
      <c r="CJ85" s="335"/>
      <c r="CK85" s="335"/>
      <c r="CL85" s="335"/>
      <c r="CM85" s="335"/>
      <c r="CN85" s="335"/>
      <c r="CO85" s="335"/>
      <c r="CP85" s="335"/>
      <c r="CQ85" s="335"/>
      <c r="CR85" s="335"/>
      <c r="CS85" s="335"/>
      <c r="CT85" s="335"/>
      <c r="CU85" s="335"/>
      <c r="CV85" s="335"/>
      <c r="CW85" s="335"/>
      <c r="CX85" s="335"/>
      <c r="CY85" s="335"/>
      <c r="CZ85" s="335"/>
      <c r="DA85" s="335"/>
      <c r="DB85" s="335"/>
      <c r="DC85" s="335"/>
      <c r="DD85" s="335"/>
      <c r="DE85" s="335"/>
      <c r="DF85" s="335"/>
      <c r="DG85" s="335"/>
      <c r="DH85" s="335"/>
      <c r="DI85" s="335"/>
      <c r="DJ85" s="335"/>
      <c r="DK85" s="335"/>
      <c r="DL85" s="335"/>
      <c r="DM85" s="335"/>
      <c r="DN85" s="335"/>
      <c r="DO85" s="335"/>
    </row>
    <row r="86" spans="1:119" ht="35.1" customHeight="1">
      <c r="A86" s="977"/>
      <c r="B86" s="977"/>
      <c r="C86" s="977"/>
      <c r="D86" s="977"/>
      <c r="E86" s="977"/>
      <c r="F86" s="977"/>
      <c r="G86" s="977"/>
      <c r="H86" s="977"/>
      <c r="I86" s="977"/>
      <c r="J86" s="977"/>
      <c r="K86" s="977"/>
      <c r="L86" s="977"/>
      <c r="M86" s="977"/>
      <c r="N86" s="977"/>
      <c r="O86" s="977"/>
      <c r="P86" s="977"/>
      <c r="Q86" s="977"/>
      <c r="R86" s="977"/>
      <c r="S86" s="977"/>
      <c r="T86" s="977"/>
      <c r="U86" s="977"/>
      <c r="V86" s="977"/>
      <c r="W86" s="977"/>
      <c r="X86" s="977"/>
      <c r="Y86" s="977"/>
      <c r="Z86" s="977"/>
      <c r="AA86" s="977"/>
      <c r="AB86" s="977"/>
      <c r="AC86" s="977"/>
      <c r="AD86" s="977"/>
      <c r="AE86" s="977"/>
      <c r="AF86" s="977"/>
      <c r="AG86" s="977"/>
      <c r="AH86" s="977"/>
      <c r="AI86" s="977"/>
      <c r="AJ86" s="977"/>
      <c r="AK86" s="977"/>
      <c r="AL86" s="977"/>
      <c r="AM86" s="977"/>
      <c r="AN86" s="977"/>
      <c r="AO86" s="977"/>
      <c r="AP86" s="977"/>
      <c r="AQ86" s="977"/>
      <c r="AR86" s="335"/>
      <c r="AS86" s="335"/>
      <c r="AT86" s="335"/>
      <c r="AU86" s="335"/>
      <c r="AV86" s="335"/>
      <c r="AW86" s="335"/>
      <c r="AX86" s="335"/>
      <c r="AY86" s="335"/>
      <c r="AZ86" s="335"/>
      <c r="BA86" s="335"/>
      <c r="BB86" s="335"/>
      <c r="BC86" s="335"/>
      <c r="BD86" s="335"/>
      <c r="BE86" s="335"/>
      <c r="BF86" s="335"/>
      <c r="BG86" s="335"/>
      <c r="BH86" s="335"/>
      <c r="BI86" s="335"/>
      <c r="BJ86" s="335"/>
      <c r="BK86" s="335"/>
      <c r="BL86" s="335"/>
      <c r="BM86" s="335"/>
      <c r="BN86" s="335"/>
      <c r="BO86" s="335"/>
      <c r="BP86" s="335"/>
      <c r="BQ86" s="335"/>
      <c r="BR86" s="335"/>
      <c r="BS86" s="335"/>
      <c r="BT86" s="335"/>
      <c r="BU86" s="335"/>
      <c r="BV86" s="335"/>
      <c r="BW86" s="335"/>
      <c r="BX86" s="335"/>
      <c r="BY86" s="335"/>
      <c r="BZ86" s="335"/>
      <c r="CA86" s="335"/>
      <c r="CB86" s="335"/>
      <c r="CC86" s="335"/>
      <c r="CD86" s="335"/>
      <c r="CE86" s="335"/>
      <c r="CF86" s="335"/>
      <c r="CG86" s="335"/>
      <c r="CH86" s="335"/>
      <c r="CI86" s="335"/>
      <c r="CJ86" s="335"/>
      <c r="CK86" s="335"/>
      <c r="CL86" s="335"/>
      <c r="CM86" s="335"/>
      <c r="CN86" s="335"/>
      <c r="CO86" s="335"/>
      <c r="CP86" s="335"/>
      <c r="CQ86" s="335"/>
      <c r="CR86" s="335"/>
      <c r="CS86" s="335"/>
      <c r="CT86" s="335"/>
      <c r="CU86" s="335"/>
      <c r="CV86" s="335"/>
      <c r="CW86" s="335"/>
      <c r="CX86" s="335"/>
      <c r="CY86" s="335"/>
      <c r="CZ86" s="335"/>
      <c r="DA86" s="335"/>
      <c r="DB86" s="335"/>
      <c r="DC86" s="335"/>
      <c r="DD86" s="335"/>
      <c r="DE86" s="335"/>
      <c r="DF86" s="335"/>
      <c r="DG86" s="335"/>
      <c r="DH86" s="335"/>
      <c r="DI86" s="335"/>
      <c r="DJ86" s="335"/>
      <c r="DK86" s="335"/>
      <c r="DL86" s="335"/>
      <c r="DM86" s="335"/>
      <c r="DN86" s="335"/>
      <c r="DO86" s="335"/>
    </row>
    <row r="87" spans="1:119" ht="35.1" customHeight="1">
      <c r="A87" s="977"/>
      <c r="B87" s="977"/>
      <c r="C87" s="977"/>
      <c r="D87" s="977"/>
      <c r="E87" s="977"/>
      <c r="F87" s="977"/>
      <c r="G87" s="977"/>
      <c r="H87" s="977"/>
      <c r="I87" s="977"/>
      <c r="J87" s="977"/>
      <c r="K87" s="977"/>
      <c r="L87" s="977"/>
      <c r="M87" s="977"/>
      <c r="N87" s="977"/>
      <c r="O87" s="977"/>
      <c r="P87" s="977"/>
      <c r="Q87" s="977"/>
      <c r="R87" s="977"/>
      <c r="S87" s="977"/>
      <c r="T87" s="977"/>
      <c r="U87" s="977"/>
      <c r="V87" s="977"/>
      <c r="W87" s="977"/>
      <c r="X87" s="977"/>
      <c r="Y87" s="977"/>
      <c r="Z87" s="977"/>
      <c r="AA87" s="977"/>
      <c r="AB87" s="977"/>
      <c r="AC87" s="977"/>
      <c r="AD87" s="977"/>
      <c r="AE87" s="977"/>
      <c r="AF87" s="977"/>
      <c r="AG87" s="977"/>
      <c r="AH87" s="977"/>
      <c r="AI87" s="977"/>
      <c r="AJ87" s="977"/>
      <c r="AK87" s="977"/>
      <c r="AL87" s="977"/>
      <c r="AM87" s="977"/>
      <c r="AN87" s="977"/>
      <c r="AO87" s="977"/>
      <c r="AP87" s="977"/>
      <c r="AQ87" s="977"/>
      <c r="AR87" s="335"/>
      <c r="AS87" s="335"/>
      <c r="AT87" s="335"/>
      <c r="AU87" s="335"/>
      <c r="AV87" s="335"/>
      <c r="AW87" s="335"/>
      <c r="AX87" s="335"/>
      <c r="AY87" s="335"/>
      <c r="AZ87" s="335"/>
      <c r="BA87" s="335"/>
      <c r="BB87" s="335"/>
      <c r="BC87" s="335"/>
      <c r="BD87" s="335"/>
      <c r="BE87" s="335"/>
      <c r="BF87" s="335"/>
      <c r="BG87" s="335"/>
      <c r="BH87" s="335"/>
      <c r="BI87" s="335"/>
      <c r="BJ87" s="335"/>
      <c r="BK87" s="335"/>
      <c r="BL87" s="335"/>
      <c r="BM87" s="335"/>
      <c r="BN87" s="335"/>
      <c r="BO87" s="335"/>
      <c r="BP87" s="335"/>
      <c r="BQ87" s="335"/>
      <c r="BR87" s="335"/>
      <c r="BS87" s="335"/>
      <c r="BT87" s="335"/>
      <c r="BU87" s="335"/>
      <c r="BV87" s="335"/>
      <c r="BW87" s="335"/>
      <c r="BX87" s="335"/>
      <c r="BY87" s="335"/>
      <c r="BZ87" s="335"/>
      <c r="CA87" s="335"/>
      <c r="CB87" s="335"/>
      <c r="CC87" s="335"/>
      <c r="CD87" s="335"/>
      <c r="CE87" s="335"/>
      <c r="CF87" s="335"/>
      <c r="CG87" s="335"/>
      <c r="CH87" s="335"/>
      <c r="CI87" s="335"/>
      <c r="CJ87" s="335"/>
      <c r="CK87" s="335"/>
      <c r="CL87" s="335"/>
      <c r="CM87" s="335"/>
      <c r="CN87" s="335"/>
      <c r="CO87" s="335"/>
      <c r="CP87" s="335"/>
      <c r="CQ87" s="335"/>
      <c r="CR87" s="335"/>
      <c r="CS87" s="335"/>
      <c r="CT87" s="335"/>
      <c r="CU87" s="335"/>
      <c r="CV87" s="335"/>
      <c r="CW87" s="335"/>
      <c r="CX87" s="335"/>
      <c r="CY87" s="335"/>
      <c r="CZ87" s="335"/>
      <c r="DA87" s="335"/>
      <c r="DB87" s="335"/>
      <c r="DC87" s="335"/>
      <c r="DD87" s="335"/>
      <c r="DE87" s="335"/>
      <c r="DF87" s="335"/>
      <c r="DG87" s="335"/>
      <c r="DH87" s="335"/>
      <c r="DI87" s="335"/>
      <c r="DJ87" s="335"/>
      <c r="DK87" s="335"/>
      <c r="DL87" s="335"/>
      <c r="DM87" s="335"/>
      <c r="DN87" s="335"/>
      <c r="DO87" s="335"/>
    </row>
    <row r="88" spans="1:119" ht="35.1" customHeight="1">
      <c r="A88" s="977"/>
      <c r="B88" s="977"/>
      <c r="C88" s="977"/>
      <c r="D88" s="977"/>
      <c r="E88" s="977"/>
      <c r="F88" s="977"/>
      <c r="G88" s="977"/>
      <c r="H88" s="977"/>
      <c r="I88" s="977"/>
      <c r="J88" s="977"/>
      <c r="K88" s="977"/>
      <c r="L88" s="977"/>
      <c r="M88" s="977"/>
      <c r="N88" s="977"/>
      <c r="O88" s="977"/>
      <c r="P88" s="977"/>
      <c r="Q88" s="977"/>
      <c r="R88" s="977"/>
      <c r="S88" s="977"/>
      <c r="T88" s="977"/>
      <c r="U88" s="977"/>
      <c r="V88" s="977"/>
      <c r="W88" s="977"/>
      <c r="X88" s="977"/>
      <c r="Y88" s="977"/>
      <c r="Z88" s="977"/>
      <c r="AA88" s="977"/>
      <c r="AB88" s="977"/>
      <c r="AC88" s="977"/>
      <c r="AD88" s="977"/>
      <c r="AE88" s="977"/>
      <c r="AF88" s="977"/>
      <c r="AG88" s="977"/>
      <c r="AH88" s="977"/>
      <c r="AI88" s="977"/>
      <c r="AJ88" s="977"/>
      <c r="AK88" s="977"/>
      <c r="AL88" s="977"/>
      <c r="AM88" s="977"/>
      <c r="AN88" s="977"/>
      <c r="AO88" s="977"/>
      <c r="AP88" s="977"/>
      <c r="AQ88" s="977"/>
      <c r="AR88" s="335"/>
      <c r="AS88" s="335"/>
      <c r="AT88" s="335"/>
      <c r="AU88" s="335"/>
      <c r="AV88" s="335"/>
      <c r="AW88" s="335"/>
      <c r="AX88" s="335"/>
      <c r="AY88" s="335"/>
      <c r="AZ88" s="335"/>
      <c r="BA88" s="335"/>
      <c r="BB88" s="335"/>
      <c r="BC88" s="335"/>
      <c r="BD88" s="335"/>
      <c r="BE88" s="335"/>
      <c r="BF88" s="335"/>
      <c r="BG88" s="335"/>
      <c r="BH88" s="335"/>
      <c r="BI88" s="335"/>
      <c r="BJ88" s="335"/>
      <c r="BK88" s="335"/>
      <c r="BL88" s="335"/>
      <c r="BM88" s="335"/>
      <c r="BN88" s="335"/>
      <c r="BO88" s="335"/>
      <c r="BP88" s="335"/>
      <c r="BQ88" s="335"/>
      <c r="BR88" s="335"/>
      <c r="BS88" s="335"/>
      <c r="BT88" s="335"/>
      <c r="BU88" s="335"/>
      <c r="BV88" s="335"/>
      <c r="BW88" s="335"/>
      <c r="BX88" s="335"/>
      <c r="BY88" s="335"/>
      <c r="BZ88" s="335"/>
      <c r="CA88" s="335"/>
      <c r="CB88" s="335"/>
      <c r="CC88" s="335"/>
      <c r="CD88" s="335"/>
      <c r="CE88" s="335"/>
      <c r="CF88" s="335"/>
      <c r="CG88" s="335"/>
      <c r="CH88" s="335"/>
      <c r="CI88" s="335"/>
      <c r="CJ88" s="335"/>
      <c r="CK88" s="335"/>
      <c r="CL88" s="335"/>
      <c r="CM88" s="335"/>
      <c r="CN88" s="335"/>
      <c r="CO88" s="335"/>
      <c r="CP88" s="335"/>
      <c r="CQ88" s="335"/>
      <c r="CR88" s="335"/>
      <c r="CS88" s="335"/>
      <c r="CT88" s="335"/>
      <c r="CU88" s="335"/>
      <c r="CV88" s="335"/>
      <c r="CW88" s="335"/>
      <c r="CX88" s="335"/>
      <c r="CY88" s="335"/>
      <c r="CZ88" s="335"/>
      <c r="DA88" s="335"/>
      <c r="DB88" s="335"/>
      <c r="DC88" s="335"/>
      <c r="DD88" s="335"/>
      <c r="DE88" s="335"/>
      <c r="DF88" s="335"/>
      <c r="DG88" s="335"/>
      <c r="DH88" s="335"/>
      <c r="DI88" s="335"/>
      <c r="DJ88" s="335"/>
      <c r="DK88" s="335"/>
      <c r="DL88" s="335"/>
      <c r="DM88" s="335"/>
      <c r="DN88" s="335"/>
      <c r="DO88" s="335"/>
    </row>
    <row r="89" spans="1:119" ht="35.1" customHeight="1">
      <c r="A89" s="977"/>
      <c r="B89" s="977"/>
      <c r="C89" s="977"/>
      <c r="D89" s="977"/>
      <c r="E89" s="977"/>
      <c r="F89" s="977"/>
      <c r="G89" s="977"/>
      <c r="H89" s="977"/>
      <c r="I89" s="977"/>
      <c r="J89" s="977"/>
      <c r="K89" s="977"/>
      <c r="L89" s="977"/>
      <c r="M89" s="977"/>
      <c r="N89" s="977"/>
      <c r="O89" s="977"/>
      <c r="P89" s="977"/>
      <c r="Q89" s="977"/>
      <c r="R89" s="977"/>
      <c r="S89" s="977"/>
      <c r="T89" s="977"/>
      <c r="U89" s="977"/>
      <c r="V89" s="977"/>
      <c r="W89" s="977"/>
      <c r="X89" s="977"/>
      <c r="Y89" s="977"/>
      <c r="Z89" s="977"/>
      <c r="AA89" s="977"/>
      <c r="AB89" s="977"/>
      <c r="AC89" s="977"/>
      <c r="AD89" s="977"/>
      <c r="AE89" s="977"/>
      <c r="AF89" s="977"/>
      <c r="AG89" s="977"/>
      <c r="AH89" s="977"/>
      <c r="AI89" s="977"/>
      <c r="AJ89" s="977"/>
      <c r="AK89" s="977"/>
      <c r="AL89" s="977"/>
      <c r="AM89" s="977"/>
      <c r="AN89" s="977"/>
      <c r="AO89" s="977"/>
      <c r="AP89" s="977"/>
      <c r="AQ89" s="977"/>
      <c r="AR89" s="335"/>
      <c r="AS89" s="335"/>
      <c r="AT89" s="335"/>
      <c r="AU89" s="335"/>
      <c r="AV89" s="335"/>
      <c r="AW89" s="335"/>
      <c r="AX89" s="335"/>
      <c r="AY89" s="335"/>
      <c r="AZ89" s="335"/>
      <c r="BA89" s="335"/>
      <c r="BB89" s="335"/>
      <c r="BC89" s="335"/>
      <c r="BD89" s="335"/>
      <c r="BE89" s="335"/>
      <c r="BF89" s="335"/>
      <c r="BG89" s="335"/>
      <c r="BH89" s="335"/>
      <c r="BI89" s="335"/>
      <c r="BJ89" s="335"/>
      <c r="BK89" s="335"/>
      <c r="BL89" s="335"/>
      <c r="BM89" s="335"/>
      <c r="BN89" s="335"/>
      <c r="BO89" s="335"/>
      <c r="BP89" s="335"/>
      <c r="BQ89" s="335"/>
      <c r="BR89" s="335"/>
      <c r="BS89" s="335"/>
      <c r="BT89" s="335"/>
      <c r="BU89" s="335"/>
      <c r="BV89" s="335"/>
      <c r="BW89" s="335"/>
      <c r="BX89" s="335"/>
      <c r="BY89" s="335"/>
      <c r="BZ89" s="335"/>
      <c r="CA89" s="335"/>
      <c r="CB89" s="335"/>
      <c r="CC89" s="335"/>
      <c r="CD89" s="335"/>
      <c r="CE89" s="335"/>
      <c r="CF89" s="335"/>
      <c r="CG89" s="335"/>
      <c r="CH89" s="335"/>
      <c r="CI89" s="335"/>
      <c r="CJ89" s="335"/>
      <c r="CK89" s="335"/>
      <c r="CL89" s="335"/>
      <c r="CM89" s="335"/>
      <c r="CN89" s="335"/>
      <c r="CO89" s="335"/>
      <c r="CP89" s="335"/>
      <c r="CQ89" s="335"/>
      <c r="CR89" s="335"/>
      <c r="CS89" s="335"/>
      <c r="CT89" s="335"/>
      <c r="CU89" s="335"/>
      <c r="CV89" s="335"/>
      <c r="CW89" s="335"/>
      <c r="CX89" s="335"/>
      <c r="CY89" s="335"/>
      <c r="CZ89" s="335"/>
      <c r="DA89" s="335"/>
      <c r="DB89" s="335"/>
      <c r="DC89" s="335"/>
      <c r="DD89" s="335"/>
      <c r="DE89" s="335"/>
      <c r="DF89" s="335"/>
      <c r="DG89" s="335"/>
      <c r="DH89" s="335"/>
      <c r="DI89" s="335"/>
      <c r="DJ89" s="335"/>
      <c r="DK89" s="335"/>
      <c r="DL89" s="335"/>
      <c r="DM89" s="335"/>
      <c r="DN89" s="335"/>
      <c r="DO89" s="335"/>
    </row>
    <row r="90" spans="1:119" ht="35.1" customHeight="1">
      <c r="A90" s="977"/>
      <c r="B90" s="977"/>
      <c r="C90" s="977"/>
      <c r="D90" s="977"/>
      <c r="E90" s="977"/>
      <c r="F90" s="977"/>
      <c r="G90" s="977"/>
      <c r="H90" s="977"/>
      <c r="I90" s="977"/>
      <c r="J90" s="977"/>
      <c r="K90" s="977"/>
      <c r="L90" s="977"/>
      <c r="M90" s="977"/>
      <c r="N90" s="977"/>
      <c r="O90" s="977"/>
      <c r="P90" s="977"/>
      <c r="Q90" s="977"/>
      <c r="R90" s="977"/>
      <c r="S90" s="977"/>
      <c r="T90" s="977"/>
      <c r="U90" s="977"/>
      <c r="V90" s="977"/>
      <c r="W90" s="977"/>
      <c r="X90" s="977"/>
      <c r="Y90" s="977"/>
      <c r="Z90" s="977"/>
      <c r="AA90" s="977"/>
      <c r="AB90" s="977"/>
      <c r="AC90" s="977"/>
      <c r="AD90" s="977"/>
      <c r="AE90" s="977"/>
      <c r="AF90" s="977"/>
      <c r="AG90" s="977"/>
      <c r="AH90" s="977"/>
      <c r="AI90" s="977"/>
      <c r="AJ90" s="977"/>
      <c r="AK90" s="977"/>
      <c r="AL90" s="977"/>
      <c r="AM90" s="977"/>
      <c r="AN90" s="977"/>
      <c r="AO90" s="977"/>
      <c r="AP90" s="977"/>
      <c r="AQ90" s="977"/>
      <c r="AR90" s="335"/>
      <c r="AS90" s="335"/>
      <c r="AT90" s="335"/>
      <c r="AU90" s="335"/>
      <c r="AV90" s="335"/>
      <c r="AW90" s="335"/>
      <c r="AX90" s="335"/>
      <c r="AY90" s="335"/>
      <c r="AZ90" s="335"/>
      <c r="BA90" s="335"/>
      <c r="BB90" s="335"/>
      <c r="BC90" s="335"/>
      <c r="BD90" s="335"/>
      <c r="BE90" s="335"/>
      <c r="BF90" s="335"/>
      <c r="BG90" s="335"/>
      <c r="BH90" s="335"/>
      <c r="BI90" s="335"/>
      <c r="BJ90" s="335"/>
      <c r="BK90" s="335"/>
      <c r="BL90" s="335"/>
      <c r="BM90" s="335"/>
      <c r="BN90" s="335"/>
      <c r="BO90" s="335"/>
      <c r="BP90" s="335"/>
      <c r="BQ90" s="335"/>
      <c r="BR90" s="335"/>
      <c r="BS90" s="335"/>
      <c r="BT90" s="335"/>
      <c r="BU90" s="335"/>
      <c r="BV90" s="335"/>
      <c r="BW90" s="335"/>
      <c r="BX90" s="335"/>
      <c r="BY90" s="335"/>
      <c r="BZ90" s="335"/>
      <c r="CA90" s="335"/>
      <c r="CB90" s="335"/>
      <c r="CC90" s="335"/>
      <c r="CD90" s="335"/>
      <c r="CE90" s="335"/>
      <c r="CF90" s="335"/>
      <c r="CG90" s="335"/>
      <c r="CH90" s="335"/>
      <c r="CI90" s="335"/>
      <c r="CJ90" s="335"/>
      <c r="CK90" s="335"/>
      <c r="CL90" s="335"/>
      <c r="CM90" s="335"/>
      <c r="CN90" s="335"/>
      <c r="CO90" s="335"/>
      <c r="CP90" s="335"/>
      <c r="CQ90" s="335"/>
      <c r="CR90" s="335"/>
      <c r="CS90" s="335"/>
      <c r="CT90" s="335"/>
      <c r="CU90" s="335"/>
      <c r="CV90" s="335"/>
      <c r="CW90" s="335"/>
      <c r="CX90" s="335"/>
      <c r="CY90" s="335"/>
      <c r="CZ90" s="335"/>
      <c r="DA90" s="335"/>
      <c r="DB90" s="335"/>
      <c r="DC90" s="335"/>
      <c r="DD90" s="335"/>
      <c r="DE90" s="335"/>
      <c r="DF90" s="335"/>
      <c r="DG90" s="335"/>
      <c r="DH90" s="335"/>
      <c r="DI90" s="335"/>
      <c r="DJ90" s="335"/>
      <c r="DK90" s="335"/>
      <c r="DL90" s="335"/>
      <c r="DM90" s="335"/>
      <c r="DN90" s="335"/>
      <c r="DO90" s="335"/>
    </row>
    <row r="91" spans="1:119" ht="35.1" customHeight="1">
      <c r="A91" s="977"/>
      <c r="B91" s="977"/>
      <c r="C91" s="977"/>
      <c r="D91" s="977"/>
      <c r="E91" s="977"/>
      <c r="F91" s="977"/>
      <c r="G91" s="977"/>
      <c r="H91" s="977"/>
      <c r="I91" s="977"/>
      <c r="J91" s="977"/>
      <c r="K91" s="977"/>
      <c r="L91" s="977"/>
      <c r="M91" s="977"/>
      <c r="N91" s="977"/>
      <c r="O91" s="977"/>
      <c r="P91" s="977"/>
      <c r="Q91" s="977"/>
      <c r="R91" s="977"/>
      <c r="S91" s="977"/>
      <c r="T91" s="977"/>
      <c r="U91" s="977"/>
      <c r="V91" s="977"/>
      <c r="W91" s="977"/>
      <c r="X91" s="977"/>
      <c r="Y91" s="977"/>
      <c r="Z91" s="977"/>
      <c r="AA91" s="977"/>
      <c r="AB91" s="977"/>
      <c r="AC91" s="977"/>
      <c r="AD91" s="977"/>
      <c r="AE91" s="977"/>
      <c r="AF91" s="977"/>
      <c r="AG91" s="977"/>
      <c r="AH91" s="977"/>
      <c r="AI91" s="977"/>
      <c r="AJ91" s="977"/>
      <c r="AK91" s="977"/>
      <c r="AL91" s="977"/>
      <c r="AM91" s="977"/>
      <c r="AN91" s="977"/>
      <c r="AO91" s="977"/>
      <c r="AP91" s="977"/>
      <c r="AQ91" s="977"/>
      <c r="AR91" s="335"/>
      <c r="AS91" s="335"/>
      <c r="AT91" s="335"/>
      <c r="AU91" s="335"/>
      <c r="AV91" s="335"/>
      <c r="AW91" s="335"/>
      <c r="AX91" s="335"/>
      <c r="AY91" s="335"/>
      <c r="AZ91" s="335"/>
      <c r="BA91" s="335"/>
      <c r="BB91" s="335"/>
      <c r="BC91" s="335"/>
      <c r="BD91" s="335"/>
      <c r="BE91" s="335"/>
      <c r="BF91" s="335"/>
      <c r="BG91" s="335"/>
      <c r="BH91" s="335"/>
      <c r="BI91" s="335"/>
      <c r="BJ91" s="335"/>
      <c r="BK91" s="335"/>
      <c r="BL91" s="335"/>
      <c r="BM91" s="335"/>
      <c r="BN91" s="335"/>
      <c r="BO91" s="335"/>
      <c r="BP91" s="335"/>
      <c r="BQ91" s="335"/>
      <c r="BR91" s="335"/>
      <c r="BS91" s="335"/>
      <c r="BT91" s="335"/>
      <c r="BU91" s="335"/>
      <c r="BV91" s="335"/>
      <c r="BW91" s="335"/>
      <c r="BX91" s="335"/>
      <c r="BY91" s="335"/>
      <c r="BZ91" s="335"/>
      <c r="CA91" s="335"/>
      <c r="CB91" s="335"/>
      <c r="CC91" s="335"/>
      <c r="CD91" s="335"/>
      <c r="CE91" s="335"/>
      <c r="CF91" s="335"/>
      <c r="CG91" s="335"/>
      <c r="CH91" s="335"/>
      <c r="CI91" s="335"/>
      <c r="CJ91" s="335"/>
      <c r="CK91" s="335"/>
      <c r="CL91" s="335"/>
      <c r="CM91" s="335"/>
      <c r="CN91" s="335"/>
      <c r="CO91" s="335"/>
      <c r="CP91" s="335"/>
      <c r="CQ91" s="335"/>
      <c r="CR91" s="335"/>
      <c r="CS91" s="335"/>
      <c r="CT91" s="335"/>
      <c r="CU91" s="335"/>
      <c r="CV91" s="335"/>
      <c r="CW91" s="335"/>
      <c r="CX91" s="335"/>
      <c r="CY91" s="335"/>
      <c r="CZ91" s="335"/>
      <c r="DA91" s="335"/>
      <c r="DB91" s="335"/>
      <c r="DC91" s="335"/>
      <c r="DD91" s="335"/>
      <c r="DE91" s="335"/>
      <c r="DF91" s="335"/>
      <c r="DG91" s="335"/>
      <c r="DH91" s="335"/>
      <c r="DI91" s="335"/>
      <c r="DJ91" s="335"/>
      <c r="DK91" s="335"/>
      <c r="DL91" s="335"/>
      <c r="DM91" s="335"/>
      <c r="DN91" s="335"/>
      <c r="DO91" s="335"/>
    </row>
    <row r="92" spans="1:119" ht="35.1" customHeight="1">
      <c r="A92" s="977"/>
      <c r="B92" s="977"/>
      <c r="C92" s="977"/>
      <c r="D92" s="977"/>
      <c r="E92" s="977"/>
      <c r="F92" s="977"/>
      <c r="G92" s="977"/>
      <c r="H92" s="977"/>
      <c r="I92" s="977"/>
      <c r="J92" s="977"/>
      <c r="K92" s="977"/>
      <c r="L92" s="977"/>
      <c r="M92" s="977"/>
      <c r="N92" s="977"/>
      <c r="O92" s="977"/>
      <c r="P92" s="977"/>
      <c r="Q92" s="977"/>
      <c r="R92" s="977"/>
      <c r="S92" s="977"/>
      <c r="T92" s="977"/>
      <c r="U92" s="977"/>
      <c r="V92" s="977"/>
      <c r="W92" s="977"/>
      <c r="X92" s="977"/>
      <c r="Y92" s="977"/>
      <c r="Z92" s="977"/>
      <c r="AA92" s="977"/>
      <c r="AB92" s="977"/>
      <c r="AC92" s="977"/>
      <c r="AD92" s="977"/>
      <c r="AE92" s="977"/>
      <c r="AF92" s="977"/>
      <c r="AG92" s="977"/>
      <c r="AH92" s="977"/>
      <c r="AI92" s="977"/>
      <c r="AJ92" s="977"/>
      <c r="AK92" s="977"/>
      <c r="AL92" s="977"/>
      <c r="AM92" s="977"/>
      <c r="AN92" s="977"/>
      <c r="AO92" s="977"/>
      <c r="AP92" s="977"/>
      <c r="AQ92" s="977"/>
      <c r="AR92" s="335"/>
      <c r="AS92" s="335"/>
      <c r="AT92" s="335"/>
      <c r="AU92" s="335"/>
      <c r="AV92" s="335"/>
      <c r="AW92" s="335"/>
      <c r="AX92" s="335"/>
      <c r="AY92" s="335"/>
      <c r="AZ92" s="335"/>
      <c r="BA92" s="335"/>
      <c r="BB92" s="335"/>
      <c r="BC92" s="335"/>
      <c r="BD92" s="335"/>
      <c r="BE92" s="335"/>
      <c r="BF92" s="335"/>
      <c r="BG92" s="335"/>
      <c r="BH92" s="335"/>
      <c r="BI92" s="335"/>
      <c r="BJ92" s="335"/>
      <c r="BK92" s="335"/>
      <c r="BL92" s="335"/>
      <c r="BM92" s="335"/>
      <c r="BN92" s="335"/>
      <c r="BO92" s="335"/>
      <c r="BP92" s="335"/>
      <c r="BQ92" s="335"/>
      <c r="BR92" s="335"/>
      <c r="BS92" s="335"/>
      <c r="BT92" s="335"/>
      <c r="BU92" s="335"/>
      <c r="BV92" s="335"/>
      <c r="BW92" s="335"/>
      <c r="BX92" s="335"/>
      <c r="BY92" s="335"/>
      <c r="BZ92" s="335"/>
      <c r="CA92" s="335"/>
      <c r="CB92" s="335"/>
      <c r="CC92" s="335"/>
      <c r="CD92" s="335"/>
      <c r="CE92" s="335"/>
      <c r="CF92" s="335"/>
      <c r="CG92" s="335"/>
      <c r="CH92" s="335"/>
      <c r="CI92" s="335"/>
      <c r="CJ92" s="335"/>
      <c r="CK92" s="335"/>
      <c r="CL92" s="335"/>
      <c r="CM92" s="335"/>
      <c r="CN92" s="335"/>
      <c r="CO92" s="335"/>
      <c r="CP92" s="335"/>
      <c r="CQ92" s="335"/>
      <c r="CR92" s="335"/>
      <c r="CS92" s="335"/>
      <c r="CT92" s="335"/>
      <c r="CU92" s="335"/>
      <c r="CV92" s="335"/>
      <c r="CW92" s="335"/>
      <c r="CX92" s="335"/>
      <c r="CY92" s="335"/>
      <c r="CZ92" s="335"/>
      <c r="DA92" s="335"/>
      <c r="DB92" s="335"/>
      <c r="DC92" s="335"/>
      <c r="DD92" s="335"/>
      <c r="DE92" s="335"/>
      <c r="DF92" s="335"/>
      <c r="DG92" s="335"/>
      <c r="DH92" s="335"/>
      <c r="DI92" s="335"/>
      <c r="DJ92" s="335"/>
      <c r="DK92" s="335"/>
      <c r="DL92" s="335"/>
      <c r="DM92" s="335"/>
      <c r="DN92" s="335"/>
      <c r="DO92" s="335"/>
    </row>
    <row r="93" spans="1:119" ht="35.1" customHeight="1">
      <c r="A93" s="977"/>
      <c r="B93" s="977"/>
      <c r="C93" s="977"/>
      <c r="D93" s="977"/>
      <c r="E93" s="977"/>
      <c r="F93" s="977"/>
      <c r="G93" s="977"/>
      <c r="H93" s="977"/>
      <c r="I93" s="977"/>
      <c r="J93" s="977"/>
      <c r="K93" s="977"/>
      <c r="L93" s="977"/>
      <c r="M93" s="977"/>
      <c r="N93" s="977"/>
      <c r="O93" s="977"/>
      <c r="P93" s="977"/>
      <c r="Q93" s="977"/>
      <c r="R93" s="977"/>
      <c r="S93" s="977"/>
      <c r="T93" s="977"/>
      <c r="U93" s="977"/>
      <c r="V93" s="977"/>
      <c r="W93" s="977"/>
      <c r="X93" s="977"/>
      <c r="Y93" s="977"/>
      <c r="Z93" s="977"/>
      <c r="AA93" s="977"/>
      <c r="AB93" s="977"/>
      <c r="AC93" s="977"/>
      <c r="AD93" s="977"/>
      <c r="AE93" s="977"/>
      <c r="AF93" s="977"/>
      <c r="AG93" s="977"/>
      <c r="AH93" s="977"/>
      <c r="AI93" s="977"/>
      <c r="AJ93" s="977"/>
      <c r="AK93" s="977"/>
      <c r="AL93" s="977"/>
      <c r="AM93" s="977"/>
      <c r="AN93" s="977"/>
      <c r="AO93" s="977"/>
      <c r="AP93" s="977"/>
      <c r="AQ93" s="977"/>
      <c r="AR93" s="335"/>
      <c r="AS93" s="335"/>
      <c r="AT93" s="335"/>
      <c r="AU93" s="335"/>
      <c r="AV93" s="335"/>
      <c r="AW93" s="335"/>
      <c r="AX93" s="335"/>
      <c r="AY93" s="335"/>
      <c r="AZ93" s="335"/>
      <c r="BA93" s="335"/>
      <c r="BB93" s="335"/>
      <c r="BC93" s="335"/>
      <c r="BD93" s="335"/>
      <c r="BE93" s="335"/>
      <c r="BF93" s="335"/>
      <c r="BG93" s="335"/>
      <c r="BH93" s="335"/>
      <c r="BI93" s="335"/>
      <c r="BJ93" s="335"/>
      <c r="BK93" s="335"/>
      <c r="BL93" s="335"/>
      <c r="BM93" s="335"/>
      <c r="BN93" s="335"/>
      <c r="BO93" s="335"/>
      <c r="BP93" s="335"/>
      <c r="BQ93" s="335"/>
      <c r="BR93" s="335"/>
      <c r="BS93" s="335"/>
      <c r="BT93" s="335"/>
      <c r="BU93" s="335"/>
      <c r="BV93" s="335"/>
      <c r="BW93" s="335"/>
      <c r="BX93" s="335"/>
      <c r="BY93" s="335"/>
      <c r="BZ93" s="335"/>
      <c r="CA93" s="335"/>
      <c r="CB93" s="335"/>
      <c r="CC93" s="335"/>
      <c r="CD93" s="335"/>
      <c r="CE93" s="335"/>
      <c r="CF93" s="335"/>
      <c r="CG93" s="335"/>
      <c r="CH93" s="335"/>
      <c r="CI93" s="335"/>
      <c r="CJ93" s="335"/>
      <c r="CK93" s="335"/>
      <c r="CL93" s="335"/>
      <c r="CM93" s="335"/>
      <c r="CN93" s="335"/>
      <c r="CO93" s="335"/>
      <c r="CP93" s="335"/>
      <c r="CQ93" s="335"/>
      <c r="CR93" s="335"/>
      <c r="CS93" s="335"/>
      <c r="CT93" s="335"/>
      <c r="CU93" s="335"/>
      <c r="CV93" s="335"/>
      <c r="CW93" s="335"/>
      <c r="CX93" s="335"/>
      <c r="CY93" s="335"/>
      <c r="CZ93" s="335"/>
      <c r="DA93" s="335"/>
      <c r="DB93" s="335"/>
      <c r="DC93" s="335"/>
      <c r="DD93" s="335"/>
      <c r="DE93" s="335"/>
      <c r="DF93" s="335"/>
      <c r="DG93" s="335"/>
      <c r="DH93" s="335"/>
      <c r="DI93" s="335"/>
      <c r="DJ93" s="335"/>
      <c r="DK93" s="335"/>
      <c r="DL93" s="335"/>
      <c r="DM93" s="335"/>
      <c r="DN93" s="335"/>
      <c r="DO93" s="335"/>
    </row>
    <row r="94" spans="1:119" ht="35.1" customHeight="1">
      <c r="A94" s="977"/>
      <c r="B94" s="977"/>
      <c r="C94" s="977"/>
      <c r="D94" s="977"/>
      <c r="E94" s="977"/>
      <c r="F94" s="977"/>
      <c r="G94" s="977"/>
      <c r="H94" s="977"/>
      <c r="I94" s="977"/>
      <c r="J94" s="977"/>
      <c r="K94" s="977"/>
      <c r="L94" s="977"/>
      <c r="M94" s="977"/>
      <c r="N94" s="977"/>
      <c r="O94" s="977"/>
      <c r="P94" s="977"/>
      <c r="Q94" s="977"/>
      <c r="R94" s="977"/>
      <c r="S94" s="977"/>
      <c r="T94" s="977"/>
      <c r="U94" s="977"/>
      <c r="V94" s="977"/>
      <c r="W94" s="977"/>
      <c r="X94" s="977"/>
      <c r="Y94" s="977"/>
      <c r="Z94" s="977"/>
      <c r="AA94" s="977"/>
      <c r="AB94" s="977"/>
      <c r="AC94" s="977"/>
      <c r="AD94" s="977"/>
      <c r="AE94" s="977"/>
      <c r="AF94" s="977"/>
      <c r="AG94" s="977"/>
      <c r="AH94" s="977"/>
      <c r="AI94" s="977"/>
      <c r="AJ94" s="977"/>
      <c r="AK94" s="977"/>
      <c r="AL94" s="977"/>
      <c r="AM94" s="977"/>
      <c r="AN94" s="977"/>
      <c r="AO94" s="977"/>
      <c r="AP94" s="977"/>
      <c r="AQ94" s="977"/>
      <c r="AR94" s="335"/>
      <c r="AS94" s="335"/>
      <c r="AT94" s="335"/>
      <c r="AU94" s="335"/>
      <c r="AV94" s="335"/>
      <c r="AW94" s="335"/>
      <c r="AX94" s="335"/>
      <c r="AY94" s="335"/>
      <c r="AZ94" s="335"/>
      <c r="BA94" s="335"/>
      <c r="BB94" s="335"/>
      <c r="BC94" s="335"/>
      <c r="BD94" s="335"/>
      <c r="BE94" s="335"/>
      <c r="BF94" s="335"/>
      <c r="BG94" s="335"/>
      <c r="BH94" s="335"/>
      <c r="BI94" s="335"/>
      <c r="BJ94" s="335"/>
      <c r="BK94" s="335"/>
      <c r="BL94" s="335"/>
      <c r="BM94" s="335"/>
      <c r="BN94" s="335"/>
      <c r="BO94" s="335"/>
      <c r="BP94" s="335"/>
      <c r="BQ94" s="335"/>
      <c r="BR94" s="335"/>
      <c r="BS94" s="335"/>
      <c r="BT94" s="335"/>
      <c r="BU94" s="335"/>
      <c r="BV94" s="335"/>
      <c r="BW94" s="335"/>
      <c r="BX94" s="335"/>
      <c r="BY94" s="335"/>
      <c r="BZ94" s="335"/>
      <c r="CA94" s="335"/>
      <c r="CB94" s="335"/>
      <c r="CC94" s="335"/>
      <c r="CD94" s="335"/>
      <c r="CE94" s="335"/>
      <c r="CF94" s="335"/>
      <c r="CG94" s="335"/>
      <c r="CH94" s="335"/>
      <c r="CI94" s="335"/>
      <c r="CJ94" s="335"/>
      <c r="CK94" s="335"/>
      <c r="CL94" s="335"/>
      <c r="CM94" s="335"/>
      <c r="CN94" s="335"/>
      <c r="CO94" s="335"/>
      <c r="CP94" s="335"/>
      <c r="CQ94" s="335"/>
      <c r="CR94" s="335"/>
      <c r="CS94" s="335"/>
      <c r="CT94" s="335"/>
      <c r="CU94" s="335"/>
      <c r="CV94" s="335"/>
      <c r="CW94" s="335"/>
      <c r="CX94" s="335"/>
      <c r="CY94" s="335"/>
      <c r="CZ94" s="335"/>
      <c r="DA94" s="335"/>
      <c r="DB94" s="335"/>
      <c r="DC94" s="335"/>
      <c r="DD94" s="335"/>
      <c r="DE94" s="335"/>
      <c r="DF94" s="335"/>
      <c r="DG94" s="335"/>
      <c r="DH94" s="335"/>
      <c r="DI94" s="335"/>
      <c r="DJ94" s="335"/>
      <c r="DK94" s="335"/>
      <c r="DL94" s="335"/>
      <c r="DM94" s="335"/>
      <c r="DN94" s="335"/>
      <c r="DO94" s="335"/>
    </row>
    <row r="95" spans="1:119" ht="35.1" customHeight="1">
      <c r="A95" s="977"/>
      <c r="B95" s="977"/>
      <c r="C95" s="977"/>
      <c r="D95" s="977"/>
      <c r="E95" s="977"/>
      <c r="F95" s="977"/>
      <c r="G95" s="977"/>
      <c r="H95" s="977"/>
      <c r="I95" s="977"/>
      <c r="J95" s="977"/>
      <c r="K95" s="977"/>
      <c r="L95" s="977"/>
      <c r="M95" s="977"/>
      <c r="N95" s="977"/>
      <c r="O95" s="977"/>
      <c r="P95" s="977"/>
      <c r="Q95" s="977"/>
      <c r="R95" s="977"/>
      <c r="S95" s="977"/>
      <c r="T95" s="977"/>
      <c r="U95" s="977"/>
      <c r="V95" s="977"/>
      <c r="W95" s="977"/>
      <c r="X95" s="977"/>
      <c r="Y95" s="977"/>
      <c r="Z95" s="977"/>
      <c r="AA95" s="977"/>
      <c r="AB95" s="977"/>
      <c r="AC95" s="977"/>
      <c r="AD95" s="977"/>
      <c r="AE95" s="977"/>
      <c r="AF95" s="977"/>
      <c r="AG95" s="977"/>
      <c r="AH95" s="977"/>
      <c r="AI95" s="977"/>
      <c r="AJ95" s="977"/>
      <c r="AK95" s="977"/>
      <c r="AL95" s="977"/>
      <c r="AM95" s="977"/>
      <c r="AN95" s="977"/>
      <c r="AO95" s="977"/>
      <c r="AP95" s="977"/>
      <c r="AQ95" s="977"/>
      <c r="AR95" s="335"/>
      <c r="AS95" s="335"/>
      <c r="AT95" s="335"/>
      <c r="AU95" s="335"/>
      <c r="AV95" s="335"/>
      <c r="AW95" s="335"/>
      <c r="AX95" s="335"/>
      <c r="AY95" s="335"/>
      <c r="AZ95" s="335"/>
      <c r="BA95" s="335"/>
      <c r="BB95" s="335"/>
      <c r="BC95" s="335"/>
      <c r="BD95" s="335"/>
      <c r="BE95" s="335"/>
      <c r="BF95" s="335"/>
      <c r="BG95" s="335"/>
      <c r="BH95" s="335"/>
      <c r="BI95" s="335"/>
      <c r="BJ95" s="335"/>
      <c r="BK95" s="335"/>
      <c r="BL95" s="335"/>
      <c r="BM95" s="335"/>
      <c r="BN95" s="335"/>
      <c r="BO95" s="335"/>
      <c r="BP95" s="335"/>
      <c r="BQ95" s="335"/>
      <c r="BR95" s="335"/>
      <c r="BS95" s="335"/>
      <c r="BT95" s="335"/>
      <c r="BU95" s="335"/>
      <c r="BV95" s="335"/>
      <c r="BW95" s="335"/>
      <c r="BX95" s="335"/>
      <c r="BY95" s="335"/>
      <c r="BZ95" s="335"/>
      <c r="CA95" s="335"/>
      <c r="CB95" s="335"/>
      <c r="CC95" s="335"/>
      <c r="CD95" s="335"/>
      <c r="CE95" s="335"/>
      <c r="CF95" s="335"/>
      <c r="CG95" s="335"/>
      <c r="CH95" s="335"/>
      <c r="CI95" s="335"/>
      <c r="CJ95" s="335"/>
      <c r="CK95" s="335"/>
      <c r="CL95" s="335"/>
      <c r="CM95" s="335"/>
      <c r="CN95" s="335"/>
      <c r="CO95" s="335"/>
      <c r="CP95" s="335"/>
      <c r="CQ95" s="335"/>
      <c r="CR95" s="335"/>
      <c r="CS95" s="335"/>
      <c r="CT95" s="335"/>
      <c r="CU95" s="335"/>
      <c r="CV95" s="335"/>
      <c r="CW95" s="335"/>
      <c r="CX95" s="335"/>
      <c r="CY95" s="335"/>
      <c r="CZ95" s="335"/>
      <c r="DA95" s="335"/>
      <c r="DB95" s="335"/>
      <c r="DC95" s="335"/>
      <c r="DD95" s="335"/>
      <c r="DE95" s="335"/>
      <c r="DF95" s="335"/>
      <c r="DG95" s="335"/>
      <c r="DH95" s="335"/>
      <c r="DI95" s="335"/>
      <c r="DJ95" s="335"/>
      <c r="DK95" s="335"/>
      <c r="DL95" s="335"/>
      <c r="DM95" s="335"/>
      <c r="DN95" s="335"/>
      <c r="DO95" s="335"/>
    </row>
    <row r="96" spans="1:119" ht="35.1" customHeight="1">
      <c r="A96" s="977"/>
      <c r="B96" s="977"/>
      <c r="C96" s="977"/>
      <c r="D96" s="977"/>
      <c r="E96" s="977"/>
      <c r="F96" s="977"/>
      <c r="G96" s="977"/>
      <c r="H96" s="977"/>
      <c r="I96" s="977"/>
      <c r="J96" s="977"/>
      <c r="K96" s="977"/>
      <c r="L96" s="977"/>
      <c r="M96" s="977"/>
      <c r="N96" s="977"/>
      <c r="O96" s="977"/>
      <c r="P96" s="977"/>
      <c r="Q96" s="977"/>
      <c r="R96" s="977"/>
      <c r="S96" s="977"/>
      <c r="T96" s="977"/>
      <c r="U96" s="977"/>
      <c r="V96" s="977"/>
      <c r="W96" s="977"/>
      <c r="X96" s="977"/>
      <c r="Y96" s="977"/>
      <c r="Z96" s="977"/>
      <c r="AA96" s="977"/>
      <c r="AB96" s="977"/>
      <c r="AC96" s="977"/>
      <c r="AD96" s="977"/>
      <c r="AE96" s="977"/>
      <c r="AF96" s="977"/>
      <c r="AG96" s="977"/>
      <c r="AH96" s="977"/>
      <c r="AI96" s="977"/>
      <c r="AJ96" s="977"/>
      <c r="AK96" s="977"/>
      <c r="AL96" s="977"/>
      <c r="AM96" s="977"/>
      <c r="AN96" s="977"/>
      <c r="AO96" s="977"/>
      <c r="AP96" s="977"/>
      <c r="AQ96" s="977"/>
      <c r="AR96" s="335"/>
      <c r="AS96" s="335"/>
      <c r="AT96" s="335"/>
      <c r="AU96" s="335"/>
      <c r="AV96" s="335"/>
      <c r="AW96" s="335"/>
      <c r="AX96" s="335"/>
      <c r="AY96" s="335"/>
      <c r="AZ96" s="335"/>
      <c r="BA96" s="335"/>
      <c r="BB96" s="335"/>
      <c r="BC96" s="335"/>
      <c r="BD96" s="335"/>
      <c r="BE96" s="335"/>
      <c r="BF96" s="335"/>
      <c r="BG96" s="335"/>
      <c r="BH96" s="335"/>
      <c r="BI96" s="335"/>
      <c r="BJ96" s="335"/>
      <c r="BK96" s="335"/>
      <c r="BL96" s="335"/>
      <c r="BM96" s="335"/>
      <c r="BN96" s="335"/>
      <c r="BO96" s="335"/>
      <c r="BP96" s="335"/>
      <c r="BQ96" s="335"/>
      <c r="BR96" s="335"/>
      <c r="BS96" s="335"/>
      <c r="BT96" s="335"/>
      <c r="BU96" s="335"/>
      <c r="BV96" s="335"/>
      <c r="BW96" s="335"/>
      <c r="BX96" s="335"/>
      <c r="BY96" s="335"/>
      <c r="BZ96" s="335"/>
      <c r="CA96" s="335"/>
      <c r="CB96" s="335"/>
      <c r="CC96" s="335"/>
      <c r="CD96" s="335"/>
      <c r="CE96" s="335"/>
      <c r="CF96" s="335"/>
      <c r="CG96" s="335"/>
      <c r="CH96" s="335"/>
      <c r="CI96" s="335"/>
      <c r="CJ96" s="335"/>
      <c r="CK96" s="335"/>
      <c r="CL96" s="335"/>
      <c r="CM96" s="335"/>
      <c r="CN96" s="335"/>
      <c r="CO96" s="335"/>
      <c r="CP96" s="335"/>
      <c r="CQ96" s="335"/>
      <c r="CR96" s="335"/>
      <c r="CS96" s="335"/>
      <c r="CT96" s="335"/>
      <c r="CU96" s="335"/>
      <c r="CV96" s="335"/>
      <c r="CW96" s="335"/>
      <c r="CX96" s="335"/>
      <c r="CY96" s="335"/>
      <c r="CZ96" s="335"/>
      <c r="DA96" s="335"/>
      <c r="DB96" s="335"/>
      <c r="DC96" s="335"/>
      <c r="DD96" s="335"/>
      <c r="DE96" s="335"/>
      <c r="DF96" s="335"/>
      <c r="DG96" s="335"/>
      <c r="DH96" s="335"/>
      <c r="DI96" s="335"/>
      <c r="DJ96" s="335"/>
      <c r="DK96" s="335"/>
      <c r="DL96" s="335"/>
      <c r="DM96" s="335"/>
      <c r="DN96" s="335"/>
      <c r="DO96" s="335"/>
    </row>
    <row r="97" spans="1:119" ht="35.1" customHeight="1">
      <c r="A97" s="977"/>
      <c r="B97" s="977"/>
      <c r="C97" s="977"/>
      <c r="D97" s="977"/>
      <c r="E97" s="977"/>
      <c r="F97" s="977"/>
      <c r="G97" s="977"/>
      <c r="H97" s="977"/>
      <c r="I97" s="977"/>
      <c r="J97" s="977"/>
      <c r="K97" s="977"/>
      <c r="L97" s="977"/>
      <c r="M97" s="977"/>
      <c r="N97" s="977"/>
      <c r="O97" s="977"/>
      <c r="P97" s="977"/>
      <c r="Q97" s="977"/>
      <c r="R97" s="977"/>
      <c r="S97" s="977"/>
      <c r="T97" s="977"/>
      <c r="U97" s="977"/>
      <c r="V97" s="977"/>
      <c r="W97" s="977"/>
      <c r="X97" s="977"/>
      <c r="Y97" s="977"/>
      <c r="Z97" s="977"/>
      <c r="AA97" s="977"/>
      <c r="AB97" s="977"/>
      <c r="AC97" s="977"/>
      <c r="AD97" s="977"/>
      <c r="AE97" s="977"/>
      <c r="AF97" s="977"/>
      <c r="AG97" s="977"/>
      <c r="AH97" s="977"/>
      <c r="AI97" s="977"/>
      <c r="AJ97" s="977"/>
      <c r="AK97" s="977"/>
      <c r="AL97" s="977"/>
      <c r="AM97" s="977"/>
      <c r="AN97" s="977"/>
      <c r="AO97" s="977"/>
      <c r="AP97" s="977"/>
      <c r="AQ97" s="977"/>
      <c r="AR97" s="335"/>
      <c r="AS97" s="335"/>
      <c r="AT97" s="335"/>
      <c r="AU97" s="335"/>
      <c r="AV97" s="335"/>
      <c r="AW97" s="335"/>
      <c r="AX97" s="335"/>
      <c r="AY97" s="335"/>
      <c r="AZ97" s="335"/>
      <c r="BA97" s="335"/>
      <c r="BB97" s="335"/>
      <c r="BC97" s="335"/>
      <c r="BD97" s="335"/>
      <c r="BE97" s="335"/>
      <c r="BF97" s="335"/>
      <c r="BG97" s="335"/>
      <c r="BH97" s="335"/>
      <c r="BI97" s="335"/>
      <c r="BJ97" s="335"/>
      <c r="BK97" s="335"/>
      <c r="BL97" s="335"/>
      <c r="BM97" s="335"/>
      <c r="BN97" s="335"/>
      <c r="BO97" s="335"/>
      <c r="BP97" s="335"/>
      <c r="BQ97" s="335"/>
      <c r="BR97" s="335"/>
      <c r="BS97" s="335"/>
      <c r="BT97" s="335"/>
      <c r="BU97" s="335"/>
      <c r="BV97" s="335"/>
      <c r="BW97" s="335"/>
      <c r="BX97" s="335"/>
      <c r="BY97" s="335"/>
      <c r="BZ97" s="335"/>
      <c r="CA97" s="335"/>
      <c r="CB97" s="335"/>
      <c r="CC97" s="335"/>
      <c r="CD97" s="335"/>
      <c r="CE97" s="335"/>
      <c r="CF97" s="335"/>
      <c r="CG97" s="335"/>
      <c r="CH97" s="335"/>
      <c r="CI97" s="335"/>
      <c r="CJ97" s="335"/>
      <c r="CK97" s="335"/>
      <c r="CL97" s="335"/>
      <c r="CM97" s="335"/>
      <c r="CN97" s="335"/>
      <c r="CO97" s="335"/>
      <c r="CP97" s="335"/>
      <c r="CQ97" s="335"/>
      <c r="CR97" s="335"/>
      <c r="CS97" s="335"/>
      <c r="CT97" s="335"/>
      <c r="CU97" s="335"/>
      <c r="CV97" s="335"/>
      <c r="CW97" s="335"/>
      <c r="CX97" s="335"/>
      <c r="CY97" s="335"/>
      <c r="CZ97" s="335"/>
      <c r="DA97" s="335"/>
      <c r="DB97" s="335"/>
      <c r="DC97" s="335"/>
      <c r="DD97" s="335"/>
      <c r="DE97" s="335"/>
      <c r="DF97" s="335"/>
      <c r="DG97" s="335"/>
      <c r="DH97" s="335"/>
      <c r="DI97" s="335"/>
      <c r="DJ97" s="335"/>
      <c r="DK97" s="335"/>
      <c r="DL97" s="335"/>
      <c r="DM97" s="335"/>
      <c r="DN97" s="335"/>
      <c r="DO97" s="335"/>
    </row>
    <row r="98" spans="1:119" ht="35.1" customHeight="1">
      <c r="A98" s="977"/>
      <c r="B98" s="977"/>
      <c r="C98" s="977"/>
      <c r="D98" s="977"/>
      <c r="E98" s="977"/>
      <c r="F98" s="977"/>
      <c r="G98" s="977"/>
      <c r="H98" s="977"/>
      <c r="I98" s="977"/>
      <c r="J98" s="977"/>
      <c r="K98" s="977"/>
      <c r="L98" s="977"/>
      <c r="M98" s="977"/>
      <c r="N98" s="977"/>
      <c r="O98" s="977"/>
      <c r="P98" s="977"/>
      <c r="Q98" s="977"/>
      <c r="R98" s="977"/>
      <c r="S98" s="977"/>
      <c r="T98" s="977"/>
      <c r="U98" s="977"/>
      <c r="V98" s="977"/>
      <c r="W98" s="977"/>
      <c r="X98" s="977"/>
      <c r="Y98" s="977"/>
      <c r="Z98" s="977"/>
      <c r="AA98" s="977"/>
      <c r="AB98" s="977"/>
      <c r="AC98" s="977"/>
      <c r="AD98" s="977"/>
      <c r="AE98" s="977"/>
      <c r="AF98" s="977"/>
      <c r="AG98" s="977"/>
      <c r="AH98" s="977"/>
      <c r="AI98" s="977"/>
      <c r="AJ98" s="977"/>
      <c r="AK98" s="977"/>
      <c r="AL98" s="977"/>
      <c r="AM98" s="977"/>
      <c r="AN98" s="977"/>
      <c r="AO98" s="977"/>
      <c r="AP98" s="977"/>
      <c r="AQ98" s="977"/>
      <c r="AR98" s="335"/>
      <c r="AS98" s="335"/>
      <c r="AT98" s="335"/>
      <c r="AU98" s="335"/>
      <c r="AV98" s="335"/>
      <c r="AW98" s="335"/>
      <c r="AX98" s="335"/>
      <c r="AY98" s="335"/>
      <c r="AZ98" s="335"/>
      <c r="BA98" s="335"/>
      <c r="BB98" s="335"/>
      <c r="BC98" s="335"/>
      <c r="BD98" s="335"/>
      <c r="BE98" s="335"/>
      <c r="BF98" s="335"/>
      <c r="BG98" s="335"/>
      <c r="BH98" s="335"/>
      <c r="BI98" s="335"/>
      <c r="BJ98" s="335"/>
      <c r="BK98" s="335"/>
      <c r="BL98" s="335"/>
      <c r="BM98" s="335"/>
      <c r="BN98" s="335"/>
      <c r="BO98" s="335"/>
      <c r="BP98" s="335"/>
      <c r="BQ98" s="335"/>
      <c r="BR98" s="335"/>
      <c r="BS98" s="335"/>
      <c r="BT98" s="335"/>
      <c r="BU98" s="335"/>
      <c r="BV98" s="335"/>
      <c r="BW98" s="335"/>
      <c r="BX98" s="335"/>
      <c r="BY98" s="335"/>
      <c r="BZ98" s="335"/>
      <c r="CA98" s="335"/>
      <c r="CB98" s="335"/>
      <c r="CC98" s="335"/>
      <c r="CD98" s="335"/>
      <c r="CE98" s="335"/>
      <c r="CF98" s="335"/>
      <c r="CG98" s="335"/>
      <c r="CH98" s="335"/>
      <c r="CI98" s="335"/>
      <c r="CJ98" s="335"/>
      <c r="CK98" s="335"/>
      <c r="CL98" s="335"/>
      <c r="CM98" s="335"/>
      <c r="CN98" s="335"/>
      <c r="CO98" s="335"/>
      <c r="CP98" s="335"/>
      <c r="CQ98" s="335"/>
      <c r="CR98" s="335"/>
      <c r="CS98" s="335"/>
      <c r="CT98" s="335"/>
      <c r="CU98" s="335"/>
      <c r="CV98" s="335"/>
      <c r="CW98" s="335"/>
      <c r="CX98" s="335"/>
      <c r="CY98" s="335"/>
      <c r="CZ98" s="335"/>
      <c r="DA98" s="335"/>
      <c r="DB98" s="335"/>
      <c r="DC98" s="335"/>
      <c r="DD98" s="335"/>
      <c r="DE98" s="335"/>
      <c r="DF98" s="335"/>
      <c r="DG98" s="335"/>
      <c r="DH98" s="335"/>
      <c r="DI98" s="335"/>
      <c r="DJ98" s="335"/>
      <c r="DK98" s="335"/>
      <c r="DL98" s="335"/>
      <c r="DM98" s="335"/>
      <c r="DN98" s="335"/>
      <c r="DO98" s="335"/>
    </row>
    <row r="99" spans="1:119" ht="35.1" customHeight="1">
      <c r="A99" s="977"/>
      <c r="B99" s="977"/>
      <c r="C99" s="977"/>
      <c r="D99" s="977"/>
      <c r="E99" s="977"/>
      <c r="F99" s="977"/>
      <c r="G99" s="977"/>
      <c r="H99" s="977"/>
      <c r="I99" s="977"/>
      <c r="J99" s="977"/>
      <c r="K99" s="977"/>
      <c r="L99" s="977"/>
      <c r="M99" s="977"/>
      <c r="N99" s="977"/>
      <c r="O99" s="977"/>
      <c r="P99" s="977"/>
      <c r="Q99" s="977"/>
      <c r="R99" s="977"/>
      <c r="S99" s="977"/>
      <c r="T99" s="977"/>
      <c r="U99" s="977"/>
      <c r="V99" s="977"/>
      <c r="W99" s="977"/>
      <c r="X99" s="977"/>
      <c r="Y99" s="977"/>
      <c r="Z99" s="977"/>
      <c r="AA99" s="977"/>
      <c r="AB99" s="977"/>
      <c r="AC99" s="977"/>
      <c r="AD99" s="977"/>
      <c r="AE99" s="977"/>
      <c r="AF99" s="977"/>
      <c r="AG99" s="977"/>
      <c r="AH99" s="977"/>
      <c r="AI99" s="977"/>
      <c r="AJ99" s="977"/>
      <c r="AK99" s="977"/>
      <c r="AL99" s="977"/>
      <c r="AM99" s="977"/>
      <c r="AN99" s="977"/>
      <c r="AO99" s="977"/>
      <c r="AP99" s="977"/>
      <c r="AQ99" s="977"/>
      <c r="AR99" s="335"/>
      <c r="AS99" s="335"/>
      <c r="AT99" s="335"/>
      <c r="AU99" s="335"/>
      <c r="AV99" s="335"/>
      <c r="AW99" s="335"/>
      <c r="AX99" s="335"/>
      <c r="AY99" s="335"/>
      <c r="AZ99" s="335"/>
      <c r="BA99" s="335"/>
      <c r="BB99" s="335"/>
      <c r="BC99" s="335"/>
      <c r="BD99" s="335"/>
      <c r="BE99" s="335"/>
      <c r="BF99" s="335"/>
      <c r="BG99" s="335"/>
      <c r="BH99" s="335"/>
      <c r="BI99" s="335"/>
      <c r="BJ99" s="335"/>
      <c r="BK99" s="335"/>
      <c r="BL99" s="335"/>
      <c r="BM99" s="335"/>
      <c r="BN99" s="335"/>
      <c r="BO99" s="335"/>
      <c r="BP99" s="335"/>
      <c r="BQ99" s="335"/>
      <c r="BR99" s="335"/>
      <c r="BS99" s="335"/>
      <c r="BT99" s="335"/>
      <c r="BU99" s="335"/>
      <c r="BV99" s="335"/>
      <c r="BW99" s="335"/>
      <c r="BX99" s="335"/>
      <c r="BY99" s="335"/>
      <c r="BZ99" s="335"/>
      <c r="CA99" s="335"/>
      <c r="CB99" s="335"/>
      <c r="CC99" s="335"/>
      <c r="CD99" s="335"/>
      <c r="CE99" s="335"/>
      <c r="CF99" s="335"/>
      <c r="CG99" s="335"/>
      <c r="CH99" s="335"/>
      <c r="CI99" s="335"/>
      <c r="CJ99" s="335"/>
      <c r="CK99" s="335"/>
      <c r="CL99" s="335"/>
      <c r="CM99" s="335"/>
      <c r="CN99" s="335"/>
      <c r="CO99" s="335"/>
      <c r="CP99" s="335"/>
      <c r="CQ99" s="335"/>
      <c r="CR99" s="335"/>
      <c r="CS99" s="335"/>
      <c r="CT99" s="335"/>
      <c r="CU99" s="335"/>
      <c r="CV99" s="335"/>
      <c r="CW99" s="335"/>
      <c r="CX99" s="335"/>
      <c r="CY99" s="335"/>
      <c r="CZ99" s="335"/>
      <c r="DA99" s="335"/>
      <c r="DB99" s="335"/>
      <c r="DC99" s="335"/>
      <c r="DD99" s="335"/>
      <c r="DE99" s="335"/>
      <c r="DF99" s="335"/>
      <c r="DG99" s="335"/>
      <c r="DH99" s="335"/>
      <c r="DI99" s="335"/>
      <c r="DJ99" s="335"/>
      <c r="DK99" s="335"/>
      <c r="DL99" s="335"/>
      <c r="DM99" s="335"/>
      <c r="DN99" s="335"/>
      <c r="DO99" s="335"/>
    </row>
    <row r="100" spans="1:119" ht="35.1" customHeight="1">
      <c r="A100" s="977"/>
      <c r="B100" s="977"/>
      <c r="C100" s="977"/>
      <c r="D100" s="977"/>
      <c r="E100" s="977"/>
      <c r="F100" s="977"/>
      <c r="G100" s="977"/>
      <c r="H100" s="977"/>
      <c r="I100" s="977"/>
      <c r="J100" s="977"/>
      <c r="K100" s="977"/>
      <c r="L100" s="977"/>
      <c r="M100" s="977"/>
      <c r="N100" s="977"/>
      <c r="O100" s="977"/>
      <c r="P100" s="977"/>
      <c r="Q100" s="977"/>
      <c r="R100" s="977"/>
      <c r="S100" s="977"/>
      <c r="T100" s="977"/>
      <c r="U100" s="977"/>
      <c r="V100" s="977"/>
      <c r="W100" s="977"/>
      <c r="X100" s="977"/>
      <c r="Y100" s="977"/>
      <c r="Z100" s="977"/>
      <c r="AA100" s="977"/>
      <c r="AB100" s="977"/>
      <c r="AC100" s="977"/>
      <c r="AD100" s="977"/>
      <c r="AE100" s="977"/>
      <c r="AF100" s="977"/>
      <c r="AG100" s="977"/>
      <c r="AH100" s="977"/>
      <c r="AI100" s="977"/>
      <c r="AJ100" s="977"/>
      <c r="AK100" s="977"/>
      <c r="AL100" s="977"/>
      <c r="AM100" s="977"/>
      <c r="AN100" s="977"/>
      <c r="AO100" s="977"/>
      <c r="AP100" s="977"/>
      <c r="AQ100" s="977"/>
      <c r="AR100" s="335"/>
      <c r="AS100" s="335"/>
      <c r="AT100" s="335"/>
      <c r="AU100" s="335"/>
      <c r="AV100" s="335"/>
      <c r="AW100" s="335"/>
      <c r="AX100" s="335"/>
      <c r="AY100" s="335"/>
      <c r="AZ100" s="335"/>
      <c r="BA100" s="335"/>
      <c r="BB100" s="335"/>
      <c r="BC100" s="335"/>
      <c r="BD100" s="335"/>
      <c r="BE100" s="335"/>
      <c r="BF100" s="335"/>
      <c r="BG100" s="335"/>
      <c r="BH100" s="335"/>
      <c r="BI100" s="335"/>
      <c r="BJ100" s="335"/>
      <c r="BK100" s="335"/>
      <c r="BL100" s="335"/>
      <c r="BM100" s="335"/>
      <c r="BN100" s="335"/>
      <c r="BO100" s="335"/>
      <c r="BP100" s="335"/>
      <c r="BQ100" s="335"/>
      <c r="BR100" s="335"/>
      <c r="BS100" s="335"/>
      <c r="BT100" s="335"/>
      <c r="BU100" s="335"/>
      <c r="BV100" s="335"/>
      <c r="BW100" s="335"/>
      <c r="BX100" s="335"/>
      <c r="BY100" s="335"/>
      <c r="BZ100" s="335"/>
      <c r="CA100" s="335"/>
      <c r="CB100" s="335"/>
      <c r="CC100" s="335"/>
      <c r="CD100" s="335"/>
      <c r="CE100" s="335"/>
      <c r="CF100" s="335"/>
      <c r="CG100" s="335"/>
      <c r="CH100" s="335"/>
      <c r="CI100" s="335"/>
      <c r="CJ100" s="335"/>
      <c r="CK100" s="335"/>
      <c r="CL100" s="335"/>
      <c r="CM100" s="335"/>
      <c r="CN100" s="335"/>
      <c r="CO100" s="335"/>
      <c r="CP100" s="335"/>
      <c r="CQ100" s="335"/>
      <c r="CR100" s="335"/>
      <c r="CS100" s="335"/>
      <c r="CT100" s="335"/>
      <c r="CU100" s="335"/>
      <c r="CV100" s="335"/>
      <c r="CW100" s="335"/>
      <c r="CX100" s="335"/>
      <c r="CY100" s="335"/>
      <c r="CZ100" s="335"/>
      <c r="DA100" s="335"/>
      <c r="DB100" s="335"/>
      <c r="DC100" s="335"/>
      <c r="DD100" s="335"/>
      <c r="DE100" s="335"/>
      <c r="DF100" s="335"/>
      <c r="DG100" s="335"/>
      <c r="DH100" s="335"/>
      <c r="DI100" s="335"/>
      <c r="DJ100" s="335"/>
      <c r="DK100" s="335"/>
      <c r="DL100" s="335"/>
      <c r="DM100" s="335"/>
      <c r="DN100" s="335"/>
      <c r="DO100" s="335"/>
    </row>
    <row r="101" spans="1:119" ht="35.1" customHeight="1">
      <c r="A101" s="977"/>
      <c r="B101" s="977"/>
      <c r="C101" s="977"/>
      <c r="D101" s="977"/>
      <c r="E101" s="977"/>
      <c r="F101" s="977"/>
      <c r="G101" s="977"/>
      <c r="H101" s="977"/>
      <c r="I101" s="977"/>
      <c r="J101" s="977"/>
      <c r="K101" s="977"/>
      <c r="L101" s="977"/>
      <c r="M101" s="977"/>
      <c r="N101" s="977"/>
      <c r="O101" s="977"/>
      <c r="P101" s="977"/>
      <c r="Q101" s="977"/>
      <c r="R101" s="977"/>
      <c r="S101" s="977"/>
      <c r="T101" s="977"/>
      <c r="U101" s="977"/>
      <c r="V101" s="977"/>
      <c r="W101" s="977"/>
      <c r="X101" s="977"/>
      <c r="Y101" s="977"/>
      <c r="Z101" s="977"/>
      <c r="AA101" s="977"/>
      <c r="AB101" s="977"/>
      <c r="AC101" s="977"/>
      <c r="AD101" s="977"/>
      <c r="AE101" s="977"/>
      <c r="AF101" s="977"/>
      <c r="AG101" s="977"/>
      <c r="AH101" s="977"/>
      <c r="AI101" s="977"/>
      <c r="AJ101" s="977"/>
      <c r="AK101" s="977"/>
      <c r="AL101" s="977"/>
      <c r="AM101" s="977"/>
      <c r="AN101" s="977"/>
      <c r="AO101" s="977"/>
      <c r="AP101" s="977"/>
      <c r="AQ101" s="977"/>
      <c r="AR101" s="335"/>
      <c r="AS101" s="335"/>
      <c r="AT101" s="335"/>
      <c r="AU101" s="335"/>
      <c r="AV101" s="335"/>
      <c r="AW101" s="335"/>
      <c r="AX101" s="335"/>
      <c r="AY101" s="335"/>
      <c r="AZ101" s="335"/>
      <c r="BA101" s="335"/>
      <c r="BB101" s="335"/>
      <c r="BC101" s="335"/>
      <c r="BD101" s="335"/>
      <c r="BE101" s="335"/>
      <c r="BF101" s="335"/>
      <c r="BG101" s="335"/>
      <c r="BH101" s="335"/>
      <c r="BI101" s="335"/>
      <c r="BJ101" s="335"/>
      <c r="BK101" s="335"/>
      <c r="BL101" s="335"/>
      <c r="BM101" s="335"/>
      <c r="BN101" s="335"/>
      <c r="BO101" s="335"/>
      <c r="BP101" s="335"/>
      <c r="BQ101" s="335"/>
      <c r="BR101" s="335"/>
      <c r="BS101" s="335"/>
      <c r="BT101" s="335"/>
      <c r="BU101" s="335"/>
      <c r="BV101" s="335"/>
      <c r="BW101" s="335"/>
      <c r="BX101" s="335"/>
      <c r="BY101" s="335"/>
      <c r="BZ101" s="335"/>
      <c r="CA101" s="335"/>
      <c r="CB101" s="335"/>
      <c r="CC101" s="335"/>
      <c r="CD101" s="335"/>
      <c r="CE101" s="335"/>
      <c r="CF101" s="335"/>
      <c r="CG101" s="335"/>
      <c r="CH101" s="335"/>
      <c r="CI101" s="335"/>
      <c r="CJ101" s="335"/>
      <c r="CK101" s="335"/>
      <c r="CL101" s="335"/>
      <c r="CM101" s="335"/>
      <c r="CN101" s="335"/>
      <c r="CO101" s="335"/>
      <c r="CP101" s="335"/>
      <c r="CQ101" s="335"/>
      <c r="CR101" s="335"/>
      <c r="CS101" s="335"/>
      <c r="CT101" s="335"/>
      <c r="CU101" s="335"/>
      <c r="CV101" s="335"/>
      <c r="CW101" s="335"/>
      <c r="CX101" s="335"/>
      <c r="CY101" s="335"/>
      <c r="CZ101" s="335"/>
      <c r="DA101" s="335"/>
      <c r="DB101" s="335"/>
      <c r="DC101" s="335"/>
      <c r="DD101" s="335"/>
      <c r="DE101" s="335"/>
      <c r="DF101" s="335"/>
      <c r="DG101" s="335"/>
      <c r="DH101" s="335"/>
      <c r="DI101" s="335"/>
      <c r="DJ101" s="335"/>
      <c r="DK101" s="335"/>
      <c r="DL101" s="335"/>
      <c r="DM101" s="335"/>
      <c r="DN101" s="335"/>
      <c r="DO101" s="335"/>
    </row>
    <row r="102" spans="1:119" ht="35.1" customHeight="1">
      <c r="A102" s="977"/>
      <c r="B102" s="977"/>
      <c r="C102" s="977"/>
      <c r="D102" s="977"/>
      <c r="E102" s="977"/>
      <c r="F102" s="977"/>
      <c r="G102" s="977"/>
      <c r="H102" s="977"/>
      <c r="I102" s="977"/>
      <c r="J102" s="977"/>
      <c r="K102" s="977"/>
      <c r="L102" s="977"/>
      <c r="M102" s="977"/>
      <c r="N102" s="977"/>
      <c r="O102" s="977"/>
      <c r="P102" s="977"/>
      <c r="Q102" s="977"/>
      <c r="R102" s="977"/>
      <c r="S102" s="977"/>
      <c r="T102" s="977"/>
      <c r="U102" s="977"/>
      <c r="V102" s="977"/>
      <c r="W102" s="977"/>
      <c r="X102" s="977"/>
      <c r="Y102" s="977"/>
      <c r="Z102" s="977"/>
      <c r="AA102" s="977"/>
      <c r="AB102" s="977"/>
      <c r="AC102" s="977"/>
      <c r="AD102" s="977"/>
      <c r="AE102" s="977"/>
      <c r="AF102" s="977"/>
      <c r="AG102" s="977"/>
      <c r="AH102" s="977"/>
      <c r="AI102" s="977"/>
      <c r="AJ102" s="977"/>
      <c r="AK102" s="977"/>
      <c r="AL102" s="977"/>
      <c r="AM102" s="977"/>
      <c r="AN102" s="977"/>
      <c r="AO102" s="977"/>
      <c r="AP102" s="977"/>
      <c r="AQ102" s="977"/>
      <c r="AR102" s="335"/>
      <c r="AS102" s="335"/>
      <c r="AT102" s="335"/>
      <c r="AU102" s="335"/>
      <c r="AV102" s="335"/>
      <c r="AW102" s="335"/>
      <c r="AX102" s="335"/>
      <c r="AY102" s="335"/>
      <c r="AZ102" s="335"/>
      <c r="BA102" s="335"/>
      <c r="BB102" s="335"/>
      <c r="BC102" s="335"/>
      <c r="BD102" s="335"/>
      <c r="BE102" s="335"/>
      <c r="BF102" s="335"/>
      <c r="BG102" s="335"/>
      <c r="BH102" s="335"/>
      <c r="BI102" s="335"/>
      <c r="BJ102" s="335"/>
      <c r="BK102" s="335"/>
      <c r="BL102" s="335"/>
      <c r="BM102" s="335"/>
      <c r="BN102" s="335"/>
      <c r="BO102" s="335"/>
      <c r="BP102" s="335"/>
      <c r="BQ102" s="335"/>
      <c r="BR102" s="335"/>
      <c r="BS102" s="335"/>
      <c r="BT102" s="335"/>
      <c r="BU102" s="335"/>
      <c r="BV102" s="335"/>
      <c r="BW102" s="335"/>
      <c r="BX102" s="335"/>
      <c r="BY102" s="335"/>
      <c r="BZ102" s="335"/>
      <c r="CA102" s="335"/>
      <c r="CB102" s="335"/>
      <c r="CC102" s="335"/>
      <c r="CD102" s="335"/>
      <c r="CE102" s="335"/>
      <c r="CF102" s="335"/>
      <c r="CG102" s="335"/>
      <c r="CH102" s="335"/>
      <c r="CI102" s="335"/>
      <c r="CJ102" s="335"/>
      <c r="CK102" s="335"/>
      <c r="CL102" s="335"/>
      <c r="CM102" s="335"/>
      <c r="CN102" s="335"/>
      <c r="CO102" s="335"/>
      <c r="CP102" s="335"/>
      <c r="CQ102" s="335"/>
      <c r="CR102" s="335"/>
      <c r="CS102" s="335"/>
      <c r="CT102" s="335"/>
      <c r="CU102" s="335"/>
      <c r="CV102" s="335"/>
      <c r="CW102" s="335"/>
      <c r="CX102" s="335"/>
      <c r="CY102" s="335"/>
      <c r="CZ102" s="335"/>
      <c r="DA102" s="335"/>
      <c r="DB102" s="335"/>
      <c r="DC102" s="335"/>
      <c r="DD102" s="335"/>
      <c r="DE102" s="335"/>
      <c r="DF102" s="335"/>
      <c r="DG102" s="335"/>
      <c r="DH102" s="335"/>
      <c r="DI102" s="335"/>
      <c r="DJ102" s="335"/>
      <c r="DK102" s="335"/>
      <c r="DL102" s="335"/>
      <c r="DM102" s="335"/>
      <c r="DN102" s="335"/>
      <c r="DO102" s="335"/>
    </row>
    <row r="103" spans="1:119" ht="35.1" customHeight="1">
      <c r="A103" s="977"/>
      <c r="B103" s="977"/>
      <c r="C103" s="977"/>
      <c r="D103" s="977"/>
      <c r="E103" s="977"/>
      <c r="F103" s="977"/>
      <c r="G103" s="977"/>
      <c r="H103" s="977"/>
      <c r="I103" s="977"/>
      <c r="J103" s="977"/>
      <c r="K103" s="977"/>
      <c r="L103" s="977"/>
      <c r="M103" s="977"/>
      <c r="N103" s="977"/>
      <c r="O103" s="977"/>
      <c r="P103" s="977"/>
      <c r="Q103" s="977"/>
      <c r="R103" s="977"/>
      <c r="S103" s="977"/>
      <c r="T103" s="977"/>
      <c r="U103" s="977"/>
      <c r="V103" s="977"/>
      <c r="W103" s="977"/>
      <c r="X103" s="977"/>
      <c r="Y103" s="977"/>
      <c r="Z103" s="977"/>
      <c r="AA103" s="977"/>
      <c r="AB103" s="977"/>
      <c r="AC103" s="977"/>
      <c r="AD103" s="977"/>
      <c r="AE103" s="977"/>
      <c r="AF103" s="977"/>
      <c r="AG103" s="977"/>
      <c r="AH103" s="977"/>
      <c r="AI103" s="977"/>
      <c r="AJ103" s="977"/>
      <c r="AK103" s="977"/>
      <c r="AL103" s="977"/>
      <c r="AM103" s="977"/>
      <c r="AN103" s="977"/>
      <c r="AO103" s="977"/>
      <c r="AP103" s="977"/>
      <c r="AQ103" s="977"/>
      <c r="AR103" s="335"/>
      <c r="AS103" s="335"/>
      <c r="AT103" s="335"/>
      <c r="AU103" s="335"/>
      <c r="AV103" s="335"/>
      <c r="AW103" s="335"/>
      <c r="AX103" s="335"/>
      <c r="AY103" s="335"/>
      <c r="AZ103" s="335"/>
      <c r="BA103" s="335"/>
      <c r="BB103" s="335"/>
      <c r="BC103" s="335"/>
      <c r="BD103" s="335"/>
      <c r="BE103" s="335"/>
      <c r="BF103" s="335"/>
      <c r="BG103" s="335"/>
      <c r="BH103" s="335"/>
      <c r="BI103" s="335"/>
      <c r="BJ103" s="335"/>
      <c r="BK103" s="335"/>
      <c r="BL103" s="335"/>
      <c r="BM103" s="335"/>
      <c r="BN103" s="335"/>
      <c r="BO103" s="335"/>
      <c r="BP103" s="335"/>
      <c r="BQ103" s="335"/>
      <c r="BR103" s="335"/>
      <c r="BS103" s="335"/>
      <c r="BT103" s="335"/>
      <c r="BU103" s="335"/>
      <c r="BV103" s="335"/>
      <c r="BW103" s="335"/>
      <c r="BX103" s="335"/>
      <c r="BY103" s="335"/>
      <c r="BZ103" s="335"/>
      <c r="CA103" s="335"/>
      <c r="CB103" s="335"/>
      <c r="CC103" s="335"/>
      <c r="CD103" s="335"/>
      <c r="CE103" s="335"/>
      <c r="CF103" s="335"/>
      <c r="CG103" s="335"/>
      <c r="CH103" s="335"/>
      <c r="CI103" s="335"/>
      <c r="CJ103" s="335"/>
      <c r="CK103" s="335"/>
      <c r="CL103" s="335"/>
      <c r="CM103" s="335"/>
      <c r="CN103" s="335"/>
      <c r="CO103" s="335"/>
      <c r="CP103" s="335"/>
      <c r="CQ103" s="335"/>
      <c r="CR103" s="335"/>
      <c r="CS103" s="335"/>
      <c r="CT103" s="335"/>
      <c r="CU103" s="335"/>
      <c r="CV103" s="335"/>
      <c r="CW103" s="335"/>
      <c r="CX103" s="335"/>
      <c r="CY103" s="335"/>
      <c r="CZ103" s="335"/>
      <c r="DA103" s="335"/>
      <c r="DB103" s="335"/>
      <c r="DC103" s="335"/>
      <c r="DD103" s="335"/>
      <c r="DE103" s="335"/>
      <c r="DF103" s="335"/>
      <c r="DG103" s="335"/>
      <c r="DH103" s="335"/>
      <c r="DI103" s="335"/>
      <c r="DJ103" s="335"/>
      <c r="DK103" s="335"/>
      <c r="DL103" s="335"/>
      <c r="DM103" s="335"/>
      <c r="DN103" s="335"/>
      <c r="DO103" s="335"/>
    </row>
    <row r="104" spans="1:119" ht="35.1" customHeight="1">
      <c r="A104" s="977"/>
      <c r="B104" s="977"/>
      <c r="C104" s="977"/>
      <c r="D104" s="977"/>
      <c r="E104" s="977"/>
      <c r="F104" s="977"/>
      <c r="G104" s="977"/>
      <c r="H104" s="977"/>
      <c r="I104" s="977"/>
      <c r="J104" s="977"/>
      <c r="K104" s="977"/>
      <c r="L104" s="977"/>
      <c r="M104" s="977"/>
      <c r="N104" s="977"/>
      <c r="O104" s="977"/>
      <c r="P104" s="977"/>
      <c r="Q104" s="977"/>
      <c r="R104" s="977"/>
      <c r="S104" s="977"/>
      <c r="T104" s="977"/>
      <c r="U104" s="977"/>
      <c r="V104" s="977"/>
      <c r="W104" s="977"/>
      <c r="X104" s="977"/>
      <c r="Y104" s="977"/>
      <c r="Z104" s="977"/>
      <c r="AA104" s="977"/>
      <c r="AB104" s="977"/>
      <c r="AC104" s="977"/>
      <c r="AD104" s="977"/>
      <c r="AE104" s="977"/>
      <c r="AF104" s="977"/>
      <c r="AG104" s="977"/>
      <c r="AH104" s="977"/>
      <c r="AI104" s="977"/>
      <c r="AJ104" s="977"/>
      <c r="AK104" s="977"/>
      <c r="AL104" s="977"/>
      <c r="AM104" s="977"/>
      <c r="AN104" s="977"/>
      <c r="AO104" s="977"/>
      <c r="AP104" s="977"/>
      <c r="AQ104" s="977"/>
      <c r="AR104" s="335"/>
      <c r="AS104" s="335"/>
      <c r="AT104" s="335"/>
      <c r="AU104" s="335"/>
      <c r="AV104" s="335"/>
      <c r="AW104" s="335"/>
      <c r="AX104" s="335"/>
      <c r="AY104" s="335"/>
      <c r="AZ104" s="335"/>
      <c r="BA104" s="335"/>
      <c r="BB104" s="335"/>
      <c r="BC104" s="335"/>
      <c r="BD104" s="335"/>
      <c r="BE104" s="335"/>
      <c r="BF104" s="335"/>
      <c r="BG104" s="335"/>
      <c r="BH104" s="335"/>
      <c r="BI104" s="335"/>
      <c r="BJ104" s="335"/>
      <c r="BK104" s="335"/>
      <c r="BL104" s="335"/>
      <c r="BM104" s="335"/>
      <c r="BN104" s="335"/>
      <c r="BO104" s="335"/>
      <c r="BP104" s="335"/>
      <c r="BQ104" s="335"/>
      <c r="BR104" s="335"/>
      <c r="BS104" s="335"/>
      <c r="BT104" s="335"/>
      <c r="BU104" s="335"/>
      <c r="BV104" s="335"/>
      <c r="BW104" s="335"/>
      <c r="BX104" s="335"/>
      <c r="BY104" s="335"/>
      <c r="BZ104" s="335"/>
      <c r="CA104" s="335"/>
      <c r="CB104" s="335"/>
      <c r="CC104" s="335"/>
      <c r="CD104" s="335"/>
      <c r="CE104" s="335"/>
      <c r="CF104" s="335"/>
      <c r="CG104" s="335"/>
      <c r="CH104" s="335"/>
      <c r="CI104" s="335"/>
      <c r="CJ104" s="335"/>
      <c r="CK104" s="335"/>
      <c r="CL104" s="335"/>
      <c r="CM104" s="335"/>
      <c r="CN104" s="335"/>
      <c r="CO104" s="335"/>
      <c r="CP104" s="335"/>
      <c r="CQ104" s="335"/>
      <c r="CR104" s="335"/>
      <c r="CS104" s="335"/>
      <c r="CT104" s="335"/>
      <c r="CU104" s="335"/>
      <c r="CV104" s="335"/>
      <c r="CW104" s="335"/>
      <c r="CX104" s="335"/>
      <c r="CY104" s="335"/>
      <c r="CZ104" s="335"/>
      <c r="DA104" s="335"/>
      <c r="DB104" s="335"/>
      <c r="DC104" s="335"/>
      <c r="DD104" s="335"/>
      <c r="DE104" s="335"/>
      <c r="DF104" s="335"/>
      <c r="DG104" s="335"/>
      <c r="DH104" s="335"/>
      <c r="DI104" s="335"/>
      <c r="DJ104" s="335"/>
      <c r="DK104" s="335"/>
      <c r="DL104" s="335"/>
      <c r="DM104" s="335"/>
      <c r="DN104" s="335"/>
      <c r="DO104" s="335"/>
    </row>
    <row r="105" spans="1:119" ht="35.1" customHeight="1">
      <c r="A105" s="977"/>
      <c r="B105" s="977"/>
      <c r="C105" s="977"/>
      <c r="D105" s="977"/>
      <c r="E105" s="977"/>
      <c r="F105" s="977"/>
      <c r="G105" s="977"/>
      <c r="H105" s="977"/>
      <c r="I105" s="977"/>
      <c r="J105" s="977"/>
      <c r="K105" s="977"/>
      <c r="L105" s="977"/>
      <c r="M105" s="977"/>
      <c r="N105" s="977"/>
      <c r="O105" s="977"/>
      <c r="P105" s="977"/>
      <c r="Q105" s="977"/>
      <c r="R105" s="977"/>
      <c r="S105" s="977"/>
      <c r="T105" s="977"/>
      <c r="U105" s="977"/>
      <c r="V105" s="977"/>
      <c r="W105" s="977"/>
      <c r="X105" s="977"/>
      <c r="Y105" s="977"/>
      <c r="Z105" s="977"/>
      <c r="AA105" s="977"/>
      <c r="AB105" s="977"/>
      <c r="AC105" s="977"/>
      <c r="AD105" s="977"/>
      <c r="AE105" s="977"/>
      <c r="AF105" s="977"/>
      <c r="AG105" s="977"/>
      <c r="AH105" s="977"/>
      <c r="AI105" s="977"/>
      <c r="AJ105" s="977"/>
      <c r="AK105" s="977"/>
      <c r="AL105" s="977"/>
      <c r="AM105" s="977"/>
      <c r="AN105" s="977"/>
      <c r="AO105" s="977"/>
      <c r="AP105" s="977"/>
      <c r="AQ105" s="977"/>
      <c r="AR105" s="335"/>
      <c r="AS105" s="335"/>
      <c r="AT105" s="335"/>
      <c r="AU105" s="335"/>
      <c r="AV105" s="335"/>
      <c r="AW105" s="335"/>
      <c r="AX105" s="335"/>
      <c r="AY105" s="335"/>
      <c r="AZ105" s="335"/>
      <c r="BA105" s="335"/>
      <c r="BB105" s="335"/>
      <c r="BC105" s="335"/>
      <c r="BD105" s="335"/>
      <c r="BE105" s="335"/>
      <c r="BF105" s="335"/>
      <c r="BG105" s="335"/>
      <c r="BH105" s="335"/>
      <c r="BI105" s="335"/>
      <c r="BJ105" s="335"/>
      <c r="BK105" s="335"/>
      <c r="BL105" s="335"/>
      <c r="BM105" s="335"/>
      <c r="BN105" s="335"/>
      <c r="BO105" s="335"/>
      <c r="BP105" s="335"/>
      <c r="BQ105" s="335"/>
      <c r="BR105" s="335"/>
      <c r="BS105" s="335"/>
      <c r="BT105" s="335"/>
      <c r="BU105" s="335"/>
      <c r="BV105" s="335"/>
      <c r="BW105" s="335"/>
      <c r="BX105" s="335"/>
      <c r="BY105" s="335"/>
      <c r="BZ105" s="335"/>
      <c r="CA105" s="335"/>
      <c r="CB105" s="335"/>
      <c r="CC105" s="335"/>
      <c r="CD105" s="335"/>
      <c r="CE105" s="335"/>
      <c r="CF105" s="335"/>
      <c r="CG105" s="335"/>
      <c r="CH105" s="335"/>
      <c r="CI105" s="335"/>
      <c r="CJ105" s="335"/>
      <c r="CK105" s="335"/>
      <c r="CL105" s="335"/>
      <c r="CM105" s="335"/>
      <c r="CN105" s="335"/>
      <c r="CO105" s="335"/>
      <c r="CP105" s="335"/>
      <c r="CQ105" s="335"/>
      <c r="CR105" s="335"/>
      <c r="CS105" s="335"/>
      <c r="CT105" s="335"/>
      <c r="CU105" s="335"/>
      <c r="CV105" s="335"/>
      <c r="CW105" s="335"/>
      <c r="CX105" s="335"/>
      <c r="CY105" s="335"/>
      <c r="CZ105" s="335"/>
      <c r="DA105" s="335"/>
      <c r="DB105" s="335"/>
      <c r="DC105" s="335"/>
      <c r="DD105" s="335"/>
      <c r="DE105" s="335"/>
      <c r="DF105" s="335"/>
      <c r="DG105" s="335"/>
      <c r="DH105" s="335"/>
      <c r="DI105" s="335"/>
      <c r="DJ105" s="335"/>
      <c r="DK105" s="335"/>
      <c r="DL105" s="335"/>
      <c r="DM105" s="335"/>
      <c r="DN105" s="335"/>
      <c r="DO105" s="335"/>
    </row>
    <row r="106" spans="1:119" ht="35.1" customHeight="1">
      <c r="A106" s="977"/>
      <c r="B106" s="977"/>
      <c r="C106" s="977"/>
      <c r="D106" s="977"/>
      <c r="E106" s="977"/>
      <c r="F106" s="977"/>
      <c r="G106" s="977"/>
      <c r="H106" s="977"/>
      <c r="I106" s="977"/>
      <c r="J106" s="977"/>
      <c r="K106" s="977"/>
      <c r="L106" s="977"/>
      <c r="M106" s="977"/>
      <c r="N106" s="977"/>
      <c r="O106" s="977"/>
      <c r="P106" s="977"/>
      <c r="Q106" s="977"/>
      <c r="R106" s="977"/>
      <c r="S106" s="977"/>
      <c r="T106" s="977"/>
      <c r="U106" s="977"/>
      <c r="V106" s="977"/>
      <c r="W106" s="977"/>
      <c r="X106" s="977"/>
      <c r="Y106" s="977"/>
      <c r="Z106" s="977"/>
      <c r="AA106" s="977"/>
      <c r="AB106" s="977"/>
      <c r="AC106" s="977"/>
      <c r="AD106" s="977"/>
      <c r="AE106" s="977"/>
      <c r="AF106" s="977"/>
      <c r="AG106" s="977"/>
      <c r="AH106" s="977"/>
      <c r="AI106" s="977"/>
      <c r="AJ106" s="977"/>
      <c r="AK106" s="977"/>
      <c r="AL106" s="977"/>
      <c r="AM106" s="977"/>
      <c r="AN106" s="977"/>
      <c r="AO106" s="977"/>
      <c r="AP106" s="977"/>
      <c r="AQ106" s="977"/>
      <c r="AR106" s="335"/>
      <c r="AS106" s="335"/>
      <c r="AT106" s="335"/>
      <c r="AU106" s="335"/>
      <c r="AV106" s="335"/>
      <c r="AW106" s="335"/>
      <c r="AX106" s="335"/>
      <c r="AY106" s="335"/>
      <c r="AZ106" s="335"/>
      <c r="BA106" s="335"/>
      <c r="BB106" s="335"/>
      <c r="BC106" s="335"/>
      <c r="BD106" s="335"/>
      <c r="BE106" s="335"/>
      <c r="BF106" s="335"/>
      <c r="BG106" s="335"/>
      <c r="BH106" s="335"/>
      <c r="BI106" s="335"/>
      <c r="BJ106" s="335"/>
      <c r="BK106" s="335"/>
      <c r="BL106" s="335"/>
      <c r="BM106" s="335"/>
      <c r="BN106" s="335"/>
      <c r="BO106" s="335"/>
      <c r="BP106" s="335"/>
      <c r="BQ106" s="335"/>
      <c r="BR106" s="335"/>
      <c r="BS106" s="335"/>
      <c r="BT106" s="335"/>
      <c r="BU106" s="335"/>
      <c r="BV106" s="335"/>
      <c r="BW106" s="335"/>
      <c r="BX106" s="335"/>
      <c r="BY106" s="335"/>
      <c r="BZ106" s="335"/>
      <c r="CA106" s="335"/>
      <c r="CB106" s="335"/>
      <c r="CC106" s="335"/>
      <c r="CD106" s="335"/>
      <c r="CE106" s="335"/>
      <c r="CF106" s="335"/>
      <c r="CG106" s="335"/>
      <c r="CH106" s="335"/>
      <c r="CI106" s="335"/>
      <c r="CJ106" s="335"/>
      <c r="CK106" s="335"/>
      <c r="CL106" s="335"/>
      <c r="CM106" s="335"/>
      <c r="CN106" s="335"/>
      <c r="CO106" s="335"/>
      <c r="CP106" s="335"/>
      <c r="CQ106" s="335"/>
      <c r="CR106" s="335"/>
      <c r="CS106" s="335"/>
      <c r="CT106" s="335"/>
      <c r="CU106" s="335"/>
      <c r="CV106" s="335"/>
      <c r="CW106" s="335"/>
      <c r="CX106" s="335"/>
      <c r="CY106" s="335"/>
      <c r="CZ106" s="335"/>
      <c r="DA106" s="335"/>
      <c r="DB106" s="335"/>
      <c r="DC106" s="335"/>
      <c r="DD106" s="335"/>
      <c r="DE106" s="335"/>
      <c r="DF106" s="335"/>
      <c r="DG106" s="335"/>
      <c r="DH106" s="335"/>
      <c r="DI106" s="335"/>
      <c r="DJ106" s="335"/>
      <c r="DK106" s="335"/>
      <c r="DL106" s="335"/>
      <c r="DM106" s="335"/>
      <c r="DN106" s="335"/>
      <c r="DO106" s="335"/>
    </row>
    <row r="107" spans="1:119" ht="35.1" customHeight="1">
      <c r="A107" s="977"/>
      <c r="B107" s="977"/>
      <c r="C107" s="977"/>
      <c r="D107" s="977"/>
      <c r="E107" s="977"/>
      <c r="F107" s="977"/>
      <c r="G107" s="977"/>
      <c r="H107" s="977"/>
      <c r="I107" s="977"/>
      <c r="J107" s="977"/>
      <c r="K107" s="977"/>
      <c r="L107" s="977"/>
      <c r="M107" s="977"/>
      <c r="N107" s="977"/>
      <c r="O107" s="977"/>
      <c r="P107" s="977"/>
      <c r="Q107" s="977"/>
      <c r="R107" s="977"/>
      <c r="S107" s="977"/>
      <c r="T107" s="977"/>
      <c r="U107" s="977"/>
      <c r="V107" s="977"/>
      <c r="W107" s="977"/>
      <c r="X107" s="977"/>
      <c r="Y107" s="977"/>
      <c r="Z107" s="977"/>
      <c r="AA107" s="977"/>
      <c r="AB107" s="977"/>
      <c r="AC107" s="977"/>
      <c r="AD107" s="977"/>
      <c r="AE107" s="977"/>
      <c r="AF107" s="977"/>
      <c r="AG107" s="977"/>
      <c r="AH107" s="977"/>
      <c r="AI107" s="977"/>
      <c r="AJ107" s="977"/>
      <c r="AK107" s="977"/>
      <c r="AL107" s="977"/>
      <c r="AM107" s="977"/>
      <c r="AN107" s="977"/>
      <c r="AO107" s="977"/>
      <c r="AP107" s="977"/>
      <c r="AQ107" s="977"/>
      <c r="AR107" s="335"/>
      <c r="AS107" s="335"/>
      <c r="AT107" s="335"/>
      <c r="AU107" s="335"/>
      <c r="AV107" s="335"/>
      <c r="AW107" s="335"/>
      <c r="AX107" s="335"/>
      <c r="AY107" s="335"/>
      <c r="AZ107" s="335"/>
      <c r="BA107" s="335"/>
      <c r="BB107" s="335"/>
      <c r="BC107" s="335"/>
      <c r="BD107" s="335"/>
      <c r="BE107" s="335"/>
      <c r="BF107" s="335"/>
      <c r="BG107" s="335"/>
      <c r="BH107" s="335"/>
      <c r="BI107" s="335"/>
      <c r="BJ107" s="335"/>
      <c r="BK107" s="335"/>
      <c r="BL107" s="335"/>
      <c r="BM107" s="335"/>
      <c r="BN107" s="335"/>
      <c r="BO107" s="335"/>
      <c r="BP107" s="335"/>
      <c r="BQ107" s="335"/>
      <c r="BR107" s="335"/>
      <c r="BS107" s="335"/>
      <c r="BT107" s="335"/>
      <c r="BU107" s="335"/>
      <c r="BV107" s="335"/>
      <c r="BW107" s="335"/>
      <c r="BX107" s="335"/>
      <c r="BY107" s="335"/>
      <c r="BZ107" s="335"/>
      <c r="CA107" s="335"/>
      <c r="CB107" s="335"/>
      <c r="CC107" s="335"/>
      <c r="CD107" s="335"/>
      <c r="CE107" s="335"/>
      <c r="CF107" s="335"/>
      <c r="CG107" s="335"/>
      <c r="CH107" s="335"/>
      <c r="CI107" s="335"/>
      <c r="CJ107" s="335"/>
      <c r="CK107" s="335"/>
      <c r="CL107" s="335"/>
      <c r="CM107" s="335"/>
      <c r="CN107" s="335"/>
      <c r="CO107" s="335"/>
      <c r="CP107" s="335"/>
      <c r="CQ107" s="335"/>
      <c r="CR107" s="335"/>
      <c r="CS107" s="335"/>
      <c r="CT107" s="335"/>
      <c r="CU107" s="335"/>
      <c r="CV107" s="335"/>
      <c r="CW107" s="335"/>
      <c r="CX107" s="335"/>
      <c r="CY107" s="335"/>
      <c r="CZ107" s="335"/>
      <c r="DA107" s="335"/>
      <c r="DB107" s="335"/>
      <c r="DC107" s="335"/>
      <c r="DD107" s="335"/>
      <c r="DE107" s="335"/>
      <c r="DF107" s="335"/>
      <c r="DG107" s="335"/>
      <c r="DH107" s="335"/>
      <c r="DI107" s="335"/>
      <c r="DJ107" s="335"/>
      <c r="DK107" s="335"/>
      <c r="DL107" s="335"/>
      <c r="DM107" s="335"/>
      <c r="DN107" s="335"/>
      <c r="DO107" s="335"/>
    </row>
    <row r="108" spans="1:119" ht="35.1" customHeight="1">
      <c r="A108" s="977"/>
      <c r="B108" s="977"/>
      <c r="C108" s="977"/>
      <c r="D108" s="977"/>
      <c r="E108" s="977"/>
      <c r="F108" s="977"/>
      <c r="G108" s="977"/>
      <c r="H108" s="977"/>
      <c r="I108" s="977"/>
      <c r="J108" s="977"/>
      <c r="K108" s="977"/>
      <c r="L108" s="977"/>
      <c r="M108" s="977"/>
      <c r="N108" s="977"/>
      <c r="O108" s="977"/>
      <c r="P108" s="977"/>
      <c r="Q108" s="977"/>
      <c r="R108" s="977"/>
      <c r="S108" s="977"/>
      <c r="T108" s="977"/>
      <c r="U108" s="977"/>
      <c r="V108" s="977"/>
      <c r="W108" s="977"/>
      <c r="X108" s="977"/>
      <c r="Y108" s="977"/>
      <c r="Z108" s="977"/>
      <c r="AA108" s="977"/>
      <c r="AB108" s="977"/>
      <c r="AC108" s="977"/>
      <c r="AD108" s="977"/>
      <c r="AE108" s="977"/>
      <c r="AF108" s="977"/>
      <c r="AG108" s="977"/>
      <c r="AH108" s="977"/>
      <c r="AI108" s="977"/>
      <c r="AJ108" s="977"/>
      <c r="AK108" s="977"/>
      <c r="AL108" s="977"/>
      <c r="AM108" s="977"/>
      <c r="AN108" s="977"/>
      <c r="AO108" s="977"/>
      <c r="AP108" s="977"/>
      <c r="AQ108" s="977"/>
      <c r="AR108" s="335"/>
      <c r="AS108" s="335"/>
      <c r="AT108" s="335"/>
      <c r="AU108" s="335"/>
      <c r="AV108" s="335"/>
      <c r="AW108" s="335"/>
      <c r="AX108" s="335"/>
      <c r="AY108" s="335"/>
      <c r="AZ108" s="335"/>
      <c r="BA108" s="335"/>
      <c r="BB108" s="335"/>
      <c r="BC108" s="335"/>
      <c r="BD108" s="335"/>
      <c r="BE108" s="335"/>
      <c r="BF108" s="335"/>
      <c r="BG108" s="335"/>
      <c r="BH108" s="335"/>
      <c r="BI108" s="335"/>
      <c r="BJ108" s="335"/>
      <c r="BK108" s="335"/>
      <c r="BL108" s="335"/>
      <c r="BM108" s="335"/>
      <c r="BN108" s="335"/>
      <c r="BO108" s="335"/>
      <c r="BP108" s="335"/>
      <c r="BQ108" s="335"/>
      <c r="BR108" s="335"/>
      <c r="BS108" s="335"/>
      <c r="BT108" s="335"/>
      <c r="BU108" s="335"/>
      <c r="BV108" s="335"/>
      <c r="BW108" s="335"/>
      <c r="BX108" s="335"/>
      <c r="BY108" s="335"/>
      <c r="BZ108" s="335"/>
      <c r="CA108" s="335"/>
      <c r="CB108" s="335"/>
      <c r="CC108" s="335"/>
      <c r="CD108" s="335"/>
      <c r="CE108" s="335"/>
      <c r="CF108" s="335"/>
      <c r="CG108" s="335"/>
      <c r="CH108" s="335"/>
      <c r="CI108" s="335"/>
      <c r="CJ108" s="335"/>
      <c r="CK108" s="335"/>
      <c r="CL108" s="335"/>
      <c r="CM108" s="335"/>
      <c r="CN108" s="335"/>
      <c r="CO108" s="335"/>
      <c r="CP108" s="335"/>
      <c r="CQ108" s="335"/>
      <c r="CR108" s="335"/>
      <c r="CS108" s="335"/>
      <c r="CT108" s="335"/>
      <c r="CU108" s="335"/>
      <c r="CV108" s="335"/>
      <c r="CW108" s="335"/>
      <c r="CX108" s="335"/>
      <c r="CY108" s="335"/>
      <c r="CZ108" s="335"/>
      <c r="DA108" s="335"/>
      <c r="DB108" s="335"/>
      <c r="DC108" s="335"/>
      <c r="DD108" s="335"/>
      <c r="DE108" s="335"/>
      <c r="DF108" s="335"/>
      <c r="DG108" s="335"/>
      <c r="DH108" s="335"/>
      <c r="DI108" s="335"/>
      <c r="DJ108" s="335"/>
      <c r="DK108" s="335"/>
      <c r="DL108" s="335"/>
      <c r="DM108" s="335"/>
      <c r="DN108" s="335"/>
      <c r="DO108" s="335"/>
    </row>
    <row r="109" spans="1:119" ht="35.1" customHeight="1">
      <c r="A109" s="977"/>
      <c r="B109" s="977"/>
      <c r="C109" s="977"/>
      <c r="D109" s="977"/>
      <c r="E109" s="977"/>
      <c r="F109" s="977"/>
      <c r="G109" s="977"/>
      <c r="H109" s="977"/>
      <c r="I109" s="977"/>
      <c r="J109" s="977"/>
      <c r="K109" s="977"/>
      <c r="L109" s="977"/>
      <c r="M109" s="977"/>
      <c r="N109" s="977"/>
      <c r="O109" s="977"/>
      <c r="P109" s="977"/>
      <c r="Q109" s="977"/>
      <c r="R109" s="977"/>
      <c r="S109" s="977"/>
      <c r="T109" s="977"/>
      <c r="U109" s="977"/>
      <c r="V109" s="977"/>
      <c r="W109" s="977"/>
      <c r="X109" s="977"/>
      <c r="Y109" s="977"/>
      <c r="Z109" s="977"/>
      <c r="AA109" s="977"/>
      <c r="AB109" s="977"/>
      <c r="AC109" s="977"/>
      <c r="AD109" s="977"/>
      <c r="AE109" s="977"/>
      <c r="AF109" s="977"/>
      <c r="AG109" s="977"/>
      <c r="AH109" s="977"/>
      <c r="AI109" s="977"/>
      <c r="AJ109" s="977"/>
      <c r="AK109" s="977"/>
      <c r="AL109" s="977"/>
      <c r="AM109" s="977"/>
      <c r="AN109" s="977"/>
      <c r="AO109" s="977"/>
      <c r="AP109" s="977"/>
      <c r="AQ109" s="977"/>
      <c r="AR109" s="335"/>
      <c r="AS109" s="335"/>
      <c r="AT109" s="335"/>
      <c r="AU109" s="335"/>
      <c r="AV109" s="335"/>
      <c r="AW109" s="335"/>
      <c r="AX109" s="335"/>
      <c r="AY109" s="335"/>
      <c r="AZ109" s="335"/>
      <c r="BA109" s="335"/>
      <c r="BB109" s="335"/>
      <c r="BC109" s="335"/>
      <c r="BD109" s="335"/>
      <c r="BE109" s="335"/>
      <c r="BF109" s="335"/>
      <c r="BG109" s="335"/>
      <c r="BH109" s="335"/>
      <c r="BI109" s="335"/>
      <c r="BJ109" s="335"/>
      <c r="BK109" s="335"/>
      <c r="BL109" s="335"/>
      <c r="BM109" s="335"/>
      <c r="BN109" s="335"/>
      <c r="BO109" s="335"/>
      <c r="BP109" s="335"/>
      <c r="BQ109" s="335"/>
      <c r="BR109" s="335"/>
      <c r="BS109" s="335"/>
      <c r="BT109" s="335"/>
      <c r="BU109" s="335"/>
      <c r="BV109" s="335"/>
      <c r="BW109" s="335"/>
      <c r="BX109" s="335"/>
      <c r="BY109" s="335"/>
      <c r="BZ109" s="335"/>
      <c r="CA109" s="335"/>
      <c r="CB109" s="335"/>
      <c r="CC109" s="335"/>
      <c r="CD109" s="335"/>
      <c r="CE109" s="335"/>
      <c r="CF109" s="335"/>
      <c r="CG109" s="335"/>
      <c r="CH109" s="335"/>
      <c r="CI109" s="335"/>
      <c r="CJ109" s="335"/>
      <c r="CK109" s="335"/>
      <c r="CL109" s="335"/>
      <c r="CM109" s="335"/>
      <c r="CN109" s="335"/>
      <c r="CO109" s="335"/>
      <c r="CP109" s="335"/>
      <c r="CQ109" s="335"/>
      <c r="CR109" s="335"/>
      <c r="CS109" s="335"/>
      <c r="CT109" s="335"/>
      <c r="CU109" s="335"/>
      <c r="CV109" s="335"/>
      <c r="CW109" s="335"/>
      <c r="CX109" s="335"/>
      <c r="CY109" s="335"/>
      <c r="CZ109" s="335"/>
      <c r="DA109" s="335"/>
      <c r="DB109" s="335"/>
      <c r="DC109" s="335"/>
      <c r="DD109" s="335"/>
      <c r="DE109" s="335"/>
      <c r="DF109" s="335"/>
      <c r="DG109" s="335"/>
      <c r="DH109" s="335"/>
      <c r="DI109" s="335"/>
      <c r="DJ109" s="335"/>
      <c r="DK109" s="335"/>
      <c r="DL109" s="335"/>
      <c r="DM109" s="335"/>
      <c r="DN109" s="335"/>
      <c r="DO109" s="335"/>
    </row>
    <row r="110" spans="1:119" ht="35.1" customHeight="1">
      <c r="A110" s="977"/>
      <c r="B110" s="977"/>
      <c r="C110" s="977"/>
      <c r="D110" s="977"/>
      <c r="E110" s="977"/>
      <c r="F110" s="977"/>
      <c r="G110" s="977"/>
      <c r="H110" s="977"/>
      <c r="I110" s="977"/>
      <c r="J110" s="977"/>
      <c r="K110" s="977"/>
      <c r="L110" s="977"/>
      <c r="M110" s="977"/>
      <c r="N110" s="977"/>
      <c r="O110" s="977"/>
      <c r="P110" s="977"/>
      <c r="Q110" s="977"/>
      <c r="R110" s="977"/>
      <c r="S110" s="977"/>
      <c r="T110" s="977"/>
      <c r="U110" s="977"/>
      <c r="V110" s="977"/>
      <c r="W110" s="977"/>
      <c r="X110" s="977"/>
      <c r="Y110" s="977"/>
      <c r="Z110" s="977"/>
      <c r="AA110" s="977"/>
      <c r="AB110" s="977"/>
      <c r="AC110" s="977"/>
      <c r="AD110" s="977"/>
      <c r="AE110" s="977"/>
      <c r="AF110" s="977"/>
      <c r="AG110" s="977"/>
      <c r="AH110" s="977"/>
      <c r="AI110" s="977"/>
      <c r="AJ110" s="977"/>
      <c r="AK110" s="977"/>
      <c r="AL110" s="977"/>
      <c r="AM110" s="977"/>
      <c r="AN110" s="977"/>
      <c r="AO110" s="977"/>
      <c r="AP110" s="977"/>
      <c r="AQ110" s="977"/>
      <c r="AR110" s="335"/>
      <c r="AS110" s="335"/>
      <c r="AT110" s="335"/>
      <c r="AU110" s="335"/>
      <c r="AV110" s="335"/>
      <c r="AW110" s="335"/>
      <c r="AX110" s="335"/>
      <c r="AY110" s="335"/>
      <c r="AZ110" s="335"/>
      <c r="BA110" s="335"/>
      <c r="BB110" s="335"/>
      <c r="BC110" s="335"/>
      <c r="BD110" s="335"/>
      <c r="BE110" s="335"/>
      <c r="BF110" s="335"/>
      <c r="BG110" s="335"/>
      <c r="BH110" s="335"/>
      <c r="BI110" s="335"/>
      <c r="BJ110" s="335"/>
      <c r="BK110" s="335"/>
      <c r="BL110" s="335"/>
      <c r="BM110" s="335"/>
      <c r="BN110" s="335"/>
      <c r="BO110" s="335"/>
      <c r="BP110" s="335"/>
      <c r="BQ110" s="335"/>
      <c r="BR110" s="335"/>
      <c r="BS110" s="335"/>
      <c r="BT110" s="335"/>
      <c r="BU110" s="335"/>
      <c r="BV110" s="335"/>
      <c r="BW110" s="335"/>
      <c r="BX110" s="335"/>
      <c r="BY110" s="335"/>
      <c r="BZ110" s="335"/>
      <c r="CA110" s="335"/>
      <c r="CB110" s="335"/>
      <c r="CC110" s="335"/>
      <c r="CD110" s="335"/>
      <c r="CE110" s="335"/>
      <c r="CF110" s="335"/>
      <c r="CG110" s="335"/>
      <c r="CH110" s="335"/>
      <c r="CI110" s="335"/>
      <c r="CJ110" s="335"/>
      <c r="CK110" s="335"/>
      <c r="CL110" s="335"/>
      <c r="CM110" s="335"/>
      <c r="CN110" s="335"/>
      <c r="CO110" s="335"/>
      <c r="CP110" s="335"/>
      <c r="CQ110" s="335"/>
      <c r="CR110" s="335"/>
      <c r="CS110" s="335"/>
      <c r="CT110" s="335"/>
      <c r="CU110" s="335"/>
      <c r="CV110" s="335"/>
      <c r="CW110" s="335"/>
      <c r="CX110" s="335"/>
      <c r="CY110" s="335"/>
      <c r="CZ110" s="335"/>
      <c r="DA110" s="335"/>
      <c r="DB110" s="335"/>
      <c r="DC110" s="335"/>
      <c r="DD110" s="335"/>
      <c r="DE110" s="335"/>
      <c r="DF110" s="335"/>
      <c r="DG110" s="335"/>
      <c r="DH110" s="335"/>
      <c r="DI110" s="335"/>
      <c r="DJ110" s="335"/>
      <c r="DK110" s="335"/>
      <c r="DL110" s="335"/>
      <c r="DM110" s="335"/>
      <c r="DN110" s="335"/>
      <c r="DO110" s="335"/>
    </row>
    <row r="111" spans="1:119" ht="35.1" customHeight="1">
      <c r="A111" s="977"/>
      <c r="B111" s="977"/>
      <c r="C111" s="977"/>
      <c r="D111" s="977"/>
      <c r="E111" s="977"/>
      <c r="F111" s="977"/>
      <c r="G111" s="977"/>
      <c r="H111" s="977"/>
      <c r="I111" s="977"/>
      <c r="J111" s="977"/>
      <c r="K111" s="977"/>
      <c r="L111" s="977"/>
      <c r="M111" s="977"/>
      <c r="N111" s="977"/>
      <c r="O111" s="977"/>
      <c r="P111" s="977"/>
      <c r="Q111" s="977"/>
      <c r="R111" s="977"/>
      <c r="S111" s="977"/>
      <c r="T111" s="977"/>
      <c r="U111" s="977"/>
      <c r="V111" s="977"/>
      <c r="W111" s="977"/>
      <c r="X111" s="977"/>
      <c r="Y111" s="977"/>
      <c r="Z111" s="977"/>
      <c r="AA111" s="977"/>
      <c r="AB111" s="977"/>
      <c r="AC111" s="977"/>
      <c r="AD111" s="977"/>
      <c r="AE111" s="977"/>
      <c r="AF111" s="977"/>
      <c r="AG111" s="977"/>
      <c r="AH111" s="977"/>
      <c r="AI111" s="977"/>
      <c r="AJ111" s="977"/>
      <c r="AK111" s="977"/>
      <c r="AL111" s="977"/>
      <c r="AM111" s="977"/>
      <c r="AN111" s="977"/>
      <c r="AO111" s="977"/>
      <c r="AP111" s="977"/>
      <c r="AQ111" s="977"/>
      <c r="AR111" s="335"/>
      <c r="AS111" s="335"/>
      <c r="AT111" s="335"/>
      <c r="AU111" s="335"/>
      <c r="AV111" s="335"/>
      <c r="AW111" s="335"/>
      <c r="AX111" s="335"/>
      <c r="AY111" s="335"/>
      <c r="AZ111" s="335"/>
      <c r="BA111" s="335"/>
      <c r="BB111" s="335"/>
      <c r="BC111" s="335"/>
      <c r="BD111" s="335"/>
      <c r="BE111" s="335"/>
      <c r="BF111" s="335"/>
      <c r="BG111" s="335"/>
      <c r="BH111" s="335"/>
      <c r="BI111" s="335"/>
      <c r="BJ111" s="335"/>
      <c r="BK111" s="335"/>
      <c r="BL111" s="335"/>
      <c r="BM111" s="335"/>
      <c r="BN111" s="335"/>
      <c r="BO111" s="335"/>
      <c r="BP111" s="335"/>
      <c r="BQ111" s="335"/>
      <c r="BR111" s="335"/>
      <c r="BS111" s="335"/>
      <c r="BT111" s="335"/>
      <c r="BU111" s="335"/>
      <c r="BV111" s="335"/>
      <c r="BW111" s="335"/>
      <c r="BX111" s="335"/>
      <c r="BY111" s="335"/>
      <c r="BZ111" s="335"/>
      <c r="CA111" s="335"/>
      <c r="CB111" s="335"/>
      <c r="CC111" s="335"/>
      <c r="CD111" s="335"/>
      <c r="CE111" s="335"/>
      <c r="CF111" s="335"/>
      <c r="CG111" s="335"/>
      <c r="CH111" s="335"/>
      <c r="CI111" s="335"/>
      <c r="CJ111" s="335"/>
      <c r="CK111" s="335"/>
      <c r="CL111" s="335"/>
      <c r="CM111" s="335"/>
      <c r="CN111" s="335"/>
      <c r="CO111" s="335"/>
      <c r="CP111" s="335"/>
      <c r="CQ111" s="335"/>
      <c r="CR111" s="335"/>
      <c r="CS111" s="335"/>
      <c r="CT111" s="335"/>
      <c r="CU111" s="335"/>
      <c r="CV111" s="335"/>
      <c r="CW111" s="335"/>
      <c r="CX111" s="335"/>
      <c r="CY111" s="335"/>
      <c r="CZ111" s="335"/>
      <c r="DA111" s="335"/>
      <c r="DB111" s="335"/>
      <c r="DC111" s="335"/>
      <c r="DD111" s="335"/>
      <c r="DE111" s="335"/>
      <c r="DF111" s="335"/>
      <c r="DG111" s="335"/>
      <c r="DH111" s="335"/>
      <c r="DI111" s="335"/>
      <c r="DJ111" s="335"/>
      <c r="DK111" s="335"/>
      <c r="DL111" s="335"/>
      <c r="DM111" s="335"/>
      <c r="DN111" s="335"/>
      <c r="DO111" s="335"/>
    </row>
    <row r="112" spans="1:119" ht="35.1" customHeight="1">
      <c r="A112" s="977"/>
      <c r="B112" s="977"/>
      <c r="C112" s="977"/>
      <c r="D112" s="977"/>
      <c r="E112" s="977"/>
      <c r="F112" s="977"/>
      <c r="G112" s="977"/>
      <c r="H112" s="977"/>
      <c r="I112" s="977"/>
      <c r="J112" s="977"/>
      <c r="K112" s="977"/>
      <c r="L112" s="977"/>
      <c r="M112" s="977"/>
      <c r="N112" s="977"/>
      <c r="O112" s="977"/>
      <c r="P112" s="977"/>
      <c r="Q112" s="977"/>
      <c r="R112" s="977"/>
      <c r="S112" s="977"/>
      <c r="T112" s="977"/>
      <c r="U112" s="977"/>
      <c r="V112" s="977"/>
      <c r="W112" s="977"/>
      <c r="X112" s="977"/>
      <c r="Y112" s="977"/>
      <c r="Z112" s="977"/>
      <c r="AA112" s="977"/>
      <c r="AB112" s="977"/>
      <c r="AC112" s="977"/>
      <c r="AD112" s="977"/>
      <c r="AE112" s="977"/>
      <c r="AF112" s="977"/>
      <c r="AG112" s="977"/>
      <c r="AH112" s="977"/>
      <c r="AI112" s="977"/>
      <c r="AJ112" s="977"/>
      <c r="AK112" s="977"/>
      <c r="AL112" s="977"/>
      <c r="AM112" s="977"/>
      <c r="AN112" s="977"/>
      <c r="AO112" s="977"/>
      <c r="AP112" s="977"/>
      <c r="AQ112" s="977"/>
      <c r="AR112" s="335"/>
      <c r="AS112" s="335"/>
      <c r="AT112" s="335"/>
      <c r="AU112" s="335"/>
      <c r="AV112" s="335"/>
      <c r="AW112" s="335"/>
      <c r="AX112" s="335"/>
      <c r="AY112" s="335"/>
      <c r="AZ112" s="335"/>
      <c r="BA112" s="335"/>
      <c r="BB112" s="335"/>
      <c r="BC112" s="335"/>
      <c r="BD112" s="335"/>
      <c r="BE112" s="335"/>
      <c r="BF112" s="335"/>
      <c r="BG112" s="335"/>
      <c r="BH112" s="335"/>
      <c r="BI112" s="335"/>
      <c r="BJ112" s="335"/>
      <c r="BK112" s="335"/>
      <c r="BL112" s="335"/>
      <c r="BM112" s="335"/>
      <c r="BN112" s="335"/>
      <c r="BO112" s="335"/>
      <c r="BP112" s="335"/>
      <c r="BQ112" s="335"/>
      <c r="BR112" s="335"/>
      <c r="BS112" s="335"/>
      <c r="BT112" s="335"/>
      <c r="BU112" s="335"/>
      <c r="BV112" s="335"/>
      <c r="BW112" s="335"/>
      <c r="BX112" s="335"/>
      <c r="BY112" s="335"/>
      <c r="BZ112" s="335"/>
      <c r="CA112" s="335"/>
      <c r="CB112" s="335"/>
      <c r="CC112" s="335"/>
      <c r="CD112" s="335"/>
      <c r="CE112" s="335"/>
      <c r="CF112" s="335"/>
      <c r="CG112" s="335"/>
      <c r="CH112" s="335"/>
      <c r="CI112" s="335"/>
      <c r="CJ112" s="335"/>
      <c r="CK112" s="335"/>
      <c r="CL112" s="335"/>
      <c r="CM112" s="335"/>
      <c r="CN112" s="335"/>
      <c r="CO112" s="335"/>
      <c r="CP112" s="335"/>
      <c r="CQ112" s="335"/>
      <c r="CR112" s="335"/>
      <c r="CS112" s="335"/>
      <c r="CT112" s="335"/>
      <c r="CU112" s="335"/>
      <c r="CV112" s="335"/>
      <c r="CW112" s="335"/>
      <c r="CX112" s="335"/>
      <c r="CY112" s="335"/>
      <c r="CZ112" s="335"/>
      <c r="DA112" s="335"/>
      <c r="DB112" s="335"/>
      <c r="DC112" s="335"/>
      <c r="DD112" s="335"/>
      <c r="DE112" s="335"/>
      <c r="DF112" s="335"/>
      <c r="DG112" s="335"/>
      <c r="DH112" s="335"/>
      <c r="DI112" s="335"/>
      <c r="DJ112" s="335"/>
      <c r="DK112" s="335"/>
      <c r="DL112" s="335"/>
      <c r="DM112" s="335"/>
      <c r="DN112" s="335"/>
      <c r="DO112" s="335"/>
    </row>
    <row r="113" spans="1:119" ht="35.1" customHeight="1">
      <c r="A113" s="977"/>
      <c r="B113" s="977"/>
      <c r="C113" s="977"/>
      <c r="D113" s="977"/>
      <c r="E113" s="977"/>
      <c r="F113" s="977"/>
      <c r="G113" s="977"/>
      <c r="H113" s="977"/>
      <c r="I113" s="977"/>
      <c r="J113" s="977"/>
      <c r="K113" s="977"/>
      <c r="L113" s="977"/>
      <c r="M113" s="977"/>
      <c r="N113" s="977"/>
      <c r="O113" s="977"/>
      <c r="P113" s="977"/>
      <c r="Q113" s="977"/>
      <c r="R113" s="977"/>
      <c r="S113" s="977"/>
      <c r="T113" s="977"/>
      <c r="U113" s="977"/>
      <c r="V113" s="977"/>
      <c r="W113" s="977"/>
      <c r="X113" s="977"/>
      <c r="Y113" s="977"/>
      <c r="Z113" s="977"/>
      <c r="AA113" s="977"/>
      <c r="AB113" s="977"/>
      <c r="AC113" s="977"/>
      <c r="AD113" s="977"/>
      <c r="AE113" s="977"/>
      <c r="AF113" s="977"/>
      <c r="AG113" s="977"/>
      <c r="AH113" s="977"/>
      <c r="AI113" s="977"/>
      <c r="AJ113" s="977"/>
      <c r="AK113" s="977"/>
      <c r="AL113" s="977"/>
      <c r="AM113" s="977"/>
      <c r="AN113" s="977"/>
      <c r="AO113" s="977"/>
      <c r="AP113" s="977"/>
      <c r="AQ113" s="977"/>
      <c r="AR113" s="335"/>
      <c r="AS113" s="335"/>
      <c r="AT113" s="335"/>
      <c r="AU113" s="335"/>
      <c r="AV113" s="335"/>
      <c r="AW113" s="335"/>
      <c r="AX113" s="335"/>
      <c r="AY113" s="335"/>
      <c r="AZ113" s="335"/>
      <c r="BA113" s="335"/>
      <c r="BB113" s="335"/>
      <c r="BC113" s="335"/>
      <c r="BD113" s="335"/>
      <c r="BE113" s="335"/>
      <c r="BF113" s="335"/>
      <c r="BG113" s="335"/>
      <c r="BH113" s="335"/>
      <c r="BI113" s="335"/>
      <c r="BJ113" s="335"/>
      <c r="BK113" s="335"/>
      <c r="BL113" s="335"/>
      <c r="BM113" s="335"/>
      <c r="BN113" s="335"/>
      <c r="BO113" s="335"/>
      <c r="BP113" s="335"/>
      <c r="BQ113" s="335"/>
      <c r="BR113" s="335"/>
      <c r="BS113" s="335"/>
      <c r="BT113" s="335"/>
      <c r="BU113" s="335"/>
      <c r="BV113" s="335"/>
      <c r="BW113" s="335"/>
      <c r="BX113" s="335"/>
      <c r="BY113" s="335"/>
      <c r="BZ113" s="335"/>
      <c r="CA113" s="335"/>
      <c r="CB113" s="335"/>
      <c r="CC113" s="335"/>
      <c r="CD113" s="335"/>
      <c r="CE113" s="335"/>
      <c r="CF113" s="335"/>
      <c r="CG113" s="335"/>
      <c r="CH113" s="335"/>
      <c r="CI113" s="335"/>
      <c r="CJ113" s="335"/>
      <c r="CK113" s="335"/>
      <c r="CL113" s="335"/>
      <c r="CM113" s="335"/>
      <c r="CN113" s="335"/>
      <c r="CO113" s="335"/>
      <c r="CP113" s="335"/>
      <c r="CQ113" s="335"/>
      <c r="CR113" s="335"/>
      <c r="CS113" s="335"/>
      <c r="CT113" s="335"/>
      <c r="CU113" s="335"/>
      <c r="CV113" s="335"/>
      <c r="CW113" s="335"/>
      <c r="CX113" s="335"/>
      <c r="CY113" s="335"/>
      <c r="CZ113" s="335"/>
      <c r="DA113" s="335"/>
      <c r="DB113" s="335"/>
      <c r="DC113" s="335"/>
      <c r="DD113" s="335"/>
      <c r="DE113" s="335"/>
      <c r="DF113" s="335"/>
      <c r="DG113" s="335"/>
      <c r="DH113" s="335"/>
      <c r="DI113" s="335"/>
      <c r="DJ113" s="335"/>
      <c r="DK113" s="335"/>
      <c r="DL113" s="335"/>
      <c r="DM113" s="335"/>
      <c r="DN113" s="335"/>
      <c r="DO113" s="335"/>
    </row>
    <row r="114" spans="1:119" ht="35.1" customHeight="1">
      <c r="A114" s="977"/>
      <c r="B114" s="977"/>
      <c r="C114" s="977"/>
      <c r="D114" s="977"/>
      <c r="E114" s="977"/>
      <c r="F114" s="977"/>
      <c r="G114" s="977"/>
      <c r="H114" s="977"/>
      <c r="I114" s="977"/>
      <c r="J114" s="977"/>
      <c r="K114" s="977"/>
      <c r="L114" s="977"/>
      <c r="M114" s="977"/>
      <c r="N114" s="977"/>
      <c r="O114" s="977"/>
      <c r="P114" s="977"/>
      <c r="Q114" s="977"/>
      <c r="R114" s="977"/>
      <c r="S114" s="977"/>
      <c r="T114" s="977"/>
      <c r="U114" s="977"/>
      <c r="V114" s="977"/>
      <c r="W114" s="977"/>
      <c r="X114" s="977"/>
      <c r="Y114" s="977"/>
      <c r="Z114" s="977"/>
      <c r="AA114" s="977"/>
      <c r="AB114" s="977"/>
      <c r="AC114" s="977"/>
      <c r="AD114" s="977"/>
      <c r="AE114" s="977"/>
      <c r="AF114" s="977"/>
      <c r="AG114" s="977"/>
      <c r="AH114" s="977"/>
      <c r="AI114" s="977"/>
      <c r="AJ114" s="977"/>
      <c r="AK114" s="977"/>
      <c r="AL114" s="977"/>
      <c r="AM114" s="977"/>
      <c r="AN114" s="977"/>
      <c r="AO114" s="977"/>
      <c r="AP114" s="977"/>
      <c r="AQ114" s="977"/>
      <c r="AR114" s="335"/>
      <c r="AS114" s="335"/>
      <c r="AT114" s="335"/>
      <c r="AU114" s="335"/>
      <c r="AV114" s="335"/>
      <c r="AW114" s="335"/>
      <c r="AX114" s="335"/>
      <c r="AY114" s="335"/>
      <c r="AZ114" s="335"/>
      <c r="BA114" s="335"/>
      <c r="BB114" s="335"/>
      <c r="BC114" s="335"/>
      <c r="BD114" s="335"/>
      <c r="BE114" s="335"/>
      <c r="BF114" s="335"/>
      <c r="BG114" s="335"/>
      <c r="BH114" s="335"/>
      <c r="BI114" s="335"/>
      <c r="BJ114" s="335"/>
      <c r="BK114" s="335"/>
      <c r="BL114" s="335"/>
      <c r="BM114" s="335"/>
      <c r="BN114" s="335"/>
      <c r="BO114" s="335"/>
      <c r="BP114" s="335"/>
      <c r="BQ114" s="335"/>
      <c r="BR114" s="335"/>
      <c r="BS114" s="335"/>
      <c r="BT114" s="335"/>
      <c r="BU114" s="335"/>
      <c r="BV114" s="335"/>
      <c r="BW114" s="335"/>
      <c r="BX114" s="335"/>
      <c r="BY114" s="335"/>
      <c r="BZ114" s="335"/>
      <c r="CA114" s="335"/>
      <c r="CB114" s="335"/>
      <c r="CC114" s="335"/>
      <c r="CD114" s="335"/>
      <c r="CE114" s="335"/>
      <c r="CF114" s="335"/>
      <c r="CG114" s="335"/>
      <c r="CH114" s="335"/>
      <c r="CI114" s="335"/>
      <c r="CJ114" s="335"/>
      <c r="CK114" s="335"/>
      <c r="CL114" s="335"/>
      <c r="CM114" s="335"/>
      <c r="CN114" s="335"/>
      <c r="CO114" s="335"/>
      <c r="CP114" s="335"/>
      <c r="CQ114" s="335"/>
      <c r="CR114" s="335"/>
      <c r="CS114" s="335"/>
      <c r="CT114" s="335"/>
      <c r="CU114" s="335"/>
      <c r="CV114" s="335"/>
      <c r="CW114" s="335"/>
      <c r="CX114" s="335"/>
      <c r="CY114" s="335"/>
      <c r="CZ114" s="335"/>
      <c r="DA114" s="335"/>
      <c r="DB114" s="335"/>
      <c r="DC114" s="335"/>
      <c r="DD114" s="335"/>
      <c r="DE114" s="335"/>
      <c r="DF114" s="335"/>
      <c r="DG114" s="335"/>
      <c r="DH114" s="335"/>
      <c r="DI114" s="335"/>
      <c r="DJ114" s="335"/>
      <c r="DK114" s="335"/>
      <c r="DL114" s="335"/>
      <c r="DM114" s="335"/>
      <c r="DN114" s="335"/>
      <c r="DO114" s="335"/>
    </row>
    <row r="115" spans="1:119" ht="35.1" customHeight="1">
      <c r="A115" s="977"/>
      <c r="B115" s="977"/>
      <c r="C115" s="977"/>
      <c r="D115" s="977"/>
      <c r="E115" s="977"/>
      <c r="F115" s="977"/>
      <c r="G115" s="977"/>
      <c r="H115" s="977"/>
      <c r="I115" s="977"/>
      <c r="J115" s="977"/>
      <c r="K115" s="977"/>
      <c r="L115" s="977"/>
      <c r="M115" s="977"/>
      <c r="N115" s="977"/>
      <c r="O115" s="977"/>
      <c r="P115" s="977"/>
      <c r="Q115" s="977"/>
      <c r="R115" s="977"/>
      <c r="S115" s="977"/>
      <c r="T115" s="977"/>
      <c r="U115" s="977"/>
      <c r="V115" s="977"/>
      <c r="W115" s="977"/>
      <c r="X115" s="977"/>
      <c r="Y115" s="977"/>
      <c r="Z115" s="977"/>
      <c r="AA115" s="977"/>
      <c r="AB115" s="977"/>
      <c r="AC115" s="977"/>
      <c r="AD115" s="977"/>
      <c r="AE115" s="977"/>
      <c r="AF115" s="977"/>
      <c r="AG115" s="977"/>
      <c r="AH115" s="977"/>
      <c r="AI115" s="977"/>
      <c r="AJ115" s="977"/>
      <c r="AK115" s="977"/>
      <c r="AL115" s="977"/>
      <c r="AM115" s="977"/>
      <c r="AN115" s="977"/>
      <c r="AO115" s="977"/>
      <c r="AP115" s="977"/>
      <c r="AQ115" s="977"/>
      <c r="AR115" s="335"/>
      <c r="AS115" s="335"/>
      <c r="AT115" s="335"/>
      <c r="AU115" s="335"/>
      <c r="AV115" s="335"/>
      <c r="AW115" s="335"/>
      <c r="AX115" s="335"/>
      <c r="AY115" s="335"/>
      <c r="AZ115" s="335"/>
      <c r="BA115" s="335"/>
      <c r="BB115" s="335"/>
      <c r="BC115" s="335"/>
      <c r="BD115" s="335"/>
      <c r="BE115" s="335"/>
      <c r="BF115" s="335"/>
      <c r="BG115" s="335"/>
      <c r="BH115" s="335"/>
      <c r="BI115" s="335"/>
      <c r="BJ115" s="335"/>
      <c r="BK115" s="335"/>
      <c r="BL115" s="335"/>
      <c r="BM115" s="335"/>
      <c r="BN115" s="335"/>
      <c r="BO115" s="335"/>
      <c r="BP115" s="335"/>
      <c r="BQ115" s="335"/>
      <c r="BR115" s="335"/>
      <c r="BS115" s="335"/>
      <c r="BT115" s="335"/>
      <c r="BU115" s="335"/>
      <c r="BV115" s="335"/>
      <c r="BW115" s="335"/>
      <c r="BX115" s="335"/>
      <c r="BY115" s="335"/>
      <c r="BZ115" s="335"/>
      <c r="CA115" s="335"/>
      <c r="CB115" s="335"/>
      <c r="CC115" s="335"/>
      <c r="CD115" s="335"/>
      <c r="CE115" s="335"/>
      <c r="CF115" s="335"/>
      <c r="CG115" s="335"/>
      <c r="CH115" s="335"/>
      <c r="CI115" s="335"/>
      <c r="CJ115" s="335"/>
      <c r="CK115" s="335"/>
      <c r="CL115" s="335"/>
      <c r="CM115" s="335"/>
      <c r="CN115" s="335"/>
      <c r="CO115" s="335"/>
      <c r="CP115" s="335"/>
      <c r="CQ115" s="335"/>
      <c r="CR115" s="335"/>
      <c r="CS115" s="335"/>
      <c r="CT115" s="335"/>
      <c r="CU115" s="335"/>
      <c r="CV115" s="335"/>
      <c r="CW115" s="335"/>
      <c r="CX115" s="335"/>
      <c r="CY115" s="335"/>
      <c r="CZ115" s="335"/>
      <c r="DA115" s="335"/>
      <c r="DB115" s="335"/>
      <c r="DC115" s="335"/>
      <c r="DD115" s="335"/>
      <c r="DE115" s="335"/>
      <c r="DF115" s="335"/>
      <c r="DG115" s="335"/>
      <c r="DH115" s="335"/>
      <c r="DI115" s="335"/>
      <c r="DJ115" s="335"/>
      <c r="DK115" s="335"/>
      <c r="DL115" s="335"/>
      <c r="DM115" s="335"/>
      <c r="DN115" s="335"/>
      <c r="DO115" s="335"/>
    </row>
    <row r="116" spans="1:119" ht="35.1" customHeight="1">
      <c r="A116" s="977"/>
      <c r="B116" s="977"/>
      <c r="C116" s="977"/>
      <c r="D116" s="977"/>
      <c r="E116" s="977"/>
      <c r="F116" s="977"/>
      <c r="G116" s="977"/>
      <c r="H116" s="977"/>
      <c r="I116" s="977"/>
      <c r="J116" s="977"/>
      <c r="K116" s="977"/>
      <c r="L116" s="977"/>
      <c r="M116" s="977"/>
      <c r="N116" s="977"/>
      <c r="O116" s="977"/>
      <c r="P116" s="977"/>
      <c r="Q116" s="977"/>
      <c r="R116" s="977"/>
      <c r="S116" s="977"/>
      <c r="T116" s="977"/>
      <c r="U116" s="977"/>
      <c r="V116" s="977"/>
      <c r="W116" s="977"/>
      <c r="X116" s="977"/>
      <c r="Y116" s="977"/>
      <c r="Z116" s="977"/>
      <c r="AA116" s="977"/>
      <c r="AB116" s="977"/>
      <c r="AC116" s="977"/>
      <c r="AD116" s="977"/>
      <c r="AE116" s="977"/>
      <c r="AF116" s="977"/>
      <c r="AG116" s="977"/>
      <c r="AH116" s="977"/>
      <c r="AI116" s="977"/>
      <c r="AJ116" s="977"/>
      <c r="AK116" s="977"/>
      <c r="AL116" s="977"/>
      <c r="AM116" s="977"/>
      <c r="AN116" s="977"/>
      <c r="AO116" s="977"/>
      <c r="AP116" s="977"/>
      <c r="AQ116" s="977"/>
      <c r="AR116" s="335"/>
      <c r="AS116" s="335"/>
      <c r="AT116" s="335"/>
      <c r="AU116" s="335"/>
      <c r="AV116" s="335"/>
      <c r="AW116" s="335"/>
      <c r="AX116" s="335"/>
      <c r="AY116" s="335"/>
      <c r="AZ116" s="335"/>
      <c r="BA116" s="335"/>
      <c r="BB116" s="335"/>
      <c r="BC116" s="335"/>
      <c r="BD116" s="335"/>
      <c r="BE116" s="335"/>
      <c r="BF116" s="335"/>
      <c r="BG116" s="335"/>
      <c r="BH116" s="335"/>
      <c r="BI116" s="335"/>
      <c r="BJ116" s="335"/>
      <c r="BK116" s="335"/>
      <c r="BL116" s="335"/>
      <c r="BM116" s="335"/>
      <c r="BN116" s="335"/>
      <c r="BO116" s="335"/>
      <c r="BP116" s="335"/>
      <c r="BQ116" s="335"/>
      <c r="BR116" s="335"/>
      <c r="BS116" s="335"/>
      <c r="BT116" s="335"/>
      <c r="BU116" s="335"/>
      <c r="BV116" s="335"/>
      <c r="BW116" s="335"/>
      <c r="BX116" s="335"/>
      <c r="BY116" s="335"/>
      <c r="BZ116" s="335"/>
      <c r="CA116" s="335"/>
      <c r="CB116" s="335"/>
      <c r="CC116" s="335"/>
      <c r="CD116" s="335"/>
      <c r="CE116" s="335"/>
      <c r="CF116" s="335"/>
      <c r="CG116" s="335"/>
      <c r="CH116" s="335"/>
      <c r="CI116" s="335"/>
      <c r="CJ116" s="335"/>
      <c r="CK116" s="335"/>
      <c r="CL116" s="335"/>
      <c r="CM116" s="335"/>
      <c r="CN116" s="335"/>
      <c r="CO116" s="335"/>
      <c r="CP116" s="335"/>
      <c r="CQ116" s="335"/>
      <c r="CR116" s="335"/>
      <c r="CS116" s="335"/>
      <c r="CT116" s="335"/>
      <c r="CU116" s="335"/>
      <c r="CV116" s="335"/>
      <c r="CW116" s="335"/>
      <c r="CX116" s="335"/>
      <c r="CY116" s="335"/>
      <c r="CZ116" s="335"/>
      <c r="DA116" s="335"/>
      <c r="DB116" s="335"/>
      <c r="DC116" s="335"/>
      <c r="DD116" s="335"/>
      <c r="DE116" s="335"/>
      <c r="DF116" s="335"/>
      <c r="DG116" s="335"/>
      <c r="DH116" s="335"/>
      <c r="DI116" s="335"/>
      <c r="DJ116" s="335"/>
      <c r="DK116" s="335"/>
      <c r="DL116" s="335"/>
      <c r="DM116" s="335"/>
      <c r="DN116" s="335"/>
      <c r="DO116" s="335"/>
    </row>
    <row r="117" spans="1:119" ht="35.1" customHeight="1">
      <c r="A117" s="977"/>
      <c r="B117" s="977"/>
      <c r="C117" s="977"/>
      <c r="D117" s="977"/>
      <c r="E117" s="977"/>
      <c r="F117" s="977"/>
      <c r="G117" s="977"/>
      <c r="H117" s="977"/>
      <c r="I117" s="977"/>
      <c r="J117" s="977"/>
      <c r="K117" s="977"/>
      <c r="L117" s="977"/>
      <c r="M117" s="977"/>
      <c r="N117" s="977"/>
      <c r="O117" s="977"/>
      <c r="P117" s="977"/>
      <c r="Q117" s="977"/>
      <c r="R117" s="977"/>
      <c r="S117" s="977"/>
      <c r="T117" s="977"/>
      <c r="U117" s="977"/>
      <c r="V117" s="977"/>
      <c r="W117" s="977"/>
      <c r="X117" s="977"/>
      <c r="Y117" s="977"/>
      <c r="Z117" s="977"/>
      <c r="AA117" s="977"/>
      <c r="AB117" s="977"/>
      <c r="AC117" s="977"/>
      <c r="AD117" s="977"/>
      <c r="AE117" s="977"/>
      <c r="AF117" s="977"/>
      <c r="AG117" s="977"/>
      <c r="AH117" s="977"/>
      <c r="AI117" s="977"/>
      <c r="AJ117" s="977"/>
      <c r="AK117" s="977"/>
      <c r="AL117" s="977"/>
      <c r="AM117" s="977"/>
      <c r="AN117" s="977"/>
      <c r="AO117" s="977"/>
      <c r="AP117" s="977"/>
      <c r="AQ117" s="977"/>
      <c r="AR117" s="335"/>
      <c r="AS117" s="335"/>
      <c r="AT117" s="335"/>
      <c r="AU117" s="335"/>
      <c r="AV117" s="335"/>
      <c r="AW117" s="335"/>
      <c r="AX117" s="335"/>
      <c r="AY117" s="335"/>
      <c r="AZ117" s="335"/>
      <c r="BA117" s="335"/>
      <c r="BB117" s="335"/>
      <c r="BC117" s="335"/>
      <c r="BD117" s="335"/>
      <c r="BE117" s="335"/>
      <c r="BF117" s="335"/>
      <c r="BG117" s="335"/>
      <c r="BH117" s="335"/>
      <c r="BI117" s="335"/>
      <c r="BJ117" s="335"/>
      <c r="BK117" s="335"/>
      <c r="BL117" s="335"/>
      <c r="BM117" s="335"/>
      <c r="BN117" s="335"/>
      <c r="BO117" s="335"/>
      <c r="BP117" s="335"/>
      <c r="BQ117" s="335"/>
      <c r="BR117" s="335"/>
      <c r="BS117" s="335"/>
      <c r="BT117" s="335"/>
      <c r="BU117" s="335"/>
      <c r="BV117" s="335"/>
      <c r="BW117" s="335"/>
      <c r="BX117" s="335"/>
      <c r="BY117" s="335"/>
      <c r="BZ117" s="335"/>
      <c r="CA117" s="335"/>
      <c r="CB117" s="335"/>
      <c r="CC117" s="335"/>
      <c r="CD117" s="335"/>
      <c r="CE117" s="335"/>
      <c r="CF117" s="335"/>
      <c r="CG117" s="335"/>
      <c r="CH117" s="335"/>
      <c r="CI117" s="335"/>
      <c r="CJ117" s="335"/>
      <c r="CK117" s="335"/>
      <c r="CL117" s="335"/>
      <c r="CM117" s="335"/>
      <c r="CN117" s="335"/>
      <c r="CO117" s="335"/>
      <c r="CP117" s="335"/>
      <c r="CQ117" s="335"/>
      <c r="CR117" s="335"/>
      <c r="CS117" s="335"/>
      <c r="CT117" s="335"/>
      <c r="CU117" s="335"/>
      <c r="CV117" s="335"/>
      <c r="CW117" s="335"/>
      <c r="CX117" s="335"/>
      <c r="CY117" s="335"/>
      <c r="CZ117" s="335"/>
      <c r="DA117" s="335"/>
      <c r="DB117" s="335"/>
      <c r="DC117" s="335"/>
      <c r="DD117" s="335"/>
      <c r="DE117" s="335"/>
      <c r="DF117" s="335"/>
      <c r="DG117" s="335"/>
      <c r="DH117" s="335"/>
      <c r="DI117" s="335"/>
      <c r="DJ117" s="335"/>
      <c r="DK117" s="335"/>
      <c r="DL117" s="335"/>
      <c r="DM117" s="335"/>
      <c r="DN117" s="335"/>
      <c r="DO117" s="335"/>
    </row>
    <row r="118" spans="1:119" ht="35.1" customHeight="1">
      <c r="A118" s="977"/>
      <c r="B118" s="977"/>
      <c r="C118" s="977"/>
      <c r="D118" s="977"/>
      <c r="E118" s="977"/>
      <c r="F118" s="977"/>
      <c r="G118" s="977"/>
      <c r="H118" s="977"/>
      <c r="I118" s="977"/>
      <c r="J118" s="977"/>
      <c r="K118" s="977"/>
      <c r="L118" s="977"/>
      <c r="M118" s="977"/>
      <c r="N118" s="977"/>
      <c r="O118" s="977"/>
      <c r="P118" s="977"/>
      <c r="Q118" s="977"/>
      <c r="R118" s="977"/>
      <c r="S118" s="977"/>
      <c r="T118" s="977"/>
      <c r="U118" s="977"/>
      <c r="V118" s="977"/>
      <c r="W118" s="977"/>
      <c r="X118" s="977"/>
      <c r="Y118" s="977"/>
      <c r="Z118" s="977"/>
      <c r="AA118" s="977"/>
      <c r="AB118" s="977"/>
      <c r="AC118" s="977"/>
      <c r="AD118" s="977"/>
      <c r="AE118" s="977"/>
      <c r="AF118" s="977"/>
      <c r="AG118" s="977"/>
      <c r="AH118" s="977"/>
      <c r="AI118" s="977"/>
      <c r="AJ118" s="977"/>
      <c r="AK118" s="977"/>
      <c r="AL118" s="977"/>
      <c r="AM118" s="977"/>
      <c r="AN118" s="977"/>
      <c r="AO118" s="977"/>
      <c r="AP118" s="977"/>
      <c r="AQ118" s="977"/>
      <c r="AR118" s="335"/>
      <c r="AS118" s="335"/>
      <c r="AT118" s="335"/>
      <c r="AU118" s="335"/>
      <c r="AV118" s="335"/>
      <c r="AW118" s="335"/>
      <c r="AX118" s="335"/>
      <c r="AY118" s="335"/>
      <c r="AZ118" s="335"/>
      <c r="BA118" s="335"/>
      <c r="BB118" s="335"/>
      <c r="BC118" s="335"/>
      <c r="BD118" s="335"/>
      <c r="BE118" s="335"/>
      <c r="BF118" s="335"/>
      <c r="BG118" s="335"/>
      <c r="BH118" s="335"/>
      <c r="BI118" s="335"/>
      <c r="BJ118" s="335"/>
      <c r="BK118" s="335"/>
      <c r="BL118" s="335"/>
      <c r="BM118" s="335"/>
      <c r="BN118" s="335"/>
      <c r="BO118" s="335"/>
      <c r="BP118" s="335"/>
      <c r="BQ118" s="335"/>
      <c r="BR118" s="335"/>
      <c r="BS118" s="335"/>
      <c r="BT118" s="335"/>
      <c r="BU118" s="335"/>
      <c r="BV118" s="335"/>
      <c r="BW118" s="335"/>
      <c r="BX118" s="335"/>
      <c r="BY118" s="335"/>
      <c r="BZ118" s="335"/>
      <c r="CA118" s="335"/>
      <c r="CB118" s="335"/>
      <c r="CC118" s="335"/>
      <c r="CD118" s="335"/>
      <c r="CE118" s="335"/>
      <c r="CF118" s="335"/>
      <c r="CG118" s="335"/>
      <c r="CH118" s="335"/>
      <c r="CI118" s="335"/>
      <c r="CJ118" s="335"/>
      <c r="CK118" s="335"/>
      <c r="CL118" s="335"/>
      <c r="CM118" s="335"/>
      <c r="CN118" s="335"/>
      <c r="CO118" s="335"/>
      <c r="CP118" s="335"/>
      <c r="CQ118" s="335"/>
      <c r="CR118" s="335"/>
      <c r="CS118" s="335"/>
      <c r="CT118" s="335"/>
      <c r="CU118" s="335"/>
      <c r="CV118" s="335"/>
      <c r="CW118" s="335"/>
      <c r="CX118" s="335"/>
      <c r="CY118" s="335"/>
      <c r="CZ118" s="335"/>
      <c r="DA118" s="335"/>
      <c r="DB118" s="335"/>
      <c r="DC118" s="335"/>
      <c r="DD118" s="335"/>
      <c r="DE118" s="335"/>
      <c r="DF118" s="335"/>
      <c r="DG118" s="335"/>
      <c r="DH118" s="335"/>
      <c r="DI118" s="335"/>
      <c r="DJ118" s="335"/>
      <c r="DK118" s="335"/>
      <c r="DL118" s="335"/>
      <c r="DM118" s="335"/>
      <c r="DN118" s="335"/>
      <c r="DO118" s="335"/>
    </row>
    <row r="119" spans="1:119" ht="35.1" customHeight="1">
      <c r="A119" s="977"/>
      <c r="B119" s="977"/>
      <c r="C119" s="977"/>
      <c r="D119" s="977"/>
      <c r="E119" s="977"/>
      <c r="F119" s="977"/>
      <c r="G119" s="977"/>
      <c r="H119" s="977"/>
      <c r="I119" s="977"/>
      <c r="J119" s="977"/>
      <c r="K119" s="977"/>
      <c r="L119" s="977"/>
      <c r="M119" s="977"/>
      <c r="N119" s="977"/>
      <c r="O119" s="977"/>
      <c r="P119" s="977"/>
      <c r="Q119" s="977"/>
      <c r="R119" s="977"/>
      <c r="S119" s="977"/>
      <c r="T119" s="977"/>
      <c r="U119" s="977"/>
      <c r="V119" s="977"/>
      <c r="W119" s="977"/>
      <c r="X119" s="977"/>
      <c r="Y119" s="977"/>
      <c r="Z119" s="977"/>
      <c r="AA119" s="977"/>
      <c r="AB119" s="977"/>
      <c r="AC119" s="977"/>
      <c r="AD119" s="977"/>
      <c r="AE119" s="977"/>
      <c r="AF119" s="977"/>
      <c r="AG119" s="977"/>
      <c r="AH119" s="977"/>
      <c r="AI119" s="977"/>
      <c r="AJ119" s="977"/>
      <c r="AK119" s="977"/>
      <c r="AL119" s="977"/>
      <c r="AM119" s="977"/>
      <c r="AN119" s="977"/>
      <c r="AO119" s="977"/>
      <c r="AP119" s="977"/>
      <c r="AQ119" s="977"/>
      <c r="AR119" s="335"/>
      <c r="AS119" s="335"/>
      <c r="AT119" s="335"/>
      <c r="AU119" s="335"/>
      <c r="AV119" s="335"/>
      <c r="AW119" s="335"/>
      <c r="AX119" s="335"/>
      <c r="AY119" s="335"/>
      <c r="AZ119" s="335"/>
      <c r="BA119" s="335"/>
      <c r="BB119" s="335"/>
      <c r="BC119" s="335"/>
      <c r="BD119" s="335"/>
      <c r="BE119" s="335"/>
      <c r="BF119" s="335"/>
      <c r="BG119" s="335"/>
      <c r="BH119" s="335"/>
      <c r="BI119" s="335"/>
      <c r="BJ119" s="335"/>
      <c r="BK119" s="335"/>
      <c r="BL119" s="335"/>
      <c r="BM119" s="335"/>
      <c r="BN119" s="335"/>
      <c r="BO119" s="335"/>
      <c r="BP119" s="335"/>
      <c r="BQ119" s="335"/>
      <c r="BR119" s="335"/>
      <c r="BS119" s="335"/>
      <c r="BT119" s="335"/>
      <c r="BU119" s="335"/>
      <c r="BV119" s="335"/>
      <c r="BW119" s="335"/>
      <c r="BX119" s="335"/>
      <c r="BY119" s="335"/>
      <c r="BZ119" s="335"/>
      <c r="CA119" s="335"/>
      <c r="CB119" s="335"/>
      <c r="CC119" s="335"/>
      <c r="CD119" s="335"/>
      <c r="CE119" s="335"/>
      <c r="CF119" s="335"/>
      <c r="CG119" s="335"/>
      <c r="CH119" s="335"/>
      <c r="CI119" s="335"/>
      <c r="CJ119" s="335"/>
      <c r="CK119" s="335"/>
      <c r="CL119" s="335"/>
      <c r="CM119" s="335"/>
      <c r="CN119" s="335"/>
      <c r="CO119" s="335"/>
      <c r="CP119" s="335"/>
      <c r="CQ119" s="335"/>
      <c r="CR119" s="335"/>
      <c r="CS119" s="335"/>
      <c r="CT119" s="335"/>
      <c r="CU119" s="335"/>
      <c r="CV119" s="335"/>
      <c r="CW119" s="335"/>
      <c r="CX119" s="335"/>
      <c r="CY119" s="335"/>
      <c r="CZ119" s="335"/>
      <c r="DA119" s="335"/>
      <c r="DB119" s="335"/>
      <c r="DC119" s="335"/>
      <c r="DD119" s="335"/>
      <c r="DE119" s="335"/>
      <c r="DF119" s="335"/>
      <c r="DG119" s="335"/>
      <c r="DH119" s="335"/>
      <c r="DI119" s="335"/>
      <c r="DJ119" s="335"/>
      <c r="DK119" s="335"/>
      <c r="DL119" s="335"/>
      <c r="DM119" s="335"/>
      <c r="DN119" s="335"/>
      <c r="DO119" s="335"/>
    </row>
    <row r="120" spans="1:119" ht="35.1" customHeight="1">
      <c r="A120" s="977"/>
      <c r="B120" s="977"/>
      <c r="C120" s="977"/>
      <c r="D120" s="977"/>
      <c r="E120" s="977"/>
      <c r="F120" s="977"/>
      <c r="G120" s="977"/>
      <c r="H120" s="977"/>
      <c r="I120" s="977"/>
      <c r="J120" s="977"/>
      <c r="K120" s="977"/>
      <c r="L120" s="977"/>
      <c r="M120" s="977"/>
      <c r="N120" s="977"/>
      <c r="O120" s="977"/>
      <c r="P120" s="977"/>
      <c r="Q120" s="977"/>
      <c r="R120" s="977"/>
      <c r="S120" s="977"/>
      <c r="T120" s="977"/>
      <c r="U120" s="977"/>
      <c r="V120" s="977"/>
      <c r="W120" s="977"/>
      <c r="X120" s="977"/>
      <c r="Y120" s="977"/>
      <c r="Z120" s="977"/>
      <c r="AA120" s="977"/>
      <c r="AB120" s="977"/>
      <c r="AC120" s="977"/>
      <c r="AD120" s="977"/>
      <c r="AE120" s="977"/>
      <c r="AF120" s="977"/>
      <c r="AG120" s="977"/>
      <c r="AH120" s="977"/>
      <c r="AI120" s="977"/>
      <c r="AJ120" s="977"/>
      <c r="AK120" s="977"/>
      <c r="AL120" s="977"/>
      <c r="AM120" s="977"/>
      <c r="AN120" s="977"/>
      <c r="AO120" s="977"/>
      <c r="AP120" s="977"/>
      <c r="AQ120" s="977"/>
      <c r="AR120" s="335"/>
      <c r="AS120" s="335"/>
      <c r="AT120" s="335"/>
      <c r="AU120" s="335"/>
      <c r="AV120" s="335"/>
      <c r="AW120" s="335"/>
      <c r="AX120" s="335"/>
      <c r="AY120" s="335"/>
      <c r="AZ120" s="335"/>
      <c r="BA120" s="335"/>
      <c r="BB120" s="335"/>
      <c r="BC120" s="335"/>
      <c r="BD120" s="335"/>
      <c r="BE120" s="335"/>
      <c r="BF120" s="335"/>
      <c r="BG120" s="335"/>
      <c r="BH120" s="335"/>
      <c r="BI120" s="335"/>
      <c r="BJ120" s="335"/>
      <c r="BK120" s="335"/>
      <c r="BL120" s="335"/>
      <c r="BM120" s="335"/>
      <c r="BN120" s="335"/>
      <c r="BO120" s="335"/>
      <c r="BP120" s="335"/>
      <c r="BQ120" s="335"/>
      <c r="BR120" s="335"/>
      <c r="BS120" s="335"/>
      <c r="BT120" s="335"/>
      <c r="BU120" s="335"/>
      <c r="BV120" s="335"/>
      <c r="BW120" s="335"/>
      <c r="BX120" s="335"/>
      <c r="BY120" s="335"/>
      <c r="BZ120" s="335"/>
      <c r="CA120" s="335"/>
      <c r="CB120" s="335"/>
      <c r="CC120" s="335"/>
      <c r="CD120" s="335"/>
      <c r="CE120" s="335"/>
      <c r="CF120" s="335"/>
      <c r="CG120" s="335"/>
      <c r="CH120" s="335"/>
      <c r="CI120" s="335"/>
      <c r="CJ120" s="335"/>
      <c r="CK120" s="335"/>
      <c r="CL120" s="335"/>
      <c r="CM120" s="335"/>
      <c r="CN120" s="335"/>
      <c r="CO120" s="335"/>
      <c r="CP120" s="335"/>
      <c r="CQ120" s="335"/>
      <c r="CR120" s="335"/>
      <c r="CS120" s="335"/>
      <c r="CT120" s="335"/>
      <c r="CU120" s="335"/>
      <c r="CV120" s="335"/>
      <c r="CW120" s="335"/>
      <c r="CX120" s="335"/>
      <c r="CY120" s="335"/>
      <c r="CZ120" s="335"/>
      <c r="DA120" s="335"/>
      <c r="DB120" s="335"/>
      <c r="DC120" s="335"/>
      <c r="DD120" s="335"/>
      <c r="DE120" s="335"/>
      <c r="DF120" s="335"/>
      <c r="DG120" s="335"/>
      <c r="DH120" s="335"/>
      <c r="DI120" s="335"/>
      <c r="DJ120" s="335"/>
      <c r="DK120" s="335"/>
      <c r="DL120" s="335"/>
      <c r="DM120" s="335"/>
      <c r="DN120" s="335"/>
      <c r="DO120" s="335"/>
    </row>
    <row r="121" spans="1:119" ht="35.1" customHeight="1">
      <c r="A121" s="977"/>
      <c r="B121" s="977"/>
      <c r="C121" s="977"/>
      <c r="D121" s="977"/>
      <c r="E121" s="977"/>
      <c r="F121" s="977"/>
      <c r="G121" s="977"/>
      <c r="H121" s="977"/>
      <c r="I121" s="977"/>
      <c r="J121" s="977"/>
      <c r="K121" s="977"/>
      <c r="L121" s="977"/>
      <c r="M121" s="977"/>
      <c r="N121" s="977"/>
      <c r="O121" s="977"/>
      <c r="P121" s="977"/>
      <c r="Q121" s="977"/>
      <c r="R121" s="977"/>
      <c r="S121" s="977"/>
      <c r="T121" s="977"/>
      <c r="U121" s="977"/>
      <c r="V121" s="977"/>
      <c r="W121" s="977"/>
      <c r="X121" s="977"/>
      <c r="Y121" s="977"/>
      <c r="Z121" s="977"/>
      <c r="AA121" s="977"/>
      <c r="AB121" s="977"/>
      <c r="AC121" s="977"/>
      <c r="AD121" s="977"/>
      <c r="AE121" s="977"/>
      <c r="AF121" s="977"/>
      <c r="AG121" s="977"/>
      <c r="AH121" s="977"/>
      <c r="AI121" s="977"/>
      <c r="AJ121" s="977"/>
      <c r="AK121" s="977"/>
      <c r="AL121" s="977"/>
      <c r="AM121" s="977"/>
      <c r="AN121" s="977"/>
      <c r="AO121" s="977"/>
      <c r="AP121" s="977"/>
      <c r="AQ121" s="977"/>
      <c r="AR121" s="335"/>
      <c r="AS121" s="335"/>
      <c r="AT121" s="335"/>
      <c r="AU121" s="335"/>
      <c r="AV121" s="335"/>
      <c r="AW121" s="335"/>
      <c r="AX121" s="335"/>
      <c r="AY121" s="335"/>
      <c r="AZ121" s="335"/>
      <c r="BA121" s="335"/>
      <c r="BB121" s="335"/>
      <c r="BC121" s="335"/>
      <c r="BD121" s="335"/>
      <c r="BE121" s="335"/>
      <c r="BF121" s="335"/>
      <c r="BG121" s="335"/>
      <c r="BH121" s="335"/>
      <c r="BI121" s="335"/>
      <c r="BJ121" s="335"/>
      <c r="BK121" s="335"/>
      <c r="BL121" s="335"/>
      <c r="BM121" s="335"/>
      <c r="BN121" s="335"/>
      <c r="BO121" s="335"/>
      <c r="BP121" s="335"/>
      <c r="BQ121" s="335"/>
      <c r="BR121" s="335"/>
      <c r="BS121" s="335"/>
      <c r="BT121" s="335"/>
      <c r="BU121" s="335"/>
      <c r="BV121" s="335"/>
      <c r="BW121" s="335"/>
      <c r="BX121" s="335"/>
      <c r="BY121" s="335"/>
      <c r="BZ121" s="335"/>
      <c r="CA121" s="335"/>
      <c r="CB121" s="335"/>
      <c r="CC121" s="335"/>
      <c r="CD121" s="335"/>
      <c r="CE121" s="335"/>
      <c r="CF121" s="335"/>
      <c r="CG121" s="335"/>
      <c r="CH121" s="335"/>
      <c r="CI121" s="335"/>
      <c r="CJ121" s="335"/>
      <c r="CK121" s="335"/>
      <c r="CL121" s="335"/>
      <c r="CM121" s="335"/>
      <c r="CN121" s="335"/>
      <c r="CO121" s="335"/>
      <c r="CP121" s="335"/>
      <c r="CQ121" s="335"/>
      <c r="CR121" s="335"/>
      <c r="CS121" s="335"/>
      <c r="CT121" s="335"/>
      <c r="CU121" s="335"/>
      <c r="CV121" s="335"/>
      <c r="CW121" s="335"/>
      <c r="CX121" s="335"/>
      <c r="CY121" s="335"/>
      <c r="CZ121" s="335"/>
      <c r="DA121" s="335"/>
      <c r="DB121" s="335"/>
      <c r="DC121" s="335"/>
      <c r="DD121" s="335"/>
      <c r="DE121" s="335"/>
      <c r="DF121" s="335"/>
      <c r="DG121" s="335"/>
      <c r="DH121" s="335"/>
      <c r="DI121" s="335"/>
      <c r="DJ121" s="335"/>
      <c r="DK121" s="335"/>
      <c r="DL121" s="335"/>
      <c r="DM121" s="335"/>
      <c r="DN121" s="335"/>
      <c r="DO121" s="335"/>
    </row>
    <row r="122" spans="1:119" ht="35.1" customHeight="1">
      <c r="A122" s="977"/>
      <c r="B122" s="977"/>
      <c r="C122" s="977"/>
      <c r="D122" s="977"/>
      <c r="E122" s="977"/>
      <c r="F122" s="977"/>
      <c r="G122" s="977"/>
      <c r="H122" s="977"/>
      <c r="I122" s="977"/>
      <c r="J122" s="977"/>
      <c r="K122" s="977"/>
      <c r="L122" s="977"/>
      <c r="M122" s="977"/>
      <c r="N122" s="977"/>
      <c r="O122" s="977"/>
      <c r="P122" s="977"/>
      <c r="Q122" s="977"/>
      <c r="R122" s="977"/>
      <c r="S122" s="977"/>
      <c r="T122" s="977"/>
      <c r="U122" s="977"/>
      <c r="V122" s="977"/>
      <c r="W122" s="977"/>
      <c r="X122" s="977"/>
      <c r="Y122" s="977"/>
      <c r="Z122" s="977"/>
      <c r="AA122" s="977"/>
      <c r="AB122" s="977"/>
      <c r="AC122" s="977"/>
      <c r="AD122" s="977"/>
      <c r="AE122" s="977"/>
      <c r="AF122" s="977"/>
      <c r="AG122" s="977"/>
      <c r="AH122" s="977"/>
      <c r="AI122" s="977"/>
      <c r="AJ122" s="977"/>
      <c r="AK122" s="977"/>
      <c r="AL122" s="977"/>
      <c r="AM122" s="977"/>
      <c r="AN122" s="977"/>
      <c r="AO122" s="977"/>
      <c r="AP122" s="977"/>
      <c r="AQ122" s="977"/>
      <c r="AR122" s="335"/>
      <c r="AS122" s="335"/>
      <c r="AT122" s="335"/>
      <c r="AU122" s="335"/>
      <c r="AV122" s="335"/>
      <c r="AW122" s="335"/>
      <c r="AX122" s="335"/>
      <c r="AY122" s="335"/>
      <c r="AZ122" s="335"/>
      <c r="BA122" s="335"/>
      <c r="BB122" s="335"/>
      <c r="BC122" s="335"/>
      <c r="BD122" s="335"/>
      <c r="BE122" s="335"/>
      <c r="BF122" s="335"/>
      <c r="BG122" s="335"/>
      <c r="BH122" s="335"/>
      <c r="BI122" s="335"/>
      <c r="BJ122" s="335"/>
      <c r="BK122" s="335"/>
      <c r="BL122" s="335"/>
      <c r="BM122" s="335"/>
      <c r="BN122" s="335"/>
      <c r="BO122" s="335"/>
      <c r="BP122" s="335"/>
      <c r="BQ122" s="335"/>
      <c r="BR122" s="335"/>
      <c r="BS122" s="335"/>
      <c r="BT122" s="335"/>
      <c r="BU122" s="335"/>
      <c r="BV122" s="335"/>
      <c r="BW122" s="335"/>
      <c r="BX122" s="335"/>
      <c r="BY122" s="335"/>
      <c r="BZ122" s="335"/>
      <c r="CA122" s="335"/>
      <c r="CB122" s="335"/>
      <c r="CC122" s="335"/>
      <c r="CD122" s="335"/>
      <c r="CE122" s="335"/>
      <c r="CF122" s="335"/>
      <c r="CG122" s="335"/>
      <c r="CH122" s="335"/>
      <c r="CI122" s="335"/>
      <c r="CJ122" s="335"/>
      <c r="CK122" s="335"/>
      <c r="CL122" s="335"/>
      <c r="CM122" s="335"/>
      <c r="CN122" s="335"/>
      <c r="CO122" s="335"/>
      <c r="CP122" s="335"/>
      <c r="CQ122" s="335"/>
      <c r="CR122" s="335"/>
      <c r="CS122" s="335"/>
      <c r="CT122" s="335"/>
      <c r="CU122" s="335"/>
      <c r="CV122" s="335"/>
      <c r="CW122" s="335"/>
      <c r="CX122" s="335"/>
      <c r="CY122" s="335"/>
      <c r="CZ122" s="335"/>
      <c r="DA122" s="335"/>
      <c r="DB122" s="335"/>
      <c r="DC122" s="335"/>
      <c r="DD122" s="335"/>
      <c r="DE122" s="335"/>
      <c r="DF122" s="335"/>
      <c r="DG122" s="335"/>
      <c r="DH122" s="335"/>
      <c r="DI122" s="335"/>
      <c r="DJ122" s="335"/>
      <c r="DK122" s="335"/>
      <c r="DL122" s="335"/>
      <c r="DM122" s="335"/>
      <c r="DN122" s="335"/>
      <c r="DO122" s="335"/>
    </row>
    <row r="123" spans="1:119" ht="35.1" customHeight="1">
      <c r="A123" s="977"/>
      <c r="B123" s="977"/>
      <c r="C123" s="977"/>
      <c r="D123" s="977"/>
      <c r="E123" s="977"/>
      <c r="F123" s="977"/>
      <c r="G123" s="977"/>
      <c r="H123" s="977"/>
      <c r="I123" s="977"/>
      <c r="J123" s="977"/>
      <c r="K123" s="977"/>
      <c r="L123" s="977"/>
      <c r="M123" s="977"/>
      <c r="N123" s="977"/>
      <c r="O123" s="977"/>
      <c r="P123" s="977"/>
      <c r="Q123" s="977"/>
      <c r="R123" s="977"/>
      <c r="S123" s="977"/>
      <c r="T123" s="977"/>
      <c r="U123" s="977"/>
      <c r="V123" s="977"/>
      <c r="W123" s="977"/>
      <c r="X123" s="977"/>
      <c r="Y123" s="977"/>
      <c r="Z123" s="977"/>
      <c r="AA123" s="977"/>
      <c r="AB123" s="977"/>
      <c r="AC123" s="977"/>
      <c r="AD123" s="977"/>
      <c r="AE123" s="977"/>
      <c r="AF123" s="977"/>
      <c r="AG123" s="977"/>
      <c r="AH123" s="977"/>
      <c r="AI123" s="977"/>
      <c r="AJ123" s="977"/>
      <c r="AK123" s="977"/>
      <c r="AL123" s="977"/>
      <c r="AM123" s="977"/>
      <c r="AN123" s="977"/>
      <c r="AO123" s="977"/>
      <c r="AP123" s="977"/>
      <c r="AQ123" s="977"/>
      <c r="AR123" s="335"/>
      <c r="AS123" s="335"/>
      <c r="AT123" s="335"/>
      <c r="AU123" s="335"/>
      <c r="AV123" s="335"/>
      <c r="AW123" s="335"/>
      <c r="AX123" s="335"/>
      <c r="AY123" s="335"/>
      <c r="AZ123" s="335"/>
      <c r="BA123" s="335"/>
      <c r="BB123" s="335"/>
      <c r="BC123" s="335"/>
      <c r="BD123" s="335"/>
      <c r="BE123" s="335"/>
      <c r="BF123" s="335"/>
      <c r="BG123" s="335"/>
      <c r="BH123" s="335"/>
      <c r="BI123" s="335"/>
      <c r="BJ123" s="335"/>
      <c r="BK123" s="335"/>
      <c r="BL123" s="335"/>
      <c r="BM123" s="335"/>
      <c r="BN123" s="335"/>
      <c r="BO123" s="335"/>
      <c r="BP123" s="335"/>
      <c r="BQ123" s="335"/>
      <c r="BR123" s="335"/>
      <c r="BS123" s="335"/>
      <c r="BT123" s="335"/>
      <c r="BU123" s="335"/>
      <c r="BV123" s="335"/>
      <c r="BW123" s="335"/>
      <c r="BX123" s="335"/>
      <c r="BY123" s="335"/>
      <c r="BZ123" s="335"/>
      <c r="CA123" s="335"/>
      <c r="CB123" s="335"/>
      <c r="CC123" s="335"/>
      <c r="CD123" s="335"/>
      <c r="CE123" s="335"/>
      <c r="CF123" s="335"/>
      <c r="CG123" s="335"/>
      <c r="CH123" s="335"/>
      <c r="CI123" s="335"/>
      <c r="CJ123" s="335"/>
      <c r="CK123" s="335"/>
      <c r="CL123" s="335"/>
      <c r="CM123" s="335"/>
      <c r="CN123" s="335"/>
      <c r="CO123" s="335"/>
      <c r="CP123" s="335"/>
      <c r="CQ123" s="335"/>
      <c r="CR123" s="335"/>
      <c r="CS123" s="335"/>
      <c r="CT123" s="335"/>
      <c r="CU123" s="335"/>
      <c r="CV123" s="335"/>
      <c r="CW123" s="335"/>
      <c r="CX123" s="335"/>
      <c r="CY123" s="335"/>
      <c r="CZ123" s="335"/>
      <c r="DA123" s="335"/>
      <c r="DB123" s="335"/>
      <c r="DC123" s="335"/>
      <c r="DD123" s="335"/>
      <c r="DE123" s="335"/>
      <c r="DF123" s="335"/>
      <c r="DG123" s="335"/>
      <c r="DH123" s="335"/>
      <c r="DI123" s="335"/>
      <c r="DJ123" s="335"/>
      <c r="DK123" s="335"/>
      <c r="DL123" s="335"/>
      <c r="DM123" s="335"/>
      <c r="DN123" s="335"/>
      <c r="DO123" s="335"/>
    </row>
    <row r="124" spans="1:119" ht="35.1" customHeight="1">
      <c r="A124" s="977"/>
      <c r="B124" s="977"/>
      <c r="C124" s="977"/>
      <c r="D124" s="977"/>
      <c r="E124" s="977"/>
      <c r="F124" s="977"/>
      <c r="G124" s="977"/>
      <c r="H124" s="977"/>
      <c r="I124" s="977"/>
      <c r="J124" s="977"/>
      <c r="K124" s="977"/>
      <c r="L124" s="977"/>
      <c r="M124" s="977"/>
      <c r="N124" s="977"/>
      <c r="O124" s="977"/>
      <c r="P124" s="977"/>
      <c r="Q124" s="977"/>
      <c r="R124" s="977"/>
      <c r="S124" s="977"/>
      <c r="T124" s="977"/>
      <c r="U124" s="977"/>
      <c r="V124" s="977"/>
      <c r="W124" s="977"/>
      <c r="X124" s="977"/>
      <c r="Y124" s="977"/>
      <c r="Z124" s="977"/>
      <c r="AA124" s="977"/>
      <c r="AB124" s="977"/>
      <c r="AC124" s="977"/>
      <c r="AD124" s="977"/>
      <c r="AE124" s="977"/>
      <c r="AF124" s="977"/>
      <c r="AG124" s="977"/>
      <c r="AH124" s="977"/>
      <c r="AI124" s="977"/>
      <c r="AJ124" s="977"/>
      <c r="AK124" s="977"/>
      <c r="AL124" s="977"/>
      <c r="AM124" s="977"/>
      <c r="AN124" s="977"/>
      <c r="AO124" s="977"/>
      <c r="AP124" s="977"/>
      <c r="AQ124" s="977"/>
      <c r="AR124" s="335"/>
      <c r="AS124" s="335"/>
      <c r="AT124" s="335"/>
      <c r="AU124" s="335"/>
      <c r="AV124" s="335"/>
      <c r="AW124" s="335"/>
      <c r="AX124" s="335"/>
      <c r="AY124" s="335"/>
      <c r="AZ124" s="335"/>
      <c r="BA124" s="335"/>
      <c r="BB124" s="335"/>
      <c r="BC124" s="335"/>
      <c r="BD124" s="335"/>
      <c r="BE124" s="335"/>
      <c r="BF124" s="335"/>
      <c r="BG124" s="335"/>
      <c r="BH124" s="335"/>
      <c r="BI124" s="335"/>
      <c r="BJ124" s="335"/>
      <c r="BK124" s="335"/>
      <c r="BL124" s="335"/>
      <c r="BM124" s="335"/>
      <c r="BN124" s="335"/>
      <c r="BO124" s="335"/>
      <c r="BP124" s="335"/>
      <c r="BQ124" s="335"/>
      <c r="BR124" s="335"/>
      <c r="BS124" s="335"/>
      <c r="BT124" s="335"/>
      <c r="BU124" s="335"/>
      <c r="BV124" s="335"/>
      <c r="BW124" s="335"/>
      <c r="BX124" s="335"/>
      <c r="BY124" s="335"/>
      <c r="BZ124" s="335"/>
      <c r="CA124" s="335"/>
      <c r="CB124" s="335"/>
      <c r="CC124" s="335"/>
      <c r="CD124" s="335"/>
      <c r="CE124" s="335"/>
      <c r="CF124" s="335"/>
      <c r="CG124" s="335"/>
      <c r="CH124" s="335"/>
      <c r="CI124" s="335"/>
      <c r="CJ124" s="335"/>
      <c r="CK124" s="335"/>
      <c r="CL124" s="335"/>
      <c r="CM124" s="335"/>
      <c r="CN124" s="335"/>
      <c r="CO124" s="335"/>
      <c r="CP124" s="335"/>
      <c r="CQ124" s="335"/>
      <c r="CR124" s="335"/>
      <c r="CS124" s="335"/>
      <c r="CT124" s="335"/>
      <c r="CU124" s="335"/>
      <c r="CV124" s="335"/>
      <c r="CW124" s="335"/>
      <c r="CX124" s="335"/>
      <c r="CY124" s="335"/>
      <c r="CZ124" s="335"/>
      <c r="DA124" s="335"/>
      <c r="DB124" s="335"/>
      <c r="DC124" s="335"/>
      <c r="DD124" s="335"/>
      <c r="DE124" s="335"/>
      <c r="DF124" s="335"/>
      <c r="DG124" s="335"/>
      <c r="DH124" s="335"/>
      <c r="DI124" s="335"/>
      <c r="DJ124" s="335"/>
      <c r="DK124" s="335"/>
      <c r="DL124" s="335"/>
      <c r="DM124" s="335"/>
      <c r="DN124" s="335"/>
      <c r="DO124" s="335"/>
    </row>
    <row r="125" spans="1:119" ht="35.1" customHeight="1">
      <c r="A125" s="977"/>
      <c r="B125" s="977"/>
      <c r="C125" s="977"/>
      <c r="D125" s="977"/>
      <c r="E125" s="977"/>
      <c r="F125" s="977"/>
      <c r="G125" s="977"/>
      <c r="H125" s="977"/>
      <c r="I125" s="977"/>
      <c r="J125" s="977"/>
      <c r="K125" s="977"/>
      <c r="L125" s="977"/>
      <c r="M125" s="977"/>
      <c r="N125" s="977"/>
      <c r="O125" s="977"/>
      <c r="P125" s="977"/>
      <c r="Q125" s="977"/>
      <c r="R125" s="977"/>
      <c r="S125" s="977"/>
      <c r="T125" s="977"/>
      <c r="U125" s="977"/>
      <c r="V125" s="977"/>
      <c r="W125" s="977"/>
      <c r="X125" s="977"/>
      <c r="Y125" s="977"/>
      <c r="Z125" s="977"/>
      <c r="AA125" s="977"/>
      <c r="AB125" s="977"/>
      <c r="AC125" s="977"/>
      <c r="AD125" s="977"/>
      <c r="AE125" s="977"/>
      <c r="AF125" s="977"/>
      <c r="AG125" s="977"/>
      <c r="AH125" s="977"/>
      <c r="AI125" s="977"/>
      <c r="AJ125" s="977"/>
      <c r="AK125" s="977"/>
      <c r="AL125" s="977"/>
      <c r="AM125" s="977"/>
      <c r="AN125" s="977"/>
      <c r="AO125" s="977"/>
      <c r="AP125" s="977"/>
      <c r="AQ125" s="977"/>
      <c r="AR125" s="335"/>
      <c r="AS125" s="335"/>
      <c r="AT125" s="335"/>
      <c r="AU125" s="335"/>
      <c r="AV125" s="335"/>
      <c r="AW125" s="335"/>
      <c r="AX125" s="335"/>
      <c r="AY125" s="335"/>
      <c r="AZ125" s="335"/>
      <c r="BA125" s="335"/>
      <c r="BB125" s="335"/>
      <c r="BC125" s="335"/>
      <c r="BD125" s="335"/>
      <c r="BE125" s="335"/>
      <c r="BF125" s="335"/>
      <c r="BG125" s="335"/>
      <c r="BH125" s="335"/>
      <c r="BI125" s="335"/>
      <c r="BJ125" s="335"/>
      <c r="BK125" s="335"/>
      <c r="BL125" s="335"/>
      <c r="BM125" s="335"/>
      <c r="BN125" s="335"/>
      <c r="BO125" s="335"/>
      <c r="BP125" s="335"/>
      <c r="BQ125" s="335"/>
      <c r="BR125" s="335"/>
      <c r="BS125" s="335"/>
      <c r="BT125" s="335"/>
      <c r="BU125" s="335"/>
      <c r="BV125" s="335"/>
      <c r="BW125" s="335"/>
      <c r="BX125" s="335"/>
      <c r="BY125" s="335"/>
      <c r="BZ125" s="335"/>
      <c r="CA125" s="335"/>
      <c r="CB125" s="335"/>
      <c r="CC125" s="335"/>
      <c r="CD125" s="335"/>
      <c r="CE125" s="335"/>
      <c r="CF125" s="335"/>
      <c r="CG125" s="335"/>
      <c r="CH125" s="335"/>
      <c r="CI125" s="335"/>
      <c r="CJ125" s="335"/>
      <c r="CK125" s="335"/>
      <c r="CL125" s="335"/>
      <c r="CM125" s="335"/>
      <c r="CN125" s="335"/>
      <c r="CO125" s="335"/>
      <c r="CP125" s="335"/>
      <c r="CQ125" s="335"/>
      <c r="CR125" s="335"/>
      <c r="CS125" s="335"/>
      <c r="CT125" s="335"/>
      <c r="CU125" s="335"/>
      <c r="CV125" s="335"/>
      <c r="CW125" s="335"/>
      <c r="CX125" s="335"/>
      <c r="CY125" s="335"/>
      <c r="CZ125" s="335"/>
      <c r="DA125" s="335"/>
      <c r="DB125" s="335"/>
      <c r="DC125" s="335"/>
      <c r="DD125" s="335"/>
      <c r="DE125" s="335"/>
      <c r="DF125" s="335"/>
      <c r="DG125" s="335"/>
      <c r="DH125" s="335"/>
      <c r="DI125" s="335"/>
      <c r="DJ125" s="335"/>
      <c r="DK125" s="335"/>
      <c r="DL125" s="335"/>
      <c r="DM125" s="335"/>
      <c r="DN125" s="335"/>
      <c r="DO125" s="335"/>
    </row>
    <row r="126" spans="1:119" ht="35.1" customHeight="1">
      <c r="A126" s="977"/>
      <c r="B126" s="977"/>
      <c r="C126" s="977"/>
      <c r="D126" s="977"/>
      <c r="E126" s="977"/>
      <c r="F126" s="977"/>
      <c r="G126" s="977"/>
      <c r="H126" s="977"/>
      <c r="I126" s="977"/>
      <c r="J126" s="977"/>
      <c r="K126" s="977"/>
      <c r="L126" s="977"/>
      <c r="M126" s="977"/>
      <c r="N126" s="977"/>
      <c r="O126" s="977"/>
      <c r="P126" s="977"/>
      <c r="Q126" s="977"/>
      <c r="R126" s="977"/>
      <c r="S126" s="977"/>
      <c r="T126" s="977"/>
      <c r="U126" s="977"/>
      <c r="V126" s="977"/>
      <c r="W126" s="977"/>
      <c r="X126" s="977"/>
      <c r="Y126" s="977"/>
      <c r="Z126" s="977"/>
      <c r="AA126" s="977"/>
      <c r="AB126" s="977"/>
      <c r="AC126" s="977"/>
      <c r="AD126" s="977"/>
      <c r="AE126" s="977"/>
      <c r="AF126" s="977"/>
      <c r="AG126" s="977"/>
      <c r="AH126" s="977"/>
      <c r="AI126" s="977"/>
      <c r="AJ126" s="977"/>
      <c r="AK126" s="977"/>
      <c r="AL126" s="977"/>
      <c r="AM126" s="977"/>
      <c r="AN126" s="977"/>
      <c r="AO126" s="977"/>
      <c r="AP126" s="977"/>
      <c r="AQ126" s="977"/>
      <c r="AR126" s="335"/>
      <c r="AS126" s="335"/>
      <c r="AT126" s="335"/>
      <c r="AU126" s="335"/>
      <c r="AV126" s="335"/>
      <c r="AW126" s="335"/>
      <c r="AX126" s="335"/>
      <c r="AY126" s="335"/>
      <c r="AZ126" s="335"/>
      <c r="BA126" s="335"/>
      <c r="BB126" s="335"/>
      <c r="BC126" s="335"/>
      <c r="BD126" s="335"/>
      <c r="BE126" s="335"/>
      <c r="BF126" s="335"/>
      <c r="BG126" s="335"/>
      <c r="BH126" s="335"/>
      <c r="BI126" s="335"/>
      <c r="BJ126" s="335"/>
      <c r="BK126" s="335"/>
      <c r="BL126" s="335"/>
      <c r="BM126" s="335"/>
      <c r="BN126" s="335"/>
      <c r="BO126" s="335"/>
      <c r="BP126" s="335"/>
      <c r="BQ126" s="335"/>
      <c r="BR126" s="335"/>
      <c r="BS126" s="335"/>
      <c r="BT126" s="335"/>
      <c r="BU126" s="335"/>
      <c r="BV126" s="335"/>
      <c r="BW126" s="335"/>
      <c r="BX126" s="335"/>
      <c r="BY126" s="335"/>
      <c r="BZ126" s="335"/>
      <c r="CA126" s="335"/>
      <c r="CB126" s="335"/>
      <c r="CC126" s="335"/>
      <c r="CD126" s="335"/>
      <c r="CE126" s="335"/>
      <c r="CF126" s="335"/>
      <c r="CG126" s="335"/>
      <c r="CH126" s="335"/>
      <c r="CI126" s="335"/>
      <c r="CJ126" s="335"/>
      <c r="CK126" s="335"/>
      <c r="CL126" s="335"/>
      <c r="CM126" s="335"/>
      <c r="CN126" s="335"/>
      <c r="CO126" s="335"/>
      <c r="CP126" s="335"/>
      <c r="CQ126" s="335"/>
      <c r="CR126" s="335"/>
      <c r="CS126" s="335"/>
      <c r="CT126" s="335"/>
      <c r="CU126" s="335"/>
      <c r="CV126" s="335"/>
      <c r="CW126" s="335"/>
      <c r="CX126" s="335"/>
      <c r="CY126" s="335"/>
      <c r="CZ126" s="335"/>
      <c r="DA126" s="335"/>
      <c r="DB126" s="335"/>
      <c r="DC126" s="335"/>
      <c r="DD126" s="335"/>
      <c r="DE126" s="335"/>
      <c r="DF126" s="335"/>
      <c r="DG126" s="335"/>
      <c r="DH126" s="335"/>
      <c r="DI126" s="335"/>
      <c r="DJ126" s="335"/>
      <c r="DK126" s="335"/>
      <c r="DL126" s="335"/>
      <c r="DM126" s="335"/>
      <c r="DN126" s="335"/>
      <c r="DO126" s="335"/>
    </row>
    <row r="127" spans="1:119" ht="35.1" customHeight="1">
      <c r="A127" s="977"/>
      <c r="B127" s="977"/>
      <c r="C127" s="977"/>
      <c r="D127" s="977"/>
      <c r="E127" s="977"/>
      <c r="F127" s="977"/>
      <c r="G127" s="977"/>
      <c r="H127" s="977"/>
      <c r="I127" s="977"/>
      <c r="J127" s="977"/>
      <c r="K127" s="977"/>
      <c r="L127" s="977"/>
      <c r="M127" s="977"/>
      <c r="N127" s="977"/>
      <c r="O127" s="977"/>
      <c r="P127" s="977"/>
      <c r="Q127" s="977"/>
      <c r="R127" s="977"/>
      <c r="S127" s="977"/>
      <c r="T127" s="977"/>
      <c r="U127" s="977"/>
      <c r="V127" s="977"/>
      <c r="W127" s="977"/>
      <c r="X127" s="977"/>
      <c r="Y127" s="977"/>
      <c r="Z127" s="977"/>
      <c r="AA127" s="977"/>
      <c r="AB127" s="977"/>
      <c r="AC127" s="977"/>
      <c r="AD127" s="977"/>
      <c r="AE127" s="977"/>
      <c r="AF127" s="977"/>
      <c r="AG127" s="977"/>
      <c r="AH127" s="977"/>
      <c r="AI127" s="977"/>
      <c r="AJ127" s="977"/>
      <c r="AK127" s="977"/>
      <c r="AL127" s="977"/>
      <c r="AM127" s="977"/>
      <c r="AN127" s="977"/>
      <c r="AO127" s="977"/>
      <c r="AP127" s="977"/>
      <c r="AQ127" s="977"/>
      <c r="AR127" s="335"/>
      <c r="AS127" s="335"/>
      <c r="AT127" s="335"/>
      <c r="AU127" s="335"/>
      <c r="AV127" s="335"/>
      <c r="AW127" s="335"/>
      <c r="AX127" s="335"/>
      <c r="AY127" s="335"/>
      <c r="AZ127" s="335"/>
      <c r="BA127" s="335"/>
      <c r="BB127" s="335"/>
      <c r="BC127" s="335"/>
      <c r="BD127" s="335"/>
      <c r="BE127" s="335"/>
      <c r="BF127" s="335"/>
      <c r="BG127" s="335"/>
      <c r="BH127" s="335"/>
      <c r="BI127" s="335"/>
      <c r="BJ127" s="335"/>
      <c r="BK127" s="335"/>
      <c r="BL127" s="335"/>
      <c r="BM127" s="335"/>
      <c r="BN127" s="335"/>
      <c r="BO127" s="335"/>
      <c r="BP127" s="335"/>
      <c r="BQ127" s="335"/>
      <c r="BR127" s="335"/>
      <c r="BS127" s="335"/>
      <c r="BT127" s="335"/>
      <c r="BU127" s="335"/>
      <c r="BV127" s="335"/>
      <c r="BW127" s="335"/>
      <c r="BX127" s="335"/>
      <c r="BY127" s="335"/>
      <c r="BZ127" s="335"/>
      <c r="CA127" s="335"/>
      <c r="CB127" s="335"/>
      <c r="CC127" s="335"/>
      <c r="CD127" s="335"/>
      <c r="CE127" s="335"/>
      <c r="CF127" s="335"/>
      <c r="CG127" s="335"/>
      <c r="CH127" s="335"/>
      <c r="CI127" s="335"/>
      <c r="CJ127" s="335"/>
      <c r="CK127" s="335"/>
      <c r="CL127" s="335"/>
      <c r="CM127" s="335"/>
      <c r="CN127" s="335"/>
      <c r="CO127" s="335"/>
      <c r="CP127" s="335"/>
      <c r="CQ127" s="335"/>
      <c r="CR127" s="335"/>
      <c r="CS127" s="335"/>
      <c r="CT127" s="335"/>
      <c r="CU127" s="335"/>
      <c r="CV127" s="335"/>
      <c r="CW127" s="335"/>
      <c r="CX127" s="335"/>
      <c r="CY127" s="335"/>
      <c r="CZ127" s="335"/>
      <c r="DA127" s="335"/>
      <c r="DB127" s="335"/>
      <c r="DC127" s="335"/>
      <c r="DD127" s="335"/>
      <c r="DE127" s="335"/>
      <c r="DF127" s="335"/>
      <c r="DG127" s="335"/>
      <c r="DH127" s="335"/>
      <c r="DI127" s="335"/>
      <c r="DJ127" s="335"/>
      <c r="DK127" s="335"/>
      <c r="DL127" s="335"/>
      <c r="DM127" s="335"/>
      <c r="DN127" s="335"/>
      <c r="DO127" s="335"/>
    </row>
    <row r="128" spans="1:119" ht="35.1" customHeight="1">
      <c r="A128" s="977"/>
      <c r="B128" s="977"/>
      <c r="C128" s="977"/>
      <c r="D128" s="977"/>
      <c r="E128" s="977"/>
      <c r="F128" s="977"/>
      <c r="G128" s="977"/>
      <c r="H128" s="977"/>
      <c r="I128" s="977"/>
      <c r="J128" s="977"/>
      <c r="K128" s="977"/>
      <c r="L128" s="977"/>
      <c r="M128" s="977"/>
      <c r="N128" s="977"/>
      <c r="O128" s="977"/>
      <c r="P128" s="977"/>
      <c r="Q128" s="977"/>
      <c r="R128" s="977"/>
      <c r="S128" s="977"/>
      <c r="T128" s="977"/>
      <c r="U128" s="977"/>
      <c r="V128" s="977"/>
      <c r="W128" s="977"/>
      <c r="X128" s="977"/>
      <c r="Y128" s="977"/>
      <c r="Z128" s="977"/>
      <c r="AA128" s="977"/>
      <c r="AB128" s="977"/>
      <c r="AC128" s="977"/>
      <c r="AD128" s="977"/>
      <c r="AE128" s="977"/>
      <c r="AF128" s="977"/>
      <c r="AG128" s="977"/>
      <c r="AH128" s="977"/>
      <c r="AI128" s="977"/>
      <c r="AJ128" s="977"/>
      <c r="AK128" s="977"/>
      <c r="AL128" s="977"/>
      <c r="AM128" s="977"/>
      <c r="AN128" s="977"/>
      <c r="AO128" s="977"/>
      <c r="AP128" s="977"/>
      <c r="AQ128" s="977"/>
      <c r="AR128" s="335"/>
      <c r="AS128" s="335"/>
      <c r="AT128" s="335"/>
      <c r="AU128" s="335"/>
      <c r="AV128" s="335"/>
      <c r="AW128" s="335"/>
      <c r="AX128" s="335"/>
      <c r="AY128" s="335"/>
      <c r="AZ128" s="335"/>
      <c r="BA128" s="335"/>
      <c r="BB128" s="335"/>
      <c r="BC128" s="335"/>
      <c r="BD128" s="335"/>
      <c r="BE128" s="335"/>
      <c r="BF128" s="335"/>
      <c r="BG128" s="335"/>
      <c r="BH128" s="335"/>
      <c r="BI128" s="335"/>
      <c r="BJ128" s="335"/>
      <c r="BK128" s="335"/>
      <c r="BL128" s="335"/>
      <c r="BM128" s="335"/>
      <c r="BN128" s="335"/>
      <c r="BO128" s="335"/>
      <c r="BP128" s="335"/>
      <c r="BQ128" s="335"/>
      <c r="BR128" s="335"/>
      <c r="BS128" s="335"/>
      <c r="BT128" s="335"/>
      <c r="BU128" s="335"/>
      <c r="BV128" s="335"/>
      <c r="BW128" s="335"/>
      <c r="BX128" s="335"/>
      <c r="BY128" s="335"/>
      <c r="BZ128" s="335"/>
      <c r="CA128" s="335"/>
      <c r="CB128" s="335"/>
      <c r="CC128" s="335"/>
      <c r="CD128" s="335"/>
      <c r="CE128" s="335"/>
      <c r="CF128" s="335"/>
      <c r="CG128" s="335"/>
      <c r="CH128" s="335"/>
      <c r="CI128" s="335"/>
      <c r="CJ128" s="335"/>
      <c r="CK128" s="335"/>
      <c r="CL128" s="335"/>
      <c r="CM128" s="335"/>
      <c r="CN128" s="335"/>
      <c r="CO128" s="335"/>
      <c r="CP128" s="335"/>
      <c r="CQ128" s="335"/>
      <c r="CR128" s="335"/>
      <c r="CS128" s="335"/>
      <c r="CT128" s="335"/>
      <c r="CU128" s="335"/>
      <c r="CV128" s="335"/>
      <c r="CW128" s="335"/>
      <c r="CX128" s="335"/>
      <c r="CY128" s="335"/>
      <c r="CZ128" s="335"/>
      <c r="DA128" s="335"/>
      <c r="DB128" s="335"/>
      <c r="DC128" s="335"/>
      <c r="DD128" s="335"/>
      <c r="DE128" s="335"/>
      <c r="DF128" s="335"/>
      <c r="DG128" s="335"/>
      <c r="DH128" s="335"/>
      <c r="DI128" s="335"/>
      <c r="DJ128" s="335"/>
      <c r="DK128" s="335"/>
      <c r="DL128" s="335"/>
      <c r="DM128" s="335"/>
      <c r="DN128" s="335"/>
      <c r="DO128" s="335"/>
    </row>
    <row r="129" spans="1:119" ht="35.1" customHeight="1">
      <c r="A129" s="977"/>
      <c r="B129" s="977"/>
      <c r="C129" s="977"/>
      <c r="D129" s="977"/>
      <c r="E129" s="977"/>
      <c r="F129" s="977"/>
      <c r="G129" s="977"/>
      <c r="H129" s="977"/>
      <c r="I129" s="977"/>
      <c r="J129" s="977"/>
      <c r="K129" s="977"/>
      <c r="L129" s="977"/>
      <c r="M129" s="977"/>
      <c r="N129" s="977"/>
      <c r="O129" s="977"/>
      <c r="P129" s="977"/>
      <c r="Q129" s="977"/>
      <c r="R129" s="977"/>
      <c r="S129" s="977"/>
      <c r="T129" s="977"/>
      <c r="U129" s="977"/>
      <c r="V129" s="977"/>
      <c r="W129" s="977"/>
      <c r="X129" s="977"/>
      <c r="Y129" s="977"/>
      <c r="Z129" s="977"/>
      <c r="AA129" s="977"/>
      <c r="AB129" s="977"/>
      <c r="AC129" s="977"/>
      <c r="AD129" s="977"/>
      <c r="AE129" s="977"/>
      <c r="AF129" s="977"/>
      <c r="AG129" s="977"/>
      <c r="AH129" s="977"/>
      <c r="AI129" s="977"/>
      <c r="AJ129" s="977"/>
      <c r="AK129" s="977"/>
      <c r="AL129" s="977"/>
      <c r="AM129" s="977"/>
      <c r="AN129" s="977"/>
      <c r="AO129" s="977"/>
      <c r="AP129" s="977"/>
      <c r="AQ129" s="977"/>
      <c r="AR129" s="335"/>
      <c r="AS129" s="335"/>
      <c r="AT129" s="335"/>
      <c r="AU129" s="335"/>
      <c r="AV129" s="335"/>
      <c r="AW129" s="335"/>
      <c r="AX129" s="335"/>
      <c r="AY129" s="335"/>
      <c r="AZ129" s="335"/>
      <c r="BA129" s="335"/>
      <c r="BB129" s="335"/>
      <c r="BC129" s="335"/>
      <c r="BD129" s="335"/>
      <c r="BE129" s="335"/>
      <c r="BF129" s="335"/>
      <c r="BG129" s="335"/>
      <c r="BH129" s="335"/>
      <c r="BI129" s="335"/>
      <c r="BJ129" s="335"/>
      <c r="BK129" s="335"/>
      <c r="BL129" s="335"/>
      <c r="BM129" s="335"/>
      <c r="BN129" s="335"/>
      <c r="BO129" s="335"/>
      <c r="BP129" s="335"/>
      <c r="BQ129" s="335"/>
      <c r="BR129" s="335"/>
      <c r="BS129" s="335"/>
      <c r="BT129" s="335"/>
      <c r="BU129" s="335"/>
      <c r="BV129" s="335"/>
      <c r="BW129" s="335"/>
      <c r="BX129" s="335"/>
      <c r="BY129" s="335"/>
      <c r="BZ129" s="335"/>
      <c r="CA129" s="335"/>
      <c r="CB129" s="335"/>
      <c r="CC129" s="335"/>
      <c r="CD129" s="335"/>
      <c r="CE129" s="335"/>
      <c r="CF129" s="335"/>
      <c r="CG129" s="335"/>
      <c r="CH129" s="335"/>
      <c r="CI129" s="335"/>
      <c r="CJ129" s="335"/>
      <c r="CK129" s="335"/>
      <c r="CL129" s="335"/>
      <c r="CM129" s="335"/>
      <c r="CN129" s="335"/>
      <c r="CO129" s="335"/>
      <c r="CP129" s="335"/>
      <c r="CQ129" s="335"/>
      <c r="CR129" s="335"/>
      <c r="CS129" s="335"/>
      <c r="CT129" s="335"/>
      <c r="CU129" s="335"/>
      <c r="CV129" s="335"/>
      <c r="CW129" s="335"/>
      <c r="CX129" s="335"/>
      <c r="CY129" s="335"/>
      <c r="CZ129" s="335"/>
      <c r="DA129" s="335"/>
      <c r="DB129" s="335"/>
      <c r="DC129" s="335"/>
      <c r="DD129" s="335"/>
      <c r="DE129" s="335"/>
      <c r="DF129" s="335"/>
      <c r="DG129" s="335"/>
      <c r="DH129" s="335"/>
      <c r="DI129" s="335"/>
      <c r="DJ129" s="335"/>
      <c r="DK129" s="335"/>
      <c r="DL129" s="335"/>
      <c r="DM129" s="335"/>
      <c r="DN129" s="335"/>
      <c r="DO129" s="335"/>
    </row>
    <row r="130" spans="1:119" ht="35.1" customHeight="1">
      <c r="A130" s="977"/>
      <c r="B130" s="977"/>
      <c r="C130" s="977"/>
      <c r="D130" s="977"/>
      <c r="E130" s="977"/>
      <c r="F130" s="977"/>
      <c r="G130" s="977"/>
      <c r="H130" s="977"/>
      <c r="I130" s="977"/>
      <c r="J130" s="977"/>
      <c r="K130" s="977"/>
      <c r="L130" s="977"/>
      <c r="M130" s="977"/>
      <c r="N130" s="977"/>
      <c r="O130" s="977"/>
      <c r="P130" s="977"/>
      <c r="Q130" s="977"/>
      <c r="R130" s="977"/>
      <c r="S130" s="977"/>
      <c r="T130" s="977"/>
      <c r="U130" s="977"/>
      <c r="V130" s="977"/>
      <c r="W130" s="977"/>
      <c r="X130" s="977"/>
      <c r="Y130" s="977"/>
      <c r="Z130" s="977"/>
      <c r="AA130" s="977"/>
      <c r="AB130" s="977"/>
      <c r="AC130" s="977"/>
      <c r="AD130" s="977"/>
      <c r="AE130" s="977"/>
      <c r="AF130" s="977"/>
      <c r="AG130" s="977"/>
      <c r="AH130" s="977"/>
      <c r="AI130" s="977"/>
      <c r="AJ130" s="977"/>
      <c r="AK130" s="977"/>
      <c r="AL130" s="977"/>
      <c r="AM130" s="977"/>
      <c r="AN130" s="977"/>
      <c r="AO130" s="977"/>
      <c r="AP130" s="977"/>
      <c r="AQ130" s="977"/>
      <c r="AR130" s="335"/>
      <c r="AS130" s="335"/>
      <c r="AT130" s="335"/>
      <c r="AU130" s="335"/>
      <c r="AV130" s="335"/>
      <c r="AW130" s="335"/>
      <c r="AX130" s="335"/>
      <c r="AY130" s="335"/>
      <c r="AZ130" s="335"/>
      <c r="BA130" s="335"/>
      <c r="BB130" s="335"/>
      <c r="BC130" s="335"/>
      <c r="BD130" s="335"/>
      <c r="BE130" s="335"/>
      <c r="BF130" s="335"/>
      <c r="BG130" s="335"/>
      <c r="BH130" s="335"/>
      <c r="BI130" s="335"/>
      <c r="BJ130" s="335"/>
      <c r="BK130" s="335"/>
      <c r="BL130" s="335"/>
      <c r="BM130" s="335"/>
      <c r="BN130" s="335"/>
      <c r="BO130" s="335"/>
      <c r="BP130" s="335"/>
      <c r="BQ130" s="335"/>
      <c r="BR130" s="335"/>
      <c r="BS130" s="335"/>
      <c r="BT130" s="335"/>
      <c r="BU130" s="335"/>
      <c r="BV130" s="335"/>
      <c r="BW130" s="335"/>
      <c r="BX130" s="335"/>
      <c r="BY130" s="335"/>
      <c r="BZ130" s="335"/>
      <c r="CA130" s="335"/>
      <c r="CB130" s="335"/>
      <c r="CC130" s="335"/>
      <c r="CD130" s="335"/>
      <c r="CE130" s="335"/>
      <c r="CF130" s="335"/>
      <c r="CG130" s="335"/>
      <c r="CH130" s="335"/>
      <c r="CI130" s="335"/>
      <c r="CJ130" s="335"/>
      <c r="CK130" s="335"/>
      <c r="CL130" s="335"/>
      <c r="CM130" s="335"/>
      <c r="CN130" s="335"/>
      <c r="CO130" s="335"/>
      <c r="CP130" s="335"/>
      <c r="CQ130" s="335"/>
      <c r="CR130" s="335"/>
      <c r="CS130" s="335"/>
      <c r="CT130" s="335"/>
      <c r="CU130" s="335"/>
      <c r="CV130" s="335"/>
      <c r="CW130" s="335"/>
      <c r="CX130" s="335"/>
      <c r="CY130" s="335"/>
      <c r="CZ130" s="335"/>
      <c r="DA130" s="335"/>
      <c r="DB130" s="335"/>
      <c r="DC130" s="335"/>
      <c r="DD130" s="335"/>
      <c r="DE130" s="335"/>
      <c r="DF130" s="335"/>
      <c r="DG130" s="335"/>
      <c r="DH130" s="335"/>
      <c r="DI130" s="335"/>
      <c r="DJ130" s="335"/>
      <c r="DK130" s="335"/>
      <c r="DL130" s="335"/>
      <c r="DM130" s="335"/>
      <c r="DN130" s="335"/>
      <c r="DO130" s="335"/>
    </row>
    <row r="131" spans="1:119" ht="35.1" customHeight="1">
      <c r="A131" s="977"/>
      <c r="B131" s="977"/>
      <c r="C131" s="977"/>
      <c r="D131" s="977"/>
      <c r="E131" s="977"/>
      <c r="F131" s="977"/>
      <c r="G131" s="977"/>
      <c r="H131" s="977"/>
      <c r="I131" s="977"/>
      <c r="J131" s="977"/>
      <c r="K131" s="977"/>
      <c r="L131" s="977"/>
      <c r="M131" s="977"/>
      <c r="N131" s="977"/>
      <c r="O131" s="977"/>
      <c r="P131" s="977"/>
      <c r="Q131" s="977"/>
      <c r="R131" s="977"/>
      <c r="S131" s="977"/>
      <c r="T131" s="977"/>
      <c r="U131" s="977"/>
      <c r="V131" s="977"/>
      <c r="W131" s="977"/>
      <c r="X131" s="977"/>
      <c r="Y131" s="977"/>
      <c r="Z131" s="977"/>
      <c r="AA131" s="977"/>
      <c r="AB131" s="977"/>
      <c r="AC131" s="977"/>
      <c r="AD131" s="977"/>
      <c r="AE131" s="977"/>
      <c r="AF131" s="977"/>
      <c r="AG131" s="977"/>
      <c r="AH131" s="977"/>
      <c r="AI131" s="977"/>
      <c r="AJ131" s="977"/>
      <c r="AK131" s="977"/>
      <c r="AL131" s="977"/>
      <c r="AM131" s="977"/>
      <c r="AN131" s="977"/>
      <c r="AO131" s="977"/>
      <c r="AP131" s="977"/>
      <c r="AQ131" s="977"/>
      <c r="AR131" s="335"/>
      <c r="AS131" s="335"/>
      <c r="AT131" s="335"/>
      <c r="AU131" s="335"/>
      <c r="AV131" s="335"/>
      <c r="AW131" s="335"/>
      <c r="AX131" s="335"/>
      <c r="AY131" s="335"/>
      <c r="AZ131" s="335"/>
      <c r="BA131" s="335"/>
      <c r="BB131" s="335"/>
      <c r="BC131" s="335"/>
      <c r="BD131" s="335"/>
      <c r="BE131" s="335"/>
      <c r="BF131" s="335"/>
      <c r="BG131" s="335"/>
      <c r="BH131" s="335"/>
      <c r="BI131" s="335"/>
      <c r="BJ131" s="335"/>
      <c r="BK131" s="335"/>
      <c r="BL131" s="335"/>
      <c r="BM131" s="335"/>
      <c r="BN131" s="335"/>
      <c r="BO131" s="335"/>
      <c r="BP131" s="335"/>
      <c r="BQ131" s="335"/>
      <c r="BR131" s="335"/>
      <c r="BS131" s="335"/>
      <c r="BT131" s="335"/>
      <c r="BU131" s="335"/>
      <c r="BV131" s="335"/>
      <c r="BW131" s="335"/>
      <c r="BX131" s="335"/>
      <c r="BY131" s="335"/>
      <c r="BZ131" s="335"/>
      <c r="CA131" s="335"/>
      <c r="CB131" s="335"/>
      <c r="CC131" s="335"/>
      <c r="CD131" s="335"/>
      <c r="CE131" s="335"/>
      <c r="CF131" s="335"/>
      <c r="CG131" s="335"/>
      <c r="CH131" s="335"/>
      <c r="CI131" s="335"/>
      <c r="CJ131" s="335"/>
      <c r="CK131" s="335"/>
      <c r="CL131" s="335"/>
      <c r="CM131" s="335"/>
      <c r="CN131" s="335"/>
      <c r="CO131" s="335"/>
      <c r="CP131" s="335"/>
      <c r="CQ131" s="335"/>
      <c r="CR131" s="335"/>
      <c r="CS131" s="335"/>
      <c r="CT131" s="335"/>
      <c r="CU131" s="335"/>
      <c r="CV131" s="335"/>
      <c r="CW131" s="335"/>
      <c r="CX131" s="335"/>
      <c r="CY131" s="335"/>
      <c r="CZ131" s="335"/>
      <c r="DA131" s="335"/>
      <c r="DB131" s="335"/>
      <c r="DC131" s="335"/>
      <c r="DD131" s="335"/>
      <c r="DE131" s="335"/>
      <c r="DF131" s="335"/>
      <c r="DG131" s="335"/>
      <c r="DH131" s="335"/>
      <c r="DI131" s="335"/>
      <c r="DJ131" s="335"/>
      <c r="DK131" s="335"/>
      <c r="DL131" s="335"/>
      <c r="DM131" s="335"/>
      <c r="DN131" s="335"/>
      <c r="DO131" s="335"/>
    </row>
    <row r="132" spans="1:119" ht="35.1" customHeight="1">
      <c r="A132" s="977"/>
      <c r="B132" s="977"/>
      <c r="C132" s="977"/>
      <c r="D132" s="977"/>
      <c r="E132" s="977"/>
      <c r="F132" s="977"/>
      <c r="G132" s="977"/>
      <c r="H132" s="977"/>
      <c r="I132" s="977"/>
      <c r="J132" s="977"/>
      <c r="K132" s="977"/>
      <c r="L132" s="977"/>
      <c r="M132" s="977"/>
      <c r="N132" s="977"/>
      <c r="O132" s="977"/>
      <c r="P132" s="977"/>
      <c r="Q132" s="977"/>
      <c r="R132" s="977"/>
      <c r="S132" s="977"/>
      <c r="T132" s="977"/>
      <c r="U132" s="977"/>
      <c r="V132" s="977"/>
      <c r="W132" s="977"/>
      <c r="X132" s="977"/>
      <c r="Y132" s="977"/>
      <c r="Z132" s="977"/>
      <c r="AA132" s="977"/>
      <c r="AB132" s="977"/>
      <c r="AC132" s="977"/>
      <c r="AD132" s="977"/>
      <c r="AE132" s="977"/>
      <c r="AF132" s="977"/>
      <c r="AG132" s="977"/>
      <c r="AH132" s="977"/>
      <c r="AI132" s="977"/>
      <c r="AJ132" s="977"/>
      <c r="AK132" s="977"/>
      <c r="AL132" s="977"/>
      <c r="AM132" s="977"/>
      <c r="AN132" s="977"/>
      <c r="AO132" s="977"/>
      <c r="AP132" s="977"/>
      <c r="AQ132" s="977"/>
      <c r="AR132" s="335"/>
      <c r="AS132" s="335"/>
      <c r="AT132" s="335"/>
      <c r="AU132" s="335"/>
      <c r="AV132" s="335"/>
      <c r="AW132" s="335"/>
      <c r="AX132" s="335"/>
      <c r="AY132" s="335"/>
      <c r="AZ132" s="335"/>
      <c r="BA132" s="335"/>
      <c r="BB132" s="335"/>
      <c r="BC132" s="335"/>
      <c r="BD132" s="335"/>
      <c r="BE132" s="335"/>
      <c r="BF132" s="335"/>
      <c r="BG132" s="335"/>
      <c r="BH132" s="335"/>
      <c r="BI132" s="335"/>
      <c r="BJ132" s="335"/>
      <c r="BK132" s="335"/>
      <c r="BL132" s="335"/>
      <c r="BM132" s="335"/>
      <c r="BN132" s="335"/>
      <c r="BO132" s="335"/>
      <c r="BP132" s="335"/>
      <c r="BQ132" s="335"/>
      <c r="BR132" s="335"/>
      <c r="BS132" s="335"/>
      <c r="BT132" s="335"/>
      <c r="BU132" s="335"/>
      <c r="BV132" s="335"/>
      <c r="BW132" s="335"/>
      <c r="BX132" s="335"/>
      <c r="BY132" s="335"/>
      <c r="BZ132" s="335"/>
      <c r="CA132" s="335"/>
      <c r="CB132" s="335"/>
      <c r="CC132" s="335"/>
      <c r="CD132" s="335"/>
      <c r="CE132" s="335"/>
      <c r="CF132" s="335"/>
      <c r="CG132" s="335"/>
      <c r="CH132" s="335"/>
      <c r="CI132" s="335"/>
      <c r="CJ132" s="335"/>
      <c r="CK132" s="335"/>
      <c r="CL132" s="335"/>
      <c r="CM132" s="335"/>
      <c r="CN132" s="335"/>
      <c r="CO132" s="335"/>
      <c r="CP132" s="335"/>
      <c r="CQ132" s="335"/>
      <c r="CR132" s="335"/>
      <c r="CS132" s="335"/>
      <c r="CT132" s="335"/>
      <c r="CU132" s="335"/>
      <c r="CV132" s="335"/>
      <c r="CW132" s="335"/>
      <c r="CX132" s="335"/>
      <c r="CY132" s="335"/>
      <c r="CZ132" s="335"/>
      <c r="DA132" s="335"/>
      <c r="DB132" s="335"/>
      <c r="DC132" s="335"/>
      <c r="DD132" s="335"/>
      <c r="DE132" s="335"/>
      <c r="DF132" s="335"/>
      <c r="DG132" s="335"/>
      <c r="DH132" s="335"/>
      <c r="DI132" s="335"/>
      <c r="DJ132" s="335"/>
      <c r="DK132" s="335"/>
      <c r="DL132" s="335"/>
      <c r="DM132" s="335"/>
      <c r="DN132" s="335"/>
      <c r="DO132" s="335"/>
    </row>
    <row r="133" spans="1:119" ht="35.1" customHeight="1">
      <c r="A133" s="977"/>
      <c r="B133" s="977"/>
      <c r="C133" s="977"/>
      <c r="D133" s="977"/>
      <c r="E133" s="977"/>
      <c r="F133" s="977"/>
      <c r="G133" s="977"/>
      <c r="H133" s="977"/>
      <c r="I133" s="977"/>
      <c r="J133" s="977"/>
      <c r="K133" s="977"/>
      <c r="L133" s="977"/>
      <c r="M133" s="977"/>
      <c r="N133" s="977"/>
      <c r="O133" s="977"/>
      <c r="P133" s="977"/>
      <c r="Q133" s="977"/>
      <c r="R133" s="977"/>
      <c r="S133" s="977"/>
      <c r="T133" s="977"/>
      <c r="U133" s="977"/>
      <c r="V133" s="977"/>
      <c r="W133" s="977"/>
      <c r="X133" s="977"/>
      <c r="Y133" s="977"/>
      <c r="Z133" s="977"/>
      <c r="AA133" s="977"/>
      <c r="AB133" s="977"/>
      <c r="AC133" s="977"/>
      <c r="AD133" s="977"/>
      <c r="AE133" s="977"/>
      <c r="AF133" s="977"/>
      <c r="AG133" s="977"/>
      <c r="AH133" s="977"/>
      <c r="AI133" s="977"/>
      <c r="AJ133" s="977"/>
      <c r="AK133" s="977"/>
      <c r="AL133" s="977"/>
      <c r="AM133" s="977"/>
      <c r="AN133" s="977"/>
      <c r="AO133" s="977"/>
      <c r="AP133" s="977"/>
      <c r="AQ133" s="977"/>
      <c r="AR133" s="335"/>
      <c r="AS133" s="335"/>
      <c r="AT133" s="335"/>
      <c r="AU133" s="335"/>
      <c r="AV133" s="335"/>
      <c r="AW133" s="335"/>
      <c r="AX133" s="335"/>
      <c r="AY133" s="335"/>
      <c r="AZ133" s="335"/>
      <c r="BA133" s="335"/>
      <c r="BB133" s="335"/>
      <c r="BC133" s="335"/>
      <c r="BD133" s="335"/>
      <c r="BE133" s="335"/>
      <c r="BF133" s="335"/>
      <c r="BG133" s="335"/>
      <c r="BH133" s="335"/>
      <c r="BI133" s="335"/>
      <c r="BJ133" s="335"/>
      <c r="BK133" s="335"/>
      <c r="BL133" s="335"/>
      <c r="BM133" s="335"/>
      <c r="BN133" s="335"/>
      <c r="BO133" s="335"/>
      <c r="BP133" s="335"/>
      <c r="BQ133" s="335"/>
      <c r="BR133" s="335"/>
      <c r="BS133" s="335"/>
      <c r="BT133" s="335"/>
      <c r="BU133" s="335"/>
      <c r="BV133" s="335"/>
      <c r="BW133" s="335"/>
      <c r="BX133" s="335"/>
      <c r="BY133" s="335"/>
      <c r="BZ133" s="335"/>
      <c r="CA133" s="335"/>
      <c r="CB133" s="335"/>
      <c r="CC133" s="335"/>
      <c r="CD133" s="335"/>
      <c r="CE133" s="335"/>
      <c r="CF133" s="335"/>
      <c r="CG133" s="335"/>
      <c r="CH133" s="335"/>
      <c r="CI133" s="335"/>
      <c r="CJ133" s="335"/>
      <c r="CK133" s="335"/>
      <c r="CL133" s="335"/>
      <c r="CM133" s="335"/>
      <c r="CN133" s="335"/>
      <c r="CO133" s="335"/>
      <c r="CP133" s="335"/>
      <c r="CQ133" s="335"/>
      <c r="CR133" s="335"/>
      <c r="CS133" s="335"/>
      <c r="CT133" s="335"/>
      <c r="CU133" s="335"/>
      <c r="CV133" s="335"/>
      <c r="CW133" s="335"/>
      <c r="CX133" s="335"/>
      <c r="CY133" s="335"/>
      <c r="CZ133" s="335"/>
      <c r="DA133" s="335"/>
      <c r="DB133" s="335"/>
      <c r="DC133" s="335"/>
      <c r="DD133" s="335"/>
      <c r="DE133" s="335"/>
      <c r="DF133" s="335"/>
      <c r="DG133" s="335"/>
      <c r="DH133" s="335"/>
      <c r="DI133" s="335"/>
      <c r="DJ133" s="335"/>
      <c r="DK133" s="335"/>
      <c r="DL133" s="335"/>
      <c r="DM133" s="335"/>
      <c r="DN133" s="335"/>
      <c r="DO133" s="335"/>
    </row>
    <row r="134" spans="1:119" ht="35.1" customHeight="1">
      <c r="A134" s="977"/>
      <c r="B134" s="977"/>
      <c r="C134" s="977"/>
      <c r="D134" s="977"/>
      <c r="E134" s="977"/>
      <c r="F134" s="977"/>
      <c r="G134" s="977"/>
      <c r="H134" s="977"/>
      <c r="I134" s="977"/>
      <c r="J134" s="977"/>
      <c r="K134" s="977"/>
      <c r="L134" s="977"/>
      <c r="M134" s="977"/>
      <c r="N134" s="977"/>
      <c r="O134" s="977"/>
      <c r="P134" s="977"/>
      <c r="Q134" s="977"/>
      <c r="R134" s="977"/>
      <c r="S134" s="977"/>
      <c r="T134" s="977"/>
      <c r="U134" s="977"/>
      <c r="V134" s="977"/>
      <c r="W134" s="977"/>
      <c r="X134" s="977"/>
      <c r="Y134" s="977"/>
      <c r="Z134" s="977"/>
      <c r="AA134" s="977"/>
      <c r="AB134" s="977"/>
      <c r="AC134" s="977"/>
      <c r="AD134" s="977"/>
      <c r="AE134" s="977"/>
      <c r="AF134" s="977"/>
      <c r="AG134" s="977"/>
      <c r="AH134" s="977"/>
      <c r="AI134" s="977"/>
      <c r="AJ134" s="977"/>
      <c r="AK134" s="977"/>
      <c r="AL134" s="977"/>
      <c r="AM134" s="977"/>
      <c r="AN134" s="977"/>
      <c r="AO134" s="977"/>
      <c r="AP134" s="977"/>
      <c r="AQ134" s="977"/>
      <c r="AR134" s="335"/>
      <c r="AS134" s="335"/>
      <c r="AT134" s="335"/>
      <c r="AU134" s="335"/>
      <c r="AV134" s="335"/>
      <c r="AW134" s="335"/>
      <c r="AX134" s="335"/>
      <c r="AY134" s="335"/>
      <c r="AZ134" s="335"/>
      <c r="BA134" s="335"/>
      <c r="BB134" s="335"/>
      <c r="BC134" s="335"/>
      <c r="BD134" s="335"/>
      <c r="BE134" s="335"/>
      <c r="BF134" s="335"/>
      <c r="BG134" s="335"/>
      <c r="BH134" s="335"/>
      <c r="BI134" s="335"/>
      <c r="BJ134" s="335"/>
      <c r="BK134" s="335"/>
      <c r="BL134" s="335"/>
      <c r="BM134" s="335"/>
      <c r="BN134" s="335"/>
      <c r="BO134" s="335"/>
      <c r="BP134" s="335"/>
      <c r="BQ134" s="335"/>
      <c r="BR134" s="335"/>
      <c r="BS134" s="335"/>
      <c r="BT134" s="335"/>
      <c r="BU134" s="335"/>
      <c r="BV134" s="335"/>
      <c r="BW134" s="335"/>
      <c r="BX134" s="335"/>
      <c r="BY134" s="335"/>
      <c r="BZ134" s="335"/>
      <c r="CA134" s="335"/>
      <c r="CB134" s="335"/>
      <c r="CC134" s="335"/>
      <c r="CD134" s="335"/>
      <c r="CE134" s="335"/>
      <c r="CF134" s="335"/>
      <c r="CG134" s="335"/>
      <c r="CH134" s="335"/>
      <c r="CI134" s="335"/>
      <c r="CJ134" s="335"/>
      <c r="CK134" s="335"/>
      <c r="CL134" s="335"/>
      <c r="CM134" s="335"/>
      <c r="CN134" s="335"/>
      <c r="CO134" s="335"/>
      <c r="CP134" s="335"/>
      <c r="CQ134" s="335"/>
      <c r="CR134" s="335"/>
      <c r="CS134" s="335"/>
      <c r="CT134" s="335"/>
      <c r="CU134" s="335"/>
      <c r="CV134" s="335"/>
      <c r="CW134" s="335"/>
      <c r="CX134" s="335"/>
      <c r="CY134" s="335"/>
      <c r="CZ134" s="335"/>
      <c r="DA134" s="335"/>
      <c r="DB134" s="335"/>
      <c r="DC134" s="335"/>
      <c r="DD134" s="335"/>
      <c r="DE134" s="335"/>
      <c r="DF134" s="335"/>
      <c r="DG134" s="335"/>
      <c r="DH134" s="335"/>
      <c r="DI134" s="335"/>
      <c r="DJ134" s="335"/>
      <c r="DK134" s="335"/>
      <c r="DL134" s="335"/>
      <c r="DM134" s="335"/>
      <c r="DN134" s="335"/>
      <c r="DO134" s="335"/>
    </row>
    <row r="135" spans="1:119" ht="35.1" customHeight="1">
      <c r="A135" s="977"/>
      <c r="B135" s="977"/>
      <c r="C135" s="977"/>
      <c r="D135" s="977"/>
      <c r="E135" s="977"/>
      <c r="F135" s="977"/>
      <c r="G135" s="977"/>
      <c r="H135" s="977"/>
      <c r="I135" s="977"/>
      <c r="J135" s="977"/>
      <c r="K135" s="977"/>
      <c r="L135" s="977"/>
      <c r="M135" s="977"/>
      <c r="N135" s="977"/>
      <c r="O135" s="977"/>
      <c r="P135" s="977"/>
      <c r="Q135" s="977"/>
      <c r="R135" s="977"/>
      <c r="S135" s="977"/>
      <c r="T135" s="977"/>
      <c r="U135" s="977"/>
      <c r="V135" s="977"/>
      <c r="W135" s="977"/>
      <c r="X135" s="977"/>
      <c r="Y135" s="977"/>
      <c r="Z135" s="977"/>
      <c r="AA135" s="977"/>
      <c r="AB135" s="977"/>
      <c r="AC135" s="977"/>
      <c r="AD135" s="977"/>
      <c r="AE135" s="977"/>
      <c r="AF135" s="977"/>
      <c r="AG135" s="977"/>
      <c r="AH135" s="977"/>
      <c r="AI135" s="977"/>
      <c r="AJ135" s="977"/>
      <c r="AK135" s="977"/>
      <c r="AL135" s="977"/>
      <c r="AM135" s="977"/>
      <c r="AN135" s="977"/>
      <c r="AO135" s="977"/>
      <c r="AP135" s="977"/>
      <c r="AQ135" s="977"/>
      <c r="AR135" s="335"/>
      <c r="AS135" s="335"/>
      <c r="AT135" s="335"/>
      <c r="AU135" s="335"/>
      <c r="AV135" s="335"/>
      <c r="AW135" s="335"/>
      <c r="AX135" s="335"/>
      <c r="AY135" s="335"/>
      <c r="AZ135" s="335"/>
      <c r="BA135" s="335"/>
      <c r="BB135" s="335"/>
      <c r="BC135" s="335"/>
      <c r="BD135" s="335"/>
      <c r="BE135" s="335"/>
      <c r="BF135" s="335"/>
      <c r="BG135" s="335"/>
      <c r="BH135" s="335"/>
      <c r="BI135" s="335"/>
      <c r="BJ135" s="335"/>
      <c r="BK135" s="335"/>
      <c r="BL135" s="335"/>
      <c r="BM135" s="335"/>
      <c r="BN135" s="335"/>
      <c r="BO135" s="335"/>
      <c r="BP135" s="335"/>
      <c r="BQ135" s="335"/>
      <c r="BR135" s="335"/>
      <c r="BS135" s="335"/>
      <c r="BT135" s="335"/>
      <c r="BU135" s="335"/>
      <c r="BV135" s="335"/>
      <c r="BW135" s="335"/>
      <c r="BX135" s="335"/>
      <c r="BY135" s="335"/>
      <c r="BZ135" s="335"/>
      <c r="CA135" s="335"/>
      <c r="CB135" s="335"/>
      <c r="CC135" s="335"/>
      <c r="CD135" s="335"/>
      <c r="CE135" s="335"/>
      <c r="CF135" s="335"/>
      <c r="CG135" s="335"/>
      <c r="CH135" s="335"/>
      <c r="CI135" s="335"/>
      <c r="CJ135" s="335"/>
      <c r="CK135" s="335"/>
      <c r="CL135" s="335"/>
      <c r="CM135" s="335"/>
      <c r="CN135" s="335"/>
      <c r="CO135" s="335"/>
      <c r="CP135" s="335"/>
      <c r="CQ135" s="335"/>
      <c r="CR135" s="335"/>
      <c r="CS135" s="335"/>
      <c r="CT135" s="335"/>
      <c r="CU135" s="335"/>
      <c r="CV135" s="335"/>
      <c r="CW135" s="335"/>
      <c r="CX135" s="335"/>
      <c r="CY135" s="335"/>
      <c r="CZ135" s="335"/>
      <c r="DA135" s="335"/>
      <c r="DB135" s="335"/>
      <c r="DC135" s="335"/>
      <c r="DD135" s="335"/>
      <c r="DE135" s="335"/>
      <c r="DF135" s="335"/>
      <c r="DG135" s="335"/>
      <c r="DH135" s="335"/>
      <c r="DI135" s="335"/>
      <c r="DJ135" s="335"/>
      <c r="DK135" s="335"/>
      <c r="DL135" s="335"/>
      <c r="DM135" s="335"/>
      <c r="DN135" s="335"/>
      <c r="DO135" s="335"/>
    </row>
    <row r="136" spans="1:119" ht="35.1" customHeight="1">
      <c r="A136" s="977"/>
      <c r="B136" s="977"/>
      <c r="C136" s="977"/>
      <c r="D136" s="977"/>
      <c r="E136" s="977"/>
      <c r="F136" s="977"/>
      <c r="G136" s="977"/>
      <c r="H136" s="977"/>
      <c r="I136" s="977"/>
      <c r="J136" s="977"/>
      <c r="K136" s="977"/>
      <c r="L136" s="977"/>
      <c r="M136" s="977"/>
      <c r="N136" s="977"/>
      <c r="O136" s="977"/>
      <c r="P136" s="977"/>
      <c r="Q136" s="977"/>
      <c r="R136" s="977"/>
      <c r="S136" s="977"/>
      <c r="T136" s="977"/>
      <c r="U136" s="977"/>
      <c r="V136" s="977"/>
      <c r="W136" s="977"/>
      <c r="X136" s="977"/>
      <c r="Y136" s="977"/>
      <c r="Z136" s="977"/>
      <c r="AA136" s="977"/>
      <c r="AB136" s="977"/>
      <c r="AC136" s="977"/>
      <c r="AD136" s="977"/>
      <c r="AE136" s="977"/>
      <c r="AF136" s="977"/>
      <c r="AG136" s="977"/>
      <c r="AH136" s="977"/>
      <c r="AI136" s="977"/>
      <c r="AJ136" s="977"/>
      <c r="AK136" s="977"/>
      <c r="AL136" s="977"/>
      <c r="AM136" s="977"/>
      <c r="AN136" s="977"/>
      <c r="AO136" s="977"/>
      <c r="AP136" s="977"/>
      <c r="AQ136" s="977"/>
      <c r="AR136" s="335"/>
      <c r="AS136" s="335"/>
      <c r="AT136" s="335"/>
      <c r="AU136" s="335"/>
      <c r="AV136" s="335"/>
      <c r="AW136" s="335"/>
      <c r="AX136" s="335"/>
      <c r="AY136" s="335"/>
      <c r="AZ136" s="335"/>
      <c r="BA136" s="335"/>
      <c r="BB136" s="335"/>
      <c r="BC136" s="335"/>
      <c r="BD136" s="335"/>
      <c r="BE136" s="335"/>
      <c r="BF136" s="335"/>
      <c r="BG136" s="335"/>
      <c r="BH136" s="335"/>
      <c r="BI136" s="335"/>
      <c r="BJ136" s="335"/>
      <c r="BK136" s="335"/>
      <c r="BL136" s="335"/>
      <c r="BM136" s="335"/>
      <c r="BN136" s="335"/>
      <c r="BO136" s="335"/>
      <c r="BP136" s="335"/>
      <c r="BQ136" s="335"/>
      <c r="BR136" s="335"/>
      <c r="BS136" s="335"/>
      <c r="BT136" s="335"/>
      <c r="BU136" s="335"/>
      <c r="BV136" s="335"/>
      <c r="BW136" s="335"/>
      <c r="BX136" s="335"/>
      <c r="BY136" s="335"/>
      <c r="BZ136" s="335"/>
      <c r="CA136" s="335"/>
      <c r="CB136" s="335"/>
      <c r="CC136" s="335"/>
      <c r="CD136" s="335"/>
      <c r="CE136" s="335"/>
      <c r="CF136" s="335"/>
      <c r="CG136" s="335"/>
      <c r="CH136" s="335"/>
      <c r="CI136" s="335"/>
      <c r="CJ136" s="335"/>
      <c r="CK136" s="335"/>
      <c r="CL136" s="335"/>
      <c r="CM136" s="335"/>
      <c r="CN136" s="335"/>
      <c r="CO136" s="335"/>
      <c r="CP136" s="335"/>
      <c r="CQ136" s="335"/>
      <c r="CR136" s="335"/>
      <c r="CS136" s="335"/>
      <c r="CT136" s="335"/>
      <c r="CU136" s="335"/>
      <c r="CV136" s="335"/>
      <c r="CW136" s="335"/>
      <c r="CX136" s="335"/>
      <c r="CY136" s="335"/>
      <c r="CZ136" s="335"/>
      <c r="DA136" s="335"/>
      <c r="DB136" s="335"/>
      <c r="DC136" s="335"/>
      <c r="DD136" s="335"/>
      <c r="DE136" s="335"/>
      <c r="DF136" s="335"/>
      <c r="DG136" s="335"/>
      <c r="DH136" s="335"/>
      <c r="DI136" s="335"/>
      <c r="DJ136" s="335"/>
      <c r="DK136" s="335"/>
      <c r="DL136" s="335"/>
      <c r="DM136" s="335"/>
      <c r="DN136" s="335"/>
      <c r="DO136" s="335"/>
    </row>
    <row r="137" spans="1:119" ht="35.1" customHeight="1">
      <c r="A137" s="977"/>
      <c r="B137" s="978"/>
      <c r="C137" s="977"/>
      <c r="D137" s="977"/>
      <c r="E137" s="977"/>
      <c r="F137" s="977"/>
      <c r="G137" s="977"/>
      <c r="H137" s="977"/>
      <c r="I137" s="977"/>
      <c r="J137" s="977"/>
      <c r="K137" s="977"/>
      <c r="L137" s="977"/>
      <c r="M137" s="977"/>
      <c r="N137" s="977"/>
      <c r="O137" s="977"/>
      <c r="P137" s="977"/>
      <c r="Q137" s="977"/>
      <c r="R137" s="977"/>
      <c r="S137" s="977"/>
      <c r="T137" s="977"/>
      <c r="U137" s="977"/>
      <c r="V137" s="977"/>
      <c r="W137" s="977"/>
      <c r="X137" s="977"/>
      <c r="Y137" s="977"/>
      <c r="Z137" s="977"/>
      <c r="AA137" s="977"/>
      <c r="AB137" s="977"/>
      <c r="AC137" s="977"/>
      <c r="AD137" s="977"/>
      <c r="AE137" s="977"/>
      <c r="AF137" s="977"/>
      <c r="AG137" s="977"/>
      <c r="AH137" s="977"/>
      <c r="AI137" s="977"/>
      <c r="AJ137" s="977"/>
      <c r="AK137" s="977"/>
      <c r="AL137" s="977"/>
      <c r="AM137" s="977"/>
      <c r="AN137" s="977"/>
      <c r="AO137" s="977"/>
      <c r="AP137" s="977"/>
      <c r="AQ137" s="977"/>
      <c r="AR137" s="335"/>
      <c r="AS137" s="335"/>
      <c r="AT137" s="335"/>
      <c r="AU137" s="335"/>
      <c r="AV137" s="335"/>
      <c r="AW137" s="335"/>
      <c r="AX137" s="335"/>
      <c r="AY137" s="335"/>
      <c r="AZ137" s="335"/>
      <c r="BA137" s="335"/>
      <c r="BB137" s="335"/>
      <c r="BC137" s="335"/>
      <c r="BD137" s="335"/>
      <c r="BE137" s="335"/>
      <c r="BF137" s="335"/>
      <c r="BG137" s="335"/>
      <c r="BH137" s="335"/>
      <c r="BI137" s="335"/>
      <c r="BJ137" s="335"/>
      <c r="BK137" s="335"/>
      <c r="BL137" s="335"/>
      <c r="BM137" s="335"/>
      <c r="BN137" s="335"/>
      <c r="BO137" s="335"/>
      <c r="BP137" s="335"/>
      <c r="BQ137" s="335"/>
      <c r="BR137" s="335"/>
      <c r="BS137" s="335"/>
      <c r="BT137" s="335"/>
      <c r="BU137" s="335"/>
      <c r="BV137" s="335"/>
      <c r="BW137" s="335"/>
      <c r="BX137" s="335"/>
      <c r="BY137" s="335"/>
      <c r="BZ137" s="335"/>
      <c r="CA137" s="335"/>
      <c r="CB137" s="335"/>
      <c r="CC137" s="335"/>
      <c r="CD137" s="335"/>
      <c r="CE137" s="335"/>
      <c r="CF137" s="335"/>
      <c r="CG137" s="335"/>
      <c r="CH137" s="335"/>
      <c r="CI137" s="335"/>
      <c r="CJ137" s="335"/>
      <c r="CK137" s="335"/>
      <c r="CL137" s="335"/>
      <c r="CM137" s="335"/>
      <c r="CN137" s="335"/>
      <c r="CO137" s="335"/>
      <c r="CP137" s="335"/>
      <c r="CQ137" s="335"/>
      <c r="CR137" s="335"/>
      <c r="CS137" s="335"/>
      <c r="CT137" s="335"/>
      <c r="CU137" s="335"/>
      <c r="CV137" s="335"/>
      <c r="CW137" s="335"/>
      <c r="CX137" s="335"/>
      <c r="CY137" s="335"/>
      <c r="CZ137" s="335"/>
      <c r="DA137" s="335"/>
      <c r="DB137" s="335"/>
      <c r="DC137" s="335"/>
      <c r="DD137" s="335"/>
      <c r="DE137" s="335"/>
      <c r="DF137" s="335"/>
      <c r="DG137" s="335"/>
      <c r="DH137" s="335"/>
      <c r="DI137" s="335"/>
      <c r="DJ137" s="335"/>
      <c r="DK137" s="335"/>
      <c r="DL137" s="335"/>
      <c r="DM137" s="335"/>
      <c r="DN137" s="335"/>
      <c r="DO137" s="335"/>
    </row>
    <row r="138" spans="1:119" ht="35.1" customHeight="1">
      <c r="A138" s="977"/>
      <c r="B138" s="977"/>
      <c r="C138" s="977"/>
      <c r="D138" s="977"/>
      <c r="E138" s="977"/>
      <c r="F138" s="977"/>
      <c r="G138" s="977"/>
      <c r="H138" s="977"/>
      <c r="I138" s="977"/>
      <c r="J138" s="977"/>
      <c r="K138" s="977"/>
      <c r="L138" s="977"/>
      <c r="M138" s="977"/>
      <c r="N138" s="977"/>
      <c r="O138" s="977"/>
      <c r="P138" s="977"/>
      <c r="Q138" s="977"/>
      <c r="R138" s="977"/>
      <c r="S138" s="977"/>
      <c r="T138" s="977"/>
      <c r="U138" s="977"/>
      <c r="V138" s="977"/>
      <c r="W138" s="977"/>
      <c r="X138" s="977"/>
      <c r="Y138" s="977"/>
      <c r="Z138" s="977"/>
      <c r="AA138" s="977"/>
      <c r="AB138" s="977"/>
      <c r="AC138" s="977"/>
      <c r="AD138" s="977"/>
      <c r="AE138" s="977"/>
      <c r="AF138" s="977"/>
      <c r="AG138" s="977"/>
      <c r="AH138" s="977"/>
      <c r="AI138" s="977"/>
      <c r="AJ138" s="977"/>
      <c r="AK138" s="977"/>
      <c r="AL138" s="977"/>
      <c r="AM138" s="977"/>
      <c r="AN138" s="977"/>
      <c r="AO138" s="977"/>
      <c r="AP138" s="977"/>
      <c r="AQ138" s="977"/>
      <c r="AR138" s="335"/>
      <c r="AS138" s="335"/>
      <c r="AT138" s="335"/>
      <c r="AU138" s="335"/>
      <c r="AV138" s="335"/>
      <c r="AW138" s="335"/>
      <c r="AX138" s="335"/>
      <c r="AY138" s="335"/>
      <c r="AZ138" s="335"/>
      <c r="BA138" s="335"/>
      <c r="BB138" s="335"/>
      <c r="BC138" s="335"/>
      <c r="BD138" s="335"/>
      <c r="BE138" s="335"/>
      <c r="BF138" s="335"/>
      <c r="BG138" s="335"/>
      <c r="BH138" s="335"/>
      <c r="BI138" s="335"/>
      <c r="BJ138" s="335"/>
      <c r="BK138" s="335"/>
      <c r="BL138" s="335"/>
      <c r="BM138" s="335"/>
      <c r="BN138" s="335"/>
      <c r="BO138" s="335"/>
      <c r="BP138" s="335"/>
      <c r="BQ138" s="335"/>
      <c r="BR138" s="335"/>
      <c r="BS138" s="335"/>
      <c r="BT138" s="335"/>
      <c r="BU138" s="335"/>
      <c r="BV138" s="335"/>
      <c r="BW138" s="335"/>
      <c r="BX138" s="335"/>
      <c r="BY138" s="335"/>
      <c r="BZ138" s="335"/>
      <c r="CA138" s="335"/>
      <c r="CB138" s="335"/>
      <c r="CC138" s="335"/>
      <c r="CD138" s="335"/>
      <c r="CE138" s="335"/>
      <c r="CF138" s="335"/>
      <c r="CG138" s="335"/>
      <c r="CH138" s="335"/>
      <c r="CI138" s="335"/>
      <c r="CJ138" s="335"/>
      <c r="CK138" s="335"/>
      <c r="CL138" s="335"/>
      <c r="CM138" s="335"/>
      <c r="CN138" s="335"/>
      <c r="CO138" s="335"/>
      <c r="CP138" s="335"/>
      <c r="CQ138" s="335"/>
      <c r="CR138" s="335"/>
      <c r="CS138" s="335"/>
      <c r="CT138" s="335"/>
      <c r="CU138" s="335"/>
      <c r="CV138" s="335"/>
      <c r="CW138" s="335"/>
      <c r="CX138" s="335"/>
      <c r="CY138" s="335"/>
      <c r="CZ138" s="335"/>
      <c r="DA138" s="335"/>
      <c r="DB138" s="335"/>
      <c r="DC138" s="335"/>
      <c r="DD138" s="335"/>
      <c r="DE138" s="335"/>
      <c r="DF138" s="335"/>
      <c r="DG138" s="335"/>
      <c r="DH138" s="335"/>
      <c r="DI138" s="335"/>
      <c r="DJ138" s="335"/>
      <c r="DK138" s="335"/>
      <c r="DL138" s="335"/>
      <c r="DM138" s="335"/>
      <c r="DN138" s="335"/>
      <c r="DO138" s="335"/>
    </row>
    <row r="139" spans="1:119" ht="35.1" customHeight="1">
      <c r="A139" s="977"/>
      <c r="B139" s="977"/>
      <c r="C139" s="977"/>
      <c r="D139" s="977"/>
      <c r="E139" s="977"/>
      <c r="F139" s="977"/>
      <c r="G139" s="977"/>
      <c r="H139" s="977"/>
      <c r="I139" s="977"/>
      <c r="J139" s="977"/>
      <c r="K139" s="977"/>
      <c r="L139" s="977"/>
      <c r="M139" s="977"/>
      <c r="N139" s="977"/>
      <c r="O139" s="977"/>
      <c r="P139" s="977"/>
      <c r="Q139" s="977"/>
      <c r="R139" s="977"/>
      <c r="S139" s="977"/>
      <c r="T139" s="977"/>
      <c r="U139" s="977"/>
      <c r="V139" s="977"/>
      <c r="W139" s="977"/>
      <c r="X139" s="977"/>
      <c r="Y139" s="977"/>
      <c r="Z139" s="977"/>
      <c r="AA139" s="977"/>
      <c r="AB139" s="977"/>
      <c r="AC139" s="977"/>
      <c r="AD139" s="977"/>
      <c r="AE139" s="977"/>
      <c r="AF139" s="977"/>
      <c r="AG139" s="977"/>
      <c r="AH139" s="977"/>
      <c r="AI139" s="977"/>
      <c r="AJ139" s="977"/>
      <c r="AK139" s="977"/>
      <c r="AL139" s="977"/>
      <c r="AM139" s="977"/>
      <c r="AN139" s="977"/>
      <c r="AO139" s="977"/>
      <c r="AP139" s="977"/>
      <c r="AQ139" s="977"/>
      <c r="AR139" s="335"/>
      <c r="AS139" s="335"/>
      <c r="AT139" s="335"/>
      <c r="AU139" s="335"/>
      <c r="AV139" s="335"/>
      <c r="AW139" s="335"/>
      <c r="AX139" s="335"/>
      <c r="AY139" s="335"/>
      <c r="AZ139" s="335"/>
      <c r="BA139" s="335"/>
      <c r="BB139" s="335"/>
      <c r="BC139" s="335"/>
      <c r="BD139" s="335"/>
      <c r="BE139" s="335"/>
      <c r="BF139" s="335"/>
      <c r="BG139" s="335"/>
      <c r="BH139" s="335"/>
      <c r="BI139" s="335"/>
      <c r="BJ139" s="335"/>
      <c r="BK139" s="335"/>
      <c r="BL139" s="335"/>
      <c r="BM139" s="335"/>
      <c r="BN139" s="335"/>
      <c r="BO139" s="335"/>
      <c r="BP139" s="335"/>
      <c r="BQ139" s="335"/>
      <c r="BR139" s="335"/>
      <c r="BS139" s="335"/>
      <c r="BT139" s="335"/>
      <c r="BU139" s="335"/>
      <c r="BV139" s="335"/>
      <c r="BW139" s="335"/>
      <c r="BX139" s="335"/>
      <c r="BY139" s="335"/>
      <c r="BZ139" s="335"/>
      <c r="CA139" s="335"/>
      <c r="CB139" s="335"/>
      <c r="CC139" s="335"/>
      <c r="CD139" s="335"/>
      <c r="CE139" s="335"/>
      <c r="CF139" s="335"/>
      <c r="CG139" s="335"/>
      <c r="CH139" s="335"/>
      <c r="CI139" s="335"/>
      <c r="CJ139" s="335"/>
      <c r="CK139" s="335"/>
      <c r="CL139" s="335"/>
      <c r="CM139" s="335"/>
      <c r="CN139" s="335"/>
      <c r="CO139" s="335"/>
      <c r="CP139" s="335"/>
      <c r="CQ139" s="335"/>
      <c r="CR139" s="335"/>
      <c r="CS139" s="335"/>
      <c r="CT139" s="335"/>
      <c r="CU139" s="335"/>
      <c r="CV139" s="335"/>
      <c r="CW139" s="335"/>
      <c r="CX139" s="335"/>
      <c r="CY139" s="335"/>
      <c r="CZ139" s="335"/>
      <c r="DA139" s="335"/>
      <c r="DB139" s="335"/>
      <c r="DC139" s="335"/>
      <c r="DD139" s="335"/>
      <c r="DE139" s="335"/>
      <c r="DF139" s="335"/>
      <c r="DG139" s="335"/>
      <c r="DH139" s="335"/>
      <c r="DI139" s="335"/>
      <c r="DJ139" s="335"/>
      <c r="DK139" s="335"/>
      <c r="DL139" s="335"/>
      <c r="DM139" s="335"/>
      <c r="DN139" s="335"/>
      <c r="DO139" s="335"/>
    </row>
    <row r="140" spans="1:119" ht="35.1" customHeight="1">
      <c r="A140" s="977"/>
      <c r="B140" s="977"/>
      <c r="C140" s="977"/>
      <c r="D140" s="977"/>
      <c r="E140" s="977"/>
      <c r="F140" s="977"/>
      <c r="G140" s="977"/>
      <c r="H140" s="977"/>
      <c r="I140" s="977"/>
      <c r="J140" s="977"/>
      <c r="K140" s="977"/>
      <c r="L140" s="977"/>
      <c r="M140" s="977"/>
      <c r="N140" s="977"/>
      <c r="O140" s="977"/>
      <c r="P140" s="977"/>
      <c r="Q140" s="977"/>
      <c r="R140" s="977"/>
      <c r="S140" s="977"/>
      <c r="T140" s="977"/>
      <c r="U140" s="977"/>
      <c r="V140" s="977"/>
      <c r="W140" s="977"/>
      <c r="X140" s="977"/>
      <c r="Y140" s="977"/>
      <c r="Z140" s="977"/>
      <c r="AA140" s="977"/>
      <c r="AB140" s="977"/>
      <c r="AC140" s="977"/>
      <c r="AD140" s="977"/>
      <c r="AE140" s="977"/>
      <c r="AF140" s="977"/>
      <c r="AG140" s="977"/>
      <c r="AH140" s="977"/>
      <c r="AI140" s="977"/>
      <c r="AJ140" s="977"/>
      <c r="AK140" s="977"/>
      <c r="AL140" s="977"/>
      <c r="AM140" s="977"/>
      <c r="AN140" s="977"/>
      <c r="AO140" s="977"/>
      <c r="AP140" s="977"/>
      <c r="AQ140" s="977"/>
      <c r="AR140" s="335"/>
      <c r="AS140" s="335"/>
      <c r="AT140" s="335"/>
      <c r="AU140" s="335"/>
      <c r="AV140" s="335"/>
      <c r="AW140" s="335"/>
      <c r="AX140" s="335"/>
      <c r="AY140" s="335"/>
      <c r="AZ140" s="335"/>
      <c r="BA140" s="335"/>
      <c r="BB140" s="335"/>
      <c r="BC140" s="335"/>
      <c r="BD140" s="335"/>
      <c r="BE140" s="335"/>
      <c r="BF140" s="335"/>
      <c r="BG140" s="335"/>
      <c r="BH140" s="335"/>
      <c r="BI140" s="335"/>
      <c r="BJ140" s="335"/>
      <c r="BK140" s="335"/>
      <c r="BL140" s="335"/>
      <c r="BM140" s="335"/>
      <c r="BN140" s="335"/>
      <c r="BO140" s="335"/>
      <c r="BP140" s="335"/>
      <c r="BQ140" s="335"/>
      <c r="BR140" s="335"/>
      <c r="BS140" s="335"/>
      <c r="BT140" s="335"/>
      <c r="BU140" s="335"/>
      <c r="BV140" s="335"/>
      <c r="BW140" s="335"/>
      <c r="BX140" s="335"/>
      <c r="BY140" s="335"/>
      <c r="BZ140" s="335"/>
      <c r="CA140" s="335"/>
      <c r="CB140" s="335"/>
      <c r="CC140" s="335"/>
      <c r="CD140" s="335"/>
      <c r="CE140" s="335"/>
      <c r="CF140" s="335"/>
      <c r="CG140" s="335"/>
      <c r="CH140" s="335"/>
      <c r="CI140" s="335"/>
      <c r="CJ140" s="335"/>
      <c r="CK140" s="335"/>
      <c r="CL140" s="335"/>
      <c r="CM140" s="335"/>
      <c r="CN140" s="335"/>
      <c r="CO140" s="335"/>
      <c r="CP140" s="335"/>
      <c r="CQ140" s="335"/>
      <c r="CR140" s="335"/>
      <c r="CS140" s="335"/>
      <c r="CT140" s="335"/>
      <c r="CU140" s="335"/>
      <c r="CV140" s="335"/>
      <c r="CW140" s="335"/>
      <c r="CX140" s="335"/>
      <c r="CY140" s="335"/>
      <c r="CZ140" s="335"/>
      <c r="DA140" s="335"/>
      <c r="DB140" s="335"/>
      <c r="DC140" s="335"/>
      <c r="DD140" s="335"/>
      <c r="DE140" s="335"/>
      <c r="DF140" s="335"/>
      <c r="DG140" s="335"/>
      <c r="DH140" s="335"/>
      <c r="DI140" s="335"/>
      <c r="DJ140" s="335"/>
      <c r="DK140" s="335"/>
      <c r="DL140" s="335"/>
      <c r="DM140" s="335"/>
      <c r="DN140" s="335"/>
      <c r="DO140" s="335"/>
    </row>
    <row r="141" spans="1:119" ht="35.1" customHeight="1">
      <c r="A141" s="977"/>
      <c r="B141" s="977"/>
      <c r="C141" s="977"/>
      <c r="D141" s="977"/>
      <c r="E141" s="977"/>
      <c r="F141" s="977"/>
      <c r="G141" s="977"/>
      <c r="H141" s="977"/>
      <c r="I141" s="977"/>
      <c r="J141" s="977"/>
      <c r="K141" s="977"/>
      <c r="L141" s="977"/>
      <c r="M141" s="977"/>
      <c r="N141" s="977"/>
      <c r="O141" s="977"/>
      <c r="P141" s="977"/>
      <c r="Q141" s="977"/>
      <c r="R141" s="977"/>
      <c r="S141" s="977"/>
      <c r="T141" s="977"/>
      <c r="U141" s="977"/>
      <c r="V141" s="977"/>
      <c r="W141" s="977"/>
      <c r="X141" s="977"/>
      <c r="Y141" s="977"/>
      <c r="Z141" s="977"/>
      <c r="AA141" s="977"/>
      <c r="AB141" s="977"/>
      <c r="AC141" s="977"/>
      <c r="AD141" s="977"/>
      <c r="AE141" s="977"/>
      <c r="AF141" s="977"/>
      <c r="AG141" s="977"/>
      <c r="AH141" s="977"/>
      <c r="AI141" s="977"/>
      <c r="AJ141" s="977"/>
      <c r="AK141" s="977"/>
      <c r="AL141" s="977"/>
      <c r="AM141" s="977"/>
      <c r="AN141" s="977"/>
      <c r="AO141" s="977"/>
      <c r="AP141" s="977"/>
      <c r="AQ141" s="977"/>
      <c r="AR141" s="335"/>
      <c r="AS141" s="335"/>
      <c r="AT141" s="335"/>
      <c r="AU141" s="335"/>
      <c r="AV141" s="335"/>
      <c r="AW141" s="335"/>
      <c r="AX141" s="335"/>
      <c r="AY141" s="335"/>
      <c r="AZ141" s="335"/>
      <c r="BA141" s="335"/>
      <c r="BB141" s="335"/>
      <c r="BC141" s="335"/>
      <c r="BD141" s="335"/>
      <c r="BE141" s="335"/>
      <c r="BF141" s="335"/>
      <c r="BG141" s="335"/>
      <c r="BH141" s="335"/>
      <c r="BI141" s="335"/>
      <c r="BJ141" s="335"/>
      <c r="BK141" s="335"/>
      <c r="BL141" s="335"/>
      <c r="BM141" s="335"/>
      <c r="BN141" s="335"/>
      <c r="BO141" s="335"/>
      <c r="BP141" s="335"/>
      <c r="BQ141" s="335"/>
      <c r="BR141" s="335"/>
      <c r="BS141" s="335"/>
      <c r="BT141" s="335"/>
      <c r="BU141" s="335"/>
      <c r="BV141" s="335"/>
      <c r="BW141" s="335"/>
      <c r="BX141" s="335"/>
      <c r="BY141" s="335"/>
      <c r="BZ141" s="335"/>
      <c r="CA141" s="335"/>
      <c r="CB141" s="335"/>
      <c r="CC141" s="335"/>
      <c r="CD141" s="335"/>
      <c r="CE141" s="335"/>
      <c r="CF141" s="335"/>
      <c r="CG141" s="335"/>
      <c r="CH141" s="335"/>
      <c r="CI141" s="335"/>
      <c r="CJ141" s="335"/>
      <c r="CK141" s="335"/>
      <c r="CL141" s="335"/>
      <c r="CM141" s="335"/>
      <c r="CN141" s="335"/>
      <c r="CO141" s="335"/>
      <c r="CP141" s="335"/>
      <c r="CQ141" s="335"/>
      <c r="CR141" s="335"/>
      <c r="CS141" s="335"/>
      <c r="CT141" s="335"/>
      <c r="CU141" s="335"/>
      <c r="CV141" s="335"/>
      <c r="CW141" s="335"/>
      <c r="CX141" s="335"/>
      <c r="CY141" s="335"/>
      <c r="CZ141" s="335"/>
      <c r="DA141" s="335"/>
      <c r="DB141" s="335"/>
      <c r="DC141" s="335"/>
      <c r="DD141" s="335"/>
      <c r="DE141" s="335"/>
      <c r="DF141" s="335"/>
      <c r="DG141" s="335"/>
      <c r="DH141" s="335"/>
      <c r="DI141" s="335"/>
      <c r="DJ141" s="335"/>
      <c r="DK141" s="335"/>
      <c r="DL141" s="335"/>
      <c r="DM141" s="335"/>
      <c r="DN141" s="335"/>
      <c r="DO141" s="335"/>
    </row>
    <row r="142" spans="1:119" ht="35.1" customHeight="1">
      <c r="A142" s="977"/>
      <c r="B142" s="977"/>
      <c r="C142" s="977"/>
      <c r="D142" s="977"/>
      <c r="E142" s="977"/>
      <c r="F142" s="977"/>
      <c r="G142" s="977"/>
      <c r="H142" s="977"/>
      <c r="I142" s="977"/>
      <c r="J142" s="977"/>
      <c r="K142" s="977"/>
      <c r="L142" s="977"/>
      <c r="M142" s="977"/>
      <c r="N142" s="977"/>
      <c r="O142" s="977"/>
      <c r="P142" s="977"/>
      <c r="Q142" s="977"/>
      <c r="R142" s="977"/>
      <c r="S142" s="977"/>
      <c r="T142" s="977"/>
      <c r="U142" s="977"/>
      <c r="V142" s="977"/>
      <c r="W142" s="977"/>
      <c r="X142" s="977"/>
      <c r="Y142" s="977"/>
      <c r="Z142" s="977"/>
      <c r="AA142" s="977"/>
      <c r="AB142" s="977"/>
      <c r="AC142" s="977"/>
      <c r="AD142" s="977"/>
      <c r="AE142" s="977"/>
      <c r="AF142" s="977"/>
      <c r="AG142" s="977"/>
      <c r="AH142" s="977"/>
      <c r="AI142" s="977"/>
      <c r="AJ142" s="977"/>
      <c r="AK142" s="977"/>
      <c r="AL142" s="977"/>
      <c r="AM142" s="977"/>
      <c r="AN142" s="977"/>
      <c r="AO142" s="977"/>
      <c r="AP142" s="977"/>
      <c r="AQ142" s="977"/>
      <c r="AR142" s="335"/>
      <c r="AS142" s="335"/>
      <c r="AT142" s="335"/>
      <c r="AU142" s="335"/>
      <c r="AV142" s="335"/>
      <c r="AW142" s="335"/>
      <c r="AX142" s="335"/>
      <c r="AY142" s="335"/>
      <c r="AZ142" s="335"/>
      <c r="BA142" s="335"/>
      <c r="BB142" s="335"/>
      <c r="BC142" s="335"/>
      <c r="BD142" s="335"/>
      <c r="BE142" s="335"/>
      <c r="BF142" s="335"/>
      <c r="BG142" s="335"/>
      <c r="BH142" s="335"/>
      <c r="BI142" s="335"/>
      <c r="BJ142" s="335"/>
      <c r="BK142" s="335"/>
      <c r="BL142" s="335"/>
      <c r="BM142" s="335"/>
      <c r="BN142" s="335"/>
      <c r="BO142" s="335"/>
      <c r="BP142" s="335"/>
      <c r="BQ142" s="335"/>
      <c r="BR142" s="335"/>
      <c r="BS142" s="335"/>
      <c r="BT142" s="335"/>
      <c r="BU142" s="335"/>
      <c r="BV142" s="335"/>
      <c r="BW142" s="335"/>
      <c r="BX142" s="335"/>
      <c r="BY142" s="335"/>
      <c r="BZ142" s="335"/>
      <c r="CA142" s="335"/>
      <c r="CB142" s="335"/>
      <c r="CC142" s="335"/>
      <c r="CD142" s="335"/>
      <c r="CE142" s="335"/>
      <c r="CF142" s="335"/>
      <c r="CG142" s="335"/>
      <c r="CH142" s="335"/>
      <c r="CI142" s="335"/>
      <c r="CJ142" s="335"/>
      <c r="CK142" s="335"/>
      <c r="CL142" s="335"/>
      <c r="CM142" s="335"/>
      <c r="CN142" s="335"/>
      <c r="CO142" s="335"/>
      <c r="CP142" s="335"/>
      <c r="CQ142" s="335"/>
      <c r="CR142" s="335"/>
      <c r="CS142" s="335"/>
      <c r="CT142" s="335"/>
      <c r="CU142" s="335"/>
      <c r="CV142" s="335"/>
      <c r="CW142" s="335"/>
      <c r="CX142" s="335"/>
      <c r="CY142" s="335"/>
      <c r="CZ142" s="335"/>
      <c r="DA142" s="335"/>
      <c r="DB142" s="335"/>
      <c r="DC142" s="335"/>
      <c r="DD142" s="335"/>
      <c r="DE142" s="335"/>
      <c r="DF142" s="335"/>
      <c r="DG142" s="335"/>
      <c r="DH142" s="335"/>
      <c r="DI142" s="335"/>
      <c r="DJ142" s="335"/>
      <c r="DK142" s="335"/>
      <c r="DL142" s="335"/>
      <c r="DM142" s="335"/>
      <c r="DN142" s="335"/>
      <c r="DO142" s="335"/>
    </row>
    <row r="143" spans="1:119" ht="35.1" customHeight="1">
      <c r="A143" s="977"/>
      <c r="B143" s="977"/>
      <c r="C143" s="977"/>
      <c r="D143" s="977"/>
      <c r="E143" s="977"/>
      <c r="F143" s="977"/>
      <c r="G143" s="977"/>
      <c r="H143" s="977"/>
      <c r="I143" s="977"/>
      <c r="J143" s="977"/>
      <c r="K143" s="977"/>
      <c r="L143" s="977"/>
      <c r="M143" s="977"/>
      <c r="N143" s="977"/>
      <c r="O143" s="977"/>
      <c r="P143" s="977"/>
      <c r="Q143" s="977"/>
      <c r="R143" s="977"/>
      <c r="S143" s="977"/>
      <c r="T143" s="977"/>
      <c r="U143" s="977"/>
      <c r="V143" s="977"/>
      <c r="W143" s="977"/>
      <c r="X143" s="977"/>
      <c r="Y143" s="977"/>
      <c r="Z143" s="977"/>
      <c r="AA143" s="977"/>
      <c r="AB143" s="977"/>
      <c r="AC143" s="977"/>
      <c r="AD143" s="977"/>
      <c r="AE143" s="977"/>
      <c r="AF143" s="977"/>
      <c r="AG143" s="977"/>
      <c r="AH143" s="977"/>
      <c r="AI143" s="977"/>
      <c r="AJ143" s="977"/>
      <c r="AK143" s="977"/>
      <c r="AL143" s="977"/>
      <c r="AM143" s="977"/>
      <c r="AN143" s="977"/>
      <c r="AO143" s="977"/>
      <c r="AP143" s="977"/>
      <c r="AQ143" s="977"/>
      <c r="AR143" s="335"/>
      <c r="AS143" s="335"/>
      <c r="AT143" s="335"/>
      <c r="AU143" s="335"/>
      <c r="AV143" s="335"/>
      <c r="AW143" s="335"/>
      <c r="AX143" s="335"/>
      <c r="AY143" s="335"/>
      <c r="AZ143" s="335"/>
      <c r="BA143" s="335"/>
      <c r="BB143" s="335"/>
      <c r="BC143" s="335"/>
      <c r="BD143" s="335"/>
      <c r="BE143" s="335"/>
      <c r="BF143" s="335"/>
      <c r="BG143" s="335"/>
      <c r="BH143" s="335"/>
      <c r="BI143" s="335"/>
      <c r="BJ143" s="335"/>
      <c r="BK143" s="335"/>
      <c r="BL143" s="335"/>
      <c r="BM143" s="335"/>
      <c r="BN143" s="335"/>
      <c r="BO143" s="335"/>
      <c r="BP143" s="335"/>
      <c r="BQ143" s="335"/>
      <c r="BR143" s="335"/>
      <c r="BS143" s="335"/>
      <c r="BT143" s="335"/>
      <c r="BU143" s="335"/>
      <c r="BV143" s="335"/>
      <c r="BW143" s="335"/>
      <c r="BX143" s="335"/>
      <c r="BY143" s="335"/>
      <c r="BZ143" s="335"/>
      <c r="CA143" s="335"/>
      <c r="CB143" s="335"/>
      <c r="CC143" s="335"/>
      <c r="CD143" s="335"/>
      <c r="CE143" s="335"/>
      <c r="CF143" s="335"/>
      <c r="CG143" s="335"/>
      <c r="CH143" s="335"/>
      <c r="CI143" s="335"/>
      <c r="CJ143" s="335"/>
      <c r="CK143" s="335"/>
      <c r="CL143" s="335"/>
      <c r="CM143" s="335"/>
      <c r="CN143" s="335"/>
      <c r="CO143" s="335"/>
      <c r="CP143" s="335"/>
      <c r="CQ143" s="335"/>
      <c r="CR143" s="335"/>
      <c r="CS143" s="335"/>
      <c r="CT143" s="335"/>
      <c r="CU143" s="335"/>
      <c r="CV143" s="335"/>
      <c r="CW143" s="335"/>
      <c r="CX143" s="335"/>
      <c r="CY143" s="335"/>
      <c r="CZ143" s="335"/>
      <c r="DA143" s="335"/>
      <c r="DB143" s="335"/>
      <c r="DC143" s="335"/>
      <c r="DD143" s="335"/>
      <c r="DE143" s="335"/>
      <c r="DF143" s="335"/>
      <c r="DG143" s="335"/>
      <c r="DH143" s="335"/>
      <c r="DI143" s="335"/>
      <c r="DJ143" s="335"/>
      <c r="DK143" s="335"/>
      <c r="DL143" s="335"/>
      <c r="DM143" s="335"/>
      <c r="DN143" s="335"/>
      <c r="DO143" s="335"/>
    </row>
    <row r="144" spans="1:119" ht="35.1" customHeight="1">
      <c r="A144" s="977"/>
      <c r="B144" s="977"/>
      <c r="C144" s="977"/>
      <c r="D144" s="977"/>
      <c r="E144" s="977"/>
      <c r="F144" s="977"/>
      <c r="G144" s="977"/>
      <c r="H144" s="977"/>
      <c r="I144" s="977"/>
      <c r="J144" s="977"/>
      <c r="K144" s="977"/>
      <c r="L144" s="977"/>
      <c r="M144" s="977"/>
      <c r="N144" s="977"/>
      <c r="O144" s="977"/>
      <c r="P144" s="977"/>
      <c r="Q144" s="977"/>
      <c r="R144" s="977"/>
      <c r="S144" s="977"/>
      <c r="T144" s="977"/>
      <c r="U144" s="977"/>
      <c r="V144" s="977"/>
      <c r="W144" s="977"/>
      <c r="X144" s="977"/>
      <c r="Y144" s="977"/>
      <c r="Z144" s="977"/>
      <c r="AA144" s="977"/>
      <c r="AB144" s="977"/>
      <c r="AC144" s="977"/>
      <c r="AD144" s="977"/>
      <c r="AE144" s="977"/>
      <c r="AF144" s="977"/>
      <c r="AG144" s="977"/>
      <c r="AH144" s="977"/>
      <c r="AI144" s="977"/>
      <c r="AJ144" s="977"/>
      <c r="AK144" s="977"/>
      <c r="AL144" s="977"/>
      <c r="AM144" s="977"/>
      <c r="AN144" s="977"/>
      <c r="AO144" s="977"/>
      <c r="AP144" s="977"/>
      <c r="AQ144" s="977"/>
      <c r="AR144" s="335"/>
      <c r="AS144" s="335"/>
      <c r="AT144" s="335"/>
      <c r="AU144" s="335"/>
      <c r="AV144" s="335"/>
      <c r="AW144" s="335"/>
      <c r="AX144" s="335"/>
      <c r="AY144" s="335"/>
      <c r="AZ144" s="335"/>
      <c r="BA144" s="335"/>
      <c r="BB144" s="335"/>
      <c r="BC144" s="335"/>
      <c r="BD144" s="335"/>
      <c r="BE144" s="335"/>
      <c r="BF144" s="335"/>
      <c r="BG144" s="335"/>
      <c r="BH144" s="335"/>
      <c r="BI144" s="335"/>
      <c r="BJ144" s="335"/>
      <c r="BK144" s="335"/>
      <c r="BL144" s="335"/>
      <c r="BM144" s="335"/>
      <c r="BN144" s="335"/>
      <c r="BO144" s="335"/>
      <c r="BP144" s="335"/>
      <c r="BQ144" s="335"/>
      <c r="BR144" s="335"/>
      <c r="BS144" s="335"/>
      <c r="BT144" s="335"/>
      <c r="BU144" s="335"/>
      <c r="BV144" s="335"/>
      <c r="BW144" s="335"/>
      <c r="BX144" s="335"/>
      <c r="BY144" s="335"/>
      <c r="BZ144" s="335"/>
      <c r="CA144" s="335"/>
      <c r="CB144" s="335"/>
      <c r="CC144" s="335"/>
      <c r="CD144" s="335"/>
      <c r="CE144" s="335"/>
      <c r="CF144" s="335"/>
      <c r="CG144" s="335"/>
      <c r="CH144" s="335"/>
      <c r="CI144" s="335"/>
      <c r="CJ144" s="335"/>
      <c r="CK144" s="335"/>
      <c r="CL144" s="335"/>
      <c r="CM144" s="335"/>
      <c r="CN144" s="335"/>
      <c r="CO144" s="335"/>
      <c r="CP144" s="335"/>
      <c r="CQ144" s="335"/>
      <c r="CR144" s="335"/>
      <c r="CS144" s="335"/>
      <c r="CT144" s="335"/>
      <c r="CU144" s="335"/>
      <c r="CV144" s="335"/>
      <c r="CW144" s="335"/>
      <c r="CX144" s="335"/>
      <c r="CY144" s="335"/>
      <c r="CZ144" s="335"/>
      <c r="DA144" s="335"/>
      <c r="DB144" s="335"/>
      <c r="DC144" s="335"/>
      <c r="DD144" s="335"/>
      <c r="DE144" s="335"/>
      <c r="DF144" s="335"/>
      <c r="DG144" s="335"/>
      <c r="DH144" s="335"/>
      <c r="DI144" s="335"/>
      <c r="DJ144" s="335"/>
      <c r="DK144" s="335"/>
      <c r="DL144" s="335"/>
      <c r="DM144" s="335"/>
      <c r="DN144" s="335"/>
      <c r="DO144" s="335"/>
    </row>
    <row r="145" spans="1:119" ht="35.1" customHeight="1">
      <c r="A145" s="977"/>
      <c r="B145" s="977"/>
      <c r="C145" s="977"/>
      <c r="D145" s="977"/>
      <c r="E145" s="977"/>
      <c r="F145" s="977"/>
      <c r="G145" s="977"/>
      <c r="H145" s="977"/>
      <c r="I145" s="977"/>
      <c r="J145" s="977"/>
      <c r="K145" s="977"/>
      <c r="L145" s="977"/>
      <c r="M145" s="977"/>
      <c r="N145" s="977"/>
      <c r="O145" s="977"/>
      <c r="P145" s="977"/>
      <c r="Q145" s="977"/>
      <c r="R145" s="977"/>
      <c r="S145" s="977"/>
      <c r="T145" s="977"/>
      <c r="U145" s="977"/>
      <c r="V145" s="977"/>
      <c r="W145" s="977"/>
      <c r="X145" s="977"/>
      <c r="Y145" s="977"/>
      <c r="Z145" s="977"/>
      <c r="AA145" s="977"/>
      <c r="AB145" s="977"/>
      <c r="AC145" s="977"/>
      <c r="AD145" s="977"/>
      <c r="AE145" s="977"/>
      <c r="AF145" s="977"/>
      <c r="AG145" s="977"/>
      <c r="AH145" s="977"/>
      <c r="AI145" s="977"/>
      <c r="AJ145" s="977"/>
      <c r="AK145" s="977"/>
      <c r="AL145" s="977"/>
      <c r="AM145" s="977"/>
      <c r="AN145" s="977"/>
      <c r="AO145" s="977"/>
      <c r="AP145" s="977"/>
      <c r="AQ145" s="977"/>
      <c r="AR145" s="335"/>
      <c r="AS145" s="335"/>
      <c r="AT145" s="335"/>
      <c r="AU145" s="335"/>
      <c r="AV145" s="335"/>
      <c r="AW145" s="335"/>
      <c r="AX145" s="335"/>
      <c r="AY145" s="335"/>
      <c r="AZ145" s="335"/>
      <c r="BA145" s="335"/>
      <c r="BB145" s="335"/>
      <c r="BC145" s="335"/>
      <c r="BD145" s="335"/>
      <c r="BE145" s="335"/>
      <c r="BF145" s="335"/>
      <c r="BG145" s="335"/>
      <c r="BH145" s="335"/>
      <c r="BI145" s="335"/>
      <c r="BJ145" s="335"/>
      <c r="BK145" s="335"/>
      <c r="BL145" s="335"/>
      <c r="BM145" s="335"/>
      <c r="BN145" s="335"/>
      <c r="BO145" s="335"/>
      <c r="BP145" s="335"/>
      <c r="BQ145" s="335"/>
      <c r="BR145" s="335"/>
      <c r="BS145" s="335"/>
      <c r="BT145" s="335"/>
      <c r="BU145" s="335"/>
      <c r="BV145" s="335"/>
      <c r="BW145" s="335"/>
      <c r="BX145" s="335"/>
      <c r="BY145" s="335"/>
      <c r="BZ145" s="335"/>
      <c r="CA145" s="335"/>
      <c r="CB145" s="335"/>
      <c r="CC145" s="335"/>
      <c r="CD145" s="335"/>
      <c r="CE145" s="335"/>
      <c r="CF145" s="335"/>
      <c r="CG145" s="335"/>
      <c r="CH145" s="335"/>
      <c r="CI145" s="335"/>
      <c r="CJ145" s="335"/>
      <c r="CK145" s="335"/>
      <c r="CL145" s="335"/>
      <c r="CM145" s="335"/>
      <c r="CN145" s="335"/>
      <c r="CO145" s="335"/>
      <c r="CP145" s="335"/>
      <c r="CQ145" s="335"/>
      <c r="CR145" s="335"/>
      <c r="CS145" s="335"/>
      <c r="CT145" s="335"/>
      <c r="CU145" s="335"/>
      <c r="CV145" s="335"/>
      <c r="CW145" s="335"/>
      <c r="CX145" s="335"/>
      <c r="CY145" s="335"/>
      <c r="CZ145" s="335"/>
      <c r="DA145" s="335"/>
      <c r="DB145" s="335"/>
      <c r="DC145" s="335"/>
      <c r="DD145" s="335"/>
      <c r="DE145" s="335"/>
      <c r="DF145" s="335"/>
      <c r="DG145" s="335"/>
      <c r="DH145" s="335"/>
      <c r="DI145" s="335"/>
      <c r="DJ145" s="335"/>
      <c r="DK145" s="335"/>
      <c r="DL145" s="335"/>
      <c r="DM145" s="335"/>
      <c r="DN145" s="335"/>
      <c r="DO145" s="335"/>
    </row>
    <row r="146" spans="1:119" ht="35.1" customHeight="1">
      <c r="A146" s="977"/>
      <c r="B146" s="977"/>
      <c r="C146" s="977"/>
      <c r="D146" s="977"/>
      <c r="E146" s="977"/>
      <c r="F146" s="977"/>
      <c r="G146" s="977"/>
      <c r="H146" s="977"/>
      <c r="I146" s="977"/>
      <c r="J146" s="977"/>
      <c r="K146" s="977"/>
      <c r="L146" s="977"/>
      <c r="M146" s="977"/>
      <c r="N146" s="977"/>
      <c r="O146" s="977"/>
      <c r="P146" s="977"/>
      <c r="Q146" s="977"/>
      <c r="R146" s="977"/>
      <c r="S146" s="977"/>
      <c r="T146" s="977"/>
      <c r="U146" s="977"/>
      <c r="V146" s="977"/>
      <c r="W146" s="977"/>
      <c r="X146" s="977"/>
      <c r="Y146" s="977"/>
      <c r="Z146" s="977"/>
      <c r="AA146" s="977"/>
      <c r="AB146" s="977"/>
      <c r="AC146" s="977"/>
      <c r="AD146" s="977"/>
      <c r="AE146" s="977"/>
      <c r="AF146" s="977"/>
      <c r="AG146" s="977"/>
      <c r="AH146" s="977"/>
      <c r="AI146" s="977"/>
      <c r="AJ146" s="977"/>
      <c r="AK146" s="977"/>
      <c r="AL146" s="977"/>
      <c r="AM146" s="977"/>
      <c r="AN146" s="977"/>
      <c r="AO146" s="977"/>
      <c r="AP146" s="977"/>
      <c r="AQ146" s="977"/>
      <c r="AR146" s="335"/>
      <c r="AS146" s="335"/>
      <c r="AT146" s="335"/>
      <c r="AU146" s="335"/>
      <c r="AV146" s="335"/>
      <c r="AW146" s="335"/>
      <c r="AX146" s="335"/>
      <c r="AY146" s="335"/>
      <c r="AZ146" s="335"/>
      <c r="BA146" s="335"/>
      <c r="BB146" s="335"/>
      <c r="BC146" s="335"/>
      <c r="BD146" s="335"/>
      <c r="BE146" s="335"/>
      <c r="BF146" s="335"/>
      <c r="BG146" s="335"/>
      <c r="BH146" s="335"/>
      <c r="BI146" s="335"/>
      <c r="BJ146" s="335"/>
      <c r="BK146" s="335"/>
      <c r="BL146" s="335"/>
      <c r="BM146" s="335"/>
      <c r="BN146" s="335"/>
      <c r="BO146" s="335"/>
      <c r="BP146" s="335"/>
      <c r="BQ146" s="335"/>
      <c r="BR146" s="335"/>
      <c r="BS146" s="335"/>
      <c r="BT146" s="335"/>
      <c r="BU146" s="335"/>
      <c r="BV146" s="335"/>
      <c r="BW146" s="335"/>
      <c r="BX146" s="335"/>
      <c r="BY146" s="335"/>
      <c r="BZ146" s="335"/>
      <c r="CA146" s="335"/>
      <c r="CB146" s="335"/>
      <c r="CC146" s="335"/>
      <c r="CD146" s="335"/>
      <c r="CE146" s="335"/>
      <c r="CF146" s="335"/>
      <c r="CG146" s="335"/>
      <c r="CH146" s="335"/>
      <c r="CI146" s="335"/>
      <c r="CJ146" s="335"/>
      <c r="CK146" s="335"/>
      <c r="CL146" s="335"/>
      <c r="CM146" s="335"/>
      <c r="CN146" s="335"/>
      <c r="CO146" s="335"/>
      <c r="CP146" s="335"/>
      <c r="CQ146" s="335"/>
      <c r="CR146" s="335"/>
      <c r="CS146" s="335"/>
      <c r="CT146" s="335"/>
      <c r="CU146" s="335"/>
      <c r="CV146" s="335"/>
      <c r="CW146" s="335"/>
      <c r="CX146" s="335"/>
      <c r="CY146" s="335"/>
      <c r="CZ146" s="335"/>
      <c r="DA146" s="335"/>
      <c r="DB146" s="335"/>
      <c r="DC146" s="335"/>
      <c r="DD146" s="335"/>
      <c r="DE146" s="335"/>
      <c r="DF146" s="335"/>
      <c r="DG146" s="335"/>
      <c r="DH146" s="335"/>
      <c r="DI146" s="335"/>
      <c r="DJ146" s="335"/>
      <c r="DK146" s="335"/>
      <c r="DL146" s="335"/>
      <c r="DM146" s="335"/>
      <c r="DN146" s="335"/>
      <c r="DO146" s="335"/>
    </row>
    <row r="147" spans="1:119" ht="35.1" customHeight="1">
      <c r="A147" s="977"/>
      <c r="B147" s="977"/>
      <c r="C147" s="977"/>
      <c r="D147" s="977"/>
      <c r="E147" s="977"/>
      <c r="F147" s="977"/>
      <c r="G147" s="977"/>
      <c r="H147" s="977"/>
      <c r="I147" s="977"/>
      <c r="J147" s="977"/>
      <c r="K147" s="977"/>
      <c r="L147" s="977"/>
      <c r="M147" s="977"/>
      <c r="N147" s="977"/>
      <c r="O147" s="977"/>
      <c r="P147" s="977"/>
      <c r="Q147" s="977"/>
      <c r="R147" s="977"/>
      <c r="S147" s="977"/>
      <c r="T147" s="977"/>
      <c r="U147" s="977"/>
      <c r="V147" s="977"/>
      <c r="W147" s="977"/>
      <c r="X147" s="977"/>
      <c r="Y147" s="977"/>
      <c r="Z147" s="977"/>
      <c r="AA147" s="977"/>
      <c r="AB147" s="977"/>
      <c r="AC147" s="977"/>
      <c r="AD147" s="977"/>
      <c r="AE147" s="977"/>
      <c r="AF147" s="977"/>
      <c r="AG147" s="977"/>
      <c r="AH147" s="977"/>
      <c r="AI147" s="977"/>
      <c r="AJ147" s="977"/>
      <c r="AK147" s="977"/>
      <c r="AL147" s="977"/>
      <c r="AM147" s="977"/>
      <c r="AN147" s="977"/>
      <c r="AO147" s="977"/>
      <c r="AP147" s="977"/>
      <c r="AQ147" s="977"/>
      <c r="AR147" s="335"/>
      <c r="AS147" s="335"/>
      <c r="AT147" s="335"/>
      <c r="AU147" s="335"/>
      <c r="AV147" s="335"/>
      <c r="AW147" s="335"/>
      <c r="AX147" s="335"/>
      <c r="AY147" s="335"/>
      <c r="AZ147" s="335"/>
      <c r="BA147" s="335"/>
      <c r="BB147" s="335"/>
      <c r="BC147" s="335"/>
      <c r="BD147" s="335"/>
      <c r="BE147" s="335"/>
      <c r="BF147" s="335"/>
      <c r="BG147" s="335"/>
      <c r="BH147" s="335"/>
      <c r="BI147" s="335"/>
      <c r="BJ147" s="335"/>
      <c r="BK147" s="335"/>
      <c r="BL147" s="335"/>
      <c r="BM147" s="335"/>
      <c r="BN147" s="335"/>
      <c r="BO147" s="335"/>
      <c r="BP147" s="335"/>
      <c r="BQ147" s="335"/>
      <c r="BR147" s="335"/>
      <c r="BS147" s="335"/>
      <c r="BT147" s="335"/>
      <c r="BU147" s="335"/>
      <c r="BV147" s="335"/>
      <c r="BW147" s="335"/>
      <c r="BX147" s="335"/>
      <c r="BY147" s="335"/>
      <c r="BZ147" s="335"/>
      <c r="CA147" s="335"/>
      <c r="CB147" s="335"/>
      <c r="CC147" s="335"/>
      <c r="CD147" s="335"/>
      <c r="CE147" s="335"/>
      <c r="CF147" s="335"/>
      <c r="CG147" s="335"/>
      <c r="CH147" s="335"/>
      <c r="CI147" s="335"/>
      <c r="CJ147" s="335"/>
      <c r="CK147" s="335"/>
      <c r="CL147" s="335"/>
      <c r="CM147" s="335"/>
      <c r="CN147" s="335"/>
      <c r="CO147" s="335"/>
      <c r="CP147" s="335"/>
      <c r="CQ147" s="335"/>
      <c r="CR147" s="335"/>
      <c r="CS147" s="335"/>
      <c r="CT147" s="335"/>
      <c r="CU147" s="335"/>
      <c r="CV147" s="335"/>
      <c r="CW147" s="335"/>
      <c r="CX147" s="335"/>
      <c r="CY147" s="335"/>
      <c r="CZ147" s="335"/>
      <c r="DA147" s="335"/>
      <c r="DB147" s="335"/>
      <c r="DC147" s="335"/>
      <c r="DD147" s="335"/>
      <c r="DE147" s="335"/>
      <c r="DF147" s="335"/>
      <c r="DG147" s="335"/>
      <c r="DH147" s="335"/>
      <c r="DI147" s="335"/>
      <c r="DJ147" s="335"/>
      <c r="DK147" s="335"/>
      <c r="DL147" s="335"/>
      <c r="DM147" s="335"/>
      <c r="DN147" s="335"/>
      <c r="DO147" s="335"/>
    </row>
    <row r="148" spans="1:119" ht="35.1" customHeight="1">
      <c r="A148" s="977"/>
      <c r="B148" s="977"/>
      <c r="C148" s="977"/>
      <c r="D148" s="977"/>
      <c r="E148" s="977"/>
      <c r="F148" s="977"/>
      <c r="G148" s="977"/>
      <c r="H148" s="977"/>
      <c r="I148" s="977"/>
      <c r="J148" s="977"/>
      <c r="K148" s="977"/>
      <c r="L148" s="977"/>
      <c r="M148" s="977"/>
      <c r="N148" s="977"/>
      <c r="O148" s="977"/>
      <c r="P148" s="977"/>
      <c r="Q148" s="977"/>
      <c r="R148" s="977"/>
      <c r="S148" s="977"/>
      <c r="T148" s="977"/>
      <c r="U148" s="977"/>
      <c r="V148" s="977"/>
      <c r="W148" s="977"/>
      <c r="X148" s="977"/>
      <c r="Y148" s="977"/>
      <c r="Z148" s="977"/>
      <c r="AA148" s="977"/>
      <c r="AB148" s="977"/>
      <c r="AC148" s="977"/>
      <c r="AD148" s="977"/>
      <c r="AE148" s="977"/>
      <c r="AF148" s="977"/>
      <c r="AG148" s="977"/>
      <c r="AH148" s="977"/>
      <c r="AI148" s="977"/>
      <c r="AJ148" s="977"/>
      <c r="AK148" s="977"/>
      <c r="AL148" s="977"/>
      <c r="AM148" s="977"/>
      <c r="AN148" s="977"/>
      <c r="AO148" s="977"/>
      <c r="AP148" s="977"/>
      <c r="AQ148" s="977"/>
      <c r="AR148" s="335"/>
      <c r="AS148" s="335"/>
      <c r="AT148" s="335"/>
      <c r="AU148" s="335"/>
      <c r="AV148" s="335"/>
      <c r="AW148" s="335"/>
      <c r="AX148" s="335"/>
      <c r="AY148" s="335"/>
      <c r="AZ148" s="335"/>
      <c r="BA148" s="335"/>
      <c r="BB148" s="335"/>
      <c r="BC148" s="335"/>
      <c r="BD148" s="335"/>
      <c r="BE148" s="335"/>
      <c r="BF148" s="335"/>
      <c r="BG148" s="335"/>
      <c r="BH148" s="335"/>
      <c r="BI148" s="335"/>
      <c r="BJ148" s="335"/>
      <c r="BK148" s="335"/>
      <c r="BL148" s="335"/>
      <c r="BM148" s="335"/>
      <c r="BN148" s="335"/>
      <c r="BO148" s="335"/>
      <c r="BP148" s="335"/>
      <c r="BQ148" s="335"/>
      <c r="BR148" s="335"/>
      <c r="BS148" s="335"/>
      <c r="BT148" s="335"/>
      <c r="BU148" s="335"/>
      <c r="BV148" s="335"/>
      <c r="BW148" s="335"/>
      <c r="BX148" s="335"/>
      <c r="BY148" s="335"/>
      <c r="BZ148" s="335"/>
      <c r="CA148" s="335"/>
      <c r="CB148" s="335"/>
      <c r="CC148" s="335"/>
      <c r="CD148" s="335"/>
      <c r="CE148" s="335"/>
      <c r="CF148" s="335"/>
      <c r="CG148" s="335"/>
      <c r="CH148" s="335"/>
      <c r="CI148" s="335"/>
      <c r="CJ148" s="335"/>
      <c r="CK148" s="335"/>
      <c r="CL148" s="335"/>
      <c r="CM148" s="335"/>
      <c r="CN148" s="335"/>
      <c r="CO148" s="335"/>
      <c r="CP148" s="335"/>
      <c r="CQ148" s="335"/>
      <c r="CR148" s="335"/>
      <c r="CS148" s="335"/>
      <c r="CT148" s="335"/>
      <c r="CU148" s="335"/>
      <c r="CV148" s="335"/>
      <c r="CW148" s="335"/>
      <c r="CX148" s="335"/>
      <c r="CY148" s="335"/>
      <c r="CZ148" s="335"/>
      <c r="DA148" s="335"/>
      <c r="DB148" s="335"/>
      <c r="DC148" s="335"/>
      <c r="DD148" s="335"/>
      <c r="DE148" s="335"/>
      <c r="DF148" s="335"/>
      <c r="DG148" s="335"/>
      <c r="DH148" s="335"/>
      <c r="DI148" s="335"/>
      <c r="DJ148" s="335"/>
      <c r="DK148" s="335"/>
      <c r="DL148" s="335"/>
      <c r="DM148" s="335"/>
      <c r="DN148" s="335"/>
      <c r="DO148" s="335"/>
    </row>
    <row r="149" spans="1:119" ht="35.1" customHeight="1">
      <c r="A149" s="977"/>
      <c r="B149" s="977"/>
      <c r="C149" s="977"/>
      <c r="D149" s="977"/>
      <c r="E149" s="977"/>
      <c r="F149" s="977"/>
      <c r="G149" s="977"/>
      <c r="H149" s="977"/>
      <c r="I149" s="977"/>
      <c r="J149" s="977"/>
      <c r="K149" s="977"/>
      <c r="L149" s="977"/>
      <c r="M149" s="977"/>
      <c r="N149" s="977"/>
      <c r="O149" s="977"/>
      <c r="P149" s="977"/>
      <c r="Q149" s="977"/>
      <c r="R149" s="977"/>
      <c r="S149" s="977"/>
      <c r="T149" s="977"/>
      <c r="U149" s="977"/>
      <c r="V149" s="977"/>
      <c r="W149" s="977"/>
      <c r="X149" s="977"/>
      <c r="Y149" s="977"/>
      <c r="Z149" s="977"/>
      <c r="AA149" s="977"/>
      <c r="AB149" s="977"/>
      <c r="AC149" s="977"/>
      <c r="AD149" s="977"/>
      <c r="AE149" s="977"/>
      <c r="AF149" s="977"/>
      <c r="AG149" s="977"/>
      <c r="AH149" s="977"/>
      <c r="AI149" s="977"/>
      <c r="AJ149" s="977"/>
      <c r="AK149" s="977"/>
      <c r="AL149" s="977"/>
      <c r="AM149" s="977"/>
      <c r="AN149" s="977"/>
      <c r="AO149" s="977"/>
      <c r="AP149" s="977"/>
      <c r="AQ149" s="977"/>
      <c r="AR149" s="335"/>
      <c r="AS149" s="335"/>
      <c r="AT149" s="335"/>
      <c r="AU149" s="335"/>
      <c r="AV149" s="335"/>
      <c r="AW149" s="335"/>
      <c r="AX149" s="335"/>
      <c r="AY149" s="335"/>
      <c r="AZ149" s="335"/>
      <c r="BA149" s="335"/>
      <c r="BB149" s="335"/>
      <c r="BC149" s="335"/>
      <c r="BD149" s="335"/>
      <c r="BE149" s="335"/>
      <c r="BF149" s="335"/>
      <c r="BG149" s="335"/>
      <c r="BH149" s="335"/>
      <c r="BI149" s="335"/>
      <c r="BJ149" s="335"/>
      <c r="BK149" s="335"/>
      <c r="BL149" s="335"/>
      <c r="BM149" s="335"/>
      <c r="BN149" s="335"/>
      <c r="BO149" s="335"/>
      <c r="BP149" s="335"/>
      <c r="BQ149" s="335"/>
      <c r="BR149" s="335"/>
      <c r="BS149" s="335"/>
      <c r="BT149" s="335"/>
      <c r="BU149" s="335"/>
      <c r="BV149" s="335"/>
      <c r="BW149" s="335"/>
      <c r="BX149" s="335"/>
      <c r="BY149" s="335"/>
      <c r="BZ149" s="335"/>
      <c r="CA149" s="335"/>
      <c r="CB149" s="335"/>
      <c r="CC149" s="335"/>
      <c r="CD149" s="335"/>
      <c r="CE149" s="335"/>
      <c r="CF149" s="335"/>
      <c r="CG149" s="335"/>
      <c r="CH149" s="335"/>
      <c r="CI149" s="335"/>
      <c r="CJ149" s="335"/>
      <c r="CK149" s="335"/>
      <c r="CL149" s="335"/>
      <c r="CM149" s="335"/>
      <c r="CN149" s="335"/>
      <c r="CO149" s="335"/>
      <c r="CP149" s="335"/>
      <c r="CQ149" s="335"/>
      <c r="CR149" s="335"/>
      <c r="CS149" s="335"/>
      <c r="CT149" s="335"/>
      <c r="CU149" s="335"/>
      <c r="CV149" s="335"/>
      <c r="CW149" s="335"/>
      <c r="CX149" s="335"/>
      <c r="CY149" s="335"/>
      <c r="CZ149" s="335"/>
      <c r="DA149" s="335"/>
      <c r="DB149" s="335"/>
      <c r="DC149" s="335"/>
      <c r="DD149" s="335"/>
      <c r="DE149" s="335"/>
      <c r="DF149" s="335"/>
      <c r="DG149" s="335"/>
      <c r="DH149" s="335"/>
      <c r="DI149" s="335"/>
      <c r="DJ149" s="335"/>
      <c r="DK149" s="335"/>
      <c r="DL149" s="335"/>
      <c r="DM149" s="335"/>
      <c r="DN149" s="335"/>
      <c r="DO149" s="335"/>
    </row>
    <row r="150" spans="1:119" ht="35.1" customHeight="1">
      <c r="A150" s="977"/>
      <c r="B150" s="977"/>
      <c r="C150" s="977"/>
      <c r="D150" s="977"/>
      <c r="E150" s="977"/>
      <c r="F150" s="977"/>
      <c r="G150" s="977"/>
      <c r="H150" s="977"/>
      <c r="I150" s="977"/>
      <c r="J150" s="977"/>
      <c r="K150" s="977"/>
      <c r="L150" s="977"/>
      <c r="M150" s="977"/>
      <c r="N150" s="977"/>
      <c r="O150" s="977"/>
      <c r="P150" s="977"/>
      <c r="Q150" s="977"/>
      <c r="R150" s="977"/>
      <c r="S150" s="977"/>
      <c r="T150" s="977"/>
      <c r="U150" s="977"/>
      <c r="V150" s="977"/>
      <c r="W150" s="977"/>
      <c r="X150" s="977"/>
      <c r="Y150" s="977"/>
      <c r="Z150" s="977"/>
      <c r="AA150" s="977"/>
      <c r="AB150" s="977"/>
      <c r="AC150" s="977"/>
      <c r="AD150" s="977"/>
      <c r="AE150" s="977"/>
      <c r="AF150" s="977"/>
      <c r="AG150" s="977"/>
      <c r="AH150" s="977"/>
      <c r="AI150" s="977"/>
      <c r="AJ150" s="977"/>
      <c r="AK150" s="977"/>
      <c r="AL150" s="977"/>
      <c r="AM150" s="977"/>
      <c r="AN150" s="977"/>
      <c r="AO150" s="977"/>
      <c r="AP150" s="977"/>
      <c r="AQ150" s="977"/>
      <c r="AR150" s="335"/>
      <c r="AS150" s="335"/>
      <c r="AT150" s="335"/>
      <c r="AU150" s="335"/>
      <c r="AV150" s="335"/>
      <c r="AW150" s="335"/>
      <c r="AX150" s="335"/>
      <c r="AY150" s="335"/>
      <c r="AZ150" s="335"/>
      <c r="BA150" s="335"/>
      <c r="BB150" s="335"/>
      <c r="BC150" s="335"/>
      <c r="BD150" s="335"/>
      <c r="BE150" s="335"/>
      <c r="BF150" s="335"/>
      <c r="BG150" s="335"/>
      <c r="BH150" s="335"/>
      <c r="BI150" s="335"/>
      <c r="BJ150" s="335"/>
      <c r="BK150" s="335"/>
      <c r="BL150" s="335"/>
      <c r="BM150" s="335"/>
      <c r="BN150" s="335"/>
      <c r="BO150" s="335"/>
      <c r="BP150" s="335"/>
      <c r="BQ150" s="335"/>
      <c r="BR150" s="335"/>
      <c r="BS150" s="335"/>
      <c r="BT150" s="335"/>
      <c r="BU150" s="335"/>
      <c r="BV150" s="335"/>
      <c r="BW150" s="335"/>
      <c r="BX150" s="335"/>
      <c r="BY150" s="335"/>
      <c r="BZ150" s="335"/>
      <c r="CA150" s="335"/>
      <c r="CB150" s="335"/>
      <c r="CC150" s="335"/>
      <c r="CD150" s="335"/>
      <c r="CE150" s="335"/>
      <c r="CF150" s="335"/>
      <c r="CG150" s="335"/>
      <c r="CH150" s="335"/>
      <c r="CI150" s="335"/>
      <c r="CJ150" s="335"/>
      <c r="CK150" s="335"/>
      <c r="CL150" s="335"/>
      <c r="CM150" s="335"/>
      <c r="CN150" s="335"/>
      <c r="CO150" s="335"/>
      <c r="CP150" s="335"/>
      <c r="CQ150" s="335"/>
      <c r="CR150" s="335"/>
      <c r="CS150" s="335"/>
      <c r="CT150" s="335"/>
      <c r="CU150" s="335"/>
      <c r="CV150" s="335"/>
      <c r="CW150" s="335"/>
      <c r="CX150" s="335"/>
      <c r="CY150" s="335"/>
      <c r="CZ150" s="335"/>
      <c r="DA150" s="335"/>
      <c r="DB150" s="335"/>
      <c r="DC150" s="335"/>
      <c r="DD150" s="335"/>
      <c r="DE150" s="335"/>
      <c r="DF150" s="335"/>
      <c r="DG150" s="335"/>
      <c r="DH150" s="335"/>
      <c r="DI150" s="335"/>
      <c r="DJ150" s="335"/>
      <c r="DK150" s="335"/>
      <c r="DL150" s="335"/>
      <c r="DM150" s="335"/>
      <c r="DN150" s="335"/>
      <c r="DO150" s="335"/>
    </row>
    <row r="151" spans="1:119" ht="35.1" customHeight="1">
      <c r="A151" s="977"/>
      <c r="B151" s="977"/>
      <c r="C151" s="977"/>
      <c r="D151" s="977"/>
      <c r="E151" s="977"/>
      <c r="F151" s="977"/>
      <c r="G151" s="977"/>
      <c r="H151" s="977"/>
      <c r="I151" s="977"/>
      <c r="J151" s="977"/>
      <c r="K151" s="977"/>
      <c r="L151" s="977"/>
      <c r="M151" s="977"/>
      <c r="N151" s="977"/>
      <c r="O151" s="977"/>
      <c r="P151" s="977"/>
      <c r="Q151" s="977"/>
      <c r="R151" s="977"/>
      <c r="S151" s="977"/>
      <c r="T151" s="977"/>
      <c r="U151" s="977"/>
      <c r="V151" s="977"/>
      <c r="W151" s="977"/>
      <c r="X151" s="977"/>
      <c r="Y151" s="977"/>
      <c r="Z151" s="977"/>
      <c r="AA151" s="977"/>
      <c r="AB151" s="977"/>
      <c r="AC151" s="977"/>
      <c r="AD151" s="977"/>
      <c r="AE151" s="977"/>
      <c r="AF151" s="977"/>
      <c r="AG151" s="977"/>
      <c r="AH151" s="977"/>
      <c r="AI151" s="977"/>
      <c r="AJ151" s="977"/>
      <c r="AK151" s="977"/>
      <c r="AL151" s="977"/>
      <c r="AM151" s="977"/>
      <c r="AN151" s="977"/>
      <c r="AO151" s="977"/>
      <c r="AP151" s="977"/>
      <c r="AQ151" s="977"/>
      <c r="AR151" s="335"/>
      <c r="AS151" s="335"/>
      <c r="AT151" s="335"/>
      <c r="AU151" s="335"/>
      <c r="AV151" s="335"/>
      <c r="AW151" s="335"/>
      <c r="AX151" s="335"/>
      <c r="AY151" s="335"/>
      <c r="AZ151" s="335"/>
      <c r="BA151" s="335"/>
      <c r="BB151" s="335"/>
      <c r="BC151" s="335"/>
      <c r="BD151" s="335"/>
      <c r="BE151" s="335"/>
      <c r="BF151" s="335"/>
      <c r="BG151" s="335"/>
      <c r="BH151" s="335"/>
      <c r="BI151" s="335"/>
      <c r="BJ151" s="335"/>
      <c r="BK151" s="335"/>
      <c r="BL151" s="335"/>
      <c r="BM151" s="335"/>
      <c r="BN151" s="335"/>
      <c r="BO151" s="335"/>
      <c r="BP151" s="335"/>
      <c r="BQ151" s="335"/>
      <c r="BR151" s="335"/>
      <c r="BS151" s="335"/>
      <c r="BT151" s="335"/>
      <c r="BU151" s="335"/>
      <c r="BV151" s="335"/>
      <c r="BW151" s="335"/>
      <c r="BX151" s="335"/>
      <c r="BY151" s="335"/>
      <c r="BZ151" s="335"/>
      <c r="CA151" s="335"/>
      <c r="CB151" s="335"/>
      <c r="CC151" s="335"/>
      <c r="CD151" s="335"/>
      <c r="CE151" s="335"/>
      <c r="CF151" s="335"/>
      <c r="CG151" s="335"/>
      <c r="CH151" s="335"/>
      <c r="CI151" s="335"/>
      <c r="CJ151" s="335"/>
      <c r="CK151" s="335"/>
      <c r="CL151" s="335"/>
      <c r="CM151" s="335"/>
      <c r="CN151" s="335"/>
      <c r="CO151" s="335"/>
      <c r="CP151" s="335"/>
      <c r="CQ151" s="335"/>
      <c r="CR151" s="335"/>
      <c r="CS151" s="335"/>
      <c r="CT151" s="335"/>
      <c r="CU151" s="335"/>
      <c r="CV151" s="335"/>
      <c r="CW151" s="335"/>
      <c r="CX151" s="335"/>
      <c r="CY151" s="335"/>
      <c r="CZ151" s="335"/>
      <c r="DA151" s="335"/>
      <c r="DB151" s="335"/>
      <c r="DC151" s="335"/>
      <c r="DD151" s="335"/>
      <c r="DE151" s="335"/>
      <c r="DF151" s="335"/>
      <c r="DG151" s="335"/>
      <c r="DH151" s="335"/>
      <c r="DI151" s="335"/>
      <c r="DJ151" s="335"/>
      <c r="DK151" s="335"/>
      <c r="DL151" s="335"/>
      <c r="DM151" s="335"/>
      <c r="DN151" s="335"/>
      <c r="DO151" s="335"/>
    </row>
    <row r="152" spans="1:119" ht="35.1" customHeight="1">
      <c r="A152" s="977"/>
      <c r="B152" s="977"/>
      <c r="C152" s="977"/>
      <c r="D152" s="977"/>
      <c r="E152" s="977"/>
      <c r="F152" s="977"/>
      <c r="G152" s="977"/>
      <c r="H152" s="977"/>
      <c r="I152" s="977"/>
      <c r="J152" s="977"/>
      <c r="K152" s="977"/>
      <c r="L152" s="977"/>
      <c r="M152" s="977"/>
      <c r="N152" s="977"/>
      <c r="O152" s="977"/>
      <c r="P152" s="977"/>
      <c r="Q152" s="977"/>
      <c r="R152" s="977"/>
      <c r="S152" s="977"/>
      <c r="T152" s="977"/>
      <c r="U152" s="977"/>
      <c r="V152" s="977"/>
      <c r="W152" s="977"/>
      <c r="X152" s="977"/>
      <c r="Y152" s="977"/>
      <c r="Z152" s="977"/>
      <c r="AA152" s="977"/>
      <c r="AB152" s="977"/>
      <c r="AC152" s="977"/>
      <c r="AD152" s="977"/>
      <c r="AE152" s="977"/>
      <c r="AF152" s="977"/>
      <c r="AG152" s="977"/>
      <c r="AH152" s="977"/>
      <c r="AI152" s="977"/>
      <c r="AJ152" s="977"/>
      <c r="AK152" s="977"/>
      <c r="AL152" s="977"/>
      <c r="AM152" s="977"/>
      <c r="AN152" s="977"/>
      <c r="AO152" s="977"/>
      <c r="AP152" s="977"/>
      <c r="AQ152" s="977"/>
      <c r="AR152" s="335"/>
      <c r="AS152" s="335"/>
      <c r="AT152" s="335"/>
      <c r="AU152" s="335"/>
      <c r="AV152" s="335"/>
      <c r="AW152" s="335"/>
      <c r="AX152" s="335"/>
      <c r="AY152" s="335"/>
      <c r="AZ152" s="335"/>
      <c r="BA152" s="335"/>
      <c r="BB152" s="335"/>
      <c r="BC152" s="335"/>
      <c r="BD152" s="335"/>
      <c r="BE152" s="335"/>
      <c r="BF152" s="335"/>
      <c r="BG152" s="335"/>
      <c r="BH152" s="335"/>
      <c r="BI152" s="335"/>
      <c r="BJ152" s="335"/>
      <c r="BK152" s="335"/>
      <c r="BL152" s="335"/>
      <c r="BM152" s="335"/>
      <c r="BN152" s="335"/>
      <c r="BO152" s="335"/>
      <c r="BP152" s="335"/>
      <c r="BQ152" s="335"/>
      <c r="BR152" s="335"/>
      <c r="BS152" s="335"/>
      <c r="BT152" s="335"/>
      <c r="BU152" s="335"/>
      <c r="BV152" s="335"/>
      <c r="BW152" s="335"/>
      <c r="BX152" s="335"/>
      <c r="BY152" s="335"/>
      <c r="BZ152" s="335"/>
      <c r="CA152" s="335"/>
      <c r="CB152" s="335"/>
      <c r="CC152" s="335"/>
      <c r="CD152" s="335"/>
      <c r="CE152" s="335"/>
      <c r="CF152" s="335"/>
      <c r="CG152" s="335"/>
      <c r="CH152" s="335"/>
      <c r="CI152" s="335"/>
      <c r="CJ152" s="335"/>
      <c r="CK152" s="335"/>
      <c r="CL152" s="335"/>
      <c r="CM152" s="335"/>
      <c r="CN152" s="335"/>
      <c r="CO152" s="335"/>
      <c r="CP152" s="335"/>
      <c r="CQ152" s="335"/>
      <c r="CR152" s="335"/>
      <c r="CS152" s="335"/>
      <c r="CT152" s="335"/>
      <c r="CU152" s="335"/>
      <c r="CV152" s="335"/>
      <c r="CW152" s="335"/>
      <c r="CX152" s="335"/>
      <c r="CY152" s="335"/>
      <c r="CZ152" s="335"/>
      <c r="DA152" s="335"/>
      <c r="DB152" s="335"/>
      <c r="DC152" s="335"/>
      <c r="DD152" s="335"/>
      <c r="DE152" s="335"/>
      <c r="DF152" s="335"/>
      <c r="DG152" s="335"/>
      <c r="DH152" s="335"/>
      <c r="DI152" s="335"/>
      <c r="DJ152" s="335"/>
      <c r="DK152" s="335"/>
      <c r="DL152" s="335"/>
      <c r="DM152" s="335"/>
      <c r="DN152" s="335"/>
      <c r="DO152" s="335"/>
    </row>
    <row r="153" spans="1:119" ht="35.1" customHeight="1">
      <c r="A153" s="977"/>
      <c r="B153" s="977"/>
      <c r="C153" s="977"/>
      <c r="D153" s="977"/>
      <c r="E153" s="977"/>
      <c r="F153" s="977"/>
      <c r="G153" s="977"/>
      <c r="H153" s="977"/>
      <c r="I153" s="977"/>
      <c r="J153" s="977"/>
      <c r="K153" s="977"/>
      <c r="L153" s="977"/>
      <c r="M153" s="977"/>
      <c r="N153" s="977"/>
      <c r="O153" s="977"/>
      <c r="P153" s="977"/>
      <c r="Q153" s="977"/>
      <c r="R153" s="977"/>
      <c r="S153" s="977"/>
      <c r="T153" s="977"/>
      <c r="U153" s="977"/>
      <c r="V153" s="977"/>
      <c r="W153" s="977"/>
      <c r="X153" s="977"/>
      <c r="Y153" s="977"/>
      <c r="Z153" s="977"/>
      <c r="AA153" s="977"/>
      <c r="AB153" s="977"/>
      <c r="AC153" s="977"/>
      <c r="AD153" s="977"/>
      <c r="AE153" s="977"/>
      <c r="AF153" s="977"/>
      <c r="AG153" s="977"/>
      <c r="AH153" s="977"/>
      <c r="AI153" s="977"/>
      <c r="AJ153" s="977"/>
      <c r="AK153" s="977"/>
      <c r="AL153" s="977"/>
      <c r="AM153" s="977"/>
      <c r="AN153" s="977"/>
      <c r="AO153" s="977"/>
      <c r="AP153" s="977"/>
      <c r="AQ153" s="977"/>
      <c r="AR153" s="335"/>
      <c r="AS153" s="335"/>
      <c r="AT153" s="335"/>
      <c r="AU153" s="335"/>
      <c r="AV153" s="335"/>
      <c r="AW153" s="335"/>
      <c r="AX153" s="335"/>
      <c r="AY153" s="335"/>
      <c r="AZ153" s="335"/>
      <c r="BA153" s="335"/>
      <c r="BB153" s="335"/>
      <c r="BC153" s="335"/>
      <c r="BD153" s="335"/>
      <c r="BE153" s="335"/>
      <c r="BF153" s="335"/>
      <c r="BG153" s="335"/>
      <c r="BH153" s="335"/>
      <c r="BI153" s="335"/>
      <c r="BJ153" s="335"/>
      <c r="BK153" s="335"/>
      <c r="BL153" s="335"/>
      <c r="BM153" s="335"/>
      <c r="BN153" s="335"/>
      <c r="BO153" s="335"/>
      <c r="BP153" s="335"/>
      <c r="BQ153" s="335"/>
      <c r="BR153" s="335"/>
      <c r="BS153" s="335"/>
      <c r="BT153" s="335"/>
      <c r="BU153" s="335"/>
      <c r="BV153" s="335"/>
      <c r="BW153" s="335"/>
      <c r="BX153" s="335"/>
      <c r="BY153" s="335"/>
      <c r="BZ153" s="335"/>
      <c r="CA153" s="335"/>
      <c r="CB153" s="335"/>
      <c r="CC153" s="335"/>
      <c r="CD153" s="335"/>
      <c r="CE153" s="335"/>
      <c r="CF153" s="335"/>
      <c r="CG153" s="335"/>
      <c r="CH153" s="335"/>
      <c r="CI153" s="335"/>
      <c r="CJ153" s="335"/>
      <c r="CK153" s="335"/>
      <c r="CL153" s="335"/>
      <c r="CM153" s="335"/>
      <c r="CN153" s="335"/>
      <c r="CO153" s="335"/>
      <c r="CP153" s="335"/>
      <c r="CQ153" s="335"/>
      <c r="CR153" s="335"/>
      <c r="CS153" s="335"/>
      <c r="CT153" s="335"/>
      <c r="CU153" s="335"/>
      <c r="CV153" s="335"/>
      <c r="CW153" s="335"/>
      <c r="CX153" s="335"/>
      <c r="CY153" s="335"/>
      <c r="CZ153" s="335"/>
      <c r="DA153" s="335"/>
      <c r="DB153" s="335"/>
      <c r="DC153" s="335"/>
      <c r="DD153" s="335"/>
      <c r="DE153" s="335"/>
      <c r="DF153" s="335"/>
      <c r="DG153" s="335"/>
      <c r="DH153" s="335"/>
      <c r="DI153" s="335"/>
      <c r="DJ153" s="335"/>
      <c r="DK153" s="335"/>
      <c r="DL153" s="335"/>
      <c r="DM153" s="335"/>
      <c r="DN153" s="335"/>
      <c r="DO153" s="335"/>
    </row>
    <row r="154" spans="1:119" ht="35.1" customHeight="1">
      <c r="A154" s="977"/>
      <c r="B154" s="977"/>
      <c r="C154" s="977"/>
      <c r="D154" s="977"/>
      <c r="E154" s="977"/>
      <c r="F154" s="977"/>
      <c r="G154" s="977"/>
      <c r="H154" s="977"/>
      <c r="I154" s="977"/>
      <c r="J154" s="977"/>
      <c r="K154" s="977"/>
      <c r="L154" s="977"/>
      <c r="M154" s="977"/>
      <c r="N154" s="977"/>
      <c r="O154" s="977"/>
      <c r="P154" s="977"/>
      <c r="Q154" s="977"/>
      <c r="R154" s="977"/>
      <c r="S154" s="977"/>
      <c r="T154" s="977"/>
      <c r="U154" s="977"/>
      <c r="V154" s="977"/>
      <c r="W154" s="977"/>
      <c r="X154" s="977"/>
      <c r="Y154" s="977"/>
      <c r="Z154" s="977"/>
      <c r="AA154" s="977"/>
      <c r="AB154" s="977"/>
      <c r="AC154" s="977"/>
      <c r="AD154" s="977"/>
      <c r="AE154" s="977"/>
      <c r="AF154" s="977"/>
      <c r="AG154" s="977"/>
      <c r="AH154" s="977"/>
      <c r="AI154" s="977"/>
      <c r="AJ154" s="977"/>
      <c r="AK154" s="977"/>
      <c r="AL154" s="977"/>
      <c r="AM154" s="977"/>
      <c r="AN154" s="977"/>
      <c r="AO154" s="977"/>
      <c r="AP154" s="977"/>
      <c r="AQ154" s="977"/>
      <c r="AR154" s="335"/>
      <c r="AS154" s="335"/>
      <c r="AT154" s="335"/>
      <c r="AU154" s="335"/>
      <c r="AV154" s="335"/>
      <c r="AW154" s="335"/>
      <c r="AX154" s="335"/>
      <c r="AY154" s="335"/>
      <c r="AZ154" s="335"/>
      <c r="BA154" s="335"/>
      <c r="BB154" s="335"/>
      <c r="BC154" s="335"/>
      <c r="BD154" s="335"/>
      <c r="BE154" s="335"/>
      <c r="BF154" s="335"/>
      <c r="BG154" s="335"/>
      <c r="BH154" s="335"/>
      <c r="BI154" s="335"/>
      <c r="BJ154" s="335"/>
      <c r="BK154" s="335"/>
      <c r="BL154" s="335"/>
      <c r="BM154" s="335"/>
      <c r="BN154" s="335"/>
      <c r="BO154" s="335"/>
      <c r="BP154" s="335"/>
      <c r="BQ154" s="335"/>
      <c r="BR154" s="335"/>
      <c r="BS154" s="335"/>
      <c r="BT154" s="335"/>
      <c r="BU154" s="335"/>
      <c r="BV154" s="335"/>
      <c r="BW154" s="335"/>
      <c r="BX154" s="335"/>
      <c r="BY154" s="335"/>
      <c r="BZ154" s="335"/>
      <c r="CA154" s="335"/>
      <c r="CB154" s="335"/>
      <c r="CC154" s="335"/>
      <c r="CD154" s="335"/>
      <c r="CE154" s="335"/>
      <c r="CF154" s="335"/>
      <c r="CG154" s="335"/>
      <c r="CH154" s="335"/>
      <c r="CI154" s="335"/>
      <c r="CJ154" s="335"/>
      <c r="CK154" s="335"/>
      <c r="CL154" s="335"/>
      <c r="CM154" s="335"/>
      <c r="CN154" s="335"/>
      <c r="CO154" s="335"/>
      <c r="CP154" s="335"/>
      <c r="CQ154" s="335"/>
      <c r="CR154" s="335"/>
      <c r="CS154" s="335"/>
      <c r="CT154" s="335"/>
      <c r="CU154" s="335"/>
      <c r="CV154" s="335"/>
      <c r="CW154" s="335"/>
      <c r="CX154" s="335"/>
      <c r="CY154" s="335"/>
      <c r="CZ154" s="335"/>
      <c r="DA154" s="335"/>
      <c r="DB154" s="335"/>
      <c r="DC154" s="335"/>
      <c r="DD154" s="335"/>
      <c r="DE154" s="335"/>
      <c r="DF154" s="335"/>
      <c r="DG154" s="335"/>
      <c r="DH154" s="335"/>
      <c r="DI154" s="335"/>
      <c r="DJ154" s="335"/>
      <c r="DK154" s="335"/>
      <c r="DL154" s="335"/>
      <c r="DM154" s="335"/>
      <c r="DN154" s="335"/>
      <c r="DO154" s="335"/>
    </row>
    <row r="155" spans="1:119" ht="35.1" customHeight="1">
      <c r="A155" s="977"/>
      <c r="B155" s="977"/>
      <c r="C155" s="977"/>
      <c r="D155" s="977"/>
      <c r="E155" s="977"/>
      <c r="F155" s="977"/>
      <c r="G155" s="977"/>
      <c r="H155" s="977"/>
      <c r="I155" s="977"/>
      <c r="J155" s="977"/>
      <c r="K155" s="977"/>
      <c r="L155" s="977"/>
      <c r="M155" s="977"/>
      <c r="N155" s="977"/>
      <c r="O155" s="977"/>
      <c r="P155" s="977"/>
      <c r="Q155" s="977"/>
      <c r="R155" s="977"/>
      <c r="S155" s="977"/>
      <c r="T155" s="977"/>
      <c r="U155" s="977"/>
      <c r="V155" s="977"/>
      <c r="W155" s="977"/>
      <c r="X155" s="977"/>
      <c r="Y155" s="977"/>
      <c r="Z155" s="977"/>
      <c r="AA155" s="977"/>
      <c r="AB155" s="977"/>
      <c r="AC155" s="977"/>
      <c r="AD155" s="977"/>
      <c r="AE155" s="977"/>
      <c r="AF155" s="977"/>
      <c r="AG155" s="977"/>
      <c r="AH155" s="977"/>
      <c r="AI155" s="977"/>
      <c r="AJ155" s="977"/>
      <c r="AK155" s="977"/>
      <c r="AL155" s="977"/>
      <c r="AM155" s="977"/>
      <c r="AN155" s="977"/>
      <c r="AO155" s="977"/>
      <c r="AP155" s="977"/>
      <c r="AQ155" s="977"/>
      <c r="AR155" s="335"/>
      <c r="AS155" s="335"/>
      <c r="AT155" s="335"/>
      <c r="AU155" s="335"/>
      <c r="AV155" s="335"/>
      <c r="AW155" s="335"/>
      <c r="AX155" s="335"/>
      <c r="AY155" s="335"/>
      <c r="AZ155" s="335"/>
      <c r="BA155" s="335"/>
      <c r="BB155" s="335"/>
      <c r="BC155" s="335"/>
      <c r="BD155" s="335"/>
      <c r="BE155" s="335"/>
      <c r="BF155" s="335"/>
      <c r="BG155" s="335"/>
      <c r="BH155" s="335"/>
      <c r="BI155" s="335"/>
      <c r="BJ155" s="335"/>
      <c r="BK155" s="335"/>
      <c r="BL155" s="335"/>
      <c r="BM155" s="335"/>
      <c r="BN155" s="335"/>
      <c r="BO155" s="335"/>
      <c r="BP155" s="335"/>
      <c r="BQ155" s="335"/>
      <c r="BR155" s="335"/>
      <c r="BS155" s="335"/>
      <c r="BT155" s="335"/>
      <c r="BU155" s="335"/>
      <c r="BV155" s="335"/>
      <c r="BW155" s="335"/>
      <c r="BX155" s="335"/>
      <c r="BY155" s="335"/>
      <c r="BZ155" s="335"/>
      <c r="CA155" s="335"/>
      <c r="CB155" s="335"/>
      <c r="CC155" s="335"/>
      <c r="CD155" s="335"/>
      <c r="CE155" s="335"/>
      <c r="CF155" s="335"/>
      <c r="CG155" s="335"/>
      <c r="CH155" s="335"/>
      <c r="CI155" s="335"/>
      <c r="CJ155" s="335"/>
      <c r="CK155" s="335"/>
      <c r="CL155" s="335"/>
      <c r="CM155" s="335"/>
      <c r="CN155" s="335"/>
      <c r="CO155" s="335"/>
      <c r="CP155" s="335"/>
      <c r="CQ155" s="335"/>
      <c r="CR155" s="335"/>
      <c r="CS155" s="335"/>
      <c r="CT155" s="335"/>
      <c r="CU155" s="335"/>
      <c r="CV155" s="335"/>
      <c r="CW155" s="335"/>
      <c r="CX155" s="335"/>
      <c r="CY155" s="335"/>
      <c r="CZ155" s="335"/>
      <c r="DA155" s="335"/>
      <c r="DB155" s="335"/>
      <c r="DC155" s="335"/>
      <c r="DD155" s="335"/>
      <c r="DE155" s="335"/>
      <c r="DF155" s="335"/>
      <c r="DG155" s="335"/>
      <c r="DH155" s="335"/>
      <c r="DI155" s="335"/>
      <c r="DJ155" s="335"/>
      <c r="DK155" s="335"/>
      <c r="DL155" s="335"/>
      <c r="DM155" s="335"/>
      <c r="DN155" s="335"/>
      <c r="DO155" s="335"/>
    </row>
    <row r="156" spans="1:119" ht="35.1" customHeight="1">
      <c r="A156" s="977"/>
      <c r="B156" s="977"/>
      <c r="C156" s="977"/>
      <c r="D156" s="977"/>
      <c r="E156" s="977"/>
      <c r="F156" s="977"/>
      <c r="G156" s="977"/>
      <c r="H156" s="977"/>
      <c r="I156" s="977"/>
      <c r="J156" s="977"/>
      <c r="K156" s="977"/>
      <c r="L156" s="977"/>
      <c r="M156" s="977"/>
      <c r="N156" s="977"/>
      <c r="O156" s="977"/>
      <c r="P156" s="977"/>
      <c r="Q156" s="977"/>
      <c r="R156" s="977"/>
      <c r="S156" s="977"/>
      <c r="T156" s="977"/>
      <c r="U156" s="977"/>
      <c r="V156" s="977"/>
      <c r="W156" s="977"/>
      <c r="X156" s="977"/>
      <c r="Y156" s="977"/>
      <c r="Z156" s="977"/>
      <c r="AA156" s="977"/>
      <c r="AB156" s="977"/>
      <c r="AC156" s="977"/>
      <c r="AD156" s="977"/>
      <c r="AE156" s="977"/>
      <c r="AF156" s="977"/>
      <c r="AG156" s="977"/>
      <c r="AH156" s="977"/>
      <c r="AI156" s="977"/>
      <c r="AJ156" s="977"/>
      <c r="AK156" s="977"/>
      <c r="AL156" s="977"/>
      <c r="AM156" s="977"/>
      <c r="AN156" s="977"/>
      <c r="AO156" s="977"/>
      <c r="AP156" s="977"/>
      <c r="AQ156" s="977"/>
      <c r="AR156" s="335"/>
      <c r="AS156" s="335"/>
      <c r="AT156" s="335"/>
      <c r="AU156" s="335"/>
      <c r="AV156" s="335"/>
      <c r="AW156" s="335"/>
      <c r="AX156" s="335"/>
      <c r="AY156" s="335"/>
      <c r="AZ156" s="335"/>
      <c r="BA156" s="335"/>
      <c r="BB156" s="335"/>
      <c r="BC156" s="335"/>
      <c r="BD156" s="335"/>
      <c r="BE156" s="335"/>
      <c r="BF156" s="335"/>
      <c r="BG156" s="335"/>
      <c r="BH156" s="335"/>
      <c r="BI156" s="335"/>
      <c r="BJ156" s="335"/>
      <c r="BK156" s="335"/>
      <c r="BL156" s="335"/>
      <c r="BM156" s="335"/>
      <c r="BN156" s="335"/>
      <c r="BO156" s="335"/>
      <c r="BP156" s="335"/>
      <c r="BQ156" s="335"/>
      <c r="BR156" s="335"/>
      <c r="BS156" s="335"/>
      <c r="BT156" s="335"/>
      <c r="BU156" s="335"/>
      <c r="BV156" s="335"/>
      <c r="BW156" s="335"/>
      <c r="BX156" s="335"/>
      <c r="BY156" s="335"/>
      <c r="BZ156" s="335"/>
      <c r="CA156" s="335"/>
      <c r="CB156" s="335"/>
      <c r="CC156" s="335"/>
      <c r="CD156" s="335"/>
      <c r="CE156" s="335"/>
      <c r="CF156" s="335"/>
      <c r="CG156" s="335"/>
      <c r="CH156" s="335"/>
      <c r="CI156" s="335"/>
      <c r="CJ156" s="335"/>
      <c r="CK156" s="335"/>
      <c r="CL156" s="335"/>
      <c r="CM156" s="335"/>
      <c r="CN156" s="335"/>
      <c r="CO156" s="335"/>
      <c r="CP156" s="335"/>
      <c r="CQ156" s="335"/>
      <c r="CR156" s="335"/>
      <c r="CS156" s="335"/>
      <c r="CT156" s="335"/>
      <c r="CU156" s="335"/>
      <c r="CV156" s="335"/>
      <c r="CW156" s="335"/>
      <c r="CX156" s="335"/>
      <c r="CY156" s="335"/>
      <c r="CZ156" s="335"/>
      <c r="DA156" s="335"/>
      <c r="DB156" s="335"/>
      <c r="DC156" s="335"/>
      <c r="DD156" s="335"/>
      <c r="DE156" s="335"/>
      <c r="DF156" s="335"/>
      <c r="DG156" s="335"/>
      <c r="DH156" s="335"/>
      <c r="DI156" s="335"/>
      <c r="DJ156" s="335"/>
      <c r="DK156" s="335"/>
      <c r="DL156" s="335"/>
      <c r="DM156" s="335"/>
      <c r="DN156" s="335"/>
      <c r="DO156" s="335"/>
    </row>
    <row r="157" spans="1:119" ht="35.1" customHeight="1">
      <c r="A157" s="977"/>
      <c r="B157" s="977"/>
      <c r="C157" s="977"/>
      <c r="D157" s="977"/>
      <c r="E157" s="977"/>
      <c r="F157" s="977"/>
      <c r="G157" s="977"/>
      <c r="H157" s="977"/>
      <c r="I157" s="977"/>
      <c r="J157" s="977"/>
      <c r="K157" s="977"/>
      <c r="L157" s="977"/>
      <c r="M157" s="977"/>
      <c r="N157" s="977"/>
      <c r="O157" s="977"/>
      <c r="P157" s="977"/>
      <c r="Q157" s="977"/>
      <c r="R157" s="977"/>
      <c r="S157" s="977"/>
      <c r="T157" s="977"/>
      <c r="U157" s="977"/>
      <c r="V157" s="977"/>
      <c r="W157" s="977"/>
      <c r="X157" s="977"/>
      <c r="Y157" s="977"/>
      <c r="Z157" s="977"/>
      <c r="AA157" s="977"/>
      <c r="AB157" s="977"/>
      <c r="AC157" s="977"/>
      <c r="AD157" s="977"/>
      <c r="AE157" s="977"/>
      <c r="AF157" s="977"/>
      <c r="AG157" s="977"/>
      <c r="AH157" s="977"/>
      <c r="AI157" s="977"/>
      <c r="AJ157" s="977"/>
      <c r="AK157" s="977"/>
      <c r="AL157" s="977"/>
      <c r="AM157" s="977"/>
      <c r="AN157" s="977"/>
      <c r="AO157" s="977"/>
      <c r="AP157" s="977"/>
      <c r="AQ157" s="977"/>
      <c r="AR157" s="335"/>
      <c r="AS157" s="335"/>
      <c r="AT157" s="335"/>
      <c r="AU157" s="335"/>
      <c r="AV157" s="335"/>
      <c r="AW157" s="335"/>
      <c r="AX157" s="335"/>
      <c r="AY157" s="335"/>
      <c r="AZ157" s="335"/>
      <c r="BA157" s="335"/>
      <c r="BB157" s="335"/>
      <c r="BC157" s="335"/>
      <c r="BD157" s="335"/>
      <c r="BE157" s="335"/>
      <c r="BF157" s="335"/>
      <c r="BG157" s="335"/>
      <c r="BH157" s="335"/>
      <c r="BI157" s="335"/>
      <c r="BJ157" s="335"/>
      <c r="BK157" s="335"/>
      <c r="BL157" s="335"/>
      <c r="BM157" s="335"/>
      <c r="BN157" s="335"/>
      <c r="BO157" s="335"/>
      <c r="BP157" s="335"/>
      <c r="BQ157" s="335"/>
      <c r="BR157" s="335"/>
      <c r="BS157" s="335"/>
      <c r="BT157" s="335"/>
      <c r="BU157" s="335"/>
      <c r="BV157" s="335"/>
      <c r="BW157" s="335"/>
      <c r="BX157" s="335"/>
      <c r="BY157" s="335"/>
      <c r="BZ157" s="335"/>
      <c r="CA157" s="335"/>
      <c r="CB157" s="335"/>
      <c r="CC157" s="335"/>
      <c r="CD157" s="335"/>
      <c r="CE157" s="335"/>
      <c r="CF157" s="335"/>
      <c r="CG157" s="335"/>
      <c r="CH157" s="335"/>
      <c r="CI157" s="335"/>
      <c r="CJ157" s="335"/>
      <c r="CK157" s="335"/>
      <c r="CL157" s="335"/>
      <c r="CM157" s="335"/>
      <c r="CN157" s="335"/>
      <c r="CO157" s="335"/>
      <c r="CP157" s="335"/>
      <c r="CQ157" s="335"/>
      <c r="CR157" s="335"/>
      <c r="CS157" s="335"/>
      <c r="CT157" s="335"/>
      <c r="CU157" s="335"/>
      <c r="CV157" s="335"/>
      <c r="CW157" s="335"/>
      <c r="CX157" s="335"/>
      <c r="CY157" s="335"/>
      <c r="CZ157" s="335"/>
      <c r="DA157" s="335"/>
      <c r="DB157" s="335"/>
      <c r="DC157" s="335"/>
      <c r="DD157" s="335"/>
      <c r="DE157" s="335"/>
      <c r="DF157" s="335"/>
      <c r="DG157" s="335"/>
      <c r="DH157" s="335"/>
      <c r="DI157" s="335"/>
      <c r="DJ157" s="335"/>
      <c r="DK157" s="335"/>
      <c r="DL157" s="335"/>
      <c r="DM157" s="335"/>
      <c r="DN157" s="335"/>
      <c r="DO157" s="335"/>
    </row>
    <row r="158" spans="1:119" ht="35.1" customHeight="1">
      <c r="A158" s="977"/>
      <c r="B158" s="977"/>
      <c r="C158" s="977"/>
      <c r="D158" s="977"/>
      <c r="E158" s="977"/>
      <c r="F158" s="977"/>
      <c r="G158" s="977"/>
      <c r="H158" s="977"/>
      <c r="I158" s="977"/>
      <c r="J158" s="977"/>
      <c r="K158" s="977"/>
      <c r="L158" s="977"/>
      <c r="M158" s="977"/>
      <c r="N158" s="977"/>
      <c r="O158" s="977"/>
      <c r="P158" s="977"/>
      <c r="Q158" s="977"/>
      <c r="R158" s="977"/>
      <c r="S158" s="977"/>
      <c r="T158" s="977"/>
      <c r="U158" s="977"/>
      <c r="V158" s="977"/>
      <c r="W158" s="977"/>
      <c r="X158" s="977"/>
      <c r="Y158" s="977"/>
      <c r="Z158" s="977"/>
      <c r="AA158" s="977"/>
      <c r="AB158" s="977"/>
      <c r="AC158" s="977"/>
      <c r="AD158" s="977"/>
      <c r="AE158" s="977"/>
      <c r="AF158" s="977"/>
      <c r="AG158" s="977"/>
      <c r="AH158" s="977"/>
      <c r="AI158" s="977"/>
      <c r="AJ158" s="977"/>
      <c r="AK158" s="977"/>
      <c r="AL158" s="977"/>
      <c r="AM158" s="977"/>
      <c r="AN158" s="977"/>
      <c r="AO158" s="977"/>
      <c r="AP158" s="977"/>
      <c r="AQ158" s="977"/>
      <c r="AR158" s="335"/>
      <c r="AS158" s="335"/>
      <c r="AT158" s="335"/>
      <c r="AU158" s="335"/>
      <c r="AV158" s="335"/>
      <c r="AW158" s="335"/>
      <c r="AX158" s="335"/>
      <c r="AY158" s="335"/>
      <c r="AZ158" s="335"/>
      <c r="BA158" s="335"/>
      <c r="BB158" s="335"/>
      <c r="BC158" s="335"/>
      <c r="BD158" s="335"/>
      <c r="BE158" s="335"/>
      <c r="BF158" s="335"/>
      <c r="BG158" s="335"/>
      <c r="BH158" s="335"/>
      <c r="BI158" s="335"/>
      <c r="BJ158" s="335"/>
      <c r="BK158" s="335"/>
      <c r="BL158" s="335"/>
      <c r="BM158" s="335"/>
      <c r="BN158" s="335"/>
      <c r="BO158" s="335"/>
      <c r="BP158" s="335"/>
      <c r="BQ158" s="335"/>
      <c r="BR158" s="335"/>
      <c r="BS158" s="335"/>
      <c r="BT158" s="335"/>
      <c r="BU158" s="335"/>
      <c r="BV158" s="335"/>
      <c r="BW158" s="335"/>
      <c r="BX158" s="335"/>
      <c r="BY158" s="335"/>
      <c r="BZ158" s="335"/>
      <c r="CA158" s="335"/>
      <c r="CB158" s="335"/>
      <c r="CC158" s="335"/>
      <c r="CD158" s="335"/>
      <c r="CE158" s="335"/>
      <c r="CF158" s="335"/>
      <c r="CG158" s="335"/>
      <c r="CH158" s="335"/>
      <c r="CI158" s="335"/>
      <c r="CJ158" s="335"/>
      <c r="CK158" s="335"/>
      <c r="CL158" s="335"/>
      <c r="CM158" s="335"/>
      <c r="CN158" s="335"/>
      <c r="CO158" s="335"/>
      <c r="CP158" s="335"/>
      <c r="CQ158" s="335"/>
      <c r="CR158" s="335"/>
      <c r="CS158" s="335"/>
      <c r="CT158" s="335"/>
      <c r="CU158" s="335"/>
      <c r="CV158" s="335"/>
      <c r="CW158" s="335"/>
      <c r="CX158" s="335"/>
      <c r="CY158" s="335"/>
      <c r="CZ158" s="335"/>
      <c r="DA158" s="335"/>
      <c r="DB158" s="335"/>
      <c r="DC158" s="335"/>
      <c r="DD158" s="335"/>
      <c r="DE158" s="335"/>
      <c r="DF158" s="335"/>
      <c r="DG158" s="335"/>
      <c r="DH158" s="335"/>
      <c r="DI158" s="335"/>
      <c r="DJ158" s="335"/>
      <c r="DK158" s="335"/>
      <c r="DL158" s="335"/>
      <c r="DM158" s="335"/>
      <c r="DN158" s="335"/>
      <c r="DO158" s="335"/>
    </row>
    <row r="159" spans="1:119" ht="35.1" customHeight="1">
      <c r="A159" s="977"/>
      <c r="B159" s="977"/>
      <c r="C159" s="977"/>
      <c r="D159" s="977"/>
      <c r="E159" s="977"/>
      <c r="F159" s="977"/>
      <c r="G159" s="977"/>
      <c r="H159" s="977"/>
      <c r="I159" s="977"/>
      <c r="J159" s="977"/>
      <c r="K159" s="977"/>
      <c r="L159" s="977"/>
      <c r="M159" s="977"/>
      <c r="N159" s="977"/>
      <c r="O159" s="977"/>
      <c r="P159" s="977"/>
      <c r="Q159" s="977"/>
      <c r="R159" s="977"/>
      <c r="S159" s="977"/>
      <c r="T159" s="977"/>
      <c r="U159" s="977"/>
      <c r="V159" s="977"/>
      <c r="W159" s="977"/>
      <c r="X159" s="977"/>
      <c r="Y159" s="977"/>
      <c r="Z159" s="977"/>
      <c r="AA159" s="977"/>
      <c r="AB159" s="977"/>
      <c r="AC159" s="977"/>
      <c r="AD159" s="977"/>
      <c r="AE159" s="977"/>
      <c r="AF159" s="977"/>
      <c r="AG159" s="977"/>
      <c r="AH159" s="977"/>
      <c r="AI159" s="977"/>
      <c r="AJ159" s="977"/>
      <c r="AK159" s="977"/>
      <c r="AL159" s="977"/>
      <c r="AM159" s="977"/>
      <c r="AN159" s="977"/>
      <c r="AO159" s="977"/>
      <c r="AP159" s="977"/>
      <c r="AQ159" s="977"/>
      <c r="AR159" s="335"/>
      <c r="AS159" s="335"/>
      <c r="AT159" s="335"/>
      <c r="AU159" s="335"/>
      <c r="AV159" s="335"/>
      <c r="AW159" s="335"/>
      <c r="AX159" s="335"/>
      <c r="AY159" s="335"/>
      <c r="AZ159" s="335"/>
      <c r="BA159" s="335"/>
      <c r="BB159" s="335"/>
      <c r="BC159" s="335"/>
      <c r="BD159" s="335"/>
      <c r="BE159" s="335"/>
      <c r="BF159" s="335"/>
      <c r="BG159" s="335"/>
      <c r="BH159" s="335"/>
      <c r="BI159" s="335"/>
      <c r="BJ159" s="335"/>
      <c r="BK159" s="335"/>
      <c r="BL159" s="335"/>
      <c r="BM159" s="335"/>
      <c r="BN159" s="335"/>
      <c r="BO159" s="335"/>
      <c r="BP159" s="335"/>
      <c r="BQ159" s="335"/>
      <c r="BR159" s="335"/>
      <c r="BS159" s="335"/>
      <c r="BT159" s="335"/>
      <c r="BU159" s="335"/>
      <c r="BV159" s="335"/>
      <c r="BW159" s="335"/>
      <c r="BX159" s="335"/>
      <c r="BY159" s="335"/>
      <c r="BZ159" s="335"/>
      <c r="CA159" s="335"/>
      <c r="CB159" s="335"/>
      <c r="CC159" s="335"/>
      <c r="CD159" s="335"/>
      <c r="CE159" s="335"/>
      <c r="CF159" s="335"/>
      <c r="CG159" s="335"/>
      <c r="CH159" s="335"/>
      <c r="CI159" s="335"/>
      <c r="CJ159" s="335"/>
      <c r="CK159" s="335"/>
      <c r="CL159" s="335"/>
      <c r="CM159" s="335"/>
      <c r="CN159" s="335"/>
      <c r="CO159" s="335"/>
      <c r="CP159" s="335"/>
      <c r="CQ159" s="335"/>
      <c r="CR159" s="335"/>
      <c r="CS159" s="335"/>
      <c r="CT159" s="335"/>
      <c r="CU159" s="335"/>
      <c r="CV159" s="335"/>
      <c r="CW159" s="335"/>
      <c r="CX159" s="335"/>
      <c r="CY159" s="335"/>
      <c r="CZ159" s="335"/>
      <c r="DA159" s="335"/>
      <c r="DB159" s="335"/>
      <c r="DC159" s="335"/>
      <c r="DD159" s="335"/>
      <c r="DE159" s="335"/>
      <c r="DF159" s="335"/>
      <c r="DG159" s="335"/>
      <c r="DH159" s="335"/>
      <c r="DI159" s="335"/>
      <c r="DJ159" s="335"/>
      <c r="DK159" s="335"/>
      <c r="DL159" s="335"/>
      <c r="DM159" s="335"/>
      <c r="DN159" s="335"/>
      <c r="DO159" s="335"/>
    </row>
    <row r="160" spans="1:119" ht="35.1" customHeight="1">
      <c r="A160" s="977"/>
      <c r="B160" s="977"/>
      <c r="C160" s="977"/>
      <c r="D160" s="977"/>
      <c r="E160" s="977"/>
      <c r="F160" s="977"/>
      <c r="G160" s="977"/>
      <c r="H160" s="977"/>
      <c r="I160" s="977"/>
      <c r="J160" s="977"/>
      <c r="K160" s="977"/>
      <c r="L160" s="977"/>
      <c r="M160" s="977"/>
      <c r="N160" s="977"/>
      <c r="O160" s="977"/>
      <c r="P160" s="977"/>
      <c r="Q160" s="977"/>
      <c r="R160" s="977"/>
      <c r="S160" s="977"/>
      <c r="T160" s="977"/>
      <c r="U160" s="977"/>
      <c r="V160" s="977"/>
      <c r="W160" s="977"/>
      <c r="X160" s="977"/>
      <c r="Y160" s="977"/>
      <c r="Z160" s="977"/>
      <c r="AA160" s="977"/>
      <c r="AB160" s="977"/>
      <c r="AC160" s="977"/>
      <c r="AD160" s="977"/>
      <c r="AE160" s="977"/>
      <c r="AF160" s="977"/>
      <c r="AG160" s="977"/>
      <c r="AH160" s="977"/>
      <c r="AI160" s="977"/>
      <c r="AJ160" s="977"/>
      <c r="AK160" s="977"/>
      <c r="AL160" s="977"/>
      <c r="AM160" s="977"/>
      <c r="AN160" s="977"/>
      <c r="AO160" s="977"/>
      <c r="AP160" s="977"/>
      <c r="AQ160" s="977"/>
      <c r="AR160" s="335"/>
      <c r="AS160" s="335"/>
      <c r="AT160" s="335"/>
      <c r="AU160" s="335"/>
      <c r="AV160" s="335"/>
      <c r="AW160" s="335"/>
      <c r="AX160" s="335"/>
      <c r="AY160" s="335"/>
      <c r="AZ160" s="335"/>
      <c r="BA160" s="335"/>
      <c r="BB160" s="335"/>
      <c r="BC160" s="335"/>
      <c r="BD160" s="335"/>
      <c r="BE160" s="335"/>
      <c r="BF160" s="335"/>
      <c r="BG160" s="335"/>
      <c r="BH160" s="335"/>
      <c r="BI160" s="335"/>
      <c r="BJ160" s="335"/>
      <c r="BK160" s="335"/>
      <c r="BL160" s="335"/>
      <c r="BM160" s="335"/>
      <c r="BN160" s="335"/>
      <c r="BO160" s="335"/>
      <c r="BP160" s="335"/>
      <c r="BQ160" s="335"/>
      <c r="BR160" s="335"/>
      <c r="BS160" s="335"/>
      <c r="BT160" s="335"/>
      <c r="BU160" s="335"/>
      <c r="BV160" s="335"/>
      <c r="BW160" s="335"/>
      <c r="BX160" s="335"/>
      <c r="BY160" s="335"/>
      <c r="BZ160" s="335"/>
      <c r="CA160" s="335"/>
      <c r="CB160" s="335"/>
      <c r="CC160" s="335"/>
      <c r="CD160" s="335"/>
      <c r="CE160" s="335"/>
      <c r="CF160" s="335"/>
      <c r="CG160" s="335"/>
      <c r="CH160" s="335"/>
      <c r="CI160" s="335"/>
      <c r="CJ160" s="335"/>
      <c r="CK160" s="335"/>
      <c r="CL160" s="335"/>
      <c r="CM160" s="335"/>
      <c r="CN160" s="335"/>
      <c r="CO160" s="335"/>
      <c r="CP160" s="335"/>
      <c r="CQ160" s="335"/>
      <c r="CR160" s="335"/>
      <c r="CS160" s="335"/>
      <c r="CT160" s="335"/>
      <c r="CU160" s="335"/>
      <c r="CV160" s="335"/>
      <c r="CW160" s="335"/>
      <c r="CX160" s="335"/>
      <c r="CY160" s="335"/>
      <c r="CZ160" s="335"/>
      <c r="DA160" s="335"/>
      <c r="DB160" s="335"/>
      <c r="DC160" s="335"/>
      <c r="DD160" s="335"/>
      <c r="DE160" s="335"/>
      <c r="DF160" s="335"/>
      <c r="DG160" s="335"/>
      <c r="DH160" s="335"/>
      <c r="DI160" s="335"/>
      <c r="DJ160" s="335"/>
      <c r="DK160" s="335"/>
      <c r="DL160" s="335"/>
      <c r="DM160" s="335"/>
      <c r="DN160" s="335"/>
      <c r="DO160" s="335"/>
    </row>
    <row r="161" spans="1:119" ht="35.1" customHeight="1">
      <c r="A161" s="977"/>
      <c r="B161" s="977"/>
      <c r="C161" s="977"/>
      <c r="D161" s="977"/>
      <c r="E161" s="977"/>
      <c r="F161" s="977"/>
      <c r="G161" s="977"/>
      <c r="H161" s="977"/>
      <c r="I161" s="977"/>
      <c r="J161" s="977"/>
      <c r="K161" s="977"/>
      <c r="L161" s="977"/>
      <c r="M161" s="977"/>
      <c r="N161" s="977"/>
      <c r="O161" s="977"/>
      <c r="P161" s="977"/>
      <c r="Q161" s="977"/>
      <c r="R161" s="977"/>
      <c r="S161" s="977"/>
      <c r="T161" s="977"/>
      <c r="U161" s="977"/>
      <c r="V161" s="977"/>
      <c r="W161" s="977"/>
      <c r="X161" s="977"/>
      <c r="Y161" s="977"/>
      <c r="Z161" s="977"/>
      <c r="AA161" s="977"/>
      <c r="AB161" s="977"/>
      <c r="AC161" s="977"/>
      <c r="AD161" s="977"/>
      <c r="AE161" s="977"/>
      <c r="AF161" s="977"/>
      <c r="AG161" s="977"/>
      <c r="AH161" s="977"/>
      <c r="AI161" s="977"/>
      <c r="AJ161" s="977"/>
      <c r="AK161" s="977"/>
      <c r="AL161" s="977"/>
      <c r="AM161" s="977"/>
      <c r="AN161" s="977"/>
      <c r="AO161" s="977"/>
      <c r="AP161" s="977"/>
      <c r="AQ161" s="977"/>
      <c r="AR161" s="335"/>
      <c r="AS161" s="335"/>
      <c r="AT161" s="335"/>
      <c r="AU161" s="335"/>
      <c r="AV161" s="335"/>
      <c r="AW161" s="335"/>
      <c r="AX161" s="335"/>
      <c r="AY161" s="335"/>
      <c r="AZ161" s="335"/>
      <c r="BA161" s="335"/>
      <c r="BB161" s="335"/>
      <c r="BC161" s="335"/>
      <c r="BD161" s="335"/>
      <c r="BE161" s="335"/>
      <c r="BF161" s="335"/>
      <c r="BG161" s="335"/>
      <c r="BH161" s="335"/>
      <c r="BI161" s="335"/>
      <c r="BJ161" s="335"/>
      <c r="BK161" s="335"/>
      <c r="BL161" s="335"/>
      <c r="BM161" s="335"/>
      <c r="BN161" s="335"/>
      <c r="BO161" s="335"/>
      <c r="BP161" s="335"/>
      <c r="BQ161" s="335"/>
      <c r="BR161" s="335"/>
      <c r="BS161" s="335"/>
      <c r="BT161" s="335"/>
      <c r="BU161" s="335"/>
      <c r="BV161" s="335"/>
      <c r="BW161" s="335"/>
      <c r="BX161" s="335"/>
      <c r="BY161" s="335"/>
      <c r="BZ161" s="335"/>
      <c r="CA161" s="335"/>
      <c r="CB161" s="335"/>
      <c r="CC161" s="335"/>
      <c r="CD161" s="335"/>
      <c r="CE161" s="335"/>
      <c r="CF161" s="335"/>
      <c r="CG161" s="335"/>
      <c r="CH161" s="335"/>
      <c r="CI161" s="335"/>
      <c r="CJ161" s="335"/>
      <c r="CK161" s="335"/>
      <c r="CL161" s="335"/>
      <c r="CM161" s="335"/>
      <c r="CN161" s="335"/>
      <c r="CO161" s="335"/>
      <c r="CP161" s="335"/>
      <c r="CQ161" s="335"/>
      <c r="CR161" s="335"/>
      <c r="CS161" s="335"/>
      <c r="CT161" s="335"/>
      <c r="CU161" s="335"/>
      <c r="CV161" s="335"/>
      <c r="CW161" s="335"/>
      <c r="CX161" s="335"/>
      <c r="CY161" s="335"/>
      <c r="CZ161" s="335"/>
      <c r="DA161" s="335"/>
      <c r="DB161" s="335"/>
      <c r="DC161" s="335"/>
      <c r="DD161" s="335"/>
      <c r="DE161" s="335"/>
      <c r="DF161" s="335"/>
      <c r="DG161" s="335"/>
      <c r="DH161" s="335"/>
      <c r="DI161" s="335"/>
      <c r="DJ161" s="335"/>
      <c r="DK161" s="335"/>
      <c r="DL161" s="335"/>
      <c r="DM161" s="335"/>
      <c r="DN161" s="335"/>
      <c r="DO161" s="335"/>
    </row>
    <row r="162" spans="1:119" ht="35.1" customHeight="1">
      <c r="A162" s="977"/>
      <c r="B162" s="977"/>
      <c r="C162" s="977"/>
      <c r="D162" s="977"/>
      <c r="E162" s="977"/>
      <c r="F162" s="977"/>
      <c r="G162" s="977"/>
      <c r="H162" s="977"/>
      <c r="I162" s="977"/>
      <c r="J162" s="977"/>
      <c r="K162" s="977"/>
      <c r="L162" s="977"/>
      <c r="M162" s="977"/>
      <c r="N162" s="977"/>
      <c r="O162" s="977"/>
      <c r="P162" s="977"/>
      <c r="Q162" s="977"/>
      <c r="R162" s="977"/>
      <c r="S162" s="977"/>
      <c r="T162" s="977"/>
      <c r="U162" s="977"/>
      <c r="V162" s="977"/>
      <c r="W162" s="977"/>
      <c r="X162" s="977"/>
      <c r="Y162" s="977"/>
      <c r="Z162" s="977"/>
      <c r="AA162" s="977"/>
      <c r="AB162" s="977"/>
      <c r="AC162" s="977"/>
      <c r="AD162" s="977"/>
      <c r="AE162" s="977"/>
      <c r="AF162" s="977"/>
      <c r="AG162" s="977"/>
      <c r="AH162" s="977"/>
      <c r="AI162" s="977"/>
      <c r="AJ162" s="977"/>
      <c r="AK162" s="977"/>
      <c r="AL162" s="977"/>
      <c r="AM162" s="977"/>
      <c r="AN162" s="977"/>
      <c r="AO162" s="977"/>
      <c r="AP162" s="977"/>
      <c r="AQ162" s="977"/>
      <c r="AR162" s="335"/>
      <c r="AS162" s="335"/>
      <c r="AT162" s="335"/>
      <c r="AU162" s="335"/>
      <c r="AV162" s="335"/>
      <c r="AW162" s="335"/>
      <c r="AX162" s="335"/>
      <c r="AY162" s="335"/>
      <c r="AZ162" s="335"/>
      <c r="BA162" s="335"/>
      <c r="BB162" s="335"/>
      <c r="BC162" s="335"/>
      <c r="BD162" s="335"/>
      <c r="BE162" s="335"/>
      <c r="BF162" s="335"/>
      <c r="BG162" s="335"/>
      <c r="BH162" s="335"/>
      <c r="BI162" s="335"/>
      <c r="BJ162" s="335"/>
      <c r="BK162" s="335"/>
      <c r="BL162" s="335"/>
      <c r="BM162" s="335"/>
      <c r="BN162" s="335"/>
      <c r="BO162" s="335"/>
      <c r="BP162" s="335"/>
      <c r="BQ162" s="335"/>
      <c r="BR162" s="335"/>
      <c r="BS162" s="335"/>
      <c r="BT162" s="335"/>
      <c r="BU162" s="335"/>
      <c r="BV162" s="335"/>
      <c r="BW162" s="335"/>
      <c r="BX162" s="335"/>
      <c r="BY162" s="335"/>
      <c r="BZ162" s="335"/>
      <c r="CA162" s="335"/>
      <c r="CB162" s="335"/>
      <c r="CC162" s="335"/>
      <c r="CD162" s="335"/>
      <c r="CE162" s="335"/>
      <c r="CF162" s="335"/>
      <c r="CG162" s="335"/>
      <c r="CH162" s="335"/>
      <c r="CI162" s="335"/>
      <c r="CJ162" s="335"/>
      <c r="CK162" s="335"/>
      <c r="CL162" s="335"/>
      <c r="CM162" s="335"/>
      <c r="CN162" s="335"/>
      <c r="CO162" s="335"/>
      <c r="CP162" s="335"/>
      <c r="CQ162" s="335"/>
      <c r="CR162" s="335"/>
      <c r="CS162" s="335"/>
      <c r="CT162" s="335"/>
      <c r="CU162" s="335"/>
      <c r="CV162" s="335"/>
      <c r="CW162" s="335"/>
      <c r="CX162" s="335"/>
      <c r="CY162" s="335"/>
      <c r="CZ162" s="335"/>
      <c r="DA162" s="335"/>
      <c r="DB162" s="335"/>
      <c r="DC162" s="335"/>
      <c r="DD162" s="335"/>
      <c r="DE162" s="335"/>
      <c r="DF162" s="335"/>
      <c r="DG162" s="335"/>
      <c r="DH162" s="335"/>
      <c r="DI162" s="335"/>
      <c r="DJ162" s="335"/>
      <c r="DK162" s="335"/>
      <c r="DL162" s="335"/>
      <c r="DM162" s="335"/>
      <c r="DN162" s="335"/>
      <c r="DO162" s="335"/>
    </row>
    <row r="163" spans="1:119" ht="35.1" customHeight="1">
      <c r="A163" s="977"/>
      <c r="B163" s="977"/>
      <c r="C163" s="977"/>
      <c r="D163" s="977"/>
      <c r="E163" s="977"/>
      <c r="F163" s="977"/>
      <c r="G163" s="977"/>
      <c r="H163" s="977"/>
      <c r="I163" s="977"/>
      <c r="J163" s="977"/>
      <c r="K163" s="977"/>
      <c r="L163" s="977"/>
      <c r="M163" s="977"/>
      <c r="N163" s="977"/>
      <c r="O163" s="977"/>
      <c r="P163" s="977"/>
      <c r="Q163" s="977"/>
      <c r="R163" s="977"/>
      <c r="S163" s="977"/>
      <c r="T163" s="977"/>
      <c r="U163" s="977"/>
      <c r="V163" s="977"/>
      <c r="W163" s="977"/>
      <c r="X163" s="977"/>
      <c r="Y163" s="977"/>
      <c r="Z163" s="977"/>
      <c r="AA163" s="977"/>
      <c r="AB163" s="977"/>
      <c r="AC163" s="977"/>
      <c r="AD163" s="977"/>
      <c r="AE163" s="977"/>
      <c r="AF163" s="977"/>
      <c r="AG163" s="977"/>
      <c r="AH163" s="977"/>
      <c r="AI163" s="977"/>
      <c r="AJ163" s="977"/>
      <c r="AK163" s="977"/>
      <c r="AL163" s="977"/>
      <c r="AM163" s="977"/>
      <c r="AN163" s="977"/>
      <c r="AO163" s="977"/>
      <c r="AP163" s="977"/>
      <c r="AQ163" s="977"/>
      <c r="AR163" s="335"/>
      <c r="AS163" s="335"/>
      <c r="AT163" s="335"/>
      <c r="AU163" s="335"/>
      <c r="AV163" s="335"/>
      <c r="AW163" s="335"/>
      <c r="AX163" s="335"/>
      <c r="AY163" s="335"/>
      <c r="AZ163" s="335"/>
      <c r="BA163" s="335"/>
      <c r="BB163" s="335"/>
      <c r="BC163" s="335"/>
      <c r="BD163" s="335"/>
      <c r="BE163" s="335"/>
      <c r="BF163" s="335"/>
      <c r="BG163" s="335"/>
      <c r="BH163" s="335"/>
      <c r="BI163" s="335"/>
      <c r="BJ163" s="335"/>
      <c r="BK163" s="335"/>
      <c r="BL163" s="335"/>
      <c r="BM163" s="335"/>
      <c r="BN163" s="335"/>
      <c r="BO163" s="335"/>
      <c r="BP163" s="335"/>
      <c r="BQ163" s="335"/>
      <c r="BR163" s="335"/>
      <c r="BS163" s="335"/>
      <c r="BT163" s="335"/>
      <c r="BU163" s="335"/>
      <c r="BV163" s="335"/>
      <c r="BW163" s="335"/>
      <c r="BX163" s="335"/>
      <c r="BY163" s="335"/>
      <c r="BZ163" s="335"/>
      <c r="CA163" s="335"/>
      <c r="CB163" s="335"/>
      <c r="CC163" s="335"/>
      <c r="CD163" s="335"/>
      <c r="CE163" s="335"/>
      <c r="CF163" s="335"/>
      <c r="CG163" s="335"/>
      <c r="CH163" s="335"/>
      <c r="CI163" s="335"/>
      <c r="CJ163" s="335"/>
      <c r="CK163" s="335"/>
      <c r="CL163" s="335"/>
      <c r="CM163" s="335"/>
      <c r="CN163" s="335"/>
      <c r="CO163" s="335"/>
      <c r="CP163" s="335"/>
      <c r="CQ163" s="335"/>
      <c r="CR163" s="335"/>
      <c r="CS163" s="335"/>
      <c r="CT163" s="335"/>
      <c r="CU163" s="335"/>
      <c r="CV163" s="335"/>
      <c r="CW163" s="335"/>
      <c r="CX163" s="335"/>
      <c r="CY163" s="335"/>
      <c r="CZ163" s="335"/>
      <c r="DA163" s="335"/>
      <c r="DB163" s="335"/>
      <c r="DC163" s="335"/>
      <c r="DD163" s="335"/>
      <c r="DE163" s="335"/>
      <c r="DF163" s="335"/>
      <c r="DG163" s="335"/>
      <c r="DH163" s="335"/>
      <c r="DI163" s="335"/>
      <c r="DJ163" s="335"/>
      <c r="DK163" s="335"/>
      <c r="DL163" s="335"/>
      <c r="DM163" s="335"/>
      <c r="DN163" s="335"/>
      <c r="DO163" s="335"/>
    </row>
    <row r="164" spans="1:119" ht="35.1" customHeight="1">
      <c r="A164" s="977"/>
      <c r="B164" s="977"/>
      <c r="C164" s="977"/>
      <c r="D164" s="977"/>
      <c r="E164" s="977"/>
      <c r="F164" s="977"/>
      <c r="G164" s="977"/>
      <c r="H164" s="977"/>
      <c r="I164" s="977"/>
      <c r="J164" s="977"/>
      <c r="K164" s="977"/>
      <c r="L164" s="977"/>
      <c r="M164" s="977"/>
      <c r="N164" s="977"/>
      <c r="O164" s="977"/>
      <c r="P164" s="977"/>
      <c r="Q164" s="977"/>
      <c r="R164" s="977"/>
      <c r="S164" s="977"/>
      <c r="T164" s="977"/>
      <c r="U164" s="977"/>
      <c r="V164" s="977"/>
      <c r="W164" s="977"/>
      <c r="X164" s="977"/>
      <c r="Y164" s="977"/>
      <c r="Z164" s="977"/>
      <c r="AA164" s="977"/>
      <c r="AB164" s="977"/>
      <c r="AC164" s="977"/>
      <c r="AD164" s="977"/>
      <c r="AE164" s="977"/>
      <c r="AF164" s="977"/>
      <c r="AG164" s="977"/>
      <c r="AH164" s="977"/>
      <c r="AI164" s="977"/>
      <c r="AJ164" s="977"/>
      <c r="AK164" s="977"/>
      <c r="AL164" s="977"/>
      <c r="AM164" s="977"/>
      <c r="AN164" s="977"/>
      <c r="AO164" s="977"/>
      <c r="AP164" s="977"/>
      <c r="AQ164" s="977"/>
      <c r="AR164" s="335"/>
      <c r="AS164" s="335"/>
      <c r="AT164" s="335"/>
      <c r="AU164" s="335"/>
      <c r="AV164" s="335"/>
      <c r="AW164" s="335"/>
      <c r="AX164" s="335"/>
      <c r="AY164" s="335"/>
      <c r="AZ164" s="335"/>
      <c r="BA164" s="335"/>
      <c r="BB164" s="335"/>
      <c r="BC164" s="335"/>
      <c r="BD164" s="335"/>
      <c r="BE164" s="335"/>
      <c r="BF164" s="335"/>
      <c r="BG164" s="335"/>
      <c r="BH164" s="335"/>
      <c r="BI164" s="335"/>
      <c r="BJ164" s="335"/>
      <c r="BK164" s="335"/>
      <c r="BL164" s="335"/>
      <c r="BM164" s="335"/>
      <c r="BN164" s="335"/>
      <c r="BO164" s="335"/>
      <c r="BP164" s="335"/>
      <c r="BQ164" s="335"/>
      <c r="BR164" s="335"/>
      <c r="BS164" s="335"/>
      <c r="BT164" s="335"/>
      <c r="BU164" s="335"/>
      <c r="BV164" s="335"/>
      <c r="BW164" s="335"/>
      <c r="BX164" s="335"/>
      <c r="BY164" s="335"/>
      <c r="BZ164" s="335"/>
      <c r="CA164" s="335"/>
      <c r="CB164" s="335"/>
      <c r="CC164" s="335"/>
      <c r="CD164" s="335"/>
      <c r="CE164" s="335"/>
      <c r="CF164" s="335"/>
      <c r="CG164" s="335"/>
      <c r="CH164" s="335"/>
      <c r="CI164" s="335"/>
      <c r="CJ164" s="335"/>
      <c r="CK164" s="335"/>
      <c r="CL164" s="335"/>
      <c r="CM164" s="335"/>
      <c r="CN164" s="335"/>
      <c r="CO164" s="335"/>
      <c r="CP164" s="335"/>
      <c r="CQ164" s="335"/>
      <c r="CR164" s="335"/>
      <c r="CS164" s="335"/>
      <c r="CT164" s="335"/>
      <c r="CU164" s="335"/>
      <c r="CV164" s="335"/>
      <c r="CW164" s="335"/>
      <c r="CX164" s="335"/>
      <c r="CY164" s="335"/>
      <c r="CZ164" s="335"/>
      <c r="DA164" s="335"/>
      <c r="DB164" s="335"/>
      <c r="DC164" s="335"/>
      <c r="DD164" s="335"/>
      <c r="DE164" s="335"/>
      <c r="DF164" s="335"/>
      <c r="DG164" s="335"/>
      <c r="DH164" s="335"/>
      <c r="DI164" s="335"/>
      <c r="DJ164" s="335"/>
      <c r="DK164" s="335"/>
      <c r="DL164" s="335"/>
      <c r="DM164" s="335"/>
      <c r="DN164" s="335"/>
      <c r="DO164" s="335"/>
    </row>
    <row r="165" spans="1:119" ht="35.1" customHeight="1">
      <c r="A165" s="977"/>
      <c r="B165" s="977"/>
      <c r="C165" s="977"/>
      <c r="D165" s="977"/>
      <c r="E165" s="977"/>
      <c r="F165" s="977"/>
      <c r="G165" s="977"/>
      <c r="H165" s="977"/>
      <c r="I165" s="977"/>
      <c r="J165" s="977"/>
      <c r="K165" s="977"/>
      <c r="L165" s="977"/>
      <c r="M165" s="977"/>
      <c r="N165" s="977"/>
      <c r="O165" s="977"/>
      <c r="P165" s="977"/>
      <c r="Q165" s="977"/>
      <c r="R165" s="977"/>
      <c r="S165" s="977"/>
      <c r="T165" s="977"/>
      <c r="U165" s="977"/>
      <c r="V165" s="977"/>
      <c r="W165" s="977"/>
      <c r="X165" s="977"/>
      <c r="Y165" s="977"/>
      <c r="Z165" s="977"/>
      <c r="AA165" s="977"/>
      <c r="AB165" s="977"/>
      <c r="AC165" s="977"/>
      <c r="AD165" s="977"/>
      <c r="AE165" s="977"/>
      <c r="AF165" s="977"/>
      <c r="AG165" s="977"/>
      <c r="AH165" s="977"/>
      <c r="AI165" s="977"/>
      <c r="AJ165" s="977"/>
      <c r="AK165" s="977"/>
      <c r="AL165" s="977"/>
      <c r="AM165" s="977"/>
      <c r="AN165" s="977"/>
      <c r="AO165" s="977"/>
      <c r="AP165" s="977"/>
      <c r="AQ165" s="977"/>
      <c r="AR165" s="335"/>
      <c r="AS165" s="335"/>
      <c r="AT165" s="335"/>
      <c r="AU165" s="335"/>
      <c r="AV165" s="335"/>
      <c r="AW165" s="335"/>
      <c r="AX165" s="335"/>
      <c r="AY165" s="335"/>
      <c r="AZ165" s="335"/>
      <c r="BA165" s="335"/>
      <c r="BB165" s="335"/>
      <c r="BC165" s="335"/>
      <c r="BD165" s="335"/>
      <c r="BE165" s="335"/>
      <c r="BF165" s="335"/>
      <c r="BG165" s="335"/>
      <c r="BH165" s="335"/>
      <c r="BI165" s="335"/>
      <c r="BJ165" s="335"/>
      <c r="BK165" s="335"/>
      <c r="BL165" s="335"/>
      <c r="BM165" s="335"/>
      <c r="BN165" s="335"/>
      <c r="BO165" s="335"/>
      <c r="BP165" s="335"/>
      <c r="BQ165" s="335"/>
      <c r="BR165" s="335"/>
      <c r="BS165" s="335"/>
      <c r="BT165" s="335"/>
      <c r="BU165" s="335"/>
      <c r="BV165" s="335"/>
      <c r="BW165" s="335"/>
      <c r="BX165" s="335"/>
      <c r="BY165" s="335"/>
      <c r="BZ165" s="335"/>
      <c r="CA165" s="335"/>
      <c r="CB165" s="335"/>
      <c r="CC165" s="335"/>
      <c r="CD165" s="335"/>
      <c r="CE165" s="335"/>
      <c r="CF165" s="335"/>
      <c r="CG165" s="335"/>
      <c r="CH165" s="335"/>
      <c r="CI165" s="335"/>
      <c r="CJ165" s="335"/>
      <c r="CK165" s="335"/>
      <c r="CL165" s="335"/>
      <c r="CM165" s="335"/>
      <c r="CN165" s="335"/>
      <c r="CO165" s="335"/>
      <c r="CP165" s="335"/>
      <c r="CQ165" s="335"/>
      <c r="CR165" s="335"/>
      <c r="CS165" s="335"/>
      <c r="CT165" s="335"/>
      <c r="CU165" s="335"/>
      <c r="CV165" s="335"/>
      <c r="CW165" s="335"/>
      <c r="CX165" s="335"/>
      <c r="CY165" s="335"/>
      <c r="CZ165" s="335"/>
      <c r="DA165" s="335"/>
      <c r="DB165" s="335"/>
      <c r="DC165" s="335"/>
      <c r="DD165" s="335"/>
      <c r="DE165" s="335"/>
      <c r="DF165" s="335"/>
      <c r="DG165" s="335"/>
      <c r="DH165" s="335"/>
      <c r="DI165" s="335"/>
      <c r="DJ165" s="335"/>
      <c r="DK165" s="335"/>
      <c r="DL165" s="335"/>
      <c r="DM165" s="335"/>
      <c r="DN165" s="335"/>
      <c r="DO165" s="335"/>
    </row>
    <row r="166" spans="1:119" ht="35.1" customHeight="1">
      <c r="A166" s="977"/>
      <c r="B166" s="977"/>
      <c r="C166" s="977"/>
      <c r="D166" s="977"/>
      <c r="E166" s="977"/>
      <c r="F166" s="977"/>
      <c r="G166" s="977"/>
      <c r="H166" s="977"/>
      <c r="I166" s="977"/>
      <c r="J166" s="977"/>
      <c r="K166" s="977"/>
      <c r="L166" s="977"/>
      <c r="M166" s="977"/>
      <c r="N166" s="977"/>
      <c r="O166" s="977"/>
      <c r="P166" s="977"/>
      <c r="Q166" s="977"/>
      <c r="R166" s="977"/>
      <c r="S166" s="977"/>
      <c r="T166" s="977"/>
      <c r="U166" s="977"/>
      <c r="V166" s="977"/>
      <c r="W166" s="977"/>
      <c r="X166" s="977"/>
      <c r="Y166" s="977"/>
      <c r="Z166" s="977"/>
      <c r="AA166" s="977"/>
      <c r="AB166" s="977"/>
      <c r="AC166" s="977"/>
      <c r="AD166" s="977"/>
      <c r="AE166" s="977"/>
      <c r="AF166" s="977"/>
      <c r="AG166" s="977"/>
      <c r="AH166" s="977"/>
      <c r="AI166" s="977"/>
      <c r="AJ166" s="977"/>
      <c r="AK166" s="977"/>
      <c r="AL166" s="977"/>
      <c r="AM166" s="977"/>
      <c r="AN166" s="977"/>
      <c r="AO166" s="977"/>
      <c r="AP166" s="977"/>
      <c r="AQ166" s="977"/>
      <c r="AR166" s="335"/>
      <c r="AS166" s="335"/>
      <c r="AT166" s="335"/>
      <c r="AU166" s="335"/>
      <c r="AV166" s="335"/>
      <c r="AW166" s="335"/>
      <c r="AX166" s="335"/>
      <c r="AY166" s="335"/>
      <c r="AZ166" s="335"/>
      <c r="BA166" s="335"/>
      <c r="BB166" s="335"/>
      <c r="BC166" s="335"/>
      <c r="BD166" s="335"/>
      <c r="BE166" s="335"/>
      <c r="BF166" s="335"/>
      <c r="BG166" s="335"/>
      <c r="BH166" s="335"/>
      <c r="BI166" s="335"/>
      <c r="BJ166" s="335"/>
      <c r="BK166" s="335"/>
      <c r="BL166" s="335"/>
      <c r="BM166" s="335"/>
      <c r="BN166" s="335"/>
      <c r="BO166" s="335"/>
      <c r="BP166" s="335"/>
      <c r="BQ166" s="335"/>
      <c r="BR166" s="335"/>
      <c r="BS166" s="335"/>
      <c r="BT166" s="335"/>
      <c r="BU166" s="335"/>
      <c r="BV166" s="335"/>
      <c r="BW166" s="335"/>
      <c r="BX166" s="335"/>
      <c r="BY166" s="335"/>
      <c r="BZ166" s="335"/>
      <c r="CA166" s="335"/>
      <c r="CB166" s="335"/>
      <c r="CC166" s="335"/>
      <c r="CD166" s="335"/>
      <c r="CE166" s="335"/>
      <c r="CF166" s="335"/>
      <c r="CG166" s="335"/>
      <c r="CH166" s="335"/>
      <c r="CI166" s="335"/>
      <c r="CJ166" s="335"/>
      <c r="CK166" s="335"/>
      <c r="CL166" s="335"/>
      <c r="CM166" s="335"/>
      <c r="CN166" s="335"/>
      <c r="CO166" s="335"/>
      <c r="CP166" s="335"/>
      <c r="CQ166" s="335"/>
      <c r="CR166" s="335"/>
      <c r="CS166" s="335"/>
      <c r="CT166" s="335"/>
      <c r="CU166" s="335"/>
      <c r="CV166" s="335"/>
      <c r="CW166" s="335"/>
      <c r="CX166" s="335"/>
      <c r="CY166" s="335"/>
      <c r="CZ166" s="335"/>
      <c r="DA166" s="335"/>
      <c r="DB166" s="335"/>
      <c r="DC166" s="335"/>
      <c r="DD166" s="335"/>
      <c r="DE166" s="335"/>
      <c r="DF166" s="335"/>
      <c r="DG166" s="335"/>
      <c r="DH166" s="335"/>
      <c r="DI166" s="335"/>
      <c r="DJ166" s="335"/>
      <c r="DK166" s="335"/>
      <c r="DL166" s="335"/>
      <c r="DM166" s="335"/>
      <c r="DN166" s="335"/>
      <c r="DO166" s="335"/>
    </row>
    <row r="167" spans="1:119" ht="35.1" customHeight="1">
      <c r="A167" s="977"/>
      <c r="B167" s="977"/>
      <c r="C167" s="977"/>
      <c r="D167" s="977"/>
      <c r="E167" s="977"/>
      <c r="F167" s="977"/>
      <c r="G167" s="977"/>
      <c r="H167" s="977"/>
      <c r="I167" s="977"/>
      <c r="J167" s="977"/>
      <c r="K167" s="977"/>
      <c r="L167" s="977"/>
      <c r="M167" s="977"/>
      <c r="N167" s="977"/>
      <c r="O167" s="977"/>
      <c r="P167" s="977"/>
      <c r="Q167" s="977"/>
      <c r="R167" s="977"/>
      <c r="S167" s="977"/>
      <c r="T167" s="977"/>
      <c r="U167" s="977"/>
      <c r="V167" s="977"/>
      <c r="W167" s="977"/>
      <c r="X167" s="977"/>
      <c r="Y167" s="977"/>
      <c r="Z167" s="977"/>
      <c r="AA167" s="977"/>
      <c r="AB167" s="977"/>
      <c r="AC167" s="977"/>
      <c r="AD167" s="977"/>
      <c r="AE167" s="977"/>
      <c r="AF167" s="977"/>
      <c r="AG167" s="977"/>
      <c r="AH167" s="977"/>
      <c r="AI167" s="977"/>
      <c r="AJ167" s="977"/>
      <c r="AK167" s="977"/>
      <c r="AL167" s="977"/>
      <c r="AM167" s="977"/>
      <c r="AN167" s="977"/>
      <c r="AO167" s="977"/>
      <c r="AP167" s="977"/>
      <c r="AQ167" s="977"/>
      <c r="AR167" s="335"/>
      <c r="AS167" s="335"/>
      <c r="AT167" s="335"/>
      <c r="AU167" s="335"/>
      <c r="AV167" s="335"/>
      <c r="AW167" s="335"/>
      <c r="AX167" s="335"/>
      <c r="AY167" s="335"/>
      <c r="AZ167" s="335"/>
      <c r="BA167" s="335"/>
      <c r="BB167" s="335"/>
      <c r="BC167" s="335"/>
      <c r="BD167" s="335"/>
      <c r="BE167" s="335"/>
      <c r="BF167" s="335"/>
      <c r="BG167" s="335"/>
      <c r="BH167" s="335"/>
      <c r="BI167" s="335"/>
      <c r="BJ167" s="335"/>
      <c r="BK167" s="335"/>
      <c r="BL167" s="335"/>
      <c r="BM167" s="335"/>
      <c r="BN167" s="335"/>
      <c r="BO167" s="335"/>
      <c r="BP167" s="335"/>
      <c r="BQ167" s="335"/>
      <c r="BR167" s="335"/>
      <c r="BS167" s="335"/>
      <c r="BT167" s="335"/>
      <c r="BU167" s="335"/>
      <c r="BV167" s="335"/>
      <c r="BW167" s="335"/>
      <c r="BX167" s="335"/>
      <c r="BY167" s="335"/>
      <c r="BZ167" s="335"/>
      <c r="CA167" s="335"/>
      <c r="CB167" s="335"/>
      <c r="CC167" s="335"/>
      <c r="CD167" s="335"/>
      <c r="CE167" s="335"/>
      <c r="CF167" s="335"/>
      <c r="CG167" s="335"/>
      <c r="CH167" s="335"/>
      <c r="CI167" s="335"/>
      <c r="CJ167" s="335"/>
      <c r="CK167" s="335"/>
      <c r="CL167" s="335"/>
      <c r="CM167" s="335"/>
      <c r="CN167" s="335"/>
      <c r="CO167" s="335"/>
      <c r="CP167" s="335"/>
      <c r="CQ167" s="335"/>
      <c r="CR167" s="335"/>
      <c r="CS167" s="335"/>
      <c r="CT167" s="335"/>
      <c r="CU167" s="335"/>
      <c r="CV167" s="335"/>
      <c r="CW167" s="335"/>
      <c r="CX167" s="335"/>
      <c r="CY167" s="335"/>
      <c r="CZ167" s="335"/>
      <c r="DA167" s="335"/>
      <c r="DB167" s="335"/>
      <c r="DC167" s="335"/>
      <c r="DD167" s="335"/>
      <c r="DE167" s="335"/>
      <c r="DF167" s="335"/>
      <c r="DG167" s="335"/>
      <c r="DH167" s="335"/>
      <c r="DI167" s="335"/>
      <c r="DJ167" s="335"/>
      <c r="DK167" s="335"/>
      <c r="DL167" s="335"/>
      <c r="DM167" s="335"/>
      <c r="DN167" s="335"/>
      <c r="DO167" s="335"/>
    </row>
    <row r="168" spans="1:119" ht="35.1" customHeight="1">
      <c r="A168" s="977"/>
      <c r="B168" s="977"/>
      <c r="C168" s="977"/>
      <c r="D168" s="977"/>
      <c r="E168" s="977"/>
      <c r="F168" s="977"/>
      <c r="G168" s="977"/>
      <c r="H168" s="977"/>
      <c r="I168" s="977"/>
      <c r="J168" s="977"/>
      <c r="K168" s="977"/>
      <c r="L168" s="977"/>
      <c r="M168" s="977"/>
      <c r="N168" s="977"/>
      <c r="O168" s="977"/>
      <c r="P168" s="977"/>
      <c r="Q168" s="977"/>
      <c r="R168" s="977"/>
      <c r="S168" s="977"/>
      <c r="T168" s="977"/>
      <c r="U168" s="977"/>
      <c r="V168" s="977"/>
      <c r="W168" s="977"/>
      <c r="X168" s="977"/>
      <c r="Y168" s="977"/>
      <c r="Z168" s="977"/>
      <c r="AA168" s="977"/>
      <c r="AB168" s="977"/>
      <c r="AC168" s="977"/>
      <c r="AD168" s="977"/>
      <c r="AE168" s="977"/>
      <c r="AF168" s="977"/>
      <c r="AG168" s="977"/>
      <c r="AH168" s="977"/>
      <c r="AI168" s="977"/>
      <c r="AJ168" s="977"/>
      <c r="AK168" s="977"/>
      <c r="AL168" s="977"/>
      <c r="AM168" s="977"/>
      <c r="AN168" s="977"/>
      <c r="AO168" s="977"/>
      <c r="AP168" s="977"/>
      <c r="AQ168" s="977"/>
      <c r="AR168" s="335"/>
      <c r="AS168" s="335"/>
      <c r="AT168" s="335"/>
      <c r="AU168" s="335"/>
      <c r="AV168" s="335"/>
      <c r="AW168" s="335"/>
      <c r="AX168" s="335"/>
      <c r="AY168" s="335"/>
      <c r="AZ168" s="335"/>
      <c r="BA168" s="335"/>
      <c r="BB168" s="335"/>
      <c r="BC168" s="335"/>
      <c r="BD168" s="335"/>
      <c r="BE168" s="335"/>
      <c r="BF168" s="335"/>
      <c r="BG168" s="335"/>
      <c r="BH168" s="335"/>
      <c r="BI168" s="335"/>
      <c r="BJ168" s="335"/>
      <c r="BK168" s="335"/>
      <c r="BL168" s="335"/>
      <c r="BM168" s="335"/>
      <c r="BN168" s="335"/>
      <c r="BO168" s="335"/>
      <c r="BP168" s="335"/>
      <c r="BQ168" s="335"/>
      <c r="BR168" s="335"/>
      <c r="BS168" s="335"/>
      <c r="BT168" s="335"/>
      <c r="BU168" s="335"/>
      <c r="BV168" s="335"/>
      <c r="BW168" s="335"/>
      <c r="BX168" s="335"/>
      <c r="BY168" s="335"/>
      <c r="BZ168" s="335"/>
      <c r="CA168" s="335"/>
      <c r="CB168" s="335"/>
      <c r="CC168" s="335"/>
      <c r="CD168" s="335"/>
      <c r="CE168" s="335"/>
      <c r="CF168" s="335"/>
      <c r="CG168" s="335"/>
      <c r="CH168" s="335"/>
      <c r="CI168" s="335"/>
      <c r="CJ168" s="335"/>
      <c r="CK168" s="335"/>
      <c r="CL168" s="335"/>
      <c r="CM168" s="335"/>
      <c r="CN168" s="335"/>
      <c r="CO168" s="335"/>
      <c r="CP168" s="335"/>
      <c r="CQ168" s="335"/>
      <c r="CR168" s="335"/>
      <c r="CS168" s="335"/>
      <c r="CT168" s="335"/>
      <c r="CU168" s="335"/>
      <c r="CV168" s="335"/>
      <c r="CW168" s="335"/>
      <c r="CX168" s="335"/>
      <c r="CY168" s="335"/>
      <c r="CZ168" s="335"/>
      <c r="DA168" s="335"/>
      <c r="DB168" s="335"/>
      <c r="DC168" s="335"/>
      <c r="DD168" s="335"/>
      <c r="DE168" s="335"/>
      <c r="DF168" s="335"/>
      <c r="DG168" s="335"/>
      <c r="DH168" s="335"/>
      <c r="DI168" s="335"/>
      <c r="DJ168" s="335"/>
      <c r="DK168" s="335"/>
      <c r="DL168" s="335"/>
      <c r="DM168" s="335"/>
      <c r="DN168" s="335"/>
      <c r="DO168" s="335"/>
    </row>
    <row r="169" spans="1:119" ht="35.1" customHeight="1">
      <c r="A169" s="977"/>
      <c r="B169" s="977"/>
      <c r="C169" s="977"/>
      <c r="D169" s="977"/>
      <c r="E169" s="977"/>
      <c r="F169" s="977"/>
      <c r="G169" s="977"/>
      <c r="H169" s="977"/>
      <c r="I169" s="977"/>
      <c r="J169" s="977"/>
      <c r="K169" s="977"/>
      <c r="L169" s="977"/>
      <c r="M169" s="977"/>
      <c r="N169" s="977"/>
      <c r="O169" s="977"/>
      <c r="P169" s="977"/>
      <c r="Q169" s="977"/>
      <c r="R169" s="977"/>
      <c r="S169" s="977"/>
      <c r="T169" s="977"/>
      <c r="U169" s="977"/>
      <c r="V169" s="977"/>
      <c r="W169" s="977"/>
      <c r="X169" s="977"/>
      <c r="Y169" s="977"/>
      <c r="Z169" s="977"/>
      <c r="AA169" s="977"/>
      <c r="AB169" s="977"/>
      <c r="AC169" s="977"/>
      <c r="AD169" s="977"/>
      <c r="AE169" s="977"/>
      <c r="AF169" s="977"/>
      <c r="AG169" s="977"/>
      <c r="AH169" s="977"/>
      <c r="AI169" s="977"/>
      <c r="AJ169" s="977"/>
      <c r="AK169" s="977"/>
      <c r="AL169" s="977"/>
      <c r="AM169" s="977"/>
      <c r="AN169" s="977"/>
      <c r="AO169" s="977"/>
      <c r="AP169" s="977"/>
      <c r="AQ169" s="977"/>
      <c r="AR169" s="335"/>
      <c r="AS169" s="335"/>
      <c r="AT169" s="335"/>
      <c r="AU169" s="335"/>
      <c r="AV169" s="335"/>
      <c r="AW169" s="335"/>
      <c r="AX169" s="335"/>
      <c r="AY169" s="335"/>
      <c r="AZ169" s="335"/>
      <c r="BA169" s="335"/>
      <c r="BB169" s="335"/>
      <c r="BC169" s="335"/>
      <c r="BD169" s="335"/>
      <c r="BE169" s="335"/>
      <c r="BF169" s="335"/>
      <c r="BG169" s="335"/>
      <c r="BH169" s="335"/>
      <c r="BI169" s="335"/>
      <c r="BJ169" s="335"/>
      <c r="BK169" s="335"/>
      <c r="BL169" s="335"/>
      <c r="BM169" s="335"/>
      <c r="BN169" s="335"/>
      <c r="BO169" s="335"/>
      <c r="BP169" s="335"/>
      <c r="BQ169" s="335"/>
      <c r="BR169" s="335"/>
      <c r="BS169" s="335"/>
      <c r="BT169" s="335"/>
      <c r="BU169" s="335"/>
      <c r="BV169" s="335"/>
      <c r="BW169" s="335"/>
      <c r="BX169" s="335"/>
      <c r="BY169" s="335"/>
      <c r="BZ169" s="335"/>
      <c r="CA169" s="335"/>
      <c r="CB169" s="335"/>
      <c r="CC169" s="335"/>
      <c r="CD169" s="335"/>
      <c r="CE169" s="335"/>
      <c r="CF169" s="335"/>
      <c r="CG169" s="335"/>
      <c r="CH169" s="335"/>
      <c r="CI169" s="335"/>
      <c r="CJ169" s="335"/>
      <c r="CK169" s="335"/>
      <c r="CL169" s="335"/>
      <c r="CM169" s="335"/>
      <c r="CN169" s="335"/>
      <c r="CO169" s="335"/>
      <c r="CP169" s="335"/>
      <c r="CQ169" s="335"/>
      <c r="CR169" s="335"/>
      <c r="CS169" s="335"/>
      <c r="CT169" s="335"/>
      <c r="CU169" s="335"/>
      <c r="CV169" s="335"/>
      <c r="CW169" s="335"/>
      <c r="CX169" s="335"/>
      <c r="CY169" s="335"/>
      <c r="CZ169" s="335"/>
      <c r="DA169" s="335"/>
      <c r="DB169" s="335"/>
      <c r="DC169" s="335"/>
      <c r="DD169" s="335"/>
      <c r="DE169" s="335"/>
      <c r="DF169" s="335"/>
      <c r="DG169" s="335"/>
      <c r="DH169" s="335"/>
      <c r="DI169" s="335"/>
      <c r="DJ169" s="335"/>
      <c r="DK169" s="335"/>
      <c r="DL169" s="335"/>
      <c r="DM169" s="335"/>
      <c r="DN169" s="335"/>
      <c r="DO169" s="335"/>
    </row>
    <row r="170" spans="1:119" ht="35.1" customHeight="1">
      <c r="A170" s="977"/>
      <c r="B170" s="977"/>
      <c r="C170" s="977"/>
      <c r="D170" s="977"/>
      <c r="E170" s="977"/>
      <c r="F170" s="977"/>
      <c r="G170" s="977"/>
      <c r="H170" s="977"/>
      <c r="I170" s="977"/>
      <c r="J170" s="977"/>
      <c r="K170" s="977"/>
      <c r="L170" s="977"/>
      <c r="M170" s="977"/>
      <c r="N170" s="977"/>
      <c r="O170" s="977"/>
      <c r="P170" s="977"/>
      <c r="Q170" s="977"/>
      <c r="R170" s="977"/>
      <c r="S170" s="977"/>
      <c r="T170" s="977"/>
      <c r="U170" s="977"/>
      <c r="V170" s="977"/>
      <c r="W170" s="977"/>
      <c r="X170" s="977"/>
      <c r="Y170" s="977"/>
      <c r="Z170" s="977"/>
      <c r="AA170" s="977"/>
      <c r="AB170" s="977"/>
      <c r="AC170" s="977"/>
      <c r="AD170" s="977"/>
      <c r="AE170" s="977"/>
      <c r="AF170" s="977"/>
      <c r="AG170" s="977"/>
      <c r="AH170" s="977"/>
      <c r="AI170" s="977"/>
      <c r="AJ170" s="977"/>
      <c r="AK170" s="977"/>
      <c r="AL170" s="977"/>
      <c r="AM170" s="977"/>
      <c r="AN170" s="977"/>
      <c r="AO170" s="977"/>
      <c r="AP170" s="977"/>
      <c r="AQ170" s="977"/>
      <c r="AR170" s="335"/>
      <c r="AS170" s="335"/>
      <c r="AT170" s="335"/>
      <c r="AU170" s="335"/>
      <c r="AV170" s="335"/>
      <c r="AW170" s="335"/>
      <c r="AX170" s="335"/>
      <c r="AY170" s="335"/>
      <c r="AZ170" s="335"/>
      <c r="BA170" s="335"/>
      <c r="BB170" s="335"/>
      <c r="BC170" s="335"/>
      <c r="BD170" s="335"/>
      <c r="BE170" s="335"/>
      <c r="BF170" s="335"/>
      <c r="BG170" s="335"/>
      <c r="BH170" s="335"/>
      <c r="BI170" s="335"/>
      <c r="BJ170" s="335"/>
      <c r="BK170" s="335"/>
      <c r="BL170" s="335"/>
      <c r="BM170" s="335"/>
      <c r="BN170" s="335"/>
      <c r="BO170" s="335"/>
      <c r="BP170" s="335"/>
      <c r="BQ170" s="335"/>
      <c r="BR170" s="335"/>
      <c r="BS170" s="335"/>
      <c r="BT170" s="335"/>
      <c r="BU170" s="335"/>
      <c r="BV170" s="335"/>
      <c r="BW170" s="335"/>
      <c r="BX170" s="335"/>
      <c r="BY170" s="335"/>
      <c r="BZ170" s="335"/>
      <c r="CA170" s="335"/>
      <c r="CB170" s="335"/>
      <c r="CC170" s="335"/>
      <c r="CD170" s="335"/>
      <c r="CE170" s="335"/>
      <c r="CF170" s="335"/>
      <c r="CG170" s="335"/>
      <c r="CH170" s="335"/>
      <c r="CI170" s="335"/>
      <c r="CJ170" s="335"/>
      <c r="CK170" s="335"/>
      <c r="CL170" s="335"/>
      <c r="CM170" s="335"/>
      <c r="CN170" s="335"/>
      <c r="CO170" s="335"/>
      <c r="CP170" s="335"/>
      <c r="CQ170" s="335"/>
      <c r="CR170" s="335"/>
      <c r="CS170" s="335"/>
      <c r="CT170" s="335"/>
      <c r="CU170" s="335"/>
      <c r="CV170" s="335"/>
      <c r="CW170" s="335"/>
      <c r="CX170" s="335"/>
      <c r="CY170" s="335"/>
      <c r="CZ170" s="335"/>
      <c r="DA170" s="335"/>
      <c r="DB170" s="335"/>
      <c r="DC170" s="335"/>
      <c r="DD170" s="335"/>
      <c r="DE170" s="335"/>
      <c r="DF170" s="335"/>
      <c r="DG170" s="335"/>
      <c r="DH170" s="335"/>
      <c r="DI170" s="335"/>
      <c r="DJ170" s="335"/>
      <c r="DK170" s="335"/>
      <c r="DL170" s="335"/>
      <c r="DM170" s="335"/>
      <c r="DN170" s="335"/>
      <c r="DO170" s="335"/>
    </row>
    <row r="171" spans="1:119" ht="35.1" customHeight="1">
      <c r="A171" s="977"/>
      <c r="B171" s="977"/>
      <c r="C171" s="977"/>
      <c r="D171" s="977"/>
      <c r="E171" s="977"/>
      <c r="F171" s="977"/>
      <c r="G171" s="977"/>
      <c r="H171" s="977"/>
      <c r="I171" s="977"/>
      <c r="J171" s="977"/>
      <c r="K171" s="977"/>
      <c r="L171" s="977"/>
      <c r="M171" s="977"/>
      <c r="N171" s="977"/>
      <c r="O171" s="977"/>
      <c r="P171" s="977"/>
      <c r="Q171" s="977"/>
      <c r="R171" s="977"/>
      <c r="S171" s="977"/>
      <c r="T171" s="977"/>
      <c r="U171" s="977"/>
      <c r="V171" s="977"/>
      <c r="W171" s="977"/>
      <c r="X171" s="977"/>
      <c r="Y171" s="977"/>
      <c r="Z171" s="977"/>
      <c r="AA171" s="977"/>
      <c r="AB171" s="977"/>
      <c r="AC171" s="977"/>
      <c r="AD171" s="977"/>
      <c r="AE171" s="977"/>
      <c r="AF171" s="977"/>
      <c r="AG171" s="977"/>
      <c r="AH171" s="977"/>
      <c r="AI171" s="977"/>
      <c r="AJ171" s="977"/>
      <c r="AK171" s="977"/>
      <c r="AL171" s="977"/>
      <c r="AM171" s="977"/>
      <c r="AN171" s="977"/>
      <c r="AO171" s="977"/>
      <c r="AP171" s="977"/>
      <c r="AQ171" s="977"/>
      <c r="AR171" s="335"/>
      <c r="AS171" s="335"/>
      <c r="AT171" s="335"/>
      <c r="AU171" s="335"/>
      <c r="AV171" s="335"/>
      <c r="AW171" s="335"/>
      <c r="AX171" s="335"/>
      <c r="AY171" s="335"/>
      <c r="AZ171" s="335"/>
      <c r="BA171" s="335"/>
      <c r="BB171" s="335"/>
      <c r="BC171" s="335"/>
      <c r="BD171" s="335"/>
      <c r="BE171" s="335"/>
      <c r="BF171" s="335"/>
      <c r="BG171" s="335"/>
      <c r="BH171" s="335"/>
      <c r="BI171" s="335"/>
      <c r="BJ171" s="335"/>
      <c r="BK171" s="335"/>
      <c r="BL171" s="335"/>
      <c r="BM171" s="335"/>
      <c r="BN171" s="335"/>
      <c r="BO171" s="335"/>
      <c r="BP171" s="335"/>
      <c r="BQ171" s="335"/>
      <c r="BR171" s="335"/>
      <c r="BS171" s="335"/>
      <c r="BT171" s="335"/>
      <c r="BU171" s="335"/>
      <c r="BV171" s="335"/>
      <c r="BW171" s="335"/>
      <c r="BX171" s="335"/>
      <c r="BY171" s="335"/>
      <c r="BZ171" s="335"/>
      <c r="CA171" s="335"/>
      <c r="CB171" s="335"/>
      <c r="CC171" s="335"/>
      <c r="CD171" s="335"/>
      <c r="CE171" s="335"/>
      <c r="CF171" s="335"/>
      <c r="CG171" s="335"/>
      <c r="CH171" s="335"/>
      <c r="CI171" s="335"/>
      <c r="CJ171" s="335"/>
      <c r="CK171" s="335"/>
      <c r="CL171" s="335"/>
      <c r="CM171" s="335"/>
      <c r="CN171" s="335"/>
      <c r="CO171" s="335"/>
      <c r="CP171" s="335"/>
      <c r="CQ171" s="335"/>
      <c r="CR171" s="335"/>
      <c r="CS171" s="335"/>
      <c r="CT171" s="335"/>
      <c r="CU171" s="335"/>
      <c r="CV171" s="335"/>
      <c r="CW171" s="335"/>
      <c r="CX171" s="335"/>
      <c r="CY171" s="335"/>
      <c r="CZ171" s="335"/>
      <c r="DA171" s="335"/>
      <c r="DB171" s="335"/>
      <c r="DC171" s="335"/>
      <c r="DD171" s="335"/>
      <c r="DE171" s="335"/>
      <c r="DF171" s="335"/>
      <c r="DG171" s="335"/>
      <c r="DH171" s="335"/>
      <c r="DI171" s="335"/>
      <c r="DJ171" s="335"/>
      <c r="DK171" s="335"/>
      <c r="DL171" s="335"/>
      <c r="DM171" s="335"/>
      <c r="DN171" s="335"/>
      <c r="DO171" s="335"/>
    </row>
    <row r="172" spans="1:119" ht="35.1" customHeight="1">
      <c r="A172" s="977"/>
      <c r="B172" s="977"/>
      <c r="C172" s="977"/>
      <c r="D172" s="977"/>
      <c r="E172" s="977"/>
      <c r="F172" s="977"/>
      <c r="G172" s="977"/>
      <c r="H172" s="977"/>
      <c r="I172" s="977"/>
      <c r="J172" s="977"/>
      <c r="K172" s="977"/>
      <c r="L172" s="977"/>
      <c r="M172" s="977"/>
      <c r="N172" s="977"/>
      <c r="O172" s="977"/>
      <c r="P172" s="977"/>
      <c r="Q172" s="977"/>
      <c r="R172" s="977"/>
      <c r="S172" s="977"/>
      <c r="T172" s="977"/>
      <c r="U172" s="977"/>
      <c r="V172" s="977"/>
      <c r="W172" s="977"/>
      <c r="X172" s="977"/>
      <c r="Y172" s="977"/>
      <c r="Z172" s="977"/>
      <c r="AA172" s="977"/>
      <c r="AB172" s="977"/>
      <c r="AC172" s="977"/>
      <c r="AD172" s="977"/>
      <c r="AE172" s="977"/>
      <c r="AF172" s="977"/>
      <c r="AG172" s="977"/>
      <c r="AH172" s="977"/>
      <c r="AI172" s="977"/>
      <c r="AJ172" s="977"/>
      <c r="AK172" s="977"/>
      <c r="AL172" s="977"/>
      <c r="AM172" s="977"/>
      <c r="AN172" s="977"/>
      <c r="AO172" s="977"/>
      <c r="AP172" s="977"/>
      <c r="AQ172" s="977"/>
      <c r="AR172" s="335"/>
      <c r="AS172" s="335"/>
      <c r="AT172" s="335"/>
      <c r="AU172" s="335"/>
      <c r="AV172" s="335"/>
      <c r="AW172" s="335"/>
      <c r="AX172" s="335"/>
      <c r="AY172" s="335"/>
      <c r="AZ172" s="335"/>
      <c r="BA172" s="335"/>
      <c r="BB172" s="335"/>
      <c r="BC172" s="335"/>
      <c r="BD172" s="335"/>
      <c r="BE172" s="335"/>
      <c r="BF172" s="335"/>
      <c r="BG172" s="335"/>
      <c r="BH172" s="335"/>
      <c r="BI172" s="335"/>
      <c r="BJ172" s="335"/>
      <c r="BK172" s="335"/>
      <c r="BL172" s="335"/>
      <c r="BM172" s="335"/>
      <c r="BN172" s="335"/>
      <c r="BO172" s="335"/>
      <c r="BP172" s="335"/>
      <c r="BQ172" s="335"/>
      <c r="BR172" s="335"/>
      <c r="BS172" s="335"/>
      <c r="BT172" s="335"/>
      <c r="BU172" s="335"/>
      <c r="BV172" s="335"/>
      <c r="BW172" s="335"/>
      <c r="BX172" s="335"/>
      <c r="BY172" s="335"/>
      <c r="BZ172" s="335"/>
      <c r="CA172" s="335"/>
      <c r="CB172" s="335"/>
      <c r="CC172" s="335"/>
      <c r="CD172" s="335"/>
      <c r="CE172" s="335"/>
      <c r="CF172" s="335"/>
      <c r="CG172" s="335"/>
      <c r="CH172" s="335"/>
      <c r="CI172" s="335"/>
      <c r="CJ172" s="335"/>
      <c r="CK172" s="335"/>
      <c r="CL172" s="335"/>
      <c r="CM172" s="335"/>
      <c r="CN172" s="335"/>
      <c r="CO172" s="335"/>
      <c r="CP172" s="335"/>
      <c r="CQ172" s="335"/>
      <c r="CR172" s="335"/>
      <c r="CS172" s="335"/>
      <c r="CT172" s="335"/>
      <c r="CU172" s="335"/>
      <c r="CV172" s="335"/>
      <c r="CW172" s="335"/>
      <c r="CX172" s="335"/>
      <c r="CY172" s="335"/>
      <c r="CZ172" s="335"/>
      <c r="DA172" s="335"/>
      <c r="DB172" s="335"/>
      <c r="DC172" s="335"/>
      <c r="DD172" s="335"/>
      <c r="DE172" s="335"/>
      <c r="DF172" s="335"/>
      <c r="DG172" s="335"/>
      <c r="DH172" s="335"/>
      <c r="DI172" s="335"/>
      <c r="DJ172" s="335"/>
      <c r="DK172" s="335"/>
      <c r="DL172" s="335"/>
      <c r="DM172" s="335"/>
      <c r="DN172" s="335"/>
      <c r="DO172" s="335"/>
    </row>
    <row r="173" spans="1:119" ht="35.1" customHeight="1">
      <c r="A173" s="977"/>
      <c r="B173" s="977"/>
      <c r="C173" s="977"/>
      <c r="D173" s="977"/>
      <c r="E173" s="977"/>
      <c r="F173" s="977"/>
      <c r="G173" s="977"/>
      <c r="H173" s="977"/>
      <c r="I173" s="977"/>
      <c r="J173" s="977"/>
      <c r="K173" s="977"/>
      <c r="L173" s="977"/>
      <c r="M173" s="977"/>
      <c r="N173" s="977"/>
      <c r="O173" s="977"/>
      <c r="P173" s="977"/>
      <c r="Q173" s="977"/>
      <c r="R173" s="977"/>
      <c r="S173" s="977"/>
      <c r="T173" s="977"/>
      <c r="U173" s="977"/>
      <c r="V173" s="977"/>
      <c r="W173" s="977"/>
      <c r="X173" s="977"/>
      <c r="Y173" s="977"/>
      <c r="Z173" s="977"/>
      <c r="AA173" s="977"/>
      <c r="AB173" s="977"/>
      <c r="AC173" s="977"/>
      <c r="AD173" s="977"/>
      <c r="AE173" s="977"/>
      <c r="AF173" s="977"/>
      <c r="AG173" s="977"/>
      <c r="AH173" s="977"/>
      <c r="AI173" s="977"/>
      <c r="AJ173" s="977"/>
      <c r="AK173" s="977"/>
      <c r="AL173" s="977"/>
      <c r="AM173" s="977"/>
      <c r="AN173" s="977"/>
      <c r="AO173" s="977"/>
      <c r="AP173" s="977"/>
      <c r="AQ173" s="977"/>
      <c r="AR173" s="335"/>
      <c r="AS173" s="335"/>
      <c r="AT173" s="335"/>
      <c r="AU173" s="335"/>
      <c r="AV173" s="335"/>
      <c r="AW173" s="335"/>
      <c r="AX173" s="335"/>
      <c r="AY173" s="335"/>
      <c r="AZ173" s="335"/>
      <c r="BA173" s="335"/>
      <c r="BB173" s="335"/>
      <c r="BC173" s="335"/>
      <c r="BD173" s="335"/>
      <c r="BE173" s="335"/>
      <c r="BF173" s="335"/>
      <c r="BG173" s="335"/>
      <c r="BH173" s="335"/>
      <c r="BI173" s="335"/>
      <c r="BJ173" s="335"/>
      <c r="BK173" s="335"/>
      <c r="BL173" s="335"/>
      <c r="BM173" s="335"/>
      <c r="BN173" s="335"/>
      <c r="BO173" s="335"/>
      <c r="BP173" s="335"/>
      <c r="BQ173" s="335"/>
      <c r="BR173" s="335"/>
      <c r="BS173" s="335"/>
      <c r="BT173" s="335"/>
      <c r="BU173" s="335"/>
      <c r="BV173" s="335"/>
      <c r="BW173" s="335"/>
      <c r="BX173" s="335"/>
      <c r="BY173" s="335"/>
      <c r="BZ173" s="335"/>
      <c r="CA173" s="335"/>
      <c r="CB173" s="335"/>
      <c r="CC173" s="335"/>
      <c r="CD173" s="335"/>
      <c r="CE173" s="335"/>
      <c r="CF173" s="335"/>
      <c r="CG173" s="335"/>
      <c r="CH173" s="335"/>
      <c r="CI173" s="335"/>
      <c r="CJ173" s="335"/>
      <c r="CK173" s="335"/>
      <c r="CL173" s="335"/>
      <c r="CM173" s="335"/>
      <c r="CN173" s="335"/>
      <c r="CO173" s="335"/>
      <c r="CP173" s="335"/>
      <c r="CQ173" s="335"/>
      <c r="CR173" s="335"/>
      <c r="CS173" s="335"/>
      <c r="CT173" s="335"/>
      <c r="CU173" s="335"/>
      <c r="CV173" s="335"/>
      <c r="CW173" s="335"/>
      <c r="CX173" s="335"/>
      <c r="CY173" s="335"/>
      <c r="CZ173" s="335"/>
      <c r="DA173" s="335"/>
      <c r="DB173" s="335"/>
      <c r="DC173" s="335"/>
      <c r="DD173" s="335"/>
      <c r="DE173" s="335"/>
      <c r="DF173" s="335"/>
      <c r="DG173" s="335"/>
      <c r="DH173" s="335"/>
      <c r="DI173" s="335"/>
      <c r="DJ173" s="335"/>
      <c r="DK173" s="335"/>
      <c r="DL173" s="335"/>
      <c r="DM173" s="335"/>
      <c r="DN173" s="335"/>
      <c r="DO173" s="335"/>
    </row>
    <row r="174" spans="1:119" ht="35.1" customHeight="1">
      <c r="A174" s="977"/>
      <c r="B174" s="977"/>
      <c r="C174" s="977"/>
      <c r="D174" s="977"/>
      <c r="E174" s="977"/>
      <c r="F174" s="977"/>
      <c r="G174" s="977"/>
      <c r="H174" s="977"/>
      <c r="I174" s="977"/>
      <c r="J174" s="977"/>
      <c r="K174" s="977"/>
      <c r="L174" s="977"/>
      <c r="M174" s="977"/>
      <c r="N174" s="977"/>
      <c r="O174" s="977"/>
      <c r="P174" s="977"/>
      <c r="Q174" s="977"/>
      <c r="R174" s="977"/>
      <c r="S174" s="977"/>
      <c r="T174" s="977"/>
      <c r="U174" s="977"/>
      <c r="V174" s="977"/>
      <c r="W174" s="977"/>
      <c r="X174" s="977"/>
      <c r="Y174" s="977"/>
      <c r="Z174" s="977"/>
      <c r="AA174" s="977"/>
      <c r="AB174" s="977"/>
      <c r="AC174" s="977"/>
      <c r="AD174" s="977"/>
      <c r="AE174" s="977"/>
      <c r="AF174" s="977"/>
      <c r="AG174" s="977"/>
      <c r="AH174" s="977"/>
      <c r="AI174" s="977"/>
      <c r="AJ174" s="977"/>
      <c r="AK174" s="977"/>
      <c r="AL174" s="977"/>
      <c r="AM174" s="977"/>
      <c r="AN174" s="977"/>
      <c r="AO174" s="977"/>
      <c r="AP174" s="977"/>
      <c r="AQ174" s="977"/>
      <c r="AR174" s="335"/>
      <c r="AS174" s="335"/>
      <c r="AT174" s="335"/>
      <c r="AU174" s="335"/>
      <c r="AV174" s="335"/>
      <c r="AW174" s="335"/>
      <c r="AX174" s="335"/>
      <c r="AY174" s="335"/>
      <c r="AZ174" s="335"/>
      <c r="BA174" s="335"/>
      <c r="BB174" s="335"/>
      <c r="BC174" s="335"/>
      <c r="BD174" s="335"/>
      <c r="BE174" s="335"/>
      <c r="BF174" s="335"/>
      <c r="BG174" s="335"/>
      <c r="BH174" s="335"/>
      <c r="BI174" s="335"/>
      <c r="BJ174" s="335"/>
      <c r="BK174" s="335"/>
      <c r="BL174" s="335"/>
      <c r="BM174" s="335"/>
      <c r="BN174" s="335"/>
      <c r="BO174" s="335"/>
      <c r="BP174" s="335"/>
      <c r="BQ174" s="335"/>
      <c r="BR174" s="335"/>
      <c r="BS174" s="335"/>
      <c r="BT174" s="335"/>
      <c r="BU174" s="335"/>
      <c r="BV174" s="335"/>
      <c r="BW174" s="335"/>
      <c r="BX174" s="335"/>
      <c r="BY174" s="335"/>
      <c r="BZ174" s="335"/>
      <c r="CA174" s="335"/>
      <c r="CB174" s="335"/>
      <c r="CC174" s="335"/>
      <c r="CD174" s="335"/>
      <c r="CE174" s="335"/>
      <c r="CF174" s="335"/>
      <c r="CG174" s="335"/>
      <c r="CH174" s="335"/>
      <c r="CI174" s="335"/>
      <c r="CJ174" s="335"/>
      <c r="CK174" s="335"/>
      <c r="CL174" s="335"/>
      <c r="CM174" s="335"/>
      <c r="CN174" s="335"/>
      <c r="CO174" s="335"/>
      <c r="CP174" s="335"/>
      <c r="CQ174" s="335"/>
      <c r="CR174" s="335"/>
      <c r="CS174" s="335"/>
      <c r="CT174" s="335"/>
      <c r="CU174" s="335"/>
      <c r="CV174" s="335"/>
      <c r="CW174" s="335"/>
      <c r="CX174" s="335"/>
      <c r="CY174" s="335"/>
      <c r="CZ174" s="335"/>
      <c r="DA174" s="335"/>
      <c r="DB174" s="335"/>
      <c r="DC174" s="335"/>
      <c r="DD174" s="335"/>
      <c r="DE174" s="335"/>
      <c r="DF174" s="335"/>
      <c r="DG174" s="335"/>
      <c r="DH174" s="335"/>
      <c r="DI174" s="335"/>
      <c r="DJ174" s="335"/>
      <c r="DK174" s="335"/>
      <c r="DL174" s="335"/>
      <c r="DM174" s="335"/>
      <c r="DN174" s="335"/>
      <c r="DO174" s="335"/>
    </row>
    <row r="175" spans="1:119" ht="35.1" customHeight="1">
      <c r="A175" s="977"/>
      <c r="B175" s="977"/>
      <c r="C175" s="977"/>
      <c r="D175" s="977"/>
      <c r="E175" s="977"/>
      <c r="F175" s="977"/>
      <c r="G175" s="977"/>
      <c r="H175" s="977"/>
      <c r="I175" s="977"/>
      <c r="J175" s="977"/>
      <c r="K175" s="977"/>
      <c r="L175" s="977"/>
      <c r="M175" s="977"/>
      <c r="N175" s="977"/>
      <c r="O175" s="977"/>
      <c r="P175" s="977"/>
      <c r="Q175" s="977"/>
      <c r="R175" s="977"/>
      <c r="S175" s="977"/>
      <c r="T175" s="977"/>
      <c r="U175" s="977"/>
      <c r="V175" s="977"/>
      <c r="W175" s="977"/>
      <c r="X175" s="977"/>
      <c r="Y175" s="977"/>
      <c r="Z175" s="977"/>
      <c r="AA175" s="977"/>
      <c r="AB175" s="977"/>
      <c r="AC175" s="977"/>
      <c r="AD175" s="977"/>
      <c r="AE175" s="977"/>
      <c r="AF175" s="977"/>
      <c r="AG175" s="977"/>
      <c r="AH175" s="977"/>
      <c r="AI175" s="977"/>
      <c r="AJ175" s="977"/>
      <c r="AK175" s="977"/>
      <c r="AL175" s="977"/>
      <c r="AM175" s="977"/>
      <c r="AN175" s="977"/>
      <c r="AO175" s="977"/>
      <c r="AP175" s="977"/>
      <c r="AQ175" s="977"/>
      <c r="AR175" s="335"/>
      <c r="AS175" s="335"/>
      <c r="AT175" s="335"/>
      <c r="AU175" s="335"/>
      <c r="AV175" s="335"/>
      <c r="AW175" s="335"/>
      <c r="AX175" s="335"/>
      <c r="AY175" s="335"/>
      <c r="AZ175" s="335"/>
      <c r="BA175" s="335"/>
      <c r="BB175" s="335"/>
      <c r="BC175" s="335"/>
      <c r="BD175" s="335"/>
      <c r="BE175" s="335"/>
      <c r="BF175" s="335"/>
      <c r="BG175" s="335"/>
      <c r="BH175" s="335"/>
      <c r="BI175" s="335"/>
      <c r="BJ175" s="335"/>
      <c r="BK175" s="335"/>
      <c r="BL175" s="335"/>
      <c r="BM175" s="335"/>
      <c r="BN175" s="335"/>
      <c r="BO175" s="335"/>
      <c r="BP175" s="335"/>
      <c r="BQ175" s="335"/>
      <c r="BR175" s="335"/>
      <c r="BS175" s="335"/>
      <c r="BT175" s="335"/>
      <c r="BU175" s="335"/>
      <c r="BV175" s="335"/>
      <c r="BW175" s="335"/>
      <c r="BX175" s="335"/>
      <c r="BY175" s="335"/>
      <c r="BZ175" s="335"/>
      <c r="CA175" s="335"/>
      <c r="CB175" s="335"/>
      <c r="CC175" s="335"/>
      <c r="CD175" s="335"/>
      <c r="CE175" s="335"/>
      <c r="CF175" s="335"/>
      <c r="CG175" s="335"/>
      <c r="CH175" s="335"/>
      <c r="CI175" s="335"/>
      <c r="CJ175" s="335"/>
      <c r="CK175" s="335"/>
      <c r="CL175" s="335"/>
      <c r="CM175" s="335"/>
      <c r="CN175" s="335"/>
      <c r="CO175" s="335"/>
      <c r="CP175" s="335"/>
      <c r="CQ175" s="335"/>
      <c r="CR175" s="335"/>
      <c r="CS175" s="335"/>
      <c r="CT175" s="335"/>
      <c r="CU175" s="335"/>
      <c r="CV175" s="335"/>
      <c r="CW175" s="335"/>
      <c r="CX175" s="335"/>
      <c r="CY175" s="335"/>
      <c r="CZ175" s="335"/>
      <c r="DA175" s="335"/>
      <c r="DB175" s="335"/>
      <c r="DC175" s="335"/>
      <c r="DD175" s="335"/>
      <c r="DE175" s="335"/>
      <c r="DF175" s="335"/>
      <c r="DG175" s="335"/>
      <c r="DH175" s="335"/>
      <c r="DI175" s="335"/>
      <c r="DJ175" s="335"/>
      <c r="DK175" s="335"/>
      <c r="DL175" s="335"/>
      <c r="DM175" s="335"/>
      <c r="DN175" s="335"/>
      <c r="DO175" s="335"/>
    </row>
    <row r="176" spans="1:119" ht="35.1" customHeight="1">
      <c r="A176" s="977"/>
      <c r="B176" s="977"/>
      <c r="C176" s="977"/>
      <c r="D176" s="977"/>
      <c r="E176" s="977"/>
      <c r="F176" s="977"/>
      <c r="G176" s="977"/>
      <c r="H176" s="977"/>
      <c r="I176" s="977"/>
      <c r="J176" s="977"/>
      <c r="K176" s="977"/>
      <c r="L176" s="977"/>
      <c r="M176" s="977"/>
      <c r="N176" s="977"/>
      <c r="O176" s="977"/>
      <c r="P176" s="977"/>
      <c r="Q176" s="977"/>
      <c r="R176" s="977"/>
      <c r="S176" s="977"/>
      <c r="T176" s="977"/>
      <c r="U176" s="977"/>
      <c r="V176" s="977"/>
      <c r="W176" s="977"/>
      <c r="X176" s="977"/>
      <c r="Y176" s="977"/>
      <c r="Z176" s="977"/>
      <c r="AA176" s="977"/>
      <c r="AB176" s="977"/>
      <c r="AC176" s="977"/>
      <c r="AD176" s="977"/>
      <c r="AE176" s="977"/>
      <c r="AF176" s="977"/>
      <c r="AG176" s="977"/>
      <c r="AH176" s="977"/>
      <c r="AI176" s="977"/>
      <c r="AJ176" s="977"/>
      <c r="AK176" s="977"/>
      <c r="AL176" s="977"/>
      <c r="AM176" s="977"/>
      <c r="AN176" s="977"/>
      <c r="AO176" s="977"/>
      <c r="AP176" s="977"/>
      <c r="AQ176" s="977"/>
      <c r="AR176" s="335"/>
      <c r="AS176" s="335"/>
      <c r="AT176" s="335"/>
      <c r="AU176" s="335"/>
      <c r="AV176" s="335"/>
      <c r="AW176" s="335"/>
      <c r="AX176" s="335"/>
      <c r="AY176" s="335"/>
      <c r="AZ176" s="335"/>
      <c r="BA176" s="335"/>
      <c r="BB176" s="335"/>
      <c r="BC176" s="335"/>
      <c r="BD176" s="335"/>
      <c r="BE176" s="335"/>
      <c r="BF176" s="335"/>
      <c r="BG176" s="335"/>
      <c r="BH176" s="335"/>
      <c r="BI176" s="335"/>
      <c r="BJ176" s="335"/>
      <c r="BK176" s="335"/>
      <c r="BL176" s="335"/>
      <c r="BM176" s="335"/>
      <c r="BN176" s="335"/>
      <c r="BO176" s="335"/>
      <c r="BP176" s="335"/>
      <c r="BQ176" s="335"/>
      <c r="BR176" s="335"/>
      <c r="BS176" s="335"/>
      <c r="BT176" s="335"/>
      <c r="BU176" s="335"/>
      <c r="BV176" s="335"/>
      <c r="BW176" s="335"/>
      <c r="BX176" s="335"/>
      <c r="BY176" s="335"/>
      <c r="BZ176" s="335"/>
      <c r="CA176" s="335"/>
      <c r="CB176" s="335"/>
      <c r="CC176" s="335"/>
      <c r="CD176" s="335"/>
      <c r="CE176" s="335"/>
      <c r="CF176" s="335"/>
      <c r="CG176" s="335"/>
      <c r="CH176" s="335"/>
      <c r="CI176" s="335"/>
      <c r="CJ176" s="335"/>
      <c r="CK176" s="335"/>
      <c r="CL176" s="335"/>
      <c r="CM176" s="335"/>
      <c r="CN176" s="335"/>
      <c r="CO176" s="335"/>
      <c r="CP176" s="335"/>
      <c r="CQ176" s="335"/>
      <c r="CR176" s="335"/>
      <c r="CS176" s="335"/>
      <c r="CT176" s="335"/>
      <c r="CU176" s="335"/>
      <c r="CV176" s="335"/>
      <c r="CW176" s="335"/>
      <c r="CX176" s="335"/>
      <c r="CY176" s="335"/>
      <c r="CZ176" s="335"/>
      <c r="DA176" s="335"/>
      <c r="DB176" s="335"/>
      <c r="DC176" s="335"/>
      <c r="DD176" s="335"/>
      <c r="DE176" s="335"/>
      <c r="DF176" s="335"/>
      <c r="DG176" s="335"/>
      <c r="DH176" s="335"/>
      <c r="DI176" s="335"/>
      <c r="DJ176" s="335"/>
      <c r="DK176" s="335"/>
      <c r="DL176" s="335"/>
      <c r="DM176" s="335"/>
      <c r="DN176" s="335"/>
      <c r="DO176" s="335"/>
    </row>
    <row r="177" spans="1:119" ht="35.1" customHeight="1">
      <c r="A177" s="977"/>
      <c r="B177" s="977"/>
      <c r="C177" s="977"/>
      <c r="D177" s="977"/>
      <c r="E177" s="977"/>
      <c r="F177" s="977"/>
      <c r="G177" s="977"/>
      <c r="H177" s="977"/>
      <c r="I177" s="977"/>
      <c r="J177" s="977"/>
      <c r="K177" s="977"/>
      <c r="L177" s="977"/>
      <c r="M177" s="977"/>
      <c r="N177" s="977"/>
      <c r="O177" s="977"/>
      <c r="P177" s="977"/>
      <c r="Q177" s="977"/>
      <c r="R177" s="977"/>
      <c r="S177" s="977"/>
      <c r="T177" s="977"/>
      <c r="U177" s="977"/>
      <c r="V177" s="977"/>
      <c r="W177" s="977"/>
      <c r="X177" s="977"/>
      <c r="Y177" s="977"/>
      <c r="Z177" s="977"/>
      <c r="AA177" s="977"/>
      <c r="AB177" s="977"/>
      <c r="AC177" s="977"/>
      <c r="AD177" s="977"/>
      <c r="AE177" s="977"/>
      <c r="AF177" s="977"/>
      <c r="AG177" s="977"/>
      <c r="AH177" s="977"/>
      <c r="AI177" s="977"/>
      <c r="AJ177" s="977"/>
      <c r="AK177" s="977"/>
      <c r="AL177" s="977"/>
      <c r="AM177" s="977"/>
      <c r="AN177" s="977"/>
      <c r="AO177" s="977"/>
      <c r="AP177" s="977"/>
      <c r="AQ177" s="977"/>
      <c r="AR177" s="335"/>
      <c r="AS177" s="335"/>
      <c r="AT177" s="335"/>
      <c r="AU177" s="335"/>
      <c r="AV177" s="335"/>
      <c r="AW177" s="335"/>
      <c r="AX177" s="335"/>
      <c r="AY177" s="335"/>
      <c r="AZ177" s="335"/>
      <c r="BA177" s="335"/>
      <c r="BB177" s="335"/>
      <c r="BC177" s="335"/>
      <c r="BD177" s="335"/>
      <c r="BE177" s="335"/>
      <c r="BF177" s="335"/>
      <c r="BG177" s="335"/>
      <c r="BH177" s="335"/>
      <c r="BI177" s="335"/>
      <c r="BJ177" s="335"/>
      <c r="BK177" s="335"/>
      <c r="BL177" s="335"/>
      <c r="BM177" s="335"/>
      <c r="BN177" s="335"/>
      <c r="BO177" s="335"/>
      <c r="BP177" s="335"/>
      <c r="BQ177" s="335"/>
      <c r="BR177" s="335"/>
      <c r="BS177" s="335"/>
      <c r="BT177" s="335"/>
      <c r="BU177" s="335"/>
      <c r="BV177" s="335"/>
      <c r="BW177" s="335"/>
      <c r="BX177" s="335"/>
      <c r="BY177" s="335"/>
      <c r="BZ177" s="335"/>
      <c r="CA177" s="335"/>
      <c r="CB177" s="335"/>
      <c r="CC177" s="335"/>
      <c r="CD177" s="335"/>
      <c r="CE177" s="335"/>
      <c r="CF177" s="335"/>
      <c r="CG177" s="335"/>
      <c r="CH177" s="335"/>
      <c r="CI177" s="335"/>
      <c r="CJ177" s="335"/>
      <c r="CK177" s="335"/>
      <c r="CL177" s="335"/>
      <c r="CM177" s="335"/>
      <c r="CN177" s="335"/>
      <c r="CO177" s="335"/>
      <c r="CP177" s="335"/>
      <c r="CQ177" s="335"/>
      <c r="CR177" s="335"/>
      <c r="CS177" s="335"/>
      <c r="CT177" s="335"/>
      <c r="CU177" s="335"/>
      <c r="CV177" s="335"/>
      <c r="CW177" s="335"/>
      <c r="CX177" s="335"/>
      <c r="CY177" s="335"/>
      <c r="CZ177" s="335"/>
      <c r="DA177" s="335"/>
      <c r="DB177" s="335"/>
      <c r="DC177" s="335"/>
      <c r="DD177" s="335"/>
      <c r="DE177" s="335"/>
      <c r="DF177" s="335"/>
      <c r="DG177" s="335"/>
      <c r="DH177" s="335"/>
      <c r="DI177" s="335"/>
      <c r="DJ177" s="335"/>
      <c r="DK177" s="335"/>
      <c r="DL177" s="335"/>
      <c r="DM177" s="335"/>
      <c r="DN177" s="335"/>
      <c r="DO177" s="335"/>
    </row>
    <row r="178" spans="1:119" ht="35.1" customHeight="1">
      <c r="A178" s="977"/>
      <c r="B178" s="977"/>
      <c r="C178" s="977"/>
      <c r="D178" s="977"/>
      <c r="E178" s="977"/>
      <c r="F178" s="977"/>
      <c r="G178" s="977"/>
      <c r="H178" s="977"/>
      <c r="I178" s="977"/>
      <c r="J178" s="977"/>
      <c r="K178" s="977"/>
      <c r="L178" s="977"/>
      <c r="M178" s="977"/>
      <c r="N178" s="977"/>
      <c r="O178" s="977"/>
      <c r="P178" s="977"/>
      <c r="Q178" s="977"/>
      <c r="R178" s="977"/>
      <c r="S178" s="977"/>
      <c r="T178" s="977"/>
      <c r="U178" s="977"/>
      <c r="V178" s="977"/>
      <c r="W178" s="977"/>
      <c r="X178" s="977"/>
      <c r="Y178" s="977"/>
      <c r="Z178" s="977"/>
      <c r="AA178" s="977"/>
      <c r="AB178" s="977"/>
      <c r="AC178" s="977"/>
      <c r="AD178" s="977"/>
      <c r="AE178" s="977"/>
      <c r="AF178" s="977"/>
      <c r="AG178" s="977"/>
      <c r="AH178" s="977"/>
      <c r="AI178" s="977"/>
      <c r="AJ178" s="977"/>
      <c r="AK178" s="977"/>
      <c r="AL178" s="977"/>
      <c r="AM178" s="977"/>
      <c r="AN178" s="977"/>
      <c r="AO178" s="977"/>
      <c r="AP178" s="977"/>
      <c r="AQ178" s="977"/>
      <c r="AR178" s="335"/>
      <c r="AS178" s="335"/>
      <c r="AT178" s="335"/>
      <c r="AU178" s="335"/>
      <c r="AV178" s="335"/>
      <c r="AW178" s="335"/>
      <c r="AX178" s="335"/>
      <c r="AY178" s="335"/>
      <c r="AZ178" s="335"/>
      <c r="BA178" s="335"/>
      <c r="BB178" s="335"/>
      <c r="BC178" s="335"/>
      <c r="BD178" s="335"/>
      <c r="BE178" s="335"/>
      <c r="BF178" s="335"/>
      <c r="BG178" s="335"/>
      <c r="BH178" s="335"/>
      <c r="BI178" s="335"/>
      <c r="BJ178" s="335"/>
      <c r="BK178" s="335"/>
      <c r="BL178" s="335"/>
      <c r="BM178" s="335"/>
      <c r="BN178" s="335"/>
      <c r="BO178" s="335"/>
      <c r="BP178" s="335"/>
      <c r="BQ178" s="335"/>
      <c r="BR178" s="335"/>
      <c r="BS178" s="335"/>
      <c r="BT178" s="335"/>
      <c r="BU178" s="335"/>
      <c r="BV178" s="335"/>
      <c r="BW178" s="335"/>
      <c r="BX178" s="335"/>
      <c r="BY178" s="335"/>
      <c r="BZ178" s="335"/>
      <c r="CA178" s="335"/>
      <c r="CB178" s="335"/>
      <c r="CC178" s="335"/>
      <c r="CD178" s="335"/>
      <c r="CE178" s="335"/>
      <c r="CF178" s="335"/>
      <c r="CG178" s="335"/>
      <c r="CH178" s="335"/>
      <c r="CI178" s="335"/>
      <c r="CJ178" s="335"/>
      <c r="CK178" s="335"/>
      <c r="CL178" s="335"/>
      <c r="CM178" s="335"/>
      <c r="CN178" s="335"/>
      <c r="CO178" s="335"/>
      <c r="CP178" s="335"/>
      <c r="CQ178" s="335"/>
      <c r="CR178" s="335"/>
      <c r="CS178" s="335"/>
      <c r="CT178" s="335"/>
      <c r="CU178" s="335"/>
      <c r="CV178" s="335"/>
      <c r="CW178" s="335"/>
      <c r="CX178" s="335"/>
      <c r="CY178" s="335"/>
      <c r="CZ178" s="335"/>
      <c r="DA178" s="335"/>
      <c r="DB178" s="335"/>
      <c r="DC178" s="335"/>
      <c r="DD178" s="335"/>
      <c r="DE178" s="335"/>
      <c r="DF178" s="335"/>
      <c r="DG178" s="335"/>
      <c r="DH178" s="335"/>
      <c r="DI178" s="335"/>
      <c r="DJ178" s="335"/>
      <c r="DK178" s="335"/>
      <c r="DL178" s="335"/>
      <c r="DM178" s="335"/>
      <c r="DN178" s="335"/>
      <c r="DO178" s="335"/>
    </row>
    <row r="179" spans="1:119" ht="35.1" customHeight="1">
      <c r="A179" s="977"/>
      <c r="B179" s="977"/>
      <c r="C179" s="977"/>
      <c r="D179" s="977"/>
      <c r="E179" s="977"/>
      <c r="F179" s="977"/>
      <c r="G179" s="977"/>
      <c r="H179" s="977"/>
      <c r="I179" s="977"/>
      <c r="J179" s="977"/>
      <c r="K179" s="977"/>
      <c r="L179" s="977"/>
      <c r="M179" s="977"/>
      <c r="N179" s="977"/>
      <c r="O179" s="977"/>
      <c r="P179" s="977"/>
      <c r="Q179" s="977"/>
      <c r="R179" s="977"/>
      <c r="S179" s="977"/>
      <c r="T179" s="977"/>
      <c r="U179" s="977"/>
      <c r="V179" s="977"/>
      <c r="W179" s="977"/>
      <c r="X179" s="977"/>
      <c r="Y179" s="977"/>
      <c r="Z179" s="977"/>
      <c r="AA179" s="977"/>
      <c r="AB179" s="977"/>
      <c r="AC179" s="977"/>
      <c r="AD179" s="977"/>
      <c r="AE179" s="977"/>
      <c r="AF179" s="977"/>
      <c r="AG179" s="977"/>
      <c r="AH179" s="977"/>
      <c r="AI179" s="977"/>
      <c r="AJ179" s="977"/>
      <c r="AK179" s="977"/>
      <c r="AL179" s="977"/>
      <c r="AM179" s="977"/>
      <c r="AN179" s="977"/>
      <c r="AO179" s="977"/>
      <c r="AP179" s="977"/>
      <c r="AQ179" s="977"/>
      <c r="AR179" s="335"/>
      <c r="AS179" s="335"/>
      <c r="AT179" s="335"/>
      <c r="AU179" s="335"/>
      <c r="AV179" s="335"/>
      <c r="AW179" s="335"/>
      <c r="AX179" s="335"/>
      <c r="AY179" s="335"/>
      <c r="AZ179" s="335"/>
      <c r="BA179" s="335"/>
      <c r="BB179" s="335"/>
      <c r="BC179" s="335"/>
      <c r="BD179" s="335"/>
      <c r="BE179" s="335"/>
      <c r="BF179" s="335"/>
      <c r="BG179" s="335"/>
      <c r="BH179" s="335"/>
      <c r="BI179" s="335"/>
      <c r="BJ179" s="335"/>
      <c r="BK179" s="335"/>
      <c r="BL179" s="335"/>
      <c r="BM179" s="335"/>
      <c r="BN179" s="335"/>
      <c r="BO179" s="335"/>
      <c r="BP179" s="335"/>
      <c r="BQ179" s="335"/>
      <c r="BR179" s="335"/>
      <c r="BS179" s="335"/>
      <c r="BT179" s="335"/>
      <c r="BU179" s="335"/>
      <c r="BV179" s="335"/>
      <c r="BW179" s="335"/>
      <c r="BX179" s="335"/>
      <c r="BY179" s="335"/>
      <c r="BZ179" s="335"/>
      <c r="CA179" s="335"/>
      <c r="CB179" s="335"/>
      <c r="CC179" s="335"/>
      <c r="CD179" s="335"/>
      <c r="CE179" s="335"/>
      <c r="CF179" s="335"/>
      <c r="CG179" s="335"/>
      <c r="CH179" s="335"/>
      <c r="CI179" s="335"/>
      <c r="CJ179" s="335"/>
      <c r="CK179" s="335"/>
      <c r="CL179" s="335"/>
      <c r="CM179" s="335"/>
      <c r="CN179" s="335"/>
      <c r="CO179" s="335"/>
      <c r="CP179" s="335"/>
      <c r="CQ179" s="335"/>
      <c r="CR179" s="335"/>
      <c r="CS179" s="335"/>
      <c r="CT179" s="335"/>
      <c r="CU179" s="335"/>
      <c r="CV179" s="335"/>
      <c r="CW179" s="335"/>
      <c r="CX179" s="335"/>
      <c r="CY179" s="335"/>
      <c r="CZ179" s="335"/>
      <c r="DA179" s="335"/>
      <c r="DB179" s="335"/>
      <c r="DC179" s="335"/>
      <c r="DD179" s="335"/>
      <c r="DE179" s="335"/>
      <c r="DF179" s="335"/>
      <c r="DG179" s="335"/>
      <c r="DH179" s="335"/>
      <c r="DI179" s="335"/>
      <c r="DJ179" s="335"/>
      <c r="DK179" s="335"/>
      <c r="DL179" s="335"/>
      <c r="DM179" s="335"/>
      <c r="DN179" s="335"/>
      <c r="DO179" s="335"/>
    </row>
    <row r="180" spans="1:119" ht="35.1" customHeight="1">
      <c r="A180" s="977"/>
      <c r="B180" s="977"/>
      <c r="C180" s="977"/>
      <c r="D180" s="977"/>
      <c r="E180" s="977"/>
      <c r="F180" s="977"/>
      <c r="G180" s="977"/>
      <c r="H180" s="977"/>
      <c r="I180" s="977"/>
      <c r="J180" s="977"/>
      <c r="K180" s="977"/>
      <c r="L180" s="977"/>
      <c r="M180" s="977"/>
      <c r="N180" s="977"/>
      <c r="O180" s="977"/>
      <c r="P180" s="977"/>
      <c r="Q180" s="977"/>
      <c r="R180" s="977"/>
      <c r="S180" s="977"/>
      <c r="T180" s="977"/>
      <c r="U180" s="977"/>
      <c r="V180" s="977"/>
      <c r="W180" s="977"/>
      <c r="X180" s="977"/>
      <c r="Y180" s="977"/>
      <c r="Z180" s="977"/>
      <c r="AA180" s="977"/>
      <c r="AB180" s="977"/>
      <c r="AC180" s="977"/>
      <c r="AD180" s="977"/>
      <c r="AE180" s="977"/>
      <c r="AF180" s="977"/>
      <c r="AG180" s="977"/>
      <c r="AH180" s="977"/>
      <c r="AI180" s="977"/>
      <c r="AJ180" s="977"/>
      <c r="AK180" s="977"/>
      <c r="AL180" s="977"/>
      <c r="AM180" s="977"/>
      <c r="AN180" s="977"/>
      <c r="AO180" s="977"/>
      <c r="AP180" s="977"/>
      <c r="AQ180" s="977"/>
      <c r="AR180" s="335"/>
      <c r="AS180" s="335"/>
      <c r="AT180" s="335"/>
      <c r="AU180" s="335"/>
      <c r="AV180" s="335"/>
      <c r="AW180" s="335"/>
      <c r="AX180" s="335"/>
      <c r="AY180" s="335"/>
      <c r="AZ180" s="335"/>
      <c r="BA180" s="335"/>
      <c r="BB180" s="335"/>
      <c r="BC180" s="335"/>
      <c r="BD180" s="335"/>
      <c r="BE180" s="335"/>
      <c r="BF180" s="335"/>
      <c r="BG180" s="335"/>
      <c r="BH180" s="335"/>
      <c r="BI180" s="335"/>
      <c r="BJ180" s="335"/>
      <c r="BK180" s="335"/>
      <c r="BL180" s="335"/>
      <c r="BM180" s="335"/>
      <c r="BN180" s="335"/>
      <c r="BO180" s="335"/>
      <c r="BP180" s="335"/>
      <c r="BQ180" s="335"/>
      <c r="BR180" s="335"/>
      <c r="BS180" s="335"/>
      <c r="BT180" s="335"/>
      <c r="BU180" s="335"/>
      <c r="BV180" s="335"/>
      <c r="BW180" s="335"/>
      <c r="BX180" s="335"/>
      <c r="BY180" s="335"/>
      <c r="BZ180" s="335"/>
      <c r="CA180" s="335"/>
      <c r="CB180" s="335"/>
      <c r="CC180" s="335"/>
      <c r="CD180" s="335"/>
      <c r="CE180" s="335"/>
      <c r="CF180" s="335"/>
      <c r="CG180" s="335"/>
      <c r="CH180" s="335"/>
      <c r="CI180" s="335"/>
      <c r="CJ180" s="335"/>
      <c r="CK180" s="335"/>
      <c r="CL180" s="335"/>
      <c r="CM180" s="335"/>
      <c r="CN180" s="335"/>
      <c r="CO180" s="335"/>
      <c r="CP180" s="335"/>
      <c r="CQ180" s="335"/>
      <c r="CR180" s="335"/>
      <c r="CS180" s="335"/>
      <c r="CT180" s="335"/>
      <c r="CU180" s="335"/>
      <c r="CV180" s="335"/>
      <c r="CW180" s="335"/>
      <c r="CX180" s="335"/>
      <c r="CY180" s="335"/>
      <c r="CZ180" s="335"/>
      <c r="DA180" s="335"/>
      <c r="DB180" s="335"/>
      <c r="DC180" s="335"/>
      <c r="DD180" s="335"/>
      <c r="DE180" s="335"/>
      <c r="DF180" s="335"/>
      <c r="DG180" s="335"/>
      <c r="DH180" s="335"/>
      <c r="DI180" s="335"/>
      <c r="DJ180" s="335"/>
      <c r="DK180" s="335"/>
      <c r="DL180" s="335"/>
      <c r="DM180" s="335"/>
      <c r="DN180" s="335"/>
      <c r="DO180" s="335"/>
    </row>
    <row r="181" spans="1:119" ht="35.1" customHeight="1">
      <c r="A181" s="977"/>
      <c r="B181" s="977"/>
      <c r="C181" s="977"/>
      <c r="D181" s="977"/>
      <c r="E181" s="977"/>
      <c r="F181" s="977"/>
      <c r="G181" s="977"/>
      <c r="H181" s="977"/>
      <c r="I181" s="977"/>
      <c r="J181" s="977"/>
      <c r="K181" s="977"/>
      <c r="L181" s="977"/>
      <c r="M181" s="977"/>
      <c r="N181" s="977"/>
      <c r="O181" s="977"/>
      <c r="P181" s="977"/>
      <c r="Q181" s="977"/>
      <c r="R181" s="977"/>
      <c r="S181" s="977"/>
      <c r="T181" s="977"/>
      <c r="U181" s="977"/>
      <c r="V181" s="977"/>
      <c r="W181" s="977"/>
      <c r="X181" s="977"/>
      <c r="Y181" s="977"/>
      <c r="Z181" s="977"/>
      <c r="AA181" s="977"/>
      <c r="AB181" s="977"/>
      <c r="AC181" s="977"/>
      <c r="AD181" s="977"/>
      <c r="AE181" s="977"/>
      <c r="AF181" s="977"/>
      <c r="AG181" s="977"/>
      <c r="AH181" s="977"/>
      <c r="AI181" s="977"/>
      <c r="AJ181" s="977"/>
      <c r="AK181" s="977"/>
      <c r="AL181" s="977"/>
      <c r="AM181" s="977"/>
      <c r="AN181" s="977"/>
      <c r="AO181" s="977"/>
      <c r="AP181" s="977"/>
      <c r="AQ181" s="977"/>
      <c r="AR181" s="335"/>
      <c r="AS181" s="335"/>
      <c r="AT181" s="335"/>
      <c r="AU181" s="335"/>
      <c r="AV181" s="335"/>
      <c r="AW181" s="335"/>
      <c r="AX181" s="335"/>
      <c r="AY181" s="335"/>
      <c r="AZ181" s="335"/>
      <c r="BA181" s="335"/>
      <c r="BB181" s="335"/>
      <c r="BC181" s="335"/>
      <c r="BD181" s="335"/>
      <c r="BE181" s="335"/>
      <c r="BF181" s="335"/>
      <c r="BG181" s="335"/>
      <c r="BH181" s="335"/>
      <c r="BI181" s="335"/>
      <c r="BJ181" s="335"/>
      <c r="BK181" s="335"/>
      <c r="BL181" s="335"/>
      <c r="BM181" s="335"/>
      <c r="BN181" s="335"/>
      <c r="BO181" s="335"/>
      <c r="BP181" s="335"/>
      <c r="BQ181" s="335"/>
      <c r="BR181" s="335"/>
      <c r="BS181" s="335"/>
      <c r="BT181" s="335"/>
      <c r="BU181" s="335"/>
      <c r="BV181" s="335"/>
      <c r="BW181" s="335"/>
      <c r="BX181" s="335"/>
      <c r="BY181" s="335"/>
      <c r="BZ181" s="335"/>
      <c r="CA181" s="335"/>
      <c r="CB181" s="335"/>
      <c r="CC181" s="335"/>
      <c r="CD181" s="335"/>
      <c r="CE181" s="335"/>
      <c r="CF181" s="335"/>
      <c r="CG181" s="335"/>
      <c r="CH181" s="335"/>
      <c r="CI181" s="335"/>
      <c r="CJ181" s="335"/>
      <c r="CK181" s="335"/>
      <c r="CL181" s="335"/>
      <c r="CM181" s="335"/>
      <c r="CN181" s="335"/>
      <c r="CO181" s="335"/>
      <c r="CP181" s="335"/>
      <c r="CQ181" s="335"/>
      <c r="CR181" s="335"/>
      <c r="CS181" s="335"/>
      <c r="CT181" s="335"/>
      <c r="CU181" s="335"/>
      <c r="CV181" s="335"/>
      <c r="CW181" s="335"/>
      <c r="CX181" s="335"/>
      <c r="CY181" s="335"/>
      <c r="CZ181" s="335"/>
      <c r="DA181" s="335"/>
      <c r="DB181" s="335"/>
      <c r="DC181" s="335"/>
      <c r="DD181" s="335"/>
      <c r="DE181" s="335"/>
      <c r="DF181" s="335"/>
      <c r="DG181" s="335"/>
      <c r="DH181" s="335"/>
      <c r="DI181" s="335"/>
      <c r="DJ181" s="335"/>
      <c r="DK181" s="335"/>
      <c r="DL181" s="335"/>
      <c r="DM181" s="335"/>
      <c r="DN181" s="335"/>
      <c r="DO181" s="335"/>
    </row>
    <row r="182" spans="1:119" ht="35.1" customHeight="1">
      <c r="A182" s="977"/>
      <c r="B182" s="977"/>
      <c r="C182" s="977"/>
      <c r="D182" s="977"/>
      <c r="E182" s="977"/>
      <c r="F182" s="977"/>
      <c r="G182" s="977"/>
      <c r="H182" s="977"/>
      <c r="I182" s="977"/>
      <c r="J182" s="977"/>
      <c r="K182" s="977"/>
      <c r="L182" s="977"/>
      <c r="M182" s="977"/>
      <c r="N182" s="977"/>
      <c r="O182" s="977"/>
      <c r="P182" s="977"/>
      <c r="Q182" s="977"/>
      <c r="R182" s="977"/>
      <c r="S182" s="977"/>
      <c r="T182" s="977"/>
      <c r="U182" s="977"/>
      <c r="V182" s="977"/>
      <c r="W182" s="977"/>
      <c r="X182" s="977"/>
      <c r="Y182" s="977"/>
      <c r="Z182" s="977"/>
      <c r="AA182" s="977"/>
      <c r="AB182" s="977"/>
      <c r="AC182" s="977"/>
      <c r="AD182" s="977"/>
      <c r="AE182" s="977"/>
      <c r="AF182" s="977"/>
      <c r="AG182" s="977"/>
      <c r="AH182" s="977"/>
      <c r="AI182" s="977"/>
      <c r="AJ182" s="977"/>
      <c r="AK182" s="977"/>
      <c r="AL182" s="977"/>
      <c r="AM182" s="977"/>
      <c r="AN182" s="977"/>
      <c r="AO182" s="977"/>
      <c r="AP182" s="977"/>
      <c r="AQ182" s="977"/>
      <c r="AR182" s="335"/>
      <c r="AS182" s="335"/>
      <c r="AT182" s="335"/>
      <c r="AU182" s="335"/>
      <c r="AV182" s="335"/>
      <c r="AW182" s="335"/>
      <c r="AX182" s="335"/>
      <c r="AY182" s="335"/>
      <c r="AZ182" s="335"/>
      <c r="BA182" s="335"/>
      <c r="BB182" s="335"/>
      <c r="BC182" s="335"/>
      <c r="BD182" s="335"/>
      <c r="BE182" s="335"/>
      <c r="BF182" s="335"/>
      <c r="BG182" s="335"/>
      <c r="BH182" s="335"/>
      <c r="BI182" s="335"/>
      <c r="BJ182" s="335"/>
      <c r="BK182" s="335"/>
      <c r="BL182" s="335"/>
      <c r="BM182" s="335"/>
      <c r="BN182" s="335"/>
      <c r="BO182" s="335"/>
      <c r="BP182" s="335"/>
      <c r="BQ182" s="335"/>
      <c r="BR182" s="335"/>
      <c r="BS182" s="335"/>
      <c r="BT182" s="335"/>
      <c r="BU182" s="335"/>
      <c r="BV182" s="335"/>
      <c r="BW182" s="335"/>
      <c r="BX182" s="335"/>
      <c r="BY182" s="335"/>
      <c r="BZ182" s="335"/>
      <c r="CA182" s="335"/>
      <c r="CB182" s="335"/>
      <c r="CC182" s="335"/>
      <c r="CD182" s="335"/>
      <c r="CE182" s="335"/>
      <c r="CF182" s="335"/>
      <c r="CG182" s="335"/>
      <c r="CH182" s="335"/>
      <c r="CI182" s="335"/>
      <c r="CJ182" s="335"/>
      <c r="CK182" s="335"/>
      <c r="CL182" s="335"/>
      <c r="CM182" s="335"/>
      <c r="CN182" s="335"/>
      <c r="CO182" s="335"/>
      <c r="CP182" s="335"/>
      <c r="CQ182" s="335"/>
      <c r="CR182" s="335"/>
      <c r="CS182" s="335"/>
      <c r="CT182" s="335"/>
      <c r="CU182" s="335"/>
      <c r="CV182" s="335"/>
      <c r="CW182" s="335"/>
      <c r="CX182" s="335"/>
      <c r="CY182" s="335"/>
      <c r="CZ182" s="335"/>
      <c r="DA182" s="335"/>
      <c r="DB182" s="335"/>
      <c r="DC182" s="335"/>
      <c r="DD182" s="335"/>
      <c r="DE182" s="335"/>
      <c r="DF182" s="335"/>
      <c r="DG182" s="335"/>
      <c r="DH182" s="335"/>
      <c r="DI182" s="335"/>
      <c r="DJ182" s="335"/>
      <c r="DK182" s="335"/>
      <c r="DL182" s="335"/>
      <c r="DM182" s="335"/>
      <c r="DN182" s="335"/>
      <c r="DO182" s="335"/>
    </row>
    <row r="183" spans="1:119" ht="35.1" customHeight="1">
      <c r="A183" s="977"/>
      <c r="B183" s="977"/>
      <c r="C183" s="977"/>
      <c r="D183" s="977"/>
      <c r="E183" s="977"/>
      <c r="F183" s="977"/>
      <c r="G183" s="977"/>
      <c r="H183" s="977"/>
      <c r="I183" s="977"/>
      <c r="J183" s="977"/>
      <c r="K183" s="977"/>
      <c r="L183" s="977"/>
      <c r="M183" s="977"/>
      <c r="N183" s="977"/>
      <c r="O183" s="977"/>
      <c r="P183" s="977"/>
      <c r="Q183" s="977"/>
      <c r="R183" s="977"/>
      <c r="S183" s="977"/>
      <c r="T183" s="977"/>
      <c r="U183" s="977"/>
      <c r="V183" s="977"/>
      <c r="W183" s="977"/>
      <c r="X183" s="977"/>
      <c r="Y183" s="977"/>
      <c r="Z183" s="977"/>
      <c r="AA183" s="977"/>
      <c r="AB183" s="977"/>
      <c r="AC183" s="977"/>
      <c r="AD183" s="977"/>
      <c r="AE183" s="977"/>
      <c r="AF183" s="977"/>
      <c r="AG183" s="977"/>
      <c r="AH183" s="977"/>
      <c r="AI183" s="977"/>
      <c r="AJ183" s="977"/>
      <c r="AK183" s="977"/>
      <c r="AL183" s="977"/>
      <c r="AM183" s="977"/>
      <c r="AN183" s="977"/>
      <c r="AO183" s="977"/>
      <c r="AP183" s="977"/>
      <c r="AQ183" s="977"/>
      <c r="AR183" s="335"/>
      <c r="AS183" s="335"/>
      <c r="AT183" s="335"/>
      <c r="AU183" s="335"/>
      <c r="AV183" s="335"/>
      <c r="AW183" s="335"/>
      <c r="AX183" s="335"/>
      <c r="AY183" s="335"/>
      <c r="AZ183" s="335"/>
      <c r="BA183" s="335"/>
      <c r="BB183" s="335"/>
      <c r="BC183" s="335"/>
      <c r="BD183" s="335"/>
      <c r="BE183" s="335"/>
      <c r="BF183" s="335"/>
      <c r="BG183" s="335"/>
      <c r="BH183" s="335"/>
      <c r="BI183" s="335"/>
      <c r="BJ183" s="335"/>
      <c r="BK183" s="335"/>
      <c r="BL183" s="335"/>
      <c r="BM183" s="335"/>
      <c r="BN183" s="335"/>
      <c r="BO183" s="335"/>
      <c r="BP183" s="335"/>
      <c r="BQ183" s="335"/>
      <c r="BR183" s="335"/>
      <c r="BS183" s="335"/>
      <c r="BT183" s="335"/>
      <c r="BU183" s="335"/>
      <c r="BV183" s="335"/>
      <c r="BW183" s="335"/>
      <c r="BX183" s="335"/>
      <c r="BY183" s="335"/>
      <c r="BZ183" s="335"/>
      <c r="CA183" s="335"/>
      <c r="CB183" s="335"/>
      <c r="CC183" s="335"/>
      <c r="CD183" s="335"/>
      <c r="CE183" s="335"/>
      <c r="CF183" s="335"/>
      <c r="CG183" s="335"/>
      <c r="CH183" s="335"/>
      <c r="CI183" s="335"/>
      <c r="CJ183" s="335"/>
      <c r="CK183" s="335"/>
      <c r="CL183" s="335"/>
      <c r="CM183" s="335"/>
      <c r="CN183" s="335"/>
      <c r="CO183" s="335"/>
      <c r="CP183" s="335"/>
      <c r="CQ183" s="335"/>
      <c r="CR183" s="335"/>
      <c r="CS183" s="335"/>
      <c r="CT183" s="335"/>
      <c r="CU183" s="335"/>
      <c r="CV183" s="335"/>
      <c r="CW183" s="335"/>
      <c r="CX183" s="335"/>
      <c r="CY183" s="335"/>
      <c r="CZ183" s="335"/>
      <c r="DA183" s="335"/>
      <c r="DB183" s="335"/>
      <c r="DC183" s="335"/>
      <c r="DD183" s="335"/>
      <c r="DE183" s="335"/>
      <c r="DF183" s="335"/>
      <c r="DG183" s="335"/>
      <c r="DH183" s="335"/>
      <c r="DI183" s="335"/>
      <c r="DJ183" s="335"/>
      <c r="DK183" s="335"/>
      <c r="DL183" s="335"/>
      <c r="DM183" s="335"/>
      <c r="DN183" s="335"/>
      <c r="DO183" s="335"/>
    </row>
    <row r="184" spans="1:119" ht="35.1" customHeight="1">
      <c r="A184" s="977"/>
      <c r="B184" s="977"/>
      <c r="C184" s="977"/>
      <c r="D184" s="977"/>
      <c r="E184" s="977"/>
      <c r="F184" s="977"/>
      <c r="G184" s="977"/>
      <c r="H184" s="977"/>
      <c r="I184" s="977"/>
      <c r="J184" s="977"/>
      <c r="K184" s="977"/>
      <c r="L184" s="977"/>
      <c r="M184" s="977"/>
      <c r="N184" s="977"/>
      <c r="O184" s="977"/>
      <c r="P184" s="977"/>
      <c r="Q184" s="977"/>
      <c r="R184" s="977"/>
      <c r="S184" s="977"/>
      <c r="T184" s="977"/>
      <c r="U184" s="977"/>
      <c r="V184" s="977"/>
      <c r="W184" s="977"/>
      <c r="X184" s="977"/>
      <c r="Y184" s="977"/>
      <c r="Z184" s="977"/>
      <c r="AA184" s="977"/>
      <c r="AB184" s="977"/>
      <c r="AC184" s="977"/>
      <c r="AD184" s="977"/>
      <c r="AE184" s="977"/>
      <c r="AF184" s="977"/>
      <c r="AG184" s="977"/>
      <c r="AH184" s="977"/>
      <c r="AI184" s="977"/>
      <c r="AJ184" s="977"/>
      <c r="AK184" s="977"/>
      <c r="AL184" s="977"/>
      <c r="AM184" s="977"/>
      <c r="AN184" s="977"/>
      <c r="AO184" s="977"/>
      <c r="AP184" s="977"/>
      <c r="AQ184" s="977"/>
      <c r="AR184" s="335"/>
      <c r="AS184" s="335"/>
      <c r="AT184" s="335"/>
      <c r="AU184" s="335"/>
      <c r="AV184" s="335"/>
      <c r="AW184" s="335"/>
      <c r="AX184" s="335"/>
      <c r="AY184" s="335"/>
      <c r="AZ184" s="335"/>
      <c r="BA184" s="335"/>
      <c r="BB184" s="335"/>
      <c r="BC184" s="335"/>
      <c r="BD184" s="335"/>
      <c r="BE184" s="335"/>
      <c r="BF184" s="335"/>
      <c r="BG184" s="335"/>
      <c r="BH184" s="335"/>
      <c r="BI184" s="335"/>
      <c r="BJ184" s="335"/>
      <c r="BK184" s="335"/>
      <c r="BL184" s="335"/>
      <c r="BM184" s="335"/>
      <c r="BN184" s="335"/>
      <c r="BO184" s="335"/>
      <c r="BP184" s="335"/>
      <c r="BQ184" s="335"/>
      <c r="BR184" s="335"/>
      <c r="BS184" s="335"/>
      <c r="BT184" s="335"/>
      <c r="BU184" s="335"/>
      <c r="BV184" s="335"/>
      <c r="BW184" s="335"/>
      <c r="BX184" s="335"/>
      <c r="BY184" s="335"/>
      <c r="BZ184" s="335"/>
      <c r="CA184" s="335"/>
      <c r="CB184" s="335"/>
      <c r="CC184" s="335"/>
      <c r="CD184" s="335"/>
      <c r="CE184" s="335"/>
      <c r="CF184" s="335"/>
      <c r="CG184" s="335"/>
      <c r="CH184" s="335"/>
      <c r="CI184" s="335"/>
      <c r="CJ184" s="335"/>
      <c r="CK184" s="335"/>
      <c r="CL184" s="335"/>
      <c r="CM184" s="335"/>
      <c r="CN184" s="335"/>
      <c r="CO184" s="335"/>
      <c r="CP184" s="335"/>
      <c r="CQ184" s="335"/>
      <c r="CR184" s="335"/>
      <c r="CS184" s="335"/>
      <c r="CT184" s="335"/>
      <c r="CU184" s="335"/>
      <c r="CV184" s="335"/>
      <c r="CW184" s="335"/>
      <c r="CX184" s="335"/>
      <c r="CY184" s="335"/>
      <c r="CZ184" s="335"/>
      <c r="DA184" s="335"/>
      <c r="DB184" s="335"/>
      <c r="DC184" s="335"/>
      <c r="DD184" s="335"/>
      <c r="DE184" s="335"/>
      <c r="DF184" s="335"/>
      <c r="DG184" s="335"/>
      <c r="DH184" s="335"/>
      <c r="DI184" s="335"/>
      <c r="DJ184" s="335"/>
      <c r="DK184" s="335"/>
      <c r="DL184" s="335"/>
      <c r="DM184" s="335"/>
      <c r="DN184" s="335"/>
      <c r="DO184" s="335"/>
    </row>
    <row r="185" spans="1:119" ht="35.1" customHeight="1">
      <c r="A185" s="977"/>
      <c r="B185" s="977"/>
      <c r="C185" s="977"/>
      <c r="D185" s="977"/>
      <c r="E185" s="977"/>
      <c r="F185" s="977"/>
      <c r="G185" s="977"/>
      <c r="H185" s="977"/>
      <c r="I185" s="977"/>
      <c r="J185" s="977"/>
      <c r="K185" s="977"/>
      <c r="L185" s="977"/>
      <c r="M185" s="977"/>
      <c r="N185" s="977"/>
      <c r="O185" s="977"/>
      <c r="P185" s="977"/>
      <c r="Q185" s="977"/>
      <c r="R185" s="977"/>
      <c r="S185" s="977"/>
      <c r="T185" s="977"/>
      <c r="U185" s="977"/>
      <c r="V185" s="977"/>
      <c r="W185" s="977"/>
      <c r="X185" s="977"/>
      <c r="Y185" s="977"/>
      <c r="Z185" s="977"/>
      <c r="AA185" s="977"/>
      <c r="AB185" s="977"/>
      <c r="AC185" s="977"/>
      <c r="AD185" s="977"/>
      <c r="AE185" s="977"/>
      <c r="AF185" s="977"/>
      <c r="AG185" s="977"/>
      <c r="AH185" s="977"/>
      <c r="AI185" s="977"/>
      <c r="AJ185" s="977"/>
      <c r="AK185" s="977"/>
      <c r="AL185" s="977"/>
      <c r="AM185" s="977"/>
      <c r="AN185" s="977"/>
      <c r="AO185" s="977"/>
      <c r="AP185" s="977"/>
      <c r="AQ185" s="977"/>
      <c r="AR185" s="335"/>
      <c r="AS185" s="335"/>
      <c r="AT185" s="335"/>
      <c r="AU185" s="335"/>
      <c r="AV185" s="335"/>
      <c r="AW185" s="335"/>
      <c r="AX185" s="335"/>
      <c r="AY185" s="335"/>
      <c r="AZ185" s="335"/>
      <c r="BA185" s="335"/>
      <c r="BB185" s="335"/>
      <c r="BC185" s="335"/>
      <c r="BD185" s="335"/>
      <c r="BE185" s="335"/>
      <c r="BF185" s="335"/>
      <c r="BG185" s="335"/>
      <c r="BH185" s="335"/>
      <c r="BI185" s="335"/>
      <c r="BJ185" s="335"/>
      <c r="BK185" s="335"/>
      <c r="BL185" s="335"/>
      <c r="BM185" s="335"/>
      <c r="BN185" s="335"/>
      <c r="BO185" s="335"/>
      <c r="BP185" s="335"/>
      <c r="BQ185" s="335"/>
      <c r="BR185" s="335"/>
      <c r="BS185" s="335"/>
      <c r="BT185" s="335"/>
      <c r="BU185" s="335"/>
      <c r="BV185" s="335"/>
      <c r="BW185" s="335"/>
      <c r="BX185" s="335"/>
      <c r="BY185" s="335"/>
      <c r="BZ185" s="335"/>
      <c r="CA185" s="335"/>
      <c r="CB185" s="335"/>
      <c r="CC185" s="335"/>
      <c r="CD185" s="335"/>
      <c r="CE185" s="335"/>
      <c r="CF185" s="335"/>
      <c r="CG185" s="335"/>
      <c r="CH185" s="335"/>
      <c r="CI185" s="335"/>
      <c r="CJ185" s="335"/>
      <c r="CK185" s="335"/>
      <c r="CL185" s="335"/>
      <c r="CM185" s="335"/>
      <c r="CN185" s="335"/>
      <c r="CO185" s="335"/>
      <c r="CP185" s="335"/>
      <c r="CQ185" s="335"/>
      <c r="CR185" s="335"/>
      <c r="CS185" s="335"/>
      <c r="CT185" s="335"/>
      <c r="CU185" s="335"/>
      <c r="CV185" s="335"/>
      <c r="CW185" s="335"/>
      <c r="CX185" s="335"/>
      <c r="CY185" s="335"/>
      <c r="CZ185" s="335"/>
      <c r="DA185" s="335"/>
      <c r="DB185" s="335"/>
      <c r="DC185" s="335"/>
      <c r="DD185" s="335"/>
      <c r="DE185" s="335"/>
      <c r="DF185" s="335"/>
      <c r="DG185" s="335"/>
      <c r="DH185" s="335"/>
      <c r="DI185" s="335"/>
      <c r="DJ185" s="335"/>
      <c r="DK185" s="335"/>
      <c r="DL185" s="335"/>
      <c r="DM185" s="335"/>
      <c r="DN185" s="335"/>
      <c r="DO185" s="335"/>
    </row>
    <row r="186" spans="1:119" ht="35.1" customHeight="1">
      <c r="A186" s="977"/>
      <c r="B186" s="977"/>
      <c r="C186" s="977"/>
      <c r="D186" s="977"/>
      <c r="E186" s="977"/>
      <c r="F186" s="977"/>
      <c r="G186" s="977"/>
      <c r="H186" s="977"/>
      <c r="I186" s="977"/>
      <c r="J186" s="977"/>
      <c r="K186" s="977"/>
      <c r="L186" s="977"/>
      <c r="M186" s="977"/>
      <c r="N186" s="977"/>
      <c r="O186" s="977"/>
      <c r="P186" s="977"/>
      <c r="Q186" s="977"/>
      <c r="R186" s="977"/>
      <c r="S186" s="977"/>
      <c r="T186" s="977"/>
      <c r="U186" s="977"/>
      <c r="V186" s="977"/>
      <c r="W186" s="977"/>
      <c r="X186" s="977"/>
      <c r="Y186" s="977"/>
      <c r="Z186" s="977"/>
      <c r="AA186" s="977"/>
      <c r="AB186" s="977"/>
      <c r="AC186" s="977"/>
      <c r="AD186" s="977"/>
      <c r="AE186" s="977"/>
      <c r="AF186" s="977"/>
      <c r="AG186" s="977"/>
      <c r="AH186" s="977"/>
      <c r="AI186" s="977"/>
      <c r="AJ186" s="977"/>
      <c r="AK186" s="977"/>
      <c r="AL186" s="977"/>
      <c r="AM186" s="977"/>
      <c r="AN186" s="977"/>
      <c r="AO186" s="977"/>
      <c r="AP186" s="977"/>
      <c r="AQ186" s="977"/>
      <c r="AR186" s="335"/>
      <c r="AS186" s="335"/>
      <c r="AT186" s="335"/>
      <c r="AU186" s="335"/>
      <c r="AV186" s="335"/>
      <c r="AW186" s="335"/>
      <c r="AX186" s="335"/>
      <c r="AY186" s="335"/>
      <c r="AZ186" s="335"/>
      <c r="BA186" s="335"/>
      <c r="BB186" s="335"/>
      <c r="BC186" s="335"/>
      <c r="BD186" s="335"/>
      <c r="BE186" s="335"/>
      <c r="BF186" s="335"/>
      <c r="BG186" s="335"/>
      <c r="BH186" s="335"/>
      <c r="BI186" s="335"/>
      <c r="BJ186" s="335"/>
      <c r="BK186" s="335"/>
      <c r="BL186" s="335"/>
      <c r="BM186" s="335"/>
      <c r="BN186" s="335"/>
      <c r="BO186" s="335"/>
      <c r="BP186" s="335"/>
      <c r="BQ186" s="335"/>
      <c r="BR186" s="335"/>
      <c r="BS186" s="335"/>
      <c r="BT186" s="335"/>
      <c r="BU186" s="335"/>
      <c r="BV186" s="335"/>
      <c r="BW186" s="335"/>
      <c r="BX186" s="335"/>
      <c r="BY186" s="335"/>
      <c r="BZ186" s="335"/>
      <c r="CA186" s="335"/>
      <c r="CB186" s="335"/>
      <c r="CC186" s="335"/>
      <c r="CD186" s="335"/>
      <c r="CE186" s="335"/>
      <c r="CF186" s="335"/>
      <c r="CG186" s="335"/>
      <c r="CH186" s="335"/>
      <c r="CI186" s="335"/>
      <c r="CJ186" s="335"/>
      <c r="CK186" s="335"/>
      <c r="CL186" s="335"/>
      <c r="CM186" s="335"/>
      <c r="CN186" s="335"/>
      <c r="CO186" s="335"/>
      <c r="CP186" s="335"/>
      <c r="CQ186" s="335"/>
      <c r="CR186" s="335"/>
      <c r="CS186" s="335"/>
      <c r="CT186" s="335"/>
      <c r="CU186" s="335"/>
      <c r="CV186" s="335"/>
      <c r="CW186" s="335"/>
      <c r="CX186" s="335"/>
      <c r="CY186" s="335"/>
      <c r="CZ186" s="335"/>
      <c r="DA186" s="335"/>
      <c r="DB186" s="335"/>
      <c r="DC186" s="335"/>
      <c r="DD186" s="335"/>
      <c r="DE186" s="335"/>
      <c r="DF186" s="335"/>
      <c r="DG186" s="335"/>
      <c r="DH186" s="335"/>
      <c r="DI186" s="335"/>
      <c r="DJ186" s="335"/>
      <c r="DK186" s="335"/>
      <c r="DL186" s="335"/>
      <c r="DM186" s="335"/>
      <c r="DN186" s="335"/>
      <c r="DO186" s="335"/>
    </row>
    <row r="187" spans="1:119" ht="35.1" customHeight="1">
      <c r="A187" s="977"/>
      <c r="B187" s="977"/>
      <c r="C187" s="977"/>
      <c r="D187" s="977"/>
      <c r="E187" s="977"/>
      <c r="F187" s="977"/>
      <c r="G187" s="977"/>
      <c r="H187" s="977"/>
      <c r="I187" s="977"/>
      <c r="J187" s="977"/>
      <c r="K187" s="977"/>
      <c r="L187" s="977"/>
      <c r="M187" s="977"/>
      <c r="N187" s="977"/>
      <c r="O187" s="977"/>
      <c r="P187" s="977"/>
      <c r="Q187" s="977"/>
      <c r="R187" s="977"/>
      <c r="S187" s="977"/>
      <c r="T187" s="977"/>
      <c r="U187" s="977"/>
      <c r="V187" s="977"/>
      <c r="W187" s="977"/>
      <c r="X187" s="977"/>
      <c r="Y187" s="977"/>
      <c r="Z187" s="977"/>
      <c r="AA187" s="977"/>
      <c r="AB187" s="977"/>
      <c r="AC187" s="977"/>
      <c r="AD187" s="977"/>
      <c r="AE187" s="977"/>
      <c r="AF187" s="977"/>
      <c r="AG187" s="977"/>
      <c r="AH187" s="977"/>
      <c r="AI187" s="977"/>
      <c r="AJ187" s="977"/>
      <c r="AK187" s="977"/>
      <c r="AL187" s="977"/>
      <c r="AM187" s="977"/>
      <c r="AN187" s="977"/>
      <c r="AO187" s="977"/>
      <c r="AP187" s="977"/>
      <c r="AQ187" s="977"/>
      <c r="AR187" s="335"/>
      <c r="AS187" s="335"/>
      <c r="AT187" s="335"/>
      <c r="AU187" s="335"/>
      <c r="AV187" s="335"/>
      <c r="AW187" s="335"/>
      <c r="AX187" s="335"/>
      <c r="AY187" s="335"/>
      <c r="AZ187" s="335"/>
      <c r="BA187" s="335"/>
      <c r="BB187" s="335"/>
      <c r="BC187" s="335"/>
      <c r="BD187" s="335"/>
      <c r="BE187" s="335"/>
      <c r="BF187" s="335"/>
      <c r="BG187" s="335"/>
      <c r="BH187" s="335"/>
      <c r="BI187" s="335"/>
      <c r="BJ187" s="335"/>
      <c r="BK187" s="335"/>
      <c r="BL187" s="335"/>
      <c r="BM187" s="335"/>
      <c r="BN187" s="335"/>
      <c r="BO187" s="335"/>
      <c r="BP187" s="335"/>
      <c r="BQ187" s="335"/>
      <c r="BR187" s="335"/>
      <c r="BS187" s="335"/>
      <c r="BT187" s="335"/>
      <c r="BU187" s="335"/>
      <c r="BV187" s="335"/>
      <c r="BW187" s="335"/>
      <c r="BX187" s="335"/>
      <c r="BY187" s="335"/>
      <c r="BZ187" s="335"/>
      <c r="CA187" s="335"/>
      <c r="CB187" s="335"/>
      <c r="CC187" s="335"/>
      <c r="CD187" s="335"/>
      <c r="CE187" s="335"/>
      <c r="CF187" s="335"/>
      <c r="CG187" s="335"/>
      <c r="CH187" s="335"/>
      <c r="CI187" s="335"/>
      <c r="CJ187" s="335"/>
      <c r="CK187" s="335"/>
      <c r="CL187" s="335"/>
      <c r="CM187" s="335"/>
      <c r="CN187" s="335"/>
      <c r="CO187" s="335"/>
      <c r="CP187" s="335"/>
      <c r="CQ187" s="335"/>
      <c r="CR187" s="335"/>
      <c r="CS187" s="335"/>
      <c r="CT187" s="335"/>
      <c r="CU187" s="335"/>
      <c r="CV187" s="335"/>
      <c r="CW187" s="335"/>
      <c r="CX187" s="335"/>
      <c r="CY187" s="335"/>
      <c r="CZ187" s="335"/>
      <c r="DA187" s="335"/>
      <c r="DB187" s="335"/>
      <c r="DC187" s="335"/>
      <c r="DD187" s="335"/>
      <c r="DE187" s="335"/>
      <c r="DF187" s="335"/>
      <c r="DG187" s="335"/>
      <c r="DH187" s="335"/>
      <c r="DI187" s="335"/>
      <c r="DJ187" s="335"/>
      <c r="DK187" s="335"/>
      <c r="DL187" s="335"/>
      <c r="DM187" s="335"/>
      <c r="DN187" s="335"/>
      <c r="DO187" s="335"/>
    </row>
    <row r="188" spans="1:119" ht="35.1" customHeight="1">
      <c r="A188" s="977"/>
      <c r="B188" s="977"/>
      <c r="C188" s="977"/>
      <c r="D188" s="977"/>
      <c r="E188" s="977"/>
      <c r="F188" s="977"/>
      <c r="G188" s="977"/>
      <c r="H188" s="977"/>
      <c r="I188" s="977"/>
      <c r="J188" s="977"/>
      <c r="K188" s="977"/>
      <c r="L188" s="977"/>
      <c r="M188" s="977"/>
      <c r="N188" s="977"/>
      <c r="O188" s="977"/>
      <c r="P188" s="977"/>
      <c r="Q188" s="977"/>
      <c r="R188" s="977"/>
      <c r="S188" s="977"/>
      <c r="T188" s="977"/>
      <c r="U188" s="977"/>
      <c r="V188" s="977"/>
      <c r="W188" s="977"/>
      <c r="X188" s="977"/>
      <c r="Y188" s="977"/>
      <c r="Z188" s="977"/>
      <c r="AA188" s="977"/>
      <c r="AB188" s="977"/>
      <c r="AC188" s="977"/>
      <c r="AD188" s="977"/>
      <c r="AE188" s="977"/>
      <c r="AF188" s="977"/>
      <c r="AG188" s="977"/>
      <c r="AH188" s="977"/>
      <c r="AI188" s="977"/>
      <c r="AJ188" s="977"/>
      <c r="AK188" s="977"/>
      <c r="AL188" s="977"/>
      <c r="AM188" s="977"/>
      <c r="AN188" s="977"/>
      <c r="AO188" s="977"/>
      <c r="AP188" s="977"/>
      <c r="AQ188" s="977"/>
      <c r="AR188" s="335"/>
      <c r="AS188" s="335"/>
      <c r="AT188" s="335"/>
      <c r="AU188" s="335"/>
      <c r="AV188" s="335"/>
      <c r="AW188" s="335"/>
      <c r="AX188" s="335"/>
      <c r="AY188" s="335"/>
      <c r="AZ188" s="335"/>
      <c r="BA188" s="335"/>
      <c r="BB188" s="335"/>
      <c r="BC188" s="335"/>
      <c r="BD188" s="335"/>
      <c r="BE188" s="335"/>
      <c r="BF188" s="335"/>
      <c r="BG188" s="335"/>
      <c r="BH188" s="335"/>
      <c r="BI188" s="335"/>
      <c r="BJ188" s="335"/>
      <c r="BK188" s="335"/>
      <c r="BL188" s="335"/>
      <c r="BM188" s="335"/>
      <c r="BN188" s="335"/>
      <c r="BO188" s="335"/>
      <c r="BP188" s="335"/>
      <c r="BQ188" s="335"/>
      <c r="BR188" s="335"/>
      <c r="BS188" s="335"/>
      <c r="BT188" s="335"/>
      <c r="BU188" s="335"/>
      <c r="BV188" s="335"/>
      <c r="BW188" s="335"/>
      <c r="BX188" s="335"/>
      <c r="BY188" s="335"/>
      <c r="BZ188" s="335"/>
      <c r="CA188" s="335"/>
      <c r="CB188" s="335"/>
      <c r="CC188" s="335"/>
      <c r="CD188" s="335"/>
      <c r="CE188" s="335"/>
      <c r="CF188" s="335"/>
      <c r="CG188" s="335"/>
      <c r="CH188" s="335"/>
      <c r="CI188" s="335"/>
      <c r="CJ188" s="335"/>
      <c r="CK188" s="335"/>
      <c r="CL188" s="335"/>
      <c r="CM188" s="335"/>
      <c r="CN188" s="335"/>
      <c r="CO188" s="335"/>
      <c r="CP188" s="335"/>
      <c r="CQ188" s="335"/>
      <c r="CR188" s="335"/>
      <c r="CS188" s="335"/>
      <c r="CT188" s="335"/>
      <c r="CU188" s="335"/>
      <c r="CV188" s="335"/>
      <c r="CW188" s="335"/>
      <c r="CX188" s="335"/>
      <c r="CY188" s="335"/>
      <c r="CZ188" s="335"/>
      <c r="DA188" s="335"/>
      <c r="DB188" s="335"/>
      <c r="DC188" s="335"/>
      <c r="DD188" s="335"/>
      <c r="DE188" s="335"/>
      <c r="DF188" s="335"/>
      <c r="DG188" s="335"/>
      <c r="DH188" s="335"/>
      <c r="DI188" s="335"/>
      <c r="DJ188" s="335"/>
      <c r="DK188" s="335"/>
      <c r="DL188" s="335"/>
      <c r="DM188" s="335"/>
      <c r="DN188" s="335"/>
      <c r="DO188" s="335"/>
    </row>
    <row r="189" spans="1:119" ht="35.1" customHeight="1">
      <c r="A189" s="977"/>
      <c r="B189" s="977"/>
      <c r="C189" s="977"/>
      <c r="D189" s="977"/>
      <c r="E189" s="977"/>
      <c r="F189" s="977"/>
      <c r="G189" s="977"/>
      <c r="H189" s="977"/>
      <c r="I189" s="977"/>
      <c r="J189" s="977"/>
      <c r="K189" s="977"/>
      <c r="L189" s="977"/>
      <c r="M189" s="977"/>
      <c r="N189" s="977"/>
      <c r="O189" s="977"/>
      <c r="P189" s="977"/>
      <c r="Q189" s="977"/>
      <c r="R189" s="977"/>
      <c r="S189" s="977"/>
      <c r="T189" s="977"/>
      <c r="U189" s="977"/>
      <c r="V189" s="977"/>
      <c r="W189" s="977"/>
      <c r="X189" s="977"/>
      <c r="Y189" s="977"/>
      <c r="Z189" s="977"/>
      <c r="AA189" s="977"/>
      <c r="AB189" s="977"/>
      <c r="AC189" s="977"/>
      <c r="AD189" s="977"/>
      <c r="AE189" s="977"/>
      <c r="AF189" s="977"/>
      <c r="AG189" s="977"/>
      <c r="AH189" s="977"/>
      <c r="AI189" s="977"/>
      <c r="AJ189" s="977"/>
      <c r="AK189" s="977"/>
      <c r="AL189" s="977"/>
      <c r="AM189" s="977"/>
      <c r="AN189" s="977"/>
      <c r="AO189" s="977"/>
      <c r="AP189" s="977"/>
      <c r="AQ189" s="977"/>
      <c r="AR189" s="335"/>
      <c r="AS189" s="335"/>
      <c r="AT189" s="335"/>
      <c r="AU189" s="335"/>
      <c r="AV189" s="335"/>
      <c r="AW189" s="335"/>
      <c r="AX189" s="335"/>
      <c r="AY189" s="335"/>
      <c r="AZ189" s="335"/>
      <c r="BA189" s="335"/>
      <c r="BB189" s="335"/>
      <c r="BC189" s="335"/>
      <c r="BD189" s="335"/>
      <c r="BE189" s="335"/>
      <c r="BF189" s="335"/>
      <c r="BG189" s="335"/>
      <c r="BH189" s="335"/>
      <c r="BI189" s="335"/>
      <c r="BJ189" s="335"/>
      <c r="BK189" s="335"/>
      <c r="BL189" s="335"/>
      <c r="BM189" s="335"/>
      <c r="BN189" s="335"/>
      <c r="BO189" s="335"/>
      <c r="BP189" s="335"/>
      <c r="BQ189" s="335"/>
      <c r="BR189" s="335"/>
      <c r="BS189" s="335"/>
      <c r="BT189" s="335"/>
      <c r="BU189" s="335"/>
      <c r="BV189" s="335"/>
      <c r="BW189" s="335"/>
      <c r="BX189" s="335"/>
      <c r="BY189" s="335"/>
      <c r="BZ189" s="335"/>
      <c r="CA189" s="335"/>
      <c r="CB189" s="335"/>
      <c r="CC189" s="335"/>
      <c r="CD189" s="335"/>
      <c r="CE189" s="335"/>
      <c r="CF189" s="335"/>
      <c r="CG189" s="335"/>
      <c r="CH189" s="335"/>
      <c r="CI189" s="335"/>
      <c r="CJ189" s="335"/>
      <c r="CK189" s="335"/>
      <c r="CL189" s="335"/>
      <c r="CM189" s="335"/>
      <c r="CN189" s="335"/>
      <c r="CO189" s="335"/>
      <c r="CP189" s="335"/>
      <c r="CQ189" s="335"/>
      <c r="CR189" s="335"/>
      <c r="CS189" s="335"/>
      <c r="CT189" s="335"/>
      <c r="CU189" s="335"/>
      <c r="CV189" s="335"/>
      <c r="CW189" s="335"/>
      <c r="CX189" s="335"/>
      <c r="CY189" s="335"/>
      <c r="CZ189" s="335"/>
      <c r="DA189" s="335"/>
      <c r="DB189" s="335"/>
      <c r="DC189" s="335"/>
      <c r="DD189" s="335"/>
      <c r="DE189" s="335"/>
      <c r="DF189" s="335"/>
      <c r="DG189" s="335"/>
      <c r="DH189" s="335"/>
      <c r="DI189" s="335"/>
      <c r="DJ189" s="335"/>
      <c r="DK189" s="335"/>
      <c r="DL189" s="335"/>
      <c r="DM189" s="335"/>
      <c r="DN189" s="335"/>
      <c r="DO189" s="335"/>
    </row>
    <row r="190" spans="1:119" ht="35.1" customHeight="1">
      <c r="A190" s="977"/>
      <c r="B190" s="977"/>
      <c r="C190" s="977"/>
      <c r="D190" s="977"/>
      <c r="E190" s="977"/>
      <c r="F190" s="977"/>
      <c r="G190" s="977"/>
      <c r="H190" s="977"/>
      <c r="I190" s="977"/>
      <c r="J190" s="977"/>
      <c r="K190" s="977"/>
      <c r="L190" s="977"/>
      <c r="M190" s="977"/>
      <c r="N190" s="977"/>
      <c r="O190" s="977"/>
      <c r="P190" s="977"/>
      <c r="Q190" s="977"/>
      <c r="R190" s="977"/>
      <c r="S190" s="977"/>
      <c r="T190" s="977"/>
      <c r="U190" s="977"/>
      <c r="V190" s="977"/>
      <c r="W190" s="977"/>
      <c r="X190" s="977"/>
      <c r="Y190" s="977"/>
      <c r="Z190" s="977"/>
      <c r="AA190" s="977"/>
      <c r="AB190" s="977"/>
      <c r="AC190" s="977"/>
      <c r="AD190" s="977"/>
      <c r="AE190" s="977"/>
      <c r="AF190" s="977"/>
      <c r="AG190" s="977"/>
      <c r="AH190" s="977"/>
      <c r="AI190" s="977"/>
      <c r="AJ190" s="977"/>
      <c r="AK190" s="977"/>
      <c r="AL190" s="977"/>
      <c r="AM190" s="977"/>
      <c r="AN190" s="977"/>
      <c r="AO190" s="977"/>
      <c r="AP190" s="977"/>
      <c r="AQ190" s="977"/>
      <c r="AR190" s="335"/>
      <c r="AS190" s="335"/>
      <c r="AT190" s="335"/>
      <c r="AU190" s="335"/>
      <c r="AV190" s="335"/>
      <c r="AW190" s="335"/>
      <c r="AX190" s="335"/>
      <c r="AY190" s="335"/>
      <c r="AZ190" s="335"/>
      <c r="BA190" s="335"/>
      <c r="BB190" s="335"/>
      <c r="BC190" s="335"/>
      <c r="BD190" s="335"/>
      <c r="BE190" s="335"/>
      <c r="BF190" s="335"/>
      <c r="BG190" s="335"/>
      <c r="BH190" s="335"/>
      <c r="BI190" s="335"/>
      <c r="BJ190" s="335"/>
      <c r="BK190" s="335"/>
      <c r="BL190" s="335"/>
      <c r="BM190" s="335"/>
      <c r="BN190" s="335"/>
      <c r="BO190" s="335"/>
      <c r="BP190" s="335"/>
      <c r="BQ190" s="335"/>
      <c r="BR190" s="335"/>
      <c r="BS190" s="335"/>
      <c r="BT190" s="335"/>
      <c r="BU190" s="335"/>
      <c r="BV190" s="335"/>
      <c r="BW190" s="335"/>
      <c r="BX190" s="335"/>
      <c r="BY190" s="335"/>
      <c r="BZ190" s="335"/>
      <c r="CA190" s="335"/>
      <c r="CB190" s="335"/>
      <c r="CC190" s="335"/>
      <c r="CD190" s="335"/>
      <c r="CE190" s="335"/>
      <c r="CF190" s="335"/>
      <c r="CG190" s="335"/>
      <c r="CH190" s="335"/>
      <c r="CI190" s="335"/>
      <c r="CJ190" s="335"/>
      <c r="CK190" s="335"/>
      <c r="CL190" s="335"/>
      <c r="CM190" s="335"/>
      <c r="CN190" s="335"/>
      <c r="CO190" s="335"/>
      <c r="CP190" s="335"/>
      <c r="CQ190" s="335"/>
      <c r="CR190" s="335"/>
      <c r="CS190" s="335"/>
      <c r="CT190" s="335"/>
      <c r="CU190" s="335"/>
      <c r="CV190" s="335"/>
      <c r="CW190" s="335"/>
      <c r="CX190" s="335"/>
      <c r="CY190" s="335"/>
      <c r="CZ190" s="335"/>
      <c r="DA190" s="335"/>
      <c r="DB190" s="335"/>
      <c r="DC190" s="335"/>
      <c r="DD190" s="335"/>
      <c r="DE190" s="335"/>
      <c r="DF190" s="335"/>
      <c r="DG190" s="335"/>
      <c r="DH190" s="335"/>
      <c r="DI190" s="335"/>
      <c r="DJ190" s="335"/>
      <c r="DK190" s="335"/>
      <c r="DL190" s="335"/>
      <c r="DM190" s="335"/>
      <c r="DN190" s="335"/>
      <c r="DO190" s="335"/>
    </row>
    <row r="191" spans="1:119" ht="35.1" customHeight="1">
      <c r="A191" s="977"/>
      <c r="B191" s="977"/>
      <c r="C191" s="977"/>
      <c r="D191" s="977"/>
      <c r="E191" s="977"/>
      <c r="F191" s="977"/>
      <c r="G191" s="977"/>
      <c r="H191" s="977"/>
      <c r="I191" s="977"/>
      <c r="J191" s="977"/>
      <c r="K191" s="977"/>
      <c r="L191" s="977"/>
      <c r="M191" s="977"/>
      <c r="N191" s="977"/>
      <c r="O191" s="977"/>
      <c r="P191" s="977"/>
      <c r="Q191" s="977"/>
      <c r="R191" s="977"/>
      <c r="S191" s="977"/>
      <c r="T191" s="977"/>
      <c r="U191" s="977"/>
      <c r="V191" s="977"/>
      <c r="W191" s="977"/>
      <c r="X191" s="977"/>
      <c r="Y191" s="977"/>
      <c r="Z191" s="977"/>
      <c r="AA191" s="977"/>
      <c r="AB191" s="977"/>
      <c r="AC191" s="977"/>
      <c r="AD191" s="977"/>
      <c r="AE191" s="977"/>
      <c r="AF191" s="977"/>
      <c r="AG191" s="977"/>
      <c r="AH191" s="977"/>
      <c r="AI191" s="977"/>
      <c r="AJ191" s="977"/>
      <c r="AK191" s="977"/>
      <c r="AL191" s="977"/>
      <c r="AM191" s="977"/>
      <c r="AN191" s="977"/>
      <c r="AO191" s="977"/>
      <c r="AP191" s="977"/>
      <c r="AQ191" s="977"/>
      <c r="AR191" s="335"/>
      <c r="AS191" s="335"/>
      <c r="AT191" s="335"/>
      <c r="AU191" s="335"/>
      <c r="AV191" s="335"/>
      <c r="AW191" s="335"/>
      <c r="AX191" s="335"/>
      <c r="AY191" s="335"/>
      <c r="AZ191" s="335"/>
      <c r="BA191" s="335"/>
      <c r="BB191" s="335"/>
      <c r="BC191" s="335"/>
      <c r="BD191" s="335"/>
      <c r="BE191" s="335"/>
      <c r="BF191" s="335"/>
      <c r="BG191" s="335"/>
      <c r="BH191" s="335"/>
      <c r="BI191" s="335"/>
      <c r="BJ191" s="335"/>
      <c r="BK191" s="335"/>
      <c r="BL191" s="335"/>
      <c r="BM191" s="335"/>
      <c r="BN191" s="335"/>
      <c r="BO191" s="335"/>
      <c r="BP191" s="335"/>
      <c r="BQ191" s="335"/>
      <c r="BR191" s="335"/>
      <c r="BS191" s="335"/>
      <c r="BT191" s="335"/>
      <c r="BU191" s="335"/>
      <c r="BV191" s="335"/>
      <c r="BW191" s="335"/>
      <c r="BX191" s="335"/>
      <c r="BY191" s="335"/>
      <c r="BZ191" s="335"/>
      <c r="CA191" s="335"/>
      <c r="CB191" s="335"/>
      <c r="CC191" s="335"/>
      <c r="CD191" s="335"/>
      <c r="CE191" s="335"/>
      <c r="CF191" s="335"/>
      <c r="CG191" s="335"/>
      <c r="CH191" s="335"/>
      <c r="CI191" s="335"/>
      <c r="CJ191" s="335"/>
      <c r="CK191" s="335"/>
      <c r="CL191" s="335"/>
      <c r="CM191" s="335"/>
      <c r="CN191" s="335"/>
      <c r="CO191" s="335"/>
      <c r="CP191" s="335"/>
      <c r="CQ191" s="335"/>
      <c r="CR191" s="335"/>
      <c r="CS191" s="335"/>
      <c r="CT191" s="335"/>
      <c r="CU191" s="335"/>
      <c r="CV191" s="335"/>
      <c r="CW191" s="335"/>
      <c r="CX191" s="335"/>
      <c r="CY191" s="335"/>
      <c r="CZ191" s="335"/>
      <c r="DA191" s="335"/>
      <c r="DB191" s="335"/>
      <c r="DC191" s="335"/>
      <c r="DD191" s="335"/>
      <c r="DE191" s="335"/>
      <c r="DF191" s="335"/>
      <c r="DG191" s="335"/>
      <c r="DH191" s="335"/>
      <c r="DI191" s="335"/>
      <c r="DJ191" s="335"/>
      <c r="DK191" s="335"/>
      <c r="DL191" s="335"/>
      <c r="DM191" s="335"/>
      <c r="DN191" s="335"/>
      <c r="DO191" s="335"/>
    </row>
    <row r="192" spans="1:119" ht="35.1" customHeight="1">
      <c r="A192" s="977"/>
      <c r="B192" s="977"/>
      <c r="C192" s="977"/>
      <c r="D192" s="977"/>
      <c r="E192" s="977"/>
      <c r="F192" s="977"/>
      <c r="G192" s="977"/>
      <c r="H192" s="977"/>
      <c r="I192" s="977"/>
      <c r="J192" s="977"/>
      <c r="K192" s="977"/>
      <c r="L192" s="977"/>
      <c r="M192" s="977"/>
      <c r="N192" s="977"/>
      <c r="O192" s="977"/>
      <c r="P192" s="977"/>
      <c r="Q192" s="977"/>
      <c r="R192" s="977"/>
      <c r="S192" s="977"/>
      <c r="T192" s="977"/>
      <c r="U192" s="977"/>
      <c r="V192" s="977"/>
      <c r="W192" s="977"/>
      <c r="X192" s="977"/>
      <c r="Y192" s="977"/>
      <c r="Z192" s="977"/>
      <c r="AA192" s="977"/>
      <c r="AB192" s="977"/>
      <c r="AC192" s="977"/>
      <c r="AD192" s="977"/>
      <c r="AE192" s="977"/>
      <c r="AF192" s="977"/>
      <c r="AG192" s="977"/>
      <c r="AH192" s="977"/>
      <c r="AI192" s="977"/>
      <c r="AJ192" s="977"/>
      <c r="AK192" s="977"/>
      <c r="AL192" s="977"/>
      <c r="AM192" s="977"/>
      <c r="AN192" s="977"/>
      <c r="AO192" s="977"/>
      <c r="AP192" s="977"/>
      <c r="AQ192" s="977"/>
      <c r="AR192" s="335"/>
      <c r="AS192" s="335"/>
      <c r="AT192" s="335"/>
      <c r="AU192" s="335"/>
      <c r="AV192" s="335"/>
      <c r="AW192" s="335"/>
      <c r="AX192" s="335"/>
      <c r="AY192" s="335"/>
      <c r="AZ192" s="335"/>
      <c r="BA192" s="335"/>
      <c r="BB192" s="335"/>
      <c r="BC192" s="335"/>
      <c r="BD192" s="335"/>
      <c r="BE192" s="335"/>
      <c r="BF192" s="335"/>
      <c r="BG192" s="335"/>
      <c r="BH192" s="335"/>
      <c r="BI192" s="335"/>
      <c r="BJ192" s="335"/>
      <c r="BK192" s="335"/>
      <c r="BL192" s="335"/>
      <c r="BM192" s="335"/>
      <c r="BN192" s="335"/>
      <c r="BO192" s="335"/>
      <c r="BP192" s="335"/>
      <c r="BQ192" s="335"/>
      <c r="BR192" s="335"/>
      <c r="BS192" s="335"/>
      <c r="BT192" s="335"/>
      <c r="BU192" s="335"/>
      <c r="BV192" s="335"/>
      <c r="BW192" s="335"/>
      <c r="BX192" s="335"/>
      <c r="BY192" s="335"/>
      <c r="BZ192" s="335"/>
      <c r="CA192" s="335"/>
      <c r="CB192" s="335"/>
      <c r="CC192" s="335"/>
      <c r="CD192" s="335"/>
      <c r="CE192" s="335"/>
      <c r="CF192" s="335"/>
      <c r="CG192" s="335"/>
      <c r="CH192" s="335"/>
      <c r="CI192" s="335"/>
      <c r="CJ192" s="335"/>
      <c r="CK192" s="335"/>
      <c r="CL192" s="335"/>
      <c r="CM192" s="335"/>
      <c r="CN192" s="335"/>
      <c r="CO192" s="335"/>
      <c r="CP192" s="335"/>
      <c r="CQ192" s="335"/>
      <c r="CR192" s="335"/>
      <c r="CS192" s="335"/>
      <c r="CT192" s="335"/>
      <c r="CU192" s="335"/>
      <c r="CV192" s="335"/>
      <c r="CW192" s="335"/>
      <c r="CX192" s="335"/>
      <c r="CY192" s="335"/>
      <c r="CZ192" s="335"/>
      <c r="DA192" s="335"/>
      <c r="DB192" s="335"/>
      <c r="DC192" s="335"/>
      <c r="DD192" s="335"/>
      <c r="DE192" s="335"/>
      <c r="DF192" s="335"/>
      <c r="DG192" s="335"/>
      <c r="DH192" s="335"/>
      <c r="DI192" s="335"/>
      <c r="DJ192" s="335"/>
      <c r="DK192" s="335"/>
      <c r="DL192" s="335"/>
      <c r="DM192" s="335"/>
      <c r="DN192" s="335"/>
      <c r="DO192" s="335"/>
    </row>
    <row r="193" spans="1:119" ht="35.1" customHeight="1">
      <c r="A193" s="977"/>
      <c r="B193" s="977"/>
      <c r="C193" s="977"/>
      <c r="D193" s="977"/>
      <c r="E193" s="977"/>
      <c r="F193" s="977"/>
      <c r="G193" s="977"/>
      <c r="H193" s="977"/>
      <c r="I193" s="977"/>
      <c r="J193" s="977"/>
      <c r="K193" s="977"/>
      <c r="L193" s="977"/>
      <c r="M193" s="977"/>
      <c r="N193" s="977"/>
      <c r="O193" s="977"/>
      <c r="P193" s="977"/>
      <c r="Q193" s="977"/>
      <c r="R193" s="977"/>
      <c r="S193" s="977"/>
      <c r="T193" s="977"/>
      <c r="U193" s="977"/>
      <c r="V193" s="977"/>
      <c r="W193" s="977"/>
      <c r="X193" s="977"/>
      <c r="Y193" s="977"/>
      <c r="Z193" s="977"/>
      <c r="AA193" s="977"/>
      <c r="AB193" s="977"/>
      <c r="AC193" s="977"/>
      <c r="AD193" s="977"/>
      <c r="AE193" s="977"/>
      <c r="AF193" s="977"/>
      <c r="AG193" s="977"/>
      <c r="AH193" s="977"/>
      <c r="AI193" s="977"/>
      <c r="AJ193" s="977"/>
      <c r="AK193" s="977"/>
      <c r="AL193" s="977"/>
      <c r="AM193" s="977"/>
      <c r="AN193" s="977"/>
      <c r="AO193" s="977"/>
      <c r="AP193" s="977"/>
      <c r="AQ193" s="977"/>
      <c r="AR193" s="335"/>
      <c r="AS193" s="335"/>
      <c r="AT193" s="335"/>
      <c r="AU193" s="335"/>
      <c r="AV193" s="335"/>
      <c r="AW193" s="335"/>
      <c r="AX193" s="335"/>
      <c r="AY193" s="335"/>
      <c r="AZ193" s="335"/>
      <c r="BA193" s="335"/>
      <c r="BB193" s="335"/>
      <c r="BC193" s="335"/>
      <c r="BD193" s="335"/>
      <c r="BE193" s="335"/>
      <c r="BF193" s="335"/>
      <c r="BG193" s="335"/>
      <c r="BH193" s="335"/>
      <c r="BI193" s="335"/>
      <c r="BJ193" s="335"/>
      <c r="BK193" s="335"/>
      <c r="BL193" s="335"/>
      <c r="BM193" s="335"/>
      <c r="BN193" s="335"/>
      <c r="BO193" s="335"/>
      <c r="BP193" s="335"/>
      <c r="BQ193" s="335"/>
      <c r="BR193" s="335"/>
      <c r="BS193" s="335"/>
      <c r="BT193" s="335"/>
      <c r="BU193" s="335"/>
      <c r="BV193" s="335"/>
      <c r="BW193" s="335"/>
      <c r="BX193" s="335"/>
      <c r="BY193" s="335"/>
      <c r="BZ193" s="335"/>
      <c r="CA193" s="335"/>
      <c r="CB193" s="335"/>
      <c r="CC193" s="335"/>
      <c r="CD193" s="335"/>
      <c r="CE193" s="335"/>
      <c r="CF193" s="335"/>
      <c r="CG193" s="335"/>
      <c r="CH193" s="335"/>
      <c r="CI193" s="335"/>
      <c r="CJ193" s="335"/>
      <c r="CK193" s="335"/>
      <c r="CL193" s="335"/>
      <c r="CM193" s="335"/>
      <c r="CN193" s="335"/>
      <c r="CO193" s="335"/>
      <c r="CP193" s="335"/>
      <c r="CQ193" s="335"/>
      <c r="CR193" s="335"/>
      <c r="CS193" s="335"/>
      <c r="CT193" s="335"/>
      <c r="CU193" s="335"/>
      <c r="CV193" s="335"/>
      <c r="CW193" s="335"/>
      <c r="CX193" s="335"/>
      <c r="CY193" s="335"/>
      <c r="CZ193" s="335"/>
      <c r="DA193" s="335"/>
      <c r="DB193" s="335"/>
      <c r="DC193" s="335"/>
      <c r="DD193" s="335"/>
      <c r="DE193" s="335"/>
      <c r="DF193" s="335"/>
      <c r="DG193" s="335"/>
      <c r="DH193" s="335"/>
      <c r="DI193" s="335"/>
      <c r="DJ193" s="335"/>
      <c r="DK193" s="335"/>
      <c r="DL193" s="335"/>
      <c r="DM193" s="335"/>
      <c r="DN193" s="335"/>
      <c r="DO193" s="335"/>
    </row>
    <row r="194" spans="1:119" ht="35.1" customHeight="1">
      <c r="A194" s="977"/>
      <c r="B194" s="977"/>
      <c r="C194" s="977"/>
      <c r="D194" s="977"/>
      <c r="E194" s="977"/>
      <c r="F194" s="977"/>
      <c r="G194" s="977"/>
      <c r="H194" s="977"/>
      <c r="I194" s="977"/>
      <c r="J194" s="977"/>
      <c r="K194" s="977"/>
      <c r="L194" s="977"/>
      <c r="M194" s="977"/>
      <c r="N194" s="977"/>
      <c r="O194" s="977"/>
      <c r="P194" s="977"/>
      <c r="Q194" s="977"/>
      <c r="R194" s="977"/>
      <c r="S194" s="977"/>
      <c r="T194" s="977"/>
      <c r="U194" s="977"/>
      <c r="V194" s="977"/>
      <c r="W194" s="977"/>
      <c r="X194" s="977"/>
      <c r="Y194" s="977"/>
      <c r="Z194" s="977"/>
      <c r="AA194" s="977"/>
      <c r="AB194" s="977"/>
      <c r="AC194" s="977"/>
      <c r="AD194" s="977"/>
      <c r="AE194" s="977"/>
      <c r="AF194" s="977"/>
      <c r="AG194" s="977"/>
      <c r="AH194" s="977"/>
      <c r="AI194" s="977"/>
      <c r="AJ194" s="977"/>
      <c r="AK194" s="977"/>
      <c r="AL194" s="977"/>
      <c r="AM194" s="977"/>
      <c r="AN194" s="977"/>
      <c r="AO194" s="977"/>
      <c r="AP194" s="977"/>
      <c r="AQ194" s="977"/>
      <c r="AR194" s="335"/>
      <c r="AS194" s="335"/>
      <c r="AT194" s="335"/>
      <c r="AU194" s="335"/>
      <c r="AV194" s="335"/>
      <c r="AW194" s="335"/>
      <c r="AX194" s="335"/>
      <c r="AY194" s="335"/>
      <c r="AZ194" s="335"/>
      <c r="BA194" s="335"/>
      <c r="BB194" s="335"/>
      <c r="BC194" s="335"/>
      <c r="BD194" s="335"/>
      <c r="BE194" s="335"/>
      <c r="BF194" s="335"/>
      <c r="BG194" s="335"/>
      <c r="BH194" s="335"/>
      <c r="BI194" s="335"/>
      <c r="BJ194" s="335"/>
      <c r="BK194" s="335"/>
      <c r="BL194" s="335"/>
      <c r="BM194" s="335"/>
      <c r="BN194" s="335"/>
      <c r="BO194" s="335"/>
      <c r="BP194" s="335"/>
      <c r="BQ194" s="335"/>
      <c r="BR194" s="335"/>
      <c r="BS194" s="335"/>
      <c r="BT194" s="335"/>
      <c r="BU194" s="335"/>
      <c r="BV194" s="335"/>
      <c r="BW194" s="335"/>
      <c r="BX194" s="335"/>
      <c r="BY194" s="335"/>
      <c r="BZ194" s="335"/>
      <c r="CA194" s="335"/>
      <c r="CB194" s="335"/>
      <c r="CC194" s="335"/>
      <c r="CD194" s="335"/>
      <c r="CE194" s="335"/>
      <c r="CF194" s="335"/>
      <c r="CG194" s="335"/>
      <c r="CH194" s="335"/>
      <c r="CI194" s="335"/>
      <c r="CJ194" s="335"/>
      <c r="CK194" s="335"/>
      <c r="CL194" s="335"/>
      <c r="CM194" s="335"/>
      <c r="CN194" s="335"/>
      <c r="CO194" s="335"/>
      <c r="CP194" s="335"/>
      <c r="CQ194" s="335"/>
      <c r="CR194" s="335"/>
      <c r="CS194" s="335"/>
      <c r="CT194" s="335"/>
      <c r="CU194" s="335"/>
      <c r="CV194" s="335"/>
      <c r="CW194" s="335"/>
      <c r="CX194" s="335"/>
      <c r="CY194" s="335"/>
      <c r="CZ194" s="335"/>
      <c r="DA194" s="335"/>
      <c r="DB194" s="335"/>
      <c r="DC194" s="335"/>
      <c r="DD194" s="335"/>
      <c r="DE194" s="335"/>
      <c r="DF194" s="335"/>
      <c r="DG194" s="335"/>
      <c r="DH194" s="335"/>
      <c r="DI194" s="335"/>
      <c r="DJ194" s="335"/>
      <c r="DK194" s="335"/>
      <c r="DL194" s="335"/>
      <c r="DM194" s="335"/>
      <c r="DN194" s="335"/>
      <c r="DO194" s="335"/>
    </row>
    <row r="195" spans="1:119" ht="35.1" customHeight="1">
      <c r="A195" s="977"/>
      <c r="B195" s="977"/>
      <c r="C195" s="977"/>
      <c r="D195" s="977"/>
      <c r="E195" s="977"/>
      <c r="F195" s="977"/>
      <c r="G195" s="977"/>
      <c r="H195" s="977"/>
      <c r="I195" s="977"/>
      <c r="J195" s="977"/>
      <c r="K195" s="977"/>
      <c r="L195" s="977"/>
      <c r="M195" s="977"/>
      <c r="N195" s="977"/>
      <c r="O195" s="977"/>
      <c r="P195" s="977"/>
      <c r="Q195" s="977"/>
      <c r="R195" s="977"/>
      <c r="S195" s="977"/>
      <c r="T195" s="977"/>
      <c r="U195" s="977"/>
      <c r="V195" s="977"/>
      <c r="W195" s="977"/>
      <c r="X195" s="977"/>
      <c r="Y195" s="977"/>
      <c r="Z195" s="977"/>
      <c r="AA195" s="977"/>
      <c r="AB195" s="977"/>
      <c r="AC195" s="977"/>
      <c r="AD195" s="977"/>
      <c r="AE195" s="977"/>
      <c r="AF195" s="977"/>
      <c r="AG195" s="977"/>
      <c r="AH195" s="977"/>
      <c r="AI195" s="977"/>
      <c r="AJ195" s="977"/>
      <c r="AK195" s="977"/>
      <c r="AL195" s="977"/>
      <c r="AM195" s="977"/>
      <c r="AN195" s="977"/>
      <c r="AO195" s="977"/>
      <c r="AP195" s="977"/>
      <c r="AQ195" s="977"/>
      <c r="AR195" s="335"/>
      <c r="AS195" s="335"/>
      <c r="AT195" s="335"/>
      <c r="AU195" s="335"/>
      <c r="AV195" s="335"/>
      <c r="AW195" s="335"/>
      <c r="AX195" s="335"/>
      <c r="AY195" s="335"/>
      <c r="AZ195" s="335"/>
      <c r="BA195" s="335"/>
      <c r="BB195" s="335"/>
      <c r="BC195" s="335"/>
      <c r="BD195" s="335"/>
      <c r="BE195" s="335"/>
      <c r="BF195" s="335"/>
      <c r="BG195" s="335"/>
      <c r="BH195" s="335"/>
      <c r="BI195" s="335"/>
      <c r="BJ195" s="335"/>
      <c r="BK195" s="335"/>
      <c r="BL195" s="335"/>
      <c r="BM195" s="335"/>
      <c r="BN195" s="335"/>
      <c r="BO195" s="335"/>
      <c r="BP195" s="335"/>
      <c r="BQ195" s="335"/>
      <c r="BR195" s="335"/>
      <c r="BS195" s="335"/>
      <c r="BT195" s="335"/>
      <c r="BU195" s="335"/>
      <c r="BV195" s="335"/>
      <c r="BW195" s="335"/>
      <c r="BX195" s="335"/>
      <c r="BY195" s="335"/>
      <c r="BZ195" s="335"/>
      <c r="CA195" s="335"/>
      <c r="CB195" s="335"/>
      <c r="CC195" s="335"/>
      <c r="CD195" s="335"/>
      <c r="CE195" s="335"/>
      <c r="CF195" s="335"/>
      <c r="CG195" s="335"/>
      <c r="CH195" s="335"/>
      <c r="CI195" s="335"/>
      <c r="CJ195" s="335"/>
      <c r="CK195" s="335"/>
      <c r="CL195" s="335"/>
      <c r="CM195" s="335"/>
      <c r="CN195" s="335"/>
      <c r="CO195" s="335"/>
      <c r="CP195" s="335"/>
      <c r="CQ195" s="335"/>
      <c r="CR195" s="335"/>
      <c r="CS195" s="335"/>
      <c r="CT195" s="335"/>
      <c r="CU195" s="335"/>
      <c r="CV195" s="335"/>
      <c r="CW195" s="335"/>
      <c r="CX195" s="335"/>
      <c r="CY195" s="335"/>
      <c r="CZ195" s="335"/>
      <c r="DA195" s="335"/>
      <c r="DB195" s="335"/>
      <c r="DC195" s="335"/>
      <c r="DD195" s="335"/>
      <c r="DE195" s="335"/>
      <c r="DF195" s="335"/>
      <c r="DG195" s="335"/>
      <c r="DH195" s="335"/>
      <c r="DI195" s="335"/>
      <c r="DJ195" s="335"/>
      <c r="DK195" s="335"/>
      <c r="DL195" s="335"/>
      <c r="DM195" s="335"/>
      <c r="DN195" s="335"/>
      <c r="DO195" s="335"/>
    </row>
    <row r="196" spans="1:119" ht="35.1" customHeight="1">
      <c r="A196" s="977"/>
      <c r="B196" s="977"/>
      <c r="C196" s="977"/>
      <c r="D196" s="977"/>
      <c r="E196" s="977"/>
      <c r="F196" s="977"/>
      <c r="G196" s="977"/>
      <c r="H196" s="977"/>
      <c r="I196" s="977"/>
      <c r="J196" s="977"/>
      <c r="K196" s="977"/>
      <c r="L196" s="977"/>
      <c r="M196" s="977"/>
      <c r="N196" s="977"/>
      <c r="O196" s="977"/>
      <c r="P196" s="977"/>
      <c r="Q196" s="977"/>
      <c r="R196" s="977"/>
      <c r="S196" s="977"/>
      <c r="T196" s="977"/>
      <c r="U196" s="977"/>
      <c r="V196" s="977"/>
      <c r="W196" s="977"/>
      <c r="X196" s="977"/>
      <c r="Y196" s="977"/>
      <c r="Z196" s="977"/>
      <c r="AA196" s="977"/>
      <c r="AB196" s="977"/>
      <c r="AC196" s="977"/>
      <c r="AD196" s="977"/>
      <c r="AE196" s="977"/>
      <c r="AF196" s="977"/>
      <c r="AG196" s="977"/>
      <c r="AH196" s="977"/>
      <c r="AI196" s="977"/>
      <c r="AJ196" s="977"/>
      <c r="AK196" s="977"/>
      <c r="AL196" s="977"/>
      <c r="AM196" s="977"/>
      <c r="AN196" s="977"/>
      <c r="AO196" s="977"/>
      <c r="AP196" s="977"/>
      <c r="AQ196" s="977"/>
      <c r="AR196" s="335"/>
      <c r="AS196" s="335"/>
      <c r="AT196" s="335"/>
      <c r="AU196" s="335"/>
      <c r="AV196" s="335"/>
      <c r="AW196" s="335"/>
      <c r="AX196" s="335"/>
      <c r="AY196" s="335"/>
      <c r="AZ196" s="335"/>
      <c r="BA196" s="335"/>
      <c r="BB196" s="335"/>
      <c r="BC196" s="335"/>
      <c r="BD196" s="335"/>
      <c r="BE196" s="335"/>
      <c r="BF196" s="335"/>
      <c r="BG196" s="335"/>
      <c r="BH196" s="335"/>
      <c r="BI196" s="335"/>
      <c r="BJ196" s="335"/>
      <c r="BK196" s="335"/>
      <c r="BL196" s="335"/>
      <c r="BM196" s="335"/>
      <c r="BN196" s="335"/>
      <c r="BO196" s="335"/>
      <c r="BP196" s="335"/>
      <c r="BQ196" s="335"/>
      <c r="BR196" s="335"/>
      <c r="BS196" s="335"/>
      <c r="BT196" s="335"/>
      <c r="BU196" s="335"/>
      <c r="BV196" s="335"/>
      <c r="BW196" s="335"/>
      <c r="BX196" s="335"/>
      <c r="BY196" s="335"/>
      <c r="BZ196" s="335"/>
      <c r="CA196" s="335"/>
      <c r="CB196" s="335"/>
      <c r="CC196" s="335"/>
      <c r="CD196" s="335"/>
      <c r="CE196" s="335"/>
      <c r="CF196" s="335"/>
      <c r="CG196" s="335"/>
      <c r="CH196" s="335"/>
      <c r="CI196" s="335"/>
      <c r="CJ196" s="335"/>
      <c r="CK196" s="335"/>
      <c r="CL196" s="335"/>
      <c r="CM196" s="335"/>
      <c r="CN196" s="335"/>
      <c r="CO196" s="335"/>
      <c r="CP196" s="335"/>
      <c r="CQ196" s="335"/>
      <c r="CR196" s="335"/>
      <c r="CS196" s="335"/>
      <c r="CT196" s="335"/>
      <c r="CU196" s="335"/>
      <c r="CV196" s="335"/>
      <c r="CW196" s="335"/>
      <c r="CX196" s="335"/>
      <c r="CY196" s="335"/>
      <c r="CZ196" s="335"/>
      <c r="DA196" s="335"/>
      <c r="DB196" s="335"/>
      <c r="DC196" s="335"/>
      <c r="DD196" s="335"/>
      <c r="DE196" s="335"/>
      <c r="DF196" s="335"/>
      <c r="DG196" s="335"/>
      <c r="DH196" s="335"/>
      <c r="DI196" s="335"/>
      <c r="DJ196" s="335"/>
      <c r="DK196" s="335"/>
      <c r="DL196" s="335"/>
      <c r="DM196" s="335"/>
      <c r="DN196" s="335"/>
      <c r="DO196" s="335"/>
    </row>
    <row r="197" spans="1:119" ht="35.1" customHeight="1">
      <c r="A197" s="977"/>
      <c r="B197" s="977"/>
      <c r="C197" s="977"/>
      <c r="D197" s="977"/>
      <c r="E197" s="977"/>
      <c r="F197" s="977"/>
      <c r="G197" s="977"/>
      <c r="H197" s="977"/>
      <c r="I197" s="977"/>
      <c r="J197" s="977"/>
      <c r="K197" s="977"/>
      <c r="L197" s="977"/>
      <c r="M197" s="977"/>
      <c r="N197" s="977"/>
      <c r="O197" s="977"/>
      <c r="P197" s="977"/>
      <c r="Q197" s="977"/>
      <c r="R197" s="977"/>
      <c r="S197" s="977"/>
      <c r="T197" s="977"/>
      <c r="U197" s="977"/>
      <c r="V197" s="977"/>
      <c r="W197" s="977"/>
      <c r="X197" s="977"/>
      <c r="Y197" s="977"/>
      <c r="Z197" s="977"/>
      <c r="AA197" s="977"/>
      <c r="AB197" s="977"/>
      <c r="AC197" s="977"/>
      <c r="AD197" s="977"/>
      <c r="AE197" s="977"/>
      <c r="AF197" s="977"/>
      <c r="AG197" s="977"/>
      <c r="AH197" s="977"/>
      <c r="AI197" s="977"/>
      <c r="AJ197" s="977"/>
      <c r="AK197" s="977"/>
      <c r="AL197" s="977"/>
      <c r="AM197" s="977"/>
      <c r="AN197" s="977"/>
      <c r="AO197" s="977"/>
      <c r="AP197" s="977"/>
      <c r="AQ197" s="977"/>
      <c r="AR197" s="335"/>
      <c r="AS197" s="335"/>
      <c r="AT197" s="335"/>
      <c r="AU197" s="335"/>
      <c r="AV197" s="335"/>
      <c r="AW197" s="335"/>
      <c r="AX197" s="335"/>
      <c r="AY197" s="335"/>
      <c r="AZ197" s="335"/>
      <c r="BA197" s="335"/>
      <c r="BB197" s="335"/>
      <c r="BC197" s="335"/>
      <c r="BD197" s="335"/>
      <c r="BE197" s="335"/>
      <c r="BF197" s="335"/>
      <c r="BG197" s="335"/>
      <c r="BH197" s="335"/>
      <c r="BI197" s="335"/>
      <c r="BJ197" s="335"/>
      <c r="BK197" s="335"/>
      <c r="BL197" s="335"/>
      <c r="BM197" s="335"/>
      <c r="BN197" s="335"/>
      <c r="BO197" s="335"/>
      <c r="BP197" s="335"/>
      <c r="BQ197" s="335"/>
      <c r="BR197" s="335"/>
      <c r="BS197" s="335"/>
      <c r="BT197" s="335"/>
      <c r="BU197" s="335"/>
      <c r="BV197" s="335"/>
      <c r="BW197" s="335"/>
      <c r="BX197" s="335"/>
      <c r="BY197" s="335"/>
      <c r="BZ197" s="335"/>
      <c r="CA197" s="335"/>
      <c r="CB197" s="335"/>
      <c r="CC197" s="335"/>
      <c r="CD197" s="335"/>
      <c r="CE197" s="335"/>
      <c r="CF197" s="335"/>
      <c r="CG197" s="335"/>
      <c r="CH197" s="335"/>
      <c r="CI197" s="335"/>
      <c r="CJ197" s="335"/>
      <c r="CK197" s="335"/>
      <c r="CL197" s="335"/>
      <c r="CM197" s="335"/>
      <c r="CN197" s="335"/>
      <c r="CO197" s="335"/>
      <c r="CP197" s="335"/>
      <c r="CQ197" s="335"/>
      <c r="CR197" s="335"/>
      <c r="CS197" s="335"/>
      <c r="CT197" s="335"/>
      <c r="CU197" s="335"/>
      <c r="CV197" s="335"/>
      <c r="CW197" s="335"/>
      <c r="CX197" s="335"/>
      <c r="CY197" s="335"/>
      <c r="CZ197" s="335"/>
      <c r="DA197" s="335"/>
      <c r="DB197" s="335"/>
      <c r="DC197" s="335"/>
      <c r="DD197" s="335"/>
      <c r="DE197" s="335"/>
      <c r="DF197" s="335"/>
      <c r="DG197" s="335"/>
      <c r="DH197" s="335"/>
      <c r="DI197" s="335"/>
      <c r="DJ197" s="335"/>
      <c r="DK197" s="335"/>
      <c r="DL197" s="335"/>
      <c r="DM197" s="335"/>
      <c r="DN197" s="335"/>
      <c r="DO197" s="335"/>
    </row>
    <row r="198" spans="1:119" ht="35.1" customHeight="1">
      <c r="A198" s="977"/>
      <c r="B198" s="977"/>
      <c r="C198" s="977"/>
      <c r="D198" s="977"/>
      <c r="E198" s="977"/>
      <c r="F198" s="977"/>
      <c r="G198" s="977"/>
      <c r="H198" s="977"/>
      <c r="I198" s="977"/>
      <c r="J198" s="977"/>
      <c r="K198" s="977"/>
      <c r="L198" s="977"/>
      <c r="M198" s="977"/>
      <c r="N198" s="977"/>
      <c r="O198" s="977"/>
      <c r="P198" s="977"/>
      <c r="Q198" s="977"/>
      <c r="R198" s="977"/>
      <c r="S198" s="977"/>
      <c r="T198" s="977"/>
      <c r="U198" s="977"/>
      <c r="V198" s="977"/>
      <c r="W198" s="977"/>
      <c r="X198" s="977"/>
      <c r="Y198" s="977"/>
      <c r="Z198" s="977"/>
      <c r="AA198" s="977"/>
      <c r="AB198" s="977"/>
      <c r="AC198" s="977"/>
      <c r="AD198" s="977"/>
      <c r="AE198" s="977"/>
      <c r="AF198" s="977"/>
      <c r="AG198" s="977"/>
      <c r="AH198" s="977"/>
      <c r="AI198" s="977"/>
      <c r="AJ198" s="977"/>
      <c r="AK198" s="977"/>
      <c r="AL198" s="977"/>
      <c r="AM198" s="977"/>
      <c r="AN198" s="977"/>
      <c r="AO198" s="977"/>
      <c r="AP198" s="977"/>
      <c r="AQ198" s="977"/>
      <c r="AR198" s="335"/>
      <c r="AS198" s="335"/>
      <c r="AT198" s="335"/>
      <c r="AU198" s="335"/>
      <c r="AV198" s="335"/>
      <c r="AW198" s="335"/>
      <c r="AX198" s="335"/>
      <c r="AY198" s="335"/>
      <c r="AZ198" s="335"/>
      <c r="BA198" s="335"/>
      <c r="BB198" s="335"/>
      <c r="BC198" s="335"/>
      <c r="BD198" s="335"/>
      <c r="BE198" s="335"/>
      <c r="BF198" s="335"/>
      <c r="BG198" s="335"/>
      <c r="BH198" s="335"/>
      <c r="BI198" s="335"/>
      <c r="BJ198" s="335"/>
      <c r="BK198" s="335"/>
      <c r="BL198" s="335"/>
      <c r="BM198" s="335"/>
      <c r="BN198" s="335"/>
      <c r="BO198" s="335"/>
      <c r="BP198" s="335"/>
      <c r="BQ198" s="335"/>
      <c r="BR198" s="335"/>
      <c r="BS198" s="335"/>
      <c r="BT198" s="335"/>
      <c r="BU198" s="335"/>
      <c r="BV198" s="335"/>
      <c r="BW198" s="335"/>
      <c r="BX198" s="335"/>
      <c r="BY198" s="335"/>
      <c r="BZ198" s="335"/>
      <c r="CA198" s="335"/>
      <c r="CB198" s="335"/>
      <c r="CC198" s="335"/>
      <c r="CD198" s="335"/>
      <c r="CE198" s="335"/>
      <c r="CF198" s="335"/>
      <c r="CG198" s="335"/>
      <c r="CH198" s="335"/>
      <c r="CI198" s="335"/>
      <c r="CJ198" s="335"/>
      <c r="CK198" s="335"/>
      <c r="CL198" s="335"/>
      <c r="CM198" s="335"/>
      <c r="CN198" s="335"/>
      <c r="CO198" s="335"/>
      <c r="CP198" s="335"/>
      <c r="CQ198" s="335"/>
      <c r="CR198" s="335"/>
      <c r="CS198" s="335"/>
      <c r="CT198" s="335"/>
      <c r="CU198" s="335"/>
      <c r="CV198" s="335"/>
      <c r="CW198" s="335"/>
      <c r="CX198" s="335"/>
      <c r="CY198" s="335"/>
      <c r="CZ198" s="335"/>
      <c r="DA198" s="335"/>
      <c r="DB198" s="335"/>
      <c r="DC198" s="335"/>
      <c r="DD198" s="335"/>
      <c r="DE198" s="335"/>
      <c r="DF198" s="335"/>
      <c r="DG198" s="335"/>
      <c r="DH198" s="335"/>
      <c r="DI198" s="335"/>
      <c r="DJ198" s="335"/>
      <c r="DK198" s="335"/>
      <c r="DL198" s="335"/>
      <c r="DM198" s="335"/>
      <c r="DN198" s="335"/>
      <c r="DO198" s="335"/>
    </row>
    <row r="199" spans="1:119" ht="35.1" customHeight="1">
      <c r="A199" s="977"/>
      <c r="B199" s="977"/>
      <c r="C199" s="977"/>
      <c r="D199" s="977"/>
      <c r="E199" s="977"/>
      <c r="F199" s="977"/>
      <c r="G199" s="977"/>
      <c r="H199" s="977"/>
      <c r="I199" s="977"/>
      <c r="J199" s="977"/>
      <c r="K199" s="977"/>
      <c r="L199" s="977"/>
      <c r="M199" s="977"/>
      <c r="N199" s="977"/>
      <c r="O199" s="977"/>
      <c r="P199" s="977"/>
      <c r="Q199" s="977"/>
      <c r="R199" s="977"/>
      <c r="S199" s="977"/>
      <c r="T199" s="977"/>
      <c r="U199" s="977"/>
      <c r="V199" s="977"/>
      <c r="W199" s="977"/>
      <c r="X199" s="977"/>
      <c r="Y199" s="977"/>
      <c r="Z199" s="977"/>
      <c r="AA199" s="977"/>
      <c r="AB199" s="977"/>
      <c r="AC199" s="977"/>
      <c r="AD199" s="977"/>
      <c r="AE199" s="977"/>
      <c r="AF199" s="977"/>
      <c r="AG199" s="977"/>
      <c r="AH199" s="977"/>
      <c r="AI199" s="977"/>
      <c r="AJ199" s="977"/>
      <c r="AK199" s="977"/>
      <c r="AL199" s="977"/>
      <c r="AM199" s="977"/>
      <c r="AN199" s="977"/>
      <c r="AO199" s="977"/>
      <c r="AP199" s="977"/>
      <c r="AQ199" s="977"/>
      <c r="AR199" s="335"/>
      <c r="AS199" s="335"/>
      <c r="AT199" s="335"/>
      <c r="AU199" s="335"/>
      <c r="AV199" s="335"/>
      <c r="AW199" s="335"/>
      <c r="AX199" s="335"/>
      <c r="AY199" s="335"/>
      <c r="AZ199" s="335"/>
      <c r="BA199" s="335"/>
      <c r="BB199" s="335"/>
      <c r="BC199" s="335"/>
      <c r="BD199" s="335"/>
      <c r="BE199" s="335"/>
      <c r="BF199" s="335"/>
      <c r="BG199" s="335"/>
      <c r="BH199" s="335"/>
      <c r="BI199" s="335"/>
      <c r="BJ199" s="335"/>
      <c r="BK199" s="335"/>
      <c r="BL199" s="335"/>
      <c r="BM199" s="335"/>
      <c r="BN199" s="335"/>
      <c r="BO199" s="335"/>
      <c r="BP199" s="335"/>
      <c r="BQ199" s="335"/>
      <c r="BR199" s="335"/>
      <c r="BS199" s="335"/>
      <c r="BT199" s="335"/>
      <c r="BU199" s="335"/>
      <c r="BV199" s="335"/>
      <c r="BW199" s="335"/>
      <c r="BX199" s="335"/>
      <c r="BY199" s="335"/>
      <c r="BZ199" s="335"/>
      <c r="CA199" s="335"/>
      <c r="CB199" s="335"/>
      <c r="CC199" s="335"/>
      <c r="CD199" s="335"/>
      <c r="CE199" s="335"/>
      <c r="CF199" s="335"/>
      <c r="CG199" s="335"/>
      <c r="CH199" s="335"/>
      <c r="CI199" s="335"/>
      <c r="CJ199" s="335"/>
      <c r="CK199" s="335"/>
      <c r="CL199" s="335"/>
      <c r="CM199" s="335"/>
      <c r="CN199" s="335"/>
      <c r="CO199" s="335"/>
      <c r="CP199" s="335"/>
      <c r="CQ199" s="335"/>
      <c r="CR199" s="335"/>
      <c r="CS199" s="335"/>
      <c r="CT199" s="335"/>
      <c r="CU199" s="335"/>
      <c r="CV199" s="335"/>
      <c r="CW199" s="335"/>
      <c r="CX199" s="335"/>
      <c r="CY199" s="335"/>
      <c r="CZ199" s="335"/>
      <c r="DA199" s="335"/>
      <c r="DB199" s="335"/>
      <c r="DC199" s="335"/>
      <c r="DD199" s="335"/>
      <c r="DE199" s="335"/>
      <c r="DF199" s="335"/>
      <c r="DG199" s="335"/>
      <c r="DH199" s="335"/>
      <c r="DI199" s="335"/>
      <c r="DJ199" s="335"/>
      <c r="DK199" s="335"/>
      <c r="DL199" s="335"/>
      <c r="DM199" s="335"/>
      <c r="DN199" s="335"/>
      <c r="DO199" s="335"/>
    </row>
    <row r="200" spans="1:119" ht="35.1" customHeight="1">
      <c r="A200" s="977"/>
      <c r="B200" s="977"/>
      <c r="C200" s="977"/>
      <c r="D200" s="977"/>
      <c r="E200" s="977"/>
      <c r="F200" s="977"/>
      <c r="G200" s="977"/>
      <c r="H200" s="977"/>
      <c r="I200" s="977"/>
      <c r="J200" s="977"/>
      <c r="K200" s="977"/>
      <c r="L200" s="977"/>
      <c r="M200" s="977"/>
      <c r="N200" s="977"/>
      <c r="O200" s="977"/>
      <c r="P200" s="977"/>
      <c r="Q200" s="977"/>
      <c r="R200" s="977"/>
      <c r="S200" s="977"/>
      <c r="T200" s="977"/>
      <c r="U200" s="977"/>
      <c r="V200" s="977"/>
      <c r="W200" s="977"/>
      <c r="X200" s="977"/>
      <c r="Y200" s="977"/>
      <c r="Z200" s="977"/>
      <c r="AA200" s="977"/>
      <c r="AB200" s="977"/>
      <c r="AC200" s="977"/>
      <c r="AD200" s="977"/>
      <c r="AE200" s="977"/>
      <c r="AF200" s="977"/>
      <c r="AG200" s="977"/>
      <c r="AH200" s="977"/>
      <c r="AI200" s="977"/>
      <c r="AJ200" s="977"/>
      <c r="AK200" s="977"/>
      <c r="AL200" s="977"/>
      <c r="AM200" s="977"/>
      <c r="AN200" s="977"/>
      <c r="AO200" s="977"/>
      <c r="AP200" s="977"/>
      <c r="AQ200" s="977"/>
      <c r="AR200" s="335"/>
      <c r="AS200" s="335"/>
      <c r="AT200" s="335"/>
      <c r="AU200" s="335"/>
      <c r="AV200" s="335"/>
      <c r="AW200" s="335"/>
      <c r="AX200" s="335"/>
      <c r="AY200" s="335"/>
      <c r="AZ200" s="335"/>
      <c r="BA200" s="335"/>
      <c r="BB200" s="335"/>
      <c r="BC200" s="335"/>
      <c r="BD200" s="335"/>
      <c r="BE200" s="335"/>
      <c r="BF200" s="335"/>
      <c r="BG200" s="335"/>
      <c r="BH200" s="335"/>
      <c r="BI200" s="335"/>
      <c r="BJ200" s="335"/>
      <c r="BK200" s="335"/>
      <c r="BL200" s="335"/>
      <c r="BM200" s="335"/>
      <c r="BN200" s="335"/>
      <c r="BO200" s="335"/>
      <c r="BP200" s="335"/>
      <c r="BQ200" s="335"/>
      <c r="BR200" s="335"/>
      <c r="BS200" s="335"/>
      <c r="BT200" s="335"/>
      <c r="BU200" s="335"/>
      <c r="BV200" s="335"/>
      <c r="BW200" s="335"/>
      <c r="BX200" s="335"/>
      <c r="BY200" s="335"/>
      <c r="BZ200" s="335"/>
      <c r="CA200" s="335"/>
      <c r="CB200" s="335"/>
      <c r="CC200" s="335"/>
      <c r="CD200" s="335"/>
      <c r="CE200" s="335"/>
      <c r="CF200" s="335"/>
      <c r="CG200" s="335"/>
      <c r="CH200" s="335"/>
      <c r="CI200" s="335"/>
      <c r="CJ200" s="335"/>
      <c r="CK200" s="335"/>
      <c r="CL200" s="335"/>
      <c r="CM200" s="335"/>
      <c r="CN200" s="335"/>
      <c r="CO200" s="335"/>
      <c r="CP200" s="335"/>
      <c r="CQ200" s="335"/>
      <c r="CR200" s="335"/>
      <c r="CS200" s="335"/>
      <c r="CT200" s="335"/>
      <c r="CU200" s="335"/>
      <c r="CV200" s="335"/>
      <c r="CW200" s="335"/>
      <c r="CX200" s="335"/>
      <c r="CY200" s="335"/>
      <c r="CZ200" s="335"/>
      <c r="DA200" s="335"/>
      <c r="DB200" s="335"/>
      <c r="DC200" s="335"/>
      <c r="DD200" s="335"/>
      <c r="DE200" s="335"/>
      <c r="DF200" s="335"/>
      <c r="DG200" s="335"/>
      <c r="DH200" s="335"/>
      <c r="DI200" s="335"/>
      <c r="DJ200" s="335"/>
      <c r="DK200" s="335"/>
      <c r="DL200" s="335"/>
      <c r="DM200" s="335"/>
      <c r="DN200" s="335"/>
      <c r="DO200" s="335"/>
    </row>
    <row r="201" spans="1:119" ht="35.1" customHeight="1">
      <c r="A201" s="977"/>
      <c r="B201" s="977"/>
      <c r="C201" s="977"/>
      <c r="D201" s="977"/>
      <c r="E201" s="977"/>
      <c r="F201" s="977"/>
      <c r="G201" s="977"/>
      <c r="H201" s="977"/>
      <c r="I201" s="977"/>
      <c r="J201" s="977"/>
      <c r="K201" s="977"/>
      <c r="L201" s="977"/>
      <c r="M201" s="977"/>
      <c r="N201" s="977"/>
      <c r="O201" s="977"/>
      <c r="P201" s="977"/>
      <c r="Q201" s="977"/>
      <c r="R201" s="977"/>
      <c r="S201" s="977"/>
      <c r="T201" s="977"/>
      <c r="U201" s="977"/>
      <c r="V201" s="977"/>
      <c r="W201" s="977"/>
      <c r="X201" s="977"/>
      <c r="Y201" s="977"/>
      <c r="Z201" s="977"/>
      <c r="AA201" s="977"/>
      <c r="AB201" s="977"/>
      <c r="AC201" s="977"/>
      <c r="AD201" s="977"/>
      <c r="AE201" s="977"/>
      <c r="AF201" s="977"/>
      <c r="AG201" s="977"/>
      <c r="AH201" s="977"/>
      <c r="AI201" s="977"/>
      <c r="AJ201" s="977"/>
      <c r="AK201" s="977"/>
      <c r="AL201" s="977"/>
      <c r="AM201" s="977"/>
      <c r="AN201" s="977"/>
      <c r="AO201" s="977"/>
      <c r="AP201" s="977"/>
      <c r="AQ201" s="977"/>
      <c r="AR201" s="335"/>
      <c r="AS201" s="335"/>
      <c r="AT201" s="335"/>
      <c r="AU201" s="335"/>
      <c r="AV201" s="335"/>
      <c r="AW201" s="335"/>
      <c r="AX201" s="335"/>
      <c r="AY201" s="335"/>
      <c r="AZ201" s="335"/>
      <c r="BA201" s="335"/>
      <c r="BB201" s="335"/>
      <c r="BC201" s="335"/>
      <c r="BD201" s="335"/>
      <c r="BE201" s="335"/>
      <c r="BF201" s="335"/>
      <c r="BG201" s="335"/>
      <c r="BH201" s="335"/>
      <c r="BI201" s="335"/>
      <c r="BJ201" s="335"/>
      <c r="BK201" s="335"/>
      <c r="BL201" s="335"/>
      <c r="BM201" s="335"/>
      <c r="BN201" s="335"/>
      <c r="BO201" s="335"/>
      <c r="BP201" s="335"/>
      <c r="BQ201" s="335"/>
      <c r="BR201" s="335"/>
      <c r="BS201" s="335"/>
      <c r="BT201" s="335"/>
      <c r="BU201" s="335"/>
      <c r="BV201" s="335"/>
      <c r="BW201" s="335"/>
      <c r="BX201" s="335"/>
      <c r="BY201" s="335"/>
      <c r="BZ201" s="335"/>
      <c r="CA201" s="335"/>
      <c r="CB201" s="335"/>
      <c r="CC201" s="335"/>
      <c r="CD201" s="335"/>
      <c r="CE201" s="335"/>
      <c r="CF201" s="335"/>
      <c r="CG201" s="335"/>
      <c r="CH201" s="335"/>
      <c r="CI201" s="335"/>
      <c r="CJ201" s="335"/>
      <c r="CK201" s="335"/>
      <c r="CL201" s="335"/>
      <c r="CM201" s="335"/>
      <c r="CN201" s="335"/>
      <c r="CO201" s="335"/>
      <c r="CP201" s="335"/>
      <c r="CQ201" s="335"/>
      <c r="CR201" s="335"/>
      <c r="CS201" s="335"/>
      <c r="CT201" s="335"/>
      <c r="CU201" s="335"/>
      <c r="CV201" s="335"/>
      <c r="CW201" s="335"/>
      <c r="CX201" s="335"/>
      <c r="CY201" s="335"/>
      <c r="CZ201" s="335"/>
      <c r="DA201" s="335"/>
      <c r="DB201" s="335"/>
      <c r="DC201" s="335"/>
      <c r="DD201" s="335"/>
      <c r="DE201" s="335"/>
      <c r="DF201" s="335"/>
      <c r="DG201" s="335"/>
      <c r="DH201" s="335"/>
      <c r="DI201" s="335"/>
      <c r="DJ201" s="335"/>
      <c r="DK201" s="335"/>
      <c r="DL201" s="335"/>
      <c r="DM201" s="335"/>
      <c r="DN201" s="335"/>
      <c r="DO201" s="335"/>
    </row>
    <row r="202" spans="1:119" ht="35.1" customHeight="1">
      <c r="A202" s="977"/>
      <c r="B202" s="977"/>
      <c r="C202" s="977"/>
      <c r="D202" s="977"/>
      <c r="E202" s="977"/>
      <c r="F202" s="977"/>
      <c r="G202" s="977"/>
      <c r="H202" s="977"/>
      <c r="I202" s="977"/>
      <c r="J202" s="977"/>
      <c r="K202" s="977"/>
      <c r="L202" s="977"/>
      <c r="M202" s="977"/>
      <c r="N202" s="977"/>
      <c r="O202" s="977"/>
      <c r="P202" s="977"/>
      <c r="Q202" s="977"/>
      <c r="R202" s="977"/>
      <c r="S202" s="977"/>
      <c r="T202" s="977"/>
      <c r="U202" s="977"/>
      <c r="V202" s="977"/>
      <c r="W202" s="977"/>
      <c r="X202" s="977"/>
      <c r="Y202" s="977"/>
      <c r="Z202" s="977"/>
      <c r="AA202" s="977"/>
      <c r="AB202" s="977"/>
      <c r="AC202" s="977"/>
      <c r="AD202" s="977"/>
      <c r="AE202" s="977"/>
      <c r="AF202" s="977"/>
      <c r="AG202" s="977"/>
      <c r="AH202" s="977"/>
      <c r="AI202" s="977"/>
      <c r="AJ202" s="977"/>
      <c r="AK202" s="977"/>
      <c r="AL202" s="977"/>
      <c r="AM202" s="977"/>
      <c r="AN202" s="977"/>
      <c r="AO202" s="977"/>
      <c r="AP202" s="977"/>
      <c r="AQ202" s="977"/>
      <c r="AR202" s="335"/>
      <c r="AS202" s="335"/>
      <c r="AT202" s="335"/>
      <c r="AU202" s="335"/>
      <c r="AV202" s="335"/>
      <c r="AW202" s="335"/>
      <c r="AX202" s="335"/>
      <c r="AY202" s="335"/>
      <c r="AZ202" s="335"/>
      <c r="BA202" s="335"/>
      <c r="BB202" s="335"/>
      <c r="BC202" s="335"/>
      <c r="BD202" s="335"/>
      <c r="BE202" s="335"/>
      <c r="BF202" s="335"/>
      <c r="BG202" s="335"/>
      <c r="BH202" s="335"/>
      <c r="BI202" s="335"/>
      <c r="BJ202" s="335"/>
      <c r="BK202" s="335"/>
      <c r="BL202" s="335"/>
      <c r="BM202" s="335"/>
      <c r="BN202" s="335"/>
      <c r="BO202" s="335"/>
      <c r="BP202" s="335"/>
      <c r="BQ202" s="335"/>
      <c r="BR202" s="335"/>
      <c r="BS202" s="335"/>
      <c r="BT202" s="335"/>
      <c r="BU202" s="335"/>
      <c r="BV202" s="335"/>
      <c r="BW202" s="335"/>
      <c r="BX202" s="335"/>
      <c r="BY202" s="335"/>
      <c r="BZ202" s="335"/>
      <c r="CA202" s="335"/>
      <c r="CB202" s="335"/>
      <c r="CC202" s="335"/>
      <c r="CD202" s="335"/>
      <c r="CE202" s="335"/>
      <c r="CF202" s="335"/>
      <c r="CG202" s="335"/>
      <c r="CH202" s="335"/>
      <c r="CI202" s="335"/>
      <c r="CJ202" s="335"/>
      <c r="CK202" s="335"/>
      <c r="CL202" s="335"/>
      <c r="CM202" s="335"/>
      <c r="CN202" s="335"/>
      <c r="CO202" s="335"/>
      <c r="CP202" s="335"/>
      <c r="CQ202" s="335"/>
      <c r="CR202" s="335"/>
      <c r="CS202" s="335"/>
      <c r="CT202" s="335"/>
      <c r="CU202" s="335"/>
      <c r="CV202" s="335"/>
      <c r="CW202" s="335"/>
      <c r="CX202" s="335"/>
      <c r="CY202" s="335"/>
      <c r="CZ202" s="335"/>
      <c r="DA202" s="335"/>
      <c r="DB202" s="335"/>
      <c r="DC202" s="335"/>
      <c r="DD202" s="335"/>
      <c r="DE202" s="335"/>
      <c r="DF202" s="335"/>
      <c r="DG202" s="335"/>
      <c r="DH202" s="335"/>
      <c r="DI202" s="335"/>
      <c r="DJ202" s="335"/>
      <c r="DK202" s="335"/>
      <c r="DL202" s="335"/>
      <c r="DM202" s="335"/>
      <c r="DN202" s="335"/>
      <c r="DO202" s="335"/>
    </row>
    <row r="203" spans="1:119" ht="35.1" customHeight="1">
      <c r="A203" s="977"/>
      <c r="B203" s="977"/>
      <c r="C203" s="977"/>
      <c r="D203" s="977"/>
      <c r="E203" s="977"/>
      <c r="F203" s="977"/>
      <c r="G203" s="977"/>
      <c r="H203" s="977"/>
      <c r="I203" s="977"/>
      <c r="J203" s="977"/>
      <c r="K203" s="977"/>
      <c r="L203" s="977"/>
      <c r="M203" s="977"/>
      <c r="N203" s="977"/>
      <c r="O203" s="977"/>
      <c r="P203" s="977"/>
      <c r="Q203" s="977"/>
      <c r="R203" s="977"/>
      <c r="S203" s="977"/>
      <c r="T203" s="977"/>
      <c r="U203" s="977"/>
      <c r="V203" s="977"/>
      <c r="W203" s="977"/>
      <c r="X203" s="977"/>
      <c r="Y203" s="977"/>
      <c r="Z203" s="977"/>
      <c r="AA203" s="977"/>
      <c r="AB203" s="977"/>
      <c r="AC203" s="977"/>
      <c r="AD203" s="977"/>
      <c r="AE203" s="977"/>
      <c r="AF203" s="977"/>
      <c r="AG203" s="977"/>
      <c r="AH203" s="977"/>
      <c r="AI203" s="977"/>
      <c r="AJ203" s="977"/>
      <c r="AK203" s="977"/>
      <c r="AL203" s="977"/>
      <c r="AM203" s="977"/>
      <c r="AN203" s="977"/>
      <c r="AO203" s="977"/>
      <c r="AP203" s="977"/>
      <c r="AQ203" s="977"/>
      <c r="AR203" s="335"/>
      <c r="AS203" s="335"/>
      <c r="AT203" s="335"/>
      <c r="AU203" s="335"/>
      <c r="AV203" s="335"/>
      <c r="AW203" s="335"/>
      <c r="AX203" s="335"/>
      <c r="AY203" s="335"/>
      <c r="AZ203" s="335"/>
      <c r="BA203" s="335"/>
      <c r="BB203" s="335"/>
      <c r="BC203" s="335"/>
      <c r="BD203" s="335"/>
      <c r="BE203" s="335"/>
      <c r="BF203" s="335"/>
      <c r="BG203" s="335"/>
      <c r="BH203" s="335"/>
      <c r="BI203" s="335"/>
      <c r="BJ203" s="335"/>
      <c r="BK203" s="335"/>
      <c r="BL203" s="335"/>
      <c r="BM203" s="335"/>
      <c r="BN203" s="335"/>
      <c r="BO203" s="335"/>
      <c r="BP203" s="335"/>
      <c r="BQ203" s="335"/>
      <c r="BR203" s="335"/>
      <c r="BS203" s="335"/>
      <c r="BT203" s="335"/>
      <c r="BU203" s="335"/>
      <c r="BV203" s="335"/>
      <c r="BW203" s="335"/>
      <c r="BX203" s="335"/>
      <c r="BY203" s="335"/>
      <c r="BZ203" s="335"/>
      <c r="CA203" s="335"/>
      <c r="CB203" s="335"/>
      <c r="CC203" s="335"/>
      <c r="CD203" s="335"/>
      <c r="CE203" s="335"/>
      <c r="CF203" s="335"/>
      <c r="CG203" s="335"/>
      <c r="CH203" s="335"/>
      <c r="CI203" s="335"/>
      <c r="CJ203" s="335"/>
      <c r="CK203" s="335"/>
      <c r="CL203" s="335"/>
      <c r="CM203" s="335"/>
      <c r="CN203" s="335"/>
      <c r="CO203" s="335"/>
      <c r="CP203" s="335"/>
      <c r="CQ203" s="335"/>
      <c r="CR203" s="335"/>
      <c r="CS203" s="335"/>
      <c r="CT203" s="335"/>
      <c r="CU203" s="335"/>
      <c r="CV203" s="335"/>
      <c r="CW203" s="335"/>
      <c r="CX203" s="335"/>
      <c r="CY203" s="335"/>
      <c r="CZ203" s="335"/>
      <c r="DA203" s="335"/>
      <c r="DB203" s="335"/>
      <c r="DC203" s="335"/>
      <c r="DD203" s="335"/>
      <c r="DE203" s="335"/>
      <c r="DF203" s="335"/>
      <c r="DG203" s="335"/>
      <c r="DH203" s="335"/>
      <c r="DI203" s="335"/>
      <c r="DJ203" s="335"/>
      <c r="DK203" s="335"/>
      <c r="DL203" s="335"/>
      <c r="DM203" s="335"/>
      <c r="DN203" s="335"/>
      <c r="DO203" s="335"/>
    </row>
    <row r="204" spans="1:119" ht="35.1" customHeight="1">
      <c r="A204" s="977"/>
      <c r="B204" s="977"/>
      <c r="C204" s="977"/>
      <c r="D204" s="977"/>
      <c r="E204" s="977"/>
      <c r="F204" s="977"/>
      <c r="G204" s="977"/>
      <c r="H204" s="977"/>
      <c r="I204" s="977"/>
      <c r="J204" s="977"/>
      <c r="K204" s="977"/>
      <c r="L204" s="977"/>
      <c r="M204" s="977"/>
      <c r="N204" s="977"/>
      <c r="O204" s="977"/>
      <c r="P204" s="977"/>
      <c r="Q204" s="977"/>
      <c r="R204" s="977"/>
      <c r="S204" s="977"/>
      <c r="T204" s="977"/>
      <c r="U204" s="977"/>
      <c r="V204" s="977"/>
      <c r="W204" s="977"/>
      <c r="X204" s="977"/>
      <c r="Y204" s="977"/>
      <c r="Z204" s="977"/>
      <c r="AA204" s="977"/>
      <c r="AB204" s="977"/>
      <c r="AC204" s="977"/>
      <c r="AD204" s="977"/>
      <c r="AE204" s="977"/>
      <c r="AF204" s="977"/>
      <c r="AG204" s="977"/>
      <c r="AH204" s="977"/>
      <c r="AI204" s="977"/>
      <c r="AJ204" s="977"/>
      <c r="AK204" s="977"/>
      <c r="AL204" s="977"/>
      <c r="AM204" s="977"/>
      <c r="AN204" s="977"/>
      <c r="AO204" s="977"/>
      <c r="AP204" s="977"/>
      <c r="AQ204" s="977"/>
      <c r="AR204" s="335"/>
      <c r="AS204" s="335"/>
      <c r="AT204" s="335"/>
      <c r="AU204" s="335"/>
      <c r="AV204" s="335"/>
      <c r="AW204" s="335"/>
      <c r="AX204" s="335"/>
      <c r="AY204" s="335"/>
      <c r="AZ204" s="335"/>
      <c r="BA204" s="335"/>
      <c r="BB204" s="335"/>
      <c r="BC204" s="335"/>
      <c r="BD204" s="335"/>
      <c r="BE204" s="335"/>
      <c r="BF204" s="335"/>
      <c r="BG204" s="335"/>
      <c r="BH204" s="335"/>
      <c r="BI204" s="335"/>
      <c r="BJ204" s="335"/>
      <c r="BK204" s="335"/>
      <c r="BL204" s="335"/>
      <c r="BM204" s="335"/>
      <c r="BN204" s="335"/>
      <c r="BO204" s="335"/>
      <c r="BP204" s="335"/>
      <c r="BQ204" s="335"/>
      <c r="BR204" s="335"/>
      <c r="BS204" s="335"/>
      <c r="BT204" s="335"/>
      <c r="BU204" s="335"/>
      <c r="BV204" s="335"/>
      <c r="BW204" s="335"/>
      <c r="BX204" s="335"/>
      <c r="BY204" s="335"/>
      <c r="BZ204" s="335"/>
      <c r="CA204" s="335"/>
      <c r="CB204" s="335"/>
      <c r="CC204" s="335"/>
      <c r="CD204" s="335"/>
      <c r="CE204" s="335"/>
      <c r="CF204" s="335"/>
      <c r="CG204" s="335"/>
      <c r="CH204" s="335"/>
      <c r="CI204" s="335"/>
      <c r="CJ204" s="335"/>
      <c r="CK204" s="335"/>
      <c r="CL204" s="335"/>
      <c r="CM204" s="335"/>
      <c r="CN204" s="335"/>
      <c r="CO204" s="335"/>
      <c r="CP204" s="335"/>
      <c r="CQ204" s="335"/>
      <c r="CR204" s="335"/>
      <c r="CS204" s="335"/>
      <c r="CT204" s="335"/>
      <c r="CU204" s="335"/>
      <c r="CV204" s="335"/>
      <c r="CW204" s="335"/>
      <c r="CX204" s="335"/>
      <c r="CY204" s="335"/>
      <c r="CZ204" s="335"/>
      <c r="DA204" s="335"/>
      <c r="DB204" s="335"/>
      <c r="DC204" s="335"/>
      <c r="DD204" s="335"/>
      <c r="DE204" s="335"/>
      <c r="DF204" s="335"/>
      <c r="DG204" s="335"/>
      <c r="DH204" s="335"/>
      <c r="DI204" s="335"/>
      <c r="DJ204" s="335"/>
      <c r="DK204" s="335"/>
      <c r="DL204" s="335"/>
      <c r="DM204" s="335"/>
      <c r="DN204" s="335"/>
      <c r="DO204" s="335"/>
    </row>
    <row r="205" spans="1:119" ht="35.1" customHeight="1">
      <c r="A205" s="977"/>
      <c r="B205" s="977"/>
      <c r="C205" s="977"/>
      <c r="D205" s="977"/>
      <c r="E205" s="977"/>
      <c r="F205" s="977"/>
      <c r="G205" s="977"/>
      <c r="H205" s="977"/>
      <c r="I205" s="977"/>
      <c r="J205" s="977"/>
      <c r="K205" s="977"/>
      <c r="L205" s="977"/>
      <c r="M205" s="977"/>
      <c r="N205" s="977"/>
      <c r="O205" s="977"/>
      <c r="P205" s="977"/>
      <c r="Q205" s="977"/>
      <c r="R205" s="977"/>
      <c r="S205" s="977"/>
      <c r="T205" s="977"/>
      <c r="U205" s="977"/>
      <c r="V205" s="977"/>
      <c r="W205" s="977"/>
      <c r="X205" s="977"/>
      <c r="Y205" s="977"/>
      <c r="Z205" s="977"/>
      <c r="AA205" s="977"/>
      <c r="AB205" s="977"/>
      <c r="AC205" s="977"/>
      <c r="AD205" s="977"/>
      <c r="AE205" s="977"/>
      <c r="AF205" s="977"/>
      <c r="AG205" s="977"/>
      <c r="AH205" s="977"/>
      <c r="AI205" s="977"/>
      <c r="AJ205" s="977"/>
      <c r="AK205" s="977"/>
      <c r="AL205" s="977"/>
      <c r="AM205" s="977"/>
      <c r="AN205" s="977"/>
      <c r="AO205" s="977"/>
      <c r="AP205" s="977"/>
      <c r="AQ205" s="977"/>
      <c r="AR205" s="335"/>
      <c r="AS205" s="335"/>
      <c r="AT205" s="335"/>
      <c r="AU205" s="335"/>
      <c r="AV205" s="335"/>
      <c r="AW205" s="335"/>
      <c r="AX205" s="335"/>
      <c r="AY205" s="335"/>
      <c r="AZ205" s="335"/>
      <c r="BA205" s="335"/>
      <c r="BB205" s="335"/>
      <c r="BC205" s="335"/>
      <c r="BD205" s="335"/>
      <c r="BE205" s="335"/>
      <c r="BF205" s="335"/>
      <c r="BG205" s="335"/>
      <c r="BH205" s="335"/>
      <c r="BI205" s="335"/>
      <c r="BJ205" s="335"/>
      <c r="BK205" s="335"/>
      <c r="BL205" s="335"/>
      <c r="BM205" s="335"/>
      <c r="BN205" s="335"/>
      <c r="BO205" s="335"/>
      <c r="BP205" s="335"/>
      <c r="BQ205" s="335"/>
      <c r="BR205" s="335"/>
      <c r="BS205" s="335"/>
      <c r="BT205" s="335"/>
      <c r="BU205" s="335"/>
      <c r="BV205" s="335"/>
      <c r="BW205" s="335"/>
      <c r="BX205" s="335"/>
      <c r="BY205" s="335"/>
      <c r="BZ205" s="335"/>
      <c r="CA205" s="335"/>
      <c r="CB205" s="335"/>
      <c r="CC205" s="335"/>
      <c r="CD205" s="335"/>
      <c r="CE205" s="335"/>
      <c r="CF205" s="335"/>
      <c r="CG205" s="335"/>
      <c r="CH205" s="335"/>
      <c r="CI205" s="335"/>
      <c r="CJ205" s="335"/>
      <c r="CK205" s="335"/>
      <c r="CL205" s="335"/>
      <c r="CM205" s="335"/>
      <c r="CN205" s="335"/>
      <c r="CO205" s="335"/>
      <c r="CP205" s="335"/>
      <c r="CQ205" s="335"/>
      <c r="CR205" s="335"/>
      <c r="CS205" s="335"/>
      <c r="CT205" s="335"/>
      <c r="CU205" s="335"/>
      <c r="CV205" s="335"/>
      <c r="CW205" s="335"/>
      <c r="CX205" s="335"/>
      <c r="CY205" s="335"/>
      <c r="CZ205" s="335"/>
      <c r="DA205" s="335"/>
      <c r="DB205" s="335"/>
      <c r="DC205" s="335"/>
      <c r="DD205" s="335"/>
      <c r="DE205" s="335"/>
      <c r="DF205" s="335"/>
      <c r="DG205" s="335"/>
      <c r="DH205" s="335"/>
      <c r="DI205" s="335"/>
      <c r="DJ205" s="335"/>
      <c r="DK205" s="335"/>
      <c r="DL205" s="335"/>
      <c r="DM205" s="335"/>
      <c r="DN205" s="335"/>
      <c r="DO205" s="335"/>
    </row>
    <row r="206" spans="1:119" ht="35.1" customHeight="1">
      <c r="A206" s="977"/>
      <c r="B206" s="977"/>
      <c r="C206" s="977"/>
      <c r="D206" s="977"/>
      <c r="E206" s="977"/>
      <c r="F206" s="977"/>
      <c r="G206" s="977"/>
      <c r="H206" s="977"/>
      <c r="I206" s="977"/>
      <c r="J206" s="977"/>
      <c r="K206" s="977"/>
      <c r="L206" s="977"/>
      <c r="M206" s="977"/>
      <c r="N206" s="977"/>
      <c r="O206" s="977"/>
      <c r="P206" s="977"/>
      <c r="Q206" s="977"/>
      <c r="R206" s="977"/>
      <c r="S206" s="977"/>
      <c r="T206" s="977"/>
      <c r="U206" s="977"/>
      <c r="V206" s="977"/>
      <c r="W206" s="977"/>
      <c r="X206" s="977"/>
      <c r="Y206" s="977"/>
      <c r="Z206" s="977"/>
      <c r="AA206" s="977"/>
      <c r="AB206" s="977"/>
      <c r="AC206" s="977"/>
      <c r="AD206" s="977"/>
      <c r="AE206" s="977"/>
      <c r="AF206" s="977"/>
      <c r="AG206" s="977"/>
      <c r="AH206" s="977"/>
      <c r="AI206" s="977"/>
      <c r="AJ206" s="977"/>
      <c r="AK206" s="977"/>
      <c r="AL206" s="977"/>
      <c r="AM206" s="977"/>
      <c r="AN206" s="977"/>
      <c r="AO206" s="977"/>
      <c r="AP206" s="977"/>
      <c r="AQ206" s="977"/>
      <c r="AR206" s="335"/>
      <c r="AS206" s="335"/>
      <c r="AT206" s="335"/>
      <c r="AU206" s="335"/>
      <c r="AV206" s="335"/>
      <c r="AW206" s="335"/>
      <c r="AX206" s="335"/>
      <c r="AY206" s="335"/>
      <c r="AZ206" s="335"/>
      <c r="BA206" s="335"/>
      <c r="BB206" s="335"/>
      <c r="BC206" s="335"/>
      <c r="BD206" s="335"/>
      <c r="BE206" s="335"/>
      <c r="BF206" s="335"/>
      <c r="BG206" s="335"/>
      <c r="BH206" s="335"/>
      <c r="BI206" s="335"/>
      <c r="BJ206" s="335"/>
      <c r="BK206" s="335"/>
      <c r="BL206" s="335"/>
      <c r="BM206" s="335"/>
      <c r="BN206" s="335"/>
      <c r="BO206" s="335"/>
      <c r="BP206" s="335"/>
      <c r="BQ206" s="335"/>
      <c r="BR206" s="335"/>
      <c r="BS206" s="335"/>
      <c r="BT206" s="335"/>
      <c r="BU206" s="335"/>
      <c r="BV206" s="335"/>
      <c r="BW206" s="335"/>
      <c r="BX206" s="335"/>
      <c r="BY206" s="335"/>
      <c r="BZ206" s="335"/>
      <c r="CA206" s="335"/>
      <c r="CB206" s="335"/>
      <c r="CC206" s="335"/>
      <c r="CD206" s="335"/>
      <c r="CE206" s="335"/>
      <c r="CF206" s="335"/>
      <c r="CG206" s="335"/>
      <c r="CH206" s="335"/>
      <c r="CI206" s="335"/>
      <c r="CJ206" s="335"/>
      <c r="CK206" s="335"/>
      <c r="CL206" s="335"/>
      <c r="CM206" s="335"/>
      <c r="CN206" s="335"/>
      <c r="CO206" s="335"/>
      <c r="CP206" s="335"/>
      <c r="CQ206" s="335"/>
      <c r="CR206" s="335"/>
      <c r="CS206" s="335"/>
      <c r="CT206" s="335"/>
      <c r="CU206" s="335"/>
      <c r="CV206" s="335"/>
      <c r="CW206" s="335"/>
      <c r="CX206" s="335"/>
      <c r="CY206" s="335"/>
      <c r="CZ206" s="335"/>
      <c r="DA206" s="335"/>
      <c r="DB206" s="335"/>
      <c r="DC206" s="335"/>
      <c r="DD206" s="335"/>
      <c r="DE206" s="335"/>
      <c r="DF206" s="335"/>
      <c r="DG206" s="335"/>
      <c r="DH206" s="335"/>
      <c r="DI206" s="335"/>
      <c r="DJ206" s="335"/>
      <c r="DK206" s="335"/>
      <c r="DL206" s="335"/>
      <c r="DM206" s="335"/>
      <c r="DN206" s="335"/>
      <c r="DO206" s="335"/>
    </row>
    <row r="207" spans="1:119" ht="35.1" customHeight="1">
      <c r="A207" s="977"/>
      <c r="B207" s="977"/>
      <c r="C207" s="977"/>
      <c r="D207" s="977"/>
      <c r="E207" s="977"/>
      <c r="F207" s="977"/>
      <c r="G207" s="977"/>
      <c r="H207" s="977"/>
      <c r="I207" s="977"/>
      <c r="J207" s="977"/>
      <c r="K207" s="977"/>
      <c r="L207" s="977"/>
      <c r="M207" s="977"/>
      <c r="N207" s="977"/>
      <c r="O207" s="977"/>
      <c r="P207" s="977"/>
      <c r="Q207" s="977"/>
      <c r="R207" s="977"/>
      <c r="S207" s="977"/>
      <c r="T207" s="977"/>
      <c r="U207" s="977"/>
      <c r="V207" s="977"/>
      <c r="W207" s="977"/>
      <c r="X207" s="977"/>
      <c r="Y207" s="977"/>
      <c r="Z207" s="977"/>
      <c r="AA207" s="977"/>
      <c r="AB207" s="977"/>
      <c r="AC207" s="977"/>
      <c r="AD207" s="977"/>
      <c r="AE207" s="977"/>
      <c r="AF207" s="977"/>
      <c r="AG207" s="977"/>
      <c r="AH207" s="977"/>
      <c r="AI207" s="977"/>
      <c r="AJ207" s="977"/>
      <c r="AK207" s="977"/>
      <c r="AL207" s="977"/>
      <c r="AM207" s="977"/>
      <c r="AN207" s="977"/>
      <c r="AO207" s="977"/>
      <c r="AP207" s="977"/>
      <c r="AQ207" s="977"/>
      <c r="AR207" s="335"/>
      <c r="AS207" s="335"/>
      <c r="AT207" s="335"/>
      <c r="AU207" s="335"/>
      <c r="AV207" s="335"/>
      <c r="AW207" s="335"/>
      <c r="AX207" s="335"/>
      <c r="AY207" s="335"/>
      <c r="AZ207" s="335"/>
      <c r="BA207" s="335"/>
      <c r="BB207" s="335"/>
      <c r="BC207" s="335"/>
      <c r="BD207" s="335"/>
      <c r="BE207" s="335"/>
      <c r="BF207" s="335"/>
      <c r="BG207" s="335"/>
      <c r="BH207" s="335"/>
      <c r="BI207" s="335"/>
      <c r="BJ207" s="335"/>
      <c r="BK207" s="335"/>
      <c r="BL207" s="335"/>
      <c r="BM207" s="335"/>
      <c r="BN207" s="335"/>
      <c r="BO207" s="335"/>
      <c r="BP207" s="335"/>
      <c r="BQ207" s="335"/>
      <c r="BR207" s="335"/>
      <c r="BS207" s="335"/>
      <c r="BT207" s="335"/>
      <c r="BU207" s="335"/>
      <c r="BV207" s="335"/>
      <c r="BW207" s="335"/>
      <c r="BX207" s="335"/>
      <c r="BY207" s="335"/>
      <c r="BZ207" s="335"/>
      <c r="CA207" s="335"/>
      <c r="CB207" s="335"/>
      <c r="CC207" s="335"/>
      <c r="CD207" s="335"/>
      <c r="CE207" s="335"/>
      <c r="CF207" s="335"/>
      <c r="CG207" s="335"/>
      <c r="CH207" s="335"/>
      <c r="CI207" s="335"/>
      <c r="CJ207" s="335"/>
      <c r="CK207" s="335"/>
      <c r="CL207" s="335"/>
      <c r="CM207" s="335"/>
      <c r="CN207" s="335"/>
      <c r="CO207" s="335"/>
      <c r="CP207" s="335"/>
      <c r="CQ207" s="335"/>
      <c r="CR207" s="335"/>
      <c r="CS207" s="335"/>
      <c r="CT207" s="335"/>
      <c r="CU207" s="335"/>
      <c r="CV207" s="335"/>
      <c r="CW207" s="335"/>
      <c r="CX207" s="335"/>
      <c r="CY207" s="335"/>
      <c r="CZ207" s="335"/>
      <c r="DA207" s="335"/>
      <c r="DB207" s="335"/>
      <c r="DC207" s="335"/>
      <c r="DD207" s="335"/>
      <c r="DE207" s="335"/>
      <c r="DF207" s="335"/>
      <c r="DG207" s="335"/>
      <c r="DH207" s="335"/>
      <c r="DI207" s="335"/>
      <c r="DJ207" s="335"/>
      <c r="DK207" s="335"/>
      <c r="DL207" s="335"/>
      <c r="DM207" s="335"/>
      <c r="DN207" s="335"/>
      <c r="DO207" s="335"/>
    </row>
    <row r="208" spans="1:119" ht="35.1" customHeight="1">
      <c r="A208" s="977"/>
      <c r="B208" s="977"/>
      <c r="C208" s="977"/>
      <c r="D208" s="977"/>
      <c r="E208" s="977"/>
      <c r="F208" s="977"/>
      <c r="G208" s="977"/>
      <c r="H208" s="977"/>
      <c r="I208" s="977"/>
      <c r="J208" s="977"/>
      <c r="K208" s="977"/>
      <c r="L208" s="977"/>
      <c r="M208" s="977"/>
      <c r="N208" s="977"/>
      <c r="O208" s="977"/>
      <c r="P208" s="977"/>
      <c r="Q208" s="977"/>
      <c r="R208" s="977"/>
      <c r="S208" s="977"/>
      <c r="T208" s="977"/>
      <c r="U208" s="977"/>
      <c r="V208" s="977"/>
      <c r="W208" s="977"/>
      <c r="X208" s="977"/>
      <c r="Y208" s="977"/>
      <c r="Z208" s="977"/>
      <c r="AA208" s="977"/>
      <c r="AB208" s="977"/>
      <c r="AC208" s="977"/>
      <c r="AD208" s="977"/>
      <c r="AE208" s="977"/>
      <c r="AF208" s="977"/>
      <c r="AG208" s="977"/>
      <c r="AH208" s="977"/>
      <c r="AI208" s="977"/>
      <c r="AJ208" s="977"/>
      <c r="AK208" s="977"/>
      <c r="AL208" s="977"/>
      <c r="AM208" s="977"/>
      <c r="AN208" s="977"/>
      <c r="AO208" s="977"/>
      <c r="AP208" s="977"/>
      <c r="AQ208" s="977"/>
      <c r="AR208" s="335"/>
      <c r="AS208" s="335"/>
      <c r="AT208" s="335"/>
      <c r="AU208" s="335"/>
      <c r="AV208" s="335"/>
      <c r="AW208" s="335"/>
      <c r="AX208" s="335"/>
      <c r="AY208" s="335"/>
      <c r="AZ208" s="335"/>
      <c r="BA208" s="335"/>
      <c r="BB208" s="335"/>
      <c r="BC208" s="335"/>
      <c r="BD208" s="335"/>
      <c r="BE208" s="335"/>
      <c r="BF208" s="335"/>
      <c r="BG208" s="335"/>
      <c r="BH208" s="335"/>
      <c r="BI208" s="335"/>
      <c r="BJ208" s="335"/>
      <c r="BK208" s="335"/>
      <c r="BL208" s="335"/>
      <c r="BM208" s="335"/>
      <c r="BN208" s="335"/>
      <c r="BO208" s="335"/>
      <c r="BP208" s="335"/>
      <c r="BQ208" s="335"/>
      <c r="BR208" s="335"/>
      <c r="BS208" s="335"/>
      <c r="BT208" s="335"/>
      <c r="BU208" s="335"/>
      <c r="BV208" s="335"/>
      <c r="BW208" s="335"/>
      <c r="BX208" s="335"/>
      <c r="BY208" s="335"/>
      <c r="BZ208" s="335"/>
      <c r="CA208" s="335"/>
      <c r="CB208" s="335"/>
      <c r="CC208" s="335"/>
      <c r="CD208" s="335"/>
      <c r="CE208" s="335"/>
      <c r="CF208" s="335"/>
      <c r="CG208" s="335"/>
      <c r="CH208" s="335"/>
      <c r="CI208" s="335"/>
      <c r="CJ208" s="335"/>
      <c r="CK208" s="335"/>
      <c r="CL208" s="335"/>
      <c r="CM208" s="335"/>
      <c r="CN208" s="335"/>
      <c r="CO208" s="335"/>
      <c r="CP208" s="335"/>
      <c r="CQ208" s="335"/>
      <c r="CR208" s="335"/>
      <c r="CS208" s="335"/>
      <c r="CT208" s="335"/>
      <c r="CU208" s="335"/>
      <c r="CV208" s="335"/>
      <c r="CW208" s="335"/>
      <c r="CX208" s="335"/>
      <c r="CY208" s="335"/>
      <c r="CZ208" s="335"/>
      <c r="DA208" s="335"/>
      <c r="DB208" s="335"/>
      <c r="DC208" s="335"/>
      <c r="DD208" s="335"/>
      <c r="DE208" s="335"/>
      <c r="DF208" s="335"/>
      <c r="DG208" s="335"/>
      <c r="DH208" s="335"/>
      <c r="DI208" s="335"/>
      <c r="DJ208" s="335"/>
      <c r="DK208" s="335"/>
      <c r="DL208" s="335"/>
      <c r="DM208" s="335"/>
      <c r="DN208" s="335"/>
      <c r="DO208" s="335"/>
    </row>
    <row r="209" spans="1:119" ht="35.1" customHeight="1">
      <c r="A209" s="977"/>
      <c r="B209" s="977"/>
      <c r="C209" s="977"/>
      <c r="D209" s="977"/>
      <c r="E209" s="977"/>
      <c r="F209" s="977"/>
      <c r="G209" s="977"/>
      <c r="H209" s="977"/>
      <c r="I209" s="977"/>
      <c r="J209" s="977"/>
      <c r="K209" s="977"/>
      <c r="L209" s="977"/>
      <c r="M209" s="977"/>
      <c r="N209" s="977"/>
      <c r="O209" s="977"/>
      <c r="P209" s="977"/>
      <c r="Q209" s="977"/>
      <c r="R209" s="977"/>
      <c r="S209" s="977"/>
      <c r="T209" s="977"/>
      <c r="U209" s="977"/>
      <c r="V209" s="977"/>
      <c r="W209" s="977"/>
      <c r="X209" s="977"/>
      <c r="Y209" s="977"/>
      <c r="Z209" s="977"/>
      <c r="AA209" s="977"/>
      <c r="AB209" s="977"/>
      <c r="AC209" s="977"/>
      <c r="AD209" s="977"/>
      <c r="AE209" s="977"/>
      <c r="AF209" s="977"/>
      <c r="AG209" s="977"/>
      <c r="AH209" s="977"/>
      <c r="AI209" s="977"/>
      <c r="AJ209" s="977"/>
      <c r="AK209" s="977"/>
      <c r="AL209" s="977"/>
      <c r="AM209" s="977"/>
      <c r="AN209" s="977"/>
      <c r="AO209" s="977"/>
      <c r="AP209" s="977"/>
      <c r="AQ209" s="977"/>
      <c r="AR209" s="335"/>
      <c r="AS209" s="335"/>
      <c r="AT209" s="335"/>
      <c r="AU209" s="335"/>
      <c r="AV209" s="335"/>
      <c r="AW209" s="335"/>
      <c r="AX209" s="335"/>
      <c r="AY209" s="335"/>
      <c r="AZ209" s="335"/>
      <c r="BA209" s="335"/>
      <c r="BB209" s="335"/>
      <c r="BC209" s="335"/>
      <c r="BD209" s="335"/>
      <c r="BE209" s="335"/>
      <c r="BF209" s="335"/>
      <c r="BG209" s="335"/>
      <c r="BH209" s="335"/>
      <c r="BI209" s="335"/>
      <c r="BJ209" s="335"/>
      <c r="BK209" s="335"/>
      <c r="BL209" s="335"/>
      <c r="BM209" s="335"/>
      <c r="BN209" s="335"/>
      <c r="BO209" s="335"/>
      <c r="BP209" s="335"/>
      <c r="BQ209" s="335"/>
      <c r="BR209" s="335"/>
      <c r="BS209" s="335"/>
      <c r="BT209" s="335"/>
      <c r="BU209" s="335"/>
      <c r="BV209" s="335"/>
      <c r="BW209" s="335"/>
      <c r="BX209" s="335"/>
      <c r="BY209" s="335"/>
      <c r="BZ209" s="335"/>
      <c r="CA209" s="335"/>
      <c r="CB209" s="335"/>
      <c r="CC209" s="335"/>
      <c r="CD209" s="335"/>
      <c r="CE209" s="335"/>
      <c r="CF209" s="335"/>
      <c r="CG209" s="335"/>
      <c r="CH209" s="335"/>
      <c r="CI209" s="335"/>
      <c r="CJ209" s="335"/>
      <c r="CK209" s="335"/>
      <c r="CL209" s="335"/>
      <c r="CM209" s="335"/>
      <c r="CN209" s="335"/>
      <c r="CO209" s="335"/>
      <c r="CP209" s="335"/>
      <c r="CQ209" s="335"/>
      <c r="CR209" s="335"/>
      <c r="CS209" s="335"/>
      <c r="CT209" s="335"/>
      <c r="CU209" s="335"/>
      <c r="CV209" s="335"/>
      <c r="CW209" s="335"/>
      <c r="CX209" s="335"/>
      <c r="CY209" s="335"/>
      <c r="CZ209" s="335"/>
      <c r="DA209" s="335"/>
      <c r="DB209" s="335"/>
      <c r="DC209" s="335"/>
      <c r="DD209" s="335"/>
      <c r="DE209" s="335"/>
      <c r="DF209" s="335"/>
      <c r="DG209" s="335"/>
      <c r="DH209" s="335"/>
      <c r="DI209" s="335"/>
      <c r="DJ209" s="335"/>
      <c r="DK209" s="335"/>
      <c r="DL209" s="335"/>
      <c r="DM209" s="335"/>
      <c r="DN209" s="335"/>
      <c r="DO209" s="335"/>
    </row>
    <row r="210" spans="1:119" ht="35.1" customHeight="1">
      <c r="A210" s="977"/>
      <c r="B210" s="977"/>
      <c r="C210" s="977"/>
      <c r="D210" s="977"/>
      <c r="E210" s="977"/>
      <c r="F210" s="977"/>
      <c r="G210" s="977"/>
      <c r="H210" s="977"/>
      <c r="I210" s="977"/>
      <c r="J210" s="977"/>
      <c r="K210" s="977"/>
      <c r="L210" s="977"/>
      <c r="M210" s="977"/>
      <c r="N210" s="977"/>
      <c r="O210" s="977"/>
      <c r="P210" s="977"/>
      <c r="Q210" s="977"/>
      <c r="R210" s="977"/>
      <c r="S210" s="977"/>
      <c r="T210" s="977"/>
      <c r="U210" s="977"/>
      <c r="V210" s="977"/>
      <c r="W210" s="977"/>
      <c r="X210" s="977"/>
      <c r="Y210" s="977"/>
      <c r="Z210" s="977"/>
      <c r="AA210" s="977"/>
      <c r="AB210" s="977"/>
      <c r="AC210" s="977"/>
      <c r="AD210" s="977"/>
      <c r="AE210" s="977"/>
      <c r="AF210" s="977"/>
      <c r="AG210" s="977"/>
      <c r="AH210" s="977"/>
      <c r="AI210" s="977"/>
      <c r="AJ210" s="977"/>
      <c r="AK210" s="977"/>
      <c r="AL210" s="977"/>
      <c r="AM210" s="977"/>
      <c r="AN210" s="977"/>
      <c r="AO210" s="977"/>
      <c r="AP210" s="977"/>
      <c r="AQ210" s="977"/>
      <c r="AR210" s="335"/>
      <c r="AS210" s="335"/>
      <c r="AT210" s="335"/>
      <c r="AU210" s="335"/>
      <c r="AV210" s="335"/>
      <c r="AW210" s="335"/>
      <c r="AX210" s="335"/>
      <c r="AY210" s="335"/>
      <c r="AZ210" s="335"/>
      <c r="BA210" s="335"/>
      <c r="BB210" s="335"/>
      <c r="BC210" s="335"/>
      <c r="BD210" s="335"/>
      <c r="BE210" s="335"/>
      <c r="BF210" s="335"/>
      <c r="BG210" s="335"/>
      <c r="BH210" s="335"/>
      <c r="BI210" s="335"/>
      <c r="BJ210" s="335"/>
      <c r="BK210" s="335"/>
      <c r="BL210" s="335"/>
      <c r="BM210" s="335"/>
      <c r="BN210" s="335"/>
      <c r="BO210" s="335"/>
      <c r="BP210" s="335"/>
      <c r="BQ210" s="335"/>
      <c r="BR210" s="335"/>
      <c r="BS210" s="335"/>
      <c r="BT210" s="335"/>
      <c r="BU210" s="335"/>
      <c r="BV210" s="335"/>
      <c r="BW210" s="335"/>
      <c r="BX210" s="335"/>
      <c r="BY210" s="335"/>
      <c r="BZ210" s="335"/>
      <c r="CA210" s="335"/>
      <c r="CB210" s="335"/>
      <c r="CC210" s="335"/>
      <c r="CD210" s="335"/>
      <c r="CE210" s="335"/>
      <c r="CF210" s="335"/>
      <c r="CG210" s="335"/>
      <c r="CH210" s="335"/>
      <c r="CI210" s="335"/>
      <c r="CJ210" s="335"/>
      <c r="CK210" s="335"/>
      <c r="CL210" s="335"/>
      <c r="CM210" s="335"/>
      <c r="CN210" s="335"/>
      <c r="CO210" s="335"/>
      <c r="CP210" s="335"/>
      <c r="CQ210" s="335"/>
      <c r="CR210" s="335"/>
      <c r="CS210" s="335"/>
      <c r="CT210" s="335"/>
      <c r="CU210" s="335"/>
      <c r="CV210" s="335"/>
      <c r="CW210" s="335"/>
      <c r="CX210" s="335"/>
      <c r="CY210" s="335"/>
      <c r="CZ210" s="335"/>
      <c r="DA210" s="335"/>
      <c r="DB210" s="335"/>
      <c r="DC210" s="335"/>
      <c r="DD210" s="335"/>
      <c r="DE210" s="335"/>
      <c r="DF210" s="335"/>
      <c r="DG210" s="335"/>
      <c r="DH210" s="335"/>
      <c r="DI210" s="335"/>
      <c r="DJ210" s="335"/>
      <c r="DK210" s="335"/>
      <c r="DL210" s="335"/>
      <c r="DM210" s="335"/>
      <c r="DN210" s="335"/>
      <c r="DO210" s="335"/>
    </row>
    <row r="211" spans="1:119" ht="35.1" customHeight="1">
      <c r="A211" s="977"/>
      <c r="B211" s="977"/>
      <c r="C211" s="977"/>
      <c r="D211" s="977"/>
      <c r="E211" s="977"/>
      <c r="F211" s="977"/>
      <c r="G211" s="977"/>
      <c r="H211" s="977"/>
      <c r="I211" s="977"/>
      <c r="J211" s="977"/>
      <c r="K211" s="977"/>
      <c r="L211" s="977"/>
      <c r="M211" s="977"/>
      <c r="N211" s="977"/>
      <c r="O211" s="977"/>
      <c r="P211" s="977"/>
      <c r="Q211" s="977"/>
      <c r="R211" s="977"/>
      <c r="S211" s="977"/>
      <c r="T211" s="977"/>
      <c r="U211" s="977"/>
      <c r="V211" s="977"/>
      <c r="W211" s="977"/>
      <c r="X211" s="977"/>
      <c r="Y211" s="977"/>
      <c r="Z211" s="977"/>
      <c r="AA211" s="977"/>
      <c r="AB211" s="977"/>
      <c r="AC211" s="977"/>
      <c r="AD211" s="977"/>
      <c r="AE211" s="977"/>
      <c r="AF211" s="977"/>
      <c r="AG211" s="977"/>
      <c r="AH211" s="977"/>
      <c r="AI211" s="977"/>
      <c r="AJ211" s="977"/>
      <c r="AK211" s="977"/>
      <c r="AL211" s="977"/>
      <c r="AM211" s="977"/>
      <c r="AN211" s="977"/>
      <c r="AO211" s="977"/>
      <c r="AP211" s="977"/>
      <c r="AQ211" s="977"/>
      <c r="AR211" s="335"/>
      <c r="AS211" s="335"/>
      <c r="AT211" s="335"/>
      <c r="AU211" s="335"/>
      <c r="AV211" s="335"/>
      <c r="AW211" s="335"/>
      <c r="AX211" s="335"/>
      <c r="AY211" s="335"/>
      <c r="AZ211" s="335"/>
      <c r="BA211" s="335"/>
      <c r="BB211" s="335"/>
      <c r="BC211" s="335"/>
      <c r="BD211" s="335"/>
      <c r="BE211" s="335"/>
      <c r="BF211" s="335"/>
      <c r="BG211" s="335"/>
      <c r="BH211" s="335"/>
      <c r="BI211" s="335"/>
      <c r="BJ211" s="335"/>
      <c r="BK211" s="335"/>
      <c r="BL211" s="335"/>
      <c r="BM211" s="335"/>
      <c r="BN211" s="335"/>
      <c r="BO211" s="335"/>
      <c r="BP211" s="335"/>
      <c r="BQ211" s="335"/>
      <c r="BR211" s="335"/>
      <c r="BS211" s="335"/>
      <c r="BT211" s="335"/>
      <c r="BU211" s="335"/>
      <c r="BV211" s="335"/>
      <c r="BW211" s="335"/>
      <c r="BX211" s="335"/>
      <c r="BY211" s="335"/>
      <c r="BZ211" s="335"/>
      <c r="CA211" s="335"/>
      <c r="CB211" s="335"/>
      <c r="CC211" s="335"/>
      <c r="CD211" s="335"/>
      <c r="CE211" s="335"/>
      <c r="CF211" s="335"/>
      <c r="CG211" s="335"/>
      <c r="CH211" s="335"/>
      <c r="CI211" s="335"/>
      <c r="CJ211" s="335"/>
      <c r="CK211" s="335"/>
      <c r="CL211" s="335"/>
      <c r="CM211" s="335"/>
      <c r="CN211" s="335"/>
      <c r="CO211" s="335"/>
      <c r="CP211" s="335"/>
      <c r="CQ211" s="335"/>
      <c r="CR211" s="335"/>
      <c r="CS211" s="335"/>
      <c r="CT211" s="335"/>
      <c r="CU211" s="335"/>
      <c r="CV211" s="335"/>
      <c r="CW211" s="335"/>
      <c r="CX211" s="335"/>
      <c r="CY211" s="335"/>
      <c r="CZ211" s="335"/>
      <c r="DA211" s="335"/>
      <c r="DB211" s="335"/>
      <c r="DC211" s="335"/>
      <c r="DD211" s="335"/>
      <c r="DE211" s="335"/>
      <c r="DF211" s="335"/>
      <c r="DG211" s="335"/>
      <c r="DH211" s="335"/>
      <c r="DI211" s="335"/>
      <c r="DJ211" s="335"/>
      <c r="DK211" s="335"/>
      <c r="DL211" s="335"/>
      <c r="DM211" s="335"/>
      <c r="DN211" s="335"/>
      <c r="DO211" s="335"/>
    </row>
    <row r="212" spans="1:119" ht="35.1" customHeight="1">
      <c r="A212" s="977"/>
      <c r="B212" s="977"/>
      <c r="C212" s="977"/>
      <c r="D212" s="977"/>
      <c r="E212" s="977"/>
      <c r="F212" s="977"/>
      <c r="G212" s="977"/>
      <c r="H212" s="977"/>
      <c r="I212" s="977"/>
      <c r="J212" s="977"/>
      <c r="K212" s="977"/>
      <c r="L212" s="977"/>
      <c r="M212" s="977"/>
      <c r="N212" s="977"/>
      <c r="O212" s="977"/>
      <c r="P212" s="977"/>
      <c r="Q212" s="977"/>
      <c r="R212" s="977"/>
      <c r="S212" s="977"/>
      <c r="T212" s="977"/>
      <c r="U212" s="977"/>
      <c r="V212" s="977"/>
      <c r="W212" s="977"/>
      <c r="X212" s="977"/>
      <c r="Y212" s="977"/>
      <c r="Z212" s="977"/>
      <c r="AA212" s="977"/>
      <c r="AB212" s="977"/>
      <c r="AC212" s="977"/>
      <c r="AD212" s="977"/>
      <c r="AE212" s="977"/>
      <c r="AF212" s="977"/>
      <c r="AG212" s="977"/>
      <c r="AH212" s="977"/>
      <c r="AI212" s="977"/>
      <c r="AJ212" s="977"/>
      <c r="AK212" s="977"/>
      <c r="AL212" s="977"/>
      <c r="AM212" s="977"/>
      <c r="AN212" s="977"/>
      <c r="AO212" s="977"/>
      <c r="AP212" s="977"/>
      <c r="AQ212" s="977"/>
      <c r="AR212" s="335"/>
      <c r="AS212" s="335"/>
      <c r="AT212" s="335"/>
      <c r="AU212" s="335"/>
      <c r="AV212" s="335"/>
      <c r="AW212" s="335"/>
      <c r="AX212" s="335"/>
      <c r="AY212" s="335"/>
      <c r="AZ212" s="335"/>
      <c r="BA212" s="335"/>
      <c r="BB212" s="335"/>
      <c r="BC212" s="335"/>
      <c r="BD212" s="335"/>
      <c r="BE212" s="335"/>
      <c r="BF212" s="335"/>
      <c r="BG212" s="335"/>
      <c r="BH212" s="335"/>
      <c r="BI212" s="335"/>
      <c r="BJ212" s="335"/>
      <c r="BK212" s="335"/>
      <c r="BL212" s="335"/>
      <c r="BM212" s="335"/>
      <c r="BN212" s="335"/>
      <c r="BO212" s="335"/>
      <c r="BP212" s="335"/>
      <c r="BQ212" s="335"/>
      <c r="BR212" s="335"/>
      <c r="BS212" s="335"/>
      <c r="BT212" s="335"/>
      <c r="BU212" s="335"/>
      <c r="BV212" s="335"/>
      <c r="BW212" s="335"/>
      <c r="BX212" s="335"/>
      <c r="BY212" s="335"/>
      <c r="BZ212" s="335"/>
      <c r="CA212" s="335"/>
      <c r="CB212" s="335"/>
      <c r="CC212" s="335"/>
      <c r="CD212" s="335"/>
      <c r="CE212" s="335"/>
      <c r="CF212" s="335"/>
      <c r="CG212" s="335"/>
      <c r="CH212" s="335"/>
      <c r="CI212" s="335"/>
      <c r="CJ212" s="335"/>
      <c r="CK212" s="335"/>
      <c r="CL212" s="335"/>
      <c r="CM212" s="335"/>
      <c r="CN212" s="335"/>
      <c r="CO212" s="335"/>
      <c r="CP212" s="335"/>
      <c r="CQ212" s="335"/>
      <c r="CR212" s="335"/>
      <c r="CS212" s="335"/>
      <c r="CT212" s="335"/>
      <c r="CU212" s="335"/>
      <c r="CV212" s="335"/>
      <c r="CW212" s="335"/>
      <c r="CX212" s="335"/>
      <c r="CY212" s="335"/>
      <c r="CZ212" s="335"/>
      <c r="DA212" s="335"/>
      <c r="DB212" s="335"/>
      <c r="DC212" s="335"/>
      <c r="DD212" s="335"/>
      <c r="DE212" s="335"/>
      <c r="DF212" s="335"/>
      <c r="DG212" s="335"/>
      <c r="DH212" s="335"/>
      <c r="DI212" s="335"/>
      <c r="DJ212" s="335"/>
      <c r="DK212" s="335"/>
      <c r="DL212" s="335"/>
      <c r="DM212" s="335"/>
      <c r="DN212" s="335"/>
      <c r="DO212" s="335"/>
    </row>
    <row r="213" spans="1:119" ht="35.1" customHeight="1">
      <c r="A213" s="977"/>
      <c r="B213" s="977"/>
      <c r="C213" s="977"/>
      <c r="D213" s="977"/>
      <c r="E213" s="977"/>
      <c r="F213" s="977"/>
      <c r="G213" s="977"/>
      <c r="H213" s="977"/>
      <c r="I213" s="977"/>
      <c r="J213" s="977"/>
      <c r="K213" s="977"/>
      <c r="L213" s="977"/>
      <c r="M213" s="977"/>
      <c r="N213" s="977"/>
      <c r="O213" s="977"/>
      <c r="P213" s="977"/>
      <c r="Q213" s="977"/>
      <c r="R213" s="977"/>
      <c r="S213" s="977"/>
      <c r="T213" s="977"/>
      <c r="U213" s="977"/>
      <c r="V213" s="977"/>
      <c r="W213" s="977"/>
      <c r="X213" s="977"/>
      <c r="Y213" s="977"/>
      <c r="Z213" s="977"/>
      <c r="AA213" s="977"/>
      <c r="AB213" s="977"/>
      <c r="AC213" s="977"/>
      <c r="AD213" s="977"/>
      <c r="AE213" s="977"/>
      <c r="AF213" s="977"/>
      <c r="AG213" s="977"/>
      <c r="AH213" s="977"/>
      <c r="AI213" s="977"/>
      <c r="AJ213" s="977"/>
      <c r="AK213" s="977"/>
      <c r="AL213" s="977"/>
      <c r="AM213" s="977"/>
      <c r="AN213" s="977"/>
      <c r="AO213" s="977"/>
      <c r="AP213" s="977"/>
      <c r="AQ213" s="977"/>
      <c r="AR213" s="335"/>
      <c r="AS213" s="335"/>
      <c r="AT213" s="335"/>
      <c r="AU213" s="335"/>
      <c r="AV213" s="335"/>
      <c r="AW213" s="335"/>
      <c r="AX213" s="335"/>
      <c r="AY213" s="335"/>
      <c r="AZ213" s="335"/>
      <c r="BA213" s="335"/>
      <c r="BB213" s="335"/>
      <c r="BC213" s="335"/>
      <c r="BD213" s="335"/>
      <c r="BE213" s="335"/>
      <c r="BF213" s="335"/>
      <c r="BG213" s="335"/>
      <c r="BH213" s="335"/>
      <c r="BI213" s="335"/>
      <c r="BJ213" s="335"/>
      <c r="BK213" s="335"/>
      <c r="BL213" s="335"/>
      <c r="BM213" s="335"/>
      <c r="BN213" s="335"/>
      <c r="BO213" s="335"/>
      <c r="BP213" s="335"/>
      <c r="BQ213" s="335"/>
      <c r="BR213" s="335"/>
      <c r="BS213" s="335"/>
      <c r="BT213" s="335"/>
      <c r="BU213" s="335"/>
      <c r="BV213" s="335"/>
      <c r="BW213" s="335"/>
      <c r="BX213" s="335"/>
      <c r="BY213" s="335"/>
      <c r="BZ213" s="335"/>
      <c r="CA213" s="335"/>
      <c r="CB213" s="335"/>
      <c r="CC213" s="335"/>
      <c r="CD213" s="335"/>
      <c r="CE213" s="335"/>
      <c r="CF213" s="335"/>
      <c r="CG213" s="335"/>
      <c r="CH213" s="335"/>
      <c r="CI213" s="335"/>
      <c r="CJ213" s="335"/>
      <c r="CK213" s="335"/>
      <c r="CL213" s="335"/>
      <c r="CM213" s="335"/>
      <c r="CN213" s="335"/>
      <c r="CO213" s="335"/>
      <c r="CP213" s="335"/>
      <c r="CQ213" s="335"/>
      <c r="CR213" s="335"/>
      <c r="CS213" s="335"/>
      <c r="CT213" s="335"/>
      <c r="CU213" s="335"/>
      <c r="CV213" s="335"/>
      <c r="CW213" s="335"/>
      <c r="CX213" s="335"/>
      <c r="CY213" s="335"/>
      <c r="CZ213" s="335"/>
      <c r="DA213" s="335"/>
      <c r="DB213" s="335"/>
      <c r="DC213" s="335"/>
      <c r="DD213" s="335"/>
      <c r="DE213" s="335"/>
      <c r="DF213" s="335"/>
      <c r="DG213" s="335"/>
      <c r="DH213" s="335"/>
      <c r="DI213" s="335"/>
      <c r="DJ213" s="335"/>
      <c r="DK213" s="335"/>
      <c r="DL213" s="335"/>
      <c r="DM213" s="335"/>
      <c r="DN213" s="335"/>
      <c r="DO213" s="335"/>
    </row>
    <row r="214" spans="1:119" ht="35.1" customHeight="1">
      <c r="A214" s="977"/>
      <c r="B214" s="977"/>
      <c r="C214" s="977"/>
      <c r="D214" s="977"/>
      <c r="E214" s="977"/>
      <c r="F214" s="977"/>
      <c r="G214" s="977"/>
      <c r="H214" s="977"/>
      <c r="I214" s="977"/>
      <c r="J214" s="977"/>
      <c r="K214" s="977"/>
      <c r="L214" s="977"/>
      <c r="M214" s="977"/>
      <c r="N214" s="977"/>
      <c r="O214" s="977"/>
      <c r="P214" s="977"/>
      <c r="Q214" s="977"/>
      <c r="R214" s="977"/>
      <c r="S214" s="977"/>
      <c r="T214" s="977"/>
      <c r="U214" s="977"/>
      <c r="V214" s="977"/>
      <c r="W214" s="977"/>
      <c r="X214" s="977"/>
      <c r="Y214" s="977"/>
      <c r="Z214" s="977"/>
      <c r="AA214" s="977"/>
      <c r="AB214" s="977"/>
      <c r="AC214" s="977"/>
      <c r="AD214" s="977"/>
      <c r="AE214" s="977"/>
      <c r="AF214" s="977"/>
      <c r="AG214" s="977"/>
      <c r="AH214" s="977"/>
      <c r="AI214" s="977"/>
      <c r="AJ214" s="977"/>
      <c r="AK214" s="977"/>
      <c r="AL214" s="977"/>
      <c r="AM214" s="977"/>
      <c r="AN214" s="977"/>
      <c r="AO214" s="977"/>
      <c r="AP214" s="977"/>
      <c r="AQ214" s="977"/>
      <c r="AR214" s="335"/>
      <c r="AS214" s="335"/>
      <c r="AT214" s="335"/>
      <c r="AU214" s="335"/>
      <c r="AV214" s="335"/>
      <c r="AW214" s="335"/>
      <c r="AX214" s="335"/>
      <c r="AY214" s="335"/>
      <c r="AZ214" s="335"/>
      <c r="BA214" s="335"/>
      <c r="BB214" s="335"/>
      <c r="BC214" s="335"/>
      <c r="BD214" s="335"/>
      <c r="BE214" s="335"/>
      <c r="BF214" s="335"/>
      <c r="BG214" s="335"/>
      <c r="BH214" s="335"/>
      <c r="BI214" s="335"/>
      <c r="BJ214" s="335"/>
      <c r="BK214" s="335"/>
      <c r="BL214" s="335"/>
      <c r="BM214" s="335"/>
      <c r="BN214" s="335"/>
      <c r="BO214" s="335"/>
      <c r="BP214" s="335"/>
      <c r="BQ214" s="335"/>
      <c r="BR214" s="335"/>
      <c r="BS214" s="335"/>
      <c r="BT214" s="335"/>
      <c r="BU214" s="335"/>
      <c r="BV214" s="335"/>
      <c r="BW214" s="335"/>
      <c r="BX214" s="335"/>
      <c r="BY214" s="335"/>
      <c r="BZ214" s="335"/>
      <c r="CA214" s="335"/>
      <c r="CB214" s="335"/>
      <c r="CC214" s="335"/>
      <c r="CD214" s="335"/>
      <c r="CE214" s="335"/>
      <c r="CF214" s="335"/>
      <c r="CG214" s="335"/>
      <c r="CH214" s="335"/>
      <c r="CI214" s="335"/>
      <c r="CJ214" s="335"/>
      <c r="CK214" s="335"/>
      <c r="CL214" s="335"/>
      <c r="CM214" s="335"/>
      <c r="CN214" s="335"/>
      <c r="CO214" s="335"/>
      <c r="CP214" s="335"/>
      <c r="CQ214" s="335"/>
      <c r="CR214" s="335"/>
      <c r="CS214" s="335"/>
      <c r="CT214" s="335"/>
      <c r="CU214" s="335"/>
      <c r="CV214" s="335"/>
      <c r="CW214" s="335"/>
      <c r="CX214" s="335"/>
      <c r="CY214" s="335"/>
      <c r="CZ214" s="335"/>
      <c r="DA214" s="335"/>
      <c r="DB214" s="335"/>
      <c r="DC214" s="335"/>
      <c r="DD214" s="335"/>
      <c r="DE214" s="335"/>
      <c r="DF214" s="335"/>
      <c r="DG214" s="335"/>
      <c r="DH214" s="335"/>
      <c r="DI214" s="335"/>
      <c r="DJ214" s="335"/>
      <c r="DK214" s="335"/>
      <c r="DL214" s="335"/>
      <c r="DM214" s="335"/>
      <c r="DN214" s="335"/>
      <c r="DO214" s="335"/>
    </row>
    <row r="215" spans="1:119" ht="35.1" customHeight="1">
      <c r="A215" s="977"/>
      <c r="B215" s="977"/>
      <c r="C215" s="977"/>
      <c r="D215" s="977"/>
      <c r="E215" s="977"/>
      <c r="F215" s="977"/>
      <c r="G215" s="977"/>
      <c r="H215" s="977"/>
      <c r="I215" s="977"/>
      <c r="J215" s="977"/>
      <c r="K215" s="977"/>
      <c r="L215" s="977"/>
      <c r="M215" s="977"/>
      <c r="N215" s="977"/>
      <c r="O215" s="977"/>
      <c r="P215" s="977"/>
      <c r="Q215" s="977"/>
      <c r="R215" s="977"/>
      <c r="S215" s="977"/>
      <c r="T215" s="977"/>
      <c r="U215" s="977"/>
      <c r="V215" s="977"/>
      <c r="W215" s="977"/>
      <c r="X215" s="977"/>
      <c r="Y215" s="977"/>
      <c r="Z215" s="977"/>
      <c r="AA215" s="977"/>
      <c r="AB215" s="977"/>
      <c r="AC215" s="977"/>
      <c r="AD215" s="977"/>
      <c r="AE215" s="977"/>
      <c r="AF215" s="977"/>
      <c r="AG215" s="977"/>
      <c r="AH215" s="977"/>
      <c r="AI215" s="977"/>
      <c r="AJ215" s="977"/>
      <c r="AK215" s="977"/>
      <c r="AL215" s="977"/>
      <c r="AM215" s="977"/>
      <c r="AN215" s="977"/>
      <c r="AO215" s="977"/>
      <c r="AP215" s="977"/>
      <c r="AQ215" s="977"/>
      <c r="AR215" s="335"/>
      <c r="AS215" s="335"/>
      <c r="AT215" s="335"/>
      <c r="AU215" s="335"/>
      <c r="AV215" s="335"/>
      <c r="AW215" s="335"/>
      <c r="AX215" s="335"/>
      <c r="AY215" s="335"/>
      <c r="AZ215" s="335"/>
      <c r="BA215" s="335"/>
      <c r="BB215" s="335"/>
      <c r="BC215" s="335"/>
      <c r="BD215" s="335"/>
      <c r="BE215" s="335"/>
      <c r="BF215" s="335"/>
      <c r="BG215" s="335"/>
      <c r="BH215" s="335"/>
      <c r="BI215" s="335"/>
      <c r="BJ215" s="335"/>
      <c r="BK215" s="335"/>
      <c r="BL215" s="335"/>
      <c r="BM215" s="335"/>
      <c r="BN215" s="335"/>
      <c r="BO215" s="335"/>
      <c r="BP215" s="335"/>
      <c r="BQ215" s="335"/>
      <c r="BR215" s="335"/>
      <c r="BS215" s="335"/>
      <c r="BT215" s="335"/>
      <c r="BU215" s="335"/>
      <c r="BV215" s="335"/>
      <c r="BW215" s="335"/>
      <c r="BX215" s="335"/>
      <c r="BY215" s="335"/>
      <c r="BZ215" s="335"/>
      <c r="CA215" s="335"/>
      <c r="CB215" s="335"/>
      <c r="CC215" s="335"/>
      <c r="CD215" s="335"/>
      <c r="CE215" s="335"/>
      <c r="CF215" s="335"/>
      <c r="CG215" s="335"/>
      <c r="CH215" s="335"/>
      <c r="CI215" s="335"/>
      <c r="CJ215" s="335"/>
      <c r="CK215" s="335"/>
      <c r="CL215" s="335"/>
      <c r="CM215" s="335"/>
      <c r="CN215" s="335"/>
      <c r="CO215" s="335"/>
      <c r="CP215" s="335"/>
      <c r="CQ215" s="335"/>
      <c r="CR215" s="335"/>
      <c r="CS215" s="335"/>
      <c r="CT215" s="335"/>
      <c r="CU215" s="335"/>
      <c r="CV215" s="335"/>
      <c r="CW215" s="335"/>
      <c r="CX215" s="335"/>
      <c r="CY215" s="335"/>
      <c r="CZ215" s="335"/>
      <c r="DA215" s="335"/>
      <c r="DB215" s="335"/>
      <c r="DC215" s="335"/>
      <c r="DD215" s="335"/>
      <c r="DE215" s="335"/>
      <c r="DF215" s="335"/>
      <c r="DG215" s="335"/>
      <c r="DH215" s="335"/>
      <c r="DI215" s="335"/>
      <c r="DJ215" s="335"/>
      <c r="DK215" s="335"/>
      <c r="DL215" s="335"/>
      <c r="DM215" s="335"/>
      <c r="DN215" s="335"/>
      <c r="DO215" s="335"/>
    </row>
    <row r="216" spans="1:119" ht="35.1" customHeight="1">
      <c r="A216" s="977"/>
      <c r="B216" s="977"/>
      <c r="C216" s="977"/>
      <c r="D216" s="977"/>
      <c r="E216" s="977"/>
      <c r="F216" s="977"/>
      <c r="G216" s="977"/>
      <c r="H216" s="977"/>
      <c r="I216" s="977"/>
      <c r="J216" s="977"/>
      <c r="K216" s="977"/>
      <c r="L216" s="977"/>
      <c r="M216" s="977"/>
      <c r="N216" s="977"/>
      <c r="O216" s="977"/>
      <c r="P216" s="977"/>
      <c r="Q216" s="977"/>
      <c r="R216" s="977"/>
      <c r="S216" s="977"/>
      <c r="T216" s="977"/>
      <c r="U216" s="977"/>
      <c r="V216" s="977"/>
      <c r="W216" s="977"/>
      <c r="X216" s="977"/>
      <c r="Y216" s="977"/>
      <c r="Z216" s="977"/>
      <c r="AA216" s="977"/>
      <c r="AB216" s="977"/>
      <c r="AC216" s="977"/>
      <c r="AD216" s="977"/>
      <c r="AE216" s="977"/>
      <c r="AF216" s="977"/>
      <c r="AG216" s="977"/>
      <c r="AH216" s="977"/>
      <c r="AI216" s="977"/>
      <c r="AJ216" s="977"/>
      <c r="AK216" s="977"/>
      <c r="AL216" s="977"/>
      <c r="AM216" s="977"/>
      <c r="AN216" s="977"/>
      <c r="AO216" s="977"/>
      <c r="AP216" s="977"/>
      <c r="AQ216" s="977"/>
      <c r="AR216" s="335"/>
      <c r="AS216" s="335"/>
      <c r="AT216" s="335"/>
      <c r="AU216" s="335"/>
      <c r="AV216" s="335"/>
      <c r="AW216" s="335"/>
      <c r="AX216" s="335"/>
      <c r="AY216" s="335"/>
      <c r="AZ216" s="335"/>
      <c r="BA216" s="335"/>
      <c r="BB216" s="335"/>
      <c r="BC216" s="335"/>
      <c r="BD216" s="335"/>
      <c r="BE216" s="335"/>
      <c r="BF216" s="335"/>
      <c r="BG216" s="335"/>
      <c r="BH216" s="335"/>
      <c r="BI216" s="335"/>
      <c r="BJ216" s="335"/>
      <c r="BK216" s="335"/>
      <c r="BL216" s="335"/>
      <c r="BM216" s="335"/>
      <c r="BN216" s="335"/>
      <c r="BO216" s="335"/>
      <c r="BP216" s="335"/>
      <c r="BQ216" s="335"/>
      <c r="BR216" s="335"/>
      <c r="BS216" s="335"/>
      <c r="BT216" s="335"/>
      <c r="BU216" s="335"/>
      <c r="BV216" s="335"/>
      <c r="BW216" s="335"/>
      <c r="BX216" s="335"/>
      <c r="BY216" s="335"/>
      <c r="BZ216" s="335"/>
      <c r="CA216" s="335"/>
      <c r="CB216" s="335"/>
      <c r="CC216" s="335"/>
      <c r="CD216" s="335"/>
      <c r="CE216" s="335"/>
      <c r="CF216" s="335"/>
      <c r="CG216" s="335"/>
      <c r="CH216" s="335"/>
      <c r="CI216" s="335"/>
      <c r="CJ216" s="335"/>
      <c r="CK216" s="335"/>
      <c r="CL216" s="335"/>
      <c r="CM216" s="335"/>
      <c r="CN216" s="335"/>
      <c r="CO216" s="335"/>
      <c r="CP216" s="335"/>
      <c r="CQ216" s="335"/>
      <c r="CR216" s="335"/>
      <c r="CS216" s="335"/>
      <c r="CT216" s="335"/>
      <c r="CU216" s="335"/>
      <c r="CV216" s="335"/>
      <c r="CW216" s="335"/>
      <c r="CX216" s="335"/>
      <c r="CY216" s="335"/>
      <c r="CZ216" s="335"/>
      <c r="DA216" s="335"/>
      <c r="DB216" s="335"/>
      <c r="DC216" s="335"/>
      <c r="DD216" s="335"/>
      <c r="DE216" s="335"/>
      <c r="DF216" s="335"/>
      <c r="DG216" s="335"/>
      <c r="DH216" s="335"/>
      <c r="DI216" s="335"/>
      <c r="DJ216" s="335"/>
      <c r="DK216" s="335"/>
      <c r="DL216" s="335"/>
      <c r="DM216" s="335"/>
      <c r="DN216" s="335"/>
      <c r="DO216" s="335"/>
    </row>
    <row r="217" spans="1:119" ht="35.1" customHeight="1">
      <c r="A217" s="977"/>
      <c r="B217" s="978"/>
      <c r="C217" s="977"/>
      <c r="D217" s="977"/>
      <c r="E217" s="977"/>
      <c r="F217" s="977"/>
      <c r="G217" s="977"/>
      <c r="H217" s="977"/>
      <c r="I217" s="977"/>
      <c r="J217" s="977"/>
      <c r="K217" s="977"/>
      <c r="L217" s="977"/>
      <c r="M217" s="977"/>
      <c r="N217" s="977"/>
      <c r="O217" s="977"/>
      <c r="P217" s="977"/>
      <c r="Q217" s="977"/>
      <c r="R217" s="977"/>
      <c r="S217" s="977"/>
      <c r="T217" s="977"/>
      <c r="U217" s="977"/>
      <c r="V217" s="977"/>
      <c r="W217" s="977"/>
      <c r="X217" s="977"/>
      <c r="Y217" s="977"/>
      <c r="Z217" s="977"/>
      <c r="AA217" s="977"/>
      <c r="AB217" s="977"/>
      <c r="AC217" s="977"/>
      <c r="AD217" s="977"/>
      <c r="AE217" s="977"/>
      <c r="AF217" s="977"/>
      <c r="AG217" s="977"/>
      <c r="AH217" s="977"/>
      <c r="AI217" s="977"/>
      <c r="AJ217" s="977"/>
      <c r="AK217" s="977"/>
      <c r="AL217" s="977"/>
      <c r="AM217" s="977"/>
      <c r="AN217" s="977"/>
      <c r="AO217" s="977"/>
      <c r="AP217" s="977"/>
      <c r="AQ217" s="977"/>
      <c r="AR217" s="335"/>
      <c r="AS217" s="335"/>
      <c r="AT217" s="335"/>
      <c r="AU217" s="335"/>
      <c r="AV217" s="335"/>
      <c r="AW217" s="335"/>
      <c r="AX217" s="335"/>
      <c r="AY217" s="335"/>
      <c r="AZ217" s="335"/>
      <c r="BA217" s="335"/>
      <c r="BB217" s="335"/>
      <c r="BC217" s="335"/>
      <c r="BD217" s="335"/>
      <c r="BE217" s="335"/>
      <c r="BF217" s="335"/>
      <c r="BG217" s="335"/>
      <c r="BH217" s="335"/>
      <c r="BI217" s="335"/>
      <c r="BJ217" s="335"/>
      <c r="BK217" s="335"/>
      <c r="BL217" s="335"/>
      <c r="BM217" s="335"/>
      <c r="BN217" s="335"/>
      <c r="BO217" s="335"/>
      <c r="BP217" s="335"/>
      <c r="BQ217" s="335"/>
      <c r="BR217" s="335"/>
      <c r="BS217" s="335"/>
      <c r="BT217" s="335"/>
      <c r="BU217" s="335"/>
      <c r="BV217" s="335"/>
      <c r="BW217" s="335"/>
      <c r="BX217" s="335"/>
      <c r="BY217" s="335"/>
      <c r="BZ217" s="335"/>
      <c r="CA217" s="335"/>
      <c r="CB217" s="335"/>
      <c r="CC217" s="335"/>
      <c r="CD217" s="335"/>
      <c r="CE217" s="335"/>
      <c r="CF217" s="335"/>
      <c r="CG217" s="335"/>
      <c r="CH217" s="335"/>
      <c r="CI217" s="335"/>
      <c r="CJ217" s="335"/>
      <c r="CK217" s="335"/>
      <c r="CL217" s="335"/>
      <c r="CM217" s="335"/>
      <c r="CN217" s="335"/>
      <c r="CO217" s="335"/>
      <c r="CP217" s="335"/>
      <c r="CQ217" s="335"/>
      <c r="CR217" s="335"/>
      <c r="CS217" s="335"/>
      <c r="CT217" s="335"/>
      <c r="CU217" s="335"/>
      <c r="CV217" s="335"/>
      <c r="CW217" s="335"/>
      <c r="CX217" s="335"/>
      <c r="CY217" s="335"/>
      <c r="CZ217" s="335"/>
      <c r="DA217" s="335"/>
      <c r="DB217" s="335"/>
      <c r="DC217" s="335"/>
      <c r="DD217" s="335"/>
      <c r="DE217" s="335"/>
      <c r="DF217" s="335"/>
      <c r="DG217" s="335"/>
      <c r="DH217" s="335"/>
      <c r="DI217" s="335"/>
      <c r="DJ217" s="335"/>
      <c r="DK217" s="335"/>
      <c r="DL217" s="335"/>
      <c r="DM217" s="335"/>
      <c r="DN217" s="335"/>
      <c r="DO217" s="335"/>
    </row>
    <row r="218" spans="1:119" ht="35.1" customHeight="1">
      <c r="A218" s="977"/>
      <c r="B218" s="977"/>
      <c r="C218" s="977"/>
      <c r="D218" s="977"/>
      <c r="E218" s="977"/>
      <c r="F218" s="977"/>
      <c r="G218" s="977"/>
      <c r="H218" s="977"/>
      <c r="I218" s="977"/>
      <c r="J218" s="977"/>
      <c r="K218" s="977"/>
      <c r="L218" s="977"/>
      <c r="M218" s="977"/>
      <c r="N218" s="977"/>
      <c r="O218" s="977"/>
      <c r="P218" s="977"/>
      <c r="Q218" s="977"/>
      <c r="R218" s="977"/>
      <c r="S218" s="977"/>
      <c r="T218" s="977"/>
      <c r="U218" s="977"/>
      <c r="V218" s="977"/>
      <c r="W218" s="977"/>
      <c r="X218" s="977"/>
      <c r="Y218" s="977"/>
      <c r="Z218" s="977"/>
      <c r="AA218" s="977"/>
      <c r="AB218" s="977"/>
      <c r="AC218" s="977"/>
      <c r="AD218" s="977"/>
      <c r="AE218" s="977"/>
      <c r="AF218" s="977"/>
      <c r="AG218" s="977"/>
      <c r="AH218" s="977"/>
      <c r="AI218" s="977"/>
      <c r="AJ218" s="977"/>
      <c r="AK218" s="977"/>
      <c r="AL218" s="977"/>
      <c r="AM218" s="977"/>
      <c r="AN218" s="977"/>
      <c r="AO218" s="977"/>
      <c r="AP218" s="977"/>
      <c r="AQ218" s="977"/>
      <c r="AR218" s="335"/>
      <c r="AS218" s="335"/>
      <c r="AT218" s="335"/>
      <c r="AU218" s="335"/>
      <c r="AV218" s="335"/>
      <c r="AW218" s="335"/>
      <c r="AX218" s="335"/>
      <c r="AY218" s="335"/>
      <c r="AZ218" s="335"/>
      <c r="BA218" s="335"/>
      <c r="BB218" s="335"/>
      <c r="BC218" s="335"/>
      <c r="BD218" s="335"/>
      <c r="BE218" s="335"/>
      <c r="BF218" s="335"/>
      <c r="BG218" s="335"/>
      <c r="BH218" s="335"/>
      <c r="BI218" s="335"/>
      <c r="BJ218" s="335"/>
      <c r="BK218" s="335"/>
      <c r="BL218" s="335"/>
      <c r="BM218" s="335"/>
      <c r="BN218" s="335"/>
      <c r="BO218" s="335"/>
      <c r="BP218" s="335"/>
      <c r="BQ218" s="335"/>
      <c r="BR218" s="335"/>
      <c r="BS218" s="335"/>
      <c r="BT218" s="335"/>
      <c r="BU218" s="335"/>
      <c r="BV218" s="335"/>
      <c r="BW218" s="335"/>
      <c r="BX218" s="335"/>
      <c r="BY218" s="335"/>
      <c r="BZ218" s="335"/>
      <c r="CA218" s="335"/>
      <c r="CB218" s="335"/>
      <c r="CC218" s="335"/>
      <c r="CD218" s="335"/>
      <c r="CE218" s="335"/>
      <c r="CF218" s="335"/>
      <c r="CG218" s="335"/>
      <c r="CH218" s="335"/>
      <c r="CI218" s="335"/>
      <c r="CJ218" s="335"/>
      <c r="CK218" s="335"/>
      <c r="CL218" s="335"/>
      <c r="CM218" s="335"/>
      <c r="CN218" s="335"/>
      <c r="CO218" s="335"/>
      <c r="CP218" s="335"/>
      <c r="CQ218" s="335"/>
      <c r="CR218" s="335"/>
      <c r="CS218" s="335"/>
      <c r="CT218" s="335"/>
      <c r="CU218" s="335"/>
      <c r="CV218" s="335"/>
      <c r="CW218" s="335"/>
      <c r="CX218" s="335"/>
      <c r="CY218" s="335"/>
      <c r="CZ218" s="335"/>
      <c r="DA218" s="335"/>
      <c r="DB218" s="335"/>
      <c r="DC218" s="335"/>
      <c r="DD218" s="335"/>
      <c r="DE218" s="335"/>
      <c r="DF218" s="335"/>
      <c r="DG218" s="335"/>
      <c r="DH218" s="335"/>
      <c r="DI218" s="335"/>
      <c r="DJ218" s="335"/>
      <c r="DK218" s="335"/>
      <c r="DL218" s="335"/>
      <c r="DM218" s="335"/>
      <c r="DN218" s="335"/>
      <c r="DO218" s="335"/>
    </row>
    <row r="219" spans="1:119" ht="35.1" customHeight="1">
      <c r="A219" s="977"/>
      <c r="B219" s="977"/>
      <c r="C219" s="977"/>
      <c r="D219" s="977"/>
      <c r="E219" s="977"/>
      <c r="F219" s="977"/>
      <c r="G219" s="977"/>
      <c r="H219" s="977"/>
      <c r="I219" s="977"/>
      <c r="J219" s="977"/>
      <c r="K219" s="977"/>
      <c r="L219" s="977"/>
      <c r="M219" s="977"/>
      <c r="N219" s="977"/>
      <c r="O219" s="977"/>
      <c r="P219" s="977"/>
      <c r="Q219" s="977"/>
      <c r="R219" s="977"/>
      <c r="S219" s="977"/>
      <c r="T219" s="977"/>
      <c r="U219" s="977"/>
      <c r="V219" s="977"/>
      <c r="W219" s="977"/>
      <c r="X219" s="977"/>
      <c r="Y219" s="977"/>
      <c r="Z219" s="977"/>
      <c r="AA219" s="977"/>
      <c r="AB219" s="977"/>
      <c r="AC219" s="977"/>
      <c r="AD219" s="977"/>
      <c r="AE219" s="977"/>
      <c r="AF219" s="977"/>
      <c r="AG219" s="977"/>
      <c r="AH219" s="977"/>
      <c r="AI219" s="977"/>
      <c r="AJ219" s="977"/>
      <c r="AK219" s="977"/>
      <c r="AL219" s="977"/>
      <c r="AM219" s="977"/>
      <c r="AN219" s="977"/>
      <c r="AO219" s="977"/>
      <c r="AP219" s="977"/>
      <c r="AQ219" s="977"/>
      <c r="AR219" s="335"/>
      <c r="AS219" s="335"/>
      <c r="AT219" s="335"/>
      <c r="AU219" s="335"/>
      <c r="AV219" s="335"/>
      <c r="AW219" s="335"/>
      <c r="AX219" s="335"/>
      <c r="AY219" s="335"/>
      <c r="AZ219" s="335"/>
      <c r="BA219" s="335"/>
      <c r="BB219" s="335"/>
      <c r="BC219" s="335"/>
      <c r="BD219" s="335"/>
      <c r="BE219" s="335"/>
      <c r="BF219" s="335"/>
      <c r="BG219" s="335"/>
      <c r="BH219" s="335"/>
      <c r="BI219" s="335"/>
      <c r="BJ219" s="335"/>
      <c r="BK219" s="335"/>
      <c r="BL219" s="335"/>
      <c r="BM219" s="335"/>
      <c r="BN219" s="335"/>
      <c r="BO219" s="335"/>
      <c r="BP219" s="335"/>
      <c r="BQ219" s="335"/>
      <c r="BR219" s="335"/>
      <c r="BS219" s="335"/>
      <c r="BT219" s="335"/>
      <c r="BU219" s="335"/>
      <c r="BV219" s="335"/>
      <c r="BW219" s="335"/>
      <c r="BX219" s="335"/>
      <c r="BY219" s="335"/>
      <c r="BZ219" s="335"/>
      <c r="CA219" s="335"/>
      <c r="CB219" s="335"/>
      <c r="CC219" s="335"/>
      <c r="CD219" s="335"/>
      <c r="CE219" s="335"/>
      <c r="CF219" s="335"/>
      <c r="CG219" s="335"/>
      <c r="CH219" s="335"/>
      <c r="CI219" s="335"/>
      <c r="CJ219" s="335"/>
      <c r="CK219" s="335"/>
      <c r="CL219" s="335"/>
      <c r="CM219" s="335"/>
      <c r="CN219" s="335"/>
      <c r="CO219" s="335"/>
      <c r="CP219" s="335"/>
      <c r="CQ219" s="335"/>
      <c r="CR219" s="335"/>
      <c r="CS219" s="335"/>
      <c r="CT219" s="335"/>
      <c r="CU219" s="335"/>
      <c r="CV219" s="335"/>
      <c r="CW219" s="335"/>
      <c r="CX219" s="335"/>
      <c r="CY219" s="335"/>
      <c r="CZ219" s="335"/>
      <c r="DA219" s="335"/>
      <c r="DB219" s="335"/>
      <c r="DC219" s="335"/>
      <c r="DD219" s="335"/>
      <c r="DE219" s="335"/>
      <c r="DF219" s="335"/>
      <c r="DG219" s="335"/>
      <c r="DH219" s="335"/>
      <c r="DI219" s="335"/>
      <c r="DJ219" s="335"/>
      <c r="DK219" s="335"/>
      <c r="DL219" s="335"/>
      <c r="DM219" s="335"/>
      <c r="DN219" s="335"/>
      <c r="DO219" s="335"/>
    </row>
    <row r="220" spans="1:119" ht="14.25" customHeight="1">
      <c r="A220" s="977"/>
      <c r="B220" s="977"/>
      <c r="C220" s="977"/>
      <c r="D220" s="977"/>
      <c r="E220" s="977"/>
      <c r="F220" s="977"/>
      <c r="G220" s="977"/>
      <c r="H220" s="977"/>
      <c r="I220" s="977"/>
      <c r="J220" s="977"/>
      <c r="K220" s="977"/>
      <c r="L220" s="977"/>
      <c r="M220" s="977"/>
      <c r="N220" s="977"/>
      <c r="O220" s="977"/>
      <c r="P220" s="977"/>
      <c r="Q220" s="977"/>
      <c r="R220" s="977"/>
      <c r="S220" s="977"/>
      <c r="T220" s="977"/>
      <c r="U220" s="977"/>
      <c r="V220" s="977"/>
      <c r="W220" s="977"/>
      <c r="X220" s="977"/>
      <c r="Y220" s="977"/>
      <c r="Z220" s="977"/>
      <c r="AA220" s="977"/>
      <c r="AB220" s="977"/>
      <c r="AC220" s="977"/>
      <c r="AD220" s="977"/>
      <c r="AE220" s="977"/>
      <c r="AF220" s="977"/>
      <c r="AG220" s="977"/>
      <c r="AH220" s="977"/>
      <c r="AI220" s="977"/>
      <c r="AJ220" s="977"/>
      <c r="AK220" s="977"/>
      <c r="AL220" s="977"/>
      <c r="AM220" s="977"/>
      <c r="AN220" s="977"/>
      <c r="AO220" s="977"/>
      <c r="AP220" s="977"/>
      <c r="AQ220" s="977"/>
      <c r="AR220" s="335"/>
      <c r="AS220" s="335"/>
      <c r="AT220" s="335"/>
      <c r="AU220" s="335"/>
      <c r="AV220" s="335"/>
      <c r="AW220" s="335"/>
      <c r="AX220" s="335"/>
      <c r="AY220" s="335"/>
      <c r="AZ220" s="335"/>
      <c r="BA220" s="335"/>
      <c r="BB220" s="335"/>
      <c r="BC220" s="335"/>
      <c r="BD220" s="335"/>
      <c r="BE220" s="335"/>
      <c r="BF220" s="335"/>
      <c r="BG220" s="335"/>
      <c r="BH220" s="335"/>
      <c r="BI220" s="335"/>
      <c r="BJ220" s="335"/>
      <c r="BK220" s="335"/>
      <c r="BL220" s="335"/>
      <c r="BM220" s="335"/>
      <c r="BN220" s="335"/>
      <c r="BO220" s="335"/>
      <c r="BP220" s="335"/>
      <c r="BQ220" s="335"/>
      <c r="BR220" s="335"/>
      <c r="BS220" s="335"/>
      <c r="BT220" s="335"/>
      <c r="BU220" s="335"/>
      <c r="BV220" s="335"/>
      <c r="BW220" s="335"/>
      <c r="BX220" s="335"/>
      <c r="BY220" s="335"/>
      <c r="BZ220" s="335"/>
      <c r="CA220" s="335"/>
      <c r="CB220" s="335"/>
      <c r="CC220" s="335"/>
      <c r="CD220" s="335"/>
      <c r="CE220" s="335"/>
      <c r="CF220" s="335"/>
      <c r="CG220" s="335"/>
      <c r="CH220" s="335"/>
      <c r="CI220" s="335"/>
      <c r="CJ220" s="335"/>
      <c r="CK220" s="335"/>
      <c r="CL220" s="335"/>
      <c r="CM220" s="335"/>
      <c r="CN220" s="335"/>
      <c r="CO220" s="335"/>
      <c r="CP220" s="335"/>
      <c r="CQ220" s="335"/>
      <c r="CR220" s="335"/>
      <c r="CS220" s="335"/>
      <c r="CT220" s="335"/>
      <c r="CU220" s="335"/>
      <c r="CV220" s="335"/>
      <c r="CW220" s="335"/>
      <c r="CX220" s="335"/>
      <c r="CY220" s="335"/>
      <c r="CZ220" s="335"/>
      <c r="DA220" s="335"/>
      <c r="DB220" s="335"/>
      <c r="DC220" s="335"/>
      <c r="DD220" s="335"/>
      <c r="DE220" s="335"/>
      <c r="DF220" s="335"/>
      <c r="DG220" s="335"/>
      <c r="DH220" s="335"/>
      <c r="DI220" s="335"/>
      <c r="DJ220" s="335"/>
      <c r="DK220" s="335"/>
      <c r="DL220" s="335"/>
      <c r="DM220" s="335"/>
      <c r="DN220" s="335"/>
      <c r="DO220" s="335"/>
    </row>
    <row r="221" spans="1:119" ht="14.25" customHeight="1">
      <c r="A221" s="977"/>
      <c r="B221" s="977"/>
      <c r="C221" s="977"/>
      <c r="D221" s="977"/>
      <c r="E221" s="977"/>
      <c r="F221" s="977"/>
      <c r="G221" s="977"/>
      <c r="H221" s="977"/>
      <c r="I221" s="977"/>
      <c r="J221" s="977"/>
      <c r="K221" s="977"/>
      <c r="L221" s="977"/>
      <c r="M221" s="977"/>
      <c r="N221" s="977"/>
      <c r="O221" s="977"/>
      <c r="P221" s="977"/>
      <c r="Q221" s="977"/>
      <c r="R221" s="977"/>
      <c r="S221" s="977"/>
      <c r="T221" s="977"/>
      <c r="U221" s="977"/>
      <c r="V221" s="977"/>
      <c r="W221" s="977"/>
      <c r="X221" s="977"/>
      <c r="Y221" s="977"/>
      <c r="Z221" s="977"/>
      <c r="AA221" s="977"/>
      <c r="AB221" s="977"/>
      <c r="AC221" s="977"/>
      <c r="AD221" s="977"/>
      <c r="AE221" s="977"/>
      <c r="AF221" s="977"/>
      <c r="AG221" s="977"/>
      <c r="AH221" s="977"/>
      <c r="AI221" s="977"/>
      <c r="AJ221" s="977"/>
      <c r="AK221" s="977"/>
      <c r="AL221" s="977"/>
      <c r="AM221" s="977"/>
      <c r="AN221" s="977"/>
      <c r="AO221" s="977"/>
      <c r="AP221" s="977"/>
      <c r="AQ221" s="977"/>
    </row>
    <row r="222" spans="1:119" ht="14.25" customHeight="1">
      <c r="A222" s="977"/>
      <c r="B222" s="977"/>
      <c r="C222" s="977"/>
      <c r="D222" s="977"/>
      <c r="E222" s="977"/>
      <c r="F222" s="977"/>
      <c r="G222" s="977"/>
      <c r="H222" s="977"/>
      <c r="I222" s="977"/>
      <c r="J222" s="977"/>
      <c r="K222" s="977"/>
      <c r="L222" s="977"/>
      <c r="M222" s="977"/>
      <c r="N222" s="977"/>
      <c r="O222" s="977"/>
      <c r="P222" s="977"/>
      <c r="Q222" s="977"/>
      <c r="R222" s="977"/>
      <c r="S222" s="977"/>
      <c r="T222" s="977"/>
      <c r="U222" s="977"/>
      <c r="V222" s="977"/>
      <c r="W222" s="977"/>
      <c r="X222" s="977"/>
      <c r="Y222" s="977"/>
      <c r="Z222" s="977"/>
      <c r="AA222" s="977"/>
      <c r="AB222" s="977"/>
      <c r="AC222" s="977"/>
      <c r="AD222" s="977"/>
      <c r="AE222" s="977"/>
      <c r="AF222" s="977"/>
      <c r="AG222" s="977"/>
      <c r="AH222" s="977"/>
      <c r="AI222" s="977"/>
      <c r="AJ222" s="977"/>
      <c r="AK222" s="977"/>
      <c r="AL222" s="977"/>
      <c r="AM222" s="977"/>
      <c r="AN222" s="977"/>
      <c r="AO222" s="977"/>
      <c r="AP222" s="977"/>
      <c r="AQ222" s="977"/>
    </row>
    <row r="223" spans="1:119" ht="14.25" customHeight="1">
      <c r="A223" s="977"/>
      <c r="B223" s="977"/>
      <c r="C223" s="977"/>
      <c r="D223" s="977"/>
      <c r="E223" s="977"/>
      <c r="F223" s="977"/>
      <c r="G223" s="977"/>
      <c r="H223" s="977"/>
      <c r="I223" s="977"/>
      <c r="J223" s="977"/>
      <c r="K223" s="977"/>
      <c r="L223" s="977"/>
      <c r="M223" s="977"/>
      <c r="N223" s="977"/>
      <c r="O223" s="977"/>
      <c r="P223" s="977"/>
      <c r="Q223" s="977"/>
      <c r="R223" s="977"/>
      <c r="S223" s="977"/>
      <c r="T223" s="977"/>
      <c r="U223" s="977"/>
      <c r="V223" s="977"/>
      <c r="W223" s="977"/>
      <c r="X223" s="977"/>
      <c r="Y223" s="977"/>
      <c r="Z223" s="977"/>
      <c r="AA223" s="977"/>
      <c r="AB223" s="977"/>
      <c r="AC223" s="977"/>
      <c r="AD223" s="977"/>
      <c r="AE223" s="977"/>
      <c r="AF223" s="977"/>
      <c r="AG223" s="977"/>
      <c r="AH223" s="977"/>
      <c r="AI223" s="977"/>
      <c r="AJ223" s="977"/>
      <c r="AK223" s="977"/>
      <c r="AL223" s="977"/>
      <c r="AM223" s="977"/>
      <c r="AN223" s="977"/>
      <c r="AO223" s="977"/>
      <c r="AP223" s="977"/>
      <c r="AQ223" s="977"/>
    </row>
    <row r="224" spans="1:119" ht="14.25" customHeight="1">
      <c r="A224" s="977"/>
      <c r="B224" s="977"/>
      <c r="C224" s="977"/>
      <c r="D224" s="977"/>
      <c r="E224" s="977"/>
      <c r="F224" s="977"/>
      <c r="G224" s="977"/>
      <c r="H224" s="977"/>
      <c r="I224" s="977"/>
      <c r="J224" s="977"/>
      <c r="K224" s="977"/>
      <c r="L224" s="977"/>
      <c r="M224" s="977"/>
      <c r="N224" s="977"/>
      <c r="O224" s="977"/>
      <c r="P224" s="977"/>
      <c r="Q224" s="977"/>
      <c r="R224" s="977"/>
      <c r="S224" s="977"/>
      <c r="T224" s="977"/>
      <c r="U224" s="977"/>
      <c r="V224" s="977"/>
      <c r="W224" s="977"/>
      <c r="X224" s="977"/>
      <c r="Y224" s="977"/>
      <c r="Z224" s="977"/>
      <c r="AA224" s="977"/>
      <c r="AB224" s="977"/>
      <c r="AC224" s="977"/>
      <c r="AD224" s="977"/>
      <c r="AE224" s="977"/>
      <c r="AF224" s="977"/>
      <c r="AG224" s="977"/>
      <c r="AH224" s="977"/>
      <c r="AI224" s="977"/>
      <c r="AJ224" s="977"/>
      <c r="AK224" s="977"/>
      <c r="AL224" s="977"/>
      <c r="AM224" s="977"/>
      <c r="AN224" s="977"/>
      <c r="AO224" s="977"/>
      <c r="AP224" s="977"/>
      <c r="AQ224" s="977"/>
    </row>
    <row r="225" spans="1:43" ht="14.25" customHeight="1">
      <c r="A225" s="977"/>
      <c r="B225" s="977"/>
      <c r="C225" s="977"/>
      <c r="D225" s="977"/>
      <c r="E225" s="977"/>
      <c r="F225" s="977"/>
      <c r="G225" s="977"/>
      <c r="H225" s="977"/>
      <c r="I225" s="977"/>
      <c r="J225" s="977"/>
      <c r="K225" s="977"/>
      <c r="L225" s="977"/>
      <c r="M225" s="977"/>
      <c r="N225" s="977"/>
      <c r="O225" s="977"/>
      <c r="P225" s="977"/>
      <c r="Q225" s="977"/>
      <c r="R225" s="977"/>
      <c r="S225" s="977"/>
      <c r="T225" s="977"/>
      <c r="U225" s="977"/>
      <c r="V225" s="977"/>
      <c r="W225" s="977"/>
      <c r="X225" s="977"/>
      <c r="Y225" s="977"/>
      <c r="Z225" s="977"/>
      <c r="AA225" s="977"/>
      <c r="AB225" s="977"/>
      <c r="AC225" s="977"/>
      <c r="AD225" s="977"/>
      <c r="AE225" s="977"/>
      <c r="AF225" s="977"/>
      <c r="AG225" s="977"/>
      <c r="AH225" s="977"/>
      <c r="AI225" s="977"/>
      <c r="AJ225" s="977"/>
      <c r="AK225" s="977"/>
      <c r="AL225" s="977"/>
      <c r="AM225" s="977"/>
      <c r="AN225" s="977"/>
      <c r="AO225" s="977"/>
      <c r="AP225" s="977"/>
      <c r="AQ225" s="977"/>
    </row>
    <row r="226" spans="1:43" ht="14.25" customHeight="1">
      <c r="A226" s="977"/>
      <c r="B226" s="977"/>
      <c r="C226" s="977"/>
      <c r="D226" s="977"/>
      <c r="E226" s="977"/>
      <c r="F226" s="977"/>
      <c r="G226" s="977"/>
      <c r="H226" s="977"/>
      <c r="I226" s="977"/>
      <c r="J226" s="977"/>
      <c r="K226" s="977"/>
      <c r="L226" s="977"/>
      <c r="M226" s="977"/>
      <c r="N226" s="977"/>
      <c r="O226" s="977"/>
      <c r="P226" s="977"/>
      <c r="Q226" s="977"/>
      <c r="R226" s="977"/>
      <c r="S226" s="977"/>
      <c r="T226" s="977"/>
      <c r="U226" s="977"/>
      <c r="V226" s="977"/>
      <c r="W226" s="977"/>
      <c r="X226" s="977"/>
      <c r="Y226" s="977"/>
      <c r="Z226" s="977"/>
      <c r="AA226" s="977"/>
      <c r="AB226" s="977"/>
      <c r="AC226" s="977"/>
      <c r="AD226" s="977"/>
      <c r="AE226" s="977"/>
      <c r="AF226" s="977"/>
      <c r="AG226" s="977"/>
      <c r="AH226" s="977"/>
      <c r="AI226" s="977"/>
      <c r="AJ226" s="977"/>
      <c r="AK226" s="977"/>
      <c r="AL226" s="977"/>
      <c r="AM226" s="977"/>
      <c r="AN226" s="977"/>
      <c r="AO226" s="977"/>
      <c r="AP226" s="977"/>
      <c r="AQ226" s="977"/>
    </row>
    <row r="227" spans="1:43" ht="14.25" customHeight="1">
      <c r="A227" s="977"/>
      <c r="B227" s="977"/>
      <c r="C227" s="977"/>
      <c r="D227" s="977"/>
      <c r="E227" s="977"/>
      <c r="F227" s="977"/>
      <c r="G227" s="977"/>
      <c r="H227" s="977"/>
      <c r="I227" s="977"/>
      <c r="J227" s="977"/>
      <c r="K227" s="977"/>
      <c r="L227" s="977"/>
      <c r="M227" s="977"/>
      <c r="N227" s="977"/>
      <c r="O227" s="977"/>
      <c r="P227" s="977"/>
      <c r="Q227" s="977"/>
      <c r="R227" s="977"/>
      <c r="S227" s="977"/>
      <c r="T227" s="977"/>
      <c r="U227" s="977"/>
      <c r="V227" s="977"/>
      <c r="W227" s="977"/>
      <c r="X227" s="977"/>
      <c r="Y227" s="977"/>
      <c r="Z227" s="977"/>
      <c r="AA227" s="977"/>
      <c r="AB227" s="977"/>
      <c r="AC227" s="977"/>
      <c r="AD227" s="977"/>
      <c r="AE227" s="977"/>
      <c r="AF227" s="977"/>
      <c r="AG227" s="977"/>
      <c r="AH227" s="977"/>
      <c r="AI227" s="977"/>
      <c r="AJ227" s="977"/>
      <c r="AK227" s="977"/>
      <c r="AL227" s="977"/>
      <c r="AM227" s="977"/>
      <c r="AN227" s="977"/>
      <c r="AO227" s="977"/>
      <c r="AP227" s="977"/>
      <c r="AQ227" s="977"/>
    </row>
    <row r="228" spans="1:43" ht="14.25" customHeight="1">
      <c r="A228" s="977"/>
      <c r="B228" s="977"/>
      <c r="C228" s="977"/>
      <c r="D228" s="977"/>
      <c r="E228" s="977"/>
      <c r="F228" s="977"/>
      <c r="G228" s="977"/>
      <c r="H228" s="977"/>
      <c r="I228" s="977"/>
      <c r="J228" s="977"/>
      <c r="K228" s="977"/>
      <c r="L228" s="977"/>
      <c r="M228" s="977"/>
      <c r="N228" s="977"/>
      <c r="O228" s="977"/>
      <c r="P228" s="977"/>
      <c r="Q228" s="977"/>
      <c r="R228" s="977"/>
      <c r="S228" s="977"/>
      <c r="T228" s="977"/>
      <c r="U228" s="977"/>
      <c r="V228" s="977"/>
      <c r="W228" s="977"/>
      <c r="X228" s="977"/>
      <c r="Y228" s="977"/>
      <c r="Z228" s="977"/>
      <c r="AA228" s="977"/>
      <c r="AB228" s="977"/>
      <c r="AC228" s="977"/>
      <c r="AD228" s="977"/>
      <c r="AE228" s="977"/>
      <c r="AF228" s="977"/>
      <c r="AG228" s="977"/>
      <c r="AH228" s="977"/>
      <c r="AI228" s="977"/>
      <c r="AJ228" s="977"/>
      <c r="AK228" s="977"/>
      <c r="AL228" s="977"/>
      <c r="AM228" s="977"/>
      <c r="AN228" s="977"/>
      <c r="AO228" s="977"/>
      <c r="AP228" s="977"/>
      <c r="AQ228" s="977"/>
    </row>
    <row r="229" spans="1:43" ht="14.25" customHeight="1">
      <c r="A229" s="977"/>
      <c r="B229" s="977"/>
      <c r="C229" s="977"/>
      <c r="D229" s="977"/>
      <c r="E229" s="977"/>
      <c r="F229" s="977"/>
      <c r="G229" s="977"/>
      <c r="H229" s="977"/>
      <c r="I229" s="977"/>
      <c r="J229" s="977"/>
      <c r="K229" s="977"/>
      <c r="L229" s="977"/>
      <c r="M229" s="977"/>
      <c r="N229" s="977"/>
      <c r="O229" s="977"/>
      <c r="P229" s="977"/>
      <c r="Q229" s="977"/>
      <c r="R229" s="977"/>
      <c r="S229" s="977"/>
      <c r="T229" s="977"/>
      <c r="U229" s="977"/>
      <c r="V229" s="977"/>
      <c r="W229" s="977"/>
      <c r="X229" s="977"/>
      <c r="Y229" s="977"/>
      <c r="Z229" s="977"/>
      <c r="AA229" s="977"/>
      <c r="AB229" s="977"/>
      <c r="AC229" s="977"/>
      <c r="AD229" s="977"/>
      <c r="AE229" s="977"/>
      <c r="AF229" s="977"/>
      <c r="AG229" s="977"/>
      <c r="AH229" s="977"/>
      <c r="AI229" s="977"/>
      <c r="AJ229" s="977"/>
      <c r="AK229" s="977"/>
      <c r="AL229" s="977"/>
      <c r="AM229" s="977"/>
      <c r="AN229" s="977"/>
      <c r="AO229" s="977"/>
      <c r="AP229" s="977"/>
      <c r="AQ229" s="977"/>
    </row>
    <row r="230" spans="1:43" ht="14.25" customHeight="1">
      <c r="A230" s="977"/>
      <c r="B230" s="977"/>
      <c r="C230" s="977"/>
      <c r="D230" s="977"/>
      <c r="E230" s="977"/>
      <c r="F230" s="977"/>
      <c r="G230" s="977"/>
      <c r="H230" s="977"/>
      <c r="I230" s="977"/>
      <c r="J230" s="977"/>
      <c r="K230" s="977"/>
      <c r="L230" s="977"/>
      <c r="M230" s="977"/>
      <c r="N230" s="977"/>
      <c r="O230" s="977"/>
      <c r="P230" s="977"/>
      <c r="Q230" s="977"/>
      <c r="R230" s="977"/>
      <c r="S230" s="977"/>
      <c r="T230" s="977"/>
      <c r="U230" s="977"/>
      <c r="V230" s="977"/>
      <c r="W230" s="977"/>
      <c r="X230" s="977"/>
      <c r="Y230" s="977"/>
      <c r="Z230" s="977"/>
      <c r="AA230" s="977"/>
      <c r="AB230" s="977"/>
      <c r="AC230" s="977"/>
      <c r="AD230" s="977"/>
      <c r="AE230" s="977"/>
      <c r="AF230" s="977"/>
      <c r="AG230" s="977"/>
      <c r="AH230" s="977"/>
      <c r="AI230" s="977"/>
      <c r="AJ230" s="977"/>
      <c r="AK230" s="977"/>
      <c r="AL230" s="977"/>
      <c r="AM230" s="977"/>
      <c r="AN230" s="977"/>
      <c r="AO230" s="977"/>
      <c r="AP230" s="977"/>
      <c r="AQ230" s="977"/>
    </row>
    <row r="231" spans="1:43" ht="14.25" customHeight="1">
      <c r="A231" s="977"/>
      <c r="B231" s="977"/>
      <c r="C231" s="977"/>
      <c r="D231" s="977"/>
      <c r="E231" s="977"/>
      <c r="F231" s="977"/>
      <c r="G231" s="977"/>
      <c r="H231" s="977"/>
      <c r="I231" s="977"/>
      <c r="J231" s="977"/>
      <c r="K231" s="977"/>
      <c r="L231" s="977"/>
      <c r="M231" s="977"/>
      <c r="N231" s="977"/>
      <c r="O231" s="977"/>
      <c r="P231" s="977"/>
      <c r="Q231" s="977"/>
      <c r="R231" s="977"/>
      <c r="S231" s="977"/>
      <c r="T231" s="977"/>
      <c r="U231" s="977"/>
      <c r="V231" s="977"/>
      <c r="W231" s="977"/>
      <c r="X231" s="977"/>
      <c r="Y231" s="977"/>
      <c r="Z231" s="977"/>
      <c r="AA231" s="977"/>
      <c r="AB231" s="977"/>
      <c r="AC231" s="977"/>
      <c r="AD231" s="977"/>
      <c r="AE231" s="977"/>
      <c r="AF231" s="977"/>
      <c r="AG231" s="977"/>
      <c r="AH231" s="977"/>
      <c r="AI231" s="977"/>
      <c r="AJ231" s="977"/>
      <c r="AK231" s="977"/>
      <c r="AL231" s="977"/>
      <c r="AM231" s="977"/>
      <c r="AN231" s="977"/>
      <c r="AO231" s="977"/>
      <c r="AP231" s="977"/>
      <c r="AQ231" s="977"/>
    </row>
    <row r="232" spans="1:43" ht="14.25" customHeight="1">
      <c r="A232" s="977"/>
      <c r="B232" s="977"/>
      <c r="C232" s="977"/>
      <c r="D232" s="977"/>
      <c r="E232" s="977"/>
      <c r="F232" s="977"/>
      <c r="G232" s="977"/>
      <c r="H232" s="977"/>
      <c r="I232" s="977"/>
      <c r="J232" s="977"/>
      <c r="K232" s="977"/>
      <c r="L232" s="977"/>
      <c r="M232" s="977"/>
      <c r="N232" s="977"/>
      <c r="O232" s="977"/>
      <c r="P232" s="977"/>
      <c r="Q232" s="977"/>
      <c r="R232" s="977"/>
      <c r="S232" s="977"/>
      <c r="T232" s="977"/>
      <c r="U232" s="977"/>
      <c r="V232" s="977"/>
      <c r="W232" s="977"/>
      <c r="X232" s="977"/>
      <c r="Y232" s="977"/>
      <c r="Z232" s="977"/>
      <c r="AA232" s="977"/>
      <c r="AB232" s="977"/>
      <c r="AC232" s="977"/>
      <c r="AD232" s="977"/>
      <c r="AE232" s="977"/>
      <c r="AF232" s="977"/>
      <c r="AG232" s="977"/>
      <c r="AH232" s="977"/>
      <c r="AI232" s="977"/>
      <c r="AJ232" s="977"/>
      <c r="AK232" s="977"/>
      <c r="AL232" s="977"/>
      <c r="AM232" s="977"/>
      <c r="AN232" s="977"/>
      <c r="AO232" s="977"/>
      <c r="AP232" s="977"/>
      <c r="AQ232" s="977"/>
    </row>
    <row r="233" spans="1:43" ht="14.25" customHeight="1">
      <c r="A233" s="977"/>
      <c r="B233" s="977"/>
      <c r="C233" s="977"/>
      <c r="D233" s="977"/>
      <c r="E233" s="977"/>
      <c r="F233" s="977"/>
      <c r="G233" s="977"/>
      <c r="H233" s="977"/>
      <c r="I233" s="977"/>
      <c r="J233" s="977"/>
      <c r="K233" s="977"/>
      <c r="L233" s="977"/>
      <c r="M233" s="977"/>
      <c r="N233" s="977"/>
      <c r="O233" s="977"/>
      <c r="P233" s="977"/>
      <c r="Q233" s="977"/>
      <c r="R233" s="977"/>
      <c r="S233" s="977"/>
      <c r="T233" s="977"/>
      <c r="U233" s="977"/>
      <c r="V233" s="977"/>
      <c r="W233" s="977"/>
      <c r="X233" s="977"/>
      <c r="Y233" s="977"/>
      <c r="Z233" s="977"/>
      <c r="AA233" s="977"/>
      <c r="AB233" s="977"/>
      <c r="AC233" s="977"/>
      <c r="AD233" s="977"/>
      <c r="AE233" s="977"/>
      <c r="AF233" s="977"/>
      <c r="AG233" s="977"/>
      <c r="AH233" s="977"/>
      <c r="AI233" s="977"/>
      <c r="AJ233" s="977"/>
      <c r="AK233" s="977"/>
      <c r="AL233" s="977"/>
      <c r="AM233" s="977"/>
      <c r="AN233" s="977"/>
      <c r="AO233" s="977"/>
      <c r="AP233" s="977"/>
      <c r="AQ233" s="977"/>
    </row>
    <row r="234" spans="1:43" ht="14.25" customHeight="1">
      <c r="A234" s="977"/>
      <c r="B234" s="977"/>
      <c r="C234" s="977"/>
      <c r="D234" s="977"/>
      <c r="E234" s="977"/>
      <c r="F234" s="977"/>
      <c r="G234" s="977"/>
      <c r="H234" s="977"/>
      <c r="I234" s="977"/>
      <c r="J234" s="977"/>
      <c r="K234" s="977"/>
      <c r="L234" s="977"/>
      <c r="M234" s="977"/>
      <c r="N234" s="977"/>
      <c r="O234" s="977"/>
      <c r="P234" s="977"/>
      <c r="Q234" s="977"/>
      <c r="R234" s="977"/>
      <c r="S234" s="977"/>
      <c r="T234" s="977"/>
      <c r="U234" s="977"/>
      <c r="V234" s="977"/>
      <c r="W234" s="977"/>
      <c r="X234" s="977"/>
      <c r="Y234" s="977"/>
      <c r="Z234" s="977"/>
      <c r="AA234" s="977"/>
      <c r="AB234" s="977"/>
      <c r="AC234" s="977"/>
      <c r="AD234" s="977"/>
      <c r="AE234" s="977"/>
      <c r="AF234" s="977"/>
      <c r="AG234" s="977"/>
      <c r="AH234" s="977"/>
      <c r="AI234" s="977"/>
      <c r="AJ234" s="977"/>
      <c r="AK234" s="977"/>
      <c r="AL234" s="977"/>
      <c r="AM234" s="977"/>
      <c r="AN234" s="977"/>
      <c r="AO234" s="977"/>
      <c r="AP234" s="977"/>
      <c r="AQ234" s="977"/>
    </row>
    <row r="235" spans="1:43" ht="14.25" customHeight="1">
      <c r="A235" s="977"/>
      <c r="B235" s="977"/>
      <c r="C235" s="977"/>
      <c r="D235" s="977"/>
      <c r="E235" s="977"/>
      <c r="F235" s="977"/>
      <c r="G235" s="977"/>
      <c r="H235" s="977"/>
      <c r="I235" s="977"/>
      <c r="J235" s="977"/>
      <c r="K235" s="977"/>
      <c r="L235" s="977"/>
      <c r="M235" s="977"/>
      <c r="N235" s="977"/>
      <c r="O235" s="977"/>
      <c r="P235" s="977"/>
      <c r="Q235" s="977"/>
      <c r="R235" s="977"/>
      <c r="S235" s="977"/>
      <c r="T235" s="977"/>
      <c r="U235" s="977"/>
      <c r="V235" s="977"/>
      <c r="W235" s="977"/>
      <c r="X235" s="977"/>
      <c r="Y235" s="977"/>
      <c r="Z235" s="977"/>
      <c r="AA235" s="977"/>
      <c r="AB235" s="977"/>
      <c r="AC235" s="977"/>
      <c r="AD235" s="977"/>
      <c r="AE235" s="977"/>
      <c r="AF235" s="977"/>
      <c r="AG235" s="977"/>
      <c r="AH235" s="977"/>
      <c r="AI235" s="977"/>
      <c r="AJ235" s="977"/>
      <c r="AK235" s="977"/>
      <c r="AL235" s="977"/>
      <c r="AM235" s="977"/>
      <c r="AN235" s="977"/>
      <c r="AO235" s="977"/>
      <c r="AP235" s="977"/>
      <c r="AQ235" s="977"/>
    </row>
    <row r="236" spans="1:43" ht="14.25" customHeight="1">
      <c r="A236" s="977"/>
      <c r="B236" s="977"/>
      <c r="C236" s="977"/>
      <c r="D236" s="977"/>
      <c r="E236" s="977"/>
      <c r="F236" s="977"/>
      <c r="G236" s="977"/>
      <c r="H236" s="977"/>
      <c r="I236" s="977"/>
      <c r="J236" s="977"/>
      <c r="K236" s="977"/>
      <c r="L236" s="977"/>
      <c r="M236" s="977"/>
      <c r="N236" s="977"/>
      <c r="O236" s="977"/>
      <c r="P236" s="977"/>
      <c r="Q236" s="977"/>
      <c r="R236" s="977"/>
      <c r="S236" s="977"/>
      <c r="T236" s="977"/>
      <c r="U236" s="977"/>
      <c r="V236" s="977"/>
      <c r="W236" s="977"/>
      <c r="X236" s="977"/>
      <c r="Y236" s="977"/>
      <c r="Z236" s="977"/>
      <c r="AA236" s="977"/>
      <c r="AB236" s="977"/>
      <c r="AC236" s="977"/>
      <c r="AD236" s="977"/>
      <c r="AE236" s="977"/>
      <c r="AF236" s="977"/>
      <c r="AG236" s="977"/>
      <c r="AH236" s="977"/>
      <c r="AI236" s="977"/>
      <c r="AJ236" s="977"/>
      <c r="AK236" s="977"/>
      <c r="AL236" s="977"/>
      <c r="AM236" s="977"/>
      <c r="AN236" s="977"/>
      <c r="AO236" s="977"/>
      <c r="AP236" s="977"/>
      <c r="AQ236" s="977"/>
    </row>
    <row r="237" spans="1:43" ht="14.25" customHeight="1">
      <c r="A237" s="977"/>
      <c r="B237" s="977"/>
      <c r="C237" s="977"/>
      <c r="D237" s="977"/>
      <c r="E237" s="977"/>
      <c r="F237" s="977"/>
      <c r="G237" s="977"/>
      <c r="H237" s="977"/>
      <c r="I237" s="977"/>
      <c r="J237" s="977"/>
      <c r="K237" s="977"/>
      <c r="L237" s="977"/>
      <c r="M237" s="977"/>
      <c r="N237" s="977"/>
      <c r="O237" s="977"/>
      <c r="P237" s="977"/>
      <c r="Q237" s="977"/>
      <c r="R237" s="977"/>
      <c r="S237" s="977"/>
      <c r="T237" s="977"/>
      <c r="U237" s="977"/>
      <c r="V237" s="977"/>
      <c r="W237" s="977"/>
      <c r="X237" s="977"/>
      <c r="Y237" s="977"/>
      <c r="Z237" s="977"/>
      <c r="AA237" s="977"/>
      <c r="AB237" s="977"/>
      <c r="AC237" s="977"/>
      <c r="AD237" s="977"/>
      <c r="AE237" s="977"/>
      <c r="AF237" s="977"/>
      <c r="AG237" s="977"/>
      <c r="AH237" s="977"/>
      <c r="AI237" s="977"/>
      <c r="AJ237" s="977"/>
      <c r="AK237" s="977"/>
      <c r="AL237" s="977"/>
      <c r="AM237" s="977"/>
      <c r="AN237" s="977"/>
      <c r="AO237" s="977"/>
      <c r="AP237" s="977"/>
      <c r="AQ237" s="977"/>
    </row>
    <row r="238" spans="1:43" ht="14.25" customHeight="1">
      <c r="A238" s="977"/>
      <c r="B238" s="977"/>
      <c r="C238" s="977"/>
      <c r="D238" s="977"/>
      <c r="E238" s="977"/>
      <c r="F238" s="977"/>
      <c r="G238" s="977"/>
      <c r="H238" s="977"/>
      <c r="I238" s="977"/>
      <c r="J238" s="977"/>
      <c r="K238" s="977"/>
      <c r="L238" s="977"/>
      <c r="M238" s="977"/>
      <c r="N238" s="977"/>
      <c r="O238" s="977"/>
      <c r="P238" s="977"/>
      <c r="Q238" s="977"/>
      <c r="R238" s="977"/>
      <c r="S238" s="977"/>
      <c r="T238" s="977"/>
      <c r="U238" s="977"/>
      <c r="V238" s="977"/>
      <c r="W238" s="977"/>
      <c r="X238" s="977"/>
      <c r="Y238" s="977"/>
      <c r="Z238" s="977"/>
      <c r="AA238" s="977"/>
      <c r="AB238" s="977"/>
      <c r="AC238" s="977"/>
      <c r="AD238" s="977"/>
      <c r="AE238" s="977"/>
      <c r="AF238" s="977"/>
      <c r="AG238" s="977"/>
      <c r="AH238" s="977"/>
      <c r="AI238" s="977"/>
      <c r="AJ238" s="977"/>
      <c r="AK238" s="977"/>
      <c r="AL238" s="977"/>
      <c r="AM238" s="977"/>
      <c r="AN238" s="977"/>
      <c r="AO238" s="977"/>
      <c r="AP238" s="977"/>
      <c r="AQ238" s="977"/>
    </row>
    <row r="239" spans="1:43" ht="14.25" customHeight="1">
      <c r="A239" s="977"/>
      <c r="B239" s="977"/>
      <c r="C239" s="977"/>
      <c r="D239" s="977"/>
      <c r="E239" s="977"/>
      <c r="F239" s="977"/>
      <c r="G239" s="977"/>
      <c r="H239" s="977"/>
      <c r="I239" s="977"/>
      <c r="J239" s="977"/>
      <c r="K239" s="977"/>
      <c r="L239" s="977"/>
      <c r="M239" s="977"/>
      <c r="N239" s="977"/>
      <c r="O239" s="977"/>
      <c r="P239" s="977"/>
      <c r="Q239" s="977"/>
      <c r="R239" s="977"/>
      <c r="S239" s="977"/>
      <c r="T239" s="977"/>
      <c r="U239" s="977"/>
      <c r="V239" s="977"/>
      <c r="W239" s="977"/>
      <c r="X239" s="977"/>
      <c r="Y239" s="977"/>
      <c r="Z239" s="977"/>
      <c r="AA239" s="977"/>
      <c r="AB239" s="977"/>
      <c r="AC239" s="977"/>
      <c r="AD239" s="977"/>
      <c r="AE239" s="977"/>
      <c r="AF239" s="977"/>
      <c r="AG239" s="977"/>
      <c r="AH239" s="977"/>
      <c r="AI239" s="977"/>
      <c r="AJ239" s="977"/>
      <c r="AK239" s="977"/>
      <c r="AL239" s="977"/>
      <c r="AM239" s="977"/>
      <c r="AN239" s="977"/>
      <c r="AO239" s="977"/>
      <c r="AP239" s="977"/>
      <c r="AQ239" s="977"/>
    </row>
    <row r="240" spans="1:43" ht="14.25" customHeight="1">
      <c r="A240" s="977"/>
      <c r="B240" s="977"/>
      <c r="C240" s="977"/>
      <c r="D240" s="977"/>
      <c r="E240" s="977"/>
      <c r="F240" s="977"/>
      <c r="G240" s="977"/>
      <c r="H240" s="977"/>
      <c r="I240" s="977"/>
      <c r="J240" s="977"/>
      <c r="K240" s="977"/>
      <c r="L240" s="977"/>
      <c r="M240" s="977"/>
      <c r="N240" s="977"/>
      <c r="O240" s="977"/>
      <c r="P240" s="977"/>
      <c r="Q240" s="977"/>
      <c r="R240" s="977"/>
      <c r="S240" s="977"/>
      <c r="T240" s="977"/>
      <c r="U240" s="977"/>
      <c r="V240" s="977"/>
      <c r="W240" s="977"/>
      <c r="X240" s="977"/>
      <c r="Y240" s="977"/>
      <c r="Z240" s="977"/>
      <c r="AA240" s="977"/>
      <c r="AB240" s="977"/>
      <c r="AC240" s="977"/>
      <c r="AD240" s="977"/>
      <c r="AE240" s="977"/>
      <c r="AF240" s="977"/>
      <c r="AG240" s="977"/>
      <c r="AH240" s="977"/>
      <c r="AI240" s="977"/>
      <c r="AJ240" s="977"/>
      <c r="AK240" s="977"/>
      <c r="AL240" s="977"/>
      <c r="AM240" s="977"/>
      <c r="AN240" s="977"/>
      <c r="AO240" s="977"/>
      <c r="AP240" s="977"/>
      <c r="AQ240" s="977"/>
    </row>
    <row r="241" spans="1:43" ht="14.25" customHeight="1">
      <c r="A241" s="977"/>
      <c r="B241" s="977"/>
      <c r="C241" s="977"/>
      <c r="D241" s="977"/>
      <c r="E241" s="977"/>
      <c r="F241" s="977"/>
      <c r="G241" s="977"/>
      <c r="H241" s="977"/>
      <c r="I241" s="977"/>
      <c r="J241" s="977"/>
      <c r="K241" s="977"/>
      <c r="L241" s="977"/>
      <c r="M241" s="977"/>
      <c r="N241" s="977"/>
      <c r="O241" s="977"/>
      <c r="P241" s="977"/>
      <c r="Q241" s="977"/>
      <c r="R241" s="977"/>
      <c r="S241" s="977"/>
      <c r="T241" s="977"/>
      <c r="U241" s="977"/>
      <c r="V241" s="977"/>
      <c r="W241" s="977"/>
      <c r="X241" s="977"/>
      <c r="Y241" s="977"/>
      <c r="Z241" s="977"/>
      <c r="AA241" s="977"/>
      <c r="AB241" s="977"/>
      <c r="AC241" s="977"/>
      <c r="AD241" s="977"/>
      <c r="AE241" s="977"/>
      <c r="AF241" s="977"/>
      <c r="AG241" s="977"/>
      <c r="AH241" s="977"/>
      <c r="AI241" s="977"/>
      <c r="AJ241" s="977"/>
      <c r="AK241" s="977"/>
      <c r="AL241" s="977"/>
      <c r="AM241" s="977"/>
      <c r="AN241" s="977"/>
      <c r="AO241" s="977"/>
      <c r="AP241" s="977"/>
      <c r="AQ241" s="977"/>
    </row>
    <row r="242" spans="1:43" ht="14.25" customHeight="1">
      <c r="A242" s="977"/>
      <c r="B242" s="977"/>
      <c r="C242" s="977"/>
      <c r="D242" s="977"/>
      <c r="E242" s="977"/>
      <c r="F242" s="977"/>
      <c r="G242" s="977"/>
      <c r="H242" s="977"/>
      <c r="I242" s="977"/>
      <c r="J242" s="977"/>
      <c r="K242" s="977"/>
      <c r="L242" s="977"/>
      <c r="M242" s="977"/>
      <c r="N242" s="977"/>
      <c r="O242" s="977"/>
      <c r="P242" s="977"/>
      <c r="Q242" s="977"/>
      <c r="R242" s="977"/>
      <c r="S242" s="977"/>
      <c r="T242" s="977"/>
      <c r="U242" s="977"/>
      <c r="V242" s="977"/>
      <c r="W242" s="977"/>
      <c r="X242" s="977"/>
      <c r="Y242" s="977"/>
      <c r="Z242" s="977"/>
      <c r="AA242" s="977"/>
      <c r="AB242" s="977"/>
      <c r="AC242" s="977"/>
      <c r="AD242" s="977"/>
      <c r="AE242" s="977"/>
      <c r="AF242" s="977"/>
      <c r="AG242" s="977"/>
      <c r="AH242" s="977"/>
      <c r="AI242" s="977"/>
      <c r="AJ242" s="977"/>
      <c r="AK242" s="977"/>
      <c r="AL242" s="977"/>
      <c r="AM242" s="977"/>
      <c r="AN242" s="977"/>
      <c r="AO242" s="977"/>
      <c r="AP242" s="977"/>
      <c r="AQ242" s="977"/>
    </row>
    <row r="243" spans="1:43" ht="14.25" customHeight="1">
      <c r="A243" s="977"/>
      <c r="B243" s="977"/>
      <c r="C243" s="977"/>
      <c r="D243" s="977"/>
      <c r="E243" s="977"/>
      <c r="F243" s="977"/>
      <c r="G243" s="977"/>
      <c r="H243" s="977"/>
      <c r="I243" s="977"/>
      <c r="J243" s="977"/>
      <c r="K243" s="977"/>
      <c r="L243" s="977"/>
      <c r="M243" s="977"/>
      <c r="N243" s="977"/>
      <c r="O243" s="977"/>
      <c r="P243" s="977"/>
      <c r="Q243" s="977"/>
      <c r="R243" s="977"/>
      <c r="S243" s="977"/>
      <c r="T243" s="977"/>
      <c r="U243" s="977"/>
      <c r="V243" s="977"/>
      <c r="W243" s="977"/>
      <c r="X243" s="977"/>
      <c r="Y243" s="977"/>
      <c r="Z243" s="977"/>
      <c r="AA243" s="977"/>
      <c r="AB243" s="977"/>
      <c r="AC243" s="977"/>
      <c r="AD243" s="977"/>
      <c r="AE243" s="977"/>
      <c r="AF243" s="977"/>
      <c r="AG243" s="977"/>
      <c r="AH243" s="977"/>
      <c r="AI243" s="977"/>
      <c r="AJ243" s="977"/>
      <c r="AK243" s="977"/>
      <c r="AL243" s="977"/>
      <c r="AM243" s="977"/>
      <c r="AN243" s="977"/>
      <c r="AO243" s="977"/>
      <c r="AP243" s="977"/>
      <c r="AQ243" s="977"/>
    </row>
    <row r="244" spans="1:43" ht="14.25" customHeight="1">
      <c r="A244" s="977"/>
      <c r="B244" s="977"/>
      <c r="C244" s="977"/>
      <c r="D244" s="977"/>
      <c r="E244" s="977"/>
      <c r="F244" s="977"/>
      <c r="G244" s="977"/>
      <c r="H244" s="977"/>
      <c r="I244" s="977"/>
      <c r="J244" s="977"/>
      <c r="K244" s="977"/>
      <c r="L244" s="977"/>
      <c r="M244" s="977"/>
      <c r="N244" s="977"/>
      <c r="O244" s="977"/>
      <c r="P244" s="977"/>
      <c r="Q244" s="977"/>
      <c r="R244" s="977"/>
      <c r="S244" s="977"/>
      <c r="T244" s="977"/>
      <c r="U244" s="977"/>
      <c r="V244" s="977"/>
      <c r="W244" s="977"/>
      <c r="X244" s="977"/>
      <c r="Y244" s="977"/>
      <c r="Z244" s="977"/>
      <c r="AA244" s="977"/>
      <c r="AB244" s="977"/>
      <c r="AC244" s="977"/>
      <c r="AD244" s="977"/>
      <c r="AE244" s="977"/>
      <c r="AF244" s="977"/>
      <c r="AG244" s="977"/>
      <c r="AH244" s="977"/>
      <c r="AI244" s="977"/>
      <c r="AJ244" s="977"/>
      <c r="AK244" s="977"/>
      <c r="AL244" s="977"/>
      <c r="AM244" s="977"/>
      <c r="AN244" s="977"/>
      <c r="AO244" s="977"/>
      <c r="AP244" s="977"/>
      <c r="AQ244" s="977"/>
    </row>
    <row r="245" spans="1:43" ht="14.25" customHeight="1">
      <c r="A245" s="977"/>
      <c r="B245" s="977"/>
      <c r="C245" s="977"/>
      <c r="D245" s="977"/>
      <c r="E245" s="977"/>
      <c r="F245" s="977"/>
      <c r="G245" s="977"/>
      <c r="H245" s="977"/>
      <c r="I245" s="977"/>
      <c r="J245" s="977"/>
      <c r="K245" s="977"/>
      <c r="L245" s="977"/>
      <c r="M245" s="977"/>
      <c r="N245" s="977"/>
      <c r="O245" s="977"/>
      <c r="P245" s="977"/>
      <c r="Q245" s="977"/>
      <c r="R245" s="977"/>
      <c r="S245" s="977"/>
      <c r="T245" s="977"/>
      <c r="U245" s="977"/>
      <c r="V245" s="977"/>
      <c r="W245" s="977"/>
      <c r="X245" s="977"/>
      <c r="Y245" s="977"/>
      <c r="Z245" s="977"/>
      <c r="AA245" s="977"/>
      <c r="AB245" s="977"/>
      <c r="AC245" s="977"/>
      <c r="AD245" s="977"/>
      <c r="AE245" s="977"/>
      <c r="AF245" s="977"/>
      <c r="AG245" s="977"/>
      <c r="AH245" s="977"/>
      <c r="AI245" s="977"/>
      <c r="AJ245" s="977"/>
      <c r="AK245" s="977"/>
      <c r="AL245" s="977"/>
      <c r="AM245" s="977"/>
      <c r="AN245" s="977"/>
      <c r="AO245" s="977"/>
      <c r="AP245" s="977"/>
      <c r="AQ245" s="977"/>
    </row>
    <row r="246" spans="1:43" ht="14.25" customHeight="1">
      <c r="A246" s="977"/>
      <c r="B246" s="977"/>
      <c r="C246" s="977"/>
      <c r="D246" s="977"/>
      <c r="E246" s="977"/>
      <c r="F246" s="977"/>
      <c r="G246" s="977"/>
      <c r="H246" s="977"/>
      <c r="I246" s="977"/>
      <c r="J246" s="977"/>
      <c r="K246" s="977"/>
      <c r="L246" s="977"/>
      <c r="M246" s="977"/>
      <c r="N246" s="977"/>
      <c r="O246" s="977"/>
      <c r="P246" s="977"/>
      <c r="Q246" s="977"/>
      <c r="R246" s="977"/>
      <c r="S246" s="977"/>
      <c r="T246" s="977"/>
      <c r="U246" s="977"/>
      <c r="V246" s="977"/>
      <c r="W246" s="977"/>
      <c r="X246" s="977"/>
      <c r="Y246" s="977"/>
      <c r="Z246" s="977"/>
      <c r="AA246" s="977"/>
      <c r="AB246" s="977"/>
      <c r="AC246" s="977"/>
      <c r="AD246" s="977"/>
      <c r="AE246" s="977"/>
      <c r="AF246" s="977"/>
      <c r="AG246" s="977"/>
      <c r="AH246" s="977"/>
      <c r="AI246" s="977"/>
      <c r="AJ246" s="977"/>
      <c r="AK246" s="977"/>
      <c r="AL246" s="977"/>
      <c r="AM246" s="977"/>
      <c r="AN246" s="977"/>
      <c r="AO246" s="977"/>
      <c r="AP246" s="977"/>
      <c r="AQ246" s="977"/>
    </row>
    <row r="247" spans="1:43" ht="14.25" customHeight="1">
      <c r="A247" s="977"/>
      <c r="B247" s="977"/>
      <c r="C247" s="977"/>
      <c r="D247" s="977"/>
      <c r="E247" s="977"/>
      <c r="F247" s="977"/>
      <c r="G247" s="977"/>
      <c r="H247" s="977"/>
      <c r="I247" s="977"/>
      <c r="J247" s="977"/>
      <c r="K247" s="977"/>
      <c r="L247" s="977"/>
      <c r="M247" s="977"/>
      <c r="N247" s="977"/>
      <c r="O247" s="977"/>
      <c r="P247" s="977"/>
      <c r="Q247" s="977"/>
      <c r="R247" s="977"/>
      <c r="S247" s="977"/>
      <c r="T247" s="977"/>
      <c r="U247" s="977"/>
      <c r="V247" s="977"/>
      <c r="W247" s="977"/>
      <c r="X247" s="977"/>
      <c r="Y247" s="977"/>
      <c r="Z247" s="977"/>
      <c r="AA247" s="977"/>
      <c r="AB247" s="977"/>
      <c r="AC247" s="977"/>
      <c r="AD247" s="977"/>
      <c r="AE247" s="977"/>
      <c r="AF247" s="977"/>
      <c r="AG247" s="977"/>
      <c r="AH247" s="977"/>
      <c r="AI247" s="977"/>
      <c r="AJ247" s="977"/>
      <c r="AK247" s="977"/>
      <c r="AL247" s="977"/>
      <c r="AM247" s="977"/>
      <c r="AN247" s="977"/>
      <c r="AO247" s="977"/>
      <c r="AP247" s="977"/>
      <c r="AQ247" s="977"/>
    </row>
    <row r="248" spans="1:43" ht="14.25" customHeight="1">
      <c r="A248" s="977"/>
      <c r="B248" s="977"/>
      <c r="C248" s="977"/>
      <c r="D248" s="977"/>
      <c r="E248" s="977"/>
      <c r="F248" s="977"/>
      <c r="G248" s="977"/>
      <c r="H248" s="977"/>
      <c r="I248" s="977"/>
      <c r="J248" s="977"/>
      <c r="K248" s="977"/>
      <c r="L248" s="977"/>
      <c r="M248" s="977"/>
      <c r="N248" s="977"/>
      <c r="O248" s="977"/>
      <c r="P248" s="977"/>
      <c r="Q248" s="977"/>
      <c r="R248" s="977"/>
      <c r="S248" s="977"/>
      <c r="T248" s="977"/>
      <c r="U248" s="977"/>
      <c r="V248" s="977"/>
      <c r="W248" s="977"/>
      <c r="X248" s="977"/>
      <c r="Y248" s="977"/>
      <c r="Z248" s="977"/>
      <c r="AA248" s="977"/>
      <c r="AB248" s="977"/>
      <c r="AC248" s="977"/>
      <c r="AD248" s="977"/>
      <c r="AE248" s="977"/>
      <c r="AF248" s="977"/>
      <c r="AG248" s="977"/>
      <c r="AH248" s="977"/>
      <c r="AI248" s="977"/>
      <c r="AJ248" s="977"/>
      <c r="AK248" s="977"/>
      <c r="AL248" s="977"/>
      <c r="AM248" s="977"/>
      <c r="AN248" s="977"/>
      <c r="AO248" s="977"/>
      <c r="AP248" s="977"/>
      <c r="AQ248" s="977"/>
    </row>
    <row r="249" spans="1:43" ht="14.25" customHeight="1">
      <c r="A249" s="977"/>
      <c r="B249" s="977"/>
      <c r="C249" s="977"/>
      <c r="D249" s="977"/>
      <c r="E249" s="977"/>
      <c r="F249" s="977"/>
      <c r="G249" s="977"/>
      <c r="H249" s="977"/>
      <c r="I249" s="977"/>
      <c r="J249" s="977"/>
      <c r="K249" s="977"/>
      <c r="L249" s="977"/>
      <c r="M249" s="977"/>
      <c r="N249" s="977"/>
      <c r="O249" s="977"/>
      <c r="P249" s="977"/>
      <c r="Q249" s="977"/>
      <c r="R249" s="977"/>
      <c r="S249" s="977"/>
      <c r="T249" s="977"/>
      <c r="U249" s="977"/>
      <c r="V249" s="977"/>
      <c r="W249" s="977"/>
      <c r="X249" s="977"/>
      <c r="Y249" s="977"/>
      <c r="Z249" s="977"/>
      <c r="AA249" s="977"/>
      <c r="AB249" s="977"/>
      <c r="AC249" s="977"/>
      <c r="AD249" s="977"/>
      <c r="AE249" s="977"/>
      <c r="AF249" s="977"/>
      <c r="AG249" s="977"/>
      <c r="AH249" s="977"/>
      <c r="AI249" s="977"/>
      <c r="AJ249" s="977"/>
      <c r="AK249" s="977"/>
      <c r="AL249" s="977"/>
      <c r="AM249" s="977"/>
      <c r="AN249" s="977"/>
      <c r="AO249" s="977"/>
      <c r="AP249" s="977"/>
      <c r="AQ249" s="977"/>
    </row>
    <row r="250" spans="1:43" ht="14.25" customHeight="1">
      <c r="A250" s="977"/>
      <c r="B250" s="977"/>
      <c r="C250" s="977"/>
      <c r="D250" s="977"/>
      <c r="E250" s="977"/>
      <c r="F250" s="977"/>
      <c r="G250" s="977"/>
      <c r="H250" s="977"/>
      <c r="I250" s="977"/>
      <c r="J250" s="977"/>
      <c r="K250" s="977"/>
      <c r="L250" s="977"/>
      <c r="M250" s="977"/>
      <c r="N250" s="977"/>
      <c r="O250" s="977"/>
      <c r="P250" s="977"/>
      <c r="Q250" s="977"/>
      <c r="R250" s="977"/>
      <c r="S250" s="977"/>
      <c r="T250" s="977"/>
      <c r="U250" s="977"/>
      <c r="V250" s="977"/>
      <c r="W250" s="977"/>
      <c r="X250" s="977"/>
      <c r="Y250" s="977"/>
      <c r="Z250" s="977"/>
      <c r="AA250" s="977"/>
      <c r="AB250" s="977"/>
      <c r="AC250" s="977"/>
      <c r="AD250" s="977"/>
      <c r="AE250" s="977"/>
      <c r="AF250" s="977"/>
      <c r="AG250" s="977"/>
      <c r="AH250" s="977"/>
      <c r="AI250" s="977"/>
      <c r="AJ250" s="977"/>
      <c r="AK250" s="977"/>
      <c r="AL250" s="977"/>
      <c r="AM250" s="977"/>
      <c r="AN250" s="977"/>
      <c r="AO250" s="977"/>
      <c r="AP250" s="977"/>
      <c r="AQ250" s="977"/>
    </row>
    <row r="251" spans="1:43" ht="14.25" customHeight="1">
      <c r="A251" s="977"/>
      <c r="B251" s="977"/>
      <c r="C251" s="977"/>
      <c r="D251" s="977"/>
      <c r="E251" s="977"/>
      <c r="F251" s="977"/>
      <c r="G251" s="977"/>
      <c r="H251" s="977"/>
      <c r="I251" s="977"/>
      <c r="J251" s="977"/>
      <c r="K251" s="977"/>
      <c r="L251" s="977"/>
      <c r="M251" s="977"/>
      <c r="N251" s="977"/>
      <c r="O251" s="977"/>
      <c r="P251" s="977"/>
      <c r="Q251" s="977"/>
      <c r="R251" s="977"/>
      <c r="S251" s="977"/>
      <c r="T251" s="977"/>
      <c r="U251" s="977"/>
      <c r="V251" s="977"/>
      <c r="W251" s="977"/>
      <c r="X251" s="977"/>
      <c r="Y251" s="977"/>
      <c r="Z251" s="977"/>
      <c r="AA251" s="977"/>
      <c r="AB251" s="977"/>
      <c r="AC251" s="977"/>
      <c r="AD251" s="977"/>
      <c r="AE251" s="977"/>
      <c r="AF251" s="977"/>
      <c r="AG251" s="977"/>
      <c r="AH251" s="977"/>
      <c r="AI251" s="977"/>
      <c r="AJ251" s="977"/>
      <c r="AK251" s="977"/>
      <c r="AL251" s="977"/>
      <c r="AM251" s="977"/>
      <c r="AN251" s="977"/>
      <c r="AO251" s="977"/>
      <c r="AP251" s="977"/>
      <c r="AQ251" s="977"/>
    </row>
    <row r="252" spans="1:43" ht="14.25" customHeight="1">
      <c r="A252" s="977"/>
      <c r="B252" s="977"/>
      <c r="C252" s="977"/>
      <c r="D252" s="977"/>
      <c r="E252" s="977"/>
      <c r="F252" s="977"/>
      <c r="G252" s="977"/>
      <c r="H252" s="977"/>
      <c r="I252" s="977"/>
      <c r="J252" s="977"/>
      <c r="K252" s="977"/>
      <c r="L252" s="977"/>
      <c r="M252" s="977"/>
      <c r="N252" s="977"/>
      <c r="O252" s="977"/>
      <c r="P252" s="977"/>
      <c r="Q252" s="977"/>
      <c r="R252" s="977"/>
      <c r="S252" s="977"/>
      <c r="T252" s="977"/>
      <c r="U252" s="977"/>
      <c r="V252" s="977"/>
      <c r="W252" s="977"/>
      <c r="X252" s="977"/>
      <c r="Y252" s="977"/>
      <c r="Z252" s="977"/>
      <c r="AA252" s="977"/>
      <c r="AB252" s="977"/>
      <c r="AC252" s="977"/>
      <c r="AD252" s="977"/>
      <c r="AE252" s="977"/>
      <c r="AF252" s="977"/>
      <c r="AG252" s="977"/>
      <c r="AH252" s="977"/>
      <c r="AI252" s="977"/>
      <c r="AJ252" s="977"/>
      <c r="AK252" s="977"/>
      <c r="AL252" s="977"/>
      <c r="AM252" s="977"/>
      <c r="AN252" s="977"/>
      <c r="AO252" s="977"/>
      <c r="AP252" s="977"/>
      <c r="AQ252" s="977"/>
    </row>
    <row r="253" spans="1:43" ht="14.25" customHeight="1">
      <c r="A253" s="977"/>
      <c r="B253" s="977"/>
      <c r="C253" s="977"/>
      <c r="D253" s="977"/>
      <c r="E253" s="977"/>
      <c r="F253" s="977"/>
      <c r="G253" s="977"/>
      <c r="H253" s="977"/>
      <c r="I253" s="977"/>
      <c r="J253" s="977"/>
      <c r="K253" s="977"/>
      <c r="L253" s="977"/>
      <c r="M253" s="977"/>
      <c r="N253" s="977"/>
      <c r="O253" s="977"/>
      <c r="P253" s="977"/>
      <c r="Q253" s="977"/>
      <c r="R253" s="977"/>
      <c r="S253" s="977"/>
      <c r="T253" s="977"/>
      <c r="U253" s="977"/>
      <c r="V253" s="977"/>
      <c r="W253" s="977"/>
      <c r="X253" s="977"/>
      <c r="Y253" s="977"/>
      <c r="Z253" s="977"/>
      <c r="AA253" s="977"/>
      <c r="AB253" s="977"/>
      <c r="AC253" s="977"/>
      <c r="AD253" s="977"/>
      <c r="AE253" s="977"/>
      <c r="AF253" s="977"/>
      <c r="AG253" s="977"/>
      <c r="AH253" s="977"/>
      <c r="AI253" s="977"/>
      <c r="AJ253" s="977"/>
      <c r="AK253" s="977"/>
      <c r="AL253" s="977"/>
      <c r="AM253" s="977"/>
      <c r="AN253" s="977"/>
      <c r="AO253" s="977"/>
      <c r="AP253" s="977"/>
      <c r="AQ253" s="977"/>
    </row>
    <row r="254" spans="1:43" ht="14.25" customHeight="1">
      <c r="A254" s="977"/>
      <c r="B254" s="977"/>
      <c r="C254" s="977"/>
      <c r="D254" s="977"/>
      <c r="E254" s="977"/>
      <c r="F254" s="977"/>
      <c r="G254" s="977"/>
      <c r="H254" s="977"/>
      <c r="I254" s="977"/>
      <c r="J254" s="977"/>
      <c r="K254" s="977"/>
      <c r="L254" s="977"/>
      <c r="M254" s="977"/>
      <c r="N254" s="977"/>
      <c r="O254" s="977"/>
      <c r="P254" s="977"/>
      <c r="Q254" s="977"/>
      <c r="R254" s="977"/>
      <c r="S254" s="977"/>
      <c r="T254" s="977"/>
      <c r="U254" s="977"/>
      <c r="V254" s="977"/>
      <c r="W254" s="977"/>
      <c r="X254" s="977"/>
      <c r="Y254" s="977"/>
      <c r="Z254" s="977"/>
      <c r="AA254" s="977"/>
      <c r="AB254" s="977"/>
      <c r="AC254" s="977"/>
      <c r="AD254" s="977"/>
      <c r="AE254" s="977"/>
      <c r="AF254" s="977"/>
      <c r="AG254" s="977"/>
      <c r="AH254" s="977"/>
      <c r="AI254" s="977"/>
      <c r="AJ254" s="977"/>
      <c r="AK254" s="977"/>
      <c r="AL254" s="977"/>
      <c r="AM254" s="977"/>
      <c r="AN254" s="977"/>
      <c r="AO254" s="977"/>
      <c r="AP254" s="977"/>
      <c r="AQ254" s="977"/>
    </row>
    <row r="255" spans="1:43" ht="14.25" customHeight="1">
      <c r="A255" s="977"/>
      <c r="B255" s="977"/>
      <c r="C255" s="977"/>
      <c r="D255" s="977"/>
      <c r="E255" s="977"/>
      <c r="F255" s="977"/>
      <c r="G255" s="977"/>
      <c r="H255" s="977"/>
      <c r="I255" s="977"/>
      <c r="J255" s="977"/>
      <c r="K255" s="977"/>
      <c r="L255" s="977"/>
      <c r="M255" s="977"/>
      <c r="N255" s="977"/>
      <c r="O255" s="977"/>
      <c r="P255" s="977"/>
      <c r="Q255" s="977"/>
      <c r="R255" s="977"/>
      <c r="S255" s="977"/>
      <c r="T255" s="977"/>
      <c r="U255" s="977"/>
      <c r="V255" s="977"/>
      <c r="W255" s="977"/>
      <c r="X255" s="977"/>
      <c r="Y255" s="977"/>
      <c r="Z255" s="977"/>
      <c r="AA255" s="977"/>
      <c r="AB255" s="977"/>
      <c r="AC255" s="977"/>
      <c r="AD255" s="977"/>
      <c r="AE255" s="977"/>
      <c r="AF255" s="977"/>
      <c r="AG255" s="977"/>
      <c r="AH255" s="977"/>
      <c r="AI255" s="977"/>
      <c r="AJ255" s="977"/>
      <c r="AK255" s="977"/>
      <c r="AL255" s="977"/>
      <c r="AM255" s="977"/>
      <c r="AN255" s="977"/>
      <c r="AO255" s="977"/>
      <c r="AP255" s="977"/>
      <c r="AQ255" s="977"/>
    </row>
    <row r="256" spans="1:43" ht="14.25" customHeight="1">
      <c r="A256" s="977"/>
      <c r="B256" s="977"/>
      <c r="C256" s="977"/>
      <c r="D256" s="977"/>
      <c r="E256" s="977"/>
      <c r="F256" s="977"/>
      <c r="G256" s="977"/>
      <c r="H256" s="977"/>
      <c r="I256" s="977"/>
      <c r="J256" s="977"/>
      <c r="K256" s="977"/>
      <c r="L256" s="977"/>
      <c r="M256" s="977"/>
      <c r="N256" s="977"/>
      <c r="O256" s="977"/>
      <c r="P256" s="977"/>
      <c r="Q256" s="977"/>
      <c r="R256" s="977"/>
      <c r="S256" s="977"/>
      <c r="T256" s="977"/>
      <c r="U256" s="977"/>
      <c r="V256" s="977"/>
      <c r="W256" s="977"/>
      <c r="X256" s="977"/>
      <c r="Y256" s="977"/>
      <c r="Z256" s="977"/>
      <c r="AA256" s="977"/>
      <c r="AB256" s="977"/>
      <c r="AC256" s="977"/>
      <c r="AD256" s="977"/>
      <c r="AE256" s="977"/>
      <c r="AF256" s="977"/>
      <c r="AG256" s="977"/>
      <c r="AH256" s="977"/>
      <c r="AI256" s="977"/>
      <c r="AJ256" s="977"/>
      <c r="AK256" s="977"/>
      <c r="AL256" s="977"/>
      <c r="AM256" s="977"/>
      <c r="AN256" s="977"/>
      <c r="AO256" s="977"/>
      <c r="AP256" s="977"/>
      <c r="AQ256" s="977"/>
    </row>
    <row r="257" spans="1:43" ht="14.25" customHeight="1">
      <c r="A257" s="977"/>
      <c r="B257" s="977"/>
      <c r="C257" s="977"/>
      <c r="D257" s="977"/>
      <c r="E257" s="977"/>
      <c r="F257" s="977"/>
      <c r="G257" s="977"/>
      <c r="H257" s="977"/>
      <c r="I257" s="977"/>
      <c r="J257" s="977"/>
      <c r="K257" s="977"/>
      <c r="L257" s="977"/>
      <c r="M257" s="977"/>
      <c r="N257" s="977"/>
      <c r="O257" s="977"/>
      <c r="P257" s="977"/>
      <c r="Q257" s="977"/>
      <c r="R257" s="977"/>
      <c r="S257" s="977"/>
      <c r="T257" s="977"/>
      <c r="U257" s="977"/>
      <c r="V257" s="977"/>
      <c r="W257" s="977"/>
      <c r="X257" s="977"/>
      <c r="Y257" s="977"/>
      <c r="Z257" s="977"/>
      <c r="AA257" s="977"/>
      <c r="AB257" s="977"/>
      <c r="AC257" s="977"/>
      <c r="AD257" s="977"/>
      <c r="AE257" s="977"/>
      <c r="AF257" s="977"/>
      <c r="AG257" s="977"/>
      <c r="AH257" s="977"/>
      <c r="AI257" s="977"/>
      <c r="AJ257" s="977"/>
      <c r="AK257" s="977"/>
      <c r="AL257" s="977"/>
      <c r="AM257" s="977"/>
      <c r="AN257" s="977"/>
      <c r="AO257" s="977"/>
      <c r="AP257" s="977"/>
      <c r="AQ257" s="977"/>
    </row>
    <row r="258" spans="1:43" ht="14.25" customHeight="1">
      <c r="A258" s="977"/>
      <c r="B258" s="977"/>
      <c r="C258" s="977"/>
      <c r="D258" s="977"/>
      <c r="E258" s="977"/>
      <c r="F258" s="977"/>
      <c r="G258" s="977"/>
      <c r="H258" s="977"/>
      <c r="I258" s="977"/>
      <c r="J258" s="977"/>
      <c r="K258" s="977"/>
      <c r="L258" s="977"/>
      <c r="M258" s="977"/>
      <c r="N258" s="977"/>
      <c r="O258" s="977"/>
      <c r="P258" s="977"/>
      <c r="Q258" s="977"/>
      <c r="R258" s="977"/>
      <c r="S258" s="977"/>
      <c r="T258" s="977"/>
      <c r="U258" s="977"/>
      <c r="V258" s="977"/>
      <c r="W258" s="977"/>
      <c r="X258" s="977"/>
      <c r="Y258" s="977"/>
      <c r="Z258" s="977"/>
      <c r="AA258" s="977"/>
      <c r="AB258" s="977"/>
      <c r="AC258" s="977"/>
      <c r="AD258" s="977"/>
      <c r="AE258" s="977"/>
      <c r="AF258" s="977"/>
      <c r="AG258" s="977"/>
      <c r="AH258" s="977"/>
      <c r="AI258" s="977"/>
      <c r="AJ258" s="977"/>
      <c r="AK258" s="977"/>
      <c r="AL258" s="977"/>
      <c r="AM258" s="977"/>
      <c r="AN258" s="977"/>
      <c r="AO258" s="977"/>
      <c r="AP258" s="977"/>
      <c r="AQ258" s="977"/>
    </row>
    <row r="259" spans="1:43" ht="14.25" customHeight="1">
      <c r="A259" s="977"/>
      <c r="B259" s="977"/>
      <c r="C259" s="977"/>
      <c r="D259" s="977"/>
      <c r="E259" s="977"/>
      <c r="F259" s="977"/>
      <c r="G259" s="977"/>
      <c r="H259" s="977"/>
      <c r="I259" s="977"/>
      <c r="J259" s="977"/>
      <c r="K259" s="977"/>
      <c r="L259" s="977"/>
      <c r="M259" s="977"/>
      <c r="N259" s="977"/>
      <c r="O259" s="977"/>
      <c r="P259" s="977"/>
      <c r="Q259" s="977"/>
      <c r="R259" s="977"/>
      <c r="S259" s="977"/>
      <c r="T259" s="977"/>
      <c r="U259" s="977"/>
      <c r="V259" s="977"/>
      <c r="W259" s="977"/>
      <c r="X259" s="977"/>
      <c r="Y259" s="977"/>
      <c r="Z259" s="977"/>
      <c r="AA259" s="977"/>
      <c r="AB259" s="977"/>
      <c r="AC259" s="977"/>
      <c r="AD259" s="977"/>
      <c r="AE259" s="977"/>
      <c r="AF259" s="977"/>
      <c r="AG259" s="977"/>
      <c r="AH259" s="977"/>
      <c r="AI259" s="977"/>
      <c r="AJ259" s="977"/>
      <c r="AK259" s="977"/>
      <c r="AL259" s="977"/>
      <c r="AM259" s="977"/>
      <c r="AN259" s="977"/>
      <c r="AO259" s="977"/>
      <c r="AP259" s="977"/>
      <c r="AQ259" s="977"/>
    </row>
    <row r="260" spans="1:43" ht="14.25" customHeight="1">
      <c r="A260" s="977"/>
      <c r="B260" s="977"/>
      <c r="C260" s="977"/>
      <c r="D260" s="977"/>
      <c r="E260" s="977"/>
      <c r="F260" s="977"/>
      <c r="G260" s="977"/>
      <c r="H260" s="977"/>
      <c r="I260" s="977"/>
      <c r="J260" s="977"/>
      <c r="K260" s="977"/>
      <c r="L260" s="977"/>
      <c r="M260" s="977"/>
      <c r="N260" s="977"/>
      <c r="O260" s="977"/>
      <c r="P260" s="977"/>
      <c r="Q260" s="977"/>
      <c r="R260" s="977"/>
      <c r="S260" s="977"/>
      <c r="T260" s="977"/>
      <c r="U260" s="977"/>
      <c r="V260" s="977"/>
      <c r="W260" s="977"/>
      <c r="X260" s="977"/>
      <c r="Y260" s="977"/>
      <c r="Z260" s="977"/>
      <c r="AA260" s="977"/>
      <c r="AB260" s="977"/>
      <c r="AC260" s="977"/>
      <c r="AD260" s="977"/>
      <c r="AE260" s="977"/>
      <c r="AF260" s="977"/>
      <c r="AG260" s="977"/>
      <c r="AH260" s="977"/>
      <c r="AI260" s="977"/>
      <c r="AJ260" s="977"/>
      <c r="AK260" s="977"/>
      <c r="AL260" s="977"/>
      <c r="AM260" s="977"/>
      <c r="AN260" s="977"/>
      <c r="AO260" s="977"/>
      <c r="AP260" s="977"/>
      <c r="AQ260" s="977"/>
    </row>
    <row r="261" spans="1:43" ht="14.25" customHeight="1">
      <c r="A261" s="977"/>
      <c r="B261" s="977"/>
      <c r="C261" s="977"/>
      <c r="D261" s="977"/>
      <c r="E261" s="977"/>
      <c r="F261" s="977"/>
      <c r="G261" s="977"/>
      <c r="H261" s="977"/>
      <c r="I261" s="977"/>
      <c r="J261" s="977"/>
      <c r="K261" s="977"/>
      <c r="L261" s="977"/>
      <c r="M261" s="977"/>
      <c r="N261" s="977"/>
      <c r="O261" s="977"/>
      <c r="P261" s="977"/>
      <c r="Q261" s="977"/>
      <c r="R261" s="977"/>
      <c r="S261" s="977"/>
      <c r="T261" s="977"/>
      <c r="U261" s="977"/>
      <c r="V261" s="977"/>
      <c r="W261" s="977"/>
      <c r="X261" s="977"/>
      <c r="Y261" s="977"/>
      <c r="Z261" s="977"/>
      <c r="AA261" s="977"/>
      <c r="AB261" s="977"/>
      <c r="AC261" s="977"/>
      <c r="AD261" s="977"/>
      <c r="AE261" s="977"/>
      <c r="AF261" s="977"/>
      <c r="AG261" s="977"/>
      <c r="AH261" s="977"/>
      <c r="AI261" s="977"/>
      <c r="AJ261" s="977"/>
      <c r="AK261" s="977"/>
      <c r="AL261" s="977"/>
      <c r="AM261" s="977"/>
      <c r="AN261" s="977"/>
      <c r="AO261" s="977"/>
      <c r="AP261" s="977"/>
      <c r="AQ261" s="977"/>
    </row>
    <row r="262" spans="1:43" ht="14.25" customHeight="1">
      <c r="A262" s="977"/>
      <c r="B262" s="977"/>
      <c r="C262" s="977"/>
      <c r="D262" s="977"/>
      <c r="E262" s="977"/>
      <c r="F262" s="977"/>
      <c r="G262" s="977"/>
      <c r="H262" s="977"/>
      <c r="I262" s="977"/>
      <c r="J262" s="977"/>
      <c r="K262" s="977"/>
      <c r="L262" s="977"/>
      <c r="M262" s="977"/>
      <c r="N262" s="977"/>
      <c r="O262" s="977"/>
      <c r="P262" s="977"/>
      <c r="Q262" s="977"/>
      <c r="R262" s="977"/>
      <c r="S262" s="977"/>
      <c r="T262" s="977"/>
      <c r="U262" s="977"/>
      <c r="V262" s="977"/>
      <c r="W262" s="977"/>
      <c r="X262" s="977"/>
      <c r="Y262" s="977"/>
      <c r="Z262" s="977"/>
      <c r="AA262" s="977"/>
      <c r="AB262" s="977"/>
      <c r="AC262" s="977"/>
      <c r="AD262" s="977"/>
      <c r="AE262" s="977"/>
      <c r="AF262" s="977"/>
      <c r="AG262" s="977"/>
      <c r="AH262" s="977"/>
      <c r="AI262" s="977"/>
      <c r="AJ262" s="977"/>
      <c r="AK262" s="977"/>
      <c r="AL262" s="977"/>
      <c r="AM262" s="977"/>
      <c r="AN262" s="977"/>
      <c r="AO262" s="977"/>
      <c r="AP262" s="977"/>
      <c r="AQ262" s="977"/>
    </row>
    <row r="263" spans="1:43" ht="14.25" customHeight="1">
      <c r="A263" s="977"/>
      <c r="B263" s="977"/>
      <c r="C263" s="977"/>
      <c r="D263" s="977"/>
      <c r="E263" s="977"/>
      <c r="F263" s="977"/>
      <c r="G263" s="977"/>
      <c r="H263" s="977"/>
      <c r="I263" s="977"/>
      <c r="J263" s="977"/>
      <c r="K263" s="977"/>
      <c r="L263" s="977"/>
      <c r="M263" s="977"/>
      <c r="N263" s="977"/>
      <c r="O263" s="977"/>
      <c r="P263" s="977"/>
      <c r="Q263" s="977"/>
      <c r="R263" s="977"/>
      <c r="S263" s="977"/>
      <c r="T263" s="977"/>
      <c r="U263" s="977"/>
      <c r="V263" s="977"/>
      <c r="W263" s="977"/>
      <c r="X263" s="977"/>
      <c r="Y263" s="977"/>
      <c r="Z263" s="977"/>
      <c r="AA263" s="977"/>
      <c r="AB263" s="977"/>
      <c r="AC263" s="977"/>
      <c r="AD263" s="977"/>
      <c r="AE263" s="977"/>
      <c r="AF263" s="977"/>
      <c r="AG263" s="977"/>
      <c r="AH263" s="977"/>
      <c r="AI263" s="977"/>
      <c r="AJ263" s="977"/>
      <c r="AK263" s="977"/>
      <c r="AL263" s="977"/>
      <c r="AM263" s="977"/>
      <c r="AN263" s="977"/>
      <c r="AO263" s="977"/>
      <c r="AP263" s="977"/>
      <c r="AQ263" s="977"/>
    </row>
    <row r="264" spans="1:43" ht="14.25" customHeight="1">
      <c r="A264" s="977"/>
      <c r="B264" s="977"/>
      <c r="C264" s="977"/>
      <c r="D264" s="977"/>
      <c r="E264" s="977"/>
      <c r="F264" s="977"/>
      <c r="G264" s="977"/>
      <c r="H264" s="977"/>
      <c r="I264" s="977"/>
      <c r="J264" s="977"/>
      <c r="K264" s="977"/>
      <c r="L264" s="977"/>
      <c r="M264" s="977"/>
      <c r="N264" s="977"/>
      <c r="O264" s="977"/>
      <c r="P264" s="977"/>
      <c r="Q264" s="977"/>
      <c r="R264" s="977"/>
      <c r="S264" s="977"/>
      <c r="T264" s="977"/>
      <c r="U264" s="977"/>
      <c r="V264" s="977"/>
      <c r="W264" s="977"/>
      <c r="X264" s="977"/>
      <c r="Y264" s="977"/>
      <c r="Z264" s="977"/>
      <c r="AA264" s="977"/>
      <c r="AB264" s="977"/>
      <c r="AC264" s="977"/>
      <c r="AD264" s="977"/>
      <c r="AE264" s="977"/>
      <c r="AF264" s="977"/>
      <c r="AG264" s="977"/>
      <c r="AH264" s="977"/>
      <c r="AI264" s="977"/>
      <c r="AJ264" s="977"/>
      <c r="AK264" s="977"/>
      <c r="AL264" s="977"/>
      <c r="AM264" s="977"/>
      <c r="AN264" s="977"/>
      <c r="AO264" s="977"/>
      <c r="AP264" s="977"/>
      <c r="AQ264" s="977"/>
    </row>
    <row r="265" spans="1:43" ht="14.25" customHeight="1">
      <c r="A265" s="977"/>
      <c r="B265" s="977"/>
      <c r="C265" s="977"/>
      <c r="D265" s="977"/>
      <c r="E265" s="977"/>
      <c r="F265" s="977"/>
      <c r="G265" s="977"/>
      <c r="H265" s="977"/>
      <c r="I265" s="977"/>
      <c r="J265" s="977"/>
      <c r="K265" s="977"/>
      <c r="L265" s="977"/>
      <c r="M265" s="977"/>
      <c r="N265" s="977"/>
      <c r="O265" s="977"/>
      <c r="P265" s="977"/>
      <c r="Q265" s="977"/>
      <c r="R265" s="977"/>
      <c r="S265" s="977"/>
      <c r="T265" s="977"/>
      <c r="U265" s="977"/>
      <c r="V265" s="977"/>
      <c r="W265" s="977"/>
      <c r="X265" s="977"/>
      <c r="Y265" s="977"/>
      <c r="Z265" s="977"/>
      <c r="AA265" s="977"/>
      <c r="AB265" s="977"/>
      <c r="AC265" s="977"/>
      <c r="AD265" s="977"/>
      <c r="AE265" s="977"/>
      <c r="AF265" s="977"/>
      <c r="AG265" s="977"/>
      <c r="AH265" s="977"/>
      <c r="AI265" s="977"/>
      <c r="AJ265" s="977"/>
      <c r="AK265" s="977"/>
      <c r="AL265" s="977"/>
      <c r="AM265" s="977"/>
      <c r="AN265" s="977"/>
      <c r="AO265" s="977"/>
      <c r="AP265" s="977"/>
      <c r="AQ265" s="977"/>
    </row>
    <row r="266" spans="1:43" ht="14.25" customHeight="1">
      <c r="A266" s="977"/>
      <c r="B266" s="977"/>
      <c r="C266" s="977"/>
      <c r="D266" s="977"/>
      <c r="E266" s="977"/>
      <c r="F266" s="977"/>
      <c r="G266" s="977"/>
      <c r="H266" s="977"/>
      <c r="I266" s="977"/>
      <c r="J266" s="977"/>
      <c r="K266" s="977"/>
      <c r="L266" s="977"/>
      <c r="M266" s="977"/>
      <c r="N266" s="977"/>
      <c r="O266" s="977"/>
      <c r="P266" s="977"/>
      <c r="Q266" s="977"/>
      <c r="R266" s="977"/>
      <c r="S266" s="977"/>
      <c r="T266" s="977"/>
      <c r="U266" s="977"/>
      <c r="V266" s="977"/>
      <c r="W266" s="977"/>
      <c r="X266" s="977"/>
      <c r="Y266" s="977"/>
      <c r="Z266" s="977"/>
      <c r="AA266" s="977"/>
      <c r="AB266" s="977"/>
      <c r="AC266" s="977"/>
      <c r="AD266" s="977"/>
      <c r="AE266" s="977"/>
      <c r="AF266" s="977"/>
      <c r="AG266" s="977"/>
      <c r="AH266" s="977"/>
      <c r="AI266" s="977"/>
      <c r="AJ266" s="977"/>
      <c r="AK266" s="977"/>
      <c r="AL266" s="977"/>
      <c r="AM266" s="977"/>
      <c r="AN266" s="977"/>
      <c r="AO266" s="977"/>
      <c r="AP266" s="977"/>
      <c r="AQ266" s="977"/>
    </row>
    <row r="267" spans="1:43" ht="14.25" customHeight="1">
      <c r="A267" s="977"/>
      <c r="B267" s="977"/>
      <c r="C267" s="977"/>
      <c r="D267" s="977"/>
      <c r="E267" s="977"/>
      <c r="F267" s="977"/>
      <c r="G267" s="977"/>
      <c r="H267" s="977"/>
      <c r="I267" s="977"/>
      <c r="J267" s="977"/>
      <c r="K267" s="977"/>
      <c r="L267" s="977"/>
      <c r="M267" s="977"/>
      <c r="N267" s="977"/>
      <c r="O267" s="977"/>
      <c r="P267" s="977"/>
      <c r="Q267" s="977"/>
      <c r="R267" s="977"/>
      <c r="S267" s="977"/>
      <c r="T267" s="977"/>
      <c r="U267" s="977"/>
      <c r="V267" s="977"/>
      <c r="W267" s="977"/>
      <c r="X267" s="977"/>
      <c r="Y267" s="977"/>
      <c r="Z267" s="977"/>
      <c r="AA267" s="977"/>
      <c r="AB267" s="977"/>
      <c r="AC267" s="977"/>
      <c r="AD267" s="977"/>
      <c r="AE267" s="977"/>
      <c r="AF267" s="977"/>
      <c r="AG267" s="977"/>
      <c r="AH267" s="977"/>
      <c r="AI267" s="977"/>
      <c r="AJ267" s="977"/>
      <c r="AK267" s="977"/>
      <c r="AL267" s="977"/>
      <c r="AM267" s="977"/>
      <c r="AN267" s="977"/>
      <c r="AO267" s="977"/>
      <c r="AP267" s="977"/>
      <c r="AQ267" s="977"/>
    </row>
    <row r="268" spans="1:43" ht="14.25" customHeight="1">
      <c r="A268" s="977"/>
      <c r="B268" s="977"/>
      <c r="C268" s="977"/>
      <c r="D268" s="977"/>
      <c r="E268" s="977"/>
      <c r="F268" s="977"/>
      <c r="G268" s="977"/>
      <c r="H268" s="977"/>
      <c r="I268" s="977"/>
      <c r="J268" s="977"/>
      <c r="K268" s="977"/>
      <c r="L268" s="977"/>
      <c r="M268" s="977"/>
      <c r="N268" s="977"/>
      <c r="O268" s="977"/>
      <c r="P268" s="977"/>
      <c r="Q268" s="977"/>
      <c r="R268" s="977"/>
      <c r="S268" s="977"/>
      <c r="T268" s="977"/>
      <c r="U268" s="977"/>
      <c r="V268" s="977"/>
      <c r="W268" s="977"/>
      <c r="X268" s="977"/>
      <c r="Y268" s="977"/>
      <c r="Z268" s="977"/>
      <c r="AA268" s="977"/>
      <c r="AB268" s="977"/>
      <c r="AC268" s="977"/>
      <c r="AD268" s="977"/>
      <c r="AE268" s="977"/>
      <c r="AF268" s="977"/>
      <c r="AG268" s="977"/>
      <c r="AH268" s="977"/>
      <c r="AI268" s="977"/>
      <c r="AJ268" s="977"/>
      <c r="AK268" s="977"/>
      <c r="AL268" s="977"/>
      <c r="AM268" s="977"/>
      <c r="AN268" s="977"/>
      <c r="AO268" s="977"/>
      <c r="AP268" s="977"/>
      <c r="AQ268" s="977"/>
    </row>
    <row r="269" spans="1:43" ht="14.25" customHeight="1">
      <c r="A269" s="977"/>
      <c r="B269" s="977"/>
      <c r="C269" s="977"/>
      <c r="D269" s="977"/>
      <c r="E269" s="977"/>
      <c r="F269" s="977"/>
      <c r="G269" s="977"/>
      <c r="H269" s="977"/>
      <c r="I269" s="977"/>
      <c r="J269" s="977"/>
      <c r="K269" s="977"/>
      <c r="L269" s="977"/>
      <c r="M269" s="977"/>
      <c r="N269" s="977"/>
      <c r="O269" s="977"/>
      <c r="P269" s="977"/>
      <c r="Q269" s="977"/>
      <c r="R269" s="977"/>
      <c r="S269" s="977"/>
      <c r="T269" s="977"/>
      <c r="U269" s="977"/>
      <c r="V269" s="977"/>
      <c r="W269" s="977"/>
      <c r="X269" s="977"/>
      <c r="Y269" s="977"/>
      <c r="Z269" s="977"/>
      <c r="AA269" s="977"/>
      <c r="AB269" s="977"/>
      <c r="AC269" s="977"/>
      <c r="AD269" s="977"/>
      <c r="AE269" s="977"/>
      <c r="AF269" s="977"/>
      <c r="AG269" s="977"/>
      <c r="AH269" s="977"/>
      <c r="AI269" s="977"/>
      <c r="AJ269" s="977"/>
      <c r="AK269" s="977"/>
      <c r="AL269" s="977"/>
      <c r="AM269" s="977"/>
      <c r="AN269" s="977"/>
      <c r="AO269" s="977"/>
      <c r="AP269" s="977"/>
      <c r="AQ269" s="977"/>
    </row>
    <row r="270" spans="1:43" ht="14.25" customHeight="1">
      <c r="A270" s="977"/>
      <c r="B270" s="977"/>
      <c r="C270" s="977"/>
      <c r="D270" s="977"/>
      <c r="E270" s="977"/>
      <c r="F270" s="977"/>
      <c r="G270" s="977"/>
      <c r="H270" s="977"/>
      <c r="I270" s="977"/>
      <c r="J270" s="977"/>
      <c r="K270" s="977"/>
      <c r="L270" s="977"/>
      <c r="M270" s="977"/>
      <c r="N270" s="977"/>
      <c r="O270" s="977"/>
      <c r="P270" s="977"/>
      <c r="Q270" s="977"/>
      <c r="R270" s="977"/>
      <c r="S270" s="977"/>
      <c r="T270" s="977"/>
      <c r="U270" s="977"/>
      <c r="V270" s="977"/>
      <c r="W270" s="977"/>
      <c r="X270" s="977"/>
      <c r="Y270" s="977"/>
      <c r="Z270" s="977"/>
      <c r="AA270" s="977"/>
      <c r="AB270" s="977"/>
      <c r="AC270" s="977"/>
      <c r="AD270" s="977"/>
      <c r="AE270" s="977"/>
      <c r="AF270" s="977"/>
      <c r="AG270" s="977"/>
      <c r="AH270" s="977"/>
      <c r="AI270" s="977"/>
      <c r="AJ270" s="977"/>
      <c r="AK270" s="977"/>
      <c r="AL270" s="977"/>
      <c r="AM270" s="977"/>
      <c r="AN270" s="977"/>
      <c r="AO270" s="977"/>
      <c r="AP270" s="977"/>
      <c r="AQ270" s="977"/>
    </row>
    <row r="271" spans="1:43" ht="14.25" customHeight="1">
      <c r="A271" s="977"/>
      <c r="B271" s="977"/>
      <c r="C271" s="977"/>
      <c r="D271" s="977"/>
      <c r="E271" s="977"/>
      <c r="F271" s="977"/>
      <c r="G271" s="977"/>
      <c r="H271" s="977"/>
      <c r="I271" s="977"/>
      <c r="J271" s="977"/>
      <c r="K271" s="977"/>
      <c r="L271" s="977"/>
      <c r="M271" s="977"/>
      <c r="N271" s="977"/>
      <c r="O271" s="977"/>
      <c r="P271" s="977"/>
      <c r="Q271" s="977"/>
      <c r="R271" s="977"/>
      <c r="S271" s="977"/>
      <c r="T271" s="977"/>
      <c r="U271" s="977"/>
      <c r="V271" s="977"/>
      <c r="W271" s="977"/>
      <c r="X271" s="977"/>
      <c r="Y271" s="977"/>
      <c r="Z271" s="977"/>
      <c r="AA271" s="977"/>
      <c r="AB271" s="977"/>
      <c r="AC271" s="977"/>
      <c r="AD271" s="977"/>
      <c r="AE271" s="977"/>
      <c r="AF271" s="977"/>
      <c r="AG271" s="977"/>
      <c r="AH271" s="977"/>
      <c r="AI271" s="977"/>
      <c r="AJ271" s="977"/>
      <c r="AK271" s="977"/>
      <c r="AL271" s="977"/>
      <c r="AM271" s="977"/>
      <c r="AN271" s="977"/>
      <c r="AO271" s="977"/>
      <c r="AP271" s="977"/>
      <c r="AQ271" s="977"/>
    </row>
    <row r="272" spans="1:43" ht="14.25" customHeight="1">
      <c r="A272" s="977"/>
      <c r="B272" s="977"/>
      <c r="C272" s="977"/>
      <c r="D272" s="977"/>
      <c r="E272" s="977"/>
      <c r="F272" s="977"/>
      <c r="G272" s="977"/>
      <c r="H272" s="977"/>
      <c r="I272" s="977"/>
      <c r="J272" s="977"/>
      <c r="K272" s="977"/>
      <c r="L272" s="977"/>
      <c r="M272" s="977"/>
      <c r="N272" s="977"/>
      <c r="O272" s="977"/>
      <c r="P272" s="977"/>
      <c r="Q272" s="977"/>
      <c r="R272" s="977"/>
      <c r="S272" s="977"/>
      <c r="T272" s="977"/>
      <c r="U272" s="977"/>
      <c r="V272" s="977"/>
      <c r="W272" s="977"/>
      <c r="X272" s="977"/>
      <c r="Y272" s="977"/>
      <c r="Z272" s="977"/>
      <c r="AA272" s="977"/>
      <c r="AB272" s="977"/>
      <c r="AC272" s="977"/>
      <c r="AD272" s="977"/>
      <c r="AE272" s="977"/>
      <c r="AF272" s="977"/>
      <c r="AG272" s="977"/>
      <c r="AH272" s="977"/>
      <c r="AI272" s="977"/>
      <c r="AJ272" s="977"/>
      <c r="AK272" s="977"/>
      <c r="AL272" s="977"/>
      <c r="AM272" s="977"/>
      <c r="AN272" s="977"/>
      <c r="AO272" s="977"/>
      <c r="AP272" s="977"/>
      <c r="AQ272" s="977"/>
    </row>
    <row r="273" spans="1:43" ht="14.25" customHeight="1">
      <c r="A273" s="977"/>
      <c r="B273" s="977"/>
      <c r="C273" s="977"/>
      <c r="D273" s="977"/>
      <c r="E273" s="977"/>
      <c r="F273" s="977"/>
      <c r="G273" s="977"/>
      <c r="H273" s="977"/>
      <c r="I273" s="977"/>
      <c r="J273" s="977"/>
      <c r="K273" s="977"/>
      <c r="L273" s="977"/>
      <c r="M273" s="977"/>
      <c r="N273" s="977"/>
      <c r="O273" s="977"/>
      <c r="P273" s="977"/>
      <c r="Q273" s="977"/>
      <c r="R273" s="977"/>
      <c r="S273" s="977"/>
      <c r="T273" s="977"/>
      <c r="U273" s="977"/>
      <c r="V273" s="977"/>
      <c r="W273" s="977"/>
      <c r="X273" s="977"/>
      <c r="Y273" s="977"/>
      <c r="Z273" s="977"/>
      <c r="AA273" s="977"/>
      <c r="AB273" s="977"/>
      <c r="AC273" s="977"/>
      <c r="AD273" s="977"/>
      <c r="AE273" s="977"/>
      <c r="AF273" s="977"/>
      <c r="AG273" s="977"/>
      <c r="AH273" s="977"/>
      <c r="AI273" s="977"/>
      <c r="AJ273" s="977"/>
      <c r="AK273" s="977"/>
      <c r="AL273" s="977"/>
      <c r="AM273" s="977"/>
      <c r="AN273" s="977"/>
      <c r="AO273" s="977"/>
      <c r="AP273" s="977"/>
      <c r="AQ273" s="977"/>
    </row>
    <row r="274" spans="1:43" ht="14.25" customHeight="1">
      <c r="A274" s="977"/>
      <c r="B274" s="977"/>
      <c r="C274" s="977"/>
      <c r="D274" s="977"/>
      <c r="E274" s="977"/>
      <c r="F274" s="977"/>
      <c r="G274" s="977"/>
      <c r="H274" s="977"/>
      <c r="I274" s="977"/>
      <c r="J274" s="977"/>
      <c r="K274" s="977"/>
      <c r="L274" s="977"/>
      <c r="M274" s="977"/>
      <c r="N274" s="977"/>
      <c r="O274" s="977"/>
      <c r="P274" s="977"/>
      <c r="Q274" s="977"/>
      <c r="R274" s="977"/>
      <c r="S274" s="977"/>
      <c r="T274" s="977"/>
      <c r="U274" s="977"/>
      <c r="V274" s="977"/>
      <c r="W274" s="977"/>
      <c r="X274" s="977"/>
      <c r="Y274" s="977"/>
      <c r="Z274" s="977"/>
      <c r="AA274" s="977"/>
      <c r="AB274" s="977"/>
      <c r="AC274" s="977"/>
      <c r="AD274" s="977"/>
      <c r="AE274" s="977"/>
      <c r="AF274" s="977"/>
      <c r="AG274" s="977"/>
      <c r="AH274" s="977"/>
      <c r="AI274" s="977"/>
      <c r="AJ274" s="977"/>
      <c r="AK274" s="977"/>
      <c r="AL274" s="977"/>
      <c r="AM274" s="977"/>
      <c r="AN274" s="977"/>
      <c r="AO274" s="977"/>
      <c r="AP274" s="977"/>
      <c r="AQ274" s="977"/>
    </row>
    <row r="275" spans="1:43" ht="14.25" customHeight="1">
      <c r="A275" s="977"/>
      <c r="B275" s="977"/>
      <c r="C275" s="977"/>
      <c r="D275" s="977"/>
      <c r="E275" s="977"/>
      <c r="F275" s="977"/>
      <c r="G275" s="977"/>
      <c r="H275" s="977"/>
      <c r="I275" s="977"/>
      <c r="J275" s="977"/>
      <c r="K275" s="977"/>
      <c r="L275" s="977"/>
      <c r="M275" s="977"/>
      <c r="N275" s="977"/>
      <c r="O275" s="977"/>
      <c r="P275" s="977"/>
      <c r="Q275" s="977"/>
      <c r="R275" s="977"/>
      <c r="S275" s="977"/>
      <c r="T275" s="977"/>
      <c r="U275" s="977"/>
      <c r="V275" s="977"/>
      <c r="W275" s="977"/>
      <c r="X275" s="977"/>
      <c r="Y275" s="977"/>
      <c r="Z275" s="977"/>
      <c r="AA275" s="977"/>
      <c r="AB275" s="977"/>
      <c r="AC275" s="977"/>
      <c r="AD275" s="977"/>
      <c r="AE275" s="977"/>
      <c r="AF275" s="977"/>
      <c r="AG275" s="977"/>
      <c r="AH275" s="977"/>
      <c r="AI275" s="977"/>
      <c r="AJ275" s="977"/>
      <c r="AK275" s="977"/>
      <c r="AL275" s="977"/>
      <c r="AM275" s="977"/>
      <c r="AN275" s="977"/>
      <c r="AO275" s="977"/>
      <c r="AP275" s="977"/>
      <c r="AQ275" s="977"/>
    </row>
    <row r="276" spans="1:43" ht="14.25" customHeight="1">
      <c r="A276" s="977"/>
      <c r="B276" s="977"/>
      <c r="C276" s="977"/>
      <c r="D276" s="977"/>
      <c r="E276" s="977"/>
      <c r="F276" s="977"/>
      <c r="G276" s="977"/>
      <c r="H276" s="977"/>
      <c r="I276" s="977"/>
      <c r="J276" s="977"/>
      <c r="K276" s="977"/>
      <c r="L276" s="977"/>
      <c r="M276" s="977"/>
      <c r="N276" s="977"/>
      <c r="O276" s="977"/>
      <c r="P276" s="977"/>
      <c r="Q276" s="977"/>
      <c r="R276" s="977"/>
      <c r="S276" s="977"/>
      <c r="T276" s="977"/>
      <c r="U276" s="977"/>
      <c r="V276" s="977"/>
      <c r="W276" s="977"/>
      <c r="X276" s="977"/>
      <c r="Y276" s="977"/>
      <c r="Z276" s="977"/>
      <c r="AA276" s="977"/>
      <c r="AB276" s="977"/>
      <c r="AC276" s="977"/>
      <c r="AD276" s="977"/>
      <c r="AE276" s="977"/>
      <c r="AF276" s="977"/>
      <c r="AG276" s="977"/>
      <c r="AH276" s="977"/>
      <c r="AI276" s="977"/>
      <c r="AJ276" s="977"/>
      <c r="AK276" s="977"/>
      <c r="AL276" s="977"/>
      <c r="AM276" s="977"/>
      <c r="AN276" s="977"/>
      <c r="AO276" s="977"/>
      <c r="AP276" s="977"/>
      <c r="AQ276" s="977"/>
    </row>
    <row r="277" spans="1:43" ht="14.25" customHeight="1">
      <c r="A277" s="977"/>
      <c r="B277" s="977"/>
      <c r="C277" s="977"/>
      <c r="D277" s="977"/>
      <c r="E277" s="977"/>
      <c r="F277" s="977"/>
      <c r="G277" s="977"/>
      <c r="H277" s="977"/>
      <c r="I277" s="977"/>
      <c r="J277" s="977"/>
      <c r="K277" s="977"/>
      <c r="L277" s="977"/>
      <c r="M277" s="977"/>
      <c r="N277" s="977"/>
      <c r="O277" s="977"/>
      <c r="P277" s="977"/>
      <c r="Q277" s="977"/>
      <c r="R277" s="977"/>
      <c r="S277" s="977"/>
      <c r="T277" s="977"/>
      <c r="U277" s="977"/>
      <c r="V277" s="977"/>
      <c r="W277" s="977"/>
      <c r="X277" s="977"/>
      <c r="Y277" s="977"/>
      <c r="Z277" s="977"/>
      <c r="AA277" s="977"/>
      <c r="AB277" s="977"/>
      <c r="AC277" s="977"/>
      <c r="AD277" s="977"/>
      <c r="AE277" s="977"/>
      <c r="AF277" s="977"/>
      <c r="AG277" s="977"/>
      <c r="AH277" s="977"/>
      <c r="AI277" s="977"/>
      <c r="AJ277" s="977"/>
      <c r="AK277" s="977"/>
      <c r="AL277" s="977"/>
      <c r="AM277" s="977"/>
      <c r="AN277" s="977"/>
      <c r="AO277" s="977"/>
      <c r="AP277" s="977"/>
      <c r="AQ277" s="977"/>
    </row>
    <row r="278" spans="1:43" ht="14.25" customHeight="1">
      <c r="A278" s="977"/>
      <c r="B278" s="977"/>
      <c r="C278" s="977"/>
      <c r="D278" s="977"/>
      <c r="E278" s="977"/>
      <c r="F278" s="977"/>
      <c r="G278" s="977"/>
      <c r="H278" s="977"/>
      <c r="I278" s="977"/>
      <c r="J278" s="977"/>
      <c r="K278" s="977"/>
      <c r="L278" s="977"/>
      <c r="M278" s="977"/>
      <c r="N278" s="977"/>
      <c r="O278" s="977"/>
      <c r="P278" s="977"/>
      <c r="Q278" s="977"/>
      <c r="R278" s="977"/>
      <c r="S278" s="977"/>
      <c r="T278" s="977"/>
      <c r="U278" s="977"/>
      <c r="V278" s="977"/>
      <c r="W278" s="977"/>
      <c r="X278" s="977"/>
      <c r="Y278" s="977"/>
      <c r="Z278" s="977"/>
      <c r="AA278" s="977"/>
      <c r="AB278" s="977"/>
      <c r="AC278" s="977"/>
      <c r="AD278" s="977"/>
      <c r="AE278" s="977"/>
      <c r="AF278" s="977"/>
      <c r="AG278" s="977"/>
      <c r="AH278" s="977"/>
      <c r="AI278" s="977"/>
      <c r="AJ278" s="977"/>
      <c r="AK278" s="977"/>
      <c r="AL278" s="977"/>
      <c r="AM278" s="977"/>
      <c r="AN278" s="977"/>
      <c r="AO278" s="977"/>
      <c r="AP278" s="977"/>
      <c r="AQ278" s="977"/>
    </row>
    <row r="279" spans="1:43" ht="14.25" customHeight="1">
      <c r="A279" s="977"/>
      <c r="B279" s="977"/>
      <c r="C279" s="977"/>
      <c r="D279" s="977"/>
      <c r="E279" s="977"/>
      <c r="F279" s="977"/>
      <c r="G279" s="977"/>
      <c r="H279" s="977"/>
      <c r="I279" s="977"/>
      <c r="J279" s="977"/>
      <c r="K279" s="977"/>
      <c r="L279" s="977"/>
      <c r="M279" s="977"/>
      <c r="N279" s="977"/>
      <c r="O279" s="977"/>
      <c r="P279" s="977"/>
      <c r="Q279" s="977"/>
      <c r="R279" s="977"/>
      <c r="S279" s="977"/>
      <c r="T279" s="977"/>
      <c r="U279" s="977"/>
      <c r="V279" s="977"/>
      <c r="W279" s="977"/>
      <c r="X279" s="977"/>
      <c r="Y279" s="977"/>
      <c r="Z279" s="977"/>
      <c r="AA279" s="977"/>
      <c r="AB279" s="977"/>
      <c r="AC279" s="977"/>
      <c r="AD279" s="977"/>
      <c r="AE279" s="977"/>
      <c r="AF279" s="977"/>
      <c r="AG279" s="977"/>
      <c r="AH279" s="977"/>
      <c r="AI279" s="977"/>
      <c r="AJ279" s="977"/>
      <c r="AK279" s="977"/>
      <c r="AL279" s="977"/>
      <c r="AM279" s="977"/>
      <c r="AN279" s="977"/>
      <c r="AO279" s="977"/>
      <c r="AP279" s="977"/>
      <c r="AQ279" s="977"/>
    </row>
    <row r="280" spans="1:43" ht="14.25" customHeight="1">
      <c r="A280" s="977"/>
      <c r="B280" s="977"/>
      <c r="C280" s="977"/>
      <c r="D280" s="977"/>
      <c r="E280" s="977"/>
      <c r="F280" s="977"/>
      <c r="G280" s="977"/>
      <c r="H280" s="977"/>
      <c r="I280" s="977"/>
      <c r="J280" s="977"/>
      <c r="K280" s="977"/>
      <c r="L280" s="977"/>
      <c r="M280" s="977"/>
      <c r="N280" s="977"/>
      <c r="O280" s="977"/>
      <c r="P280" s="977"/>
      <c r="Q280" s="977"/>
      <c r="R280" s="977"/>
      <c r="S280" s="977"/>
      <c r="T280" s="977"/>
      <c r="U280" s="977"/>
      <c r="V280" s="977"/>
      <c r="W280" s="977"/>
      <c r="X280" s="977"/>
      <c r="Y280" s="977"/>
      <c r="Z280" s="977"/>
      <c r="AA280" s="977"/>
      <c r="AB280" s="977"/>
      <c r="AC280" s="977"/>
      <c r="AD280" s="977"/>
      <c r="AE280" s="977"/>
      <c r="AF280" s="977"/>
      <c r="AG280" s="977"/>
      <c r="AH280" s="977"/>
      <c r="AI280" s="977"/>
      <c r="AJ280" s="977"/>
      <c r="AK280" s="977"/>
      <c r="AL280" s="977"/>
      <c r="AM280" s="977"/>
      <c r="AN280" s="977"/>
      <c r="AO280" s="977"/>
      <c r="AP280" s="977"/>
      <c r="AQ280" s="977"/>
    </row>
    <row r="281" spans="1:43" ht="14.25" customHeight="1">
      <c r="A281" s="977"/>
      <c r="B281" s="977"/>
      <c r="C281" s="977"/>
      <c r="D281" s="977"/>
      <c r="E281" s="977"/>
      <c r="F281" s="977"/>
      <c r="G281" s="977"/>
      <c r="H281" s="977"/>
      <c r="I281" s="977"/>
      <c r="J281" s="977"/>
      <c r="K281" s="977"/>
      <c r="L281" s="977"/>
      <c r="M281" s="977"/>
      <c r="N281" s="977"/>
      <c r="O281" s="977"/>
      <c r="P281" s="977"/>
      <c r="Q281" s="977"/>
      <c r="R281" s="977"/>
      <c r="S281" s="977"/>
      <c r="T281" s="977"/>
      <c r="U281" s="977"/>
      <c r="V281" s="977"/>
      <c r="W281" s="977"/>
      <c r="X281" s="977"/>
      <c r="Y281" s="977"/>
      <c r="Z281" s="977"/>
      <c r="AA281" s="977"/>
      <c r="AB281" s="977"/>
      <c r="AC281" s="977"/>
      <c r="AD281" s="977"/>
      <c r="AE281" s="977"/>
      <c r="AF281" s="977"/>
      <c r="AG281" s="977"/>
      <c r="AH281" s="977"/>
      <c r="AI281" s="977"/>
      <c r="AJ281" s="977"/>
      <c r="AK281" s="977"/>
      <c r="AL281" s="977"/>
      <c r="AM281" s="977"/>
      <c r="AN281" s="977"/>
      <c r="AO281" s="977"/>
      <c r="AP281" s="977"/>
      <c r="AQ281" s="977"/>
    </row>
    <row r="282" spans="1:43" ht="14.25" customHeight="1">
      <c r="A282" s="977"/>
      <c r="B282" s="977"/>
      <c r="C282" s="977"/>
      <c r="D282" s="977"/>
      <c r="E282" s="977"/>
      <c r="F282" s="977"/>
      <c r="G282" s="977"/>
      <c r="H282" s="977"/>
      <c r="I282" s="977"/>
      <c r="J282" s="977"/>
      <c r="K282" s="977"/>
      <c r="L282" s="977"/>
      <c r="M282" s="977"/>
      <c r="N282" s="977"/>
      <c r="O282" s="977"/>
      <c r="P282" s="977"/>
      <c r="Q282" s="977"/>
      <c r="R282" s="977"/>
      <c r="S282" s="977"/>
      <c r="T282" s="977"/>
      <c r="U282" s="977"/>
      <c r="V282" s="977"/>
      <c r="W282" s="977"/>
      <c r="X282" s="977"/>
      <c r="Y282" s="977"/>
      <c r="Z282" s="977"/>
      <c r="AA282" s="977"/>
      <c r="AB282" s="977"/>
      <c r="AC282" s="977"/>
      <c r="AD282" s="977"/>
      <c r="AE282" s="977"/>
      <c r="AF282" s="977"/>
      <c r="AG282" s="977"/>
      <c r="AH282" s="977"/>
      <c r="AI282" s="977"/>
      <c r="AJ282" s="977"/>
      <c r="AK282" s="977"/>
      <c r="AL282" s="977"/>
      <c r="AM282" s="977"/>
      <c r="AN282" s="977"/>
      <c r="AO282" s="977"/>
      <c r="AP282" s="977"/>
      <c r="AQ282" s="977"/>
    </row>
    <row r="283" spans="1:43" ht="14.25" customHeight="1">
      <c r="A283" s="977"/>
      <c r="B283" s="977"/>
      <c r="C283" s="977"/>
      <c r="D283" s="977"/>
      <c r="E283" s="977"/>
      <c r="F283" s="977"/>
      <c r="G283" s="977"/>
      <c r="H283" s="977"/>
      <c r="I283" s="977"/>
      <c r="J283" s="977"/>
      <c r="K283" s="977"/>
      <c r="L283" s="977"/>
      <c r="M283" s="977"/>
      <c r="N283" s="977"/>
      <c r="O283" s="977"/>
      <c r="P283" s="977"/>
      <c r="Q283" s="977"/>
      <c r="R283" s="977"/>
      <c r="S283" s="977"/>
      <c r="T283" s="977"/>
      <c r="U283" s="977"/>
      <c r="V283" s="977"/>
      <c r="W283" s="977"/>
      <c r="X283" s="977"/>
      <c r="Y283" s="977"/>
      <c r="Z283" s="977"/>
      <c r="AA283" s="977"/>
      <c r="AB283" s="977"/>
      <c r="AC283" s="977"/>
      <c r="AD283" s="977"/>
      <c r="AE283" s="977"/>
      <c r="AF283" s="977"/>
      <c r="AG283" s="977"/>
      <c r="AH283" s="977"/>
      <c r="AI283" s="977"/>
      <c r="AJ283" s="977"/>
      <c r="AK283" s="977"/>
      <c r="AL283" s="977"/>
      <c r="AM283" s="977"/>
      <c r="AN283" s="977"/>
      <c r="AO283" s="977"/>
      <c r="AP283" s="977"/>
      <c r="AQ283" s="977"/>
    </row>
    <row r="284" spans="1:43" ht="14.25" customHeight="1">
      <c r="A284" s="977"/>
      <c r="B284" s="977"/>
      <c r="C284" s="977"/>
      <c r="D284" s="977"/>
      <c r="E284" s="977"/>
      <c r="F284" s="977"/>
      <c r="G284" s="977"/>
      <c r="H284" s="977"/>
      <c r="I284" s="977"/>
      <c r="J284" s="977"/>
      <c r="K284" s="977"/>
      <c r="L284" s="977"/>
      <c r="M284" s="977"/>
      <c r="N284" s="977"/>
      <c r="O284" s="977"/>
      <c r="P284" s="977"/>
      <c r="Q284" s="977"/>
      <c r="R284" s="977"/>
      <c r="S284" s="977"/>
      <c r="T284" s="977"/>
      <c r="U284" s="977"/>
      <c r="V284" s="977"/>
      <c r="W284" s="977"/>
      <c r="X284" s="977"/>
      <c r="Y284" s="977"/>
      <c r="Z284" s="977"/>
      <c r="AA284" s="977"/>
      <c r="AB284" s="977"/>
      <c r="AC284" s="977"/>
      <c r="AD284" s="977"/>
      <c r="AE284" s="977"/>
      <c r="AF284" s="977"/>
      <c r="AG284" s="977"/>
      <c r="AH284" s="977"/>
      <c r="AI284" s="977"/>
      <c r="AJ284" s="977"/>
      <c r="AK284" s="977"/>
      <c r="AL284" s="977"/>
      <c r="AM284" s="977"/>
      <c r="AN284" s="977"/>
      <c r="AO284" s="977"/>
      <c r="AP284" s="977"/>
      <c r="AQ284" s="977"/>
    </row>
    <row r="285" spans="1:43" ht="14.25" customHeight="1">
      <c r="A285" s="977"/>
      <c r="B285" s="977"/>
      <c r="C285" s="977"/>
      <c r="D285" s="977"/>
      <c r="E285" s="977"/>
      <c r="F285" s="977"/>
      <c r="G285" s="977"/>
      <c r="H285" s="977"/>
      <c r="I285" s="977"/>
      <c r="J285" s="977"/>
      <c r="K285" s="977"/>
      <c r="L285" s="977"/>
      <c r="M285" s="977"/>
      <c r="N285" s="977"/>
      <c r="O285" s="977"/>
      <c r="P285" s="977"/>
      <c r="Q285" s="977"/>
      <c r="R285" s="977"/>
      <c r="S285" s="977"/>
      <c r="T285" s="977"/>
      <c r="U285" s="977"/>
      <c r="V285" s="977"/>
      <c r="W285" s="977"/>
      <c r="X285" s="977"/>
      <c r="Y285" s="977"/>
      <c r="Z285" s="977"/>
      <c r="AA285" s="977"/>
      <c r="AB285" s="977"/>
      <c r="AC285" s="977"/>
      <c r="AD285" s="977"/>
      <c r="AE285" s="977"/>
      <c r="AF285" s="977"/>
      <c r="AG285" s="977"/>
      <c r="AH285" s="977"/>
      <c r="AI285" s="977"/>
      <c r="AJ285" s="977"/>
      <c r="AK285" s="977"/>
      <c r="AL285" s="977"/>
      <c r="AM285" s="977"/>
      <c r="AN285" s="977"/>
      <c r="AO285" s="977"/>
      <c r="AP285" s="977"/>
      <c r="AQ285" s="977"/>
    </row>
    <row r="286" spans="1:43" ht="14.25" customHeight="1">
      <c r="A286" s="977"/>
      <c r="B286" s="977"/>
      <c r="C286" s="977"/>
      <c r="D286" s="977"/>
      <c r="E286" s="977"/>
      <c r="F286" s="977"/>
      <c r="G286" s="977"/>
      <c r="H286" s="977"/>
      <c r="I286" s="977"/>
      <c r="J286" s="977"/>
      <c r="K286" s="977"/>
      <c r="L286" s="977"/>
      <c r="M286" s="977"/>
      <c r="N286" s="977"/>
      <c r="O286" s="977"/>
      <c r="P286" s="977"/>
      <c r="Q286" s="977"/>
      <c r="R286" s="977"/>
      <c r="S286" s="977"/>
      <c r="T286" s="977"/>
      <c r="U286" s="977"/>
      <c r="V286" s="977"/>
      <c r="W286" s="977"/>
      <c r="X286" s="977"/>
      <c r="Y286" s="977"/>
      <c r="Z286" s="977"/>
      <c r="AA286" s="977"/>
      <c r="AB286" s="977"/>
      <c r="AC286" s="977"/>
      <c r="AD286" s="977"/>
      <c r="AE286" s="977"/>
      <c r="AF286" s="977"/>
      <c r="AG286" s="977"/>
      <c r="AH286" s="977"/>
      <c r="AI286" s="977"/>
      <c r="AJ286" s="977"/>
      <c r="AK286" s="977"/>
      <c r="AL286" s="977"/>
      <c r="AM286" s="977"/>
      <c r="AN286" s="977"/>
      <c r="AO286" s="977"/>
      <c r="AP286" s="977"/>
      <c r="AQ286" s="977"/>
    </row>
    <row r="287" spans="1:43" ht="14.25" customHeight="1">
      <c r="A287" s="977"/>
      <c r="B287" s="977"/>
      <c r="C287" s="977"/>
      <c r="D287" s="977"/>
      <c r="E287" s="977"/>
      <c r="F287" s="977"/>
      <c r="G287" s="977"/>
      <c r="H287" s="977"/>
      <c r="I287" s="977"/>
      <c r="J287" s="977"/>
      <c r="K287" s="977"/>
      <c r="L287" s="977"/>
      <c r="M287" s="977"/>
      <c r="N287" s="977"/>
      <c r="O287" s="977"/>
      <c r="P287" s="977"/>
      <c r="Q287" s="977"/>
      <c r="R287" s="977"/>
      <c r="S287" s="977"/>
      <c r="T287" s="977"/>
      <c r="U287" s="977"/>
      <c r="V287" s="977"/>
      <c r="W287" s="977"/>
      <c r="X287" s="977"/>
      <c r="Y287" s="977"/>
      <c r="Z287" s="977"/>
      <c r="AA287" s="977"/>
      <c r="AB287" s="977"/>
      <c r="AC287" s="977"/>
      <c r="AD287" s="977"/>
      <c r="AE287" s="977"/>
      <c r="AF287" s="977"/>
      <c r="AG287" s="977"/>
      <c r="AH287" s="977"/>
      <c r="AI287" s="977"/>
      <c r="AJ287" s="977"/>
      <c r="AK287" s="977"/>
      <c r="AL287" s="977"/>
      <c r="AM287" s="977"/>
      <c r="AN287" s="977"/>
      <c r="AO287" s="977"/>
      <c r="AP287" s="977"/>
      <c r="AQ287" s="977"/>
    </row>
    <row r="288" spans="1:43" ht="14.25" customHeight="1">
      <c r="A288" s="977"/>
      <c r="B288" s="977"/>
      <c r="C288" s="977"/>
      <c r="D288" s="977"/>
      <c r="E288" s="977"/>
      <c r="F288" s="977"/>
      <c r="G288" s="977"/>
      <c r="H288" s="977"/>
      <c r="I288" s="977"/>
      <c r="J288" s="977"/>
      <c r="K288" s="977"/>
      <c r="L288" s="977"/>
      <c r="M288" s="977"/>
      <c r="N288" s="977"/>
      <c r="O288" s="977"/>
      <c r="P288" s="977"/>
      <c r="Q288" s="977"/>
      <c r="R288" s="977"/>
      <c r="S288" s="977"/>
      <c r="T288" s="977"/>
      <c r="U288" s="977"/>
      <c r="V288" s="977"/>
      <c r="W288" s="977"/>
      <c r="X288" s="977"/>
      <c r="Y288" s="977"/>
      <c r="Z288" s="977"/>
      <c r="AA288" s="977"/>
      <c r="AB288" s="977"/>
      <c r="AC288" s="977"/>
      <c r="AD288" s="977"/>
      <c r="AE288" s="977"/>
      <c r="AF288" s="977"/>
      <c r="AG288" s="977"/>
      <c r="AH288" s="977"/>
      <c r="AI288" s="977"/>
      <c r="AJ288" s="977"/>
      <c r="AK288" s="977"/>
      <c r="AL288" s="977"/>
      <c r="AM288" s="977"/>
      <c r="AN288" s="977"/>
      <c r="AO288" s="977"/>
      <c r="AP288" s="977"/>
      <c r="AQ288" s="977"/>
    </row>
    <row r="289" spans="1:43" ht="14.25" customHeight="1">
      <c r="A289" s="977"/>
      <c r="B289" s="977"/>
      <c r="C289" s="977"/>
      <c r="D289" s="977"/>
      <c r="E289" s="977"/>
      <c r="F289" s="977"/>
      <c r="G289" s="977"/>
      <c r="H289" s="977"/>
      <c r="I289" s="977"/>
      <c r="J289" s="977"/>
      <c r="K289" s="977"/>
      <c r="L289" s="977"/>
      <c r="M289" s="977"/>
      <c r="N289" s="977"/>
      <c r="O289" s="977"/>
      <c r="P289" s="977"/>
      <c r="Q289" s="977"/>
      <c r="R289" s="977"/>
      <c r="S289" s="977"/>
      <c r="T289" s="977"/>
      <c r="U289" s="977"/>
      <c r="V289" s="977"/>
      <c r="W289" s="977"/>
      <c r="X289" s="977"/>
      <c r="Y289" s="977"/>
      <c r="Z289" s="977"/>
      <c r="AA289" s="977"/>
      <c r="AB289" s="977"/>
      <c r="AC289" s="977"/>
      <c r="AD289" s="977"/>
      <c r="AE289" s="977"/>
      <c r="AF289" s="977"/>
      <c r="AG289" s="977"/>
      <c r="AH289" s="977"/>
      <c r="AI289" s="977"/>
      <c r="AJ289" s="977"/>
      <c r="AK289" s="977"/>
      <c r="AL289" s="977"/>
      <c r="AM289" s="977"/>
      <c r="AN289" s="977"/>
      <c r="AO289" s="977"/>
      <c r="AP289" s="977"/>
      <c r="AQ289" s="977"/>
    </row>
    <row r="290" spans="1:43" ht="14.25" customHeight="1">
      <c r="A290" s="977"/>
      <c r="B290" s="977"/>
      <c r="C290" s="977"/>
      <c r="D290" s="977"/>
      <c r="E290" s="977"/>
      <c r="F290" s="977"/>
      <c r="G290" s="977"/>
      <c r="H290" s="977"/>
      <c r="I290" s="977"/>
      <c r="J290" s="977"/>
      <c r="K290" s="977"/>
      <c r="L290" s="977"/>
      <c r="M290" s="977"/>
      <c r="N290" s="977"/>
      <c r="O290" s="977"/>
      <c r="P290" s="977"/>
      <c r="Q290" s="977"/>
      <c r="R290" s="977"/>
      <c r="S290" s="977"/>
      <c r="T290" s="977"/>
      <c r="U290" s="977"/>
      <c r="V290" s="977"/>
      <c r="W290" s="977"/>
      <c r="X290" s="977"/>
      <c r="Y290" s="977"/>
      <c r="Z290" s="977"/>
      <c r="AA290" s="977"/>
      <c r="AB290" s="977"/>
      <c r="AC290" s="977"/>
      <c r="AD290" s="977"/>
      <c r="AE290" s="977"/>
      <c r="AF290" s="977"/>
      <c r="AG290" s="977"/>
      <c r="AH290" s="977"/>
      <c r="AI290" s="977"/>
      <c r="AJ290" s="977"/>
      <c r="AK290" s="977"/>
      <c r="AL290" s="977"/>
      <c r="AM290" s="977"/>
      <c r="AN290" s="977"/>
      <c r="AO290" s="977"/>
      <c r="AP290" s="977"/>
      <c r="AQ290" s="977"/>
    </row>
    <row r="291" spans="1:43" ht="14.25" customHeight="1">
      <c r="A291" s="977"/>
      <c r="B291" s="977"/>
      <c r="C291" s="977"/>
      <c r="D291" s="977"/>
      <c r="E291" s="977"/>
      <c r="F291" s="977"/>
      <c r="G291" s="977"/>
      <c r="H291" s="977"/>
      <c r="I291" s="977"/>
      <c r="J291" s="977"/>
      <c r="K291" s="977"/>
      <c r="L291" s="977"/>
      <c r="M291" s="977"/>
      <c r="N291" s="977"/>
      <c r="O291" s="977"/>
      <c r="P291" s="977"/>
      <c r="Q291" s="977"/>
      <c r="R291" s="977"/>
      <c r="S291" s="977"/>
      <c r="T291" s="977"/>
      <c r="U291" s="977"/>
      <c r="V291" s="977"/>
      <c r="W291" s="977"/>
      <c r="X291" s="977"/>
      <c r="Y291" s="977"/>
      <c r="Z291" s="977"/>
      <c r="AA291" s="977"/>
      <c r="AB291" s="977"/>
      <c r="AC291" s="977"/>
      <c r="AD291" s="977"/>
      <c r="AE291" s="977"/>
      <c r="AF291" s="977"/>
      <c r="AG291" s="977"/>
      <c r="AH291" s="977"/>
      <c r="AI291" s="977"/>
      <c r="AJ291" s="977"/>
      <c r="AK291" s="977"/>
      <c r="AL291" s="977"/>
      <c r="AM291" s="977"/>
      <c r="AN291" s="977"/>
      <c r="AO291" s="977"/>
      <c r="AP291" s="977"/>
      <c r="AQ291" s="977"/>
    </row>
    <row r="292" spans="1:43" ht="14.25" customHeight="1">
      <c r="A292" s="977"/>
      <c r="B292" s="977"/>
      <c r="C292" s="977"/>
      <c r="D292" s="977"/>
      <c r="E292" s="977"/>
      <c r="F292" s="977"/>
      <c r="G292" s="977"/>
      <c r="H292" s="977"/>
      <c r="I292" s="977"/>
      <c r="J292" s="977"/>
      <c r="K292" s="977"/>
      <c r="L292" s="977"/>
      <c r="M292" s="977"/>
      <c r="N292" s="977"/>
      <c r="O292" s="977"/>
      <c r="P292" s="977"/>
      <c r="Q292" s="977"/>
      <c r="R292" s="977"/>
      <c r="S292" s="977"/>
      <c r="T292" s="977"/>
      <c r="U292" s="977"/>
      <c r="V292" s="977"/>
      <c r="W292" s="977"/>
      <c r="X292" s="977"/>
      <c r="Y292" s="977"/>
      <c r="Z292" s="977"/>
      <c r="AA292" s="977"/>
      <c r="AB292" s="977"/>
      <c r="AC292" s="977"/>
      <c r="AD292" s="977"/>
      <c r="AE292" s="977"/>
      <c r="AF292" s="977"/>
      <c r="AG292" s="977"/>
      <c r="AH292" s="977"/>
      <c r="AI292" s="977"/>
      <c r="AJ292" s="977"/>
      <c r="AK292" s="977"/>
      <c r="AL292" s="977"/>
      <c r="AM292" s="977"/>
      <c r="AN292" s="977"/>
      <c r="AO292" s="977"/>
      <c r="AP292" s="977"/>
      <c r="AQ292" s="977"/>
    </row>
    <row r="293" spans="1:43" ht="14.25" customHeight="1">
      <c r="A293" s="977"/>
      <c r="B293" s="977"/>
      <c r="C293" s="977"/>
      <c r="D293" s="977"/>
      <c r="E293" s="977"/>
      <c r="F293" s="977"/>
      <c r="G293" s="977"/>
      <c r="H293" s="977"/>
      <c r="I293" s="977"/>
      <c r="J293" s="977"/>
      <c r="K293" s="977"/>
      <c r="L293" s="977"/>
      <c r="M293" s="977"/>
      <c r="N293" s="977"/>
      <c r="O293" s="977"/>
      <c r="P293" s="977"/>
      <c r="Q293" s="977"/>
      <c r="R293" s="977"/>
      <c r="S293" s="977"/>
      <c r="T293" s="977"/>
      <c r="U293" s="977"/>
      <c r="V293" s="977"/>
      <c r="W293" s="977"/>
      <c r="X293" s="977"/>
      <c r="Y293" s="977"/>
      <c r="Z293" s="977"/>
      <c r="AA293" s="977"/>
      <c r="AB293" s="977"/>
      <c r="AC293" s="977"/>
      <c r="AD293" s="977"/>
      <c r="AE293" s="977"/>
      <c r="AF293" s="977"/>
      <c r="AG293" s="977"/>
      <c r="AH293" s="977"/>
      <c r="AI293" s="977"/>
      <c r="AJ293" s="977"/>
      <c r="AK293" s="977"/>
      <c r="AL293" s="977"/>
      <c r="AM293" s="977"/>
      <c r="AN293" s="977"/>
      <c r="AO293" s="977"/>
      <c r="AP293" s="977"/>
      <c r="AQ293" s="977"/>
    </row>
    <row r="294" spans="1:43" ht="14.25" customHeight="1">
      <c r="A294" s="977"/>
      <c r="B294" s="977"/>
      <c r="C294" s="977"/>
      <c r="D294" s="977"/>
      <c r="E294" s="977"/>
      <c r="F294" s="977"/>
      <c r="G294" s="977"/>
      <c r="H294" s="977"/>
      <c r="I294" s="977"/>
      <c r="J294" s="977"/>
      <c r="K294" s="977"/>
      <c r="L294" s="977"/>
      <c r="M294" s="977"/>
      <c r="N294" s="977"/>
      <c r="O294" s="977"/>
      <c r="P294" s="977"/>
      <c r="Q294" s="977"/>
      <c r="R294" s="977"/>
      <c r="S294" s="977"/>
      <c r="T294" s="977"/>
      <c r="U294" s="977"/>
      <c r="V294" s="977"/>
      <c r="W294" s="977"/>
      <c r="X294" s="977"/>
      <c r="Y294" s="977"/>
      <c r="Z294" s="977"/>
      <c r="AA294" s="977"/>
      <c r="AB294" s="977"/>
      <c r="AC294" s="977"/>
      <c r="AD294" s="977"/>
      <c r="AE294" s="977"/>
      <c r="AF294" s="977"/>
      <c r="AG294" s="977"/>
      <c r="AH294" s="977"/>
      <c r="AI294" s="977"/>
      <c r="AJ294" s="977"/>
      <c r="AK294" s="977"/>
      <c r="AL294" s="977"/>
      <c r="AM294" s="977"/>
      <c r="AN294" s="977"/>
      <c r="AO294" s="977"/>
      <c r="AP294" s="977"/>
      <c r="AQ294" s="977"/>
    </row>
    <row r="295" spans="1:43" ht="14.25" customHeight="1">
      <c r="A295" s="977"/>
      <c r="B295" s="977"/>
      <c r="C295" s="977"/>
      <c r="D295" s="977"/>
      <c r="E295" s="977"/>
      <c r="F295" s="977"/>
      <c r="G295" s="977"/>
      <c r="H295" s="977"/>
      <c r="I295" s="977"/>
      <c r="J295" s="977"/>
      <c r="K295" s="977"/>
      <c r="L295" s="977"/>
      <c r="M295" s="977"/>
      <c r="N295" s="977"/>
      <c r="O295" s="977"/>
      <c r="P295" s="977"/>
      <c r="Q295" s="977"/>
      <c r="R295" s="977"/>
      <c r="S295" s="977"/>
      <c r="T295" s="977"/>
      <c r="U295" s="977"/>
      <c r="V295" s="977"/>
      <c r="W295" s="977"/>
      <c r="X295" s="977"/>
      <c r="Y295" s="977"/>
      <c r="Z295" s="977"/>
      <c r="AA295" s="977"/>
      <c r="AB295" s="977"/>
      <c r="AC295" s="977"/>
      <c r="AD295" s="977"/>
      <c r="AE295" s="977"/>
      <c r="AF295" s="977"/>
      <c r="AG295" s="977"/>
      <c r="AH295" s="977"/>
      <c r="AI295" s="977"/>
      <c r="AJ295" s="977"/>
      <c r="AK295" s="977"/>
      <c r="AL295" s="977"/>
      <c r="AM295" s="977"/>
      <c r="AN295" s="977"/>
      <c r="AO295" s="977"/>
      <c r="AP295" s="977"/>
      <c r="AQ295" s="977"/>
    </row>
    <row r="296" spans="1:43" ht="14.25" customHeight="1">
      <c r="A296" s="977"/>
      <c r="B296" s="977"/>
      <c r="C296" s="977"/>
      <c r="D296" s="977"/>
      <c r="E296" s="977"/>
      <c r="F296" s="977"/>
      <c r="G296" s="977"/>
      <c r="H296" s="977"/>
      <c r="I296" s="977"/>
      <c r="J296" s="977"/>
      <c r="K296" s="977"/>
      <c r="L296" s="977"/>
      <c r="M296" s="977"/>
      <c r="N296" s="977"/>
      <c r="O296" s="977"/>
      <c r="P296" s="977"/>
      <c r="Q296" s="977"/>
      <c r="R296" s="977"/>
      <c r="S296" s="977"/>
      <c r="T296" s="977"/>
      <c r="U296" s="977"/>
      <c r="V296" s="977"/>
      <c r="W296" s="977"/>
      <c r="X296" s="977"/>
      <c r="Y296" s="977"/>
      <c r="Z296" s="977"/>
      <c r="AA296" s="977"/>
      <c r="AB296" s="977"/>
      <c r="AC296" s="977"/>
      <c r="AD296" s="977"/>
      <c r="AE296" s="977"/>
      <c r="AF296" s="977"/>
      <c r="AG296" s="977"/>
      <c r="AH296" s="977"/>
      <c r="AI296" s="977"/>
      <c r="AJ296" s="977"/>
      <c r="AK296" s="977"/>
      <c r="AL296" s="977"/>
      <c r="AM296" s="977"/>
      <c r="AN296" s="977"/>
      <c r="AO296" s="977"/>
      <c r="AP296" s="977"/>
      <c r="AQ296" s="977"/>
    </row>
    <row r="297" spans="1:43" ht="14.25" customHeight="1">
      <c r="A297" s="977"/>
      <c r="B297" s="977"/>
      <c r="C297" s="977"/>
      <c r="D297" s="977"/>
      <c r="E297" s="977"/>
      <c r="F297" s="977"/>
      <c r="G297" s="977"/>
      <c r="H297" s="977"/>
      <c r="I297" s="977"/>
      <c r="J297" s="977"/>
      <c r="K297" s="977"/>
      <c r="L297" s="977"/>
      <c r="M297" s="977"/>
      <c r="N297" s="977"/>
      <c r="O297" s="977"/>
      <c r="P297" s="977"/>
      <c r="Q297" s="977"/>
      <c r="R297" s="977"/>
      <c r="S297" s="977"/>
      <c r="T297" s="977"/>
      <c r="U297" s="977"/>
      <c r="V297" s="977"/>
      <c r="W297" s="977"/>
      <c r="X297" s="977"/>
      <c r="Y297" s="977"/>
      <c r="Z297" s="977"/>
      <c r="AA297" s="977"/>
      <c r="AB297" s="977"/>
      <c r="AC297" s="977"/>
      <c r="AD297" s="977"/>
      <c r="AE297" s="977"/>
      <c r="AF297" s="977"/>
      <c r="AG297" s="977"/>
      <c r="AH297" s="977"/>
      <c r="AI297" s="977"/>
      <c r="AJ297" s="977"/>
      <c r="AK297" s="977"/>
      <c r="AL297" s="977"/>
      <c r="AM297" s="977"/>
      <c r="AN297" s="977"/>
      <c r="AO297" s="977"/>
      <c r="AP297" s="977"/>
      <c r="AQ297" s="977"/>
    </row>
    <row r="298" spans="1:43" ht="14.25" customHeight="1">
      <c r="A298" s="977"/>
      <c r="B298" s="977"/>
      <c r="C298" s="977"/>
      <c r="D298" s="977"/>
      <c r="E298" s="977"/>
      <c r="F298" s="977"/>
      <c r="G298" s="977"/>
      <c r="H298" s="977"/>
      <c r="I298" s="977"/>
      <c r="J298" s="977"/>
      <c r="K298" s="977"/>
      <c r="L298" s="977"/>
      <c r="M298" s="977"/>
      <c r="N298" s="977"/>
      <c r="O298" s="977"/>
      <c r="P298" s="977"/>
      <c r="Q298" s="977"/>
      <c r="R298" s="977"/>
      <c r="S298" s="977"/>
      <c r="T298" s="977"/>
      <c r="U298" s="977"/>
      <c r="V298" s="977"/>
      <c r="W298" s="977"/>
      <c r="X298" s="977"/>
      <c r="Y298" s="977"/>
      <c r="Z298" s="977"/>
      <c r="AA298" s="977"/>
      <c r="AB298" s="977"/>
      <c r="AC298" s="977"/>
      <c r="AD298" s="977"/>
      <c r="AE298" s="977"/>
      <c r="AF298" s="977"/>
      <c r="AG298" s="977"/>
      <c r="AH298" s="977"/>
      <c r="AI298" s="977"/>
      <c r="AJ298" s="977"/>
      <c r="AK298" s="977"/>
      <c r="AL298" s="977"/>
      <c r="AM298" s="977"/>
      <c r="AN298" s="977"/>
      <c r="AO298" s="977"/>
      <c r="AP298" s="977"/>
      <c r="AQ298" s="977"/>
    </row>
    <row r="299" spans="1:43" ht="14.25" customHeight="1">
      <c r="A299" s="977"/>
      <c r="B299" s="977"/>
      <c r="C299" s="977"/>
      <c r="D299" s="977"/>
      <c r="E299" s="977"/>
      <c r="F299" s="977"/>
      <c r="G299" s="977"/>
      <c r="H299" s="977"/>
      <c r="I299" s="977"/>
      <c r="J299" s="977"/>
      <c r="K299" s="977"/>
      <c r="L299" s="977"/>
      <c r="M299" s="977"/>
      <c r="N299" s="977"/>
      <c r="O299" s="977"/>
      <c r="P299" s="977"/>
      <c r="Q299" s="977"/>
      <c r="R299" s="977"/>
      <c r="S299" s="977"/>
      <c r="T299" s="977"/>
      <c r="U299" s="977"/>
      <c r="V299" s="977"/>
      <c r="W299" s="977"/>
      <c r="X299" s="977"/>
      <c r="Y299" s="977"/>
      <c r="Z299" s="977"/>
      <c r="AA299" s="977"/>
      <c r="AB299" s="977"/>
      <c r="AC299" s="977"/>
      <c r="AD299" s="977"/>
      <c r="AE299" s="977"/>
      <c r="AF299" s="977"/>
      <c r="AG299" s="977"/>
      <c r="AH299" s="977"/>
      <c r="AI299" s="977"/>
      <c r="AJ299" s="977"/>
      <c r="AK299" s="977"/>
      <c r="AL299" s="977"/>
      <c r="AM299" s="977"/>
      <c r="AN299" s="977"/>
      <c r="AO299" s="977"/>
      <c r="AP299" s="977"/>
      <c r="AQ299" s="977"/>
    </row>
    <row r="300" spans="1:43" ht="14.25" customHeight="1">
      <c r="A300" s="977"/>
      <c r="B300" s="977"/>
      <c r="C300" s="977"/>
      <c r="D300" s="977"/>
      <c r="E300" s="977"/>
      <c r="F300" s="977"/>
      <c r="G300" s="977"/>
      <c r="H300" s="977"/>
      <c r="I300" s="977"/>
      <c r="J300" s="977"/>
      <c r="K300" s="977"/>
      <c r="L300" s="977"/>
      <c r="M300" s="977"/>
      <c r="N300" s="977"/>
      <c r="O300" s="977"/>
      <c r="P300" s="977"/>
      <c r="Q300" s="977"/>
      <c r="R300" s="977"/>
      <c r="S300" s="977"/>
      <c r="T300" s="977"/>
      <c r="U300" s="977"/>
      <c r="V300" s="977"/>
      <c r="W300" s="977"/>
      <c r="X300" s="977"/>
      <c r="Y300" s="977"/>
      <c r="Z300" s="977"/>
      <c r="AA300" s="977"/>
      <c r="AB300" s="977"/>
      <c r="AC300" s="977"/>
      <c r="AD300" s="977"/>
      <c r="AE300" s="977"/>
      <c r="AF300" s="977"/>
      <c r="AG300" s="977"/>
      <c r="AH300" s="977"/>
      <c r="AI300" s="977"/>
      <c r="AJ300" s="977"/>
      <c r="AK300" s="977"/>
      <c r="AL300" s="977"/>
      <c r="AM300" s="977"/>
      <c r="AN300" s="977"/>
      <c r="AO300" s="977"/>
      <c r="AP300" s="977"/>
      <c r="AQ300" s="977"/>
    </row>
    <row r="301" spans="1:43" ht="14.25" customHeight="1">
      <c r="A301" s="977"/>
      <c r="B301" s="977"/>
      <c r="C301" s="977"/>
      <c r="D301" s="977"/>
      <c r="E301" s="977"/>
      <c r="F301" s="977"/>
      <c r="G301" s="977"/>
      <c r="H301" s="977"/>
      <c r="I301" s="977"/>
      <c r="J301" s="977"/>
      <c r="K301" s="977"/>
      <c r="L301" s="977"/>
      <c r="M301" s="977"/>
      <c r="N301" s="977"/>
      <c r="O301" s="977"/>
      <c r="P301" s="977"/>
      <c r="Q301" s="977"/>
      <c r="R301" s="977"/>
      <c r="S301" s="977"/>
      <c r="T301" s="977"/>
      <c r="U301" s="977"/>
      <c r="V301" s="977"/>
      <c r="W301" s="977"/>
      <c r="X301" s="977"/>
      <c r="Y301" s="977"/>
      <c r="Z301" s="977"/>
      <c r="AA301" s="977"/>
      <c r="AB301" s="977"/>
      <c r="AC301" s="977"/>
      <c r="AD301" s="977"/>
      <c r="AE301" s="977"/>
      <c r="AF301" s="977"/>
      <c r="AG301" s="977"/>
      <c r="AH301" s="977"/>
      <c r="AI301" s="977"/>
      <c r="AJ301" s="977"/>
      <c r="AK301" s="977"/>
      <c r="AL301" s="977"/>
      <c r="AM301" s="977"/>
      <c r="AN301" s="977"/>
      <c r="AO301" s="977"/>
      <c r="AP301" s="977"/>
      <c r="AQ301" s="977"/>
    </row>
    <row r="302" spans="1:43" ht="14.25" customHeight="1">
      <c r="A302" s="977"/>
      <c r="B302" s="977"/>
      <c r="C302" s="977"/>
      <c r="D302" s="977"/>
      <c r="E302" s="977"/>
      <c r="F302" s="977"/>
      <c r="G302" s="977"/>
      <c r="H302" s="977"/>
      <c r="I302" s="977"/>
      <c r="J302" s="977"/>
      <c r="K302" s="977"/>
      <c r="L302" s="977"/>
      <c r="M302" s="977"/>
      <c r="N302" s="977"/>
      <c r="O302" s="977"/>
      <c r="P302" s="977"/>
      <c r="Q302" s="977"/>
      <c r="R302" s="977"/>
      <c r="S302" s="977"/>
      <c r="T302" s="977"/>
      <c r="U302" s="977"/>
      <c r="V302" s="977"/>
      <c r="W302" s="977"/>
      <c r="X302" s="977"/>
      <c r="Y302" s="977"/>
      <c r="Z302" s="977"/>
      <c r="AA302" s="977"/>
      <c r="AB302" s="977"/>
      <c r="AC302" s="977"/>
      <c r="AD302" s="977"/>
      <c r="AE302" s="977"/>
      <c r="AF302" s="977"/>
      <c r="AG302" s="977"/>
      <c r="AH302" s="977"/>
      <c r="AI302" s="977"/>
      <c r="AJ302" s="977"/>
      <c r="AK302" s="977"/>
      <c r="AL302" s="977"/>
      <c r="AM302" s="977"/>
      <c r="AN302" s="977"/>
      <c r="AO302" s="977"/>
      <c r="AP302" s="977"/>
      <c r="AQ302" s="977"/>
    </row>
    <row r="303" spans="1:43" ht="14.25" customHeight="1">
      <c r="A303" s="977"/>
      <c r="B303" s="977"/>
      <c r="C303" s="977"/>
      <c r="D303" s="977"/>
      <c r="E303" s="977"/>
      <c r="F303" s="977"/>
      <c r="G303" s="977"/>
      <c r="H303" s="977"/>
      <c r="I303" s="977"/>
      <c r="J303" s="977"/>
      <c r="K303" s="977"/>
      <c r="L303" s="977"/>
      <c r="M303" s="977"/>
      <c r="N303" s="977"/>
      <c r="O303" s="977"/>
      <c r="P303" s="977"/>
      <c r="Q303" s="977"/>
      <c r="R303" s="977"/>
      <c r="S303" s="977"/>
      <c r="T303" s="977"/>
      <c r="U303" s="977"/>
      <c r="V303" s="977"/>
      <c r="W303" s="977"/>
      <c r="X303" s="977"/>
      <c r="Y303" s="977"/>
      <c r="Z303" s="977"/>
      <c r="AA303" s="977"/>
      <c r="AB303" s="977"/>
      <c r="AC303" s="977"/>
      <c r="AD303" s="977"/>
      <c r="AE303" s="977"/>
      <c r="AF303" s="977"/>
      <c r="AG303" s="977"/>
      <c r="AH303" s="977"/>
      <c r="AI303" s="977"/>
      <c r="AJ303" s="977"/>
      <c r="AK303" s="977"/>
      <c r="AL303" s="977"/>
      <c r="AM303" s="977"/>
      <c r="AN303" s="977"/>
      <c r="AO303" s="977"/>
      <c r="AP303" s="977"/>
      <c r="AQ303" s="977"/>
    </row>
    <row r="304" spans="1:43" ht="14.25" customHeight="1">
      <c r="A304" s="977"/>
      <c r="B304" s="977"/>
      <c r="C304" s="977"/>
      <c r="D304" s="977"/>
      <c r="E304" s="977"/>
      <c r="F304" s="977"/>
      <c r="G304" s="977"/>
      <c r="H304" s="977"/>
      <c r="I304" s="977"/>
      <c r="J304" s="977"/>
      <c r="K304" s="977"/>
      <c r="L304" s="977"/>
      <c r="M304" s="977"/>
      <c r="N304" s="977"/>
      <c r="O304" s="977"/>
      <c r="P304" s="977"/>
      <c r="Q304" s="977"/>
      <c r="R304" s="977"/>
      <c r="S304" s="977"/>
      <c r="T304" s="977"/>
      <c r="U304" s="977"/>
      <c r="V304" s="977"/>
      <c r="W304" s="977"/>
      <c r="X304" s="977"/>
      <c r="Y304" s="977"/>
      <c r="Z304" s="977"/>
      <c r="AA304" s="977"/>
      <c r="AB304" s="977"/>
      <c r="AC304" s="977"/>
      <c r="AD304" s="977"/>
      <c r="AE304" s="977"/>
      <c r="AF304" s="977"/>
      <c r="AG304" s="977"/>
      <c r="AH304" s="977"/>
      <c r="AI304" s="977"/>
      <c r="AJ304" s="977"/>
      <c r="AK304" s="977"/>
      <c r="AL304" s="977"/>
      <c r="AM304" s="977"/>
      <c r="AN304" s="977"/>
      <c r="AO304" s="977"/>
      <c r="AP304" s="977"/>
      <c r="AQ304" s="977"/>
    </row>
    <row r="305" spans="1:43" ht="14.25" customHeight="1">
      <c r="A305" s="977"/>
      <c r="B305" s="977"/>
      <c r="C305" s="977"/>
      <c r="D305" s="977"/>
      <c r="E305" s="977"/>
      <c r="F305" s="977"/>
      <c r="G305" s="977"/>
      <c r="H305" s="977"/>
      <c r="I305" s="977"/>
      <c r="J305" s="977"/>
      <c r="K305" s="977"/>
      <c r="L305" s="977"/>
      <c r="M305" s="977"/>
      <c r="N305" s="977"/>
      <c r="O305" s="977"/>
      <c r="P305" s="977"/>
      <c r="Q305" s="977"/>
      <c r="R305" s="977"/>
      <c r="S305" s="977"/>
      <c r="T305" s="977"/>
      <c r="U305" s="977"/>
      <c r="V305" s="977"/>
      <c r="W305" s="977"/>
      <c r="X305" s="977"/>
      <c r="Y305" s="977"/>
      <c r="Z305" s="977"/>
      <c r="AA305" s="977"/>
      <c r="AB305" s="977"/>
      <c r="AC305" s="977"/>
      <c r="AD305" s="977"/>
      <c r="AE305" s="977"/>
      <c r="AF305" s="977"/>
      <c r="AG305" s="977"/>
      <c r="AH305" s="977"/>
      <c r="AI305" s="977"/>
      <c r="AJ305" s="977"/>
      <c r="AK305" s="977"/>
      <c r="AL305" s="977"/>
      <c r="AM305" s="977"/>
      <c r="AN305" s="977"/>
      <c r="AO305" s="977"/>
      <c r="AP305" s="977"/>
      <c r="AQ305" s="977"/>
    </row>
    <row r="306" spans="1:43" ht="14.25" customHeight="1">
      <c r="A306" s="977"/>
      <c r="B306" s="977"/>
      <c r="C306" s="977"/>
      <c r="D306" s="977"/>
      <c r="E306" s="977"/>
      <c r="F306" s="977"/>
      <c r="G306" s="977"/>
      <c r="H306" s="977"/>
      <c r="I306" s="977"/>
      <c r="J306" s="977"/>
      <c r="K306" s="977"/>
      <c r="L306" s="977"/>
      <c r="M306" s="977"/>
      <c r="N306" s="977"/>
      <c r="O306" s="977"/>
      <c r="P306" s="977"/>
      <c r="Q306" s="977"/>
      <c r="R306" s="977"/>
      <c r="S306" s="977"/>
      <c r="T306" s="977"/>
      <c r="U306" s="977"/>
      <c r="V306" s="977"/>
      <c r="W306" s="977"/>
      <c r="X306" s="977"/>
      <c r="Y306" s="977"/>
      <c r="Z306" s="977"/>
      <c r="AA306" s="977"/>
      <c r="AB306" s="977"/>
      <c r="AC306" s="977"/>
      <c r="AD306" s="977"/>
      <c r="AE306" s="977"/>
      <c r="AF306" s="977"/>
      <c r="AG306" s="977"/>
      <c r="AH306" s="977"/>
      <c r="AI306" s="977"/>
      <c r="AJ306" s="977"/>
      <c r="AK306" s="977"/>
      <c r="AL306" s="977"/>
      <c r="AM306" s="977"/>
      <c r="AN306" s="977"/>
      <c r="AO306" s="977"/>
      <c r="AP306" s="977"/>
      <c r="AQ306" s="977"/>
    </row>
    <row r="307" spans="1:43" ht="14.25" customHeight="1">
      <c r="A307" s="977"/>
      <c r="B307" s="977"/>
      <c r="C307" s="977"/>
      <c r="D307" s="977"/>
      <c r="E307" s="977"/>
      <c r="F307" s="977"/>
      <c r="G307" s="977"/>
      <c r="H307" s="977"/>
      <c r="I307" s="977"/>
      <c r="J307" s="977"/>
      <c r="K307" s="977"/>
      <c r="L307" s="977"/>
      <c r="M307" s="977"/>
      <c r="N307" s="977"/>
      <c r="O307" s="977"/>
      <c r="P307" s="977"/>
      <c r="Q307" s="977"/>
      <c r="R307" s="977"/>
      <c r="S307" s="977"/>
      <c r="T307" s="977"/>
      <c r="U307" s="977"/>
      <c r="V307" s="977"/>
      <c r="W307" s="977"/>
      <c r="X307" s="977"/>
      <c r="Y307" s="977"/>
      <c r="Z307" s="977"/>
      <c r="AA307" s="977"/>
      <c r="AB307" s="977"/>
      <c r="AC307" s="977"/>
      <c r="AD307" s="977"/>
      <c r="AE307" s="977"/>
      <c r="AF307" s="977"/>
      <c r="AG307" s="977"/>
      <c r="AH307" s="977"/>
      <c r="AI307" s="977"/>
      <c r="AJ307" s="977"/>
      <c r="AK307" s="977"/>
      <c r="AL307" s="977"/>
      <c r="AM307" s="977"/>
      <c r="AN307" s="977"/>
      <c r="AO307" s="977"/>
      <c r="AP307" s="977"/>
      <c r="AQ307" s="977"/>
    </row>
    <row r="308" spans="1:43" ht="14.25" customHeight="1">
      <c r="A308" s="977"/>
      <c r="B308" s="977"/>
      <c r="C308" s="977"/>
      <c r="D308" s="977"/>
      <c r="E308" s="977"/>
      <c r="F308" s="977"/>
      <c r="G308" s="977"/>
      <c r="H308" s="977"/>
      <c r="I308" s="977"/>
      <c r="J308" s="977"/>
      <c r="K308" s="977"/>
      <c r="L308" s="977"/>
      <c r="M308" s="977"/>
      <c r="N308" s="977"/>
      <c r="O308" s="977"/>
      <c r="P308" s="977"/>
      <c r="Q308" s="977"/>
      <c r="R308" s="977"/>
      <c r="S308" s="977"/>
      <c r="T308" s="977"/>
      <c r="U308" s="977"/>
      <c r="V308" s="977"/>
      <c r="W308" s="977"/>
      <c r="X308" s="977"/>
      <c r="Y308" s="977"/>
      <c r="Z308" s="977"/>
      <c r="AA308" s="977"/>
      <c r="AB308" s="977"/>
      <c r="AC308" s="977"/>
      <c r="AD308" s="977"/>
      <c r="AE308" s="977"/>
      <c r="AF308" s="977"/>
      <c r="AG308" s="977"/>
      <c r="AH308" s="977"/>
      <c r="AI308" s="977"/>
      <c r="AJ308" s="977"/>
      <c r="AK308" s="977"/>
      <c r="AL308" s="977"/>
      <c r="AM308" s="977"/>
      <c r="AN308" s="977"/>
      <c r="AO308" s="977"/>
      <c r="AP308" s="977"/>
      <c r="AQ308" s="977"/>
    </row>
    <row r="309" spans="1:43" ht="14.25" customHeight="1">
      <c r="A309" s="977"/>
      <c r="B309" s="977"/>
      <c r="C309" s="977"/>
      <c r="D309" s="977"/>
      <c r="E309" s="977"/>
      <c r="F309" s="977"/>
      <c r="G309" s="977"/>
      <c r="H309" s="977"/>
      <c r="I309" s="977"/>
      <c r="J309" s="977"/>
      <c r="K309" s="977"/>
      <c r="L309" s="977"/>
      <c r="M309" s="977"/>
      <c r="N309" s="977"/>
      <c r="O309" s="977"/>
      <c r="P309" s="977"/>
      <c r="Q309" s="977"/>
      <c r="R309" s="977"/>
      <c r="S309" s="977"/>
      <c r="T309" s="977"/>
      <c r="U309" s="977"/>
      <c r="V309" s="977"/>
      <c r="W309" s="977"/>
      <c r="X309" s="977"/>
      <c r="Y309" s="977"/>
      <c r="Z309" s="977"/>
      <c r="AA309" s="977"/>
      <c r="AB309" s="977"/>
      <c r="AC309" s="977"/>
      <c r="AD309" s="977"/>
      <c r="AE309" s="977"/>
      <c r="AF309" s="977"/>
      <c r="AG309" s="977"/>
      <c r="AH309" s="977"/>
      <c r="AI309" s="977"/>
      <c r="AJ309" s="977"/>
      <c r="AK309" s="977"/>
      <c r="AL309" s="977"/>
      <c r="AM309" s="977"/>
      <c r="AN309" s="977"/>
      <c r="AO309" s="977"/>
      <c r="AP309" s="977"/>
      <c r="AQ309" s="977"/>
    </row>
    <row r="310" spans="1:43" ht="14.25" customHeight="1">
      <c r="A310" s="977"/>
      <c r="B310" s="977"/>
      <c r="C310" s="977"/>
      <c r="D310" s="977"/>
      <c r="E310" s="977"/>
      <c r="F310" s="977"/>
      <c r="G310" s="977"/>
      <c r="H310" s="977"/>
      <c r="I310" s="977"/>
      <c r="J310" s="977"/>
      <c r="K310" s="977"/>
      <c r="L310" s="977"/>
      <c r="M310" s="977"/>
      <c r="N310" s="977"/>
      <c r="O310" s="977"/>
      <c r="P310" s="977"/>
      <c r="Q310" s="977"/>
      <c r="R310" s="977"/>
      <c r="S310" s="977"/>
      <c r="T310" s="977"/>
      <c r="U310" s="977"/>
      <c r="V310" s="977"/>
      <c r="W310" s="977"/>
      <c r="X310" s="977"/>
      <c r="Y310" s="977"/>
      <c r="Z310" s="977"/>
      <c r="AA310" s="977"/>
      <c r="AB310" s="977"/>
      <c r="AC310" s="977"/>
      <c r="AD310" s="977"/>
      <c r="AE310" s="977"/>
      <c r="AF310" s="977"/>
      <c r="AG310" s="977"/>
      <c r="AH310" s="977"/>
      <c r="AI310" s="977"/>
      <c r="AJ310" s="977"/>
      <c r="AK310" s="977"/>
      <c r="AL310" s="977"/>
      <c r="AM310" s="977"/>
      <c r="AN310" s="977"/>
      <c r="AO310" s="977"/>
      <c r="AP310" s="977"/>
      <c r="AQ310" s="977"/>
    </row>
    <row r="311" spans="1:43" ht="14.25" customHeight="1">
      <c r="A311" s="977"/>
      <c r="B311" s="977"/>
      <c r="C311" s="977"/>
      <c r="D311" s="977"/>
      <c r="E311" s="977"/>
      <c r="F311" s="977"/>
      <c r="G311" s="977"/>
      <c r="H311" s="977"/>
      <c r="I311" s="977"/>
      <c r="J311" s="977"/>
      <c r="K311" s="977"/>
      <c r="L311" s="977"/>
      <c r="M311" s="977"/>
      <c r="N311" s="977"/>
      <c r="O311" s="977"/>
      <c r="P311" s="977"/>
      <c r="Q311" s="977"/>
      <c r="R311" s="977"/>
      <c r="S311" s="977"/>
      <c r="T311" s="977"/>
      <c r="U311" s="977"/>
      <c r="V311" s="977"/>
      <c r="W311" s="977"/>
      <c r="X311" s="977"/>
      <c r="Y311" s="977"/>
      <c r="Z311" s="977"/>
      <c r="AA311" s="977"/>
      <c r="AB311" s="977"/>
      <c r="AC311" s="977"/>
      <c r="AD311" s="977"/>
      <c r="AE311" s="977"/>
      <c r="AF311" s="977"/>
      <c r="AG311" s="977"/>
      <c r="AH311" s="977"/>
      <c r="AI311" s="977"/>
      <c r="AJ311" s="977"/>
      <c r="AK311" s="977"/>
      <c r="AL311" s="977"/>
      <c r="AM311" s="977"/>
      <c r="AN311" s="977"/>
      <c r="AO311" s="977"/>
      <c r="AP311" s="977"/>
      <c r="AQ311" s="977"/>
    </row>
    <row r="312" spans="1:43" ht="14.25" customHeight="1">
      <c r="A312" s="977"/>
      <c r="B312" s="977"/>
      <c r="C312" s="977"/>
      <c r="D312" s="977"/>
      <c r="E312" s="977"/>
      <c r="F312" s="977"/>
      <c r="G312" s="977"/>
      <c r="H312" s="977"/>
      <c r="I312" s="977"/>
      <c r="J312" s="977"/>
      <c r="K312" s="977"/>
      <c r="L312" s="977"/>
      <c r="M312" s="977"/>
      <c r="N312" s="977"/>
      <c r="O312" s="977"/>
      <c r="P312" s="977"/>
      <c r="Q312" s="977"/>
      <c r="R312" s="977"/>
      <c r="S312" s="977"/>
      <c r="T312" s="977"/>
      <c r="U312" s="977"/>
      <c r="V312" s="977"/>
      <c r="W312" s="977"/>
      <c r="X312" s="977"/>
      <c r="Y312" s="977"/>
      <c r="Z312" s="977"/>
      <c r="AA312" s="977"/>
      <c r="AB312" s="977"/>
      <c r="AC312" s="977"/>
      <c r="AD312" s="977"/>
      <c r="AE312" s="977"/>
      <c r="AF312" s="977"/>
      <c r="AG312" s="977"/>
      <c r="AH312" s="977"/>
      <c r="AI312" s="977"/>
      <c r="AJ312" s="977"/>
      <c r="AK312" s="977"/>
      <c r="AL312" s="977"/>
      <c r="AM312" s="977"/>
      <c r="AN312" s="977"/>
      <c r="AO312" s="977"/>
      <c r="AP312" s="977"/>
      <c r="AQ312" s="977"/>
    </row>
    <row r="313" spans="1:43" ht="14.25" customHeight="1">
      <c r="A313" s="977"/>
      <c r="B313" s="977"/>
      <c r="C313" s="977"/>
      <c r="D313" s="977"/>
      <c r="E313" s="977"/>
      <c r="F313" s="977"/>
      <c r="G313" s="977"/>
      <c r="H313" s="977"/>
      <c r="I313" s="977"/>
      <c r="J313" s="977"/>
      <c r="K313" s="977"/>
      <c r="L313" s="977"/>
      <c r="M313" s="977"/>
      <c r="N313" s="977"/>
      <c r="O313" s="977"/>
      <c r="P313" s="977"/>
      <c r="Q313" s="977"/>
      <c r="R313" s="977"/>
      <c r="S313" s="977"/>
      <c r="T313" s="977"/>
      <c r="U313" s="977"/>
      <c r="V313" s="977"/>
      <c r="W313" s="977"/>
      <c r="X313" s="977"/>
      <c r="Y313" s="977"/>
      <c r="Z313" s="977"/>
      <c r="AA313" s="977"/>
      <c r="AB313" s="977"/>
      <c r="AC313" s="977"/>
      <c r="AD313" s="977"/>
      <c r="AE313" s="977"/>
      <c r="AF313" s="977"/>
      <c r="AG313" s="977"/>
      <c r="AH313" s="977"/>
      <c r="AI313" s="977"/>
      <c r="AJ313" s="977"/>
      <c r="AK313" s="977"/>
      <c r="AL313" s="977"/>
      <c r="AM313" s="977"/>
      <c r="AN313" s="977"/>
      <c r="AO313" s="977"/>
      <c r="AP313" s="977"/>
      <c r="AQ313" s="977"/>
    </row>
    <row r="314" spans="1:43" ht="14.25" customHeight="1">
      <c r="A314" s="977"/>
      <c r="B314" s="977"/>
      <c r="C314" s="977"/>
      <c r="D314" s="977"/>
      <c r="E314" s="977"/>
      <c r="F314" s="977"/>
      <c r="G314" s="977"/>
      <c r="H314" s="977"/>
      <c r="I314" s="977"/>
      <c r="J314" s="977"/>
      <c r="K314" s="977"/>
      <c r="L314" s="977"/>
      <c r="M314" s="977"/>
      <c r="N314" s="977"/>
      <c r="O314" s="977"/>
      <c r="P314" s="977"/>
      <c r="Q314" s="977"/>
      <c r="R314" s="977"/>
      <c r="S314" s="977"/>
      <c r="T314" s="977"/>
      <c r="U314" s="977"/>
      <c r="V314" s="977"/>
      <c r="W314" s="977"/>
      <c r="X314" s="977"/>
      <c r="Y314" s="977"/>
      <c r="Z314" s="977"/>
      <c r="AA314" s="977"/>
      <c r="AB314" s="977"/>
      <c r="AC314" s="977"/>
      <c r="AD314" s="977"/>
      <c r="AE314" s="977"/>
      <c r="AF314" s="977"/>
      <c r="AG314" s="977"/>
      <c r="AH314" s="977"/>
      <c r="AI314" s="977"/>
      <c r="AJ314" s="977"/>
      <c r="AK314" s="977"/>
      <c r="AL314" s="977"/>
      <c r="AM314" s="977"/>
      <c r="AN314" s="977"/>
      <c r="AO314" s="977"/>
      <c r="AP314" s="977"/>
      <c r="AQ314" s="977"/>
    </row>
    <row r="315" spans="1:43" ht="14.25" customHeight="1">
      <c r="A315" s="977"/>
      <c r="B315" s="977"/>
      <c r="C315" s="977"/>
      <c r="D315" s="977"/>
      <c r="E315" s="977"/>
      <c r="F315" s="977"/>
      <c r="G315" s="977"/>
      <c r="H315" s="977"/>
      <c r="I315" s="977"/>
      <c r="J315" s="977"/>
      <c r="K315" s="977"/>
      <c r="L315" s="977"/>
      <c r="M315" s="977"/>
      <c r="N315" s="977"/>
      <c r="O315" s="977"/>
      <c r="P315" s="977"/>
      <c r="Q315" s="977"/>
      <c r="R315" s="977"/>
      <c r="S315" s="977"/>
      <c r="T315" s="977"/>
      <c r="U315" s="977"/>
      <c r="V315" s="977"/>
      <c r="W315" s="977"/>
      <c r="X315" s="977"/>
      <c r="Y315" s="977"/>
      <c r="Z315" s="977"/>
      <c r="AA315" s="977"/>
      <c r="AB315" s="977"/>
      <c r="AC315" s="977"/>
      <c r="AD315" s="977"/>
      <c r="AE315" s="977"/>
      <c r="AF315" s="977"/>
      <c r="AG315" s="977"/>
      <c r="AH315" s="977"/>
      <c r="AI315" s="977"/>
      <c r="AJ315" s="977"/>
      <c r="AK315" s="977"/>
      <c r="AL315" s="977"/>
      <c r="AM315" s="977"/>
      <c r="AN315" s="977"/>
      <c r="AO315" s="977"/>
      <c r="AP315" s="977"/>
      <c r="AQ315" s="977"/>
    </row>
    <row r="316" spans="1:43" ht="14.25" customHeight="1">
      <c r="A316" s="977"/>
      <c r="B316" s="977"/>
      <c r="C316" s="977"/>
      <c r="D316" s="977"/>
      <c r="E316" s="977"/>
      <c r="F316" s="977"/>
      <c r="G316" s="977"/>
      <c r="H316" s="977"/>
      <c r="I316" s="977"/>
      <c r="J316" s="977"/>
      <c r="K316" s="977"/>
      <c r="L316" s="977"/>
      <c r="M316" s="977"/>
      <c r="N316" s="977"/>
      <c r="O316" s="977"/>
      <c r="P316" s="977"/>
      <c r="Q316" s="977"/>
      <c r="R316" s="977"/>
      <c r="S316" s="977"/>
      <c r="T316" s="977"/>
      <c r="U316" s="977"/>
      <c r="V316" s="977"/>
      <c r="W316" s="977"/>
      <c r="X316" s="977"/>
      <c r="Y316" s="977"/>
      <c r="Z316" s="977"/>
      <c r="AA316" s="977"/>
      <c r="AB316" s="977"/>
      <c r="AC316" s="977"/>
      <c r="AD316" s="977"/>
      <c r="AE316" s="977"/>
      <c r="AF316" s="977"/>
      <c r="AG316" s="977"/>
      <c r="AH316" s="977"/>
      <c r="AI316" s="977"/>
      <c r="AJ316" s="977"/>
      <c r="AK316" s="977"/>
      <c r="AL316" s="977"/>
      <c r="AM316" s="977"/>
      <c r="AN316" s="977"/>
      <c r="AO316" s="977"/>
      <c r="AP316" s="977"/>
      <c r="AQ316" s="977"/>
    </row>
    <row r="317" spans="1:43" ht="14.25" customHeight="1">
      <c r="A317" s="977"/>
      <c r="B317" s="977"/>
      <c r="C317" s="977"/>
      <c r="D317" s="977"/>
      <c r="E317" s="977"/>
      <c r="F317" s="977"/>
      <c r="G317" s="977"/>
      <c r="H317" s="977"/>
      <c r="I317" s="977"/>
      <c r="J317" s="977"/>
      <c r="K317" s="977"/>
      <c r="L317" s="977"/>
      <c r="M317" s="977"/>
      <c r="N317" s="977"/>
      <c r="O317" s="977"/>
      <c r="P317" s="977"/>
      <c r="Q317" s="977"/>
      <c r="R317" s="977"/>
      <c r="S317" s="977"/>
      <c r="T317" s="977"/>
      <c r="U317" s="977"/>
      <c r="V317" s="977"/>
      <c r="W317" s="977"/>
      <c r="X317" s="977"/>
      <c r="Y317" s="977"/>
      <c r="Z317" s="977"/>
      <c r="AA317" s="977"/>
      <c r="AB317" s="977"/>
      <c r="AC317" s="977"/>
      <c r="AD317" s="977"/>
      <c r="AE317" s="977"/>
      <c r="AF317" s="977"/>
      <c r="AG317" s="977"/>
      <c r="AH317" s="977"/>
      <c r="AI317" s="977"/>
      <c r="AJ317" s="977"/>
      <c r="AK317" s="977"/>
      <c r="AL317" s="977"/>
      <c r="AM317" s="977"/>
      <c r="AN317" s="977"/>
      <c r="AO317" s="977"/>
      <c r="AP317" s="977"/>
      <c r="AQ317" s="977"/>
    </row>
    <row r="318" spans="1:43" ht="14.25" customHeight="1">
      <c r="A318" s="977"/>
      <c r="B318" s="977"/>
      <c r="C318" s="977"/>
      <c r="D318" s="977"/>
      <c r="E318" s="977"/>
      <c r="F318" s="977"/>
      <c r="G318" s="977"/>
      <c r="H318" s="977"/>
      <c r="I318" s="977"/>
      <c r="J318" s="977"/>
      <c r="K318" s="977"/>
      <c r="L318" s="977"/>
      <c r="M318" s="977"/>
      <c r="N318" s="977"/>
      <c r="O318" s="977"/>
      <c r="P318" s="977"/>
      <c r="Q318" s="977"/>
      <c r="R318" s="977"/>
      <c r="S318" s="977"/>
      <c r="T318" s="977"/>
      <c r="U318" s="977"/>
      <c r="V318" s="977"/>
      <c r="W318" s="977"/>
      <c r="X318" s="977"/>
      <c r="Y318" s="977"/>
      <c r="Z318" s="977"/>
      <c r="AA318" s="977"/>
      <c r="AB318" s="977"/>
      <c r="AC318" s="977"/>
      <c r="AD318" s="977"/>
      <c r="AE318" s="977"/>
      <c r="AF318" s="977"/>
      <c r="AG318" s="977"/>
      <c r="AH318" s="977"/>
      <c r="AI318" s="977"/>
      <c r="AJ318" s="977"/>
      <c r="AK318" s="977"/>
      <c r="AL318" s="977"/>
      <c r="AM318" s="977"/>
      <c r="AN318" s="977"/>
      <c r="AO318" s="977"/>
      <c r="AP318" s="977"/>
      <c r="AQ318" s="977"/>
    </row>
    <row r="319" spans="1:43" ht="14.25" customHeight="1">
      <c r="A319" s="977"/>
      <c r="B319" s="977"/>
      <c r="C319" s="977"/>
      <c r="D319" s="977"/>
      <c r="E319" s="977"/>
      <c r="F319" s="977"/>
      <c r="G319" s="977"/>
      <c r="H319" s="977"/>
      <c r="I319" s="977"/>
      <c r="J319" s="977"/>
      <c r="K319" s="977"/>
      <c r="L319" s="977"/>
      <c r="M319" s="977"/>
      <c r="N319" s="977"/>
      <c r="O319" s="977"/>
      <c r="P319" s="977"/>
      <c r="Q319" s="977"/>
      <c r="R319" s="977"/>
      <c r="S319" s="977"/>
      <c r="T319" s="977"/>
      <c r="U319" s="977"/>
      <c r="V319" s="977"/>
      <c r="W319" s="977"/>
      <c r="X319" s="977"/>
      <c r="Y319" s="977"/>
      <c r="Z319" s="977"/>
      <c r="AA319" s="977"/>
      <c r="AB319" s="977"/>
      <c r="AC319" s="977"/>
      <c r="AD319" s="977"/>
      <c r="AE319" s="977"/>
      <c r="AF319" s="977"/>
      <c r="AG319" s="977"/>
      <c r="AH319" s="977"/>
      <c r="AI319" s="977"/>
      <c r="AJ319" s="977"/>
      <c r="AK319" s="977"/>
      <c r="AL319" s="977"/>
      <c r="AM319" s="977"/>
      <c r="AN319" s="977"/>
      <c r="AO319" s="977"/>
      <c r="AP319" s="977"/>
      <c r="AQ319" s="977"/>
    </row>
    <row r="320" spans="1:43" ht="14.25" customHeight="1">
      <c r="A320" s="977"/>
      <c r="B320" s="977"/>
      <c r="C320" s="977"/>
      <c r="D320" s="977"/>
      <c r="E320" s="977"/>
      <c r="F320" s="977"/>
      <c r="G320" s="977"/>
      <c r="H320" s="977"/>
      <c r="I320" s="977"/>
      <c r="J320" s="977"/>
      <c r="K320" s="977"/>
      <c r="L320" s="977"/>
      <c r="M320" s="977"/>
      <c r="N320" s="977"/>
      <c r="O320" s="977"/>
      <c r="P320" s="977"/>
      <c r="Q320" s="977"/>
      <c r="R320" s="977"/>
      <c r="S320" s="977"/>
      <c r="T320" s="977"/>
      <c r="U320" s="977"/>
      <c r="V320" s="977"/>
      <c r="W320" s="977"/>
      <c r="X320" s="977"/>
      <c r="Y320" s="977"/>
      <c r="Z320" s="977"/>
      <c r="AA320" s="977"/>
      <c r="AB320" s="977"/>
      <c r="AC320" s="977"/>
      <c r="AD320" s="977"/>
      <c r="AE320" s="977"/>
      <c r="AF320" s="977"/>
      <c r="AG320" s="977"/>
      <c r="AH320" s="977"/>
      <c r="AI320" s="977"/>
      <c r="AJ320" s="977"/>
      <c r="AK320" s="977"/>
      <c r="AL320" s="977"/>
      <c r="AM320" s="977"/>
      <c r="AN320" s="977"/>
      <c r="AO320" s="977"/>
      <c r="AP320" s="977"/>
      <c r="AQ320" s="977"/>
    </row>
    <row r="321" spans="1:43" ht="14.25" customHeight="1">
      <c r="A321" s="977"/>
      <c r="B321" s="977"/>
      <c r="C321" s="977"/>
      <c r="D321" s="977"/>
      <c r="E321" s="977"/>
      <c r="F321" s="977"/>
      <c r="G321" s="977"/>
      <c r="H321" s="977"/>
      <c r="I321" s="977"/>
      <c r="J321" s="977"/>
      <c r="K321" s="977"/>
      <c r="L321" s="977"/>
      <c r="M321" s="977"/>
      <c r="N321" s="977"/>
      <c r="O321" s="977"/>
      <c r="P321" s="977"/>
      <c r="Q321" s="977"/>
      <c r="R321" s="977"/>
      <c r="S321" s="977"/>
      <c r="T321" s="977"/>
      <c r="U321" s="977"/>
      <c r="V321" s="977"/>
      <c r="W321" s="977"/>
      <c r="X321" s="977"/>
      <c r="Y321" s="977"/>
      <c r="Z321" s="977"/>
      <c r="AA321" s="977"/>
      <c r="AB321" s="977"/>
      <c r="AC321" s="977"/>
      <c r="AD321" s="977"/>
      <c r="AE321" s="977"/>
      <c r="AF321" s="977"/>
      <c r="AG321" s="977"/>
      <c r="AH321" s="977"/>
      <c r="AI321" s="977"/>
      <c r="AJ321" s="977"/>
      <c r="AK321" s="977"/>
      <c r="AL321" s="977"/>
      <c r="AM321" s="977"/>
      <c r="AN321" s="977"/>
      <c r="AO321" s="977"/>
      <c r="AP321" s="977"/>
      <c r="AQ321" s="977"/>
    </row>
    <row r="322" spans="1:43" ht="14.25" customHeight="1">
      <c r="A322" s="977"/>
      <c r="B322" s="977"/>
      <c r="C322" s="977"/>
      <c r="D322" s="977"/>
      <c r="E322" s="977"/>
      <c r="F322" s="977"/>
      <c r="G322" s="977"/>
      <c r="H322" s="977"/>
      <c r="I322" s="977"/>
      <c r="J322" s="977"/>
      <c r="K322" s="977"/>
      <c r="L322" s="977"/>
      <c r="M322" s="977"/>
      <c r="N322" s="977"/>
      <c r="O322" s="977"/>
      <c r="P322" s="977"/>
      <c r="Q322" s="977"/>
      <c r="R322" s="977"/>
      <c r="S322" s="977"/>
      <c r="T322" s="977"/>
      <c r="U322" s="977"/>
      <c r="V322" s="977"/>
      <c r="W322" s="977"/>
      <c r="X322" s="977"/>
      <c r="Y322" s="977"/>
      <c r="Z322" s="977"/>
      <c r="AA322" s="977"/>
      <c r="AB322" s="977"/>
      <c r="AC322" s="977"/>
      <c r="AD322" s="977"/>
      <c r="AE322" s="977"/>
      <c r="AF322" s="977"/>
      <c r="AG322" s="977"/>
      <c r="AH322" s="977"/>
      <c r="AI322" s="977"/>
      <c r="AJ322" s="977"/>
      <c r="AK322" s="977"/>
      <c r="AL322" s="977"/>
      <c r="AM322" s="977"/>
      <c r="AN322" s="977"/>
      <c r="AO322" s="977"/>
      <c r="AP322" s="977"/>
      <c r="AQ322" s="977"/>
    </row>
    <row r="323" spans="1:43" ht="14.25" customHeight="1">
      <c r="A323" s="977"/>
      <c r="B323" s="977"/>
      <c r="C323" s="977"/>
      <c r="D323" s="977"/>
      <c r="E323" s="977"/>
      <c r="F323" s="977"/>
      <c r="G323" s="977"/>
      <c r="H323" s="977"/>
      <c r="I323" s="977"/>
      <c r="J323" s="977"/>
      <c r="K323" s="977"/>
      <c r="L323" s="977"/>
      <c r="M323" s="977"/>
      <c r="N323" s="977"/>
      <c r="O323" s="977"/>
      <c r="P323" s="977"/>
      <c r="Q323" s="977"/>
      <c r="R323" s="977"/>
      <c r="S323" s="977"/>
      <c r="T323" s="977"/>
      <c r="U323" s="977"/>
      <c r="V323" s="977"/>
      <c r="W323" s="977"/>
      <c r="X323" s="977"/>
      <c r="Y323" s="977"/>
      <c r="Z323" s="977"/>
      <c r="AA323" s="977"/>
      <c r="AB323" s="977"/>
      <c r="AC323" s="977"/>
      <c r="AD323" s="977"/>
      <c r="AE323" s="977"/>
      <c r="AF323" s="977"/>
      <c r="AG323" s="977"/>
      <c r="AH323" s="977"/>
      <c r="AI323" s="977"/>
      <c r="AJ323" s="977"/>
      <c r="AK323" s="977"/>
      <c r="AL323" s="977"/>
      <c r="AM323" s="977"/>
      <c r="AN323" s="977"/>
      <c r="AO323" s="977"/>
      <c r="AP323" s="977"/>
      <c r="AQ323" s="977"/>
    </row>
    <row r="324" spans="1:43" ht="14.25" customHeight="1">
      <c r="A324" s="977"/>
      <c r="B324" s="977"/>
      <c r="C324" s="977"/>
      <c r="D324" s="977"/>
      <c r="E324" s="977"/>
      <c r="F324" s="977"/>
      <c r="G324" s="977"/>
      <c r="H324" s="977"/>
      <c r="I324" s="977"/>
      <c r="J324" s="977"/>
      <c r="K324" s="977"/>
      <c r="L324" s="977"/>
      <c r="M324" s="977"/>
      <c r="N324" s="977"/>
      <c r="O324" s="977"/>
      <c r="P324" s="977"/>
      <c r="Q324" s="977"/>
      <c r="R324" s="977"/>
      <c r="S324" s="977"/>
      <c r="T324" s="977"/>
      <c r="U324" s="977"/>
      <c r="V324" s="977"/>
      <c r="W324" s="977"/>
      <c r="X324" s="977"/>
      <c r="Y324" s="977"/>
      <c r="Z324" s="977"/>
      <c r="AA324" s="977"/>
      <c r="AB324" s="977"/>
      <c r="AC324" s="977"/>
      <c r="AD324" s="977"/>
      <c r="AE324" s="977"/>
      <c r="AF324" s="977"/>
      <c r="AG324" s="977"/>
      <c r="AH324" s="977"/>
      <c r="AI324" s="977"/>
      <c r="AJ324" s="977"/>
      <c r="AK324" s="977"/>
      <c r="AL324" s="977"/>
      <c r="AM324" s="977"/>
      <c r="AN324" s="977"/>
      <c r="AO324" s="977"/>
      <c r="AP324" s="977"/>
      <c r="AQ324" s="977"/>
    </row>
    <row r="325" spans="1:43" ht="14.25" customHeight="1">
      <c r="A325" s="977"/>
      <c r="B325" s="977"/>
      <c r="C325" s="977"/>
      <c r="D325" s="977"/>
      <c r="E325" s="977"/>
      <c r="F325" s="977"/>
      <c r="G325" s="977"/>
      <c r="H325" s="977"/>
      <c r="I325" s="977"/>
      <c r="J325" s="977"/>
      <c r="K325" s="977"/>
      <c r="L325" s="977"/>
      <c r="M325" s="977"/>
      <c r="N325" s="977"/>
      <c r="O325" s="977"/>
      <c r="P325" s="977"/>
      <c r="Q325" s="977"/>
      <c r="R325" s="977"/>
      <c r="S325" s="977"/>
      <c r="T325" s="977"/>
      <c r="U325" s="977"/>
      <c r="V325" s="977"/>
      <c r="W325" s="977"/>
      <c r="X325" s="977"/>
      <c r="Y325" s="977"/>
      <c r="Z325" s="977"/>
      <c r="AA325" s="977"/>
      <c r="AB325" s="977"/>
      <c r="AC325" s="977"/>
      <c r="AD325" s="977"/>
      <c r="AE325" s="977"/>
      <c r="AF325" s="977"/>
      <c r="AG325" s="977"/>
      <c r="AH325" s="977"/>
      <c r="AI325" s="977"/>
      <c r="AJ325" s="977"/>
      <c r="AK325" s="977"/>
      <c r="AL325" s="977"/>
      <c r="AM325" s="977"/>
      <c r="AN325" s="977"/>
      <c r="AO325" s="977"/>
      <c r="AP325" s="977"/>
      <c r="AQ325" s="977"/>
    </row>
    <row r="326" spans="1:43" ht="14.25" customHeight="1">
      <c r="A326" s="977"/>
      <c r="B326" s="977"/>
      <c r="C326" s="977"/>
      <c r="D326" s="977"/>
      <c r="E326" s="977"/>
      <c r="F326" s="977"/>
      <c r="G326" s="977"/>
      <c r="H326" s="977"/>
      <c r="I326" s="977"/>
      <c r="J326" s="977"/>
      <c r="K326" s="977"/>
      <c r="L326" s="977"/>
      <c r="M326" s="977"/>
      <c r="N326" s="977"/>
      <c r="O326" s="977"/>
      <c r="P326" s="977"/>
      <c r="Q326" s="977"/>
      <c r="R326" s="977"/>
      <c r="S326" s="977"/>
      <c r="T326" s="977"/>
      <c r="U326" s="977"/>
      <c r="V326" s="977"/>
      <c r="W326" s="977"/>
      <c r="X326" s="977"/>
      <c r="Y326" s="977"/>
      <c r="Z326" s="977"/>
      <c r="AA326" s="977"/>
      <c r="AB326" s="977"/>
      <c r="AC326" s="977"/>
      <c r="AD326" s="977"/>
      <c r="AE326" s="977"/>
      <c r="AF326" s="977"/>
      <c r="AG326" s="977"/>
      <c r="AH326" s="977"/>
      <c r="AI326" s="977"/>
      <c r="AJ326" s="977"/>
      <c r="AK326" s="977"/>
      <c r="AL326" s="977"/>
      <c r="AM326" s="977"/>
      <c r="AN326" s="977"/>
      <c r="AO326" s="977"/>
      <c r="AP326" s="977"/>
      <c r="AQ326" s="977"/>
    </row>
    <row r="327" spans="1:43" ht="14.25" customHeight="1">
      <c r="A327" s="977"/>
      <c r="B327" s="977"/>
      <c r="C327" s="977"/>
      <c r="D327" s="977"/>
      <c r="E327" s="977"/>
      <c r="F327" s="977"/>
      <c r="G327" s="977"/>
      <c r="H327" s="977"/>
      <c r="I327" s="977"/>
      <c r="J327" s="977"/>
      <c r="K327" s="977"/>
      <c r="L327" s="977"/>
      <c r="M327" s="977"/>
      <c r="N327" s="977"/>
      <c r="O327" s="977"/>
      <c r="P327" s="977"/>
      <c r="Q327" s="977"/>
      <c r="R327" s="977"/>
      <c r="S327" s="977"/>
      <c r="T327" s="977"/>
      <c r="U327" s="977"/>
      <c r="V327" s="977"/>
      <c r="W327" s="977"/>
      <c r="X327" s="977"/>
      <c r="Y327" s="977"/>
      <c r="Z327" s="977"/>
      <c r="AA327" s="977"/>
      <c r="AB327" s="977"/>
      <c r="AC327" s="977"/>
      <c r="AD327" s="977"/>
      <c r="AE327" s="977"/>
      <c r="AF327" s="977"/>
      <c r="AG327" s="977"/>
      <c r="AH327" s="977"/>
      <c r="AI327" s="977"/>
      <c r="AJ327" s="977"/>
      <c r="AK327" s="977"/>
      <c r="AL327" s="977"/>
      <c r="AM327" s="977"/>
      <c r="AN327" s="977"/>
      <c r="AO327" s="977"/>
      <c r="AP327" s="977"/>
      <c r="AQ327" s="977"/>
    </row>
    <row r="328" spans="1:43" ht="14.25" customHeight="1">
      <c r="A328" s="977"/>
      <c r="B328" s="977"/>
      <c r="C328" s="977"/>
      <c r="D328" s="977"/>
      <c r="E328" s="977"/>
      <c r="F328" s="977"/>
      <c r="G328" s="977"/>
      <c r="H328" s="977"/>
      <c r="I328" s="977"/>
      <c r="J328" s="977"/>
      <c r="K328" s="977"/>
      <c r="L328" s="977"/>
      <c r="M328" s="977"/>
      <c r="N328" s="977"/>
      <c r="O328" s="977"/>
      <c r="P328" s="977"/>
      <c r="Q328" s="977"/>
      <c r="R328" s="977"/>
      <c r="S328" s="977"/>
      <c r="T328" s="977"/>
      <c r="U328" s="977"/>
      <c r="V328" s="977"/>
      <c r="W328" s="977"/>
      <c r="X328" s="977"/>
      <c r="Y328" s="977"/>
      <c r="Z328" s="977"/>
      <c r="AA328" s="977"/>
      <c r="AB328" s="977"/>
      <c r="AC328" s="977"/>
      <c r="AD328" s="977"/>
      <c r="AE328" s="977"/>
      <c r="AF328" s="977"/>
      <c r="AG328" s="977"/>
      <c r="AH328" s="977"/>
      <c r="AI328" s="977"/>
      <c r="AJ328" s="977"/>
      <c r="AK328" s="977"/>
      <c r="AL328" s="977"/>
      <c r="AM328" s="977"/>
      <c r="AN328" s="977"/>
      <c r="AO328" s="977"/>
      <c r="AP328" s="977"/>
      <c r="AQ328" s="977"/>
    </row>
    <row r="329" spans="1:43" ht="14.25" customHeight="1">
      <c r="A329" s="977"/>
      <c r="B329" s="977"/>
      <c r="C329" s="977"/>
      <c r="D329" s="977"/>
      <c r="E329" s="977"/>
      <c r="F329" s="977"/>
      <c r="G329" s="977"/>
      <c r="H329" s="977"/>
      <c r="I329" s="977"/>
      <c r="J329" s="977"/>
      <c r="K329" s="977"/>
      <c r="L329" s="977"/>
      <c r="M329" s="977"/>
      <c r="N329" s="977"/>
      <c r="O329" s="977"/>
      <c r="P329" s="977"/>
      <c r="Q329" s="977"/>
      <c r="R329" s="977"/>
      <c r="S329" s="977"/>
      <c r="T329" s="977"/>
      <c r="U329" s="977"/>
      <c r="V329" s="977"/>
      <c r="W329" s="977"/>
      <c r="X329" s="977"/>
      <c r="Y329" s="977"/>
      <c r="Z329" s="977"/>
      <c r="AA329" s="977"/>
      <c r="AB329" s="977"/>
      <c r="AC329" s="977"/>
      <c r="AD329" s="977"/>
      <c r="AE329" s="977"/>
      <c r="AF329" s="977"/>
      <c r="AG329" s="977"/>
      <c r="AH329" s="977"/>
      <c r="AI329" s="977"/>
      <c r="AJ329" s="977"/>
      <c r="AK329" s="977"/>
      <c r="AL329" s="977"/>
      <c r="AM329" s="977"/>
      <c r="AN329" s="977"/>
      <c r="AO329" s="977"/>
      <c r="AP329" s="977"/>
      <c r="AQ329" s="977"/>
    </row>
    <row r="330" spans="1:43" ht="14.25" customHeight="1">
      <c r="A330" s="977"/>
      <c r="B330" s="977"/>
      <c r="C330" s="977"/>
      <c r="D330" s="977"/>
      <c r="E330" s="977"/>
      <c r="F330" s="977"/>
      <c r="G330" s="977"/>
      <c r="H330" s="977"/>
      <c r="I330" s="977"/>
      <c r="J330" s="977"/>
      <c r="K330" s="977"/>
      <c r="L330" s="977"/>
      <c r="M330" s="977"/>
      <c r="N330" s="977"/>
      <c r="O330" s="977"/>
      <c r="P330" s="977"/>
      <c r="Q330" s="977"/>
      <c r="R330" s="977"/>
      <c r="S330" s="977"/>
      <c r="T330" s="977"/>
      <c r="U330" s="977"/>
      <c r="V330" s="977"/>
      <c r="W330" s="977"/>
      <c r="X330" s="977"/>
      <c r="Y330" s="977"/>
      <c r="Z330" s="977"/>
      <c r="AA330" s="977"/>
      <c r="AB330" s="977"/>
      <c r="AC330" s="977"/>
      <c r="AD330" s="977"/>
      <c r="AE330" s="977"/>
      <c r="AF330" s="977"/>
      <c r="AG330" s="977"/>
      <c r="AH330" s="977"/>
      <c r="AI330" s="977"/>
      <c r="AJ330" s="977"/>
      <c r="AK330" s="977"/>
      <c r="AL330" s="977"/>
      <c r="AM330" s="977"/>
      <c r="AN330" s="977"/>
      <c r="AO330" s="977"/>
      <c r="AP330" s="977"/>
      <c r="AQ330" s="977"/>
    </row>
    <row r="331" spans="1:43" ht="14.25" customHeight="1">
      <c r="A331" s="977"/>
      <c r="B331" s="977"/>
      <c r="C331" s="977"/>
      <c r="D331" s="977"/>
      <c r="E331" s="977"/>
      <c r="F331" s="977"/>
      <c r="G331" s="977"/>
      <c r="H331" s="977"/>
      <c r="I331" s="977"/>
      <c r="J331" s="977"/>
      <c r="K331" s="977"/>
      <c r="L331" s="977"/>
      <c r="M331" s="977"/>
      <c r="N331" s="977"/>
      <c r="O331" s="977"/>
      <c r="P331" s="977"/>
      <c r="Q331" s="977"/>
      <c r="R331" s="977"/>
      <c r="S331" s="977"/>
      <c r="T331" s="977"/>
      <c r="U331" s="977"/>
      <c r="V331" s="977"/>
      <c r="W331" s="977"/>
      <c r="X331" s="977"/>
      <c r="Y331" s="977"/>
      <c r="Z331" s="977"/>
      <c r="AA331" s="977"/>
      <c r="AB331" s="977"/>
      <c r="AC331" s="977"/>
      <c r="AD331" s="977"/>
      <c r="AE331" s="977"/>
      <c r="AF331" s="977"/>
      <c r="AG331" s="977"/>
      <c r="AH331" s="977"/>
      <c r="AI331" s="977"/>
      <c r="AJ331" s="977"/>
      <c r="AK331" s="977"/>
      <c r="AL331" s="977"/>
      <c r="AM331" s="977"/>
      <c r="AN331" s="977"/>
      <c r="AO331" s="977"/>
      <c r="AP331" s="977"/>
      <c r="AQ331" s="977"/>
    </row>
    <row r="332" spans="1:43" ht="14.25" customHeight="1">
      <c r="A332" s="977"/>
      <c r="B332" s="977"/>
      <c r="C332" s="977"/>
      <c r="D332" s="977"/>
      <c r="E332" s="977"/>
      <c r="F332" s="977"/>
      <c r="G332" s="977"/>
      <c r="H332" s="977"/>
      <c r="I332" s="977"/>
      <c r="J332" s="977"/>
      <c r="K332" s="977"/>
      <c r="L332" s="977"/>
      <c r="M332" s="977"/>
      <c r="N332" s="977"/>
      <c r="O332" s="977"/>
      <c r="P332" s="977"/>
      <c r="Q332" s="977"/>
      <c r="R332" s="977"/>
      <c r="S332" s="977"/>
      <c r="T332" s="977"/>
      <c r="U332" s="977"/>
      <c r="V332" s="977"/>
      <c r="W332" s="977"/>
      <c r="X332" s="977"/>
      <c r="Y332" s="977"/>
      <c r="Z332" s="977"/>
      <c r="AA332" s="977"/>
      <c r="AB332" s="977"/>
      <c r="AC332" s="977"/>
      <c r="AD332" s="977"/>
      <c r="AE332" s="977"/>
      <c r="AF332" s="977"/>
      <c r="AG332" s="977"/>
      <c r="AH332" s="977"/>
      <c r="AI332" s="977"/>
      <c r="AJ332" s="977"/>
      <c r="AK332" s="977"/>
      <c r="AL332" s="977"/>
      <c r="AM332" s="977"/>
      <c r="AN332" s="977"/>
      <c r="AO332" s="977"/>
      <c r="AP332" s="977"/>
      <c r="AQ332" s="977"/>
    </row>
    <row r="333" spans="1:43" ht="14.25" customHeight="1">
      <c r="A333" s="977"/>
      <c r="B333" s="977"/>
      <c r="C333" s="977"/>
      <c r="D333" s="977"/>
      <c r="E333" s="977"/>
      <c r="F333" s="977"/>
      <c r="G333" s="977"/>
      <c r="H333" s="977"/>
      <c r="I333" s="977"/>
      <c r="J333" s="977"/>
      <c r="K333" s="977"/>
      <c r="L333" s="977"/>
      <c r="M333" s="977"/>
      <c r="N333" s="977"/>
      <c r="O333" s="977"/>
      <c r="P333" s="977"/>
      <c r="Q333" s="977"/>
      <c r="R333" s="977"/>
      <c r="S333" s="977"/>
      <c r="T333" s="977"/>
      <c r="U333" s="977"/>
      <c r="V333" s="977"/>
      <c r="W333" s="977"/>
      <c r="X333" s="977"/>
      <c r="Y333" s="977"/>
      <c r="Z333" s="977"/>
      <c r="AA333" s="977"/>
      <c r="AB333" s="977"/>
      <c r="AC333" s="977"/>
      <c r="AD333" s="977"/>
      <c r="AE333" s="977"/>
      <c r="AF333" s="977"/>
      <c r="AG333" s="977"/>
      <c r="AH333" s="977"/>
      <c r="AI333" s="977"/>
      <c r="AJ333" s="977"/>
      <c r="AK333" s="977"/>
      <c r="AL333" s="977"/>
      <c r="AM333" s="977"/>
      <c r="AN333" s="977"/>
      <c r="AO333" s="977"/>
      <c r="AP333" s="977"/>
      <c r="AQ333" s="977"/>
    </row>
    <row r="334" spans="1:43" ht="14.25" customHeight="1">
      <c r="A334" s="977"/>
      <c r="B334" s="977"/>
      <c r="C334" s="977"/>
      <c r="D334" s="977"/>
      <c r="E334" s="977"/>
      <c r="F334" s="977"/>
      <c r="G334" s="977"/>
      <c r="H334" s="977"/>
      <c r="I334" s="977"/>
      <c r="J334" s="977"/>
      <c r="K334" s="977"/>
      <c r="L334" s="977"/>
      <c r="M334" s="977"/>
      <c r="N334" s="977"/>
      <c r="O334" s="977"/>
      <c r="P334" s="977"/>
      <c r="Q334" s="977"/>
      <c r="R334" s="977"/>
      <c r="S334" s="977"/>
      <c r="T334" s="977"/>
      <c r="U334" s="977"/>
      <c r="V334" s="977"/>
      <c r="W334" s="977"/>
      <c r="X334" s="977"/>
      <c r="Y334" s="977"/>
      <c r="Z334" s="977"/>
      <c r="AA334" s="977"/>
      <c r="AB334" s="977"/>
      <c r="AC334" s="977"/>
      <c r="AD334" s="977"/>
      <c r="AE334" s="977"/>
      <c r="AF334" s="977"/>
      <c r="AG334" s="977"/>
      <c r="AH334" s="977"/>
      <c r="AI334" s="977"/>
      <c r="AJ334" s="977"/>
      <c r="AK334" s="977"/>
      <c r="AL334" s="977"/>
      <c r="AM334" s="977"/>
      <c r="AN334" s="977"/>
      <c r="AO334" s="977"/>
      <c r="AP334" s="977"/>
      <c r="AQ334" s="977"/>
    </row>
    <row r="335" spans="1:43" ht="14.25" customHeight="1">
      <c r="A335" s="977"/>
      <c r="B335" s="977"/>
      <c r="C335" s="977"/>
      <c r="D335" s="977"/>
      <c r="E335" s="977"/>
      <c r="F335" s="977"/>
      <c r="G335" s="977"/>
      <c r="H335" s="977"/>
      <c r="I335" s="977"/>
      <c r="J335" s="977"/>
      <c r="K335" s="977"/>
      <c r="L335" s="977"/>
      <c r="M335" s="977"/>
      <c r="N335" s="977"/>
      <c r="O335" s="977"/>
      <c r="P335" s="977"/>
      <c r="Q335" s="977"/>
      <c r="R335" s="977"/>
      <c r="S335" s="977"/>
      <c r="T335" s="977"/>
      <c r="U335" s="977"/>
      <c r="V335" s="977"/>
      <c r="W335" s="977"/>
      <c r="X335" s="977"/>
      <c r="Y335" s="977"/>
      <c r="Z335" s="977"/>
      <c r="AA335" s="977"/>
      <c r="AB335" s="977"/>
      <c r="AC335" s="977"/>
      <c r="AD335" s="977"/>
      <c r="AE335" s="977"/>
      <c r="AF335" s="977"/>
      <c r="AG335" s="977"/>
      <c r="AH335" s="977"/>
      <c r="AI335" s="977"/>
      <c r="AJ335" s="977"/>
      <c r="AK335" s="977"/>
      <c r="AL335" s="977"/>
      <c r="AM335" s="977"/>
      <c r="AN335" s="977"/>
      <c r="AO335" s="977"/>
      <c r="AP335" s="977"/>
      <c r="AQ335" s="977"/>
    </row>
    <row r="336" spans="1:43" ht="14.25" customHeight="1">
      <c r="A336" s="977"/>
      <c r="B336" s="977"/>
      <c r="C336" s="977"/>
      <c r="D336" s="977"/>
      <c r="E336" s="977"/>
      <c r="F336" s="977"/>
      <c r="G336" s="977"/>
      <c r="H336" s="977"/>
      <c r="I336" s="977"/>
      <c r="J336" s="977"/>
      <c r="K336" s="977"/>
      <c r="L336" s="977"/>
      <c r="M336" s="977"/>
      <c r="N336" s="977"/>
      <c r="O336" s="977"/>
      <c r="P336" s="977"/>
      <c r="Q336" s="977"/>
      <c r="R336" s="977"/>
      <c r="S336" s="977"/>
      <c r="T336" s="977"/>
      <c r="U336" s="977"/>
      <c r="V336" s="977"/>
      <c r="W336" s="977"/>
      <c r="X336" s="977"/>
      <c r="Y336" s="977"/>
      <c r="Z336" s="977"/>
      <c r="AA336" s="977"/>
      <c r="AB336" s="977"/>
      <c r="AC336" s="977"/>
      <c r="AD336" s="977"/>
      <c r="AE336" s="977"/>
      <c r="AF336" s="977"/>
      <c r="AG336" s="977"/>
      <c r="AH336" s="977"/>
      <c r="AI336" s="977"/>
      <c r="AJ336" s="977"/>
      <c r="AK336" s="977"/>
      <c r="AL336" s="977"/>
      <c r="AM336" s="977"/>
      <c r="AN336" s="977"/>
      <c r="AO336" s="977"/>
      <c r="AP336" s="977"/>
      <c r="AQ336" s="977"/>
    </row>
    <row r="337" spans="1:43" ht="14.25" customHeight="1">
      <c r="A337" s="977"/>
      <c r="B337" s="977"/>
      <c r="C337" s="977"/>
      <c r="D337" s="977"/>
      <c r="E337" s="977"/>
      <c r="F337" s="977"/>
      <c r="G337" s="977"/>
      <c r="H337" s="977"/>
      <c r="I337" s="977"/>
      <c r="J337" s="977"/>
      <c r="K337" s="977"/>
      <c r="L337" s="977"/>
      <c r="M337" s="977"/>
      <c r="N337" s="977"/>
      <c r="O337" s="977"/>
      <c r="P337" s="977"/>
      <c r="Q337" s="977"/>
      <c r="R337" s="977"/>
      <c r="S337" s="977"/>
      <c r="T337" s="977"/>
      <c r="U337" s="977"/>
      <c r="V337" s="977"/>
      <c r="W337" s="977"/>
      <c r="X337" s="977"/>
      <c r="Y337" s="977"/>
      <c r="Z337" s="977"/>
      <c r="AA337" s="977"/>
      <c r="AB337" s="977"/>
      <c r="AC337" s="977"/>
      <c r="AD337" s="977"/>
      <c r="AE337" s="977"/>
      <c r="AF337" s="977"/>
      <c r="AG337" s="977"/>
      <c r="AH337" s="977"/>
      <c r="AI337" s="977"/>
      <c r="AJ337" s="977"/>
      <c r="AK337" s="977"/>
      <c r="AL337" s="977"/>
      <c r="AM337" s="977"/>
      <c r="AN337" s="977"/>
      <c r="AO337" s="977"/>
      <c r="AP337" s="977"/>
      <c r="AQ337" s="977"/>
    </row>
    <row r="338" spans="1:43" ht="14.25" customHeight="1">
      <c r="A338" s="977"/>
      <c r="B338" s="977"/>
      <c r="C338" s="977"/>
      <c r="D338" s="977"/>
      <c r="E338" s="977"/>
      <c r="F338" s="977"/>
      <c r="G338" s="977"/>
      <c r="H338" s="977"/>
      <c r="I338" s="977"/>
      <c r="J338" s="977"/>
      <c r="K338" s="977"/>
      <c r="L338" s="977"/>
      <c r="M338" s="977"/>
      <c r="N338" s="977"/>
      <c r="O338" s="977"/>
      <c r="P338" s="977"/>
      <c r="Q338" s="977"/>
      <c r="R338" s="977"/>
      <c r="S338" s="977"/>
      <c r="T338" s="977"/>
      <c r="U338" s="977"/>
      <c r="V338" s="977"/>
      <c r="W338" s="977"/>
      <c r="X338" s="977"/>
      <c r="Y338" s="977"/>
      <c r="Z338" s="977"/>
      <c r="AA338" s="977"/>
      <c r="AB338" s="977"/>
      <c r="AC338" s="977"/>
      <c r="AD338" s="977"/>
      <c r="AE338" s="977"/>
      <c r="AF338" s="977"/>
      <c r="AG338" s="977"/>
      <c r="AH338" s="977"/>
      <c r="AI338" s="977"/>
      <c r="AJ338" s="977"/>
      <c r="AK338" s="977"/>
      <c r="AL338" s="977"/>
      <c r="AM338" s="977"/>
      <c r="AN338" s="977"/>
      <c r="AO338" s="977"/>
      <c r="AP338" s="977"/>
      <c r="AQ338" s="977"/>
    </row>
    <row r="339" spans="1:43" ht="14.25" customHeight="1">
      <c r="A339" s="977"/>
      <c r="B339" s="977"/>
      <c r="C339" s="977"/>
      <c r="D339" s="977"/>
      <c r="E339" s="977"/>
      <c r="F339" s="977"/>
      <c r="G339" s="977"/>
      <c r="H339" s="977"/>
      <c r="I339" s="977"/>
      <c r="J339" s="977"/>
      <c r="K339" s="977"/>
      <c r="L339" s="977"/>
      <c r="M339" s="977"/>
      <c r="N339" s="977"/>
      <c r="O339" s="977"/>
      <c r="P339" s="977"/>
      <c r="Q339" s="977"/>
      <c r="R339" s="977"/>
      <c r="S339" s="977"/>
      <c r="T339" s="977"/>
      <c r="U339" s="977"/>
      <c r="V339" s="977"/>
      <c r="W339" s="977"/>
      <c r="X339" s="977"/>
      <c r="Y339" s="977"/>
      <c r="Z339" s="977"/>
      <c r="AA339" s="977"/>
      <c r="AB339" s="977"/>
      <c r="AC339" s="977"/>
      <c r="AD339" s="977"/>
      <c r="AE339" s="977"/>
      <c r="AF339" s="977"/>
      <c r="AG339" s="977"/>
      <c r="AH339" s="977"/>
      <c r="AI339" s="977"/>
      <c r="AJ339" s="977"/>
      <c r="AK339" s="977"/>
      <c r="AL339" s="977"/>
      <c r="AM339" s="977"/>
      <c r="AN339" s="977"/>
      <c r="AO339" s="977"/>
      <c r="AP339" s="977"/>
      <c r="AQ339" s="977"/>
    </row>
    <row r="340" spans="1:43" ht="14.25" customHeight="1">
      <c r="A340" s="977"/>
      <c r="B340" s="977"/>
      <c r="C340" s="977"/>
      <c r="D340" s="977"/>
      <c r="E340" s="977"/>
      <c r="F340" s="977"/>
      <c r="G340" s="977"/>
      <c r="H340" s="977"/>
      <c r="I340" s="977"/>
      <c r="J340" s="977"/>
      <c r="K340" s="977"/>
      <c r="L340" s="977"/>
      <c r="M340" s="977"/>
      <c r="N340" s="977"/>
      <c r="O340" s="977"/>
      <c r="P340" s="977"/>
      <c r="Q340" s="977"/>
      <c r="R340" s="977"/>
      <c r="S340" s="977"/>
      <c r="T340" s="977"/>
      <c r="U340" s="977"/>
      <c r="V340" s="977"/>
      <c r="W340" s="977"/>
      <c r="X340" s="977"/>
      <c r="Y340" s="977"/>
      <c r="Z340" s="977"/>
      <c r="AA340" s="977"/>
      <c r="AB340" s="977"/>
      <c r="AC340" s="977"/>
      <c r="AD340" s="977"/>
      <c r="AE340" s="977"/>
      <c r="AF340" s="977"/>
      <c r="AG340" s="977"/>
      <c r="AH340" s="977"/>
      <c r="AI340" s="977"/>
      <c r="AJ340" s="977"/>
      <c r="AK340" s="977"/>
      <c r="AL340" s="977"/>
      <c r="AM340" s="977"/>
      <c r="AN340" s="977"/>
      <c r="AO340" s="977"/>
      <c r="AP340" s="977"/>
      <c r="AQ340" s="977"/>
    </row>
    <row r="341" spans="1:43" ht="14.25" customHeight="1">
      <c r="A341" s="977"/>
      <c r="B341" s="977"/>
      <c r="C341" s="977"/>
      <c r="D341" s="977"/>
      <c r="E341" s="977"/>
      <c r="F341" s="977"/>
      <c r="G341" s="977"/>
      <c r="H341" s="977"/>
      <c r="I341" s="977"/>
      <c r="J341" s="977"/>
      <c r="K341" s="977"/>
      <c r="L341" s="977"/>
      <c r="M341" s="977"/>
      <c r="N341" s="977"/>
      <c r="O341" s="977"/>
      <c r="P341" s="977"/>
      <c r="Q341" s="977"/>
      <c r="R341" s="977"/>
      <c r="S341" s="977"/>
      <c r="T341" s="977"/>
      <c r="U341" s="977"/>
      <c r="V341" s="977"/>
      <c r="W341" s="977"/>
      <c r="X341" s="977"/>
      <c r="Y341" s="977"/>
      <c r="Z341" s="977"/>
      <c r="AA341" s="977"/>
      <c r="AB341" s="977"/>
      <c r="AC341" s="977"/>
      <c r="AD341" s="977"/>
      <c r="AE341" s="977"/>
      <c r="AF341" s="977"/>
      <c r="AG341" s="977"/>
      <c r="AH341" s="977"/>
      <c r="AI341" s="977"/>
      <c r="AJ341" s="977"/>
      <c r="AK341" s="977"/>
      <c r="AL341" s="977"/>
      <c r="AM341" s="977"/>
      <c r="AN341" s="977"/>
      <c r="AO341" s="977"/>
      <c r="AP341" s="977"/>
      <c r="AQ341" s="977"/>
    </row>
    <row r="342" spans="1:43" ht="14.25" customHeight="1">
      <c r="A342" s="977"/>
      <c r="B342" s="977"/>
      <c r="C342" s="977"/>
      <c r="D342" s="977"/>
      <c r="E342" s="977"/>
      <c r="F342" s="977"/>
      <c r="G342" s="977"/>
      <c r="H342" s="977"/>
      <c r="I342" s="977"/>
      <c r="J342" s="977"/>
      <c r="K342" s="977"/>
      <c r="L342" s="977"/>
      <c r="M342" s="977"/>
      <c r="N342" s="977"/>
      <c r="O342" s="977"/>
      <c r="P342" s="977"/>
      <c r="Q342" s="977"/>
      <c r="R342" s="977"/>
      <c r="S342" s="977"/>
      <c r="T342" s="977"/>
      <c r="U342" s="977"/>
      <c r="V342" s="977"/>
      <c r="W342" s="977"/>
      <c r="X342" s="977"/>
      <c r="Y342" s="977"/>
      <c r="Z342" s="977"/>
      <c r="AA342" s="977"/>
      <c r="AB342" s="977"/>
      <c r="AC342" s="977"/>
      <c r="AD342" s="977"/>
      <c r="AE342" s="977"/>
      <c r="AF342" s="977"/>
      <c r="AG342" s="977"/>
      <c r="AH342" s="977"/>
      <c r="AI342" s="977"/>
      <c r="AJ342" s="977"/>
      <c r="AK342" s="977"/>
      <c r="AL342" s="977"/>
      <c r="AM342" s="977"/>
      <c r="AN342" s="977"/>
      <c r="AO342" s="977"/>
      <c r="AP342" s="977"/>
      <c r="AQ342" s="977"/>
    </row>
    <row r="343" spans="1:43" ht="14.25" customHeight="1">
      <c r="A343" s="977"/>
      <c r="B343" s="977"/>
      <c r="C343" s="977"/>
      <c r="D343" s="977"/>
      <c r="E343" s="977"/>
      <c r="F343" s="977"/>
      <c r="G343" s="977"/>
      <c r="H343" s="977"/>
      <c r="I343" s="977"/>
      <c r="J343" s="977"/>
      <c r="K343" s="977"/>
      <c r="L343" s="977"/>
      <c r="M343" s="977"/>
      <c r="N343" s="977"/>
      <c r="O343" s="977"/>
      <c r="P343" s="977"/>
      <c r="Q343" s="977"/>
      <c r="R343" s="977"/>
      <c r="S343" s="977"/>
      <c r="T343" s="977"/>
      <c r="U343" s="977"/>
      <c r="V343" s="977"/>
      <c r="W343" s="977"/>
      <c r="X343" s="977"/>
      <c r="Y343" s="977"/>
      <c r="Z343" s="977"/>
      <c r="AA343" s="977"/>
      <c r="AB343" s="977"/>
      <c r="AC343" s="977"/>
      <c r="AD343" s="977"/>
      <c r="AE343" s="977"/>
      <c r="AF343" s="977"/>
      <c r="AG343" s="977"/>
      <c r="AH343" s="977"/>
      <c r="AI343" s="977"/>
      <c r="AJ343" s="977"/>
      <c r="AK343" s="977"/>
      <c r="AL343" s="977"/>
      <c r="AM343" s="977"/>
      <c r="AN343" s="977"/>
      <c r="AO343" s="977"/>
      <c r="AP343" s="977"/>
      <c r="AQ343" s="977"/>
    </row>
    <row r="344" spans="1:43" ht="14.25" customHeight="1">
      <c r="A344" s="977"/>
      <c r="B344" s="977"/>
      <c r="C344" s="977"/>
      <c r="D344" s="977"/>
      <c r="E344" s="977"/>
      <c r="F344" s="977"/>
      <c r="G344" s="977"/>
      <c r="H344" s="977"/>
      <c r="I344" s="977"/>
      <c r="J344" s="977"/>
      <c r="K344" s="977"/>
      <c r="L344" s="977"/>
      <c r="M344" s="977"/>
      <c r="N344" s="977"/>
      <c r="O344" s="977"/>
      <c r="P344" s="977"/>
      <c r="Q344" s="977"/>
      <c r="R344" s="977"/>
      <c r="S344" s="977"/>
      <c r="T344" s="977"/>
      <c r="U344" s="977"/>
      <c r="V344" s="977"/>
      <c r="W344" s="977"/>
      <c r="X344" s="977"/>
      <c r="Y344" s="977"/>
      <c r="Z344" s="977"/>
      <c r="AA344" s="977"/>
      <c r="AB344" s="977"/>
      <c r="AC344" s="977"/>
      <c r="AD344" s="977"/>
      <c r="AE344" s="977"/>
      <c r="AF344" s="977"/>
      <c r="AG344" s="977"/>
      <c r="AH344" s="977"/>
      <c r="AI344" s="977"/>
      <c r="AJ344" s="977"/>
      <c r="AK344" s="977"/>
      <c r="AL344" s="977"/>
      <c r="AM344" s="977"/>
      <c r="AN344" s="977"/>
      <c r="AO344" s="977"/>
      <c r="AP344" s="977"/>
      <c r="AQ344" s="977"/>
    </row>
    <row r="345" spans="1:43" ht="14.25" customHeight="1">
      <c r="A345" s="977"/>
      <c r="B345" s="977"/>
      <c r="C345" s="977"/>
      <c r="D345" s="977"/>
      <c r="E345" s="977"/>
      <c r="F345" s="977"/>
      <c r="G345" s="977"/>
      <c r="H345" s="977"/>
      <c r="I345" s="977"/>
      <c r="J345" s="977"/>
      <c r="K345" s="977"/>
      <c r="L345" s="977"/>
      <c r="M345" s="977"/>
      <c r="N345" s="977"/>
      <c r="O345" s="977"/>
      <c r="P345" s="977"/>
      <c r="Q345" s="977"/>
      <c r="R345" s="977"/>
      <c r="S345" s="977"/>
      <c r="T345" s="977"/>
      <c r="U345" s="977"/>
      <c r="V345" s="977"/>
      <c r="W345" s="977"/>
      <c r="X345" s="977"/>
      <c r="Y345" s="977"/>
      <c r="Z345" s="977"/>
      <c r="AA345" s="977"/>
      <c r="AB345" s="977"/>
      <c r="AC345" s="977"/>
      <c r="AD345" s="977"/>
      <c r="AE345" s="977"/>
      <c r="AF345" s="977"/>
      <c r="AG345" s="977"/>
      <c r="AH345" s="977"/>
      <c r="AI345" s="977"/>
      <c r="AJ345" s="977"/>
      <c r="AK345" s="977"/>
      <c r="AL345" s="977"/>
      <c r="AM345" s="977"/>
      <c r="AN345" s="977"/>
      <c r="AO345" s="977"/>
      <c r="AP345" s="977"/>
      <c r="AQ345" s="977"/>
    </row>
    <row r="346" spans="1:43" ht="14.25" customHeight="1">
      <c r="A346" s="977"/>
      <c r="B346" s="977"/>
      <c r="C346" s="977"/>
      <c r="D346" s="977"/>
      <c r="E346" s="977"/>
      <c r="F346" s="977"/>
      <c r="G346" s="977"/>
      <c r="H346" s="977"/>
      <c r="I346" s="977"/>
      <c r="J346" s="977"/>
      <c r="K346" s="977"/>
      <c r="L346" s="977"/>
      <c r="M346" s="977"/>
      <c r="N346" s="977"/>
      <c r="O346" s="977"/>
      <c r="P346" s="977"/>
      <c r="Q346" s="977"/>
      <c r="R346" s="977"/>
      <c r="S346" s="977"/>
      <c r="T346" s="977"/>
      <c r="U346" s="977"/>
      <c r="V346" s="977"/>
      <c r="W346" s="977"/>
      <c r="X346" s="977"/>
      <c r="Y346" s="977"/>
      <c r="Z346" s="977"/>
      <c r="AA346" s="977"/>
      <c r="AB346" s="977"/>
      <c r="AC346" s="977"/>
      <c r="AD346" s="977"/>
      <c r="AE346" s="977"/>
      <c r="AF346" s="977"/>
      <c r="AG346" s="977"/>
      <c r="AH346" s="977"/>
      <c r="AI346" s="977"/>
      <c r="AJ346" s="977"/>
      <c r="AK346" s="977"/>
      <c r="AL346" s="977"/>
      <c r="AM346" s="977"/>
      <c r="AN346" s="977"/>
      <c r="AO346" s="977"/>
      <c r="AP346" s="977"/>
      <c r="AQ346" s="977"/>
    </row>
    <row r="347" spans="1:43" ht="14.25" customHeight="1">
      <c r="A347" s="977"/>
      <c r="B347" s="977"/>
      <c r="C347" s="977"/>
      <c r="D347" s="977"/>
      <c r="E347" s="977"/>
      <c r="F347" s="977"/>
      <c r="G347" s="977"/>
      <c r="H347" s="977"/>
      <c r="I347" s="977"/>
      <c r="J347" s="977"/>
      <c r="K347" s="977"/>
      <c r="L347" s="977"/>
      <c r="M347" s="977"/>
      <c r="N347" s="977"/>
      <c r="O347" s="977"/>
      <c r="P347" s="977"/>
      <c r="Q347" s="977"/>
      <c r="R347" s="977"/>
      <c r="S347" s="977"/>
      <c r="T347" s="977"/>
      <c r="U347" s="977"/>
      <c r="V347" s="977"/>
      <c r="W347" s="977"/>
      <c r="X347" s="977"/>
      <c r="Y347" s="977"/>
      <c r="Z347" s="977"/>
      <c r="AA347" s="977"/>
      <c r="AB347" s="977"/>
      <c r="AC347" s="977"/>
      <c r="AD347" s="977"/>
      <c r="AE347" s="977"/>
      <c r="AF347" s="977"/>
      <c r="AG347" s="977"/>
      <c r="AH347" s="977"/>
      <c r="AI347" s="977"/>
      <c r="AJ347" s="977"/>
      <c r="AK347" s="977"/>
      <c r="AL347" s="977"/>
      <c r="AM347" s="977"/>
      <c r="AN347" s="977"/>
      <c r="AO347" s="977"/>
      <c r="AP347" s="977"/>
      <c r="AQ347" s="977"/>
    </row>
    <row r="348" spans="1:43" ht="14.25" customHeight="1">
      <c r="A348" s="977"/>
      <c r="B348" s="977"/>
      <c r="C348" s="977"/>
      <c r="D348" s="977"/>
      <c r="E348" s="977"/>
      <c r="F348" s="977"/>
      <c r="G348" s="977"/>
      <c r="H348" s="977"/>
      <c r="I348" s="977"/>
      <c r="J348" s="977"/>
      <c r="K348" s="977"/>
      <c r="L348" s="977"/>
      <c r="M348" s="977"/>
      <c r="N348" s="977"/>
      <c r="O348" s="977"/>
      <c r="P348" s="977"/>
      <c r="Q348" s="977"/>
      <c r="R348" s="977"/>
      <c r="S348" s="977"/>
      <c r="T348" s="977"/>
      <c r="U348" s="977"/>
      <c r="V348" s="977"/>
      <c r="W348" s="977"/>
      <c r="X348" s="977"/>
      <c r="Y348" s="977"/>
      <c r="Z348" s="977"/>
      <c r="AA348" s="977"/>
      <c r="AB348" s="977"/>
      <c r="AC348" s="977"/>
      <c r="AD348" s="977"/>
      <c r="AE348" s="977"/>
      <c r="AF348" s="977"/>
      <c r="AG348" s="977"/>
      <c r="AH348" s="977"/>
      <c r="AI348" s="977"/>
      <c r="AJ348" s="977"/>
      <c r="AK348" s="977"/>
      <c r="AL348" s="977"/>
      <c r="AM348" s="977"/>
      <c r="AN348" s="977"/>
      <c r="AO348" s="977"/>
      <c r="AP348" s="977"/>
      <c r="AQ348" s="977"/>
    </row>
    <row r="349" spans="1:43" ht="14.25" customHeight="1">
      <c r="A349" s="977"/>
      <c r="B349" s="977"/>
      <c r="C349" s="977"/>
      <c r="D349" s="977"/>
      <c r="E349" s="977"/>
      <c r="F349" s="977"/>
      <c r="G349" s="977"/>
      <c r="H349" s="977"/>
      <c r="I349" s="977"/>
      <c r="J349" s="977"/>
      <c r="K349" s="977"/>
      <c r="L349" s="977"/>
      <c r="M349" s="977"/>
      <c r="N349" s="977"/>
      <c r="O349" s="977"/>
      <c r="P349" s="977"/>
      <c r="Q349" s="977"/>
      <c r="R349" s="977"/>
      <c r="S349" s="977"/>
      <c r="T349" s="977"/>
      <c r="U349" s="977"/>
      <c r="V349" s="977"/>
      <c r="W349" s="977"/>
      <c r="X349" s="977"/>
      <c r="Y349" s="977"/>
      <c r="Z349" s="977"/>
      <c r="AA349" s="977"/>
      <c r="AB349" s="977"/>
      <c r="AC349" s="977"/>
      <c r="AD349" s="977"/>
      <c r="AE349" s="977"/>
      <c r="AF349" s="977"/>
      <c r="AG349" s="977"/>
      <c r="AH349" s="977"/>
      <c r="AI349" s="977"/>
      <c r="AJ349" s="977"/>
      <c r="AK349" s="977"/>
      <c r="AL349" s="977"/>
      <c r="AM349" s="977"/>
      <c r="AN349" s="977"/>
      <c r="AO349" s="977"/>
      <c r="AP349" s="977"/>
      <c r="AQ349" s="977"/>
    </row>
    <row r="350" spans="1:43" ht="14.25" customHeight="1">
      <c r="A350" s="977"/>
      <c r="B350" s="977"/>
      <c r="C350" s="977"/>
      <c r="D350" s="977"/>
      <c r="E350" s="977"/>
      <c r="F350" s="977"/>
      <c r="G350" s="977"/>
      <c r="H350" s="977"/>
      <c r="I350" s="977"/>
      <c r="J350" s="977"/>
      <c r="K350" s="977"/>
      <c r="L350" s="977"/>
      <c r="M350" s="977"/>
      <c r="N350" s="977"/>
      <c r="O350" s="977"/>
      <c r="P350" s="977"/>
      <c r="Q350" s="977"/>
      <c r="R350" s="977"/>
      <c r="S350" s="977"/>
      <c r="T350" s="977"/>
      <c r="U350" s="977"/>
      <c r="V350" s="977"/>
      <c r="W350" s="977"/>
      <c r="X350" s="977"/>
      <c r="Y350" s="977"/>
      <c r="Z350" s="977"/>
      <c r="AA350" s="977"/>
      <c r="AB350" s="977"/>
      <c r="AC350" s="977"/>
      <c r="AD350" s="977"/>
      <c r="AE350" s="977"/>
      <c r="AF350" s="977"/>
      <c r="AG350" s="977"/>
      <c r="AH350" s="977"/>
      <c r="AI350" s="977"/>
      <c r="AJ350" s="977"/>
      <c r="AK350" s="977"/>
      <c r="AL350" s="977"/>
      <c r="AM350" s="977"/>
      <c r="AN350" s="977"/>
      <c r="AO350" s="977"/>
      <c r="AP350" s="977"/>
      <c r="AQ350" s="977"/>
    </row>
    <row r="351" spans="1:43" ht="14.25" customHeight="1">
      <c r="A351" s="977"/>
      <c r="B351" s="977"/>
      <c r="C351" s="977"/>
      <c r="D351" s="977"/>
      <c r="E351" s="977"/>
      <c r="F351" s="977"/>
      <c r="G351" s="977"/>
      <c r="H351" s="977"/>
      <c r="I351" s="977"/>
      <c r="J351" s="977"/>
      <c r="K351" s="977"/>
      <c r="L351" s="977"/>
      <c r="M351" s="977"/>
      <c r="N351" s="977"/>
      <c r="O351" s="977"/>
      <c r="P351" s="977"/>
      <c r="Q351" s="977"/>
      <c r="R351" s="977"/>
      <c r="S351" s="977"/>
      <c r="T351" s="977"/>
      <c r="U351" s="977"/>
      <c r="V351" s="977"/>
      <c r="W351" s="977"/>
      <c r="X351" s="977"/>
      <c r="Y351" s="977"/>
      <c r="Z351" s="977"/>
      <c r="AA351" s="977"/>
      <c r="AB351" s="977"/>
      <c r="AC351" s="977"/>
      <c r="AD351" s="977"/>
      <c r="AE351" s="977"/>
      <c r="AF351" s="977"/>
      <c r="AG351" s="977"/>
      <c r="AH351" s="977"/>
      <c r="AI351" s="977"/>
      <c r="AJ351" s="977"/>
      <c r="AK351" s="977"/>
      <c r="AL351" s="977"/>
      <c r="AM351" s="977"/>
      <c r="AN351" s="977"/>
      <c r="AO351" s="977"/>
      <c r="AP351" s="977"/>
      <c r="AQ351" s="977"/>
    </row>
    <row r="352" spans="1:43" ht="14.25" customHeight="1">
      <c r="A352" s="977"/>
      <c r="B352" s="977"/>
      <c r="C352" s="977"/>
      <c r="D352" s="977"/>
      <c r="E352" s="977"/>
      <c r="F352" s="977"/>
      <c r="G352" s="977"/>
      <c r="H352" s="977"/>
      <c r="I352" s="977"/>
      <c r="J352" s="977"/>
      <c r="K352" s="977"/>
      <c r="L352" s="977"/>
      <c r="M352" s="977"/>
      <c r="N352" s="977"/>
      <c r="O352" s="977"/>
      <c r="P352" s="977"/>
      <c r="Q352" s="977"/>
      <c r="R352" s="977"/>
      <c r="S352" s="977"/>
      <c r="T352" s="977"/>
      <c r="U352" s="977"/>
      <c r="V352" s="977"/>
      <c r="W352" s="977"/>
      <c r="X352" s="977"/>
      <c r="Y352" s="977"/>
      <c r="Z352" s="977"/>
      <c r="AA352" s="977"/>
      <c r="AB352" s="977"/>
      <c r="AC352" s="977"/>
      <c r="AD352" s="977"/>
      <c r="AE352" s="977"/>
      <c r="AF352" s="977"/>
      <c r="AG352" s="977"/>
      <c r="AH352" s="977"/>
      <c r="AI352" s="977"/>
      <c r="AJ352" s="977"/>
      <c r="AK352" s="977"/>
      <c r="AL352" s="977"/>
      <c r="AM352" s="977"/>
      <c r="AN352" s="977"/>
      <c r="AO352" s="977"/>
      <c r="AP352" s="977"/>
      <c r="AQ352" s="977"/>
    </row>
    <row r="353" spans="1:43" ht="14.25" customHeight="1">
      <c r="A353" s="977"/>
      <c r="B353" s="977"/>
      <c r="C353" s="977"/>
      <c r="D353" s="977"/>
      <c r="E353" s="977"/>
      <c r="F353" s="977"/>
      <c r="G353" s="977"/>
      <c r="H353" s="977"/>
      <c r="I353" s="977"/>
      <c r="J353" s="977"/>
      <c r="K353" s="977"/>
      <c r="L353" s="977"/>
      <c r="M353" s="977"/>
      <c r="N353" s="977"/>
      <c r="O353" s="977"/>
      <c r="P353" s="977"/>
      <c r="Q353" s="977"/>
      <c r="R353" s="977"/>
      <c r="S353" s="977"/>
      <c r="T353" s="977"/>
      <c r="U353" s="977"/>
      <c r="V353" s="977"/>
      <c r="W353" s="977"/>
      <c r="X353" s="977"/>
      <c r="Y353" s="977"/>
      <c r="Z353" s="977"/>
      <c r="AA353" s="977"/>
      <c r="AB353" s="977"/>
      <c r="AC353" s="977"/>
      <c r="AD353" s="977"/>
      <c r="AE353" s="977"/>
      <c r="AF353" s="977"/>
      <c r="AG353" s="977"/>
      <c r="AH353" s="977"/>
      <c r="AI353" s="977"/>
      <c r="AJ353" s="977"/>
      <c r="AK353" s="977"/>
      <c r="AL353" s="977"/>
      <c r="AM353" s="977"/>
      <c r="AN353" s="977"/>
      <c r="AO353" s="977"/>
      <c r="AP353" s="977"/>
      <c r="AQ353" s="977"/>
    </row>
    <row r="354" spans="1:43" ht="14.25" customHeight="1">
      <c r="A354" s="977"/>
      <c r="B354" s="977"/>
      <c r="C354" s="977"/>
      <c r="D354" s="977"/>
      <c r="E354" s="977"/>
      <c r="F354" s="977"/>
      <c r="G354" s="977"/>
      <c r="H354" s="977"/>
      <c r="I354" s="977"/>
      <c r="J354" s="977"/>
      <c r="K354" s="977"/>
      <c r="L354" s="977"/>
      <c r="M354" s="977"/>
      <c r="N354" s="977"/>
      <c r="O354" s="977"/>
      <c r="P354" s="977"/>
      <c r="Q354" s="977"/>
      <c r="R354" s="977"/>
      <c r="S354" s="977"/>
      <c r="T354" s="977"/>
      <c r="U354" s="977"/>
      <c r="V354" s="977"/>
      <c r="W354" s="977"/>
      <c r="X354" s="977"/>
      <c r="Y354" s="977"/>
      <c r="Z354" s="977"/>
      <c r="AA354" s="977"/>
      <c r="AB354" s="977"/>
      <c r="AC354" s="977"/>
      <c r="AD354" s="977"/>
      <c r="AE354" s="977"/>
      <c r="AF354" s="977"/>
      <c r="AG354" s="977"/>
      <c r="AH354" s="977"/>
      <c r="AI354" s="977"/>
      <c r="AJ354" s="977"/>
      <c r="AK354" s="977"/>
      <c r="AL354" s="977"/>
      <c r="AM354" s="977"/>
      <c r="AN354" s="977"/>
      <c r="AO354" s="977"/>
      <c r="AP354" s="977"/>
      <c r="AQ354" s="977"/>
    </row>
    <row r="355" spans="1:43" ht="14.25" customHeight="1">
      <c r="A355" s="977"/>
      <c r="B355" s="977"/>
      <c r="C355" s="977"/>
      <c r="D355" s="977"/>
      <c r="E355" s="977"/>
      <c r="F355" s="977"/>
      <c r="G355" s="977"/>
      <c r="H355" s="977"/>
      <c r="I355" s="977"/>
      <c r="J355" s="977"/>
      <c r="K355" s="977"/>
      <c r="L355" s="977"/>
      <c r="M355" s="977"/>
      <c r="N355" s="977"/>
      <c r="O355" s="977"/>
      <c r="P355" s="977"/>
      <c r="Q355" s="977"/>
      <c r="R355" s="977"/>
      <c r="S355" s="977"/>
      <c r="T355" s="977"/>
      <c r="U355" s="977"/>
      <c r="V355" s="977"/>
      <c r="W355" s="977"/>
      <c r="X355" s="977"/>
      <c r="Y355" s="977"/>
      <c r="Z355" s="977"/>
      <c r="AA355" s="977"/>
      <c r="AB355" s="977"/>
      <c r="AC355" s="977"/>
      <c r="AD355" s="977"/>
      <c r="AE355" s="977"/>
      <c r="AF355" s="977"/>
      <c r="AG355" s="977"/>
      <c r="AH355" s="977"/>
      <c r="AI355" s="977"/>
      <c r="AJ355" s="977"/>
      <c r="AK355" s="977"/>
      <c r="AL355" s="977"/>
      <c r="AM355" s="977"/>
      <c r="AN355" s="977"/>
      <c r="AO355" s="977"/>
      <c r="AP355" s="977"/>
      <c r="AQ355" s="977"/>
    </row>
    <row r="356" spans="1:43" ht="14.25" customHeight="1">
      <c r="A356" s="977"/>
      <c r="B356" s="977"/>
      <c r="C356" s="977"/>
      <c r="D356" s="977"/>
      <c r="E356" s="977"/>
      <c r="F356" s="977"/>
      <c r="G356" s="977"/>
      <c r="H356" s="977"/>
      <c r="I356" s="977"/>
      <c r="J356" s="977"/>
      <c r="K356" s="977"/>
      <c r="L356" s="977"/>
      <c r="M356" s="977"/>
      <c r="N356" s="977"/>
      <c r="O356" s="977"/>
      <c r="P356" s="977"/>
      <c r="Q356" s="977"/>
      <c r="R356" s="977"/>
      <c r="S356" s="977"/>
      <c r="T356" s="977"/>
      <c r="U356" s="977"/>
      <c r="V356" s="977"/>
      <c r="W356" s="977"/>
      <c r="X356" s="977"/>
      <c r="Y356" s="977"/>
      <c r="Z356" s="977"/>
      <c r="AA356" s="977"/>
      <c r="AB356" s="977"/>
      <c r="AC356" s="977"/>
      <c r="AD356" s="977"/>
      <c r="AE356" s="977"/>
      <c r="AF356" s="977"/>
      <c r="AG356" s="977"/>
      <c r="AH356" s="977"/>
      <c r="AI356" s="977"/>
      <c r="AJ356" s="977"/>
      <c r="AK356" s="977"/>
      <c r="AL356" s="977"/>
      <c r="AM356" s="977"/>
      <c r="AN356" s="977"/>
      <c r="AO356" s="977"/>
      <c r="AP356" s="977"/>
      <c r="AQ356" s="977"/>
    </row>
    <row r="357" spans="1:43" ht="14.25" customHeight="1">
      <c r="A357" s="977"/>
      <c r="B357" s="977"/>
      <c r="C357" s="977"/>
      <c r="D357" s="977"/>
      <c r="E357" s="977"/>
      <c r="F357" s="977"/>
      <c r="G357" s="977"/>
      <c r="H357" s="977"/>
      <c r="I357" s="977"/>
      <c r="J357" s="977"/>
      <c r="K357" s="977"/>
      <c r="L357" s="977"/>
      <c r="M357" s="977"/>
      <c r="N357" s="977"/>
      <c r="O357" s="977"/>
      <c r="P357" s="977"/>
      <c r="Q357" s="977"/>
      <c r="R357" s="977"/>
      <c r="S357" s="977"/>
      <c r="T357" s="977"/>
      <c r="U357" s="977"/>
      <c r="V357" s="977"/>
      <c r="W357" s="977"/>
      <c r="X357" s="977"/>
      <c r="Y357" s="977"/>
      <c r="Z357" s="977"/>
      <c r="AA357" s="977"/>
      <c r="AB357" s="977"/>
      <c r="AC357" s="977"/>
      <c r="AD357" s="977"/>
      <c r="AE357" s="977"/>
      <c r="AF357" s="977"/>
      <c r="AG357" s="977"/>
      <c r="AH357" s="977"/>
      <c r="AI357" s="977"/>
      <c r="AJ357" s="977"/>
      <c r="AK357" s="977"/>
      <c r="AL357" s="977"/>
      <c r="AM357" s="977"/>
      <c r="AN357" s="977"/>
      <c r="AO357" s="977"/>
      <c r="AP357" s="977"/>
      <c r="AQ357" s="977"/>
    </row>
    <row r="358" spans="1:43" ht="14.25" customHeight="1">
      <c r="A358" s="977"/>
      <c r="B358" s="977"/>
      <c r="C358" s="977"/>
      <c r="D358" s="977"/>
      <c r="E358" s="977"/>
      <c r="F358" s="977"/>
      <c r="G358" s="977"/>
      <c r="H358" s="977"/>
      <c r="I358" s="977"/>
      <c r="J358" s="977"/>
      <c r="K358" s="977"/>
      <c r="L358" s="977"/>
      <c r="M358" s="977"/>
      <c r="N358" s="977"/>
      <c r="O358" s="977"/>
      <c r="P358" s="977"/>
      <c r="Q358" s="977"/>
      <c r="R358" s="977"/>
      <c r="S358" s="977"/>
      <c r="T358" s="977"/>
      <c r="U358" s="977"/>
      <c r="V358" s="977"/>
      <c r="W358" s="977"/>
      <c r="X358" s="977"/>
      <c r="Y358" s="977"/>
      <c r="Z358" s="977"/>
      <c r="AA358" s="977"/>
      <c r="AB358" s="977"/>
      <c r="AC358" s="977"/>
      <c r="AD358" s="977"/>
      <c r="AE358" s="977"/>
      <c r="AF358" s="977"/>
      <c r="AG358" s="977"/>
      <c r="AH358" s="977"/>
      <c r="AI358" s="977"/>
      <c r="AJ358" s="977"/>
      <c r="AK358" s="977"/>
      <c r="AL358" s="977"/>
      <c r="AM358" s="977"/>
      <c r="AN358" s="977"/>
      <c r="AO358" s="977"/>
      <c r="AP358" s="977"/>
      <c r="AQ358" s="977"/>
    </row>
    <row r="359" spans="1:43" ht="14.25" customHeight="1">
      <c r="A359" s="977"/>
      <c r="B359" s="977"/>
      <c r="C359" s="977"/>
      <c r="D359" s="977"/>
      <c r="E359" s="977"/>
      <c r="F359" s="977"/>
      <c r="G359" s="977"/>
      <c r="H359" s="977"/>
      <c r="I359" s="977"/>
      <c r="J359" s="977"/>
      <c r="K359" s="977"/>
      <c r="L359" s="977"/>
      <c r="M359" s="977"/>
      <c r="N359" s="977"/>
      <c r="O359" s="977"/>
      <c r="P359" s="977"/>
      <c r="Q359" s="977"/>
      <c r="R359" s="977"/>
      <c r="S359" s="977"/>
      <c r="T359" s="977"/>
      <c r="U359" s="977"/>
      <c r="V359" s="977"/>
      <c r="W359" s="977"/>
      <c r="X359" s="977"/>
      <c r="Y359" s="977"/>
      <c r="Z359" s="977"/>
      <c r="AA359" s="977"/>
      <c r="AB359" s="977"/>
      <c r="AC359" s="977"/>
      <c r="AD359" s="977"/>
      <c r="AE359" s="977"/>
      <c r="AF359" s="977"/>
      <c r="AG359" s="977"/>
      <c r="AH359" s="977"/>
      <c r="AI359" s="977"/>
      <c r="AJ359" s="977"/>
      <c r="AK359" s="977"/>
      <c r="AL359" s="977"/>
      <c r="AM359" s="977"/>
      <c r="AN359" s="977"/>
      <c r="AO359" s="977"/>
      <c r="AP359" s="977"/>
      <c r="AQ359" s="977"/>
    </row>
    <row r="360" spans="1:43" ht="14.25" customHeight="1">
      <c r="A360" s="977"/>
      <c r="B360" s="977"/>
      <c r="C360" s="977"/>
      <c r="D360" s="977"/>
      <c r="E360" s="977"/>
      <c r="F360" s="977"/>
      <c r="G360" s="977"/>
      <c r="H360" s="977"/>
      <c r="I360" s="977"/>
      <c r="J360" s="977"/>
      <c r="K360" s="977"/>
      <c r="L360" s="977"/>
      <c r="M360" s="977"/>
      <c r="N360" s="977"/>
      <c r="O360" s="977"/>
      <c r="P360" s="977"/>
      <c r="Q360" s="977"/>
      <c r="R360" s="977"/>
      <c r="S360" s="977"/>
      <c r="T360" s="977"/>
      <c r="U360" s="977"/>
      <c r="V360" s="977"/>
      <c r="W360" s="977"/>
      <c r="X360" s="977"/>
      <c r="Y360" s="977"/>
      <c r="Z360" s="977"/>
      <c r="AA360" s="977"/>
      <c r="AB360" s="977"/>
      <c r="AC360" s="977"/>
      <c r="AD360" s="977"/>
      <c r="AE360" s="977"/>
      <c r="AF360" s="977"/>
      <c r="AG360" s="977"/>
      <c r="AH360" s="977"/>
      <c r="AI360" s="977"/>
      <c r="AJ360" s="977"/>
      <c r="AK360" s="977"/>
      <c r="AL360" s="977"/>
      <c r="AM360" s="977"/>
      <c r="AN360" s="977"/>
      <c r="AO360" s="977"/>
      <c r="AP360" s="977"/>
      <c r="AQ360" s="977"/>
    </row>
    <row r="361" spans="1:43" ht="14.25" customHeight="1">
      <c r="A361" s="977"/>
      <c r="B361" s="977"/>
      <c r="C361" s="977"/>
      <c r="D361" s="977"/>
      <c r="E361" s="977"/>
      <c r="F361" s="977"/>
      <c r="G361" s="977"/>
      <c r="H361" s="977"/>
      <c r="I361" s="977"/>
      <c r="J361" s="977"/>
      <c r="K361" s="977"/>
      <c r="L361" s="977"/>
      <c r="M361" s="977"/>
      <c r="N361" s="977"/>
      <c r="O361" s="977"/>
      <c r="P361" s="977"/>
      <c r="Q361" s="977"/>
      <c r="R361" s="977"/>
      <c r="S361" s="977"/>
      <c r="T361" s="977"/>
      <c r="U361" s="977"/>
      <c r="V361" s="977"/>
      <c r="W361" s="977"/>
      <c r="X361" s="977"/>
      <c r="Y361" s="977"/>
      <c r="Z361" s="977"/>
      <c r="AA361" s="977"/>
      <c r="AB361" s="977"/>
      <c r="AC361" s="977"/>
      <c r="AD361" s="977"/>
      <c r="AE361" s="977"/>
      <c r="AF361" s="977"/>
      <c r="AG361" s="977"/>
      <c r="AH361" s="977"/>
      <c r="AI361" s="977"/>
      <c r="AJ361" s="977"/>
      <c r="AK361" s="977"/>
      <c r="AL361" s="977"/>
      <c r="AM361" s="977"/>
      <c r="AN361" s="977"/>
      <c r="AO361" s="977"/>
      <c r="AP361" s="977"/>
      <c r="AQ361" s="977"/>
    </row>
    <row r="362" spans="1:43" ht="14.25" customHeight="1">
      <c r="A362" s="977"/>
      <c r="B362" s="977"/>
      <c r="C362" s="977"/>
      <c r="D362" s="977"/>
      <c r="E362" s="977"/>
      <c r="F362" s="977"/>
      <c r="G362" s="977"/>
      <c r="H362" s="977"/>
      <c r="I362" s="977"/>
      <c r="J362" s="977"/>
      <c r="K362" s="977"/>
      <c r="L362" s="977"/>
      <c r="M362" s="977"/>
      <c r="N362" s="977"/>
      <c r="O362" s="977"/>
      <c r="P362" s="977"/>
      <c r="Q362" s="977"/>
      <c r="R362" s="977"/>
      <c r="S362" s="977"/>
      <c r="T362" s="977"/>
      <c r="U362" s="977"/>
      <c r="V362" s="977"/>
      <c r="W362" s="977"/>
      <c r="X362" s="977"/>
      <c r="Y362" s="977"/>
      <c r="Z362" s="977"/>
      <c r="AA362" s="977"/>
      <c r="AB362" s="977"/>
      <c r="AC362" s="977"/>
      <c r="AD362" s="977"/>
      <c r="AE362" s="977"/>
      <c r="AF362" s="977"/>
      <c r="AG362" s="977"/>
      <c r="AH362" s="977"/>
      <c r="AI362" s="977"/>
      <c r="AJ362" s="977"/>
      <c r="AK362" s="977"/>
      <c r="AL362" s="977"/>
      <c r="AM362" s="977"/>
      <c r="AN362" s="977"/>
      <c r="AO362" s="977"/>
      <c r="AP362" s="977"/>
      <c r="AQ362" s="977"/>
    </row>
    <row r="363" spans="1:43" ht="14.25" customHeight="1">
      <c r="A363" s="977"/>
      <c r="B363" s="977"/>
      <c r="C363" s="977"/>
      <c r="D363" s="977"/>
      <c r="E363" s="977"/>
      <c r="F363" s="977"/>
      <c r="G363" s="977"/>
      <c r="H363" s="977"/>
      <c r="I363" s="977"/>
      <c r="J363" s="977"/>
      <c r="K363" s="977"/>
      <c r="L363" s="977"/>
      <c r="M363" s="977"/>
      <c r="N363" s="977"/>
      <c r="O363" s="977"/>
      <c r="P363" s="977"/>
      <c r="Q363" s="977"/>
      <c r="R363" s="977"/>
      <c r="S363" s="977"/>
      <c r="T363" s="977"/>
      <c r="U363" s="977"/>
      <c r="V363" s="977"/>
      <c r="W363" s="977"/>
      <c r="X363" s="977"/>
      <c r="Y363" s="977"/>
      <c r="Z363" s="977"/>
      <c r="AA363" s="977"/>
      <c r="AB363" s="977"/>
      <c r="AC363" s="977"/>
      <c r="AD363" s="977"/>
      <c r="AE363" s="977"/>
      <c r="AF363" s="977"/>
      <c r="AG363" s="977"/>
      <c r="AH363" s="977"/>
      <c r="AI363" s="977"/>
      <c r="AJ363" s="977"/>
      <c r="AK363" s="977"/>
      <c r="AL363" s="977"/>
      <c r="AM363" s="977"/>
      <c r="AN363" s="977"/>
      <c r="AO363" s="977"/>
      <c r="AP363" s="977"/>
      <c r="AQ363" s="977"/>
    </row>
    <row r="364" spans="1:43" ht="14.25" customHeight="1">
      <c r="A364" s="977"/>
      <c r="B364" s="977"/>
      <c r="C364" s="977"/>
      <c r="D364" s="977"/>
      <c r="E364" s="977"/>
      <c r="F364" s="977"/>
      <c r="G364" s="977"/>
      <c r="H364" s="977"/>
      <c r="I364" s="977"/>
      <c r="J364" s="977"/>
      <c r="K364" s="977"/>
      <c r="L364" s="977"/>
      <c r="M364" s="977"/>
      <c r="N364" s="977"/>
      <c r="O364" s="977"/>
      <c r="P364" s="977"/>
      <c r="Q364" s="977"/>
      <c r="R364" s="977"/>
      <c r="S364" s="977"/>
      <c r="T364" s="977"/>
      <c r="U364" s="977"/>
      <c r="V364" s="977"/>
      <c r="W364" s="977"/>
      <c r="X364" s="977"/>
      <c r="Y364" s="977"/>
      <c r="Z364" s="977"/>
      <c r="AA364" s="977"/>
      <c r="AB364" s="977"/>
      <c r="AC364" s="977"/>
      <c r="AD364" s="977"/>
      <c r="AE364" s="977"/>
      <c r="AF364" s="977"/>
      <c r="AG364" s="977"/>
      <c r="AH364" s="977"/>
      <c r="AI364" s="977"/>
      <c r="AJ364" s="977"/>
      <c r="AK364" s="977"/>
      <c r="AL364" s="977"/>
      <c r="AM364" s="977"/>
      <c r="AN364" s="977"/>
      <c r="AO364" s="977"/>
      <c r="AP364" s="977"/>
      <c r="AQ364" s="977"/>
    </row>
    <row r="365" spans="1:43" ht="14.25" customHeight="1">
      <c r="A365" s="977"/>
      <c r="B365" s="977"/>
      <c r="C365" s="977"/>
      <c r="D365" s="977"/>
      <c r="E365" s="977"/>
      <c r="F365" s="977"/>
      <c r="G365" s="977"/>
      <c r="H365" s="977"/>
      <c r="I365" s="977"/>
      <c r="J365" s="977"/>
      <c r="K365" s="977"/>
      <c r="L365" s="977"/>
      <c r="M365" s="977"/>
      <c r="N365" s="977"/>
      <c r="O365" s="977"/>
      <c r="P365" s="977"/>
      <c r="Q365" s="977"/>
      <c r="R365" s="977"/>
      <c r="S365" s="977"/>
      <c r="T365" s="977"/>
      <c r="U365" s="977"/>
      <c r="V365" s="977"/>
      <c r="W365" s="977"/>
      <c r="X365" s="977"/>
      <c r="Y365" s="977"/>
      <c r="Z365" s="977"/>
      <c r="AA365" s="977"/>
      <c r="AB365" s="977"/>
      <c r="AC365" s="977"/>
      <c r="AD365" s="977"/>
      <c r="AE365" s="977"/>
      <c r="AF365" s="977"/>
      <c r="AG365" s="977"/>
      <c r="AH365" s="977"/>
      <c r="AI365" s="977"/>
      <c r="AJ365" s="977"/>
      <c r="AK365" s="977"/>
      <c r="AL365" s="977"/>
      <c r="AM365" s="977"/>
      <c r="AN365" s="977"/>
      <c r="AO365" s="977"/>
      <c r="AP365" s="977"/>
      <c r="AQ365" s="977"/>
    </row>
    <row r="366" spans="1:43" ht="14.25" customHeight="1">
      <c r="A366" s="977"/>
      <c r="B366" s="977"/>
      <c r="C366" s="977"/>
      <c r="D366" s="977"/>
      <c r="E366" s="977"/>
      <c r="F366" s="977"/>
      <c r="G366" s="977"/>
      <c r="H366" s="977"/>
      <c r="I366" s="977"/>
      <c r="J366" s="977"/>
      <c r="K366" s="977"/>
      <c r="L366" s="977"/>
      <c r="M366" s="977"/>
      <c r="N366" s="977"/>
      <c r="O366" s="977"/>
      <c r="P366" s="977"/>
      <c r="Q366" s="977"/>
      <c r="R366" s="977"/>
      <c r="S366" s="977"/>
      <c r="T366" s="977"/>
      <c r="U366" s="977"/>
      <c r="V366" s="977"/>
      <c r="W366" s="977"/>
      <c r="X366" s="977"/>
      <c r="Y366" s="977"/>
      <c r="Z366" s="977"/>
      <c r="AA366" s="977"/>
      <c r="AB366" s="977"/>
      <c r="AC366" s="977"/>
      <c r="AD366" s="977"/>
      <c r="AE366" s="977"/>
      <c r="AF366" s="977"/>
      <c r="AG366" s="977"/>
      <c r="AH366" s="977"/>
      <c r="AI366" s="977"/>
      <c r="AJ366" s="977"/>
      <c r="AK366" s="977"/>
      <c r="AL366" s="977"/>
      <c r="AM366" s="977"/>
      <c r="AN366" s="977"/>
      <c r="AO366" s="977"/>
      <c r="AP366" s="977"/>
      <c r="AQ366" s="977"/>
    </row>
    <row r="367" spans="1:43" ht="14.25" customHeight="1">
      <c r="A367" s="977"/>
      <c r="B367" s="977"/>
      <c r="C367" s="977"/>
      <c r="D367" s="977"/>
      <c r="E367" s="977"/>
      <c r="F367" s="977"/>
      <c r="G367" s="977"/>
      <c r="H367" s="977"/>
      <c r="I367" s="977"/>
      <c r="J367" s="977"/>
      <c r="K367" s="977"/>
      <c r="L367" s="977"/>
      <c r="M367" s="977"/>
      <c r="N367" s="977"/>
      <c r="O367" s="977"/>
      <c r="P367" s="977"/>
      <c r="Q367" s="977"/>
      <c r="R367" s="977"/>
      <c r="S367" s="977"/>
      <c r="T367" s="977"/>
      <c r="U367" s="977"/>
      <c r="V367" s="977"/>
      <c r="W367" s="977"/>
      <c r="X367" s="977"/>
      <c r="Y367" s="977"/>
      <c r="Z367" s="977"/>
      <c r="AA367" s="977"/>
      <c r="AB367" s="977"/>
      <c r="AC367" s="977"/>
      <c r="AD367" s="977"/>
      <c r="AE367" s="977"/>
      <c r="AF367" s="977"/>
      <c r="AG367" s="977"/>
      <c r="AH367" s="977"/>
      <c r="AI367" s="977"/>
      <c r="AJ367" s="977"/>
      <c r="AK367" s="977"/>
      <c r="AL367" s="977"/>
      <c r="AM367" s="977"/>
      <c r="AN367" s="977"/>
      <c r="AO367" s="977"/>
      <c r="AP367" s="977"/>
      <c r="AQ367" s="977"/>
    </row>
    <row r="368" spans="1:43" ht="14.25" customHeight="1">
      <c r="A368" s="977"/>
      <c r="B368" s="977"/>
      <c r="C368" s="977"/>
      <c r="D368" s="977"/>
      <c r="E368" s="977"/>
      <c r="F368" s="977"/>
      <c r="G368" s="977"/>
      <c r="H368" s="977"/>
      <c r="I368" s="977"/>
      <c r="J368" s="977"/>
      <c r="K368" s="977"/>
      <c r="L368" s="977"/>
      <c r="M368" s="977"/>
      <c r="N368" s="977"/>
      <c r="O368" s="977"/>
      <c r="P368" s="977"/>
      <c r="Q368" s="977"/>
      <c r="R368" s="977"/>
      <c r="S368" s="977"/>
      <c r="T368" s="977"/>
      <c r="U368" s="977"/>
      <c r="V368" s="977"/>
      <c r="W368" s="977"/>
      <c r="X368" s="977"/>
      <c r="Y368" s="977"/>
      <c r="Z368" s="977"/>
      <c r="AA368" s="977"/>
      <c r="AB368" s="977"/>
      <c r="AC368" s="977"/>
      <c r="AD368" s="977"/>
      <c r="AE368" s="977"/>
      <c r="AF368" s="977"/>
      <c r="AG368" s="977"/>
      <c r="AH368" s="977"/>
      <c r="AI368" s="977"/>
      <c r="AJ368" s="977"/>
      <c r="AK368" s="977"/>
      <c r="AL368" s="977"/>
      <c r="AM368" s="977"/>
      <c r="AN368" s="977"/>
      <c r="AO368" s="977"/>
      <c r="AP368" s="977"/>
      <c r="AQ368" s="977"/>
    </row>
    <row r="369" spans="1:43" ht="14.25" customHeight="1">
      <c r="A369" s="977"/>
      <c r="B369" s="977"/>
      <c r="C369" s="977"/>
      <c r="D369" s="977"/>
      <c r="E369" s="977"/>
      <c r="F369" s="977"/>
      <c r="G369" s="977"/>
      <c r="H369" s="977"/>
      <c r="I369" s="977"/>
      <c r="J369" s="977"/>
      <c r="K369" s="977"/>
      <c r="L369" s="977"/>
      <c r="M369" s="977"/>
      <c r="N369" s="977"/>
      <c r="O369" s="977"/>
      <c r="P369" s="977"/>
      <c r="Q369" s="977"/>
      <c r="R369" s="977"/>
      <c r="S369" s="977"/>
      <c r="T369" s="977"/>
      <c r="U369" s="977"/>
      <c r="V369" s="977"/>
      <c r="W369" s="977"/>
      <c r="X369" s="977"/>
      <c r="Y369" s="977"/>
      <c r="Z369" s="977"/>
      <c r="AA369" s="977"/>
      <c r="AB369" s="977"/>
      <c r="AC369" s="977"/>
      <c r="AD369" s="977"/>
      <c r="AE369" s="977"/>
      <c r="AF369" s="977"/>
      <c r="AG369" s="977"/>
      <c r="AH369" s="977"/>
      <c r="AI369" s="977"/>
      <c r="AJ369" s="977"/>
      <c r="AK369" s="977"/>
      <c r="AL369" s="977"/>
      <c r="AM369" s="977"/>
      <c r="AN369" s="977"/>
      <c r="AO369" s="977"/>
      <c r="AP369" s="977"/>
      <c r="AQ369" s="977"/>
    </row>
    <row r="370" spans="1:43" ht="14.25" customHeight="1">
      <c r="A370" s="977"/>
      <c r="B370" s="977"/>
      <c r="C370" s="977"/>
      <c r="D370" s="977"/>
      <c r="E370" s="977"/>
      <c r="F370" s="977"/>
      <c r="G370" s="977"/>
      <c r="H370" s="977"/>
      <c r="I370" s="977"/>
      <c r="J370" s="977"/>
      <c r="K370" s="977"/>
      <c r="L370" s="977"/>
      <c r="M370" s="977"/>
      <c r="N370" s="977"/>
      <c r="O370" s="977"/>
      <c r="P370" s="977"/>
      <c r="Q370" s="977"/>
      <c r="R370" s="977"/>
      <c r="S370" s="977"/>
      <c r="T370" s="977"/>
      <c r="U370" s="977"/>
      <c r="V370" s="977"/>
      <c r="W370" s="977"/>
      <c r="X370" s="977"/>
      <c r="Y370" s="977"/>
      <c r="Z370" s="977"/>
      <c r="AA370" s="977"/>
      <c r="AB370" s="977"/>
      <c r="AC370" s="977"/>
      <c r="AD370" s="977"/>
      <c r="AE370" s="977"/>
      <c r="AF370" s="977"/>
      <c r="AG370" s="977"/>
      <c r="AH370" s="977"/>
      <c r="AI370" s="977"/>
      <c r="AJ370" s="977"/>
      <c r="AK370" s="977"/>
      <c r="AL370" s="977"/>
      <c r="AM370" s="977"/>
      <c r="AN370" s="977"/>
      <c r="AO370" s="977"/>
      <c r="AP370" s="977"/>
      <c r="AQ370" s="977"/>
    </row>
    <row r="371" spans="1:43" ht="14.25" customHeight="1">
      <c r="A371" s="977"/>
      <c r="B371" s="977"/>
      <c r="C371" s="977"/>
      <c r="D371" s="977"/>
      <c r="E371" s="977"/>
      <c r="F371" s="977"/>
      <c r="G371" s="977"/>
      <c r="H371" s="977"/>
      <c r="I371" s="977"/>
      <c r="J371" s="977"/>
      <c r="K371" s="977"/>
      <c r="L371" s="977"/>
      <c r="M371" s="977"/>
      <c r="N371" s="977"/>
      <c r="O371" s="977"/>
      <c r="P371" s="977"/>
      <c r="Q371" s="977"/>
      <c r="R371" s="977"/>
      <c r="S371" s="977"/>
      <c r="T371" s="977"/>
      <c r="U371" s="977"/>
      <c r="V371" s="977"/>
      <c r="W371" s="977"/>
      <c r="X371" s="977"/>
      <c r="Y371" s="977"/>
      <c r="Z371" s="977"/>
      <c r="AA371" s="977"/>
      <c r="AB371" s="977"/>
      <c r="AC371" s="977"/>
      <c r="AD371" s="977"/>
      <c r="AE371" s="977"/>
      <c r="AF371" s="977"/>
      <c r="AG371" s="977"/>
      <c r="AH371" s="977"/>
      <c r="AI371" s="977"/>
      <c r="AJ371" s="977"/>
      <c r="AK371" s="977"/>
      <c r="AL371" s="977"/>
      <c r="AM371" s="977"/>
      <c r="AN371" s="977"/>
      <c r="AO371" s="977"/>
      <c r="AP371" s="977"/>
      <c r="AQ371" s="977"/>
    </row>
    <row r="372" spans="1:43" ht="14.25" customHeight="1">
      <c r="A372" s="977"/>
      <c r="B372" s="977"/>
      <c r="C372" s="977"/>
      <c r="D372" s="977"/>
      <c r="E372" s="977"/>
      <c r="F372" s="977"/>
      <c r="G372" s="977"/>
      <c r="H372" s="977"/>
      <c r="I372" s="977"/>
      <c r="J372" s="977"/>
      <c r="K372" s="977"/>
      <c r="L372" s="977"/>
      <c r="M372" s="977"/>
      <c r="N372" s="977"/>
      <c r="O372" s="977"/>
      <c r="P372" s="977"/>
      <c r="Q372" s="977"/>
      <c r="R372" s="977"/>
      <c r="S372" s="977"/>
      <c r="T372" s="977"/>
      <c r="U372" s="977"/>
      <c r="V372" s="977"/>
      <c r="W372" s="977"/>
      <c r="X372" s="977"/>
      <c r="Y372" s="977"/>
      <c r="Z372" s="977"/>
      <c r="AA372" s="977"/>
      <c r="AB372" s="977"/>
      <c r="AC372" s="977"/>
      <c r="AD372" s="977"/>
      <c r="AE372" s="977"/>
      <c r="AF372" s="977"/>
      <c r="AG372" s="977"/>
      <c r="AH372" s="977"/>
      <c r="AI372" s="977"/>
      <c r="AJ372" s="977"/>
      <c r="AK372" s="977"/>
      <c r="AL372" s="977"/>
      <c r="AM372" s="977"/>
      <c r="AN372" s="977"/>
      <c r="AO372" s="977"/>
      <c r="AP372" s="977"/>
      <c r="AQ372" s="977"/>
    </row>
    <row r="373" spans="1:43" ht="14.25" customHeight="1">
      <c r="A373" s="977"/>
      <c r="B373" s="977"/>
      <c r="C373" s="977"/>
      <c r="D373" s="977"/>
      <c r="E373" s="977"/>
      <c r="F373" s="977"/>
      <c r="G373" s="977"/>
      <c r="H373" s="977"/>
      <c r="I373" s="977"/>
      <c r="J373" s="977"/>
      <c r="K373" s="977"/>
      <c r="L373" s="977"/>
      <c r="M373" s="977"/>
      <c r="N373" s="977"/>
      <c r="O373" s="977"/>
      <c r="P373" s="977"/>
      <c r="Q373" s="977"/>
      <c r="R373" s="977"/>
      <c r="S373" s="977"/>
      <c r="T373" s="977"/>
      <c r="U373" s="977"/>
      <c r="V373" s="977"/>
      <c r="W373" s="977"/>
      <c r="X373" s="977"/>
      <c r="Y373" s="977"/>
      <c r="Z373" s="977"/>
      <c r="AA373" s="977"/>
      <c r="AB373" s="977"/>
      <c r="AC373" s="977"/>
      <c r="AD373" s="977"/>
      <c r="AE373" s="977"/>
      <c r="AF373" s="977"/>
      <c r="AG373" s="977"/>
      <c r="AH373" s="977"/>
      <c r="AI373" s="977"/>
      <c r="AJ373" s="977"/>
      <c r="AK373" s="977"/>
      <c r="AL373" s="977"/>
      <c r="AM373" s="977"/>
      <c r="AN373" s="977"/>
      <c r="AO373" s="977"/>
      <c r="AP373" s="977"/>
      <c r="AQ373" s="977"/>
    </row>
    <row r="374" spans="1:43" ht="14.25" customHeight="1">
      <c r="A374" s="977"/>
      <c r="B374" s="977"/>
      <c r="C374" s="977"/>
      <c r="D374" s="977"/>
      <c r="E374" s="977"/>
      <c r="F374" s="977"/>
      <c r="G374" s="977"/>
      <c r="H374" s="977"/>
      <c r="I374" s="977"/>
      <c r="J374" s="977"/>
      <c r="K374" s="977"/>
      <c r="L374" s="977"/>
      <c r="M374" s="977"/>
      <c r="N374" s="977"/>
      <c r="O374" s="977"/>
      <c r="P374" s="977"/>
      <c r="Q374" s="977"/>
      <c r="R374" s="977"/>
      <c r="S374" s="977"/>
      <c r="T374" s="977"/>
      <c r="U374" s="977"/>
      <c r="V374" s="977"/>
      <c r="W374" s="977"/>
      <c r="X374" s="977"/>
      <c r="Y374" s="977"/>
      <c r="Z374" s="977"/>
      <c r="AA374" s="977"/>
      <c r="AB374" s="977"/>
      <c r="AC374" s="977"/>
      <c r="AD374" s="977"/>
      <c r="AE374" s="977"/>
      <c r="AF374" s="977"/>
      <c r="AG374" s="977"/>
      <c r="AH374" s="977"/>
      <c r="AI374" s="977"/>
      <c r="AJ374" s="977"/>
      <c r="AK374" s="977"/>
      <c r="AL374" s="977"/>
      <c r="AM374" s="977"/>
      <c r="AN374" s="977"/>
      <c r="AO374" s="977"/>
      <c r="AP374" s="977"/>
      <c r="AQ374" s="977"/>
    </row>
    <row r="375" spans="1:43" ht="14.25" customHeight="1">
      <c r="A375" s="977"/>
      <c r="B375" s="977"/>
      <c r="C375" s="977"/>
      <c r="D375" s="977"/>
      <c r="E375" s="977"/>
      <c r="F375" s="977"/>
      <c r="G375" s="977"/>
      <c r="H375" s="977"/>
      <c r="I375" s="977"/>
      <c r="J375" s="977"/>
      <c r="K375" s="977"/>
      <c r="L375" s="977"/>
      <c r="M375" s="977"/>
      <c r="N375" s="977"/>
      <c r="O375" s="977"/>
      <c r="P375" s="977"/>
      <c r="Q375" s="977"/>
      <c r="R375" s="977"/>
      <c r="S375" s="977"/>
      <c r="T375" s="977"/>
      <c r="U375" s="977"/>
      <c r="V375" s="977"/>
      <c r="W375" s="977"/>
      <c r="X375" s="977"/>
      <c r="Y375" s="977"/>
      <c r="Z375" s="977"/>
      <c r="AA375" s="977"/>
      <c r="AB375" s="977"/>
      <c r="AC375" s="977"/>
      <c r="AD375" s="977"/>
      <c r="AE375" s="977"/>
      <c r="AF375" s="977"/>
      <c r="AG375" s="977"/>
      <c r="AH375" s="977"/>
      <c r="AI375" s="977"/>
      <c r="AJ375" s="977"/>
      <c r="AK375" s="977"/>
      <c r="AL375" s="977"/>
      <c r="AM375" s="977"/>
      <c r="AN375" s="977"/>
      <c r="AO375" s="977"/>
      <c r="AP375" s="977"/>
      <c r="AQ375" s="977"/>
    </row>
    <row r="376" spans="1:43" ht="14.25" customHeight="1">
      <c r="A376" s="977"/>
      <c r="B376" s="977"/>
      <c r="C376" s="977"/>
      <c r="D376" s="977"/>
      <c r="E376" s="977"/>
      <c r="F376" s="977"/>
      <c r="G376" s="977"/>
      <c r="H376" s="977"/>
      <c r="I376" s="977"/>
      <c r="J376" s="977"/>
      <c r="K376" s="977"/>
      <c r="L376" s="977"/>
      <c r="M376" s="977"/>
      <c r="N376" s="977"/>
      <c r="O376" s="977"/>
      <c r="P376" s="977"/>
      <c r="Q376" s="977"/>
      <c r="R376" s="977"/>
      <c r="S376" s="977"/>
      <c r="T376" s="977"/>
      <c r="U376" s="977"/>
      <c r="V376" s="977"/>
      <c r="W376" s="977"/>
      <c r="X376" s="977"/>
      <c r="Y376" s="977"/>
      <c r="Z376" s="977"/>
      <c r="AA376" s="977"/>
      <c r="AB376" s="977"/>
      <c r="AC376" s="977"/>
      <c r="AD376" s="977"/>
      <c r="AE376" s="977"/>
      <c r="AF376" s="977"/>
      <c r="AG376" s="977"/>
      <c r="AH376" s="977"/>
      <c r="AI376" s="977"/>
      <c r="AJ376" s="977"/>
      <c r="AK376" s="977"/>
      <c r="AL376" s="977"/>
      <c r="AM376" s="977"/>
      <c r="AN376" s="977"/>
      <c r="AO376" s="977"/>
      <c r="AP376" s="977"/>
      <c r="AQ376" s="977"/>
    </row>
    <row r="377" spans="1:43" ht="14.25" customHeight="1">
      <c r="A377" s="977"/>
      <c r="B377" s="977"/>
      <c r="C377" s="977"/>
      <c r="D377" s="977"/>
      <c r="E377" s="977"/>
      <c r="F377" s="977"/>
      <c r="G377" s="977"/>
      <c r="H377" s="977"/>
      <c r="I377" s="977"/>
      <c r="J377" s="977"/>
      <c r="K377" s="977"/>
      <c r="L377" s="977"/>
      <c r="M377" s="977"/>
      <c r="N377" s="977"/>
      <c r="O377" s="977"/>
      <c r="P377" s="977"/>
      <c r="Q377" s="977"/>
      <c r="R377" s="977"/>
      <c r="S377" s="977"/>
      <c r="T377" s="977"/>
      <c r="U377" s="977"/>
      <c r="V377" s="977"/>
      <c r="W377" s="977"/>
      <c r="X377" s="977"/>
      <c r="Y377" s="977"/>
      <c r="Z377" s="977"/>
      <c r="AA377" s="977"/>
      <c r="AB377" s="977"/>
      <c r="AC377" s="977"/>
      <c r="AD377" s="977"/>
      <c r="AE377" s="977"/>
      <c r="AF377" s="977"/>
      <c r="AG377" s="977"/>
      <c r="AH377" s="977"/>
      <c r="AI377" s="977"/>
      <c r="AJ377" s="977"/>
      <c r="AK377" s="977"/>
      <c r="AL377" s="977"/>
      <c r="AM377" s="977"/>
      <c r="AN377" s="977"/>
      <c r="AO377" s="977"/>
      <c r="AP377" s="977"/>
      <c r="AQ377" s="977"/>
    </row>
    <row r="378" spans="1:43" ht="14.25" customHeight="1">
      <c r="A378" s="977"/>
      <c r="B378" s="977"/>
      <c r="C378" s="977"/>
      <c r="D378" s="977"/>
      <c r="E378" s="977"/>
      <c r="F378" s="977"/>
      <c r="G378" s="977"/>
      <c r="H378" s="977"/>
      <c r="I378" s="977"/>
      <c r="J378" s="977"/>
      <c r="K378" s="977"/>
      <c r="L378" s="977"/>
      <c r="M378" s="977"/>
      <c r="N378" s="977"/>
      <c r="O378" s="977"/>
      <c r="P378" s="977"/>
      <c r="Q378" s="977"/>
      <c r="R378" s="977"/>
      <c r="S378" s="977"/>
      <c r="T378" s="977"/>
      <c r="U378" s="977"/>
      <c r="V378" s="977"/>
      <c r="W378" s="977"/>
      <c r="X378" s="977"/>
      <c r="Y378" s="977"/>
      <c r="Z378" s="977"/>
      <c r="AA378" s="977"/>
      <c r="AB378" s="977"/>
      <c r="AC378" s="977"/>
      <c r="AD378" s="977"/>
      <c r="AE378" s="977"/>
      <c r="AF378" s="977"/>
      <c r="AG378" s="977"/>
      <c r="AH378" s="977"/>
      <c r="AI378" s="977"/>
      <c r="AJ378" s="977"/>
      <c r="AK378" s="977"/>
      <c r="AL378" s="977"/>
      <c r="AM378" s="977"/>
      <c r="AN378" s="977"/>
      <c r="AO378" s="977"/>
      <c r="AP378" s="977"/>
      <c r="AQ378" s="977"/>
    </row>
    <row r="379" spans="1:43" ht="14.25" customHeight="1">
      <c r="A379" s="977"/>
      <c r="B379" s="977"/>
      <c r="C379" s="977"/>
      <c r="D379" s="977"/>
      <c r="E379" s="977"/>
      <c r="F379" s="977"/>
      <c r="G379" s="977"/>
      <c r="H379" s="977"/>
      <c r="I379" s="977"/>
      <c r="J379" s="977"/>
      <c r="K379" s="977"/>
      <c r="L379" s="977"/>
      <c r="M379" s="977"/>
      <c r="N379" s="977"/>
      <c r="O379" s="977"/>
      <c r="P379" s="977"/>
      <c r="Q379" s="977"/>
      <c r="R379" s="977"/>
      <c r="S379" s="977"/>
      <c r="T379" s="977"/>
      <c r="U379" s="977"/>
      <c r="V379" s="977"/>
      <c r="W379" s="977"/>
      <c r="X379" s="977"/>
      <c r="Y379" s="977"/>
      <c r="Z379" s="977"/>
      <c r="AA379" s="977"/>
      <c r="AB379" s="977"/>
      <c r="AC379" s="977"/>
      <c r="AD379" s="977"/>
      <c r="AE379" s="977"/>
      <c r="AF379" s="977"/>
      <c r="AG379" s="977"/>
      <c r="AH379" s="977"/>
      <c r="AI379" s="977"/>
      <c r="AJ379" s="977"/>
      <c r="AK379" s="977"/>
      <c r="AL379" s="977"/>
      <c r="AM379" s="977"/>
      <c r="AN379" s="977"/>
      <c r="AO379" s="977"/>
      <c r="AP379" s="977"/>
      <c r="AQ379" s="977"/>
    </row>
    <row r="380" spans="1:43" ht="14.25" customHeight="1">
      <c r="A380" s="977"/>
      <c r="B380" s="977"/>
      <c r="C380" s="977"/>
      <c r="D380" s="977"/>
      <c r="E380" s="977"/>
      <c r="F380" s="977"/>
      <c r="G380" s="977"/>
      <c r="H380" s="977"/>
      <c r="I380" s="977"/>
      <c r="J380" s="977"/>
      <c r="K380" s="977"/>
      <c r="L380" s="977"/>
      <c r="M380" s="977"/>
      <c r="N380" s="977"/>
      <c r="O380" s="977"/>
      <c r="P380" s="977"/>
      <c r="Q380" s="977"/>
      <c r="R380" s="977"/>
      <c r="S380" s="977"/>
      <c r="T380" s="977"/>
      <c r="U380" s="977"/>
      <c r="V380" s="977"/>
      <c r="W380" s="977"/>
      <c r="X380" s="977"/>
      <c r="Y380" s="977"/>
      <c r="Z380" s="977"/>
      <c r="AA380" s="977"/>
      <c r="AB380" s="977"/>
      <c r="AC380" s="977"/>
      <c r="AD380" s="977"/>
      <c r="AE380" s="977"/>
      <c r="AF380" s="977"/>
      <c r="AG380" s="977"/>
      <c r="AH380" s="977"/>
      <c r="AI380" s="977"/>
      <c r="AJ380" s="977"/>
      <c r="AK380" s="977"/>
      <c r="AL380" s="977"/>
      <c r="AM380" s="977"/>
      <c r="AN380" s="977"/>
      <c r="AO380" s="977"/>
      <c r="AP380" s="977"/>
      <c r="AQ380" s="977"/>
    </row>
    <row r="381" spans="1:43" ht="14.25" customHeight="1">
      <c r="A381" s="977"/>
      <c r="B381" s="977"/>
      <c r="C381" s="977"/>
      <c r="D381" s="977"/>
      <c r="E381" s="977"/>
      <c r="F381" s="977"/>
      <c r="G381" s="977"/>
      <c r="H381" s="977"/>
      <c r="I381" s="977"/>
      <c r="J381" s="977"/>
      <c r="K381" s="977"/>
      <c r="L381" s="977"/>
      <c r="M381" s="977"/>
      <c r="N381" s="977"/>
      <c r="O381" s="977"/>
      <c r="P381" s="977"/>
      <c r="Q381" s="977"/>
      <c r="R381" s="977"/>
      <c r="S381" s="977"/>
      <c r="T381" s="977"/>
      <c r="U381" s="977"/>
      <c r="V381" s="977"/>
      <c r="W381" s="977"/>
      <c r="X381" s="977"/>
      <c r="Y381" s="977"/>
      <c r="Z381" s="977"/>
      <c r="AA381" s="977"/>
      <c r="AB381" s="977"/>
      <c r="AC381" s="977"/>
      <c r="AD381" s="977"/>
      <c r="AE381" s="977"/>
      <c r="AF381" s="977"/>
      <c r="AG381" s="977"/>
      <c r="AH381" s="977"/>
      <c r="AI381" s="977"/>
      <c r="AJ381" s="977"/>
      <c r="AK381" s="977"/>
      <c r="AL381" s="977"/>
      <c r="AM381" s="977"/>
      <c r="AN381" s="977"/>
      <c r="AO381" s="977"/>
      <c r="AP381" s="977"/>
      <c r="AQ381" s="977"/>
    </row>
    <row r="382" spans="1:43" ht="14.25" customHeight="1">
      <c r="A382" s="977"/>
      <c r="B382" s="977"/>
      <c r="C382" s="977"/>
      <c r="D382" s="977"/>
      <c r="E382" s="977"/>
      <c r="F382" s="977"/>
      <c r="G382" s="977"/>
      <c r="H382" s="977"/>
      <c r="I382" s="977"/>
      <c r="J382" s="977"/>
      <c r="K382" s="977"/>
      <c r="L382" s="977"/>
      <c r="M382" s="977"/>
      <c r="N382" s="977"/>
      <c r="O382" s="977"/>
      <c r="P382" s="977"/>
      <c r="Q382" s="977"/>
      <c r="R382" s="977"/>
      <c r="S382" s="977"/>
      <c r="T382" s="977"/>
      <c r="U382" s="977"/>
      <c r="V382" s="977"/>
      <c r="W382" s="977"/>
      <c r="X382" s="977"/>
      <c r="Y382" s="977"/>
      <c r="Z382" s="977"/>
      <c r="AA382" s="977"/>
      <c r="AB382" s="977"/>
      <c r="AC382" s="977"/>
      <c r="AD382" s="977"/>
      <c r="AE382" s="977"/>
      <c r="AF382" s="977"/>
      <c r="AG382" s="977"/>
      <c r="AH382" s="977"/>
      <c r="AI382" s="977"/>
      <c r="AJ382" s="977"/>
      <c r="AK382" s="977"/>
      <c r="AL382" s="977"/>
      <c r="AM382" s="977"/>
      <c r="AN382" s="977"/>
      <c r="AO382" s="977"/>
      <c r="AP382" s="977"/>
      <c r="AQ382" s="977"/>
    </row>
    <row r="383" spans="1:43" ht="14.25" customHeight="1">
      <c r="A383" s="977"/>
      <c r="B383" s="977"/>
      <c r="C383" s="977"/>
      <c r="D383" s="977"/>
      <c r="E383" s="977"/>
      <c r="F383" s="977"/>
      <c r="G383" s="977"/>
      <c r="H383" s="977"/>
      <c r="I383" s="977"/>
      <c r="J383" s="977"/>
      <c r="K383" s="977"/>
      <c r="L383" s="977"/>
      <c r="M383" s="977"/>
      <c r="N383" s="977"/>
      <c r="O383" s="977"/>
      <c r="P383" s="977"/>
      <c r="Q383" s="977"/>
      <c r="R383" s="977"/>
      <c r="S383" s="977"/>
      <c r="T383" s="977"/>
      <c r="U383" s="977"/>
      <c r="V383" s="977"/>
      <c r="W383" s="977"/>
      <c r="X383" s="977"/>
      <c r="Y383" s="977"/>
      <c r="Z383" s="977"/>
      <c r="AA383" s="977"/>
      <c r="AB383" s="977"/>
      <c r="AC383" s="977"/>
      <c r="AD383" s="977"/>
      <c r="AE383" s="977"/>
      <c r="AF383" s="977"/>
      <c r="AG383" s="977"/>
      <c r="AH383" s="977"/>
      <c r="AI383" s="977"/>
      <c r="AJ383" s="977"/>
      <c r="AK383" s="977"/>
      <c r="AL383" s="977"/>
      <c r="AM383" s="977"/>
      <c r="AN383" s="977"/>
      <c r="AO383" s="977"/>
      <c r="AP383" s="977"/>
      <c r="AQ383" s="977"/>
    </row>
    <row r="384" spans="1:43" ht="14.25" customHeight="1">
      <c r="A384" s="977"/>
      <c r="B384" s="977"/>
      <c r="C384" s="977"/>
      <c r="D384" s="977"/>
      <c r="E384" s="977"/>
      <c r="F384" s="977"/>
      <c r="G384" s="977"/>
      <c r="H384" s="977"/>
      <c r="I384" s="977"/>
      <c r="J384" s="977"/>
      <c r="K384" s="977"/>
      <c r="L384" s="977"/>
      <c r="M384" s="977"/>
      <c r="N384" s="977"/>
      <c r="O384" s="977"/>
      <c r="P384" s="977"/>
      <c r="Q384" s="977"/>
      <c r="R384" s="977"/>
      <c r="S384" s="977"/>
      <c r="T384" s="977"/>
      <c r="U384" s="977"/>
      <c r="V384" s="977"/>
      <c r="W384" s="977"/>
      <c r="X384" s="977"/>
      <c r="Y384" s="977"/>
      <c r="Z384" s="977"/>
      <c r="AA384" s="977"/>
      <c r="AB384" s="977"/>
      <c r="AC384" s="977"/>
      <c r="AD384" s="977"/>
      <c r="AE384" s="977"/>
      <c r="AF384" s="977"/>
      <c r="AG384" s="977"/>
      <c r="AH384" s="977"/>
      <c r="AI384" s="977"/>
      <c r="AJ384" s="977"/>
      <c r="AK384" s="977"/>
      <c r="AL384" s="977"/>
      <c r="AM384" s="977"/>
      <c r="AN384" s="977"/>
      <c r="AO384" s="977"/>
      <c r="AP384" s="977"/>
      <c r="AQ384" s="977"/>
    </row>
    <row r="385" spans="1:43" ht="14.25" customHeight="1">
      <c r="A385" s="977"/>
      <c r="B385" s="977"/>
      <c r="C385" s="977"/>
      <c r="D385" s="977"/>
      <c r="E385" s="977"/>
      <c r="F385" s="977"/>
      <c r="G385" s="977"/>
      <c r="H385" s="977"/>
      <c r="I385" s="977"/>
      <c r="J385" s="977"/>
      <c r="K385" s="977"/>
      <c r="L385" s="977"/>
      <c r="M385" s="977"/>
      <c r="N385" s="977"/>
      <c r="O385" s="977"/>
      <c r="P385" s="977"/>
      <c r="Q385" s="977"/>
      <c r="R385" s="977"/>
      <c r="S385" s="977"/>
      <c r="T385" s="977"/>
      <c r="U385" s="977"/>
      <c r="V385" s="977"/>
      <c r="W385" s="977"/>
      <c r="X385" s="977"/>
      <c r="Y385" s="977"/>
      <c r="Z385" s="977"/>
      <c r="AA385" s="977"/>
      <c r="AB385" s="977"/>
      <c r="AC385" s="977"/>
      <c r="AD385" s="977"/>
      <c r="AE385" s="977"/>
      <c r="AF385" s="977"/>
      <c r="AG385" s="977"/>
      <c r="AH385" s="977"/>
      <c r="AI385" s="977"/>
      <c r="AJ385" s="977"/>
      <c r="AK385" s="977"/>
      <c r="AL385" s="977"/>
      <c r="AM385" s="977"/>
      <c r="AN385" s="977"/>
      <c r="AO385" s="977"/>
      <c r="AP385" s="977"/>
      <c r="AQ385" s="977"/>
    </row>
    <row r="386" spans="1:43" ht="14.25" customHeight="1">
      <c r="A386" s="977"/>
      <c r="B386" s="977"/>
      <c r="C386" s="977"/>
      <c r="D386" s="977"/>
      <c r="E386" s="977"/>
      <c r="F386" s="977"/>
      <c r="G386" s="977"/>
      <c r="H386" s="977"/>
      <c r="I386" s="977"/>
      <c r="J386" s="977"/>
      <c r="K386" s="977"/>
      <c r="L386" s="977"/>
      <c r="M386" s="977"/>
      <c r="N386" s="977"/>
      <c r="O386" s="977"/>
      <c r="P386" s="977"/>
      <c r="Q386" s="977"/>
      <c r="R386" s="977"/>
      <c r="S386" s="977"/>
      <c r="T386" s="977"/>
      <c r="U386" s="977"/>
      <c r="V386" s="977"/>
      <c r="W386" s="977"/>
      <c r="X386" s="977"/>
      <c r="Y386" s="977"/>
      <c r="Z386" s="977"/>
      <c r="AA386" s="977"/>
      <c r="AB386" s="977"/>
      <c r="AC386" s="977"/>
      <c r="AD386" s="977"/>
      <c r="AE386" s="977"/>
      <c r="AF386" s="977"/>
      <c r="AG386" s="977"/>
      <c r="AH386" s="977"/>
      <c r="AI386" s="977"/>
      <c r="AJ386" s="977"/>
      <c r="AK386" s="977"/>
      <c r="AL386" s="977"/>
      <c r="AM386" s="977"/>
      <c r="AN386" s="977"/>
      <c r="AO386" s="977"/>
      <c r="AP386" s="977"/>
      <c r="AQ386" s="977"/>
    </row>
    <row r="387" spans="1:43" ht="14.25" customHeight="1">
      <c r="A387" s="977"/>
      <c r="B387" s="977"/>
      <c r="C387" s="977"/>
      <c r="D387" s="977"/>
      <c r="E387" s="977"/>
      <c r="F387" s="977"/>
      <c r="G387" s="977"/>
      <c r="H387" s="977"/>
      <c r="I387" s="977"/>
      <c r="J387" s="977"/>
      <c r="K387" s="977"/>
      <c r="L387" s="977"/>
      <c r="M387" s="977"/>
      <c r="N387" s="977"/>
      <c r="O387" s="977"/>
      <c r="P387" s="977"/>
      <c r="Q387" s="977"/>
      <c r="R387" s="977"/>
      <c r="S387" s="977"/>
      <c r="T387" s="977"/>
      <c r="U387" s="977"/>
      <c r="V387" s="977"/>
      <c r="W387" s="977"/>
      <c r="X387" s="977"/>
      <c r="Y387" s="977"/>
      <c r="Z387" s="977"/>
      <c r="AA387" s="977"/>
      <c r="AB387" s="977"/>
      <c r="AC387" s="977"/>
      <c r="AD387" s="977"/>
      <c r="AE387" s="977"/>
      <c r="AF387" s="977"/>
      <c r="AG387" s="977"/>
      <c r="AH387" s="977"/>
      <c r="AI387" s="977"/>
      <c r="AJ387" s="977"/>
      <c r="AK387" s="977"/>
      <c r="AL387" s="977"/>
      <c r="AM387" s="977"/>
      <c r="AN387" s="977"/>
      <c r="AO387" s="977"/>
      <c r="AP387" s="977"/>
      <c r="AQ387" s="977"/>
    </row>
    <row r="388" spans="1:43" ht="14.25" customHeight="1">
      <c r="A388" s="977"/>
      <c r="B388" s="977"/>
      <c r="C388" s="977"/>
      <c r="D388" s="977"/>
      <c r="E388" s="977"/>
      <c r="F388" s="977"/>
      <c r="G388" s="977"/>
      <c r="H388" s="977"/>
      <c r="I388" s="977"/>
      <c r="J388" s="977"/>
      <c r="K388" s="977"/>
      <c r="L388" s="977"/>
      <c r="M388" s="977"/>
      <c r="N388" s="977"/>
      <c r="O388" s="977"/>
      <c r="P388" s="977"/>
      <c r="Q388" s="977"/>
      <c r="R388" s="977"/>
      <c r="S388" s="977"/>
      <c r="T388" s="977"/>
      <c r="U388" s="977"/>
      <c r="V388" s="977"/>
      <c r="W388" s="977"/>
      <c r="X388" s="977"/>
      <c r="Y388" s="977"/>
      <c r="Z388" s="977"/>
      <c r="AA388" s="977"/>
      <c r="AB388" s="977"/>
      <c r="AC388" s="977"/>
      <c r="AD388" s="977"/>
      <c r="AE388" s="977"/>
      <c r="AF388" s="977"/>
      <c r="AG388" s="977"/>
      <c r="AH388" s="977"/>
      <c r="AI388" s="977"/>
      <c r="AJ388" s="977"/>
      <c r="AK388" s="977"/>
      <c r="AL388" s="977"/>
      <c r="AM388" s="977"/>
      <c r="AN388" s="977"/>
      <c r="AO388" s="977"/>
      <c r="AP388" s="977"/>
      <c r="AQ388" s="977"/>
    </row>
    <row r="389" spans="1:43" ht="14.25" customHeight="1">
      <c r="A389" s="977"/>
      <c r="B389" s="977"/>
      <c r="C389" s="977"/>
      <c r="D389" s="977"/>
      <c r="E389" s="977"/>
      <c r="F389" s="977"/>
      <c r="G389" s="977"/>
      <c r="H389" s="977"/>
      <c r="I389" s="977"/>
      <c r="J389" s="977"/>
      <c r="K389" s="977"/>
      <c r="L389" s="977"/>
      <c r="M389" s="977"/>
      <c r="N389" s="977"/>
      <c r="O389" s="977"/>
      <c r="P389" s="977"/>
      <c r="Q389" s="977"/>
      <c r="R389" s="977"/>
      <c r="S389" s="977"/>
      <c r="T389" s="977"/>
      <c r="U389" s="977"/>
      <c r="V389" s="977"/>
      <c r="W389" s="977"/>
      <c r="X389" s="977"/>
      <c r="Y389" s="977"/>
      <c r="Z389" s="977"/>
      <c r="AA389" s="977"/>
      <c r="AB389" s="977"/>
      <c r="AC389" s="977"/>
      <c r="AD389" s="977"/>
      <c r="AE389" s="977"/>
      <c r="AF389" s="977"/>
      <c r="AG389" s="977"/>
      <c r="AH389" s="977"/>
      <c r="AI389" s="977"/>
      <c r="AJ389" s="977"/>
      <c r="AK389" s="977"/>
      <c r="AL389" s="977"/>
      <c r="AM389" s="977"/>
      <c r="AN389" s="977"/>
      <c r="AO389" s="977"/>
      <c r="AP389" s="977"/>
      <c r="AQ389" s="977"/>
    </row>
    <row r="390" spans="1:43" ht="14.25" customHeight="1">
      <c r="A390" s="977"/>
      <c r="B390" s="977"/>
      <c r="C390" s="977"/>
      <c r="D390" s="977"/>
      <c r="E390" s="977"/>
      <c r="F390" s="977"/>
      <c r="G390" s="977"/>
      <c r="H390" s="977"/>
      <c r="I390" s="977"/>
      <c r="J390" s="977"/>
      <c r="K390" s="977"/>
      <c r="L390" s="977"/>
      <c r="M390" s="977"/>
      <c r="N390" s="977"/>
      <c r="O390" s="977"/>
      <c r="P390" s="977"/>
      <c r="Q390" s="977"/>
      <c r="R390" s="977"/>
      <c r="S390" s="977"/>
      <c r="T390" s="977"/>
      <c r="U390" s="977"/>
      <c r="V390" s="977"/>
      <c r="W390" s="977"/>
      <c r="X390" s="977"/>
      <c r="Y390" s="977"/>
      <c r="Z390" s="977"/>
      <c r="AA390" s="977"/>
      <c r="AB390" s="977"/>
      <c r="AC390" s="977"/>
      <c r="AD390" s="977"/>
      <c r="AE390" s="977"/>
      <c r="AF390" s="977"/>
      <c r="AG390" s="977"/>
      <c r="AH390" s="977"/>
      <c r="AI390" s="977"/>
      <c r="AJ390" s="977"/>
      <c r="AK390" s="977"/>
      <c r="AL390" s="977"/>
      <c r="AM390" s="977"/>
      <c r="AN390" s="977"/>
      <c r="AO390" s="977"/>
      <c r="AP390" s="977"/>
      <c r="AQ390" s="977"/>
    </row>
    <row r="391" spans="1:43" ht="14.25" customHeight="1">
      <c r="A391" s="977"/>
      <c r="B391" s="977"/>
      <c r="C391" s="977"/>
      <c r="D391" s="977"/>
      <c r="E391" s="977"/>
      <c r="F391" s="977"/>
      <c r="G391" s="977"/>
      <c r="H391" s="977"/>
      <c r="I391" s="977"/>
      <c r="J391" s="977"/>
      <c r="K391" s="977"/>
      <c r="L391" s="977"/>
      <c r="M391" s="977"/>
      <c r="N391" s="977"/>
      <c r="O391" s="977"/>
      <c r="P391" s="977"/>
      <c r="Q391" s="977"/>
      <c r="R391" s="977"/>
      <c r="S391" s="977"/>
      <c r="T391" s="977"/>
      <c r="U391" s="977"/>
      <c r="V391" s="977"/>
      <c r="W391" s="977"/>
      <c r="X391" s="977"/>
      <c r="Y391" s="977"/>
      <c r="Z391" s="977"/>
      <c r="AA391" s="977"/>
      <c r="AB391" s="977"/>
      <c r="AC391" s="977"/>
      <c r="AD391" s="977"/>
      <c r="AE391" s="977"/>
      <c r="AF391" s="977"/>
      <c r="AG391" s="977"/>
      <c r="AH391" s="977"/>
      <c r="AI391" s="977"/>
      <c r="AJ391" s="977"/>
      <c r="AK391" s="977"/>
      <c r="AL391" s="977"/>
      <c r="AM391" s="977"/>
      <c r="AN391" s="977"/>
      <c r="AO391" s="977"/>
      <c r="AP391" s="977"/>
      <c r="AQ391" s="977"/>
    </row>
    <row r="392" spans="1:43" ht="14.25" customHeight="1">
      <c r="A392" s="977"/>
      <c r="B392" s="977"/>
      <c r="C392" s="977"/>
      <c r="D392" s="977"/>
      <c r="E392" s="977"/>
      <c r="F392" s="977"/>
      <c r="G392" s="977"/>
      <c r="H392" s="977"/>
      <c r="I392" s="977"/>
      <c r="J392" s="977"/>
      <c r="K392" s="977"/>
      <c r="L392" s="977"/>
      <c r="M392" s="977"/>
      <c r="N392" s="977"/>
      <c r="O392" s="977"/>
      <c r="P392" s="977"/>
      <c r="Q392" s="977"/>
      <c r="R392" s="977"/>
      <c r="S392" s="977"/>
      <c r="T392" s="977"/>
      <c r="U392" s="977"/>
      <c r="V392" s="977"/>
      <c r="W392" s="977"/>
      <c r="X392" s="977"/>
      <c r="Y392" s="977"/>
      <c r="Z392" s="977"/>
      <c r="AA392" s="977"/>
      <c r="AB392" s="977"/>
      <c r="AC392" s="977"/>
      <c r="AD392" s="977"/>
      <c r="AE392" s="977"/>
      <c r="AF392" s="977"/>
      <c r="AG392" s="977"/>
      <c r="AH392" s="977"/>
      <c r="AI392" s="977"/>
      <c r="AJ392" s="977"/>
      <c r="AK392" s="977"/>
      <c r="AL392" s="977"/>
      <c r="AM392" s="977"/>
      <c r="AN392" s="977"/>
      <c r="AO392" s="977"/>
      <c r="AP392" s="977"/>
      <c r="AQ392" s="977"/>
    </row>
    <row r="393" spans="1:43" ht="14.25" customHeight="1">
      <c r="A393" s="977"/>
      <c r="B393" s="977"/>
      <c r="C393" s="977"/>
      <c r="D393" s="977"/>
      <c r="E393" s="977"/>
      <c r="F393" s="977"/>
      <c r="G393" s="977"/>
      <c r="H393" s="977"/>
      <c r="I393" s="977"/>
      <c r="J393" s="977"/>
      <c r="K393" s="977"/>
      <c r="L393" s="977"/>
      <c r="M393" s="977"/>
      <c r="N393" s="977"/>
      <c r="O393" s="977"/>
      <c r="P393" s="977"/>
      <c r="Q393" s="977"/>
      <c r="R393" s="977"/>
      <c r="S393" s="977"/>
      <c r="T393" s="977"/>
      <c r="U393" s="977"/>
      <c r="V393" s="977"/>
      <c r="W393" s="977"/>
      <c r="X393" s="977"/>
      <c r="Y393" s="977"/>
      <c r="Z393" s="977"/>
      <c r="AA393" s="977"/>
      <c r="AB393" s="977"/>
      <c r="AC393" s="977"/>
      <c r="AD393" s="977"/>
      <c r="AE393" s="977"/>
      <c r="AF393" s="977"/>
      <c r="AG393" s="977"/>
      <c r="AH393" s="977"/>
      <c r="AI393" s="977"/>
      <c r="AJ393" s="977"/>
      <c r="AK393" s="977"/>
      <c r="AL393" s="977"/>
      <c r="AM393" s="977"/>
      <c r="AN393" s="977"/>
      <c r="AO393" s="977"/>
      <c r="AP393" s="977"/>
      <c r="AQ393" s="977"/>
    </row>
    <row r="394" spans="1:43" ht="14.25" customHeight="1">
      <c r="A394" s="977"/>
      <c r="B394" s="977"/>
      <c r="C394" s="977"/>
      <c r="D394" s="977"/>
      <c r="E394" s="977"/>
      <c r="F394" s="977"/>
      <c r="G394" s="977"/>
      <c r="H394" s="977"/>
      <c r="I394" s="977"/>
      <c r="J394" s="977"/>
      <c r="K394" s="977"/>
      <c r="L394" s="977"/>
      <c r="M394" s="977"/>
      <c r="N394" s="977"/>
      <c r="O394" s="977"/>
      <c r="P394" s="977"/>
      <c r="Q394" s="977"/>
      <c r="R394" s="977"/>
      <c r="S394" s="977"/>
      <c r="T394" s="977"/>
      <c r="U394" s="977"/>
      <c r="V394" s="977"/>
      <c r="W394" s="977"/>
      <c r="X394" s="977"/>
      <c r="Y394" s="977"/>
      <c r="Z394" s="977"/>
      <c r="AA394" s="977"/>
      <c r="AB394" s="977"/>
      <c r="AC394" s="977"/>
      <c r="AD394" s="977"/>
      <c r="AE394" s="977"/>
      <c r="AF394" s="977"/>
      <c r="AG394" s="977"/>
      <c r="AH394" s="977"/>
      <c r="AI394" s="977"/>
      <c r="AJ394" s="977"/>
      <c r="AK394" s="977"/>
      <c r="AL394" s="977"/>
      <c r="AM394" s="977"/>
      <c r="AN394" s="977"/>
      <c r="AO394" s="977"/>
      <c r="AP394" s="977"/>
      <c r="AQ394" s="977"/>
    </row>
    <row r="395" spans="1:43" ht="14.25" customHeight="1">
      <c r="A395" s="977"/>
      <c r="B395" s="977"/>
      <c r="C395" s="977"/>
      <c r="D395" s="977"/>
      <c r="E395" s="977"/>
      <c r="F395" s="977"/>
      <c r="G395" s="977"/>
      <c r="H395" s="977"/>
      <c r="I395" s="977"/>
      <c r="J395" s="977"/>
      <c r="K395" s="977"/>
      <c r="L395" s="977"/>
      <c r="M395" s="977"/>
      <c r="N395" s="977"/>
      <c r="O395" s="977"/>
      <c r="P395" s="977"/>
      <c r="Q395" s="977"/>
      <c r="R395" s="977"/>
      <c r="S395" s="977"/>
      <c r="T395" s="977"/>
      <c r="U395" s="977"/>
      <c r="V395" s="977"/>
      <c r="W395" s="977"/>
      <c r="X395" s="977"/>
      <c r="Y395" s="977"/>
      <c r="Z395" s="977"/>
      <c r="AA395" s="977"/>
      <c r="AB395" s="977"/>
      <c r="AC395" s="977"/>
      <c r="AD395" s="977"/>
      <c r="AE395" s="977"/>
      <c r="AF395" s="977"/>
      <c r="AG395" s="977"/>
      <c r="AH395" s="977"/>
      <c r="AI395" s="977"/>
      <c r="AJ395" s="977"/>
      <c r="AK395" s="977"/>
      <c r="AL395" s="977"/>
      <c r="AM395" s="977"/>
      <c r="AN395" s="977"/>
      <c r="AO395" s="977"/>
      <c r="AP395" s="977"/>
      <c r="AQ395" s="977"/>
    </row>
    <row r="396" spans="1:43" ht="14.25" customHeight="1">
      <c r="A396" s="977"/>
      <c r="B396" s="977"/>
      <c r="C396" s="977"/>
      <c r="D396" s="977"/>
      <c r="E396" s="977"/>
      <c r="F396" s="977"/>
      <c r="G396" s="977"/>
      <c r="H396" s="977"/>
      <c r="I396" s="977"/>
      <c r="J396" s="977"/>
      <c r="K396" s="977"/>
      <c r="L396" s="977"/>
      <c r="M396" s="977"/>
      <c r="N396" s="977"/>
      <c r="O396" s="977"/>
      <c r="P396" s="977"/>
      <c r="Q396" s="977"/>
      <c r="R396" s="977"/>
      <c r="S396" s="977"/>
      <c r="T396" s="977"/>
      <c r="U396" s="977"/>
      <c r="V396" s="977"/>
      <c r="W396" s="977"/>
      <c r="X396" s="977"/>
      <c r="Y396" s="977"/>
      <c r="Z396" s="977"/>
      <c r="AA396" s="977"/>
      <c r="AB396" s="977"/>
      <c r="AC396" s="977"/>
      <c r="AD396" s="977"/>
      <c r="AE396" s="977"/>
      <c r="AF396" s="977"/>
      <c r="AG396" s="977"/>
      <c r="AH396" s="977"/>
      <c r="AI396" s="977"/>
      <c r="AJ396" s="977"/>
      <c r="AK396" s="977"/>
      <c r="AL396" s="977"/>
      <c r="AM396" s="977"/>
      <c r="AN396" s="977"/>
      <c r="AO396" s="977"/>
      <c r="AP396" s="977"/>
      <c r="AQ396" s="977"/>
    </row>
    <row r="397" spans="1:43" ht="14.25" customHeight="1">
      <c r="A397" s="977"/>
      <c r="B397" s="977"/>
      <c r="C397" s="977"/>
      <c r="D397" s="977"/>
      <c r="E397" s="977"/>
      <c r="F397" s="977"/>
      <c r="G397" s="977"/>
      <c r="H397" s="977"/>
      <c r="I397" s="977"/>
      <c r="J397" s="977"/>
      <c r="K397" s="977"/>
      <c r="L397" s="977"/>
      <c r="M397" s="977"/>
      <c r="N397" s="977"/>
      <c r="O397" s="977"/>
      <c r="P397" s="977"/>
      <c r="Q397" s="977"/>
      <c r="R397" s="977"/>
      <c r="S397" s="977"/>
      <c r="T397" s="977"/>
      <c r="U397" s="977"/>
      <c r="V397" s="977"/>
      <c r="W397" s="977"/>
      <c r="X397" s="977"/>
      <c r="Y397" s="977"/>
      <c r="Z397" s="977"/>
      <c r="AA397" s="977"/>
      <c r="AB397" s="977"/>
      <c r="AC397" s="977"/>
      <c r="AD397" s="977"/>
      <c r="AE397" s="977"/>
      <c r="AF397" s="977"/>
      <c r="AG397" s="977"/>
      <c r="AH397" s="977"/>
      <c r="AI397" s="977"/>
      <c r="AJ397" s="977"/>
      <c r="AK397" s="977"/>
      <c r="AL397" s="977"/>
      <c r="AM397" s="977"/>
      <c r="AN397" s="977"/>
      <c r="AO397" s="977"/>
      <c r="AP397" s="977"/>
      <c r="AQ397" s="977"/>
    </row>
    <row r="398" spans="1:43" ht="14.25" customHeight="1">
      <c r="A398" s="977"/>
      <c r="B398" s="977"/>
      <c r="C398" s="977"/>
      <c r="D398" s="977"/>
      <c r="E398" s="977"/>
      <c r="F398" s="977"/>
      <c r="G398" s="977"/>
      <c r="H398" s="977"/>
      <c r="I398" s="977"/>
      <c r="J398" s="977"/>
      <c r="K398" s="977"/>
      <c r="L398" s="977"/>
      <c r="M398" s="977"/>
      <c r="N398" s="977"/>
      <c r="O398" s="977"/>
      <c r="P398" s="977"/>
      <c r="Q398" s="977"/>
      <c r="R398" s="977"/>
      <c r="S398" s="977"/>
      <c r="T398" s="977"/>
      <c r="U398" s="977"/>
      <c r="V398" s="977"/>
      <c r="W398" s="977"/>
      <c r="X398" s="977"/>
      <c r="Y398" s="977"/>
      <c r="Z398" s="977"/>
      <c r="AA398" s="977"/>
      <c r="AB398" s="977"/>
      <c r="AC398" s="977"/>
      <c r="AD398" s="977"/>
      <c r="AE398" s="977"/>
      <c r="AF398" s="977"/>
      <c r="AG398" s="977"/>
      <c r="AH398" s="977"/>
      <c r="AI398" s="977"/>
      <c r="AJ398" s="977"/>
      <c r="AK398" s="977"/>
      <c r="AL398" s="977"/>
      <c r="AM398" s="977"/>
      <c r="AN398" s="977"/>
      <c r="AO398" s="977"/>
      <c r="AP398" s="977"/>
      <c r="AQ398" s="977"/>
    </row>
    <row r="399" spans="1:43" ht="14.25" customHeight="1">
      <c r="A399" s="977"/>
      <c r="B399" s="977"/>
      <c r="C399" s="977"/>
      <c r="D399" s="977"/>
      <c r="E399" s="977"/>
      <c r="F399" s="977"/>
      <c r="G399" s="977"/>
      <c r="H399" s="977"/>
      <c r="I399" s="977"/>
      <c r="J399" s="977"/>
      <c r="K399" s="977"/>
      <c r="L399" s="977"/>
      <c r="M399" s="977"/>
      <c r="N399" s="977"/>
      <c r="O399" s="977"/>
      <c r="P399" s="977"/>
      <c r="Q399" s="977"/>
      <c r="R399" s="977"/>
      <c r="S399" s="977"/>
      <c r="T399" s="977"/>
      <c r="U399" s="977"/>
      <c r="V399" s="977"/>
      <c r="W399" s="977"/>
      <c r="X399" s="977"/>
      <c r="Y399" s="977"/>
      <c r="Z399" s="977"/>
      <c r="AA399" s="977"/>
      <c r="AB399" s="977"/>
      <c r="AC399" s="977"/>
      <c r="AD399" s="977"/>
      <c r="AE399" s="977"/>
      <c r="AF399" s="977"/>
      <c r="AG399" s="977"/>
      <c r="AH399" s="977"/>
      <c r="AI399" s="977"/>
      <c r="AJ399" s="977"/>
      <c r="AK399" s="977"/>
      <c r="AL399" s="977"/>
      <c r="AM399" s="977"/>
      <c r="AN399" s="977"/>
      <c r="AO399" s="977"/>
      <c r="AP399" s="977"/>
      <c r="AQ399" s="977"/>
    </row>
    <row r="400" spans="1:43" ht="14.25" customHeight="1">
      <c r="A400" s="977"/>
      <c r="B400" s="977"/>
      <c r="C400" s="977"/>
      <c r="D400" s="977"/>
      <c r="E400" s="977"/>
      <c r="F400" s="977"/>
      <c r="G400" s="977"/>
      <c r="H400" s="977"/>
      <c r="I400" s="977"/>
      <c r="J400" s="977"/>
      <c r="K400" s="977"/>
      <c r="L400" s="977"/>
      <c r="M400" s="977"/>
      <c r="N400" s="977"/>
      <c r="O400" s="977"/>
      <c r="P400" s="977"/>
      <c r="Q400" s="977"/>
      <c r="R400" s="977"/>
      <c r="S400" s="977"/>
      <c r="T400" s="977"/>
      <c r="U400" s="977"/>
      <c r="V400" s="977"/>
      <c r="W400" s="977"/>
      <c r="X400" s="977"/>
      <c r="Y400" s="977"/>
      <c r="Z400" s="977"/>
      <c r="AA400" s="977"/>
      <c r="AB400" s="977"/>
      <c r="AC400" s="977"/>
      <c r="AD400" s="977"/>
      <c r="AE400" s="977"/>
      <c r="AF400" s="977"/>
      <c r="AG400" s="977"/>
      <c r="AH400" s="977"/>
      <c r="AI400" s="977"/>
      <c r="AJ400" s="977"/>
      <c r="AK400" s="977"/>
      <c r="AL400" s="977"/>
      <c r="AM400" s="977"/>
      <c r="AN400" s="977"/>
      <c r="AO400" s="977"/>
      <c r="AP400" s="977"/>
      <c r="AQ400" s="977"/>
    </row>
    <row r="401" spans="1:43" ht="14.25" customHeight="1">
      <c r="A401" s="977"/>
      <c r="B401" s="977"/>
      <c r="C401" s="977"/>
      <c r="D401" s="977"/>
      <c r="E401" s="977"/>
      <c r="F401" s="977"/>
      <c r="G401" s="977"/>
      <c r="H401" s="977"/>
      <c r="I401" s="977"/>
      <c r="J401" s="977"/>
      <c r="K401" s="977"/>
      <c r="L401" s="977"/>
      <c r="M401" s="977"/>
      <c r="N401" s="977"/>
      <c r="O401" s="977"/>
      <c r="P401" s="977"/>
      <c r="Q401" s="977"/>
      <c r="R401" s="977"/>
      <c r="S401" s="977"/>
      <c r="T401" s="977"/>
      <c r="U401" s="977"/>
      <c r="V401" s="977"/>
      <c r="W401" s="977"/>
      <c r="X401" s="977"/>
      <c r="Y401" s="977"/>
      <c r="Z401" s="977"/>
      <c r="AA401" s="977"/>
      <c r="AB401" s="977"/>
      <c r="AC401" s="977"/>
      <c r="AD401" s="977"/>
      <c r="AE401" s="977"/>
      <c r="AF401" s="977"/>
      <c r="AG401" s="977"/>
      <c r="AH401" s="977"/>
      <c r="AI401" s="977"/>
      <c r="AJ401" s="977"/>
      <c r="AK401" s="977"/>
      <c r="AL401" s="977"/>
      <c r="AM401" s="977"/>
      <c r="AN401" s="977"/>
      <c r="AO401" s="977"/>
      <c r="AP401" s="977"/>
      <c r="AQ401" s="977"/>
    </row>
    <row r="402" spans="1:43" ht="14.25" customHeight="1">
      <c r="A402" s="977"/>
      <c r="B402" s="977"/>
      <c r="C402" s="977"/>
      <c r="D402" s="977"/>
      <c r="E402" s="977"/>
      <c r="F402" s="977"/>
      <c r="G402" s="977"/>
      <c r="H402" s="977"/>
      <c r="I402" s="977"/>
      <c r="J402" s="977"/>
      <c r="K402" s="977"/>
      <c r="L402" s="977"/>
      <c r="M402" s="977"/>
      <c r="N402" s="977"/>
      <c r="O402" s="977"/>
      <c r="P402" s="977"/>
      <c r="Q402" s="977"/>
      <c r="R402" s="977"/>
      <c r="S402" s="977"/>
      <c r="T402" s="977"/>
      <c r="U402" s="977"/>
      <c r="V402" s="977"/>
      <c r="W402" s="977"/>
      <c r="X402" s="977"/>
      <c r="Y402" s="977"/>
      <c r="Z402" s="977"/>
      <c r="AA402" s="977"/>
      <c r="AB402" s="977"/>
      <c r="AC402" s="977"/>
      <c r="AD402" s="977"/>
      <c r="AE402" s="977"/>
      <c r="AF402" s="977"/>
      <c r="AG402" s="977"/>
      <c r="AH402" s="977"/>
      <c r="AI402" s="977"/>
      <c r="AJ402" s="977"/>
      <c r="AK402" s="977"/>
      <c r="AL402" s="977"/>
      <c r="AM402" s="977"/>
      <c r="AN402" s="977"/>
      <c r="AO402" s="977"/>
      <c r="AP402" s="977"/>
      <c r="AQ402" s="977"/>
    </row>
    <row r="403" spans="1:43" ht="14.25" customHeight="1">
      <c r="A403" s="977"/>
      <c r="B403" s="977"/>
      <c r="C403" s="977"/>
      <c r="D403" s="977"/>
      <c r="E403" s="977"/>
      <c r="F403" s="977"/>
      <c r="G403" s="977"/>
      <c r="H403" s="977"/>
      <c r="I403" s="977"/>
      <c r="J403" s="977"/>
      <c r="K403" s="977"/>
      <c r="L403" s="977"/>
      <c r="M403" s="977"/>
      <c r="N403" s="977"/>
      <c r="O403" s="977"/>
      <c r="P403" s="977"/>
      <c r="Q403" s="977"/>
      <c r="R403" s="977"/>
      <c r="S403" s="977"/>
      <c r="T403" s="977"/>
      <c r="U403" s="977"/>
      <c r="V403" s="977"/>
      <c r="W403" s="977"/>
      <c r="X403" s="977"/>
      <c r="Y403" s="977"/>
      <c r="Z403" s="977"/>
      <c r="AA403" s="977"/>
      <c r="AB403" s="977"/>
      <c r="AC403" s="977"/>
      <c r="AD403" s="977"/>
      <c r="AE403" s="977"/>
      <c r="AF403" s="977"/>
      <c r="AG403" s="977"/>
      <c r="AH403" s="977"/>
      <c r="AI403" s="977"/>
      <c r="AJ403" s="977"/>
      <c r="AK403" s="977"/>
      <c r="AL403" s="977"/>
      <c r="AM403" s="977"/>
      <c r="AN403" s="977"/>
      <c r="AO403" s="977"/>
      <c r="AP403" s="977"/>
      <c r="AQ403" s="977"/>
    </row>
    <row r="404" spans="1:43" ht="14.25" customHeight="1">
      <c r="A404" s="977"/>
      <c r="B404" s="977"/>
      <c r="C404" s="977"/>
      <c r="D404" s="977"/>
      <c r="E404" s="977"/>
      <c r="F404" s="977"/>
      <c r="G404" s="977"/>
      <c r="H404" s="977"/>
      <c r="I404" s="977"/>
      <c r="J404" s="977"/>
      <c r="K404" s="977"/>
      <c r="L404" s="977"/>
      <c r="M404" s="977"/>
      <c r="N404" s="977"/>
      <c r="O404" s="977"/>
      <c r="P404" s="977"/>
      <c r="Q404" s="977"/>
      <c r="R404" s="977"/>
      <c r="S404" s="977"/>
      <c r="T404" s="977"/>
      <c r="U404" s="977"/>
      <c r="V404" s="977"/>
      <c r="W404" s="977"/>
      <c r="X404" s="977"/>
      <c r="Y404" s="977"/>
      <c r="Z404" s="977"/>
      <c r="AA404" s="977"/>
      <c r="AB404" s="977"/>
      <c r="AC404" s="977"/>
      <c r="AD404" s="977"/>
      <c r="AE404" s="977"/>
      <c r="AF404" s="977"/>
      <c r="AG404" s="977"/>
      <c r="AH404" s="977"/>
      <c r="AI404" s="977"/>
      <c r="AJ404" s="977"/>
      <c r="AK404" s="977"/>
      <c r="AL404" s="977"/>
      <c r="AM404" s="977"/>
      <c r="AN404" s="977"/>
      <c r="AO404" s="977"/>
      <c r="AP404" s="977"/>
      <c r="AQ404" s="977"/>
    </row>
    <row r="405" spans="1:43" ht="14.25" customHeight="1">
      <c r="A405" s="977"/>
      <c r="B405" s="977"/>
      <c r="C405" s="977"/>
      <c r="D405" s="977"/>
      <c r="E405" s="977"/>
      <c r="F405" s="977"/>
      <c r="G405" s="977"/>
      <c r="H405" s="977"/>
      <c r="I405" s="977"/>
      <c r="J405" s="977"/>
      <c r="K405" s="977"/>
      <c r="L405" s="977"/>
      <c r="M405" s="977"/>
      <c r="N405" s="977"/>
      <c r="O405" s="977"/>
      <c r="P405" s="977"/>
      <c r="Q405" s="977"/>
      <c r="R405" s="977"/>
      <c r="S405" s="977"/>
      <c r="T405" s="977"/>
      <c r="U405" s="977"/>
      <c r="V405" s="977"/>
      <c r="W405" s="977"/>
      <c r="X405" s="977"/>
      <c r="Y405" s="977"/>
      <c r="Z405" s="977"/>
      <c r="AA405" s="977"/>
      <c r="AB405" s="977"/>
      <c r="AC405" s="977"/>
      <c r="AD405" s="977"/>
      <c r="AE405" s="977"/>
      <c r="AF405" s="977"/>
      <c r="AG405" s="977"/>
      <c r="AH405" s="977"/>
      <c r="AI405" s="977"/>
      <c r="AJ405" s="977"/>
      <c r="AK405" s="977"/>
      <c r="AL405" s="977"/>
      <c r="AM405" s="977"/>
      <c r="AN405" s="977"/>
      <c r="AO405" s="977"/>
      <c r="AP405" s="977"/>
      <c r="AQ405" s="977"/>
    </row>
    <row r="406" spans="1:43" ht="14.25" customHeight="1">
      <c r="A406" s="977"/>
      <c r="B406" s="977"/>
      <c r="C406" s="977"/>
      <c r="D406" s="977"/>
      <c r="E406" s="977"/>
      <c r="F406" s="977"/>
      <c r="G406" s="977"/>
      <c r="H406" s="977"/>
      <c r="I406" s="977"/>
      <c r="J406" s="977"/>
      <c r="K406" s="977"/>
      <c r="L406" s="977"/>
      <c r="M406" s="977"/>
      <c r="N406" s="977"/>
      <c r="O406" s="977"/>
      <c r="P406" s="977"/>
      <c r="Q406" s="977"/>
      <c r="R406" s="977"/>
      <c r="S406" s="977"/>
      <c r="T406" s="977"/>
      <c r="U406" s="977"/>
      <c r="V406" s="977"/>
      <c r="W406" s="977"/>
      <c r="X406" s="977"/>
      <c r="Y406" s="977"/>
      <c r="Z406" s="977"/>
      <c r="AA406" s="977"/>
      <c r="AB406" s="977"/>
      <c r="AC406" s="977"/>
      <c r="AD406" s="977"/>
      <c r="AE406" s="977"/>
      <c r="AF406" s="977"/>
      <c r="AG406" s="977"/>
      <c r="AH406" s="977"/>
      <c r="AI406" s="977"/>
      <c r="AJ406" s="977"/>
      <c r="AK406" s="977"/>
      <c r="AL406" s="977"/>
      <c r="AM406" s="977"/>
      <c r="AN406" s="977"/>
      <c r="AO406" s="977"/>
      <c r="AP406" s="977"/>
      <c r="AQ406" s="977"/>
    </row>
    <row r="407" spans="1:43" ht="14.25" customHeight="1">
      <c r="A407" s="977"/>
      <c r="B407" s="977"/>
      <c r="C407" s="977"/>
      <c r="D407" s="977"/>
      <c r="E407" s="977"/>
      <c r="F407" s="977"/>
      <c r="G407" s="977"/>
      <c r="H407" s="977"/>
      <c r="I407" s="977"/>
      <c r="J407" s="977"/>
      <c r="K407" s="977"/>
      <c r="L407" s="977"/>
      <c r="M407" s="977"/>
      <c r="N407" s="977"/>
      <c r="O407" s="977"/>
      <c r="P407" s="977"/>
      <c r="Q407" s="977"/>
      <c r="R407" s="977"/>
      <c r="S407" s="977"/>
      <c r="T407" s="977"/>
      <c r="U407" s="977"/>
      <c r="V407" s="977"/>
      <c r="W407" s="977"/>
      <c r="X407" s="977"/>
      <c r="Y407" s="977"/>
      <c r="Z407" s="977"/>
      <c r="AA407" s="977"/>
      <c r="AB407" s="977"/>
      <c r="AC407" s="977"/>
      <c r="AD407" s="977"/>
      <c r="AE407" s="977"/>
      <c r="AF407" s="977"/>
      <c r="AG407" s="977"/>
      <c r="AH407" s="977"/>
      <c r="AI407" s="977"/>
      <c r="AJ407" s="977"/>
      <c r="AK407" s="977"/>
      <c r="AL407" s="977"/>
      <c r="AM407" s="977"/>
      <c r="AN407" s="977"/>
      <c r="AO407" s="977"/>
      <c r="AP407" s="977"/>
      <c r="AQ407" s="977"/>
    </row>
    <row r="408" spans="1:43" ht="14.25" customHeight="1">
      <c r="A408" s="977"/>
      <c r="B408" s="977"/>
      <c r="C408" s="977"/>
      <c r="D408" s="977"/>
      <c r="E408" s="977"/>
      <c r="F408" s="977"/>
      <c r="G408" s="977"/>
      <c r="H408" s="977"/>
      <c r="I408" s="977"/>
      <c r="J408" s="977"/>
      <c r="K408" s="977"/>
      <c r="L408" s="977"/>
      <c r="M408" s="977"/>
      <c r="N408" s="977"/>
      <c r="O408" s="977"/>
      <c r="P408" s="977"/>
      <c r="Q408" s="977"/>
      <c r="R408" s="977"/>
      <c r="S408" s="977"/>
      <c r="T408" s="977"/>
      <c r="U408" s="977"/>
      <c r="V408" s="977"/>
      <c r="W408" s="977"/>
      <c r="X408" s="977"/>
      <c r="Y408" s="977"/>
      <c r="Z408" s="977"/>
      <c r="AA408" s="977"/>
      <c r="AB408" s="977"/>
      <c r="AC408" s="977"/>
      <c r="AD408" s="977"/>
      <c r="AE408" s="977"/>
      <c r="AF408" s="977"/>
      <c r="AG408" s="977"/>
      <c r="AH408" s="977"/>
      <c r="AI408" s="977"/>
      <c r="AJ408" s="977"/>
      <c r="AK408" s="977"/>
      <c r="AL408" s="977"/>
      <c r="AM408" s="977"/>
      <c r="AN408" s="977"/>
      <c r="AO408" s="977"/>
      <c r="AP408" s="977"/>
      <c r="AQ408" s="977"/>
    </row>
    <row r="409" spans="1:43" ht="14.25" customHeight="1">
      <c r="A409" s="977"/>
      <c r="B409" s="977"/>
      <c r="C409" s="977"/>
      <c r="D409" s="977"/>
      <c r="E409" s="977"/>
      <c r="F409" s="977"/>
      <c r="G409" s="977"/>
      <c r="H409" s="977"/>
      <c r="I409" s="977"/>
      <c r="J409" s="977"/>
      <c r="K409" s="977"/>
      <c r="L409" s="977"/>
      <c r="M409" s="977"/>
      <c r="N409" s="977"/>
      <c r="O409" s="977"/>
      <c r="P409" s="977"/>
      <c r="Q409" s="977"/>
      <c r="R409" s="977"/>
      <c r="S409" s="977"/>
      <c r="T409" s="977"/>
      <c r="U409" s="977"/>
      <c r="V409" s="977"/>
      <c r="W409" s="977"/>
      <c r="X409" s="977"/>
      <c r="Y409" s="977"/>
      <c r="Z409" s="977"/>
      <c r="AA409" s="977"/>
      <c r="AB409" s="977"/>
      <c r="AC409" s="977"/>
      <c r="AD409" s="977"/>
      <c r="AE409" s="977"/>
      <c r="AF409" s="977"/>
      <c r="AG409" s="977"/>
      <c r="AH409" s="977"/>
      <c r="AI409" s="977"/>
      <c r="AJ409" s="977"/>
      <c r="AK409" s="977"/>
      <c r="AL409" s="977"/>
      <c r="AM409" s="977"/>
      <c r="AN409" s="977"/>
      <c r="AO409" s="977"/>
      <c r="AP409" s="977"/>
      <c r="AQ409" s="977"/>
    </row>
    <row r="410" spans="1:43" ht="14.25" customHeight="1">
      <c r="A410" s="977"/>
      <c r="B410" s="977"/>
      <c r="C410" s="977"/>
      <c r="D410" s="977"/>
      <c r="E410" s="977"/>
      <c r="F410" s="977"/>
      <c r="G410" s="977"/>
      <c r="H410" s="977"/>
      <c r="I410" s="977"/>
      <c r="J410" s="977"/>
      <c r="K410" s="977"/>
      <c r="L410" s="977"/>
      <c r="M410" s="977"/>
      <c r="N410" s="977"/>
      <c r="O410" s="977"/>
      <c r="P410" s="977"/>
      <c r="Q410" s="977"/>
      <c r="R410" s="977"/>
      <c r="S410" s="977"/>
      <c r="T410" s="977"/>
      <c r="U410" s="977"/>
      <c r="V410" s="977"/>
      <c r="W410" s="977"/>
      <c r="X410" s="977"/>
      <c r="Y410" s="977"/>
      <c r="Z410" s="977"/>
      <c r="AA410" s="977"/>
      <c r="AB410" s="977"/>
      <c r="AC410" s="977"/>
      <c r="AD410" s="977"/>
      <c r="AE410" s="977"/>
      <c r="AF410" s="977"/>
      <c r="AG410" s="977"/>
      <c r="AH410" s="977"/>
      <c r="AI410" s="977"/>
      <c r="AJ410" s="977"/>
      <c r="AK410" s="977"/>
      <c r="AL410" s="977"/>
      <c r="AM410" s="977"/>
      <c r="AN410" s="977"/>
      <c r="AO410" s="977"/>
      <c r="AP410" s="977"/>
      <c r="AQ410" s="977"/>
    </row>
    <row r="411" spans="1:43" ht="14.25" customHeight="1">
      <c r="A411" s="977"/>
      <c r="B411" s="977"/>
      <c r="C411" s="977"/>
      <c r="D411" s="977"/>
      <c r="E411" s="977"/>
      <c r="F411" s="977"/>
      <c r="G411" s="977"/>
      <c r="H411" s="977"/>
      <c r="I411" s="977"/>
      <c r="J411" s="977"/>
      <c r="K411" s="977"/>
      <c r="L411" s="977"/>
      <c r="M411" s="977"/>
      <c r="N411" s="977"/>
      <c r="O411" s="977"/>
      <c r="P411" s="977"/>
      <c r="Q411" s="977"/>
      <c r="R411" s="977"/>
      <c r="S411" s="977"/>
      <c r="T411" s="977"/>
      <c r="U411" s="977"/>
      <c r="V411" s="977"/>
      <c r="W411" s="977"/>
      <c r="X411" s="977"/>
      <c r="Y411" s="977"/>
      <c r="Z411" s="977"/>
      <c r="AA411" s="977"/>
      <c r="AB411" s="977"/>
      <c r="AC411" s="977"/>
      <c r="AD411" s="977"/>
      <c r="AE411" s="977"/>
      <c r="AF411" s="977"/>
      <c r="AG411" s="977"/>
      <c r="AH411" s="977"/>
      <c r="AI411" s="977"/>
      <c r="AJ411" s="977"/>
      <c r="AK411" s="977"/>
      <c r="AL411" s="977"/>
      <c r="AM411" s="977"/>
      <c r="AN411" s="977"/>
      <c r="AO411" s="977"/>
      <c r="AP411" s="977"/>
      <c r="AQ411" s="977"/>
    </row>
    <row r="412" spans="1:43" ht="14.25" customHeight="1">
      <c r="A412" s="977"/>
      <c r="B412" s="977"/>
      <c r="C412" s="977"/>
      <c r="D412" s="977"/>
      <c r="E412" s="977"/>
      <c r="F412" s="977"/>
      <c r="G412" s="977"/>
      <c r="H412" s="977"/>
      <c r="I412" s="977"/>
      <c r="J412" s="977"/>
      <c r="K412" s="977"/>
      <c r="L412" s="977"/>
      <c r="M412" s="977"/>
      <c r="N412" s="977"/>
      <c r="O412" s="977"/>
      <c r="P412" s="977"/>
      <c r="Q412" s="977"/>
      <c r="R412" s="977"/>
      <c r="S412" s="977"/>
      <c r="T412" s="977"/>
      <c r="U412" s="977"/>
      <c r="V412" s="977"/>
      <c r="W412" s="977"/>
      <c r="X412" s="977"/>
      <c r="Y412" s="977"/>
      <c r="Z412" s="977"/>
      <c r="AA412" s="977"/>
      <c r="AB412" s="977"/>
      <c r="AC412" s="977"/>
      <c r="AD412" s="977"/>
      <c r="AE412" s="977"/>
      <c r="AF412" s="977"/>
      <c r="AG412" s="977"/>
      <c r="AH412" s="977"/>
      <c r="AI412" s="977"/>
      <c r="AJ412" s="977"/>
      <c r="AK412" s="977"/>
      <c r="AL412" s="977"/>
      <c r="AM412" s="977"/>
      <c r="AN412" s="977"/>
      <c r="AO412" s="977"/>
      <c r="AP412" s="977"/>
      <c r="AQ412" s="977"/>
    </row>
    <row r="413" spans="1:43" ht="14.25" customHeight="1">
      <c r="A413" s="977"/>
      <c r="B413" s="977"/>
      <c r="C413" s="977"/>
      <c r="D413" s="977"/>
      <c r="E413" s="977"/>
      <c r="F413" s="977"/>
      <c r="G413" s="977"/>
      <c r="H413" s="977"/>
      <c r="I413" s="977"/>
      <c r="J413" s="977"/>
      <c r="K413" s="977"/>
      <c r="L413" s="977"/>
      <c r="M413" s="977"/>
      <c r="N413" s="977"/>
      <c r="O413" s="977"/>
      <c r="P413" s="977"/>
      <c r="Q413" s="977"/>
      <c r="R413" s="977"/>
      <c r="S413" s="977"/>
      <c r="T413" s="977"/>
      <c r="U413" s="977"/>
      <c r="V413" s="977"/>
      <c r="W413" s="977"/>
      <c r="X413" s="977"/>
      <c r="Y413" s="977"/>
      <c r="Z413" s="977"/>
      <c r="AA413" s="977"/>
      <c r="AB413" s="977"/>
      <c r="AC413" s="977"/>
      <c r="AD413" s="977"/>
      <c r="AE413" s="977"/>
      <c r="AF413" s="977"/>
      <c r="AG413" s="977"/>
      <c r="AH413" s="977"/>
      <c r="AI413" s="977"/>
      <c r="AJ413" s="977"/>
      <c r="AK413" s="977"/>
      <c r="AL413" s="977"/>
      <c r="AM413" s="977"/>
      <c r="AN413" s="977"/>
      <c r="AO413" s="977"/>
      <c r="AP413" s="977"/>
      <c r="AQ413" s="977"/>
    </row>
    <row r="414" spans="1:43" ht="14.25" customHeight="1">
      <c r="A414" s="977"/>
      <c r="B414" s="977"/>
      <c r="C414" s="977"/>
      <c r="D414" s="977"/>
      <c r="E414" s="977"/>
      <c r="F414" s="977"/>
      <c r="G414" s="977"/>
      <c r="H414" s="977"/>
      <c r="I414" s="977"/>
      <c r="J414" s="977"/>
      <c r="K414" s="977"/>
      <c r="L414" s="977"/>
      <c r="M414" s="977"/>
      <c r="N414" s="977"/>
      <c r="O414" s="977"/>
      <c r="P414" s="977"/>
      <c r="Q414" s="977"/>
      <c r="R414" s="977"/>
      <c r="S414" s="977"/>
      <c r="T414" s="977"/>
      <c r="U414" s="977"/>
      <c r="V414" s="977"/>
      <c r="W414" s="977"/>
      <c r="X414" s="977"/>
      <c r="Y414" s="977"/>
      <c r="Z414" s="977"/>
      <c r="AA414" s="977"/>
      <c r="AB414" s="977"/>
      <c r="AC414" s="977"/>
      <c r="AD414" s="977"/>
      <c r="AE414" s="977"/>
      <c r="AF414" s="977"/>
      <c r="AG414" s="977"/>
      <c r="AH414" s="977"/>
      <c r="AI414" s="977"/>
      <c r="AJ414" s="977"/>
      <c r="AK414" s="977"/>
      <c r="AL414" s="977"/>
      <c r="AM414" s="977"/>
      <c r="AN414" s="977"/>
      <c r="AO414" s="977"/>
      <c r="AP414" s="977"/>
      <c r="AQ414" s="977"/>
    </row>
    <row r="415" spans="1:43" ht="14.25" customHeight="1">
      <c r="A415" s="977"/>
      <c r="B415" s="977"/>
      <c r="C415" s="977"/>
      <c r="D415" s="977"/>
      <c r="E415" s="977"/>
      <c r="F415" s="977"/>
      <c r="G415" s="977"/>
      <c r="H415" s="977"/>
      <c r="I415" s="977"/>
      <c r="J415" s="977"/>
      <c r="K415" s="977"/>
      <c r="L415" s="977"/>
      <c r="M415" s="977"/>
      <c r="N415" s="977"/>
      <c r="O415" s="977"/>
      <c r="P415" s="977"/>
      <c r="Q415" s="977"/>
      <c r="R415" s="977"/>
      <c r="S415" s="977"/>
      <c r="T415" s="977"/>
      <c r="U415" s="977"/>
      <c r="V415" s="977"/>
      <c r="W415" s="977"/>
      <c r="X415" s="977"/>
      <c r="Y415" s="977"/>
      <c r="Z415" s="977"/>
      <c r="AA415" s="977"/>
      <c r="AB415" s="977"/>
      <c r="AC415" s="977"/>
      <c r="AD415" s="977"/>
      <c r="AE415" s="977"/>
      <c r="AF415" s="977"/>
      <c r="AG415" s="977"/>
      <c r="AH415" s="977"/>
      <c r="AI415" s="977"/>
      <c r="AJ415" s="977"/>
      <c r="AK415" s="977"/>
      <c r="AL415" s="977"/>
      <c r="AM415" s="977"/>
      <c r="AN415" s="977"/>
      <c r="AO415" s="977"/>
      <c r="AP415" s="977"/>
      <c r="AQ415" s="977"/>
    </row>
    <row r="416" spans="1:43" ht="14.25" customHeight="1">
      <c r="A416" s="977"/>
      <c r="B416" s="977"/>
      <c r="C416" s="977"/>
      <c r="D416" s="977"/>
      <c r="E416" s="977"/>
      <c r="F416" s="977"/>
      <c r="G416" s="977"/>
      <c r="H416" s="977"/>
      <c r="I416" s="977"/>
      <c r="J416" s="977"/>
      <c r="K416" s="977"/>
      <c r="L416" s="977"/>
      <c r="M416" s="977"/>
      <c r="N416" s="977"/>
      <c r="O416" s="977"/>
      <c r="P416" s="977"/>
      <c r="Q416" s="977"/>
      <c r="R416" s="977"/>
      <c r="S416" s="977"/>
      <c r="T416" s="977"/>
      <c r="U416" s="977"/>
      <c r="V416" s="977"/>
      <c r="W416" s="977"/>
      <c r="X416" s="977"/>
      <c r="Y416" s="977"/>
      <c r="Z416" s="977"/>
      <c r="AA416" s="977"/>
      <c r="AB416" s="977"/>
      <c r="AC416" s="977"/>
      <c r="AD416" s="977"/>
      <c r="AE416" s="977"/>
      <c r="AF416" s="977"/>
      <c r="AG416" s="977"/>
      <c r="AH416" s="977"/>
      <c r="AI416" s="977"/>
      <c r="AJ416" s="977"/>
      <c r="AK416" s="977"/>
      <c r="AL416" s="977"/>
      <c r="AM416" s="977"/>
      <c r="AN416" s="977"/>
      <c r="AO416" s="977"/>
      <c r="AP416" s="977"/>
      <c r="AQ416" s="977"/>
    </row>
    <row r="417" spans="1:43" ht="14.25" customHeight="1">
      <c r="A417" s="977"/>
      <c r="B417" s="977"/>
      <c r="C417" s="977"/>
      <c r="D417" s="977"/>
      <c r="E417" s="977"/>
      <c r="F417" s="977"/>
      <c r="G417" s="977"/>
      <c r="H417" s="977"/>
      <c r="I417" s="977"/>
      <c r="J417" s="977"/>
      <c r="K417" s="977"/>
      <c r="L417" s="977"/>
      <c r="M417" s="977"/>
      <c r="N417" s="977"/>
      <c r="O417" s="977"/>
      <c r="P417" s="977"/>
      <c r="Q417" s="977"/>
      <c r="R417" s="977"/>
      <c r="S417" s="977"/>
      <c r="T417" s="977"/>
      <c r="U417" s="977"/>
      <c r="V417" s="977"/>
      <c r="W417" s="977"/>
      <c r="X417" s="977"/>
      <c r="Y417" s="977"/>
      <c r="Z417" s="977"/>
      <c r="AA417" s="977"/>
      <c r="AB417" s="977"/>
      <c r="AC417" s="977"/>
      <c r="AD417" s="977"/>
      <c r="AE417" s="977"/>
      <c r="AF417" s="977"/>
      <c r="AG417" s="977"/>
      <c r="AH417" s="977"/>
      <c r="AI417" s="977"/>
      <c r="AJ417" s="977"/>
      <c r="AK417" s="977"/>
      <c r="AL417" s="977"/>
      <c r="AM417" s="977"/>
      <c r="AN417" s="977"/>
      <c r="AO417" s="977"/>
      <c r="AP417" s="977"/>
      <c r="AQ417" s="977"/>
    </row>
    <row r="418" spans="1:43" ht="14.25" customHeight="1">
      <c r="A418" s="977"/>
      <c r="B418" s="977"/>
      <c r="C418" s="977"/>
      <c r="D418" s="977"/>
      <c r="E418" s="977"/>
      <c r="F418" s="977"/>
      <c r="G418" s="977"/>
      <c r="H418" s="977"/>
      <c r="I418" s="977"/>
      <c r="J418" s="977"/>
      <c r="K418" s="977"/>
      <c r="L418" s="977"/>
      <c r="M418" s="977"/>
      <c r="N418" s="977"/>
      <c r="O418" s="977"/>
      <c r="P418" s="977"/>
      <c r="Q418" s="977"/>
      <c r="R418" s="977"/>
      <c r="S418" s="977"/>
      <c r="T418" s="977"/>
      <c r="U418" s="977"/>
      <c r="V418" s="977"/>
      <c r="W418" s="977"/>
      <c r="X418" s="977"/>
      <c r="Y418" s="977"/>
      <c r="Z418" s="977"/>
      <c r="AA418" s="977"/>
      <c r="AB418" s="977"/>
      <c r="AC418" s="977"/>
      <c r="AD418" s="977"/>
      <c r="AE418" s="977"/>
      <c r="AF418" s="977"/>
      <c r="AG418" s="977"/>
      <c r="AH418" s="977"/>
      <c r="AI418" s="977"/>
      <c r="AJ418" s="977"/>
      <c r="AK418" s="977"/>
      <c r="AL418" s="977"/>
      <c r="AM418" s="977"/>
      <c r="AN418" s="977"/>
      <c r="AO418" s="977"/>
      <c r="AP418" s="977"/>
      <c r="AQ418" s="977"/>
    </row>
    <row r="419" spans="1:43" ht="14.25" customHeight="1">
      <c r="A419" s="977"/>
      <c r="B419" s="977"/>
      <c r="C419" s="977"/>
      <c r="D419" s="977"/>
      <c r="E419" s="977"/>
      <c r="F419" s="977"/>
      <c r="G419" s="977"/>
      <c r="H419" s="977"/>
      <c r="I419" s="977"/>
      <c r="J419" s="977"/>
      <c r="K419" s="977"/>
      <c r="L419" s="977"/>
      <c r="M419" s="977"/>
      <c r="N419" s="977"/>
      <c r="O419" s="977"/>
      <c r="P419" s="977"/>
      <c r="Q419" s="977"/>
      <c r="R419" s="977"/>
      <c r="S419" s="977"/>
      <c r="T419" s="977"/>
      <c r="U419" s="977"/>
      <c r="V419" s="977"/>
      <c r="W419" s="977"/>
      <c r="X419" s="977"/>
      <c r="Y419" s="977"/>
      <c r="Z419" s="977"/>
      <c r="AA419" s="977"/>
      <c r="AB419" s="977"/>
      <c r="AC419" s="977"/>
      <c r="AD419" s="977"/>
      <c r="AE419" s="977"/>
      <c r="AF419" s="977"/>
      <c r="AG419" s="977"/>
      <c r="AH419" s="977"/>
      <c r="AI419" s="977"/>
      <c r="AJ419" s="977"/>
      <c r="AK419" s="977"/>
      <c r="AL419" s="977"/>
      <c r="AM419" s="977"/>
      <c r="AN419" s="977"/>
      <c r="AO419" s="977"/>
      <c r="AP419" s="977"/>
      <c r="AQ419" s="977"/>
    </row>
    <row r="420" spans="1:43" ht="14.25" customHeight="1">
      <c r="A420" s="977"/>
      <c r="B420" s="977"/>
      <c r="C420" s="977"/>
      <c r="D420" s="977"/>
      <c r="E420" s="977"/>
      <c r="F420" s="977"/>
      <c r="G420" s="977"/>
      <c r="H420" s="977"/>
      <c r="I420" s="977"/>
      <c r="J420" s="977"/>
      <c r="K420" s="977"/>
      <c r="L420" s="977"/>
      <c r="M420" s="977"/>
      <c r="N420" s="977"/>
      <c r="O420" s="977"/>
      <c r="P420" s="977"/>
      <c r="Q420" s="977"/>
      <c r="R420" s="977"/>
      <c r="S420" s="977"/>
      <c r="T420" s="977"/>
      <c r="U420" s="977"/>
      <c r="V420" s="977"/>
      <c r="W420" s="977"/>
      <c r="X420" s="977"/>
      <c r="Y420" s="977"/>
      <c r="Z420" s="977"/>
      <c r="AA420" s="977"/>
      <c r="AB420" s="977"/>
      <c r="AC420" s="977"/>
      <c r="AD420" s="977"/>
      <c r="AE420" s="977"/>
      <c r="AF420" s="977"/>
      <c r="AG420" s="977"/>
      <c r="AH420" s="977"/>
      <c r="AI420" s="977"/>
      <c r="AJ420" s="977"/>
      <c r="AK420" s="977"/>
      <c r="AL420" s="977"/>
      <c r="AM420" s="977"/>
      <c r="AN420" s="977"/>
      <c r="AO420" s="977"/>
      <c r="AP420" s="977"/>
      <c r="AQ420" s="977"/>
    </row>
    <row r="421" spans="1:43" ht="14.25" customHeight="1">
      <c r="A421" s="977"/>
      <c r="B421" s="977"/>
      <c r="C421" s="977"/>
      <c r="D421" s="977"/>
      <c r="E421" s="977"/>
      <c r="F421" s="977"/>
      <c r="G421" s="977"/>
      <c r="H421" s="977"/>
      <c r="I421" s="977"/>
      <c r="J421" s="977"/>
      <c r="K421" s="977"/>
      <c r="L421" s="977"/>
      <c r="M421" s="977"/>
      <c r="N421" s="977"/>
      <c r="O421" s="977"/>
      <c r="P421" s="977"/>
      <c r="Q421" s="977"/>
      <c r="R421" s="977"/>
      <c r="S421" s="977"/>
      <c r="T421" s="977"/>
      <c r="U421" s="977"/>
      <c r="V421" s="977"/>
      <c r="W421" s="977"/>
      <c r="X421" s="977"/>
      <c r="Y421" s="977"/>
      <c r="Z421" s="977"/>
      <c r="AA421" s="977"/>
      <c r="AB421" s="977"/>
      <c r="AC421" s="977"/>
      <c r="AD421" s="977"/>
      <c r="AE421" s="977"/>
      <c r="AF421" s="977"/>
      <c r="AG421" s="977"/>
      <c r="AH421" s="977"/>
      <c r="AI421" s="977"/>
      <c r="AJ421" s="977"/>
      <c r="AK421" s="977"/>
      <c r="AL421" s="977"/>
      <c r="AM421" s="977"/>
      <c r="AN421" s="977"/>
      <c r="AO421" s="977"/>
      <c r="AP421" s="977"/>
      <c r="AQ421" s="977"/>
    </row>
    <row r="422" spans="1:43" ht="14.25" customHeight="1">
      <c r="A422" s="977"/>
      <c r="B422" s="977"/>
      <c r="C422" s="977"/>
      <c r="D422" s="977"/>
      <c r="E422" s="977"/>
      <c r="F422" s="977"/>
      <c r="G422" s="977"/>
      <c r="H422" s="977"/>
      <c r="I422" s="977"/>
      <c r="J422" s="977"/>
      <c r="K422" s="977"/>
      <c r="L422" s="977"/>
      <c r="M422" s="977"/>
      <c r="N422" s="977"/>
      <c r="O422" s="977"/>
      <c r="P422" s="977"/>
      <c r="Q422" s="977"/>
      <c r="R422" s="977"/>
      <c r="S422" s="977"/>
      <c r="T422" s="977"/>
      <c r="U422" s="977"/>
      <c r="V422" s="977"/>
      <c r="W422" s="977"/>
      <c r="X422" s="977"/>
      <c r="Y422" s="977"/>
      <c r="Z422" s="977"/>
      <c r="AA422" s="977"/>
      <c r="AB422" s="977"/>
      <c r="AC422" s="977"/>
      <c r="AD422" s="977"/>
      <c r="AE422" s="977"/>
      <c r="AF422" s="977"/>
      <c r="AG422" s="977"/>
      <c r="AH422" s="977"/>
      <c r="AI422" s="977"/>
      <c r="AJ422" s="977"/>
      <c r="AK422" s="977"/>
      <c r="AL422" s="977"/>
      <c r="AM422" s="977"/>
      <c r="AN422" s="977"/>
      <c r="AO422" s="977"/>
      <c r="AP422" s="977"/>
      <c r="AQ422" s="977"/>
    </row>
    <row r="423" spans="1:43" ht="14.25" customHeight="1">
      <c r="A423" s="977"/>
      <c r="B423" s="977"/>
      <c r="C423" s="977"/>
      <c r="D423" s="977"/>
      <c r="E423" s="977"/>
      <c r="F423" s="977"/>
      <c r="G423" s="977"/>
      <c r="H423" s="977"/>
      <c r="I423" s="977"/>
      <c r="J423" s="977"/>
      <c r="K423" s="977"/>
      <c r="L423" s="977"/>
      <c r="M423" s="977"/>
      <c r="N423" s="977"/>
      <c r="O423" s="977"/>
      <c r="P423" s="977"/>
      <c r="Q423" s="977"/>
      <c r="R423" s="977"/>
      <c r="S423" s="977"/>
      <c r="T423" s="977"/>
      <c r="U423" s="977"/>
      <c r="V423" s="977"/>
      <c r="W423" s="977"/>
      <c r="X423" s="977"/>
      <c r="Y423" s="977"/>
      <c r="Z423" s="977"/>
      <c r="AA423" s="977"/>
      <c r="AB423" s="977"/>
      <c r="AC423" s="977"/>
      <c r="AD423" s="977"/>
      <c r="AE423" s="977"/>
      <c r="AF423" s="977"/>
      <c r="AG423" s="977"/>
      <c r="AH423" s="977"/>
      <c r="AI423" s="977"/>
      <c r="AJ423" s="977"/>
      <c r="AK423" s="977"/>
      <c r="AL423" s="977"/>
      <c r="AM423" s="977"/>
      <c r="AN423" s="977"/>
      <c r="AO423" s="977"/>
      <c r="AP423" s="977"/>
      <c r="AQ423" s="977"/>
    </row>
    <row r="424" spans="1:43" ht="14.25" customHeight="1">
      <c r="A424" s="977"/>
      <c r="B424" s="977"/>
      <c r="C424" s="977"/>
      <c r="D424" s="977"/>
      <c r="E424" s="977"/>
      <c r="F424" s="977"/>
      <c r="G424" s="977"/>
      <c r="H424" s="977"/>
      <c r="I424" s="977"/>
      <c r="J424" s="977"/>
      <c r="K424" s="977"/>
      <c r="L424" s="977"/>
      <c r="M424" s="977"/>
      <c r="N424" s="977"/>
      <c r="O424" s="977"/>
      <c r="P424" s="977"/>
      <c r="Q424" s="977"/>
      <c r="R424" s="977"/>
      <c r="S424" s="977"/>
      <c r="T424" s="977"/>
      <c r="U424" s="977"/>
      <c r="V424" s="977"/>
      <c r="W424" s="977"/>
      <c r="X424" s="977"/>
      <c r="Y424" s="977"/>
      <c r="Z424" s="977"/>
      <c r="AA424" s="977"/>
      <c r="AB424" s="977"/>
      <c r="AC424" s="977"/>
      <c r="AD424" s="977"/>
      <c r="AE424" s="977"/>
      <c r="AF424" s="977"/>
      <c r="AG424" s="977"/>
      <c r="AH424" s="977"/>
      <c r="AI424" s="977"/>
      <c r="AJ424" s="977"/>
      <c r="AK424" s="977"/>
      <c r="AL424" s="977"/>
      <c r="AM424" s="977"/>
      <c r="AN424" s="977"/>
      <c r="AO424" s="977"/>
      <c r="AP424" s="977"/>
      <c r="AQ424" s="977"/>
    </row>
    <row r="425" spans="1:43" ht="14.25" customHeight="1">
      <c r="A425" s="977"/>
      <c r="B425" s="977"/>
      <c r="C425" s="977"/>
      <c r="D425" s="977"/>
      <c r="E425" s="977"/>
      <c r="F425" s="977"/>
      <c r="G425" s="977"/>
      <c r="H425" s="977"/>
      <c r="I425" s="977"/>
      <c r="J425" s="977"/>
      <c r="K425" s="977"/>
      <c r="L425" s="977"/>
      <c r="M425" s="977"/>
      <c r="N425" s="977"/>
      <c r="O425" s="977"/>
      <c r="P425" s="977"/>
      <c r="Q425" s="977"/>
      <c r="R425" s="977"/>
      <c r="S425" s="977"/>
      <c r="T425" s="977"/>
      <c r="U425" s="977"/>
      <c r="V425" s="977"/>
      <c r="W425" s="977"/>
      <c r="X425" s="977"/>
      <c r="Y425" s="977"/>
      <c r="Z425" s="977"/>
      <c r="AA425" s="977"/>
      <c r="AB425" s="977"/>
      <c r="AC425" s="977"/>
      <c r="AD425" s="977"/>
      <c r="AE425" s="977"/>
      <c r="AF425" s="977"/>
      <c r="AG425" s="977"/>
      <c r="AH425" s="977"/>
      <c r="AI425" s="977"/>
      <c r="AJ425" s="977"/>
      <c r="AK425" s="977"/>
      <c r="AL425" s="977"/>
      <c r="AM425" s="977"/>
      <c r="AN425" s="977"/>
      <c r="AO425" s="977"/>
      <c r="AP425" s="977"/>
      <c r="AQ425" s="977"/>
    </row>
    <row r="426" spans="1:43" ht="14.25" customHeight="1">
      <c r="A426" s="977"/>
      <c r="B426" s="977"/>
      <c r="C426" s="977"/>
      <c r="D426" s="977"/>
      <c r="E426" s="977"/>
      <c r="F426" s="977"/>
      <c r="G426" s="977"/>
      <c r="H426" s="977"/>
      <c r="I426" s="977"/>
      <c r="J426" s="977"/>
      <c r="K426" s="977"/>
      <c r="L426" s="977"/>
      <c r="M426" s="977"/>
      <c r="N426" s="977"/>
      <c r="O426" s="977"/>
      <c r="P426" s="977"/>
      <c r="Q426" s="977"/>
      <c r="R426" s="977"/>
      <c r="S426" s="977"/>
      <c r="T426" s="977"/>
      <c r="U426" s="977"/>
      <c r="V426" s="977"/>
      <c r="W426" s="977"/>
      <c r="X426" s="977"/>
      <c r="Y426" s="977"/>
      <c r="Z426" s="977"/>
      <c r="AA426" s="977"/>
      <c r="AB426" s="977"/>
      <c r="AC426" s="977"/>
      <c r="AD426" s="977"/>
      <c r="AE426" s="977"/>
      <c r="AF426" s="977"/>
      <c r="AG426" s="977"/>
      <c r="AH426" s="977"/>
      <c r="AI426" s="977"/>
      <c r="AJ426" s="977"/>
      <c r="AK426" s="977"/>
      <c r="AL426" s="977"/>
      <c r="AM426" s="977"/>
      <c r="AN426" s="977"/>
      <c r="AO426" s="977"/>
      <c r="AP426" s="977"/>
      <c r="AQ426" s="977"/>
    </row>
    <row r="427" spans="1:43" ht="14.25" customHeight="1">
      <c r="A427" s="977"/>
      <c r="B427" s="977"/>
      <c r="C427" s="977"/>
      <c r="D427" s="977"/>
      <c r="E427" s="977"/>
      <c r="F427" s="977"/>
      <c r="G427" s="977"/>
      <c r="H427" s="977"/>
      <c r="I427" s="977"/>
      <c r="J427" s="977"/>
      <c r="K427" s="977"/>
      <c r="L427" s="977"/>
      <c r="M427" s="977"/>
      <c r="N427" s="977"/>
      <c r="O427" s="977"/>
      <c r="P427" s="977"/>
      <c r="Q427" s="977"/>
      <c r="R427" s="977"/>
      <c r="S427" s="977"/>
      <c r="T427" s="977"/>
      <c r="U427" s="977"/>
      <c r="V427" s="977"/>
      <c r="W427" s="977"/>
      <c r="X427" s="977"/>
      <c r="Y427" s="977"/>
      <c r="Z427" s="977"/>
      <c r="AA427" s="977"/>
      <c r="AB427" s="977"/>
      <c r="AC427" s="977"/>
      <c r="AD427" s="977"/>
      <c r="AE427" s="977"/>
      <c r="AF427" s="977"/>
      <c r="AG427" s="977"/>
      <c r="AH427" s="977"/>
      <c r="AI427" s="977"/>
      <c r="AJ427" s="977"/>
      <c r="AK427" s="977"/>
      <c r="AL427" s="977"/>
      <c r="AM427" s="977"/>
      <c r="AN427" s="977"/>
      <c r="AO427" s="977"/>
      <c r="AP427" s="977"/>
      <c r="AQ427" s="977"/>
    </row>
    <row r="428" spans="1:43" ht="14.25" customHeight="1">
      <c r="A428" s="977"/>
      <c r="B428" s="977"/>
      <c r="C428" s="977"/>
      <c r="D428" s="977"/>
      <c r="E428" s="977"/>
      <c r="F428" s="977"/>
      <c r="G428" s="977"/>
      <c r="H428" s="977"/>
      <c r="I428" s="977"/>
      <c r="J428" s="977"/>
      <c r="K428" s="977"/>
      <c r="L428" s="977"/>
      <c r="M428" s="977"/>
      <c r="N428" s="977"/>
      <c r="O428" s="977"/>
      <c r="P428" s="977"/>
      <c r="Q428" s="977"/>
      <c r="R428" s="977"/>
      <c r="S428" s="977"/>
      <c r="T428" s="977"/>
      <c r="U428" s="977"/>
      <c r="V428" s="977"/>
      <c r="W428" s="977"/>
      <c r="X428" s="977"/>
      <c r="Y428" s="977"/>
      <c r="Z428" s="977"/>
      <c r="AA428" s="977"/>
      <c r="AB428" s="977"/>
      <c r="AC428" s="977"/>
      <c r="AD428" s="977"/>
      <c r="AE428" s="977"/>
      <c r="AF428" s="977"/>
      <c r="AG428" s="977"/>
      <c r="AH428" s="977"/>
      <c r="AI428" s="977"/>
      <c r="AJ428" s="977"/>
      <c r="AK428" s="977"/>
      <c r="AL428" s="977"/>
      <c r="AM428" s="977"/>
      <c r="AN428" s="977"/>
      <c r="AO428" s="977"/>
      <c r="AP428" s="977"/>
      <c r="AQ428" s="977"/>
    </row>
    <row r="429" spans="1:43" ht="14.25" customHeight="1">
      <c r="A429" s="977"/>
      <c r="B429" s="977"/>
      <c r="C429" s="977"/>
      <c r="D429" s="977"/>
      <c r="E429" s="977"/>
      <c r="F429" s="977"/>
      <c r="G429" s="977"/>
      <c r="H429" s="977"/>
      <c r="I429" s="977"/>
      <c r="J429" s="977"/>
      <c r="K429" s="977"/>
      <c r="L429" s="977"/>
      <c r="M429" s="977"/>
      <c r="N429" s="977"/>
      <c r="O429" s="977"/>
      <c r="P429" s="977"/>
      <c r="Q429" s="977"/>
      <c r="R429" s="977"/>
      <c r="S429" s="977"/>
      <c r="T429" s="977"/>
      <c r="U429" s="977"/>
      <c r="V429" s="977"/>
      <c r="W429" s="977"/>
      <c r="X429" s="977"/>
      <c r="Y429" s="977"/>
      <c r="Z429" s="977"/>
      <c r="AA429" s="977"/>
      <c r="AB429" s="977"/>
      <c r="AC429" s="977"/>
      <c r="AD429" s="977"/>
      <c r="AE429" s="977"/>
      <c r="AF429" s="977"/>
      <c r="AG429" s="977"/>
      <c r="AH429" s="977"/>
      <c r="AI429" s="977"/>
      <c r="AJ429" s="977"/>
      <c r="AK429" s="977"/>
      <c r="AL429" s="977"/>
      <c r="AM429" s="977"/>
      <c r="AN429" s="977"/>
      <c r="AO429" s="977"/>
      <c r="AP429" s="977"/>
      <c r="AQ429" s="977"/>
    </row>
    <row r="430" spans="1:43" ht="14.25" customHeight="1">
      <c r="A430" s="977"/>
      <c r="B430" s="977"/>
      <c r="C430" s="977"/>
      <c r="D430" s="977"/>
      <c r="E430" s="977"/>
      <c r="F430" s="977"/>
      <c r="G430" s="977"/>
      <c r="H430" s="977"/>
      <c r="I430" s="977"/>
      <c r="J430" s="977"/>
      <c r="K430" s="977"/>
      <c r="L430" s="977"/>
      <c r="M430" s="977"/>
      <c r="N430" s="977"/>
      <c r="O430" s="977"/>
      <c r="P430" s="977"/>
      <c r="Q430" s="977"/>
      <c r="R430" s="977"/>
      <c r="S430" s="977"/>
      <c r="T430" s="977"/>
      <c r="U430" s="977"/>
      <c r="V430" s="977"/>
      <c r="W430" s="977"/>
      <c r="X430" s="977"/>
      <c r="Y430" s="977"/>
      <c r="Z430" s="977"/>
      <c r="AA430" s="977"/>
      <c r="AB430" s="977"/>
      <c r="AC430" s="977"/>
      <c r="AD430" s="977"/>
      <c r="AE430" s="977"/>
      <c r="AF430" s="977"/>
      <c r="AG430" s="977"/>
      <c r="AH430" s="977"/>
      <c r="AI430" s="977"/>
      <c r="AJ430" s="977"/>
      <c r="AK430" s="977"/>
      <c r="AL430" s="977"/>
      <c r="AM430" s="977"/>
      <c r="AN430" s="977"/>
      <c r="AO430" s="977"/>
      <c r="AP430" s="977"/>
      <c r="AQ430" s="977"/>
    </row>
    <row r="431" spans="1:43" ht="14.25" customHeight="1">
      <c r="A431" s="977"/>
      <c r="B431" s="977"/>
      <c r="C431" s="977"/>
      <c r="D431" s="977"/>
      <c r="E431" s="977"/>
      <c r="F431" s="977"/>
      <c r="G431" s="977"/>
      <c r="H431" s="977"/>
      <c r="I431" s="977"/>
      <c r="J431" s="977"/>
      <c r="K431" s="977"/>
      <c r="L431" s="977"/>
      <c r="M431" s="977"/>
      <c r="N431" s="977"/>
      <c r="O431" s="977"/>
      <c r="P431" s="977"/>
      <c r="Q431" s="977"/>
      <c r="R431" s="977"/>
      <c r="S431" s="977"/>
      <c r="T431" s="977"/>
      <c r="U431" s="977"/>
      <c r="V431" s="977"/>
      <c r="W431" s="977"/>
      <c r="X431" s="977"/>
      <c r="Y431" s="977"/>
      <c r="Z431" s="977"/>
      <c r="AA431" s="977"/>
      <c r="AB431" s="977"/>
      <c r="AC431" s="977"/>
      <c r="AD431" s="977"/>
      <c r="AE431" s="977"/>
      <c r="AF431" s="977"/>
      <c r="AG431" s="977"/>
      <c r="AH431" s="977"/>
      <c r="AI431" s="977"/>
      <c r="AJ431" s="977"/>
      <c r="AK431" s="977"/>
      <c r="AL431" s="977"/>
      <c r="AM431" s="977"/>
      <c r="AN431" s="977"/>
      <c r="AO431" s="977"/>
      <c r="AP431" s="977"/>
      <c r="AQ431" s="977"/>
    </row>
    <row r="432" spans="1:43" ht="14.25" customHeight="1">
      <c r="A432" s="977"/>
      <c r="B432" s="977"/>
      <c r="C432" s="977"/>
      <c r="D432" s="977"/>
      <c r="E432" s="977"/>
      <c r="F432" s="977"/>
      <c r="G432" s="977"/>
      <c r="H432" s="977"/>
      <c r="I432" s="977"/>
      <c r="J432" s="977"/>
      <c r="K432" s="977"/>
      <c r="L432" s="977"/>
      <c r="M432" s="977"/>
      <c r="N432" s="977"/>
      <c r="O432" s="977"/>
      <c r="P432" s="977"/>
      <c r="Q432" s="977"/>
      <c r="R432" s="977"/>
      <c r="S432" s="977"/>
      <c r="T432" s="977"/>
      <c r="U432" s="977"/>
      <c r="V432" s="977"/>
      <c r="W432" s="977"/>
      <c r="X432" s="977"/>
      <c r="Y432" s="977"/>
      <c r="Z432" s="977"/>
      <c r="AA432" s="977"/>
      <c r="AB432" s="977"/>
      <c r="AC432" s="977"/>
      <c r="AD432" s="977"/>
      <c r="AE432" s="977"/>
      <c r="AF432" s="977"/>
      <c r="AG432" s="977"/>
      <c r="AH432" s="977"/>
      <c r="AI432" s="977"/>
      <c r="AJ432" s="977"/>
      <c r="AK432" s="977"/>
      <c r="AL432" s="977"/>
      <c r="AM432" s="977"/>
      <c r="AN432" s="977"/>
      <c r="AO432" s="977"/>
      <c r="AP432" s="977"/>
      <c r="AQ432" s="977"/>
    </row>
    <row r="433" spans="1:43" ht="14.25" customHeight="1">
      <c r="A433" s="977"/>
      <c r="B433" s="977"/>
      <c r="C433" s="977"/>
      <c r="D433" s="977"/>
      <c r="E433" s="977"/>
      <c r="F433" s="977"/>
      <c r="G433" s="977"/>
      <c r="H433" s="977"/>
      <c r="I433" s="977"/>
      <c r="J433" s="977"/>
      <c r="K433" s="977"/>
      <c r="L433" s="977"/>
      <c r="M433" s="977"/>
      <c r="N433" s="977"/>
      <c r="O433" s="977"/>
      <c r="P433" s="977"/>
      <c r="Q433" s="977"/>
      <c r="R433" s="977"/>
      <c r="S433" s="977"/>
      <c r="T433" s="977"/>
      <c r="U433" s="977"/>
      <c r="V433" s="977"/>
      <c r="W433" s="977"/>
      <c r="X433" s="977"/>
      <c r="Y433" s="977"/>
      <c r="Z433" s="977"/>
      <c r="AA433" s="977"/>
      <c r="AB433" s="977"/>
      <c r="AC433" s="977"/>
      <c r="AD433" s="977"/>
      <c r="AE433" s="977"/>
      <c r="AF433" s="977"/>
      <c r="AG433" s="977"/>
      <c r="AH433" s="977"/>
      <c r="AI433" s="977"/>
      <c r="AJ433" s="977"/>
      <c r="AK433" s="977"/>
      <c r="AL433" s="977"/>
      <c r="AM433" s="977"/>
      <c r="AN433" s="977"/>
      <c r="AO433" s="977"/>
      <c r="AP433" s="977"/>
      <c r="AQ433" s="977"/>
    </row>
    <row r="434" spans="1:43" ht="14.25" customHeight="1">
      <c r="A434" s="977"/>
      <c r="B434" s="977"/>
      <c r="C434" s="977"/>
      <c r="D434" s="977"/>
      <c r="E434" s="977"/>
      <c r="F434" s="977"/>
      <c r="G434" s="977"/>
      <c r="H434" s="977"/>
      <c r="I434" s="977"/>
      <c r="J434" s="977"/>
      <c r="K434" s="977"/>
      <c r="L434" s="977"/>
      <c r="M434" s="977"/>
      <c r="N434" s="977"/>
      <c r="O434" s="977"/>
      <c r="P434" s="977"/>
      <c r="Q434" s="977"/>
      <c r="R434" s="977"/>
      <c r="S434" s="977"/>
      <c r="T434" s="977"/>
      <c r="U434" s="977"/>
      <c r="V434" s="977"/>
      <c r="W434" s="977"/>
      <c r="X434" s="977"/>
      <c r="Y434" s="977"/>
      <c r="Z434" s="977"/>
      <c r="AA434" s="977"/>
      <c r="AB434" s="977"/>
      <c r="AC434" s="977"/>
      <c r="AD434" s="977"/>
      <c r="AE434" s="977"/>
      <c r="AF434" s="977"/>
      <c r="AG434" s="977"/>
      <c r="AH434" s="977"/>
      <c r="AI434" s="977"/>
      <c r="AJ434" s="977"/>
      <c r="AK434" s="977"/>
      <c r="AL434" s="977"/>
      <c r="AM434" s="977"/>
      <c r="AN434" s="977"/>
      <c r="AO434" s="977"/>
      <c r="AP434" s="977"/>
      <c r="AQ434" s="977"/>
    </row>
    <row r="435" spans="1:43" ht="14.25" customHeight="1">
      <c r="A435" s="977"/>
      <c r="B435" s="977"/>
      <c r="C435" s="977"/>
      <c r="D435" s="977"/>
      <c r="E435" s="977"/>
      <c r="F435" s="977"/>
      <c r="G435" s="977"/>
      <c r="H435" s="977"/>
      <c r="I435" s="977"/>
      <c r="J435" s="977"/>
      <c r="K435" s="977"/>
      <c r="L435" s="977"/>
      <c r="M435" s="977"/>
      <c r="N435" s="977"/>
      <c r="O435" s="977"/>
      <c r="P435" s="977"/>
      <c r="Q435" s="977"/>
      <c r="R435" s="977"/>
      <c r="S435" s="977"/>
      <c r="T435" s="977"/>
      <c r="U435" s="977"/>
      <c r="V435" s="977"/>
      <c r="W435" s="977"/>
      <c r="X435" s="977"/>
      <c r="Y435" s="977"/>
      <c r="Z435" s="977"/>
      <c r="AA435" s="977"/>
      <c r="AB435" s="977"/>
      <c r="AC435" s="977"/>
      <c r="AD435" s="977"/>
      <c r="AE435" s="977"/>
      <c r="AF435" s="977"/>
      <c r="AG435" s="977"/>
      <c r="AH435" s="977"/>
      <c r="AI435" s="977"/>
      <c r="AJ435" s="977"/>
      <c r="AK435" s="977"/>
      <c r="AL435" s="977"/>
      <c r="AM435" s="977"/>
      <c r="AN435" s="977"/>
      <c r="AO435" s="977"/>
      <c r="AP435" s="977"/>
      <c r="AQ435" s="977"/>
    </row>
    <row r="436" spans="1:43" ht="14.25" customHeight="1">
      <c r="A436" s="977"/>
      <c r="B436" s="977"/>
      <c r="C436" s="977"/>
      <c r="D436" s="977"/>
      <c r="E436" s="977"/>
      <c r="F436" s="977"/>
      <c r="G436" s="977"/>
      <c r="H436" s="977"/>
      <c r="I436" s="977"/>
      <c r="J436" s="977"/>
      <c r="K436" s="977"/>
      <c r="L436" s="977"/>
      <c r="M436" s="977"/>
      <c r="N436" s="977"/>
      <c r="O436" s="977"/>
      <c r="P436" s="977"/>
      <c r="Q436" s="977"/>
      <c r="R436" s="977"/>
      <c r="S436" s="977"/>
      <c r="T436" s="977"/>
      <c r="U436" s="977"/>
      <c r="V436" s="977"/>
      <c r="W436" s="977"/>
      <c r="X436" s="977"/>
      <c r="Y436" s="977"/>
      <c r="Z436" s="977"/>
      <c r="AA436" s="977"/>
      <c r="AB436" s="977"/>
      <c r="AC436" s="977"/>
      <c r="AD436" s="977"/>
      <c r="AE436" s="977"/>
      <c r="AF436" s="977"/>
      <c r="AG436" s="977"/>
      <c r="AH436" s="977"/>
      <c r="AI436" s="977"/>
      <c r="AJ436" s="977"/>
      <c r="AK436" s="977"/>
      <c r="AL436" s="977"/>
      <c r="AM436" s="977"/>
      <c r="AN436" s="977"/>
      <c r="AO436" s="977"/>
      <c r="AP436" s="977"/>
      <c r="AQ436" s="977"/>
    </row>
    <row r="437" spans="1:43" ht="14.25" customHeight="1">
      <c r="A437" s="977"/>
      <c r="B437" s="977"/>
      <c r="C437" s="977"/>
      <c r="D437" s="977"/>
      <c r="E437" s="977"/>
      <c r="F437" s="977"/>
      <c r="G437" s="977"/>
      <c r="H437" s="977"/>
      <c r="I437" s="977"/>
      <c r="J437" s="977"/>
      <c r="K437" s="977"/>
      <c r="L437" s="977"/>
      <c r="M437" s="977"/>
      <c r="N437" s="977"/>
      <c r="O437" s="977"/>
      <c r="P437" s="977"/>
      <c r="Q437" s="977"/>
      <c r="R437" s="977"/>
      <c r="S437" s="977"/>
      <c r="T437" s="977"/>
      <c r="U437" s="977"/>
      <c r="V437" s="977"/>
      <c r="W437" s="977"/>
      <c r="X437" s="977"/>
      <c r="Y437" s="977"/>
      <c r="Z437" s="977"/>
      <c r="AA437" s="977"/>
      <c r="AB437" s="977"/>
      <c r="AC437" s="977"/>
      <c r="AD437" s="977"/>
      <c r="AE437" s="977"/>
      <c r="AF437" s="977"/>
      <c r="AG437" s="977"/>
      <c r="AH437" s="977"/>
      <c r="AI437" s="977"/>
      <c r="AJ437" s="977"/>
      <c r="AK437" s="977"/>
      <c r="AL437" s="977"/>
      <c r="AM437" s="977"/>
      <c r="AN437" s="977"/>
      <c r="AO437" s="977"/>
      <c r="AP437" s="977"/>
      <c r="AQ437" s="977"/>
    </row>
    <row r="438" spans="1:43" ht="14.25" customHeight="1">
      <c r="A438" s="977"/>
      <c r="B438" s="977"/>
      <c r="C438" s="977"/>
      <c r="D438" s="977"/>
      <c r="E438" s="977"/>
      <c r="F438" s="977"/>
      <c r="G438" s="977"/>
      <c r="H438" s="977"/>
      <c r="I438" s="977"/>
      <c r="J438" s="977"/>
      <c r="K438" s="977"/>
      <c r="L438" s="977"/>
      <c r="M438" s="977"/>
      <c r="N438" s="977"/>
      <c r="O438" s="977"/>
      <c r="P438" s="977"/>
      <c r="Q438" s="977"/>
      <c r="R438" s="977"/>
      <c r="S438" s="977"/>
      <c r="T438" s="977"/>
      <c r="U438" s="977"/>
      <c r="V438" s="977"/>
      <c r="W438" s="977"/>
      <c r="X438" s="977"/>
      <c r="Y438" s="977"/>
      <c r="Z438" s="977"/>
      <c r="AA438" s="977"/>
      <c r="AB438" s="977"/>
      <c r="AC438" s="977"/>
      <c r="AD438" s="977"/>
      <c r="AE438" s="977"/>
      <c r="AF438" s="977"/>
      <c r="AG438" s="977"/>
      <c r="AH438" s="977"/>
      <c r="AI438" s="977"/>
      <c r="AJ438" s="977"/>
      <c r="AK438" s="977"/>
      <c r="AL438" s="977"/>
      <c r="AM438" s="977"/>
      <c r="AN438" s="977"/>
      <c r="AO438" s="977"/>
      <c r="AP438" s="977"/>
      <c r="AQ438" s="977"/>
    </row>
    <row r="439" spans="1:43" ht="14.25" customHeight="1">
      <c r="A439" s="977"/>
      <c r="B439" s="977"/>
      <c r="C439" s="977"/>
      <c r="D439" s="977"/>
      <c r="E439" s="977"/>
      <c r="F439" s="977"/>
      <c r="G439" s="977"/>
      <c r="H439" s="977"/>
      <c r="I439" s="977"/>
      <c r="J439" s="977"/>
      <c r="K439" s="977"/>
      <c r="L439" s="977"/>
      <c r="M439" s="977"/>
      <c r="N439" s="977"/>
      <c r="O439" s="977"/>
      <c r="P439" s="977"/>
      <c r="Q439" s="977"/>
      <c r="R439" s="977"/>
      <c r="S439" s="977"/>
      <c r="T439" s="977"/>
      <c r="U439" s="977"/>
      <c r="V439" s="977"/>
      <c r="W439" s="977"/>
      <c r="X439" s="977"/>
      <c r="Y439" s="977"/>
      <c r="Z439" s="977"/>
      <c r="AA439" s="977"/>
      <c r="AB439" s="977"/>
      <c r="AC439" s="977"/>
      <c r="AD439" s="977"/>
      <c r="AE439" s="977"/>
      <c r="AF439" s="977"/>
      <c r="AG439" s="977"/>
      <c r="AH439" s="977"/>
      <c r="AI439" s="977"/>
      <c r="AJ439" s="977"/>
      <c r="AK439" s="977"/>
      <c r="AL439" s="977"/>
      <c r="AM439" s="977"/>
      <c r="AN439" s="977"/>
      <c r="AO439" s="977"/>
      <c r="AP439" s="977"/>
      <c r="AQ439" s="977"/>
    </row>
    <row r="440" spans="1:43" ht="14.25" customHeight="1">
      <c r="A440" s="977"/>
      <c r="B440" s="977"/>
      <c r="C440" s="977"/>
      <c r="D440" s="977"/>
      <c r="E440" s="977"/>
      <c r="F440" s="977"/>
      <c r="G440" s="977"/>
      <c r="H440" s="977"/>
      <c r="I440" s="977"/>
      <c r="J440" s="977"/>
      <c r="K440" s="977"/>
      <c r="L440" s="977"/>
      <c r="M440" s="977"/>
      <c r="N440" s="977"/>
      <c r="O440" s="977"/>
      <c r="P440" s="977"/>
      <c r="Q440" s="977"/>
      <c r="R440" s="977"/>
      <c r="S440" s="977"/>
      <c r="T440" s="977"/>
      <c r="U440" s="977"/>
      <c r="V440" s="977"/>
      <c r="W440" s="977"/>
      <c r="X440" s="977"/>
      <c r="Y440" s="977"/>
      <c r="Z440" s="977"/>
      <c r="AA440" s="977"/>
      <c r="AB440" s="977"/>
      <c r="AC440" s="977"/>
      <c r="AD440" s="977"/>
      <c r="AE440" s="977"/>
      <c r="AF440" s="977"/>
      <c r="AG440" s="977"/>
      <c r="AH440" s="977"/>
      <c r="AI440" s="977"/>
      <c r="AJ440" s="977"/>
      <c r="AK440" s="977"/>
      <c r="AL440" s="977"/>
      <c r="AM440" s="977"/>
      <c r="AN440" s="977"/>
      <c r="AO440" s="977"/>
      <c r="AP440" s="977"/>
      <c r="AQ440" s="977"/>
    </row>
    <row r="441" spans="1:43" ht="14.25" customHeight="1">
      <c r="A441" s="977"/>
      <c r="B441" s="977"/>
      <c r="C441" s="977"/>
      <c r="D441" s="977"/>
      <c r="E441" s="977"/>
      <c r="F441" s="977"/>
      <c r="G441" s="977"/>
      <c r="H441" s="977"/>
      <c r="I441" s="977"/>
      <c r="J441" s="977"/>
      <c r="K441" s="977"/>
      <c r="L441" s="977"/>
      <c r="M441" s="977"/>
      <c r="N441" s="977"/>
      <c r="O441" s="977"/>
      <c r="P441" s="977"/>
      <c r="Q441" s="977"/>
      <c r="R441" s="977"/>
      <c r="S441" s="977"/>
      <c r="T441" s="977"/>
      <c r="U441" s="977"/>
      <c r="V441" s="977"/>
      <c r="W441" s="977"/>
      <c r="X441" s="977"/>
      <c r="Y441" s="977"/>
      <c r="Z441" s="977"/>
      <c r="AA441" s="977"/>
      <c r="AB441" s="977"/>
      <c r="AC441" s="977"/>
      <c r="AD441" s="977"/>
      <c r="AE441" s="977"/>
      <c r="AF441" s="977"/>
      <c r="AG441" s="977"/>
      <c r="AH441" s="977"/>
      <c r="AI441" s="977"/>
      <c r="AJ441" s="977"/>
      <c r="AK441" s="977"/>
      <c r="AL441" s="977"/>
      <c r="AM441" s="977"/>
      <c r="AN441" s="977"/>
      <c r="AO441" s="977"/>
      <c r="AP441" s="977"/>
      <c r="AQ441" s="977"/>
    </row>
    <row r="442" spans="1:43" ht="14.25" customHeight="1">
      <c r="A442" s="977"/>
      <c r="B442" s="977"/>
      <c r="C442" s="977"/>
      <c r="D442" s="977"/>
      <c r="E442" s="977"/>
      <c r="F442" s="977"/>
      <c r="G442" s="977"/>
      <c r="H442" s="977"/>
      <c r="I442" s="977"/>
      <c r="J442" s="977"/>
      <c r="K442" s="977"/>
      <c r="L442" s="977"/>
      <c r="M442" s="977"/>
      <c r="N442" s="977"/>
      <c r="O442" s="977"/>
      <c r="P442" s="977"/>
      <c r="Q442" s="977"/>
      <c r="R442" s="977"/>
      <c r="S442" s="977"/>
      <c r="T442" s="977"/>
      <c r="U442" s="977"/>
      <c r="V442" s="977"/>
      <c r="W442" s="977"/>
      <c r="X442" s="977"/>
      <c r="Y442" s="977"/>
      <c r="Z442" s="977"/>
      <c r="AA442" s="977"/>
      <c r="AB442" s="977"/>
      <c r="AC442" s="977"/>
      <c r="AD442" s="977"/>
      <c r="AE442" s="977"/>
      <c r="AF442" s="977"/>
      <c r="AG442" s="977"/>
      <c r="AH442" s="977"/>
      <c r="AI442" s="977"/>
      <c r="AJ442" s="977"/>
      <c r="AK442" s="977"/>
      <c r="AL442" s="977"/>
      <c r="AM442" s="977"/>
      <c r="AN442" s="977"/>
      <c r="AO442" s="977"/>
      <c r="AP442" s="977"/>
      <c r="AQ442" s="977"/>
    </row>
    <row r="443" spans="1:43" ht="14.25" customHeight="1">
      <c r="A443" s="977"/>
      <c r="B443" s="977"/>
      <c r="C443" s="977"/>
      <c r="D443" s="977"/>
      <c r="E443" s="977"/>
      <c r="F443" s="977"/>
      <c r="G443" s="977"/>
      <c r="H443" s="977"/>
      <c r="I443" s="977"/>
      <c r="J443" s="977"/>
      <c r="K443" s="977"/>
      <c r="L443" s="977"/>
      <c r="M443" s="977"/>
      <c r="N443" s="977"/>
      <c r="O443" s="977"/>
      <c r="P443" s="977"/>
      <c r="Q443" s="977"/>
      <c r="R443" s="977"/>
      <c r="S443" s="977"/>
      <c r="T443" s="977"/>
      <c r="U443" s="977"/>
      <c r="V443" s="977"/>
      <c r="W443" s="977"/>
      <c r="X443" s="977"/>
      <c r="Y443" s="977"/>
      <c r="Z443" s="977"/>
      <c r="AA443" s="977"/>
      <c r="AB443" s="977"/>
      <c r="AC443" s="977"/>
      <c r="AD443" s="977"/>
      <c r="AE443" s="977"/>
      <c r="AF443" s="977"/>
      <c r="AG443" s="977"/>
      <c r="AH443" s="977"/>
      <c r="AI443" s="977"/>
      <c r="AJ443" s="977"/>
      <c r="AK443" s="977"/>
      <c r="AL443" s="977"/>
      <c r="AM443" s="977"/>
      <c r="AN443" s="977"/>
      <c r="AO443" s="977"/>
      <c r="AP443" s="977"/>
      <c r="AQ443" s="977"/>
    </row>
    <row r="444" spans="1:43" ht="14.25" customHeight="1">
      <c r="A444" s="977"/>
      <c r="B444" s="977"/>
      <c r="C444" s="977"/>
      <c r="D444" s="977"/>
      <c r="E444" s="977"/>
      <c r="F444" s="977"/>
      <c r="G444" s="977"/>
      <c r="H444" s="977"/>
      <c r="I444" s="977"/>
      <c r="J444" s="977"/>
      <c r="K444" s="977"/>
      <c r="L444" s="977"/>
      <c r="M444" s="977"/>
      <c r="N444" s="977"/>
      <c r="O444" s="977"/>
      <c r="P444" s="977"/>
      <c r="Q444" s="977"/>
      <c r="R444" s="977"/>
      <c r="S444" s="977"/>
      <c r="T444" s="977"/>
      <c r="U444" s="977"/>
      <c r="V444" s="977"/>
      <c r="W444" s="977"/>
      <c r="X444" s="977"/>
      <c r="Y444" s="977"/>
      <c r="Z444" s="977"/>
      <c r="AA444" s="977"/>
      <c r="AB444" s="977"/>
      <c r="AC444" s="977"/>
      <c r="AD444" s="977"/>
      <c r="AE444" s="977"/>
      <c r="AF444" s="977"/>
      <c r="AG444" s="977"/>
      <c r="AH444" s="977"/>
      <c r="AI444" s="977"/>
      <c r="AJ444" s="977"/>
      <c r="AK444" s="977"/>
      <c r="AL444" s="977"/>
      <c r="AM444" s="977"/>
      <c r="AN444" s="977"/>
      <c r="AO444" s="977"/>
      <c r="AP444" s="977"/>
      <c r="AQ444" s="977"/>
    </row>
    <row r="445" spans="1:43" ht="14.25" customHeight="1">
      <c r="A445" s="977"/>
      <c r="B445" s="977"/>
      <c r="C445" s="977"/>
      <c r="D445" s="977"/>
      <c r="E445" s="977"/>
      <c r="F445" s="977"/>
      <c r="G445" s="977"/>
      <c r="H445" s="977"/>
      <c r="I445" s="977"/>
      <c r="J445" s="977"/>
      <c r="K445" s="977"/>
      <c r="L445" s="977"/>
      <c r="M445" s="977"/>
      <c r="N445" s="977"/>
      <c r="O445" s="977"/>
      <c r="P445" s="977"/>
      <c r="Q445" s="977"/>
      <c r="R445" s="977"/>
      <c r="S445" s="977"/>
      <c r="T445" s="977"/>
      <c r="U445" s="977"/>
      <c r="V445" s="977"/>
      <c r="W445" s="977"/>
      <c r="X445" s="977"/>
      <c r="Y445" s="977"/>
      <c r="Z445" s="977"/>
      <c r="AA445" s="977"/>
      <c r="AB445" s="977"/>
      <c r="AC445" s="977"/>
      <c r="AD445" s="977"/>
      <c r="AE445" s="977"/>
      <c r="AF445" s="977"/>
      <c r="AG445" s="977"/>
      <c r="AH445" s="977"/>
      <c r="AI445" s="977"/>
      <c r="AJ445" s="977"/>
      <c r="AK445" s="977"/>
      <c r="AL445" s="977"/>
      <c r="AM445" s="977"/>
      <c r="AN445" s="977"/>
      <c r="AO445" s="977"/>
      <c r="AP445" s="977"/>
      <c r="AQ445" s="977"/>
    </row>
    <row r="446" spans="1:43" ht="14.25" customHeight="1">
      <c r="A446" s="977"/>
      <c r="B446" s="977"/>
      <c r="C446" s="977"/>
      <c r="D446" s="977"/>
      <c r="E446" s="977"/>
      <c r="F446" s="977"/>
      <c r="G446" s="977"/>
      <c r="H446" s="977"/>
      <c r="I446" s="977"/>
      <c r="J446" s="977"/>
      <c r="K446" s="977"/>
      <c r="L446" s="977"/>
      <c r="M446" s="977"/>
      <c r="N446" s="977"/>
      <c r="O446" s="977"/>
      <c r="P446" s="977"/>
      <c r="Q446" s="977"/>
      <c r="R446" s="977"/>
      <c r="S446" s="977"/>
      <c r="T446" s="977"/>
      <c r="U446" s="977"/>
      <c r="V446" s="977"/>
      <c r="W446" s="977"/>
      <c r="X446" s="977"/>
      <c r="Y446" s="977"/>
      <c r="Z446" s="977"/>
      <c r="AA446" s="977"/>
      <c r="AB446" s="977"/>
      <c r="AC446" s="977"/>
      <c r="AD446" s="977"/>
      <c r="AE446" s="977"/>
      <c r="AF446" s="977"/>
      <c r="AG446" s="977"/>
      <c r="AH446" s="977"/>
      <c r="AI446" s="977"/>
      <c r="AJ446" s="977"/>
      <c r="AK446" s="977"/>
      <c r="AL446" s="977"/>
      <c r="AM446" s="977"/>
      <c r="AN446" s="977"/>
      <c r="AO446" s="977"/>
      <c r="AP446" s="977"/>
      <c r="AQ446" s="977"/>
    </row>
    <row r="447" spans="1:43" ht="14.25" customHeight="1">
      <c r="A447" s="977"/>
      <c r="B447" s="977"/>
      <c r="C447" s="977"/>
      <c r="D447" s="977"/>
      <c r="E447" s="977"/>
      <c r="F447" s="977"/>
      <c r="G447" s="977"/>
      <c r="H447" s="977"/>
      <c r="I447" s="977"/>
      <c r="J447" s="977"/>
      <c r="K447" s="977"/>
      <c r="L447" s="977"/>
      <c r="M447" s="977"/>
      <c r="N447" s="977"/>
      <c r="O447" s="977"/>
      <c r="P447" s="977"/>
      <c r="Q447" s="977"/>
      <c r="R447" s="977"/>
      <c r="S447" s="977"/>
      <c r="T447" s="977"/>
      <c r="U447" s="977"/>
      <c r="V447" s="977"/>
      <c r="W447" s="977"/>
      <c r="X447" s="977"/>
      <c r="Y447" s="977"/>
      <c r="Z447" s="977"/>
      <c r="AA447" s="977"/>
      <c r="AB447" s="977"/>
      <c r="AC447" s="977"/>
      <c r="AD447" s="977"/>
      <c r="AE447" s="977"/>
      <c r="AF447" s="977"/>
      <c r="AG447" s="977"/>
      <c r="AH447" s="977"/>
      <c r="AI447" s="977"/>
      <c r="AJ447" s="977"/>
      <c r="AK447" s="977"/>
      <c r="AL447" s="977"/>
      <c r="AM447" s="977"/>
      <c r="AN447" s="977"/>
      <c r="AO447" s="977"/>
      <c r="AP447" s="977"/>
      <c r="AQ447" s="977"/>
    </row>
    <row r="448" spans="1:43" ht="14.25" customHeight="1">
      <c r="A448" s="977"/>
      <c r="B448" s="977"/>
      <c r="C448" s="977"/>
      <c r="D448" s="977"/>
      <c r="E448" s="977"/>
      <c r="F448" s="977"/>
      <c r="G448" s="977"/>
      <c r="H448" s="977"/>
      <c r="I448" s="977"/>
      <c r="J448" s="977"/>
      <c r="K448" s="977"/>
      <c r="L448" s="977"/>
      <c r="M448" s="977"/>
      <c r="N448" s="977"/>
      <c r="O448" s="977"/>
      <c r="P448" s="977"/>
      <c r="Q448" s="977"/>
      <c r="R448" s="977"/>
      <c r="S448" s="977"/>
      <c r="T448" s="977"/>
      <c r="U448" s="977"/>
      <c r="V448" s="977"/>
      <c r="W448" s="977"/>
      <c r="X448" s="977"/>
      <c r="Y448" s="977"/>
      <c r="Z448" s="977"/>
      <c r="AA448" s="977"/>
      <c r="AB448" s="977"/>
      <c r="AC448" s="977"/>
      <c r="AD448" s="977"/>
      <c r="AE448" s="977"/>
      <c r="AF448" s="977"/>
      <c r="AG448" s="977"/>
      <c r="AH448" s="977"/>
      <c r="AI448" s="977"/>
      <c r="AJ448" s="977"/>
      <c r="AK448" s="977"/>
      <c r="AL448" s="977"/>
      <c r="AM448" s="977"/>
      <c r="AN448" s="977"/>
      <c r="AO448" s="977"/>
      <c r="AP448" s="977"/>
      <c r="AQ448" s="977"/>
    </row>
    <row r="449" spans="1:43" ht="14.25" customHeight="1">
      <c r="A449" s="977"/>
      <c r="B449" s="977"/>
      <c r="C449" s="977"/>
      <c r="D449" s="977"/>
      <c r="E449" s="977"/>
      <c r="F449" s="977"/>
      <c r="G449" s="977"/>
      <c r="H449" s="977"/>
      <c r="I449" s="977"/>
      <c r="J449" s="977"/>
      <c r="K449" s="977"/>
      <c r="L449" s="977"/>
      <c r="M449" s="977"/>
      <c r="N449" s="977"/>
      <c r="O449" s="977"/>
      <c r="P449" s="977"/>
      <c r="Q449" s="977"/>
      <c r="R449" s="977"/>
      <c r="S449" s="977"/>
      <c r="T449" s="977"/>
      <c r="U449" s="977"/>
      <c r="V449" s="977"/>
      <c r="W449" s="977"/>
      <c r="X449" s="977"/>
      <c r="Y449" s="977"/>
      <c r="Z449" s="977"/>
      <c r="AA449" s="977"/>
      <c r="AB449" s="977"/>
      <c r="AC449" s="977"/>
      <c r="AD449" s="977"/>
      <c r="AE449" s="977"/>
      <c r="AF449" s="977"/>
      <c r="AG449" s="977"/>
      <c r="AH449" s="977"/>
      <c r="AI449" s="977"/>
      <c r="AJ449" s="977"/>
      <c r="AK449" s="977"/>
      <c r="AL449" s="977"/>
      <c r="AM449" s="977"/>
      <c r="AN449" s="977"/>
      <c r="AO449" s="977"/>
      <c r="AP449" s="977"/>
      <c r="AQ449" s="977"/>
    </row>
    <row r="450" spans="1:43" ht="14.25" customHeight="1">
      <c r="A450" s="977"/>
      <c r="B450" s="977"/>
      <c r="C450" s="977"/>
      <c r="D450" s="977"/>
      <c r="E450" s="977"/>
      <c r="F450" s="977"/>
      <c r="G450" s="977"/>
      <c r="H450" s="977"/>
      <c r="I450" s="977"/>
      <c r="J450" s="977"/>
      <c r="K450" s="977"/>
      <c r="L450" s="977"/>
      <c r="M450" s="977"/>
      <c r="N450" s="977"/>
      <c r="O450" s="977"/>
      <c r="P450" s="977"/>
      <c r="Q450" s="977"/>
      <c r="R450" s="977"/>
      <c r="S450" s="977"/>
      <c r="T450" s="977"/>
      <c r="U450" s="977"/>
      <c r="V450" s="977"/>
      <c r="W450" s="977"/>
      <c r="X450" s="977"/>
      <c r="Y450" s="977"/>
      <c r="Z450" s="977"/>
      <c r="AA450" s="977"/>
      <c r="AB450" s="977"/>
      <c r="AC450" s="977"/>
      <c r="AD450" s="977"/>
      <c r="AE450" s="977"/>
      <c r="AF450" s="977"/>
      <c r="AG450" s="977"/>
      <c r="AH450" s="977"/>
      <c r="AI450" s="977"/>
      <c r="AJ450" s="977"/>
      <c r="AK450" s="977"/>
      <c r="AL450" s="977"/>
      <c r="AM450" s="977"/>
      <c r="AN450" s="977"/>
      <c r="AO450" s="977"/>
      <c r="AP450" s="977"/>
      <c r="AQ450" s="977"/>
    </row>
    <row r="451" spans="1:43" ht="14.25" customHeight="1">
      <c r="A451" s="977"/>
      <c r="B451" s="977"/>
      <c r="C451" s="977"/>
      <c r="D451" s="977"/>
      <c r="E451" s="977"/>
      <c r="F451" s="977"/>
      <c r="G451" s="977"/>
      <c r="H451" s="977"/>
      <c r="I451" s="977"/>
      <c r="J451" s="977"/>
      <c r="K451" s="977"/>
      <c r="L451" s="977"/>
      <c r="M451" s="977"/>
      <c r="N451" s="977"/>
      <c r="O451" s="977"/>
      <c r="P451" s="977"/>
      <c r="Q451" s="977"/>
      <c r="R451" s="977"/>
      <c r="S451" s="977"/>
      <c r="T451" s="977"/>
      <c r="U451" s="977"/>
      <c r="V451" s="977"/>
      <c r="W451" s="977"/>
      <c r="X451" s="977"/>
      <c r="Y451" s="977"/>
      <c r="Z451" s="977"/>
      <c r="AA451" s="977"/>
      <c r="AB451" s="977"/>
      <c r="AC451" s="977"/>
      <c r="AD451" s="977"/>
      <c r="AE451" s="977"/>
      <c r="AF451" s="977"/>
      <c r="AG451" s="977"/>
      <c r="AH451" s="977"/>
      <c r="AI451" s="977"/>
      <c r="AJ451" s="977"/>
      <c r="AK451" s="977"/>
      <c r="AL451" s="977"/>
      <c r="AM451" s="977"/>
      <c r="AN451" s="977"/>
      <c r="AO451" s="977"/>
      <c r="AP451" s="977"/>
      <c r="AQ451" s="977"/>
    </row>
    <row r="452" spans="1:43" ht="14.25" customHeight="1">
      <c r="A452" s="977"/>
      <c r="B452" s="977"/>
      <c r="C452" s="977"/>
      <c r="D452" s="977"/>
      <c r="E452" s="977"/>
      <c r="F452" s="977"/>
      <c r="G452" s="977"/>
      <c r="H452" s="977"/>
      <c r="I452" s="977"/>
      <c r="J452" s="977"/>
      <c r="K452" s="977"/>
      <c r="L452" s="977"/>
      <c r="M452" s="977"/>
      <c r="N452" s="977"/>
      <c r="O452" s="977"/>
      <c r="P452" s="977"/>
      <c r="Q452" s="977"/>
      <c r="R452" s="977"/>
      <c r="S452" s="977"/>
      <c r="T452" s="977"/>
      <c r="U452" s="977"/>
      <c r="V452" s="977"/>
      <c r="W452" s="977"/>
      <c r="X452" s="977"/>
      <c r="Y452" s="977"/>
      <c r="Z452" s="977"/>
      <c r="AA452" s="977"/>
      <c r="AB452" s="977"/>
      <c r="AC452" s="977"/>
      <c r="AD452" s="977"/>
      <c r="AE452" s="977"/>
      <c r="AF452" s="977"/>
      <c r="AG452" s="977"/>
      <c r="AH452" s="977"/>
      <c r="AI452" s="977"/>
      <c r="AJ452" s="977"/>
      <c r="AK452" s="977"/>
      <c r="AL452" s="977"/>
      <c r="AM452" s="977"/>
      <c r="AN452" s="977"/>
      <c r="AO452" s="977"/>
      <c r="AP452" s="977"/>
      <c r="AQ452" s="977"/>
    </row>
    <row r="453" spans="1:43" ht="14.25" customHeight="1">
      <c r="A453" s="977"/>
      <c r="B453" s="977"/>
      <c r="C453" s="977"/>
      <c r="D453" s="977"/>
      <c r="E453" s="977"/>
      <c r="F453" s="977"/>
      <c r="G453" s="977"/>
      <c r="H453" s="977"/>
      <c r="I453" s="977"/>
      <c r="J453" s="977"/>
      <c r="K453" s="977"/>
      <c r="L453" s="977"/>
      <c r="M453" s="977"/>
      <c r="N453" s="977"/>
      <c r="O453" s="977"/>
      <c r="P453" s="977"/>
      <c r="Q453" s="977"/>
      <c r="R453" s="977"/>
      <c r="S453" s="977"/>
      <c r="T453" s="977"/>
      <c r="U453" s="977"/>
      <c r="V453" s="977"/>
      <c r="W453" s="977"/>
      <c r="X453" s="977"/>
      <c r="Y453" s="977"/>
      <c r="Z453" s="977"/>
      <c r="AA453" s="977"/>
      <c r="AB453" s="977"/>
      <c r="AC453" s="977"/>
      <c r="AD453" s="977"/>
      <c r="AE453" s="977"/>
      <c r="AF453" s="977"/>
      <c r="AG453" s="977"/>
      <c r="AH453" s="977"/>
      <c r="AI453" s="977"/>
      <c r="AJ453" s="977"/>
      <c r="AK453" s="977"/>
      <c r="AL453" s="977"/>
      <c r="AM453" s="977"/>
      <c r="AN453" s="977"/>
      <c r="AO453" s="977"/>
      <c r="AP453" s="977"/>
      <c r="AQ453" s="977"/>
    </row>
    <row r="454" spans="1:43" ht="14.25" customHeight="1">
      <c r="A454" s="977"/>
      <c r="B454" s="977"/>
      <c r="C454" s="977"/>
      <c r="D454" s="977"/>
      <c r="E454" s="977"/>
      <c r="F454" s="977"/>
      <c r="G454" s="977"/>
      <c r="H454" s="977"/>
      <c r="I454" s="977"/>
      <c r="J454" s="977"/>
      <c r="K454" s="977"/>
      <c r="L454" s="977"/>
      <c r="M454" s="977"/>
      <c r="N454" s="977"/>
      <c r="O454" s="977"/>
      <c r="P454" s="977"/>
      <c r="Q454" s="977"/>
      <c r="R454" s="977"/>
      <c r="S454" s="977"/>
      <c r="T454" s="977"/>
      <c r="U454" s="977"/>
      <c r="V454" s="977"/>
      <c r="W454" s="977"/>
      <c r="X454" s="977"/>
      <c r="Y454" s="977"/>
      <c r="Z454" s="977"/>
      <c r="AA454" s="977"/>
      <c r="AB454" s="977"/>
      <c r="AC454" s="977"/>
      <c r="AD454" s="977"/>
      <c r="AE454" s="977"/>
      <c r="AF454" s="977"/>
      <c r="AG454" s="977"/>
      <c r="AH454" s="977"/>
      <c r="AI454" s="977"/>
      <c r="AJ454" s="977"/>
      <c r="AK454" s="977"/>
      <c r="AL454" s="977"/>
      <c r="AM454" s="977"/>
      <c r="AN454" s="977"/>
      <c r="AO454" s="977"/>
      <c r="AP454" s="977"/>
      <c r="AQ454" s="977"/>
    </row>
    <row r="455" spans="1:43" ht="14.25" customHeight="1">
      <c r="A455" s="977"/>
      <c r="B455" s="977"/>
      <c r="C455" s="977"/>
      <c r="D455" s="977"/>
      <c r="E455" s="977"/>
      <c r="F455" s="977"/>
      <c r="G455" s="977"/>
      <c r="H455" s="977"/>
      <c r="I455" s="977"/>
      <c r="J455" s="977"/>
      <c r="K455" s="977"/>
      <c r="L455" s="977"/>
      <c r="M455" s="977"/>
      <c r="N455" s="977"/>
      <c r="O455" s="977"/>
      <c r="P455" s="977"/>
      <c r="Q455" s="977"/>
      <c r="R455" s="977"/>
      <c r="S455" s="977"/>
      <c r="T455" s="977"/>
      <c r="U455" s="977"/>
      <c r="V455" s="977"/>
      <c r="W455" s="977"/>
      <c r="X455" s="977"/>
      <c r="Y455" s="977"/>
      <c r="Z455" s="977"/>
      <c r="AA455" s="977"/>
      <c r="AB455" s="977"/>
      <c r="AC455" s="977"/>
      <c r="AD455" s="977"/>
      <c r="AE455" s="977"/>
      <c r="AF455" s="977"/>
      <c r="AG455" s="977"/>
      <c r="AH455" s="977"/>
      <c r="AI455" s="977"/>
      <c r="AJ455" s="977"/>
      <c r="AK455" s="977"/>
      <c r="AL455" s="977"/>
      <c r="AM455" s="977"/>
      <c r="AN455" s="977"/>
      <c r="AO455" s="977"/>
      <c r="AP455" s="977"/>
      <c r="AQ455" s="977"/>
    </row>
    <row r="456" spans="1:43" ht="14.25" customHeight="1">
      <c r="A456" s="977"/>
      <c r="B456" s="977"/>
      <c r="C456" s="977"/>
      <c r="D456" s="977"/>
      <c r="E456" s="977"/>
      <c r="F456" s="977"/>
      <c r="G456" s="977"/>
      <c r="H456" s="977"/>
      <c r="I456" s="977"/>
      <c r="J456" s="977"/>
      <c r="K456" s="977"/>
      <c r="L456" s="977"/>
      <c r="M456" s="977"/>
      <c r="N456" s="977"/>
      <c r="O456" s="977"/>
      <c r="P456" s="977"/>
      <c r="Q456" s="977"/>
      <c r="R456" s="977"/>
      <c r="S456" s="977"/>
      <c r="T456" s="977"/>
      <c r="U456" s="977"/>
      <c r="V456" s="977"/>
      <c r="W456" s="977"/>
      <c r="X456" s="977"/>
      <c r="Y456" s="977"/>
      <c r="Z456" s="977"/>
      <c r="AA456" s="977"/>
      <c r="AB456" s="977"/>
      <c r="AC456" s="977"/>
      <c r="AD456" s="977"/>
      <c r="AE456" s="977"/>
      <c r="AF456" s="977"/>
      <c r="AG456" s="977"/>
      <c r="AH456" s="977"/>
      <c r="AI456" s="977"/>
      <c r="AJ456" s="977"/>
      <c r="AK456" s="977"/>
      <c r="AL456" s="977"/>
      <c r="AM456" s="977"/>
      <c r="AN456" s="977"/>
      <c r="AO456" s="977"/>
      <c r="AP456" s="977"/>
      <c r="AQ456" s="977"/>
    </row>
    <row r="457" spans="1:43" ht="14.25" customHeight="1">
      <c r="A457" s="977"/>
      <c r="B457" s="977"/>
      <c r="C457" s="977"/>
      <c r="D457" s="977"/>
      <c r="E457" s="977"/>
      <c r="F457" s="977"/>
      <c r="G457" s="977"/>
      <c r="H457" s="977"/>
      <c r="I457" s="977"/>
      <c r="J457" s="977"/>
      <c r="K457" s="977"/>
      <c r="L457" s="977"/>
      <c r="M457" s="977"/>
      <c r="N457" s="977"/>
      <c r="O457" s="977"/>
      <c r="P457" s="977"/>
      <c r="Q457" s="977"/>
      <c r="R457" s="977"/>
      <c r="S457" s="977"/>
      <c r="T457" s="977"/>
      <c r="U457" s="977"/>
      <c r="V457" s="977"/>
      <c r="W457" s="977"/>
      <c r="X457" s="977"/>
      <c r="Y457" s="977"/>
      <c r="Z457" s="977"/>
      <c r="AA457" s="977"/>
      <c r="AB457" s="977"/>
      <c r="AC457" s="977"/>
      <c r="AD457" s="977"/>
      <c r="AE457" s="977"/>
      <c r="AF457" s="977"/>
      <c r="AG457" s="977"/>
      <c r="AH457" s="977"/>
      <c r="AI457" s="977"/>
      <c r="AJ457" s="977"/>
      <c r="AK457" s="977"/>
      <c r="AL457" s="977"/>
      <c r="AM457" s="977"/>
      <c r="AN457" s="977"/>
      <c r="AO457" s="977"/>
      <c r="AP457" s="977"/>
      <c r="AQ457" s="977"/>
    </row>
    <row r="458" spans="1:43" ht="14.25" customHeight="1">
      <c r="A458" s="977"/>
      <c r="B458" s="977"/>
      <c r="C458" s="977"/>
      <c r="D458" s="977"/>
      <c r="E458" s="977"/>
      <c r="F458" s="977"/>
      <c r="G458" s="977"/>
      <c r="H458" s="977"/>
      <c r="I458" s="977"/>
      <c r="J458" s="977"/>
      <c r="K458" s="977"/>
      <c r="L458" s="977"/>
      <c r="M458" s="977"/>
      <c r="N458" s="977"/>
      <c r="O458" s="977"/>
      <c r="P458" s="977"/>
      <c r="Q458" s="977"/>
      <c r="R458" s="977"/>
      <c r="S458" s="977"/>
      <c r="T458" s="977"/>
      <c r="U458" s="977"/>
      <c r="V458" s="977"/>
      <c r="W458" s="977"/>
      <c r="X458" s="977"/>
      <c r="Y458" s="977"/>
      <c r="Z458" s="977"/>
      <c r="AA458" s="977"/>
      <c r="AB458" s="977"/>
      <c r="AC458" s="977"/>
      <c r="AD458" s="977"/>
      <c r="AE458" s="977"/>
      <c r="AF458" s="977"/>
      <c r="AG458" s="977"/>
      <c r="AH458" s="977"/>
      <c r="AI458" s="977"/>
      <c r="AJ458" s="977"/>
      <c r="AK458" s="977"/>
      <c r="AL458" s="977"/>
      <c r="AM458" s="977"/>
      <c r="AN458" s="977"/>
      <c r="AO458" s="977"/>
      <c r="AP458" s="977"/>
      <c r="AQ458" s="977"/>
    </row>
    <row r="459" spans="1:43" ht="14.25" customHeight="1">
      <c r="A459" s="977"/>
      <c r="B459" s="977"/>
      <c r="C459" s="977"/>
      <c r="D459" s="977"/>
      <c r="E459" s="977"/>
      <c r="F459" s="977"/>
      <c r="G459" s="977"/>
      <c r="H459" s="977"/>
      <c r="I459" s="977"/>
      <c r="J459" s="977"/>
      <c r="K459" s="977"/>
      <c r="L459" s="977"/>
      <c r="M459" s="977"/>
      <c r="N459" s="977"/>
      <c r="O459" s="977"/>
      <c r="P459" s="977"/>
      <c r="Q459" s="977"/>
      <c r="R459" s="977"/>
      <c r="S459" s="977"/>
      <c r="T459" s="977"/>
      <c r="U459" s="977"/>
      <c r="V459" s="977"/>
      <c r="W459" s="977"/>
      <c r="X459" s="977"/>
      <c r="Y459" s="977"/>
      <c r="Z459" s="977"/>
      <c r="AA459" s="977"/>
      <c r="AB459" s="977"/>
      <c r="AC459" s="977"/>
      <c r="AD459" s="977"/>
      <c r="AE459" s="977"/>
      <c r="AF459" s="977"/>
      <c r="AG459" s="977"/>
      <c r="AH459" s="977"/>
      <c r="AI459" s="977"/>
      <c r="AJ459" s="977"/>
      <c r="AK459" s="977"/>
      <c r="AL459" s="977"/>
      <c r="AM459" s="977"/>
      <c r="AN459" s="977"/>
      <c r="AO459" s="977"/>
      <c r="AP459" s="977"/>
      <c r="AQ459" s="977"/>
    </row>
    <row r="460" spans="1:43" ht="14.25" customHeight="1">
      <c r="A460" s="977"/>
      <c r="B460" s="977"/>
      <c r="C460" s="977"/>
      <c r="D460" s="977"/>
      <c r="E460" s="977"/>
      <c r="F460" s="977"/>
      <c r="G460" s="977"/>
      <c r="H460" s="977"/>
      <c r="I460" s="977"/>
      <c r="J460" s="977"/>
      <c r="K460" s="977"/>
      <c r="L460" s="977"/>
      <c r="M460" s="977"/>
      <c r="N460" s="977"/>
      <c r="O460" s="977"/>
      <c r="P460" s="977"/>
      <c r="Q460" s="977"/>
      <c r="R460" s="977"/>
      <c r="S460" s="977"/>
      <c r="T460" s="977"/>
      <c r="U460" s="977"/>
      <c r="V460" s="977"/>
      <c r="W460" s="977"/>
      <c r="X460" s="977"/>
      <c r="Y460" s="977"/>
      <c r="Z460" s="977"/>
      <c r="AA460" s="977"/>
      <c r="AB460" s="977"/>
      <c r="AC460" s="977"/>
      <c r="AD460" s="977"/>
      <c r="AE460" s="977"/>
      <c r="AF460" s="977"/>
      <c r="AG460" s="977"/>
      <c r="AH460" s="977"/>
      <c r="AI460" s="977"/>
      <c r="AJ460" s="977"/>
      <c r="AK460" s="977"/>
      <c r="AL460" s="977"/>
      <c r="AM460" s="977"/>
      <c r="AN460" s="977"/>
      <c r="AO460" s="977"/>
      <c r="AP460" s="977"/>
      <c r="AQ460" s="977"/>
    </row>
    <row r="461" spans="1:43" ht="14.25" customHeight="1">
      <c r="A461" s="977"/>
      <c r="B461" s="977"/>
      <c r="C461" s="977"/>
      <c r="D461" s="977"/>
      <c r="E461" s="977"/>
      <c r="F461" s="977"/>
      <c r="G461" s="977"/>
      <c r="H461" s="977"/>
      <c r="I461" s="977"/>
      <c r="J461" s="977"/>
      <c r="K461" s="977"/>
      <c r="L461" s="977"/>
      <c r="M461" s="977"/>
      <c r="N461" s="977"/>
      <c r="O461" s="977"/>
      <c r="P461" s="977"/>
      <c r="Q461" s="977"/>
      <c r="R461" s="977"/>
      <c r="S461" s="977"/>
      <c r="T461" s="977"/>
      <c r="U461" s="977"/>
      <c r="V461" s="977"/>
      <c r="W461" s="977"/>
      <c r="X461" s="977"/>
      <c r="Y461" s="977"/>
      <c r="Z461" s="977"/>
      <c r="AA461" s="977"/>
      <c r="AB461" s="977"/>
      <c r="AC461" s="977"/>
      <c r="AD461" s="977"/>
      <c r="AE461" s="977"/>
      <c r="AF461" s="977"/>
      <c r="AG461" s="977"/>
      <c r="AH461" s="977"/>
      <c r="AI461" s="977"/>
      <c r="AJ461" s="977"/>
      <c r="AK461" s="977"/>
      <c r="AL461" s="977"/>
      <c r="AM461" s="977"/>
      <c r="AN461" s="977"/>
      <c r="AO461" s="977"/>
      <c r="AP461" s="977"/>
      <c r="AQ461" s="977"/>
    </row>
    <row r="462" spans="1:43" ht="14.25" customHeight="1">
      <c r="A462" s="977"/>
      <c r="B462" s="977"/>
      <c r="C462" s="977"/>
      <c r="D462" s="977"/>
      <c r="E462" s="977"/>
      <c r="F462" s="977"/>
      <c r="G462" s="977"/>
      <c r="H462" s="977"/>
      <c r="I462" s="977"/>
      <c r="J462" s="977"/>
      <c r="K462" s="977"/>
      <c r="L462" s="977"/>
      <c r="M462" s="977"/>
      <c r="N462" s="977"/>
      <c r="O462" s="977"/>
      <c r="P462" s="977"/>
      <c r="Q462" s="977"/>
      <c r="R462" s="977"/>
      <c r="S462" s="977"/>
      <c r="T462" s="977"/>
      <c r="U462" s="977"/>
      <c r="V462" s="977"/>
      <c r="W462" s="977"/>
      <c r="X462" s="977"/>
      <c r="Y462" s="977"/>
      <c r="Z462" s="977"/>
      <c r="AA462" s="977"/>
      <c r="AB462" s="977"/>
      <c r="AC462" s="977"/>
      <c r="AD462" s="977"/>
      <c r="AE462" s="977"/>
      <c r="AF462" s="977"/>
      <c r="AG462" s="977"/>
      <c r="AH462" s="977"/>
      <c r="AI462" s="977"/>
      <c r="AJ462" s="977"/>
      <c r="AK462" s="977"/>
      <c r="AL462" s="977"/>
      <c r="AM462" s="977"/>
      <c r="AN462" s="977"/>
      <c r="AO462" s="977"/>
      <c r="AP462" s="977"/>
      <c r="AQ462" s="977"/>
    </row>
    <row r="463" spans="1:43" ht="14.25" customHeight="1">
      <c r="A463" s="977"/>
      <c r="B463" s="977"/>
      <c r="C463" s="977"/>
      <c r="D463" s="977"/>
      <c r="E463" s="977"/>
      <c r="F463" s="977"/>
      <c r="G463" s="977"/>
      <c r="H463" s="977"/>
      <c r="I463" s="977"/>
      <c r="J463" s="977"/>
      <c r="K463" s="977"/>
      <c r="L463" s="977"/>
      <c r="M463" s="977"/>
      <c r="N463" s="977"/>
      <c r="O463" s="977"/>
      <c r="P463" s="977"/>
      <c r="Q463" s="977"/>
      <c r="R463" s="977"/>
      <c r="S463" s="977"/>
      <c r="T463" s="977"/>
      <c r="U463" s="977"/>
      <c r="V463" s="977"/>
      <c r="W463" s="977"/>
      <c r="X463" s="977"/>
      <c r="Y463" s="977"/>
      <c r="Z463" s="977"/>
      <c r="AA463" s="977"/>
      <c r="AB463" s="977"/>
      <c r="AC463" s="977"/>
      <c r="AD463" s="977"/>
      <c r="AE463" s="977"/>
      <c r="AF463" s="977"/>
      <c r="AG463" s="977"/>
      <c r="AH463" s="977"/>
      <c r="AI463" s="977"/>
      <c r="AJ463" s="977"/>
      <c r="AK463" s="977"/>
      <c r="AL463" s="977"/>
      <c r="AM463" s="977"/>
      <c r="AN463" s="977"/>
      <c r="AO463" s="977"/>
      <c r="AP463" s="977"/>
      <c r="AQ463" s="977"/>
    </row>
    <row r="464" spans="1:43" ht="14.25" customHeight="1">
      <c r="A464" s="977"/>
      <c r="B464" s="977"/>
      <c r="C464" s="977"/>
      <c r="D464" s="977"/>
      <c r="E464" s="977"/>
      <c r="F464" s="977"/>
      <c r="G464" s="977"/>
      <c r="H464" s="977"/>
      <c r="I464" s="977"/>
      <c r="J464" s="977"/>
      <c r="K464" s="977"/>
      <c r="L464" s="977"/>
      <c r="M464" s="977"/>
      <c r="N464" s="977"/>
      <c r="O464" s="977"/>
      <c r="P464" s="977"/>
      <c r="Q464" s="977"/>
      <c r="R464" s="977"/>
      <c r="S464" s="977"/>
      <c r="T464" s="977"/>
      <c r="U464" s="977"/>
      <c r="V464" s="977"/>
      <c r="W464" s="977"/>
      <c r="X464" s="977"/>
      <c r="Y464" s="977"/>
      <c r="Z464" s="977"/>
      <c r="AA464" s="977"/>
      <c r="AB464" s="977"/>
      <c r="AC464" s="977"/>
      <c r="AD464" s="977"/>
      <c r="AE464" s="977"/>
      <c r="AF464" s="977"/>
      <c r="AG464" s="977"/>
      <c r="AH464" s="977"/>
      <c r="AI464" s="977"/>
      <c r="AJ464" s="977"/>
      <c r="AK464" s="977"/>
      <c r="AL464" s="977"/>
      <c r="AM464" s="977"/>
      <c r="AN464" s="977"/>
      <c r="AO464" s="977"/>
      <c r="AP464" s="977"/>
      <c r="AQ464" s="977"/>
    </row>
    <row r="465" spans="1:43" ht="14.25" customHeight="1">
      <c r="A465" s="977"/>
      <c r="B465" s="977"/>
      <c r="C465" s="977"/>
      <c r="D465" s="977"/>
      <c r="E465" s="977"/>
      <c r="F465" s="977"/>
      <c r="G465" s="977"/>
      <c r="H465" s="977"/>
      <c r="I465" s="977"/>
      <c r="J465" s="977"/>
      <c r="K465" s="977"/>
      <c r="L465" s="977"/>
      <c r="M465" s="977"/>
      <c r="N465" s="977"/>
      <c r="O465" s="977"/>
      <c r="P465" s="977"/>
      <c r="Q465" s="977"/>
      <c r="R465" s="977"/>
      <c r="S465" s="977"/>
      <c r="T465" s="977"/>
      <c r="U465" s="977"/>
      <c r="V465" s="977"/>
      <c r="W465" s="977"/>
      <c r="X465" s="977"/>
      <c r="Y465" s="977"/>
      <c r="Z465" s="977"/>
      <c r="AA465" s="977"/>
      <c r="AB465" s="977"/>
      <c r="AC465" s="977"/>
      <c r="AD465" s="977"/>
      <c r="AE465" s="977"/>
      <c r="AF465" s="977"/>
      <c r="AG465" s="977"/>
      <c r="AH465" s="977"/>
      <c r="AI465" s="977"/>
      <c r="AJ465" s="977"/>
      <c r="AK465" s="977"/>
      <c r="AL465" s="977"/>
      <c r="AM465" s="977"/>
      <c r="AN465" s="977"/>
      <c r="AO465" s="977"/>
      <c r="AP465" s="977"/>
      <c r="AQ465" s="977"/>
    </row>
    <row r="466" spans="1:43" ht="14.25" customHeight="1">
      <c r="A466" s="977"/>
      <c r="B466" s="977"/>
      <c r="C466" s="977"/>
      <c r="D466" s="977"/>
      <c r="E466" s="977"/>
      <c r="F466" s="977"/>
      <c r="G466" s="977"/>
      <c r="H466" s="977"/>
      <c r="I466" s="977"/>
      <c r="J466" s="977"/>
      <c r="K466" s="977"/>
      <c r="L466" s="977"/>
      <c r="M466" s="977"/>
      <c r="N466" s="977"/>
      <c r="O466" s="977"/>
      <c r="P466" s="977"/>
      <c r="Q466" s="977"/>
      <c r="R466" s="977"/>
      <c r="S466" s="977"/>
      <c r="T466" s="977"/>
      <c r="U466" s="977"/>
      <c r="V466" s="977"/>
      <c r="W466" s="977"/>
      <c r="X466" s="977"/>
      <c r="Y466" s="977"/>
      <c r="Z466" s="977"/>
      <c r="AA466" s="977"/>
      <c r="AB466" s="977"/>
      <c r="AC466" s="977"/>
      <c r="AD466" s="977"/>
      <c r="AE466" s="977"/>
      <c r="AF466" s="977"/>
      <c r="AG466" s="977"/>
      <c r="AH466" s="977"/>
      <c r="AI466" s="977"/>
      <c r="AJ466" s="977"/>
      <c r="AK466" s="977"/>
      <c r="AL466" s="977"/>
      <c r="AM466" s="977"/>
      <c r="AN466" s="977"/>
      <c r="AO466" s="977"/>
      <c r="AP466" s="977"/>
      <c r="AQ466" s="977"/>
    </row>
    <row r="467" spans="1:43" ht="14.25" customHeight="1">
      <c r="A467" s="977"/>
      <c r="B467" s="977"/>
      <c r="C467" s="977"/>
      <c r="D467" s="977"/>
      <c r="E467" s="977"/>
      <c r="F467" s="977"/>
      <c r="G467" s="977"/>
      <c r="H467" s="977"/>
      <c r="I467" s="977"/>
      <c r="J467" s="977"/>
      <c r="K467" s="977"/>
      <c r="L467" s="977"/>
      <c r="M467" s="977"/>
      <c r="N467" s="977"/>
      <c r="O467" s="977"/>
      <c r="P467" s="977"/>
      <c r="Q467" s="977"/>
      <c r="R467" s="977"/>
      <c r="S467" s="977"/>
      <c r="T467" s="977"/>
      <c r="U467" s="977"/>
      <c r="V467" s="977"/>
      <c r="W467" s="977"/>
      <c r="X467" s="977"/>
      <c r="Y467" s="977"/>
      <c r="Z467" s="977"/>
      <c r="AA467" s="977"/>
      <c r="AB467" s="977"/>
      <c r="AC467" s="977"/>
      <c r="AD467" s="977"/>
      <c r="AE467" s="977"/>
      <c r="AF467" s="977"/>
      <c r="AG467" s="977"/>
      <c r="AH467" s="977"/>
      <c r="AI467" s="977"/>
      <c r="AJ467" s="977"/>
      <c r="AK467" s="977"/>
      <c r="AL467" s="977"/>
      <c r="AM467" s="977"/>
      <c r="AN467" s="977"/>
      <c r="AO467" s="977"/>
      <c r="AP467" s="977"/>
      <c r="AQ467" s="977"/>
    </row>
    <row r="468" spans="1:43" ht="14.25" customHeight="1">
      <c r="A468" s="977"/>
      <c r="B468" s="977"/>
      <c r="C468" s="977"/>
      <c r="D468" s="977"/>
      <c r="E468" s="977"/>
      <c r="F468" s="977"/>
      <c r="G468" s="977"/>
      <c r="H468" s="977"/>
      <c r="I468" s="977"/>
      <c r="J468" s="977"/>
      <c r="K468" s="977"/>
      <c r="L468" s="977"/>
      <c r="M468" s="977"/>
      <c r="N468" s="977"/>
      <c r="O468" s="977"/>
      <c r="P468" s="977"/>
      <c r="Q468" s="977"/>
      <c r="R468" s="977"/>
      <c r="S468" s="977"/>
      <c r="T468" s="977"/>
      <c r="U468" s="977"/>
      <c r="V468" s="977"/>
      <c r="W468" s="977"/>
      <c r="X468" s="977"/>
      <c r="Y468" s="977"/>
      <c r="Z468" s="977"/>
      <c r="AA468" s="977"/>
      <c r="AB468" s="977"/>
      <c r="AC468" s="977"/>
      <c r="AD468" s="977"/>
      <c r="AE468" s="977"/>
      <c r="AF468" s="977"/>
      <c r="AG468" s="977"/>
      <c r="AH468" s="977"/>
      <c r="AI468" s="977"/>
      <c r="AJ468" s="977"/>
      <c r="AK468" s="977"/>
      <c r="AL468" s="977"/>
      <c r="AM468" s="977"/>
      <c r="AN468" s="977"/>
      <c r="AO468" s="977"/>
      <c r="AP468" s="977"/>
      <c r="AQ468" s="977"/>
    </row>
    <row r="469" spans="1:43" ht="14.25" customHeight="1">
      <c r="A469" s="977"/>
      <c r="B469" s="977"/>
      <c r="C469" s="977"/>
      <c r="D469" s="977"/>
      <c r="E469" s="977"/>
      <c r="F469" s="977"/>
      <c r="G469" s="977"/>
      <c r="H469" s="977"/>
      <c r="I469" s="977"/>
      <c r="J469" s="977"/>
      <c r="K469" s="977"/>
      <c r="L469" s="977"/>
      <c r="M469" s="977"/>
      <c r="N469" s="977"/>
      <c r="O469" s="977"/>
      <c r="P469" s="977"/>
      <c r="Q469" s="977"/>
      <c r="R469" s="977"/>
      <c r="S469" s="977"/>
      <c r="T469" s="977"/>
      <c r="U469" s="977"/>
      <c r="V469" s="977"/>
      <c r="W469" s="977"/>
      <c r="X469" s="977"/>
      <c r="Y469" s="977"/>
      <c r="Z469" s="977"/>
      <c r="AA469" s="977"/>
      <c r="AB469" s="977"/>
      <c r="AC469" s="977"/>
      <c r="AD469" s="977"/>
      <c r="AE469" s="977"/>
      <c r="AF469" s="977"/>
      <c r="AG469" s="977"/>
      <c r="AH469" s="977"/>
      <c r="AI469" s="977"/>
      <c r="AJ469" s="977"/>
      <c r="AK469" s="977"/>
      <c r="AL469" s="977"/>
      <c r="AM469" s="977"/>
      <c r="AN469" s="977"/>
      <c r="AO469" s="977"/>
      <c r="AP469" s="977"/>
      <c r="AQ469" s="977"/>
    </row>
    <row r="470" spans="1:43" ht="14.25" customHeight="1">
      <c r="A470" s="977"/>
      <c r="B470" s="977"/>
      <c r="C470" s="977"/>
      <c r="D470" s="977"/>
      <c r="E470" s="977"/>
      <c r="F470" s="977"/>
      <c r="G470" s="977"/>
      <c r="H470" s="977"/>
      <c r="I470" s="977"/>
      <c r="J470" s="977"/>
      <c r="K470" s="977"/>
      <c r="L470" s="977"/>
      <c r="M470" s="977"/>
      <c r="N470" s="977"/>
      <c r="O470" s="977"/>
      <c r="P470" s="977"/>
      <c r="Q470" s="977"/>
      <c r="R470" s="977"/>
      <c r="S470" s="977"/>
      <c r="T470" s="977"/>
      <c r="U470" s="977"/>
      <c r="V470" s="977"/>
      <c r="W470" s="977"/>
      <c r="X470" s="977"/>
      <c r="Y470" s="977"/>
      <c r="Z470" s="977"/>
      <c r="AA470" s="977"/>
      <c r="AB470" s="977"/>
      <c r="AC470" s="977"/>
      <c r="AD470" s="977"/>
      <c r="AE470" s="977"/>
      <c r="AF470" s="977"/>
      <c r="AG470" s="977"/>
      <c r="AH470" s="977"/>
      <c r="AI470" s="977"/>
      <c r="AJ470" s="977"/>
      <c r="AK470" s="977"/>
      <c r="AL470" s="977"/>
      <c r="AM470" s="977"/>
      <c r="AN470" s="977"/>
      <c r="AO470" s="977"/>
      <c r="AP470" s="977"/>
      <c r="AQ470" s="977"/>
    </row>
    <row r="471" spans="1:43" ht="14.25" customHeight="1">
      <c r="A471" s="977"/>
      <c r="B471" s="977"/>
      <c r="C471" s="977"/>
      <c r="D471" s="977"/>
      <c r="E471" s="977"/>
      <c r="F471" s="977"/>
      <c r="G471" s="977"/>
      <c r="H471" s="977"/>
      <c r="I471" s="977"/>
      <c r="J471" s="977"/>
      <c r="K471" s="977"/>
      <c r="L471" s="977"/>
      <c r="M471" s="977"/>
      <c r="N471" s="977"/>
      <c r="O471" s="977"/>
      <c r="P471" s="977"/>
      <c r="Q471" s="977"/>
      <c r="R471" s="977"/>
      <c r="S471" s="977"/>
      <c r="T471" s="977"/>
      <c r="U471" s="977"/>
      <c r="V471" s="977"/>
      <c r="W471" s="977"/>
      <c r="X471" s="977"/>
      <c r="Y471" s="977"/>
      <c r="Z471" s="977"/>
      <c r="AA471" s="977"/>
      <c r="AB471" s="977"/>
      <c r="AC471" s="977"/>
      <c r="AD471" s="977"/>
      <c r="AE471" s="977"/>
      <c r="AF471" s="977"/>
      <c r="AG471" s="977"/>
      <c r="AH471" s="977"/>
      <c r="AI471" s="977"/>
      <c r="AJ471" s="977"/>
      <c r="AK471" s="977"/>
      <c r="AL471" s="977"/>
      <c r="AM471" s="977"/>
      <c r="AN471" s="977"/>
      <c r="AO471" s="977"/>
      <c r="AP471" s="977"/>
      <c r="AQ471" s="977"/>
    </row>
    <row r="472" spans="1:43" ht="14.25" customHeight="1">
      <c r="A472" s="977"/>
      <c r="B472" s="977"/>
      <c r="C472" s="977"/>
      <c r="D472" s="977"/>
      <c r="E472" s="977"/>
      <c r="F472" s="977"/>
      <c r="G472" s="977"/>
      <c r="H472" s="977"/>
      <c r="I472" s="977"/>
      <c r="J472" s="977"/>
      <c r="K472" s="977"/>
      <c r="L472" s="977"/>
      <c r="M472" s="977"/>
      <c r="N472" s="977"/>
      <c r="O472" s="977"/>
      <c r="P472" s="977"/>
      <c r="Q472" s="977"/>
      <c r="R472" s="977"/>
      <c r="S472" s="977"/>
      <c r="T472" s="977"/>
      <c r="U472" s="977"/>
      <c r="V472" s="977"/>
      <c r="W472" s="977"/>
      <c r="X472" s="977"/>
      <c r="Y472" s="977"/>
      <c r="Z472" s="977"/>
      <c r="AA472" s="977"/>
      <c r="AB472" s="977"/>
      <c r="AC472" s="977"/>
      <c r="AD472" s="977"/>
      <c r="AE472" s="977"/>
      <c r="AF472" s="977"/>
      <c r="AG472" s="977"/>
      <c r="AH472" s="977"/>
      <c r="AI472" s="977"/>
      <c r="AJ472" s="977"/>
      <c r="AK472" s="977"/>
      <c r="AL472" s="977"/>
      <c r="AM472" s="977"/>
      <c r="AN472" s="977"/>
      <c r="AO472" s="977"/>
      <c r="AP472" s="977"/>
      <c r="AQ472" s="977"/>
    </row>
    <row r="473" spans="1:43" ht="14.25" customHeight="1">
      <c r="A473" s="977"/>
      <c r="B473" s="977"/>
      <c r="C473" s="977"/>
      <c r="D473" s="977"/>
      <c r="E473" s="977"/>
      <c r="F473" s="977"/>
      <c r="G473" s="977"/>
      <c r="H473" s="977"/>
      <c r="I473" s="977"/>
      <c r="J473" s="977"/>
      <c r="K473" s="977"/>
      <c r="L473" s="977"/>
      <c r="M473" s="977"/>
      <c r="N473" s="977"/>
      <c r="O473" s="977"/>
      <c r="P473" s="977"/>
      <c r="Q473" s="977"/>
      <c r="R473" s="977"/>
      <c r="S473" s="977"/>
      <c r="T473" s="977"/>
      <c r="U473" s="977"/>
      <c r="V473" s="977"/>
      <c r="W473" s="977"/>
      <c r="X473" s="977"/>
      <c r="Y473" s="977"/>
      <c r="Z473" s="977"/>
      <c r="AA473" s="977"/>
      <c r="AB473" s="977"/>
      <c r="AC473" s="977"/>
      <c r="AD473" s="977"/>
      <c r="AE473" s="977"/>
      <c r="AF473" s="977"/>
      <c r="AG473" s="977"/>
      <c r="AH473" s="977"/>
      <c r="AI473" s="977"/>
      <c r="AJ473" s="977"/>
      <c r="AK473" s="977"/>
      <c r="AL473" s="977"/>
      <c r="AM473" s="977"/>
      <c r="AN473" s="977"/>
      <c r="AO473" s="977"/>
      <c r="AP473" s="977"/>
      <c r="AQ473" s="977"/>
    </row>
    <row r="474" spans="1:43" ht="14.25" customHeight="1">
      <c r="A474" s="977"/>
      <c r="B474" s="977"/>
      <c r="C474" s="977"/>
      <c r="D474" s="977"/>
      <c r="E474" s="977"/>
      <c r="F474" s="977"/>
      <c r="G474" s="977"/>
      <c r="H474" s="977"/>
      <c r="I474" s="977"/>
      <c r="J474" s="977"/>
      <c r="K474" s="977"/>
      <c r="L474" s="977"/>
      <c r="M474" s="977"/>
      <c r="N474" s="977"/>
      <c r="O474" s="977"/>
      <c r="P474" s="977"/>
      <c r="Q474" s="977"/>
      <c r="R474" s="977"/>
      <c r="S474" s="977"/>
      <c r="T474" s="977"/>
      <c r="U474" s="977"/>
      <c r="V474" s="977"/>
      <c r="W474" s="977"/>
      <c r="X474" s="977"/>
      <c r="Y474" s="977"/>
      <c r="Z474" s="977"/>
      <c r="AA474" s="977"/>
      <c r="AB474" s="977"/>
      <c r="AC474" s="977"/>
      <c r="AD474" s="977"/>
      <c r="AE474" s="977"/>
      <c r="AF474" s="977"/>
      <c r="AG474" s="977"/>
      <c r="AH474" s="977"/>
      <c r="AI474" s="977"/>
      <c r="AJ474" s="977"/>
      <c r="AK474" s="977"/>
      <c r="AL474" s="977"/>
      <c r="AM474" s="977"/>
      <c r="AN474" s="977"/>
      <c r="AO474" s="977"/>
      <c r="AP474" s="977"/>
      <c r="AQ474" s="977"/>
    </row>
    <row r="475" spans="1:43" ht="14.25" customHeight="1">
      <c r="A475" s="977"/>
      <c r="B475" s="977"/>
      <c r="C475" s="977"/>
      <c r="D475" s="977"/>
      <c r="E475" s="977"/>
      <c r="F475" s="977"/>
      <c r="G475" s="977"/>
      <c r="H475" s="977"/>
      <c r="I475" s="977"/>
      <c r="J475" s="977"/>
      <c r="K475" s="977"/>
      <c r="L475" s="977"/>
      <c r="M475" s="977"/>
      <c r="N475" s="977"/>
      <c r="O475" s="977"/>
      <c r="P475" s="977"/>
      <c r="Q475" s="977"/>
      <c r="R475" s="977"/>
      <c r="S475" s="977"/>
      <c r="T475" s="977"/>
      <c r="U475" s="977"/>
      <c r="V475" s="977"/>
      <c r="W475" s="977"/>
      <c r="X475" s="977"/>
      <c r="Y475" s="977"/>
      <c r="Z475" s="977"/>
      <c r="AA475" s="977"/>
      <c r="AB475" s="977"/>
      <c r="AC475" s="977"/>
      <c r="AD475" s="977"/>
      <c r="AE475" s="977"/>
      <c r="AF475" s="977"/>
      <c r="AG475" s="977"/>
      <c r="AH475" s="977"/>
      <c r="AI475" s="977"/>
      <c r="AJ475" s="977"/>
      <c r="AK475" s="977"/>
      <c r="AL475" s="977"/>
      <c r="AM475" s="977"/>
      <c r="AN475" s="977"/>
      <c r="AO475" s="977"/>
      <c r="AP475" s="977"/>
      <c r="AQ475" s="977"/>
    </row>
    <row r="476" spans="1:43" ht="14.25" customHeight="1">
      <c r="A476" s="977"/>
      <c r="B476" s="977"/>
      <c r="C476" s="977"/>
      <c r="D476" s="977"/>
      <c r="E476" s="977"/>
      <c r="F476" s="977"/>
      <c r="G476" s="977"/>
      <c r="H476" s="977"/>
      <c r="I476" s="977"/>
      <c r="J476" s="977"/>
      <c r="K476" s="977"/>
      <c r="L476" s="977"/>
      <c r="M476" s="977"/>
      <c r="N476" s="977"/>
      <c r="O476" s="977"/>
      <c r="P476" s="977"/>
      <c r="Q476" s="977"/>
      <c r="R476" s="977"/>
      <c r="S476" s="977"/>
      <c r="T476" s="977"/>
      <c r="U476" s="977"/>
      <c r="V476" s="977"/>
      <c r="W476" s="977"/>
      <c r="X476" s="977"/>
      <c r="Y476" s="977"/>
      <c r="Z476" s="977"/>
      <c r="AA476" s="977"/>
      <c r="AB476" s="977"/>
      <c r="AC476" s="977"/>
      <c r="AD476" s="977"/>
      <c r="AE476" s="977"/>
      <c r="AF476" s="977"/>
      <c r="AG476" s="977"/>
      <c r="AH476" s="977"/>
      <c r="AI476" s="977"/>
      <c r="AJ476" s="977"/>
      <c r="AK476" s="977"/>
      <c r="AL476" s="977"/>
      <c r="AM476" s="977"/>
      <c r="AN476" s="977"/>
      <c r="AO476" s="977"/>
      <c r="AP476" s="977"/>
      <c r="AQ476" s="977"/>
    </row>
    <row r="477" spans="1:43" ht="14.25" customHeight="1">
      <c r="A477" s="977"/>
      <c r="B477" s="977"/>
      <c r="C477" s="977"/>
      <c r="D477" s="977"/>
      <c r="E477" s="977"/>
      <c r="F477" s="977"/>
      <c r="G477" s="977"/>
      <c r="H477" s="977"/>
      <c r="I477" s="977"/>
      <c r="J477" s="977"/>
      <c r="K477" s="977"/>
      <c r="L477" s="977"/>
      <c r="M477" s="977"/>
      <c r="N477" s="977"/>
      <c r="O477" s="977"/>
      <c r="P477" s="977"/>
      <c r="Q477" s="977"/>
      <c r="R477" s="977"/>
      <c r="S477" s="977"/>
      <c r="T477" s="977"/>
      <c r="U477" s="977"/>
      <c r="V477" s="977"/>
      <c r="W477" s="977"/>
      <c r="X477" s="977"/>
      <c r="Y477" s="977"/>
      <c r="Z477" s="977"/>
      <c r="AA477" s="977"/>
      <c r="AB477" s="977"/>
      <c r="AC477" s="977"/>
      <c r="AD477" s="977"/>
      <c r="AE477" s="977"/>
      <c r="AF477" s="977"/>
      <c r="AG477" s="977"/>
      <c r="AH477" s="977"/>
      <c r="AI477" s="977"/>
      <c r="AJ477" s="977"/>
      <c r="AK477" s="977"/>
      <c r="AL477" s="977"/>
      <c r="AM477" s="977"/>
      <c r="AN477" s="977"/>
      <c r="AO477" s="977"/>
      <c r="AP477" s="977"/>
      <c r="AQ477" s="977"/>
    </row>
    <row r="478" spans="1:43" ht="14.25" customHeight="1">
      <c r="A478" s="977"/>
      <c r="B478" s="977"/>
      <c r="C478" s="977"/>
      <c r="D478" s="977"/>
      <c r="E478" s="977"/>
      <c r="F478" s="977"/>
      <c r="G478" s="977"/>
      <c r="H478" s="977"/>
      <c r="I478" s="977"/>
      <c r="J478" s="977"/>
      <c r="K478" s="977"/>
      <c r="L478" s="977"/>
      <c r="M478" s="977"/>
      <c r="N478" s="977"/>
      <c r="O478" s="977"/>
      <c r="P478" s="977"/>
      <c r="Q478" s="977"/>
      <c r="R478" s="977"/>
      <c r="S478" s="977"/>
      <c r="T478" s="977"/>
      <c r="U478" s="977"/>
      <c r="V478" s="977"/>
      <c r="W478" s="977"/>
      <c r="X478" s="977"/>
      <c r="Y478" s="977"/>
      <c r="Z478" s="977"/>
      <c r="AA478" s="977"/>
      <c r="AB478" s="977"/>
      <c r="AC478" s="977"/>
      <c r="AD478" s="977"/>
      <c r="AE478" s="977"/>
      <c r="AF478" s="977"/>
      <c r="AG478" s="977"/>
      <c r="AH478" s="977"/>
      <c r="AI478" s="977"/>
      <c r="AJ478" s="977"/>
      <c r="AK478" s="977"/>
      <c r="AL478" s="977"/>
      <c r="AM478" s="977"/>
      <c r="AN478" s="977"/>
      <c r="AO478" s="977"/>
      <c r="AP478" s="977"/>
      <c r="AQ478" s="977"/>
    </row>
    <row r="479" spans="1:43" ht="14.25" customHeight="1">
      <c r="A479" s="977"/>
      <c r="B479" s="977"/>
      <c r="C479" s="977"/>
      <c r="D479" s="977"/>
      <c r="E479" s="977"/>
      <c r="F479" s="977"/>
      <c r="G479" s="977"/>
      <c r="H479" s="977"/>
      <c r="I479" s="977"/>
      <c r="J479" s="977"/>
      <c r="K479" s="977"/>
      <c r="L479" s="977"/>
      <c r="M479" s="977"/>
      <c r="N479" s="977"/>
      <c r="O479" s="977"/>
      <c r="P479" s="977"/>
      <c r="Q479" s="977"/>
      <c r="R479" s="977"/>
      <c r="S479" s="977"/>
      <c r="T479" s="977"/>
      <c r="U479" s="977"/>
      <c r="V479" s="977"/>
      <c r="W479" s="977"/>
      <c r="X479" s="977"/>
      <c r="Y479" s="977"/>
      <c r="Z479" s="977"/>
      <c r="AA479" s="977"/>
      <c r="AB479" s="977"/>
      <c r="AC479" s="977"/>
      <c r="AD479" s="977"/>
      <c r="AE479" s="977"/>
      <c r="AF479" s="977"/>
      <c r="AG479" s="977"/>
      <c r="AH479" s="977"/>
      <c r="AI479" s="977"/>
      <c r="AJ479" s="977"/>
      <c r="AK479" s="977"/>
      <c r="AL479" s="977"/>
      <c r="AM479" s="977"/>
      <c r="AN479" s="977"/>
      <c r="AO479" s="977"/>
      <c r="AP479" s="977"/>
      <c r="AQ479" s="977"/>
    </row>
    <row r="480" spans="1:43" ht="14.25" customHeight="1">
      <c r="A480" s="977"/>
      <c r="B480" s="977"/>
      <c r="C480" s="977"/>
      <c r="D480" s="977"/>
      <c r="E480" s="977"/>
      <c r="F480" s="977"/>
      <c r="G480" s="977"/>
      <c r="H480" s="977"/>
      <c r="I480" s="977"/>
      <c r="J480" s="977"/>
      <c r="K480" s="977"/>
      <c r="L480" s="977"/>
      <c r="M480" s="977"/>
      <c r="N480" s="977"/>
      <c r="O480" s="977"/>
      <c r="P480" s="977"/>
      <c r="Q480" s="977"/>
      <c r="R480" s="977"/>
      <c r="S480" s="977"/>
      <c r="T480" s="977"/>
      <c r="U480" s="977"/>
      <c r="V480" s="977"/>
      <c r="W480" s="977"/>
      <c r="X480" s="977"/>
      <c r="Y480" s="977"/>
      <c r="Z480" s="977"/>
      <c r="AA480" s="977"/>
      <c r="AB480" s="977"/>
      <c r="AC480" s="977"/>
      <c r="AD480" s="977"/>
      <c r="AE480" s="977"/>
      <c r="AF480" s="977"/>
      <c r="AG480" s="977"/>
      <c r="AH480" s="977"/>
      <c r="AI480" s="977"/>
      <c r="AJ480" s="977"/>
      <c r="AK480" s="977"/>
      <c r="AL480" s="977"/>
      <c r="AM480" s="977"/>
      <c r="AN480" s="977"/>
      <c r="AO480" s="977"/>
      <c r="AP480" s="977"/>
      <c r="AQ480" s="977"/>
    </row>
    <row r="481" spans="1:43" ht="14.25" customHeight="1">
      <c r="A481" s="977"/>
      <c r="B481" s="977"/>
      <c r="C481" s="977"/>
      <c r="D481" s="977"/>
      <c r="E481" s="977"/>
      <c r="F481" s="977"/>
      <c r="G481" s="977"/>
      <c r="H481" s="977"/>
      <c r="I481" s="977"/>
      <c r="J481" s="977"/>
      <c r="K481" s="977"/>
      <c r="L481" s="977"/>
      <c r="M481" s="977"/>
      <c r="N481" s="977"/>
      <c r="O481" s="977"/>
      <c r="P481" s="977"/>
      <c r="Q481" s="977"/>
      <c r="R481" s="977"/>
      <c r="S481" s="977"/>
      <c r="T481" s="977"/>
      <c r="U481" s="977"/>
      <c r="V481" s="977"/>
      <c r="W481" s="977"/>
      <c r="X481" s="977"/>
      <c r="Y481" s="977"/>
      <c r="Z481" s="977"/>
      <c r="AA481" s="977"/>
      <c r="AB481" s="977"/>
      <c r="AC481" s="977"/>
      <c r="AD481" s="977"/>
      <c r="AE481" s="977"/>
      <c r="AF481" s="977"/>
      <c r="AG481" s="977"/>
      <c r="AH481" s="977"/>
      <c r="AI481" s="977"/>
      <c r="AJ481" s="977"/>
      <c r="AK481" s="977"/>
      <c r="AL481" s="977"/>
      <c r="AM481" s="977"/>
      <c r="AN481" s="977"/>
      <c r="AO481" s="977"/>
      <c r="AP481" s="977"/>
      <c r="AQ481" s="977"/>
    </row>
    <row r="482" spans="1:43" ht="14.25" customHeight="1">
      <c r="A482" s="977"/>
      <c r="B482" s="977"/>
      <c r="C482" s="977"/>
      <c r="D482" s="977"/>
      <c r="E482" s="977"/>
      <c r="F482" s="977"/>
      <c r="G482" s="977"/>
      <c r="H482" s="977"/>
      <c r="I482" s="977"/>
      <c r="J482" s="977"/>
      <c r="K482" s="977"/>
      <c r="L482" s="977"/>
      <c r="M482" s="977"/>
      <c r="N482" s="977"/>
      <c r="O482" s="977"/>
      <c r="P482" s="977"/>
      <c r="Q482" s="977"/>
      <c r="R482" s="977"/>
      <c r="S482" s="977"/>
      <c r="T482" s="977"/>
      <c r="U482" s="977"/>
      <c r="V482" s="977"/>
      <c r="W482" s="977"/>
      <c r="X482" s="977"/>
      <c r="Y482" s="977"/>
      <c r="Z482" s="977"/>
      <c r="AA482" s="977"/>
      <c r="AB482" s="977"/>
      <c r="AC482" s="977"/>
      <c r="AD482" s="977"/>
      <c r="AE482" s="977"/>
      <c r="AF482" s="977"/>
      <c r="AG482" s="977"/>
      <c r="AH482" s="977"/>
      <c r="AI482" s="977"/>
      <c r="AJ482" s="977"/>
      <c r="AK482" s="977"/>
      <c r="AL482" s="977"/>
      <c r="AM482" s="977"/>
      <c r="AN482" s="977"/>
      <c r="AO482" s="977"/>
      <c r="AP482" s="977"/>
      <c r="AQ482" s="977"/>
    </row>
    <row r="483" spans="1:43" ht="14.25" customHeight="1">
      <c r="A483" s="977"/>
      <c r="B483" s="977"/>
      <c r="C483" s="977"/>
      <c r="D483" s="977"/>
      <c r="E483" s="977"/>
      <c r="F483" s="977"/>
      <c r="G483" s="977"/>
      <c r="H483" s="977"/>
      <c r="I483" s="977"/>
      <c r="J483" s="977"/>
      <c r="K483" s="977"/>
      <c r="L483" s="977"/>
      <c r="M483" s="977"/>
      <c r="N483" s="977"/>
      <c r="O483" s="977"/>
      <c r="P483" s="977"/>
      <c r="Q483" s="977"/>
      <c r="R483" s="977"/>
      <c r="S483" s="977"/>
      <c r="T483" s="977"/>
      <c r="U483" s="977"/>
      <c r="V483" s="977"/>
      <c r="W483" s="977"/>
      <c r="X483" s="977"/>
      <c r="Y483" s="977"/>
      <c r="Z483" s="977"/>
      <c r="AA483" s="977"/>
      <c r="AB483" s="977"/>
      <c r="AC483" s="977"/>
      <c r="AD483" s="977"/>
      <c r="AE483" s="977"/>
      <c r="AF483" s="977"/>
      <c r="AG483" s="977"/>
      <c r="AH483" s="977"/>
      <c r="AI483" s="977"/>
      <c r="AJ483" s="977"/>
      <c r="AK483" s="977"/>
      <c r="AL483" s="977"/>
      <c r="AM483" s="977"/>
      <c r="AN483" s="977"/>
      <c r="AO483" s="977"/>
      <c r="AP483" s="977"/>
      <c r="AQ483" s="977"/>
    </row>
    <row r="484" spans="1:43" ht="14.25" customHeight="1">
      <c r="A484" s="977"/>
      <c r="B484" s="977"/>
      <c r="C484" s="977"/>
      <c r="D484" s="977"/>
      <c r="E484" s="977"/>
      <c r="F484" s="977"/>
      <c r="G484" s="977"/>
      <c r="H484" s="977"/>
      <c r="I484" s="977"/>
      <c r="J484" s="977"/>
      <c r="K484" s="977"/>
      <c r="L484" s="977"/>
      <c r="M484" s="977"/>
      <c r="N484" s="977"/>
      <c r="O484" s="977"/>
      <c r="P484" s="977"/>
      <c r="Q484" s="977"/>
      <c r="R484" s="977"/>
      <c r="S484" s="977"/>
      <c r="T484" s="977"/>
      <c r="U484" s="977"/>
      <c r="V484" s="977"/>
      <c r="W484" s="977"/>
      <c r="X484" s="977"/>
      <c r="Y484" s="977"/>
      <c r="Z484" s="977"/>
      <c r="AA484" s="977"/>
      <c r="AB484" s="977"/>
      <c r="AC484" s="977"/>
      <c r="AD484" s="977"/>
      <c r="AE484" s="977"/>
      <c r="AF484" s="977"/>
      <c r="AG484" s="977"/>
      <c r="AH484" s="977"/>
      <c r="AI484" s="977"/>
      <c r="AJ484" s="977"/>
      <c r="AK484" s="977"/>
      <c r="AL484" s="977"/>
      <c r="AM484" s="977"/>
      <c r="AN484" s="977"/>
      <c r="AO484" s="977"/>
      <c r="AP484" s="977"/>
      <c r="AQ484" s="977"/>
    </row>
    <row r="485" spans="1:43" ht="14.25" customHeight="1">
      <c r="A485" s="977"/>
      <c r="B485" s="977"/>
      <c r="C485" s="977"/>
      <c r="D485" s="977"/>
      <c r="E485" s="977"/>
      <c r="F485" s="977"/>
      <c r="G485" s="977"/>
      <c r="H485" s="977"/>
      <c r="I485" s="977"/>
      <c r="J485" s="977"/>
      <c r="K485" s="977"/>
      <c r="L485" s="977"/>
      <c r="M485" s="977"/>
      <c r="N485" s="977"/>
      <c r="O485" s="977"/>
      <c r="P485" s="977"/>
      <c r="Q485" s="977"/>
      <c r="R485" s="977"/>
      <c r="S485" s="977"/>
      <c r="T485" s="977"/>
      <c r="U485" s="977"/>
      <c r="V485" s="977"/>
      <c r="W485" s="977"/>
      <c r="X485" s="977"/>
      <c r="Y485" s="977"/>
      <c r="Z485" s="977"/>
      <c r="AA485" s="977"/>
      <c r="AB485" s="977"/>
      <c r="AC485" s="977"/>
      <c r="AD485" s="977"/>
      <c r="AE485" s="977"/>
      <c r="AF485" s="977"/>
      <c r="AG485" s="977"/>
      <c r="AH485" s="977"/>
      <c r="AI485" s="977"/>
      <c r="AJ485" s="977"/>
      <c r="AK485" s="977"/>
      <c r="AL485" s="977"/>
      <c r="AM485" s="977"/>
      <c r="AN485" s="977"/>
      <c r="AO485" s="977"/>
      <c r="AP485" s="977"/>
      <c r="AQ485" s="977"/>
    </row>
    <row r="486" spans="1:43" ht="14.25" customHeight="1">
      <c r="A486" s="977"/>
      <c r="B486" s="977"/>
      <c r="C486" s="977"/>
      <c r="D486" s="977"/>
      <c r="E486" s="977"/>
      <c r="F486" s="977"/>
      <c r="G486" s="977"/>
      <c r="H486" s="977"/>
      <c r="I486" s="977"/>
      <c r="J486" s="977"/>
      <c r="K486" s="977"/>
      <c r="L486" s="977"/>
      <c r="M486" s="977"/>
      <c r="N486" s="977"/>
      <c r="O486" s="977"/>
      <c r="P486" s="977"/>
      <c r="Q486" s="977"/>
      <c r="R486" s="977"/>
      <c r="S486" s="977"/>
      <c r="T486" s="977"/>
      <c r="U486" s="977"/>
      <c r="V486" s="977"/>
      <c r="W486" s="977"/>
      <c r="X486" s="977"/>
      <c r="Y486" s="977"/>
      <c r="Z486" s="977"/>
      <c r="AA486" s="977"/>
      <c r="AB486" s="977"/>
      <c r="AC486" s="977"/>
      <c r="AD486" s="977"/>
      <c r="AE486" s="977"/>
      <c r="AF486" s="977"/>
      <c r="AG486" s="977"/>
      <c r="AH486" s="977"/>
      <c r="AI486" s="977"/>
      <c r="AJ486" s="977"/>
      <c r="AK486" s="977"/>
      <c r="AL486" s="977"/>
      <c r="AM486" s="977"/>
      <c r="AN486" s="977"/>
      <c r="AO486" s="977"/>
      <c r="AP486" s="977"/>
      <c r="AQ486" s="977"/>
    </row>
    <row r="487" spans="1:43" ht="14.25" customHeight="1">
      <c r="A487" s="977"/>
      <c r="B487" s="977"/>
      <c r="C487" s="977"/>
      <c r="D487" s="977"/>
      <c r="E487" s="977"/>
      <c r="F487" s="977"/>
      <c r="G487" s="977"/>
      <c r="H487" s="977"/>
      <c r="I487" s="977"/>
      <c r="J487" s="977"/>
      <c r="K487" s="977"/>
      <c r="L487" s="977"/>
      <c r="M487" s="977"/>
      <c r="N487" s="977"/>
      <c r="O487" s="977"/>
      <c r="P487" s="977"/>
      <c r="Q487" s="977"/>
      <c r="R487" s="977"/>
      <c r="S487" s="977"/>
      <c r="T487" s="977"/>
      <c r="U487" s="977"/>
      <c r="V487" s="977"/>
      <c r="W487" s="977"/>
      <c r="X487" s="977"/>
      <c r="Y487" s="977"/>
      <c r="Z487" s="977"/>
      <c r="AA487" s="977"/>
      <c r="AB487" s="977"/>
      <c r="AC487" s="977"/>
      <c r="AD487" s="977"/>
      <c r="AE487" s="977"/>
      <c r="AF487" s="977"/>
      <c r="AG487" s="977"/>
      <c r="AH487" s="977"/>
      <c r="AI487" s="977"/>
      <c r="AJ487" s="977"/>
      <c r="AK487" s="977"/>
      <c r="AL487" s="977"/>
      <c r="AM487" s="977"/>
      <c r="AN487" s="977"/>
      <c r="AO487" s="977"/>
      <c r="AP487" s="977"/>
      <c r="AQ487" s="977"/>
    </row>
    <row r="488" spans="1:43" ht="14.25" customHeight="1">
      <c r="A488" s="977"/>
      <c r="B488" s="977"/>
      <c r="C488" s="977"/>
      <c r="D488" s="977"/>
      <c r="E488" s="977"/>
      <c r="F488" s="977"/>
      <c r="G488" s="977"/>
      <c r="H488" s="977"/>
      <c r="I488" s="977"/>
      <c r="J488" s="977"/>
      <c r="K488" s="977"/>
      <c r="L488" s="977"/>
      <c r="M488" s="977"/>
      <c r="N488" s="977"/>
      <c r="O488" s="977"/>
      <c r="P488" s="977"/>
      <c r="Q488" s="977"/>
      <c r="R488" s="977"/>
      <c r="S488" s="977"/>
      <c r="T488" s="977"/>
      <c r="U488" s="977"/>
      <c r="V488" s="977"/>
      <c r="W488" s="977"/>
      <c r="X488" s="977"/>
      <c r="Y488" s="977"/>
      <c r="Z488" s="977"/>
      <c r="AA488" s="977"/>
      <c r="AB488" s="977"/>
      <c r="AC488" s="977"/>
      <c r="AD488" s="977"/>
      <c r="AE488" s="977"/>
      <c r="AF488" s="977"/>
      <c r="AG488" s="977"/>
      <c r="AH488" s="977"/>
      <c r="AI488" s="977"/>
      <c r="AJ488" s="977"/>
      <c r="AK488" s="977"/>
      <c r="AL488" s="977"/>
      <c r="AM488" s="977"/>
      <c r="AN488" s="977"/>
      <c r="AO488" s="977"/>
      <c r="AP488" s="977"/>
      <c r="AQ488" s="977"/>
    </row>
    <row r="489" spans="1:43" ht="14.25" customHeight="1">
      <c r="A489" s="977"/>
      <c r="B489" s="977"/>
      <c r="C489" s="977"/>
      <c r="D489" s="977"/>
      <c r="E489" s="977"/>
      <c r="F489" s="977"/>
      <c r="G489" s="977"/>
      <c r="H489" s="977"/>
      <c r="I489" s="977"/>
      <c r="J489" s="977"/>
      <c r="K489" s="977"/>
      <c r="L489" s="977"/>
      <c r="M489" s="977"/>
      <c r="N489" s="977"/>
      <c r="O489" s="977"/>
      <c r="P489" s="977"/>
      <c r="Q489" s="977"/>
      <c r="R489" s="977"/>
      <c r="S489" s="977"/>
      <c r="T489" s="977"/>
      <c r="U489" s="977"/>
      <c r="V489" s="977"/>
      <c r="W489" s="977"/>
      <c r="X489" s="977"/>
      <c r="Y489" s="977"/>
      <c r="Z489" s="977"/>
      <c r="AA489" s="977"/>
      <c r="AB489" s="977"/>
      <c r="AC489" s="977"/>
      <c r="AD489" s="977"/>
      <c r="AE489" s="977"/>
      <c r="AF489" s="977"/>
      <c r="AG489" s="977"/>
      <c r="AH489" s="977"/>
      <c r="AI489" s="977"/>
      <c r="AJ489" s="977"/>
      <c r="AK489" s="977"/>
      <c r="AL489" s="977"/>
      <c r="AM489" s="977"/>
      <c r="AN489" s="977"/>
      <c r="AO489" s="977"/>
      <c r="AP489" s="977"/>
      <c r="AQ489" s="977"/>
    </row>
    <row r="490" spans="1:43" ht="14.25" customHeight="1">
      <c r="A490" s="977"/>
      <c r="B490" s="977"/>
      <c r="C490" s="977"/>
      <c r="D490" s="977"/>
      <c r="E490" s="977"/>
      <c r="F490" s="977"/>
      <c r="G490" s="977"/>
      <c r="H490" s="977"/>
      <c r="I490" s="977"/>
      <c r="J490" s="977"/>
      <c r="K490" s="977"/>
      <c r="L490" s="977"/>
      <c r="M490" s="977"/>
      <c r="N490" s="977"/>
      <c r="O490" s="977"/>
      <c r="P490" s="977"/>
      <c r="Q490" s="977"/>
      <c r="R490" s="977"/>
      <c r="S490" s="977"/>
      <c r="T490" s="977"/>
      <c r="U490" s="977"/>
      <c r="V490" s="977"/>
      <c r="W490" s="977"/>
      <c r="X490" s="977"/>
      <c r="Y490" s="977"/>
      <c r="Z490" s="977"/>
      <c r="AA490" s="977"/>
      <c r="AB490" s="977"/>
      <c r="AC490" s="977"/>
      <c r="AD490" s="977"/>
      <c r="AE490" s="977"/>
      <c r="AF490" s="977"/>
      <c r="AG490" s="977"/>
      <c r="AH490" s="977"/>
      <c r="AI490" s="977"/>
      <c r="AJ490" s="977"/>
      <c r="AK490" s="977"/>
      <c r="AL490" s="977"/>
      <c r="AM490" s="977"/>
      <c r="AN490" s="977"/>
      <c r="AO490" s="977"/>
      <c r="AP490" s="977"/>
      <c r="AQ490" s="977"/>
    </row>
    <row r="491" spans="1:43" ht="14.25" customHeight="1">
      <c r="A491" s="977"/>
      <c r="B491" s="977"/>
      <c r="C491" s="977"/>
      <c r="D491" s="977"/>
      <c r="E491" s="977"/>
      <c r="F491" s="977"/>
      <c r="G491" s="977"/>
      <c r="H491" s="977"/>
      <c r="I491" s="977"/>
      <c r="J491" s="977"/>
      <c r="K491" s="977"/>
      <c r="L491" s="977"/>
      <c r="M491" s="977"/>
      <c r="N491" s="977"/>
      <c r="O491" s="977"/>
      <c r="P491" s="977"/>
      <c r="Q491" s="977"/>
      <c r="R491" s="977"/>
      <c r="S491" s="977"/>
      <c r="T491" s="977"/>
      <c r="U491" s="977"/>
      <c r="V491" s="977"/>
      <c r="W491" s="977"/>
      <c r="X491" s="977"/>
      <c r="Y491" s="977"/>
      <c r="Z491" s="977"/>
      <c r="AA491" s="977"/>
      <c r="AB491" s="977"/>
      <c r="AC491" s="977"/>
      <c r="AD491" s="977"/>
      <c r="AE491" s="977"/>
      <c r="AF491" s="977"/>
      <c r="AG491" s="977"/>
      <c r="AH491" s="977"/>
      <c r="AI491" s="977"/>
      <c r="AJ491" s="977"/>
      <c r="AK491" s="977"/>
      <c r="AL491" s="977"/>
      <c r="AM491" s="977"/>
      <c r="AN491" s="977"/>
      <c r="AO491" s="977"/>
      <c r="AP491" s="977"/>
      <c r="AQ491" s="977"/>
    </row>
    <row r="492" spans="1:43" ht="14.25" customHeight="1">
      <c r="A492" s="977"/>
      <c r="B492" s="977"/>
      <c r="C492" s="977"/>
      <c r="D492" s="977"/>
      <c r="E492" s="977"/>
      <c r="F492" s="977"/>
      <c r="G492" s="977"/>
      <c r="H492" s="977"/>
      <c r="I492" s="977"/>
      <c r="J492" s="977"/>
      <c r="K492" s="977"/>
      <c r="L492" s="977"/>
      <c r="M492" s="977"/>
      <c r="N492" s="977"/>
      <c r="O492" s="977"/>
      <c r="P492" s="977"/>
      <c r="Q492" s="977"/>
      <c r="R492" s="977"/>
      <c r="S492" s="977"/>
      <c r="T492" s="977"/>
      <c r="U492" s="977"/>
      <c r="V492" s="977"/>
      <c r="W492" s="977"/>
      <c r="X492" s="977"/>
      <c r="Y492" s="977"/>
      <c r="Z492" s="977"/>
      <c r="AA492" s="977"/>
      <c r="AB492" s="977"/>
      <c r="AC492" s="977"/>
      <c r="AD492" s="977"/>
      <c r="AE492" s="977"/>
      <c r="AF492" s="977"/>
      <c r="AG492" s="977"/>
      <c r="AH492" s="977"/>
      <c r="AI492" s="977"/>
      <c r="AJ492" s="977"/>
      <c r="AK492" s="977"/>
      <c r="AL492" s="977"/>
      <c r="AM492" s="977"/>
      <c r="AN492" s="977"/>
      <c r="AO492" s="977"/>
      <c r="AP492" s="977"/>
      <c r="AQ492" s="977"/>
    </row>
    <row r="493" spans="1:43" ht="14.25" customHeight="1">
      <c r="A493" s="977"/>
      <c r="B493" s="977"/>
      <c r="C493" s="977"/>
      <c r="D493" s="977"/>
      <c r="E493" s="977"/>
      <c r="F493" s="977"/>
      <c r="G493" s="977"/>
      <c r="H493" s="977"/>
      <c r="I493" s="977"/>
      <c r="J493" s="977"/>
      <c r="K493" s="977"/>
      <c r="L493" s="977"/>
      <c r="M493" s="977"/>
      <c r="N493" s="977"/>
      <c r="O493" s="977"/>
      <c r="P493" s="977"/>
      <c r="Q493" s="977"/>
      <c r="R493" s="977"/>
      <c r="S493" s="977"/>
      <c r="T493" s="977"/>
      <c r="U493" s="977"/>
      <c r="V493" s="977"/>
      <c r="W493" s="977"/>
      <c r="X493" s="977"/>
      <c r="Y493" s="977"/>
      <c r="Z493" s="977"/>
      <c r="AA493" s="977"/>
      <c r="AB493" s="977"/>
      <c r="AC493" s="977"/>
      <c r="AD493" s="977"/>
      <c r="AE493" s="977"/>
      <c r="AF493" s="977"/>
      <c r="AG493" s="977"/>
      <c r="AH493" s="977"/>
      <c r="AI493" s="977"/>
      <c r="AJ493" s="977"/>
      <c r="AK493" s="977"/>
      <c r="AL493" s="977"/>
      <c r="AM493" s="977"/>
      <c r="AN493" s="977"/>
      <c r="AO493" s="977"/>
      <c r="AP493" s="977"/>
      <c r="AQ493" s="977"/>
    </row>
    <row r="494" spans="1:43" ht="14.25" customHeight="1">
      <c r="A494" s="977"/>
      <c r="B494" s="977"/>
      <c r="C494" s="977"/>
      <c r="D494" s="977"/>
      <c r="E494" s="977"/>
      <c r="F494" s="977"/>
      <c r="G494" s="977"/>
      <c r="H494" s="977"/>
      <c r="I494" s="977"/>
      <c r="J494" s="977"/>
      <c r="K494" s="977"/>
      <c r="L494" s="977"/>
      <c r="M494" s="977"/>
      <c r="N494" s="977"/>
      <c r="O494" s="977"/>
      <c r="P494" s="977"/>
      <c r="Q494" s="977"/>
      <c r="R494" s="977"/>
      <c r="S494" s="977"/>
      <c r="T494" s="977"/>
      <c r="U494" s="977"/>
      <c r="V494" s="977"/>
      <c r="W494" s="977"/>
      <c r="X494" s="977"/>
      <c r="Y494" s="977"/>
      <c r="Z494" s="977"/>
      <c r="AA494" s="977"/>
      <c r="AB494" s="977"/>
      <c r="AC494" s="977"/>
      <c r="AD494" s="977"/>
      <c r="AE494" s="977"/>
      <c r="AF494" s="977"/>
      <c r="AG494" s="977"/>
      <c r="AH494" s="977"/>
      <c r="AI494" s="977"/>
      <c r="AJ494" s="977"/>
      <c r="AK494" s="977"/>
      <c r="AL494" s="977"/>
      <c r="AM494" s="977"/>
      <c r="AN494" s="977"/>
      <c r="AO494" s="977"/>
      <c r="AP494" s="977"/>
      <c r="AQ494" s="977"/>
    </row>
    <row r="495" spans="1:43" ht="14.25" customHeight="1">
      <c r="A495" s="977"/>
      <c r="B495" s="977"/>
      <c r="C495" s="977"/>
      <c r="D495" s="977"/>
      <c r="E495" s="977"/>
      <c r="F495" s="977"/>
      <c r="G495" s="977"/>
      <c r="H495" s="977"/>
      <c r="I495" s="977"/>
      <c r="J495" s="977"/>
      <c r="K495" s="977"/>
      <c r="L495" s="977"/>
      <c r="M495" s="977"/>
      <c r="N495" s="977"/>
      <c r="O495" s="977"/>
      <c r="P495" s="977"/>
      <c r="Q495" s="977"/>
      <c r="R495" s="977"/>
      <c r="S495" s="977"/>
      <c r="T495" s="977"/>
      <c r="U495" s="977"/>
      <c r="V495" s="977"/>
      <c r="W495" s="977"/>
      <c r="X495" s="977"/>
      <c r="Y495" s="977"/>
      <c r="Z495" s="977"/>
      <c r="AA495" s="977"/>
      <c r="AB495" s="977"/>
      <c r="AC495" s="977"/>
      <c r="AD495" s="977"/>
      <c r="AE495" s="977"/>
      <c r="AF495" s="977"/>
      <c r="AG495" s="977"/>
      <c r="AH495" s="977"/>
      <c r="AI495" s="977"/>
      <c r="AJ495" s="977"/>
      <c r="AK495" s="977"/>
      <c r="AL495" s="977"/>
      <c r="AM495" s="977"/>
      <c r="AN495" s="977"/>
      <c r="AO495" s="977"/>
      <c r="AP495" s="977"/>
      <c r="AQ495" s="977"/>
    </row>
    <row r="496" spans="1:43" ht="14.25" customHeight="1">
      <c r="A496" s="977"/>
      <c r="B496" s="977"/>
      <c r="C496" s="977"/>
      <c r="D496" s="977"/>
      <c r="E496" s="977"/>
      <c r="F496" s="977"/>
      <c r="G496" s="977"/>
      <c r="H496" s="977"/>
      <c r="I496" s="977"/>
      <c r="J496" s="977"/>
      <c r="K496" s="977"/>
      <c r="L496" s="977"/>
      <c r="M496" s="977"/>
      <c r="N496" s="977"/>
      <c r="O496" s="977"/>
      <c r="P496" s="977"/>
      <c r="Q496" s="977"/>
      <c r="R496" s="977"/>
      <c r="S496" s="977"/>
      <c r="T496" s="977"/>
      <c r="U496" s="977"/>
      <c r="V496" s="977"/>
      <c r="W496" s="977"/>
      <c r="X496" s="977"/>
      <c r="Y496" s="977"/>
      <c r="Z496" s="977"/>
      <c r="AA496" s="977"/>
      <c r="AB496" s="977"/>
      <c r="AC496" s="977"/>
      <c r="AD496" s="977"/>
      <c r="AE496" s="977"/>
      <c r="AF496" s="977"/>
      <c r="AG496" s="977"/>
      <c r="AH496" s="977"/>
      <c r="AI496" s="977"/>
      <c r="AJ496" s="977"/>
      <c r="AK496" s="977"/>
      <c r="AL496" s="977"/>
      <c r="AM496" s="977"/>
      <c r="AN496" s="977"/>
      <c r="AO496" s="977"/>
      <c r="AP496" s="977"/>
      <c r="AQ496" s="977"/>
    </row>
    <row r="497" spans="1:43" ht="14.25" customHeight="1">
      <c r="A497" s="977"/>
      <c r="B497" s="977"/>
      <c r="C497" s="977"/>
      <c r="D497" s="977"/>
      <c r="E497" s="977"/>
      <c r="F497" s="977"/>
      <c r="G497" s="977"/>
      <c r="H497" s="977"/>
      <c r="I497" s="977"/>
      <c r="J497" s="977"/>
      <c r="K497" s="977"/>
      <c r="L497" s="977"/>
      <c r="M497" s="977"/>
      <c r="N497" s="977"/>
      <c r="O497" s="977"/>
      <c r="P497" s="977"/>
      <c r="Q497" s="977"/>
      <c r="R497" s="977"/>
      <c r="S497" s="977"/>
      <c r="T497" s="977"/>
      <c r="U497" s="977"/>
      <c r="V497" s="977"/>
      <c r="W497" s="977"/>
      <c r="X497" s="977"/>
      <c r="Y497" s="977"/>
      <c r="Z497" s="977"/>
      <c r="AA497" s="977"/>
      <c r="AB497" s="977"/>
      <c r="AC497" s="977"/>
      <c r="AD497" s="977"/>
      <c r="AE497" s="977"/>
      <c r="AF497" s="977"/>
      <c r="AG497" s="977"/>
      <c r="AH497" s="977"/>
      <c r="AI497" s="977"/>
      <c r="AJ497" s="977"/>
      <c r="AK497" s="977"/>
      <c r="AL497" s="977"/>
      <c r="AM497" s="977"/>
      <c r="AN497" s="977"/>
      <c r="AO497" s="977"/>
      <c r="AP497" s="977"/>
      <c r="AQ497" s="977"/>
    </row>
    <row r="498" spans="1:43" ht="14.25" customHeight="1">
      <c r="A498" s="977"/>
      <c r="B498" s="977"/>
      <c r="C498" s="977"/>
      <c r="D498" s="977"/>
      <c r="E498" s="977"/>
      <c r="F498" s="977"/>
      <c r="G498" s="977"/>
      <c r="H498" s="977"/>
      <c r="I498" s="977"/>
      <c r="J498" s="977"/>
      <c r="K498" s="977"/>
      <c r="L498" s="977"/>
      <c r="M498" s="977"/>
      <c r="N498" s="977"/>
      <c r="O498" s="977"/>
      <c r="P498" s="977"/>
      <c r="Q498" s="977"/>
      <c r="R498" s="977"/>
      <c r="S498" s="977"/>
      <c r="T498" s="977"/>
      <c r="U498" s="977"/>
      <c r="V498" s="977"/>
      <c r="W498" s="977"/>
      <c r="X498" s="977"/>
      <c r="Y498" s="977"/>
      <c r="Z498" s="977"/>
      <c r="AA498" s="977"/>
      <c r="AB498" s="977"/>
      <c r="AC498" s="977"/>
      <c r="AD498" s="977"/>
      <c r="AE498" s="977"/>
      <c r="AF498" s="977"/>
      <c r="AG498" s="977"/>
      <c r="AH498" s="977"/>
      <c r="AI498" s="977"/>
      <c r="AJ498" s="977"/>
      <c r="AK498" s="977"/>
      <c r="AL498" s="977"/>
      <c r="AM498" s="977"/>
      <c r="AN498" s="977"/>
      <c r="AO498" s="977"/>
      <c r="AP498" s="977"/>
      <c r="AQ498" s="977"/>
    </row>
    <row r="499" spans="1:43" ht="14.25" customHeight="1">
      <c r="A499" s="977"/>
      <c r="B499" s="977"/>
      <c r="C499" s="977"/>
      <c r="D499" s="977"/>
      <c r="E499" s="977"/>
      <c r="F499" s="977"/>
      <c r="G499" s="977"/>
      <c r="H499" s="977"/>
      <c r="I499" s="977"/>
      <c r="J499" s="977"/>
      <c r="K499" s="977"/>
      <c r="L499" s="977"/>
      <c r="M499" s="977"/>
      <c r="N499" s="977"/>
      <c r="O499" s="977"/>
      <c r="P499" s="977"/>
      <c r="Q499" s="977"/>
      <c r="R499" s="977"/>
      <c r="S499" s="977"/>
      <c r="T499" s="977"/>
      <c r="U499" s="977"/>
      <c r="V499" s="977"/>
      <c r="W499" s="977"/>
      <c r="X499" s="977"/>
      <c r="Y499" s="977"/>
      <c r="Z499" s="977"/>
      <c r="AA499" s="977"/>
      <c r="AB499" s="977"/>
      <c r="AC499" s="977"/>
      <c r="AD499" s="977"/>
      <c r="AE499" s="977"/>
      <c r="AF499" s="977"/>
      <c r="AG499" s="977"/>
      <c r="AH499" s="977"/>
      <c r="AI499" s="977"/>
      <c r="AJ499" s="977"/>
      <c r="AK499" s="977"/>
      <c r="AL499" s="977"/>
      <c r="AM499" s="977"/>
      <c r="AN499" s="977"/>
      <c r="AO499" s="977"/>
      <c r="AP499" s="977"/>
      <c r="AQ499" s="977"/>
    </row>
    <row r="500" spans="1:43" ht="14.25" customHeight="1">
      <c r="A500" s="977"/>
      <c r="B500" s="977"/>
      <c r="C500" s="977"/>
      <c r="D500" s="977"/>
      <c r="E500" s="977"/>
      <c r="F500" s="977"/>
      <c r="G500" s="977"/>
      <c r="H500" s="977"/>
      <c r="I500" s="977"/>
      <c r="J500" s="977"/>
      <c r="K500" s="977"/>
      <c r="L500" s="977"/>
      <c r="M500" s="977"/>
      <c r="N500" s="977"/>
      <c r="O500" s="977"/>
      <c r="P500" s="977"/>
      <c r="Q500" s="977"/>
      <c r="R500" s="977"/>
      <c r="S500" s="977"/>
      <c r="T500" s="977"/>
      <c r="U500" s="977"/>
      <c r="V500" s="977"/>
      <c r="W500" s="977"/>
      <c r="X500" s="977"/>
      <c r="Y500" s="977"/>
      <c r="Z500" s="977"/>
      <c r="AA500" s="977"/>
      <c r="AB500" s="977"/>
      <c r="AC500" s="977"/>
      <c r="AD500" s="977"/>
      <c r="AE500" s="977"/>
      <c r="AF500" s="977"/>
      <c r="AG500" s="977"/>
      <c r="AH500" s="977"/>
      <c r="AI500" s="977"/>
      <c r="AJ500" s="977"/>
      <c r="AK500" s="977"/>
      <c r="AL500" s="977"/>
      <c r="AM500" s="977"/>
      <c r="AN500" s="977"/>
      <c r="AO500" s="977"/>
      <c r="AP500" s="977"/>
      <c r="AQ500" s="977"/>
    </row>
    <row r="501" spans="1:43" ht="14.25" customHeight="1">
      <c r="A501" s="977"/>
      <c r="B501" s="977"/>
      <c r="C501" s="977"/>
      <c r="D501" s="977"/>
      <c r="E501" s="977"/>
      <c r="F501" s="977"/>
      <c r="G501" s="977"/>
      <c r="H501" s="977"/>
      <c r="I501" s="977"/>
      <c r="J501" s="977"/>
      <c r="K501" s="977"/>
      <c r="L501" s="977"/>
      <c r="M501" s="977"/>
      <c r="N501" s="977"/>
      <c r="O501" s="977"/>
      <c r="P501" s="977"/>
      <c r="Q501" s="977"/>
      <c r="R501" s="977"/>
      <c r="S501" s="977"/>
      <c r="T501" s="977"/>
      <c r="U501" s="977"/>
      <c r="V501" s="977"/>
      <c r="W501" s="977"/>
      <c r="X501" s="977"/>
      <c r="Y501" s="977"/>
      <c r="Z501" s="977"/>
      <c r="AA501" s="977"/>
      <c r="AB501" s="977"/>
      <c r="AC501" s="977"/>
      <c r="AD501" s="977"/>
      <c r="AE501" s="977"/>
      <c r="AF501" s="977"/>
      <c r="AG501" s="977"/>
      <c r="AH501" s="977"/>
      <c r="AI501" s="977"/>
      <c r="AJ501" s="977"/>
      <c r="AK501" s="977"/>
      <c r="AL501" s="977"/>
      <c r="AM501" s="977"/>
      <c r="AN501" s="977"/>
      <c r="AO501" s="977"/>
      <c r="AP501" s="977"/>
      <c r="AQ501" s="977"/>
    </row>
    <row r="502" spans="1:43" ht="14.25" customHeight="1">
      <c r="A502" s="977"/>
      <c r="B502" s="977"/>
      <c r="C502" s="977"/>
      <c r="D502" s="977"/>
      <c r="E502" s="977"/>
      <c r="F502" s="977"/>
      <c r="G502" s="977"/>
      <c r="H502" s="977"/>
      <c r="I502" s="977"/>
      <c r="J502" s="977"/>
      <c r="K502" s="977"/>
      <c r="L502" s="977"/>
      <c r="M502" s="977"/>
      <c r="N502" s="977"/>
      <c r="O502" s="977"/>
      <c r="P502" s="977"/>
      <c r="Q502" s="977"/>
      <c r="R502" s="977"/>
      <c r="S502" s="977"/>
      <c r="T502" s="977"/>
      <c r="U502" s="977"/>
      <c r="V502" s="977"/>
      <c r="W502" s="977"/>
      <c r="X502" s="977"/>
      <c r="Y502" s="977"/>
      <c r="Z502" s="977"/>
      <c r="AA502" s="977"/>
      <c r="AB502" s="977"/>
      <c r="AC502" s="977"/>
      <c r="AD502" s="977"/>
      <c r="AE502" s="977"/>
      <c r="AF502" s="977"/>
      <c r="AG502" s="977"/>
      <c r="AH502" s="977"/>
      <c r="AI502" s="977"/>
      <c r="AJ502" s="977"/>
      <c r="AK502" s="977"/>
      <c r="AL502" s="977"/>
      <c r="AM502" s="977"/>
      <c r="AN502" s="977"/>
      <c r="AO502" s="977"/>
      <c r="AP502" s="977"/>
      <c r="AQ502" s="977"/>
    </row>
    <row r="503" spans="1:43" ht="14.25" customHeight="1">
      <c r="A503" s="977"/>
      <c r="B503" s="977"/>
      <c r="C503" s="977"/>
      <c r="D503" s="977"/>
      <c r="E503" s="977"/>
      <c r="F503" s="977"/>
      <c r="G503" s="977"/>
      <c r="H503" s="977"/>
      <c r="I503" s="977"/>
      <c r="J503" s="977"/>
      <c r="K503" s="977"/>
      <c r="L503" s="977"/>
      <c r="M503" s="977"/>
      <c r="N503" s="977"/>
      <c r="O503" s="977"/>
      <c r="P503" s="977"/>
      <c r="Q503" s="977"/>
      <c r="R503" s="977"/>
      <c r="S503" s="977"/>
      <c r="T503" s="977"/>
      <c r="U503" s="977"/>
      <c r="V503" s="977"/>
      <c r="W503" s="977"/>
      <c r="X503" s="977"/>
      <c r="Y503" s="977"/>
      <c r="Z503" s="977"/>
      <c r="AA503" s="977"/>
      <c r="AB503" s="977"/>
      <c r="AC503" s="977"/>
      <c r="AD503" s="977"/>
      <c r="AE503" s="977"/>
      <c r="AF503" s="977"/>
      <c r="AG503" s="977"/>
      <c r="AH503" s="977"/>
      <c r="AI503" s="977"/>
      <c r="AJ503" s="977"/>
      <c r="AK503" s="977"/>
      <c r="AL503" s="977"/>
      <c r="AM503" s="977"/>
      <c r="AN503" s="977"/>
      <c r="AO503" s="977"/>
      <c r="AP503" s="977"/>
      <c r="AQ503" s="977"/>
    </row>
    <row r="504" spans="1:43" ht="14.25" customHeight="1">
      <c r="A504" s="977"/>
      <c r="B504" s="977"/>
      <c r="C504" s="977"/>
      <c r="D504" s="977"/>
      <c r="E504" s="977"/>
      <c r="F504" s="977"/>
      <c r="G504" s="977"/>
      <c r="H504" s="977"/>
      <c r="I504" s="977"/>
      <c r="J504" s="977"/>
      <c r="K504" s="977"/>
      <c r="L504" s="977"/>
      <c r="M504" s="977"/>
      <c r="N504" s="977"/>
      <c r="O504" s="977"/>
      <c r="P504" s="977"/>
      <c r="Q504" s="977"/>
      <c r="R504" s="977"/>
      <c r="S504" s="977"/>
      <c r="T504" s="977"/>
      <c r="U504" s="977"/>
      <c r="V504" s="977"/>
      <c r="W504" s="977"/>
      <c r="X504" s="977"/>
      <c r="Y504" s="977"/>
      <c r="Z504" s="977"/>
      <c r="AA504" s="977"/>
      <c r="AB504" s="977"/>
      <c r="AC504" s="977"/>
      <c r="AD504" s="977"/>
      <c r="AE504" s="977"/>
      <c r="AF504" s="977"/>
      <c r="AG504" s="977"/>
      <c r="AH504" s="977"/>
      <c r="AI504" s="977"/>
      <c r="AJ504" s="977"/>
      <c r="AK504" s="977"/>
      <c r="AL504" s="977"/>
      <c r="AM504" s="977"/>
      <c r="AN504" s="977"/>
      <c r="AO504" s="977"/>
      <c r="AP504" s="977"/>
      <c r="AQ504" s="977"/>
    </row>
    <row r="505" spans="1:43" ht="14.25" customHeight="1">
      <c r="A505" s="977"/>
      <c r="B505" s="977"/>
      <c r="C505" s="977"/>
      <c r="D505" s="977"/>
      <c r="E505" s="977"/>
      <c r="F505" s="977"/>
      <c r="G505" s="977"/>
      <c r="H505" s="977"/>
      <c r="I505" s="977"/>
      <c r="J505" s="977"/>
      <c r="K505" s="977"/>
      <c r="L505" s="977"/>
      <c r="M505" s="977"/>
      <c r="N505" s="977"/>
      <c r="O505" s="977"/>
      <c r="P505" s="977"/>
      <c r="Q505" s="977"/>
      <c r="R505" s="977"/>
      <c r="S505" s="977"/>
      <c r="T505" s="977"/>
      <c r="U505" s="977"/>
      <c r="V505" s="977"/>
      <c r="W505" s="977"/>
      <c r="X505" s="977"/>
      <c r="Y505" s="977"/>
      <c r="Z505" s="977"/>
      <c r="AA505" s="977"/>
      <c r="AB505" s="977"/>
      <c r="AC505" s="977"/>
      <c r="AD505" s="977"/>
      <c r="AE505" s="977"/>
      <c r="AF505" s="977"/>
      <c r="AG505" s="977"/>
      <c r="AH505" s="977"/>
      <c r="AI505" s="977"/>
      <c r="AJ505" s="977"/>
      <c r="AK505" s="977"/>
      <c r="AL505" s="977"/>
      <c r="AM505" s="977"/>
      <c r="AN505" s="977"/>
      <c r="AO505" s="977"/>
      <c r="AP505" s="977"/>
      <c r="AQ505" s="977"/>
    </row>
    <row r="506" spans="1:43" ht="14.25" customHeight="1">
      <c r="A506" s="977"/>
      <c r="B506" s="977"/>
      <c r="C506" s="977"/>
      <c r="D506" s="977"/>
      <c r="E506" s="977"/>
      <c r="F506" s="977"/>
      <c r="G506" s="977"/>
      <c r="H506" s="977"/>
      <c r="I506" s="977"/>
      <c r="J506" s="977"/>
      <c r="K506" s="977"/>
      <c r="L506" s="977"/>
      <c r="M506" s="977"/>
      <c r="N506" s="977"/>
      <c r="O506" s="977"/>
      <c r="P506" s="977"/>
      <c r="Q506" s="977"/>
      <c r="R506" s="977"/>
      <c r="S506" s="977"/>
      <c r="T506" s="977"/>
      <c r="U506" s="977"/>
      <c r="V506" s="977"/>
      <c r="W506" s="977"/>
      <c r="X506" s="977"/>
      <c r="Y506" s="977"/>
      <c r="Z506" s="977"/>
      <c r="AA506" s="977"/>
      <c r="AB506" s="977"/>
      <c r="AC506" s="977"/>
      <c r="AD506" s="977"/>
      <c r="AE506" s="977"/>
      <c r="AF506" s="977"/>
      <c r="AG506" s="977"/>
      <c r="AH506" s="977"/>
      <c r="AI506" s="977"/>
      <c r="AJ506" s="977"/>
      <c r="AK506" s="977"/>
      <c r="AL506" s="977"/>
      <c r="AM506" s="977"/>
      <c r="AN506" s="977"/>
      <c r="AO506" s="977"/>
      <c r="AP506" s="977"/>
      <c r="AQ506" s="977"/>
    </row>
    <row r="507" spans="1:43" ht="14.25" customHeight="1">
      <c r="A507" s="977"/>
      <c r="B507" s="977"/>
      <c r="C507" s="977"/>
      <c r="D507" s="977"/>
      <c r="E507" s="977"/>
      <c r="F507" s="977"/>
      <c r="G507" s="977"/>
      <c r="H507" s="977"/>
      <c r="I507" s="977"/>
      <c r="J507" s="977"/>
      <c r="K507" s="977"/>
      <c r="L507" s="977"/>
      <c r="M507" s="977"/>
      <c r="N507" s="977"/>
      <c r="O507" s="977"/>
      <c r="P507" s="977"/>
      <c r="Q507" s="977"/>
      <c r="R507" s="977"/>
      <c r="S507" s="977"/>
      <c r="T507" s="977"/>
      <c r="U507" s="977"/>
      <c r="V507" s="977"/>
      <c r="W507" s="977"/>
      <c r="X507" s="977"/>
      <c r="Y507" s="977"/>
      <c r="Z507" s="977"/>
      <c r="AA507" s="977"/>
      <c r="AB507" s="977"/>
      <c r="AC507" s="977"/>
      <c r="AD507" s="977"/>
      <c r="AE507" s="977"/>
      <c r="AF507" s="977"/>
      <c r="AG507" s="977"/>
      <c r="AH507" s="977"/>
      <c r="AI507" s="977"/>
      <c r="AJ507" s="977"/>
      <c r="AK507" s="977"/>
      <c r="AL507" s="977"/>
      <c r="AM507" s="977"/>
      <c r="AN507" s="977"/>
      <c r="AO507" s="977"/>
      <c r="AP507" s="977"/>
      <c r="AQ507" s="977"/>
    </row>
    <row r="508" spans="1:43" ht="14.25" customHeight="1">
      <c r="A508" s="977"/>
      <c r="B508" s="977"/>
      <c r="C508" s="977"/>
      <c r="D508" s="977"/>
      <c r="E508" s="977"/>
      <c r="F508" s="977"/>
      <c r="G508" s="977"/>
      <c r="H508" s="977"/>
      <c r="I508" s="977"/>
      <c r="J508" s="977"/>
      <c r="K508" s="977"/>
      <c r="L508" s="977"/>
      <c r="M508" s="977"/>
      <c r="N508" s="977"/>
      <c r="O508" s="977"/>
      <c r="P508" s="977"/>
      <c r="Q508" s="977"/>
      <c r="R508" s="977"/>
      <c r="S508" s="977"/>
      <c r="T508" s="977"/>
      <c r="U508" s="977"/>
      <c r="V508" s="977"/>
      <c r="W508" s="977"/>
      <c r="X508" s="977"/>
      <c r="Y508" s="977"/>
      <c r="Z508" s="977"/>
      <c r="AA508" s="977"/>
      <c r="AB508" s="977"/>
      <c r="AC508" s="977"/>
      <c r="AD508" s="977"/>
      <c r="AE508" s="977"/>
      <c r="AF508" s="977"/>
      <c r="AG508" s="977"/>
      <c r="AH508" s="977"/>
      <c r="AI508" s="977"/>
      <c r="AJ508" s="977"/>
      <c r="AK508" s="977"/>
      <c r="AL508" s="977"/>
      <c r="AM508" s="977"/>
      <c r="AN508" s="977"/>
      <c r="AO508" s="977"/>
      <c r="AP508" s="977"/>
      <c r="AQ508" s="977"/>
    </row>
    <row r="509" spans="1:43" ht="14.25" customHeight="1">
      <c r="A509" s="977"/>
      <c r="B509" s="977"/>
      <c r="C509" s="977"/>
      <c r="D509" s="977"/>
      <c r="E509" s="977"/>
      <c r="F509" s="977"/>
      <c r="G509" s="977"/>
      <c r="H509" s="977"/>
      <c r="I509" s="977"/>
      <c r="J509" s="977"/>
      <c r="K509" s="977"/>
      <c r="L509" s="977"/>
      <c r="M509" s="977"/>
      <c r="N509" s="977"/>
      <c r="O509" s="977"/>
      <c r="P509" s="977"/>
      <c r="Q509" s="977"/>
      <c r="R509" s="977"/>
      <c r="S509" s="977"/>
      <c r="T509" s="977"/>
      <c r="U509" s="977"/>
      <c r="V509" s="977"/>
      <c r="W509" s="977"/>
      <c r="X509" s="977"/>
      <c r="Y509" s="977"/>
      <c r="Z509" s="977"/>
      <c r="AA509" s="977"/>
      <c r="AB509" s="977"/>
      <c r="AC509" s="977"/>
      <c r="AD509" s="977"/>
      <c r="AE509" s="977"/>
      <c r="AF509" s="977"/>
      <c r="AG509" s="977"/>
      <c r="AH509" s="977"/>
      <c r="AI509" s="977"/>
      <c r="AJ509" s="977"/>
      <c r="AK509" s="977"/>
      <c r="AL509" s="977"/>
      <c r="AM509" s="977"/>
      <c r="AN509" s="977"/>
      <c r="AO509" s="977"/>
      <c r="AP509" s="977"/>
      <c r="AQ509" s="977"/>
    </row>
    <row r="510" spans="1:43" ht="14.25" customHeight="1">
      <c r="A510" s="977"/>
      <c r="B510" s="977"/>
      <c r="C510" s="977"/>
      <c r="D510" s="977"/>
      <c r="E510" s="977"/>
      <c r="F510" s="977"/>
      <c r="G510" s="977"/>
      <c r="H510" s="977"/>
      <c r="I510" s="977"/>
      <c r="J510" s="977"/>
      <c r="K510" s="977"/>
      <c r="L510" s="977"/>
      <c r="M510" s="977"/>
      <c r="N510" s="977"/>
      <c r="O510" s="977"/>
      <c r="P510" s="977"/>
      <c r="Q510" s="977"/>
      <c r="R510" s="977"/>
      <c r="S510" s="977"/>
      <c r="T510" s="977"/>
      <c r="U510" s="977"/>
      <c r="V510" s="977"/>
      <c r="W510" s="977"/>
      <c r="X510" s="977"/>
      <c r="Y510" s="977"/>
      <c r="Z510" s="977"/>
      <c r="AA510" s="977"/>
      <c r="AB510" s="977"/>
      <c r="AC510" s="977"/>
      <c r="AD510" s="977"/>
      <c r="AE510" s="977"/>
      <c r="AF510" s="977"/>
      <c r="AG510" s="977"/>
      <c r="AH510" s="977"/>
      <c r="AI510" s="977"/>
      <c r="AJ510" s="977"/>
      <c r="AK510" s="977"/>
      <c r="AL510" s="977"/>
      <c r="AM510" s="977"/>
      <c r="AN510" s="977"/>
      <c r="AO510" s="977"/>
      <c r="AP510" s="977"/>
      <c r="AQ510" s="977"/>
    </row>
    <row r="511" spans="1:43" ht="14.25" customHeight="1">
      <c r="A511" s="977"/>
      <c r="B511" s="977"/>
      <c r="C511" s="977"/>
      <c r="D511" s="977"/>
      <c r="E511" s="977"/>
      <c r="F511" s="977"/>
      <c r="G511" s="977"/>
      <c r="H511" s="977"/>
      <c r="I511" s="977"/>
      <c r="J511" s="977"/>
      <c r="K511" s="977"/>
      <c r="L511" s="977"/>
      <c r="M511" s="977"/>
      <c r="N511" s="977"/>
      <c r="O511" s="977"/>
      <c r="P511" s="977"/>
      <c r="Q511" s="977"/>
      <c r="R511" s="977"/>
      <c r="S511" s="977"/>
      <c r="T511" s="977"/>
      <c r="U511" s="977"/>
      <c r="V511" s="977"/>
      <c r="W511" s="977"/>
      <c r="X511" s="977"/>
      <c r="Y511" s="977"/>
      <c r="Z511" s="977"/>
      <c r="AA511" s="977"/>
      <c r="AB511" s="977"/>
      <c r="AC511" s="977"/>
      <c r="AD511" s="977"/>
      <c r="AE511" s="977"/>
      <c r="AF511" s="977"/>
      <c r="AG511" s="977"/>
      <c r="AH511" s="977"/>
      <c r="AI511" s="977"/>
      <c r="AJ511" s="977"/>
      <c r="AK511" s="977"/>
      <c r="AL511" s="977"/>
      <c r="AM511" s="977"/>
      <c r="AN511" s="977"/>
      <c r="AO511" s="977"/>
      <c r="AP511" s="977"/>
      <c r="AQ511" s="977"/>
    </row>
    <row r="512" spans="1:43" ht="14.25" customHeight="1">
      <c r="A512" s="977"/>
      <c r="B512" s="977"/>
      <c r="C512" s="977"/>
      <c r="D512" s="977"/>
      <c r="E512" s="977"/>
      <c r="F512" s="977"/>
      <c r="G512" s="977"/>
      <c r="H512" s="977"/>
      <c r="I512" s="977"/>
      <c r="J512" s="977"/>
      <c r="K512" s="977"/>
      <c r="L512" s="977"/>
      <c r="M512" s="977"/>
      <c r="N512" s="977"/>
      <c r="O512" s="977"/>
      <c r="P512" s="977"/>
      <c r="Q512" s="977"/>
      <c r="R512" s="977"/>
      <c r="S512" s="977"/>
      <c r="T512" s="977"/>
      <c r="U512" s="977"/>
      <c r="V512" s="977"/>
      <c r="W512" s="977"/>
      <c r="X512" s="977"/>
      <c r="Y512" s="977"/>
      <c r="Z512" s="977"/>
      <c r="AA512" s="977"/>
      <c r="AB512" s="977"/>
      <c r="AC512" s="977"/>
      <c r="AD512" s="977"/>
      <c r="AE512" s="977"/>
      <c r="AF512" s="977"/>
      <c r="AG512" s="977"/>
      <c r="AH512" s="977"/>
      <c r="AI512" s="977"/>
      <c r="AJ512" s="977"/>
      <c r="AK512" s="977"/>
      <c r="AL512" s="977"/>
      <c r="AM512" s="977"/>
      <c r="AN512" s="977"/>
      <c r="AO512" s="977"/>
      <c r="AP512" s="977"/>
      <c r="AQ512" s="977"/>
    </row>
    <row r="513" spans="1:43" ht="14.25" customHeight="1">
      <c r="A513" s="977"/>
      <c r="B513" s="977"/>
      <c r="C513" s="977"/>
      <c r="D513" s="977"/>
      <c r="E513" s="977"/>
      <c r="F513" s="977"/>
      <c r="G513" s="977"/>
      <c r="H513" s="977"/>
      <c r="I513" s="977"/>
      <c r="J513" s="977"/>
      <c r="K513" s="977"/>
      <c r="L513" s="977"/>
      <c r="M513" s="977"/>
      <c r="N513" s="977"/>
      <c r="O513" s="977"/>
      <c r="P513" s="977"/>
      <c r="Q513" s="977"/>
      <c r="R513" s="977"/>
      <c r="S513" s="977"/>
      <c r="T513" s="977"/>
      <c r="U513" s="977"/>
      <c r="V513" s="977"/>
      <c r="W513" s="977"/>
      <c r="X513" s="977"/>
      <c r="Y513" s="977"/>
      <c r="Z513" s="977"/>
      <c r="AA513" s="977"/>
      <c r="AB513" s="977"/>
      <c r="AC513" s="977"/>
      <c r="AD513" s="977"/>
      <c r="AE513" s="977"/>
      <c r="AF513" s="977"/>
      <c r="AG513" s="977"/>
      <c r="AH513" s="977"/>
      <c r="AI513" s="977"/>
      <c r="AJ513" s="977"/>
      <c r="AK513" s="977"/>
      <c r="AL513" s="977"/>
      <c r="AM513" s="977"/>
      <c r="AN513" s="977"/>
      <c r="AO513" s="977"/>
      <c r="AP513" s="977"/>
      <c r="AQ513" s="977"/>
    </row>
    <row r="514" spans="1:43" ht="14.25" customHeight="1">
      <c r="A514" s="977"/>
      <c r="B514" s="977"/>
      <c r="C514" s="977"/>
      <c r="D514" s="977"/>
      <c r="E514" s="977"/>
      <c r="F514" s="977"/>
      <c r="G514" s="977"/>
      <c r="H514" s="977"/>
      <c r="I514" s="977"/>
      <c r="J514" s="977"/>
      <c r="K514" s="977"/>
      <c r="L514" s="977"/>
      <c r="M514" s="977"/>
      <c r="N514" s="977"/>
      <c r="O514" s="977"/>
      <c r="P514" s="977"/>
      <c r="Q514" s="977"/>
      <c r="R514" s="977"/>
      <c r="S514" s="977"/>
      <c r="T514" s="977"/>
      <c r="U514" s="977"/>
      <c r="V514" s="977"/>
      <c r="W514" s="977"/>
      <c r="X514" s="977"/>
      <c r="Y514" s="977"/>
      <c r="Z514" s="977"/>
      <c r="AA514" s="977"/>
      <c r="AB514" s="977"/>
      <c r="AC514" s="977"/>
      <c r="AD514" s="977"/>
      <c r="AE514" s="977"/>
      <c r="AF514" s="977"/>
      <c r="AG514" s="977"/>
      <c r="AH514" s="977"/>
      <c r="AI514" s="977"/>
      <c r="AJ514" s="977"/>
      <c r="AK514" s="977"/>
      <c r="AL514" s="977"/>
      <c r="AM514" s="977"/>
      <c r="AN514" s="977"/>
      <c r="AO514" s="977"/>
      <c r="AP514" s="977"/>
      <c r="AQ514" s="977"/>
    </row>
    <row r="515" spans="1:43" ht="14.25" customHeight="1">
      <c r="A515" s="977"/>
      <c r="B515" s="977"/>
      <c r="C515" s="977"/>
      <c r="D515" s="977"/>
      <c r="E515" s="977"/>
      <c r="F515" s="977"/>
      <c r="G515" s="977"/>
      <c r="H515" s="977"/>
      <c r="I515" s="977"/>
      <c r="J515" s="977"/>
      <c r="K515" s="977"/>
      <c r="L515" s="977"/>
      <c r="M515" s="977"/>
      <c r="N515" s="977"/>
      <c r="O515" s="977"/>
      <c r="P515" s="977"/>
      <c r="Q515" s="977"/>
      <c r="R515" s="977"/>
      <c r="S515" s="977"/>
      <c r="T515" s="977"/>
      <c r="U515" s="977"/>
      <c r="V515" s="977"/>
      <c r="W515" s="977"/>
      <c r="X515" s="977"/>
      <c r="Y515" s="977"/>
      <c r="Z515" s="977"/>
      <c r="AA515" s="977"/>
      <c r="AB515" s="977"/>
      <c r="AC515" s="977"/>
      <c r="AD515" s="977"/>
      <c r="AE515" s="977"/>
      <c r="AF515" s="977"/>
      <c r="AG515" s="977"/>
      <c r="AH515" s="977"/>
      <c r="AI515" s="977"/>
      <c r="AJ515" s="977"/>
      <c r="AK515" s="977"/>
      <c r="AL515" s="977"/>
      <c r="AM515" s="977"/>
      <c r="AN515" s="977"/>
      <c r="AO515" s="977"/>
      <c r="AP515" s="977"/>
      <c r="AQ515" s="977"/>
    </row>
    <row r="516" spans="1:43" ht="14.25" customHeight="1">
      <c r="A516" s="977"/>
      <c r="B516" s="977"/>
      <c r="C516" s="977"/>
      <c r="D516" s="977"/>
      <c r="E516" s="977"/>
      <c r="F516" s="977"/>
      <c r="G516" s="977"/>
      <c r="H516" s="977"/>
      <c r="I516" s="977"/>
      <c r="J516" s="977"/>
      <c r="K516" s="977"/>
      <c r="L516" s="977"/>
      <c r="M516" s="977"/>
      <c r="N516" s="977"/>
      <c r="O516" s="977"/>
      <c r="P516" s="977"/>
      <c r="Q516" s="977"/>
      <c r="R516" s="977"/>
      <c r="S516" s="977"/>
      <c r="T516" s="977"/>
      <c r="U516" s="977"/>
      <c r="V516" s="977"/>
      <c r="W516" s="977"/>
      <c r="X516" s="977"/>
      <c r="Y516" s="977"/>
      <c r="Z516" s="977"/>
      <c r="AA516" s="977"/>
      <c r="AB516" s="977"/>
      <c r="AC516" s="977"/>
      <c r="AD516" s="977"/>
      <c r="AE516" s="977"/>
      <c r="AF516" s="977"/>
      <c r="AG516" s="977"/>
      <c r="AH516" s="977"/>
      <c r="AI516" s="977"/>
      <c r="AJ516" s="977"/>
      <c r="AK516" s="977"/>
      <c r="AL516" s="977"/>
      <c r="AM516" s="977"/>
      <c r="AN516" s="977"/>
      <c r="AO516" s="977"/>
      <c r="AP516" s="977"/>
      <c r="AQ516" s="977"/>
    </row>
    <row r="517" spans="1:43" ht="14.25" customHeight="1">
      <c r="A517" s="977"/>
      <c r="B517" s="977"/>
      <c r="C517" s="977"/>
      <c r="D517" s="977"/>
      <c r="E517" s="977"/>
      <c r="F517" s="977"/>
      <c r="G517" s="977"/>
      <c r="H517" s="977"/>
      <c r="I517" s="977"/>
      <c r="J517" s="977"/>
      <c r="K517" s="977"/>
      <c r="L517" s="977"/>
      <c r="M517" s="977"/>
      <c r="N517" s="977"/>
      <c r="O517" s="977"/>
      <c r="P517" s="977"/>
      <c r="Q517" s="977"/>
      <c r="R517" s="977"/>
      <c r="S517" s="977"/>
      <c r="T517" s="977"/>
      <c r="U517" s="977"/>
      <c r="V517" s="977"/>
      <c r="W517" s="977"/>
      <c r="X517" s="977"/>
      <c r="Y517" s="977"/>
      <c r="Z517" s="977"/>
      <c r="AA517" s="977"/>
      <c r="AB517" s="977"/>
      <c r="AC517" s="977"/>
      <c r="AD517" s="977"/>
      <c r="AE517" s="977"/>
      <c r="AF517" s="977"/>
      <c r="AG517" s="977"/>
      <c r="AH517" s="977"/>
      <c r="AI517" s="977"/>
      <c r="AJ517" s="977"/>
      <c r="AK517" s="977"/>
      <c r="AL517" s="977"/>
      <c r="AM517" s="977"/>
      <c r="AN517" s="977"/>
      <c r="AO517" s="977"/>
      <c r="AP517" s="977"/>
      <c r="AQ517" s="977"/>
    </row>
    <row r="518" spans="1:43" ht="14.25" customHeight="1">
      <c r="A518" s="977"/>
      <c r="B518" s="977"/>
      <c r="C518" s="977"/>
      <c r="D518" s="977"/>
      <c r="E518" s="977"/>
      <c r="F518" s="977"/>
      <c r="G518" s="977"/>
      <c r="H518" s="977"/>
      <c r="I518" s="977"/>
      <c r="J518" s="977"/>
      <c r="K518" s="977"/>
      <c r="L518" s="977"/>
      <c r="M518" s="977"/>
      <c r="N518" s="977"/>
      <c r="O518" s="977"/>
      <c r="P518" s="977"/>
      <c r="Q518" s="977"/>
      <c r="R518" s="977"/>
      <c r="S518" s="977"/>
      <c r="T518" s="977"/>
      <c r="U518" s="977"/>
      <c r="V518" s="977"/>
      <c r="W518" s="977"/>
      <c r="X518" s="977"/>
      <c r="Y518" s="977"/>
      <c r="Z518" s="977"/>
      <c r="AA518" s="977"/>
      <c r="AB518" s="977"/>
      <c r="AC518" s="977"/>
      <c r="AD518" s="977"/>
      <c r="AE518" s="977"/>
      <c r="AF518" s="977"/>
      <c r="AG518" s="977"/>
      <c r="AH518" s="977"/>
      <c r="AI518" s="977"/>
      <c r="AJ518" s="977"/>
      <c r="AK518" s="977"/>
      <c r="AL518" s="977"/>
      <c r="AM518" s="977"/>
      <c r="AN518" s="977"/>
      <c r="AO518" s="977"/>
      <c r="AP518" s="977"/>
      <c r="AQ518" s="977"/>
    </row>
    <row r="519" spans="1:43" ht="14.25" customHeight="1">
      <c r="A519" s="977"/>
      <c r="B519" s="977"/>
      <c r="C519" s="977"/>
      <c r="D519" s="977"/>
      <c r="E519" s="977"/>
      <c r="F519" s="977"/>
      <c r="G519" s="977"/>
      <c r="H519" s="977"/>
      <c r="I519" s="977"/>
      <c r="J519" s="977"/>
      <c r="K519" s="977"/>
      <c r="L519" s="977"/>
      <c r="M519" s="977"/>
      <c r="N519" s="977"/>
      <c r="O519" s="977"/>
      <c r="P519" s="977"/>
      <c r="Q519" s="977"/>
      <c r="R519" s="977"/>
      <c r="S519" s="977"/>
      <c r="T519" s="977"/>
      <c r="U519" s="977"/>
      <c r="V519" s="977"/>
      <c r="W519" s="977"/>
      <c r="X519" s="977"/>
      <c r="Y519" s="977"/>
      <c r="Z519" s="977"/>
      <c r="AA519" s="977"/>
      <c r="AB519" s="977"/>
      <c r="AC519" s="977"/>
      <c r="AD519" s="977"/>
      <c r="AE519" s="977"/>
      <c r="AF519" s="977"/>
      <c r="AG519" s="977"/>
      <c r="AH519" s="977"/>
      <c r="AI519" s="977"/>
      <c r="AJ519" s="977"/>
      <c r="AK519" s="977"/>
      <c r="AL519" s="977"/>
      <c r="AM519" s="977"/>
      <c r="AN519" s="977"/>
      <c r="AO519" s="977"/>
      <c r="AP519" s="977"/>
      <c r="AQ519" s="977"/>
    </row>
    <row r="520" spans="1:43" ht="14.25" customHeight="1">
      <c r="A520" s="977"/>
      <c r="B520" s="977"/>
      <c r="C520" s="977"/>
      <c r="D520" s="977"/>
      <c r="E520" s="977"/>
      <c r="F520" s="977"/>
      <c r="G520" s="977"/>
      <c r="H520" s="977"/>
      <c r="I520" s="977"/>
      <c r="J520" s="977"/>
      <c r="K520" s="977"/>
      <c r="L520" s="977"/>
      <c r="M520" s="977"/>
      <c r="N520" s="977"/>
      <c r="O520" s="977"/>
      <c r="P520" s="977"/>
      <c r="Q520" s="977"/>
      <c r="R520" s="977"/>
      <c r="S520" s="977"/>
      <c r="T520" s="977"/>
      <c r="U520" s="977"/>
      <c r="V520" s="977"/>
      <c r="W520" s="977"/>
      <c r="X520" s="977"/>
      <c r="Y520" s="977"/>
      <c r="Z520" s="977"/>
      <c r="AA520" s="977"/>
      <c r="AB520" s="977"/>
      <c r="AC520" s="977"/>
      <c r="AD520" s="977"/>
      <c r="AE520" s="977"/>
      <c r="AF520" s="977"/>
      <c r="AG520" s="977"/>
      <c r="AH520" s="977"/>
      <c r="AI520" s="977"/>
      <c r="AJ520" s="977"/>
      <c r="AK520" s="977"/>
      <c r="AL520" s="977"/>
      <c r="AM520" s="977"/>
      <c r="AN520" s="977"/>
      <c r="AO520" s="977"/>
      <c r="AP520" s="977"/>
      <c r="AQ520" s="977"/>
    </row>
    <row r="521" spans="1:43" ht="14.25" customHeight="1">
      <c r="A521" s="977"/>
      <c r="B521" s="977"/>
      <c r="C521" s="977"/>
      <c r="D521" s="977"/>
      <c r="E521" s="977"/>
      <c r="F521" s="977"/>
      <c r="G521" s="977"/>
      <c r="H521" s="977"/>
      <c r="I521" s="977"/>
      <c r="J521" s="977"/>
      <c r="K521" s="977"/>
      <c r="L521" s="977"/>
      <c r="M521" s="977"/>
      <c r="N521" s="977"/>
      <c r="O521" s="977"/>
      <c r="P521" s="977"/>
      <c r="Q521" s="977"/>
      <c r="R521" s="977"/>
      <c r="S521" s="977"/>
      <c r="T521" s="977"/>
      <c r="U521" s="977"/>
      <c r="V521" s="977"/>
      <c r="W521" s="977"/>
      <c r="X521" s="977"/>
      <c r="Y521" s="977"/>
      <c r="Z521" s="977"/>
      <c r="AA521" s="977"/>
      <c r="AB521" s="977"/>
      <c r="AC521" s="977"/>
      <c r="AD521" s="977"/>
      <c r="AE521" s="977"/>
      <c r="AF521" s="977"/>
      <c r="AG521" s="977"/>
      <c r="AH521" s="977"/>
      <c r="AI521" s="977"/>
      <c r="AJ521" s="977"/>
      <c r="AK521" s="977"/>
      <c r="AL521" s="977"/>
      <c r="AM521" s="977"/>
      <c r="AN521" s="977"/>
      <c r="AO521" s="977"/>
      <c r="AP521" s="977"/>
      <c r="AQ521" s="977"/>
    </row>
    <row r="522" spans="1:43" ht="14.25" customHeight="1">
      <c r="A522" s="977"/>
      <c r="B522" s="977"/>
      <c r="C522" s="977"/>
      <c r="D522" s="977"/>
      <c r="E522" s="977"/>
      <c r="F522" s="977"/>
      <c r="G522" s="977"/>
      <c r="H522" s="977"/>
      <c r="I522" s="977"/>
      <c r="J522" s="977"/>
      <c r="K522" s="977"/>
      <c r="L522" s="977"/>
      <c r="M522" s="977"/>
      <c r="N522" s="977"/>
      <c r="O522" s="977"/>
      <c r="P522" s="977"/>
      <c r="Q522" s="977"/>
      <c r="R522" s="977"/>
      <c r="S522" s="977"/>
      <c r="T522" s="977"/>
      <c r="U522" s="977"/>
      <c r="V522" s="977"/>
      <c r="W522" s="977"/>
      <c r="X522" s="977"/>
      <c r="Y522" s="977"/>
      <c r="Z522" s="977"/>
      <c r="AA522" s="977"/>
      <c r="AB522" s="977"/>
      <c r="AC522" s="977"/>
      <c r="AD522" s="977"/>
      <c r="AE522" s="977"/>
      <c r="AF522" s="977"/>
      <c r="AG522" s="977"/>
      <c r="AH522" s="977"/>
      <c r="AI522" s="977"/>
      <c r="AJ522" s="977"/>
      <c r="AK522" s="977"/>
      <c r="AL522" s="977"/>
      <c r="AM522" s="977"/>
      <c r="AN522" s="977"/>
      <c r="AO522" s="977"/>
      <c r="AP522" s="977"/>
      <c r="AQ522" s="977"/>
    </row>
    <row r="523" spans="1:43" ht="14.25" customHeight="1">
      <c r="A523" s="977"/>
      <c r="B523" s="977"/>
      <c r="C523" s="977"/>
      <c r="D523" s="977"/>
      <c r="E523" s="977"/>
      <c r="F523" s="977"/>
      <c r="G523" s="977"/>
      <c r="H523" s="977"/>
      <c r="I523" s="977"/>
      <c r="J523" s="977"/>
      <c r="K523" s="977"/>
      <c r="L523" s="977"/>
      <c r="M523" s="977"/>
      <c r="N523" s="977"/>
      <c r="O523" s="977"/>
      <c r="P523" s="977"/>
      <c r="Q523" s="977"/>
      <c r="R523" s="977"/>
      <c r="S523" s="977"/>
      <c r="T523" s="977"/>
      <c r="U523" s="977"/>
      <c r="V523" s="977"/>
      <c r="W523" s="977"/>
      <c r="X523" s="977"/>
      <c r="Y523" s="977"/>
      <c r="Z523" s="977"/>
      <c r="AA523" s="977"/>
      <c r="AB523" s="977"/>
      <c r="AC523" s="977"/>
      <c r="AD523" s="977"/>
      <c r="AE523" s="977"/>
      <c r="AF523" s="977"/>
      <c r="AG523" s="977"/>
      <c r="AH523" s="977"/>
      <c r="AI523" s="977"/>
      <c r="AJ523" s="977"/>
      <c r="AK523" s="977"/>
      <c r="AL523" s="977"/>
      <c r="AM523" s="977"/>
      <c r="AN523" s="977"/>
      <c r="AO523" s="977"/>
      <c r="AP523" s="977"/>
      <c r="AQ523" s="977"/>
    </row>
    <row r="524" spans="1:43" ht="14.25" customHeight="1">
      <c r="A524" s="977"/>
      <c r="B524" s="977"/>
      <c r="C524" s="977"/>
      <c r="D524" s="977"/>
      <c r="E524" s="977"/>
      <c r="F524" s="977"/>
      <c r="G524" s="977"/>
      <c r="H524" s="977"/>
      <c r="I524" s="977"/>
      <c r="J524" s="977"/>
      <c r="K524" s="977"/>
      <c r="L524" s="977"/>
      <c r="M524" s="977"/>
      <c r="N524" s="977"/>
      <c r="O524" s="977"/>
      <c r="P524" s="977"/>
      <c r="Q524" s="977"/>
      <c r="R524" s="977"/>
      <c r="S524" s="977"/>
      <c r="T524" s="977"/>
      <c r="U524" s="977"/>
      <c r="V524" s="977"/>
      <c r="W524" s="977"/>
      <c r="X524" s="977"/>
      <c r="Y524" s="977"/>
      <c r="Z524" s="977"/>
      <c r="AA524" s="977"/>
      <c r="AB524" s="977"/>
      <c r="AC524" s="977"/>
      <c r="AD524" s="977"/>
      <c r="AE524" s="977"/>
      <c r="AF524" s="977"/>
      <c r="AG524" s="977"/>
      <c r="AH524" s="977"/>
      <c r="AI524" s="977"/>
      <c r="AJ524" s="977"/>
      <c r="AK524" s="977"/>
      <c r="AL524" s="977"/>
      <c r="AM524" s="977"/>
      <c r="AN524" s="977"/>
      <c r="AO524" s="977"/>
      <c r="AP524" s="977"/>
      <c r="AQ524" s="977"/>
    </row>
    <row r="525" spans="1:43" ht="14.25" customHeight="1">
      <c r="A525" s="977"/>
      <c r="B525" s="977"/>
      <c r="C525" s="977"/>
      <c r="D525" s="977"/>
      <c r="E525" s="977"/>
      <c r="F525" s="977"/>
      <c r="G525" s="977"/>
      <c r="H525" s="977"/>
      <c r="I525" s="977"/>
      <c r="J525" s="977"/>
      <c r="K525" s="977"/>
      <c r="L525" s="977"/>
      <c r="M525" s="977"/>
      <c r="N525" s="977"/>
      <c r="O525" s="977"/>
      <c r="P525" s="977"/>
      <c r="Q525" s="977"/>
      <c r="R525" s="977"/>
      <c r="S525" s="977"/>
      <c r="T525" s="977"/>
      <c r="U525" s="977"/>
      <c r="V525" s="977"/>
      <c r="W525" s="977"/>
      <c r="X525" s="977"/>
      <c r="Y525" s="977"/>
      <c r="Z525" s="977"/>
      <c r="AA525" s="977"/>
      <c r="AB525" s="977"/>
      <c r="AC525" s="977"/>
      <c r="AD525" s="977"/>
      <c r="AE525" s="977"/>
      <c r="AF525" s="977"/>
      <c r="AG525" s="977"/>
      <c r="AH525" s="977"/>
      <c r="AI525" s="977"/>
      <c r="AJ525" s="977"/>
      <c r="AK525" s="977"/>
      <c r="AL525" s="977"/>
      <c r="AM525" s="977"/>
      <c r="AN525" s="977"/>
      <c r="AO525" s="977"/>
      <c r="AP525" s="977"/>
      <c r="AQ525" s="977"/>
    </row>
    <row r="526" spans="1:43" ht="14.25" customHeight="1">
      <c r="A526" s="977"/>
      <c r="B526" s="977"/>
      <c r="C526" s="977"/>
      <c r="D526" s="977"/>
      <c r="E526" s="977"/>
      <c r="F526" s="977"/>
      <c r="G526" s="977"/>
      <c r="H526" s="977"/>
      <c r="I526" s="977"/>
      <c r="J526" s="977"/>
      <c r="K526" s="977"/>
      <c r="L526" s="977"/>
      <c r="M526" s="977"/>
      <c r="N526" s="977"/>
      <c r="O526" s="977"/>
      <c r="P526" s="977"/>
      <c r="Q526" s="977"/>
      <c r="R526" s="977"/>
      <c r="S526" s="977"/>
      <c r="T526" s="977"/>
      <c r="U526" s="977"/>
      <c r="V526" s="977"/>
      <c r="W526" s="977"/>
      <c r="X526" s="977"/>
      <c r="Y526" s="977"/>
      <c r="Z526" s="977"/>
      <c r="AA526" s="977"/>
      <c r="AB526" s="977"/>
      <c r="AC526" s="977"/>
      <c r="AD526" s="977"/>
      <c r="AE526" s="977"/>
      <c r="AF526" s="977"/>
      <c r="AG526" s="977"/>
      <c r="AH526" s="977"/>
      <c r="AI526" s="977"/>
      <c r="AJ526" s="977"/>
      <c r="AK526" s="977"/>
      <c r="AL526" s="977"/>
      <c r="AM526" s="977"/>
      <c r="AN526" s="977"/>
      <c r="AO526" s="977"/>
      <c r="AP526" s="977"/>
      <c r="AQ526" s="977"/>
    </row>
    <row r="527" spans="1:43" ht="14.25" customHeight="1">
      <c r="A527" s="977"/>
      <c r="B527" s="977"/>
      <c r="C527" s="977"/>
      <c r="D527" s="977"/>
      <c r="E527" s="977"/>
      <c r="F527" s="977"/>
      <c r="G527" s="977"/>
      <c r="H527" s="977"/>
      <c r="I527" s="977"/>
      <c r="J527" s="977"/>
      <c r="K527" s="977"/>
      <c r="L527" s="977"/>
      <c r="M527" s="977"/>
      <c r="N527" s="977"/>
      <c r="O527" s="977"/>
      <c r="P527" s="977"/>
      <c r="Q527" s="977"/>
      <c r="R527" s="977"/>
      <c r="S527" s="977"/>
      <c r="T527" s="977"/>
      <c r="U527" s="977"/>
      <c r="V527" s="977"/>
      <c r="W527" s="977"/>
      <c r="X527" s="977"/>
      <c r="Y527" s="977"/>
      <c r="Z527" s="977"/>
      <c r="AA527" s="977"/>
      <c r="AB527" s="977"/>
      <c r="AC527" s="977"/>
      <c r="AD527" s="977"/>
      <c r="AE527" s="977"/>
      <c r="AF527" s="977"/>
      <c r="AG527" s="977"/>
      <c r="AH527" s="977"/>
      <c r="AI527" s="977"/>
      <c r="AJ527" s="977"/>
      <c r="AK527" s="977"/>
      <c r="AL527" s="977"/>
      <c r="AM527" s="977"/>
      <c r="AN527" s="977"/>
      <c r="AO527" s="977"/>
      <c r="AP527" s="977"/>
      <c r="AQ527" s="977"/>
    </row>
    <row r="528" spans="1:43" ht="14.25" customHeight="1">
      <c r="A528" s="977"/>
      <c r="B528" s="977"/>
      <c r="C528" s="977"/>
      <c r="D528" s="977"/>
      <c r="E528" s="977"/>
      <c r="F528" s="977"/>
      <c r="G528" s="977"/>
      <c r="H528" s="977"/>
      <c r="I528" s="977"/>
      <c r="J528" s="977"/>
      <c r="K528" s="977"/>
      <c r="L528" s="977"/>
      <c r="M528" s="977"/>
      <c r="N528" s="977"/>
      <c r="O528" s="977"/>
      <c r="P528" s="977"/>
      <c r="Q528" s="977"/>
      <c r="R528" s="977"/>
      <c r="S528" s="977"/>
      <c r="T528" s="977"/>
      <c r="U528" s="977"/>
      <c r="V528" s="977"/>
      <c r="W528" s="977"/>
      <c r="X528" s="977"/>
      <c r="Y528" s="977"/>
      <c r="Z528" s="977"/>
      <c r="AA528" s="977"/>
      <c r="AB528" s="977"/>
      <c r="AC528" s="977"/>
      <c r="AD528" s="977"/>
      <c r="AE528" s="977"/>
      <c r="AF528" s="977"/>
      <c r="AG528" s="977"/>
      <c r="AH528" s="977"/>
      <c r="AI528" s="977"/>
      <c r="AJ528" s="977"/>
      <c r="AK528" s="977"/>
      <c r="AL528" s="977"/>
      <c r="AM528" s="977"/>
      <c r="AN528" s="977"/>
      <c r="AO528" s="977"/>
      <c r="AP528" s="977"/>
      <c r="AQ528" s="977"/>
    </row>
    <row r="529" spans="1:43" ht="14.25" customHeight="1">
      <c r="A529" s="977"/>
      <c r="B529" s="977"/>
      <c r="C529" s="977"/>
      <c r="D529" s="977"/>
      <c r="E529" s="977"/>
      <c r="F529" s="977"/>
      <c r="G529" s="977"/>
      <c r="H529" s="977"/>
      <c r="I529" s="977"/>
      <c r="J529" s="977"/>
      <c r="K529" s="977"/>
      <c r="L529" s="977"/>
      <c r="M529" s="977"/>
      <c r="N529" s="977"/>
      <c r="O529" s="977"/>
      <c r="P529" s="977"/>
      <c r="Q529" s="977"/>
      <c r="R529" s="977"/>
      <c r="S529" s="977"/>
      <c r="T529" s="977"/>
      <c r="U529" s="977"/>
      <c r="V529" s="977"/>
      <c r="W529" s="977"/>
      <c r="X529" s="977"/>
      <c r="Y529" s="977"/>
      <c r="Z529" s="977"/>
      <c r="AA529" s="977"/>
      <c r="AB529" s="977"/>
      <c r="AC529" s="977"/>
      <c r="AD529" s="977"/>
      <c r="AE529" s="977"/>
      <c r="AF529" s="977"/>
      <c r="AG529" s="977"/>
      <c r="AH529" s="977"/>
      <c r="AI529" s="977"/>
      <c r="AJ529" s="977"/>
      <c r="AK529" s="977"/>
      <c r="AL529" s="977"/>
      <c r="AM529" s="977"/>
      <c r="AN529" s="977"/>
      <c r="AO529" s="977"/>
      <c r="AP529" s="977"/>
      <c r="AQ529" s="977"/>
    </row>
    <row r="530" spans="1:43" ht="14.25" customHeight="1">
      <c r="A530" s="977"/>
      <c r="B530" s="977"/>
      <c r="C530" s="977"/>
      <c r="D530" s="977"/>
      <c r="E530" s="977"/>
      <c r="F530" s="977"/>
      <c r="G530" s="977"/>
      <c r="H530" s="977"/>
      <c r="I530" s="977"/>
      <c r="J530" s="977"/>
      <c r="K530" s="977"/>
      <c r="L530" s="977"/>
      <c r="M530" s="977"/>
      <c r="N530" s="977"/>
      <c r="O530" s="977"/>
      <c r="P530" s="977"/>
      <c r="Q530" s="977"/>
      <c r="R530" s="977"/>
      <c r="S530" s="977"/>
      <c r="T530" s="977"/>
      <c r="U530" s="977"/>
      <c r="V530" s="977"/>
      <c r="W530" s="977"/>
      <c r="X530" s="977"/>
      <c r="Y530" s="977"/>
      <c r="Z530" s="977"/>
      <c r="AA530" s="977"/>
      <c r="AB530" s="977"/>
      <c r="AC530" s="977"/>
      <c r="AD530" s="977"/>
      <c r="AE530" s="977"/>
      <c r="AF530" s="977"/>
      <c r="AG530" s="977"/>
      <c r="AH530" s="977"/>
      <c r="AI530" s="977"/>
      <c r="AJ530" s="977"/>
      <c r="AK530" s="977"/>
      <c r="AL530" s="977"/>
      <c r="AM530" s="977"/>
      <c r="AN530" s="977"/>
      <c r="AO530" s="977"/>
      <c r="AP530" s="977"/>
      <c r="AQ530" s="977"/>
    </row>
    <row r="531" spans="1:43" ht="14.25" customHeight="1">
      <c r="A531" s="977"/>
      <c r="B531" s="977"/>
      <c r="C531" s="977"/>
      <c r="D531" s="977"/>
      <c r="E531" s="977"/>
      <c r="F531" s="977"/>
      <c r="G531" s="977"/>
      <c r="H531" s="977"/>
      <c r="I531" s="977"/>
      <c r="J531" s="977"/>
      <c r="K531" s="977"/>
      <c r="L531" s="977"/>
      <c r="M531" s="977"/>
      <c r="N531" s="977"/>
      <c r="O531" s="977"/>
      <c r="P531" s="977"/>
      <c r="Q531" s="977"/>
      <c r="R531" s="977"/>
      <c r="S531" s="977"/>
      <c r="T531" s="977"/>
      <c r="U531" s="977"/>
      <c r="V531" s="977"/>
      <c r="W531" s="977"/>
      <c r="X531" s="977"/>
      <c r="Y531" s="977"/>
      <c r="Z531" s="977"/>
      <c r="AA531" s="977"/>
      <c r="AB531" s="977"/>
      <c r="AC531" s="977"/>
      <c r="AD531" s="977"/>
      <c r="AE531" s="977"/>
      <c r="AF531" s="977"/>
      <c r="AG531" s="977"/>
      <c r="AH531" s="977"/>
      <c r="AI531" s="977"/>
      <c r="AJ531" s="977"/>
      <c r="AK531" s="977"/>
      <c r="AL531" s="977"/>
      <c r="AM531" s="977"/>
      <c r="AN531" s="977"/>
      <c r="AO531" s="977"/>
      <c r="AP531" s="977"/>
      <c r="AQ531" s="977"/>
    </row>
    <row r="532" spans="1:43" ht="14.25" customHeight="1">
      <c r="A532" s="977"/>
      <c r="B532" s="977"/>
      <c r="C532" s="977"/>
      <c r="D532" s="977"/>
      <c r="E532" s="977"/>
      <c r="F532" s="977"/>
      <c r="G532" s="977"/>
      <c r="H532" s="977"/>
      <c r="I532" s="977"/>
      <c r="J532" s="977"/>
      <c r="K532" s="977"/>
      <c r="L532" s="977"/>
      <c r="M532" s="977"/>
      <c r="N532" s="977"/>
      <c r="O532" s="977"/>
      <c r="P532" s="977"/>
      <c r="Q532" s="977"/>
      <c r="R532" s="977"/>
      <c r="S532" s="977"/>
      <c r="T532" s="977"/>
      <c r="U532" s="977"/>
      <c r="V532" s="977"/>
      <c r="W532" s="977"/>
      <c r="X532" s="977"/>
      <c r="Y532" s="977"/>
      <c r="Z532" s="977"/>
      <c r="AA532" s="977"/>
      <c r="AB532" s="977"/>
      <c r="AC532" s="977"/>
      <c r="AD532" s="977"/>
      <c r="AE532" s="977"/>
      <c r="AF532" s="977"/>
      <c r="AG532" s="977"/>
      <c r="AH532" s="977"/>
      <c r="AI532" s="977"/>
      <c r="AJ532" s="977"/>
      <c r="AK532" s="977"/>
      <c r="AL532" s="977"/>
      <c r="AM532" s="977"/>
      <c r="AN532" s="977"/>
      <c r="AO532" s="977"/>
      <c r="AP532" s="977"/>
      <c r="AQ532" s="977"/>
    </row>
    <row r="533" spans="1:43" ht="14.25" customHeight="1">
      <c r="A533" s="977"/>
      <c r="B533" s="977"/>
      <c r="C533" s="977"/>
      <c r="D533" s="977"/>
      <c r="E533" s="977"/>
      <c r="F533" s="977"/>
      <c r="G533" s="977"/>
      <c r="H533" s="977"/>
      <c r="I533" s="977"/>
      <c r="J533" s="977"/>
      <c r="K533" s="977"/>
      <c r="L533" s="977"/>
      <c r="M533" s="977"/>
      <c r="N533" s="977"/>
      <c r="O533" s="977"/>
      <c r="P533" s="977"/>
      <c r="Q533" s="977"/>
      <c r="R533" s="977"/>
      <c r="S533" s="977"/>
      <c r="T533" s="977"/>
      <c r="U533" s="977"/>
      <c r="V533" s="977"/>
      <c r="W533" s="977"/>
      <c r="X533" s="977"/>
      <c r="Y533" s="977"/>
      <c r="Z533" s="977"/>
      <c r="AA533" s="977"/>
      <c r="AB533" s="977"/>
      <c r="AC533" s="977"/>
      <c r="AD533" s="977"/>
      <c r="AE533" s="977"/>
      <c r="AF533" s="977"/>
      <c r="AG533" s="977"/>
      <c r="AH533" s="977"/>
      <c r="AI533" s="977"/>
      <c r="AJ533" s="977"/>
      <c r="AK533" s="977"/>
      <c r="AL533" s="977"/>
      <c r="AM533" s="977"/>
      <c r="AN533" s="977"/>
      <c r="AO533" s="977"/>
      <c r="AP533" s="977"/>
      <c r="AQ533" s="977"/>
    </row>
    <row r="534" spans="1:43" ht="14.25" customHeight="1">
      <c r="A534" s="977"/>
      <c r="B534" s="977"/>
      <c r="C534" s="977"/>
      <c r="D534" s="977"/>
      <c r="E534" s="977"/>
      <c r="F534" s="977"/>
      <c r="G534" s="977"/>
      <c r="H534" s="977"/>
      <c r="I534" s="977"/>
      <c r="J534" s="977"/>
      <c r="K534" s="977"/>
      <c r="L534" s="977"/>
      <c r="M534" s="977"/>
      <c r="N534" s="977"/>
      <c r="O534" s="977"/>
      <c r="P534" s="977"/>
      <c r="Q534" s="977"/>
      <c r="R534" s="977"/>
      <c r="S534" s="977"/>
      <c r="T534" s="977"/>
      <c r="U534" s="977"/>
      <c r="V534" s="977"/>
      <c r="W534" s="977"/>
      <c r="X534" s="977"/>
      <c r="Y534" s="977"/>
      <c r="Z534" s="977"/>
      <c r="AA534" s="977"/>
      <c r="AB534" s="977"/>
      <c r="AC534" s="977"/>
      <c r="AD534" s="977"/>
      <c r="AE534" s="977"/>
      <c r="AF534" s="977"/>
      <c r="AG534" s="977"/>
      <c r="AH534" s="977"/>
      <c r="AI534" s="977"/>
      <c r="AJ534" s="977"/>
      <c r="AK534" s="977"/>
      <c r="AL534" s="977"/>
      <c r="AM534" s="977"/>
      <c r="AN534" s="977"/>
      <c r="AO534" s="977"/>
      <c r="AP534" s="977"/>
      <c r="AQ534" s="977"/>
    </row>
    <row r="535" spans="1:43" ht="14.25" customHeight="1">
      <c r="A535" s="977"/>
      <c r="B535" s="977"/>
      <c r="C535" s="977"/>
      <c r="D535" s="977"/>
      <c r="E535" s="977"/>
      <c r="F535" s="977"/>
      <c r="G535" s="977"/>
      <c r="H535" s="977"/>
      <c r="I535" s="977"/>
      <c r="J535" s="977"/>
      <c r="K535" s="977"/>
      <c r="L535" s="977"/>
      <c r="M535" s="977"/>
      <c r="N535" s="977"/>
      <c r="O535" s="977"/>
      <c r="P535" s="977"/>
      <c r="Q535" s="977"/>
      <c r="R535" s="977"/>
      <c r="S535" s="977"/>
      <c r="T535" s="977"/>
      <c r="U535" s="977"/>
      <c r="V535" s="977"/>
      <c r="W535" s="977"/>
      <c r="X535" s="977"/>
      <c r="Y535" s="977"/>
      <c r="Z535" s="977"/>
      <c r="AA535" s="977"/>
      <c r="AB535" s="977"/>
      <c r="AC535" s="977"/>
      <c r="AD535" s="977"/>
      <c r="AE535" s="977"/>
      <c r="AF535" s="977"/>
      <c r="AG535" s="977"/>
      <c r="AH535" s="977"/>
      <c r="AI535" s="977"/>
      <c r="AJ535" s="977"/>
      <c r="AK535" s="977"/>
      <c r="AL535" s="977"/>
      <c r="AM535" s="977"/>
      <c r="AN535" s="977"/>
      <c r="AO535" s="977"/>
      <c r="AP535" s="977"/>
      <c r="AQ535" s="977"/>
    </row>
    <row r="536" spans="1:43" ht="14.25" customHeight="1">
      <c r="A536" s="977"/>
      <c r="B536" s="977"/>
      <c r="C536" s="977"/>
      <c r="D536" s="977"/>
      <c r="E536" s="977"/>
      <c r="F536" s="977"/>
      <c r="G536" s="977"/>
      <c r="H536" s="977"/>
      <c r="I536" s="977"/>
      <c r="J536" s="977"/>
      <c r="K536" s="977"/>
      <c r="L536" s="977"/>
      <c r="M536" s="977"/>
      <c r="N536" s="977"/>
      <c r="O536" s="977"/>
      <c r="P536" s="977"/>
      <c r="Q536" s="977"/>
      <c r="R536" s="977"/>
      <c r="S536" s="977"/>
      <c r="T536" s="977"/>
      <c r="U536" s="977"/>
      <c r="V536" s="977"/>
      <c r="W536" s="977"/>
      <c r="X536" s="977"/>
      <c r="Y536" s="977"/>
      <c r="Z536" s="977"/>
      <c r="AA536" s="977"/>
      <c r="AB536" s="977"/>
      <c r="AC536" s="977"/>
      <c r="AD536" s="977"/>
      <c r="AE536" s="977"/>
      <c r="AF536" s="977"/>
      <c r="AG536" s="977"/>
      <c r="AH536" s="977"/>
      <c r="AI536" s="977"/>
      <c r="AJ536" s="977"/>
      <c r="AK536" s="977"/>
      <c r="AL536" s="977"/>
      <c r="AM536" s="977"/>
      <c r="AN536" s="977"/>
      <c r="AO536" s="977"/>
      <c r="AP536" s="977"/>
      <c r="AQ536" s="977"/>
    </row>
    <row r="537" spans="1:43" ht="14.25" customHeight="1">
      <c r="A537" s="977"/>
      <c r="B537" s="977"/>
      <c r="C537" s="977"/>
      <c r="D537" s="977"/>
      <c r="E537" s="977"/>
      <c r="F537" s="977"/>
      <c r="G537" s="977"/>
      <c r="H537" s="977"/>
      <c r="I537" s="977"/>
      <c r="J537" s="977"/>
      <c r="K537" s="977"/>
      <c r="L537" s="977"/>
      <c r="M537" s="977"/>
      <c r="N537" s="977"/>
      <c r="O537" s="977"/>
      <c r="P537" s="977"/>
      <c r="Q537" s="977"/>
      <c r="R537" s="977"/>
      <c r="S537" s="977"/>
      <c r="T537" s="977"/>
      <c r="U537" s="977"/>
      <c r="V537" s="977"/>
      <c r="W537" s="977"/>
      <c r="X537" s="977"/>
      <c r="Y537" s="977"/>
      <c r="Z537" s="977"/>
      <c r="AA537" s="977"/>
      <c r="AB537" s="977"/>
      <c r="AC537" s="977"/>
      <c r="AD537" s="977"/>
      <c r="AE537" s="977"/>
      <c r="AF537" s="977"/>
      <c r="AG537" s="977"/>
      <c r="AH537" s="977"/>
      <c r="AI537" s="977"/>
      <c r="AJ537" s="977"/>
      <c r="AK537" s="977"/>
      <c r="AL537" s="977"/>
      <c r="AM537" s="977"/>
      <c r="AN537" s="977"/>
      <c r="AO537" s="977"/>
      <c r="AP537" s="977"/>
      <c r="AQ537" s="977"/>
    </row>
    <row r="538" spans="1:43" ht="14.25" customHeight="1">
      <c r="A538" s="977"/>
      <c r="B538" s="977"/>
      <c r="C538" s="977"/>
      <c r="D538" s="977"/>
      <c r="E538" s="977"/>
      <c r="F538" s="977"/>
      <c r="G538" s="977"/>
      <c r="H538" s="977"/>
      <c r="I538" s="977"/>
      <c r="J538" s="977"/>
      <c r="K538" s="977"/>
      <c r="L538" s="977"/>
      <c r="M538" s="977"/>
      <c r="N538" s="977"/>
      <c r="O538" s="977"/>
      <c r="P538" s="977"/>
      <c r="Q538" s="977"/>
      <c r="R538" s="977"/>
      <c r="S538" s="977"/>
      <c r="T538" s="977"/>
      <c r="U538" s="977"/>
      <c r="V538" s="977"/>
      <c r="W538" s="977"/>
      <c r="X538" s="977"/>
      <c r="Y538" s="977"/>
      <c r="Z538" s="977"/>
      <c r="AA538" s="977"/>
      <c r="AB538" s="977"/>
      <c r="AC538" s="977"/>
      <c r="AD538" s="977"/>
      <c r="AE538" s="977"/>
      <c r="AF538" s="977"/>
      <c r="AG538" s="977"/>
      <c r="AH538" s="977"/>
      <c r="AI538" s="977"/>
      <c r="AJ538" s="977"/>
      <c r="AK538" s="977"/>
      <c r="AL538" s="977"/>
      <c r="AM538" s="977"/>
      <c r="AN538" s="977"/>
      <c r="AO538" s="977"/>
      <c r="AP538" s="977"/>
      <c r="AQ538" s="977"/>
    </row>
    <row r="539" spans="1:43" ht="14.25" customHeight="1">
      <c r="A539" s="977"/>
      <c r="B539" s="977"/>
      <c r="C539" s="977"/>
      <c r="D539" s="977"/>
      <c r="E539" s="977"/>
      <c r="F539" s="977"/>
      <c r="G539" s="977"/>
      <c r="H539" s="977"/>
      <c r="I539" s="977"/>
      <c r="J539" s="977"/>
      <c r="K539" s="977"/>
      <c r="L539" s="977"/>
      <c r="M539" s="977"/>
      <c r="N539" s="977"/>
      <c r="O539" s="977"/>
      <c r="P539" s="977"/>
      <c r="Q539" s="977"/>
      <c r="R539" s="977"/>
      <c r="S539" s="977"/>
      <c r="T539" s="977"/>
      <c r="U539" s="977"/>
      <c r="V539" s="977"/>
      <c r="W539" s="977"/>
      <c r="X539" s="977"/>
      <c r="Y539" s="977"/>
      <c r="Z539" s="977"/>
      <c r="AA539" s="977"/>
      <c r="AB539" s="977"/>
      <c r="AC539" s="977"/>
      <c r="AD539" s="977"/>
      <c r="AE539" s="977"/>
      <c r="AF539" s="977"/>
      <c r="AG539" s="977"/>
      <c r="AH539" s="977"/>
      <c r="AI539" s="977"/>
      <c r="AJ539" s="977"/>
      <c r="AK539" s="977"/>
      <c r="AL539" s="977"/>
      <c r="AM539" s="977"/>
      <c r="AN539" s="977"/>
      <c r="AO539" s="977"/>
      <c r="AP539" s="977"/>
      <c r="AQ539" s="977"/>
    </row>
    <row r="540" spans="1:43" ht="14.25" customHeight="1">
      <c r="A540" s="977"/>
      <c r="B540" s="977"/>
      <c r="C540" s="977"/>
      <c r="D540" s="977"/>
      <c r="E540" s="977"/>
      <c r="F540" s="977"/>
      <c r="G540" s="977"/>
      <c r="H540" s="977"/>
      <c r="I540" s="977"/>
      <c r="J540" s="977"/>
      <c r="K540" s="977"/>
      <c r="L540" s="977"/>
      <c r="M540" s="977"/>
      <c r="N540" s="977"/>
      <c r="O540" s="977"/>
      <c r="P540" s="977"/>
      <c r="Q540" s="977"/>
      <c r="R540" s="977"/>
      <c r="S540" s="977"/>
      <c r="T540" s="977"/>
      <c r="U540" s="977"/>
      <c r="V540" s="977"/>
      <c r="W540" s="977"/>
      <c r="X540" s="977"/>
      <c r="Y540" s="977"/>
      <c r="Z540" s="977"/>
      <c r="AA540" s="977"/>
      <c r="AB540" s="977"/>
      <c r="AC540" s="977"/>
      <c r="AD540" s="977"/>
      <c r="AE540" s="977"/>
      <c r="AF540" s="977"/>
      <c r="AG540" s="977"/>
      <c r="AH540" s="977"/>
      <c r="AI540" s="977"/>
      <c r="AJ540" s="977"/>
      <c r="AK540" s="977"/>
      <c r="AL540" s="977"/>
      <c r="AM540" s="977"/>
      <c r="AN540" s="977"/>
      <c r="AO540" s="977"/>
      <c r="AP540" s="977"/>
      <c r="AQ540" s="977"/>
    </row>
    <row r="541" spans="1:43" ht="14.25" customHeight="1">
      <c r="A541" s="977"/>
      <c r="B541" s="977"/>
      <c r="C541" s="977"/>
      <c r="D541" s="977"/>
      <c r="E541" s="977"/>
      <c r="F541" s="977"/>
      <c r="G541" s="977"/>
      <c r="H541" s="977"/>
      <c r="I541" s="977"/>
      <c r="J541" s="977"/>
      <c r="K541" s="977"/>
      <c r="L541" s="977"/>
      <c r="M541" s="977"/>
      <c r="N541" s="977"/>
      <c r="O541" s="977"/>
      <c r="P541" s="977"/>
      <c r="Q541" s="977"/>
      <c r="R541" s="977"/>
      <c r="S541" s="977"/>
      <c r="T541" s="977"/>
      <c r="U541" s="977"/>
      <c r="V541" s="977"/>
      <c r="W541" s="977"/>
      <c r="X541" s="977"/>
      <c r="Y541" s="977"/>
      <c r="Z541" s="977"/>
      <c r="AA541" s="977"/>
      <c r="AB541" s="977"/>
      <c r="AC541" s="977"/>
      <c r="AD541" s="977"/>
      <c r="AE541" s="977"/>
      <c r="AF541" s="977"/>
      <c r="AG541" s="977"/>
      <c r="AH541" s="977"/>
      <c r="AI541" s="977"/>
      <c r="AJ541" s="977"/>
      <c r="AK541" s="977"/>
      <c r="AL541" s="977"/>
      <c r="AM541" s="977"/>
      <c r="AN541" s="977"/>
      <c r="AO541" s="977"/>
      <c r="AP541" s="977"/>
      <c r="AQ541" s="977"/>
    </row>
    <row r="542" spans="1:43" ht="14.25" customHeight="1">
      <c r="A542" s="977"/>
      <c r="B542" s="977"/>
      <c r="C542" s="977"/>
      <c r="D542" s="977"/>
      <c r="E542" s="977"/>
      <c r="F542" s="977"/>
      <c r="G542" s="977"/>
      <c r="H542" s="977"/>
      <c r="I542" s="977"/>
      <c r="J542" s="977"/>
      <c r="K542" s="977"/>
      <c r="L542" s="977"/>
      <c r="M542" s="977"/>
      <c r="N542" s="977"/>
      <c r="O542" s="977"/>
      <c r="P542" s="977"/>
      <c r="Q542" s="977"/>
      <c r="R542" s="977"/>
      <c r="S542" s="977"/>
      <c r="T542" s="977"/>
      <c r="U542" s="977"/>
      <c r="V542" s="977"/>
      <c r="W542" s="977"/>
      <c r="X542" s="977"/>
      <c r="Y542" s="977"/>
      <c r="Z542" s="977"/>
      <c r="AA542" s="977"/>
      <c r="AB542" s="977"/>
      <c r="AC542" s="977"/>
      <c r="AD542" s="977"/>
      <c r="AE542" s="977"/>
      <c r="AF542" s="977"/>
      <c r="AG542" s="977"/>
      <c r="AH542" s="977"/>
      <c r="AI542" s="977"/>
      <c r="AJ542" s="977"/>
      <c r="AK542" s="977"/>
      <c r="AL542" s="977"/>
      <c r="AM542" s="977"/>
      <c r="AN542" s="977"/>
      <c r="AO542" s="977"/>
      <c r="AP542" s="977"/>
      <c r="AQ542" s="977"/>
    </row>
    <row r="543" spans="1:43" ht="14.25" customHeight="1">
      <c r="A543" s="977"/>
      <c r="B543" s="977"/>
      <c r="C543" s="977"/>
      <c r="D543" s="977"/>
      <c r="E543" s="977"/>
      <c r="F543" s="977"/>
      <c r="G543" s="977"/>
      <c r="H543" s="977"/>
      <c r="I543" s="977"/>
      <c r="J543" s="977"/>
      <c r="K543" s="977"/>
      <c r="L543" s="977"/>
      <c r="M543" s="977"/>
      <c r="N543" s="977"/>
      <c r="O543" s="977"/>
      <c r="P543" s="977"/>
      <c r="Q543" s="977"/>
      <c r="R543" s="977"/>
      <c r="S543" s="977"/>
      <c r="T543" s="977"/>
      <c r="U543" s="977"/>
      <c r="V543" s="977"/>
      <c r="W543" s="977"/>
      <c r="X543" s="977"/>
      <c r="Y543" s="977"/>
      <c r="Z543" s="977"/>
      <c r="AA543" s="977"/>
      <c r="AB543" s="977"/>
      <c r="AC543" s="977"/>
      <c r="AD543" s="977"/>
      <c r="AE543" s="977"/>
      <c r="AF543" s="977"/>
      <c r="AG543" s="977"/>
      <c r="AH543" s="977"/>
      <c r="AI543" s="977"/>
      <c r="AJ543" s="977"/>
      <c r="AK543" s="977"/>
      <c r="AL543" s="977"/>
      <c r="AM543" s="977"/>
      <c r="AN543" s="977"/>
      <c r="AO543" s="977"/>
      <c r="AP543" s="977"/>
      <c r="AQ543" s="977"/>
    </row>
    <row r="544" spans="1:43" ht="14.25" customHeight="1">
      <c r="A544" s="977"/>
      <c r="B544" s="977"/>
      <c r="C544" s="977"/>
      <c r="D544" s="977"/>
      <c r="E544" s="977"/>
      <c r="F544" s="977"/>
      <c r="G544" s="977"/>
      <c r="H544" s="977"/>
      <c r="I544" s="977"/>
      <c r="J544" s="977"/>
      <c r="K544" s="977"/>
      <c r="L544" s="977"/>
      <c r="M544" s="977"/>
      <c r="N544" s="977"/>
      <c r="O544" s="977"/>
      <c r="P544" s="977"/>
      <c r="Q544" s="977"/>
      <c r="R544" s="977"/>
      <c r="S544" s="977"/>
      <c r="T544" s="977"/>
      <c r="U544" s="977"/>
      <c r="V544" s="977"/>
      <c r="W544" s="977"/>
      <c r="X544" s="977"/>
      <c r="Y544" s="977"/>
      <c r="Z544" s="977"/>
      <c r="AA544" s="977"/>
      <c r="AB544" s="977"/>
      <c r="AC544" s="977"/>
      <c r="AD544" s="977"/>
      <c r="AE544" s="977"/>
      <c r="AF544" s="977"/>
      <c r="AG544" s="977"/>
      <c r="AH544" s="977"/>
      <c r="AI544" s="977"/>
      <c r="AJ544" s="977"/>
      <c r="AK544" s="977"/>
      <c r="AL544" s="977"/>
      <c r="AM544" s="977"/>
      <c r="AN544" s="977"/>
      <c r="AO544" s="977"/>
      <c r="AP544" s="977"/>
      <c r="AQ544" s="977"/>
    </row>
    <row r="545" spans="1:43" ht="14.25" customHeight="1">
      <c r="A545" s="977"/>
      <c r="B545" s="977"/>
      <c r="C545" s="977"/>
      <c r="D545" s="977"/>
      <c r="E545" s="977"/>
      <c r="F545" s="977"/>
      <c r="G545" s="977"/>
      <c r="H545" s="977"/>
      <c r="I545" s="977"/>
      <c r="J545" s="977"/>
      <c r="K545" s="977"/>
      <c r="L545" s="977"/>
      <c r="M545" s="977"/>
      <c r="N545" s="977"/>
      <c r="O545" s="977"/>
      <c r="P545" s="977"/>
      <c r="Q545" s="977"/>
      <c r="R545" s="977"/>
      <c r="S545" s="977"/>
      <c r="T545" s="977"/>
      <c r="U545" s="977"/>
      <c r="V545" s="977"/>
      <c r="W545" s="977"/>
      <c r="X545" s="977"/>
      <c r="Y545" s="977"/>
      <c r="Z545" s="977"/>
      <c r="AA545" s="977"/>
      <c r="AB545" s="977"/>
      <c r="AC545" s="977"/>
      <c r="AD545" s="977"/>
      <c r="AE545" s="977"/>
      <c r="AF545" s="977"/>
      <c r="AG545" s="977"/>
      <c r="AH545" s="977"/>
      <c r="AI545" s="977"/>
      <c r="AJ545" s="977"/>
      <c r="AK545" s="977"/>
      <c r="AL545" s="977"/>
      <c r="AM545" s="977"/>
      <c r="AN545" s="977"/>
      <c r="AO545" s="977"/>
      <c r="AP545" s="977"/>
      <c r="AQ545" s="977"/>
    </row>
    <row r="546" spans="1:43" ht="14.25" customHeight="1">
      <c r="A546" s="977"/>
      <c r="B546" s="977"/>
      <c r="C546" s="977"/>
      <c r="D546" s="977"/>
      <c r="E546" s="977"/>
      <c r="F546" s="977"/>
      <c r="G546" s="977"/>
      <c r="H546" s="977"/>
      <c r="I546" s="977"/>
      <c r="J546" s="977"/>
      <c r="K546" s="977"/>
      <c r="L546" s="977"/>
      <c r="M546" s="977"/>
      <c r="N546" s="977"/>
      <c r="O546" s="977"/>
      <c r="P546" s="977"/>
      <c r="Q546" s="977"/>
      <c r="R546" s="977"/>
      <c r="S546" s="977"/>
      <c r="T546" s="977"/>
      <c r="U546" s="977"/>
      <c r="V546" s="977"/>
      <c r="W546" s="977"/>
      <c r="X546" s="977"/>
      <c r="Y546" s="977"/>
      <c r="Z546" s="977"/>
      <c r="AA546" s="977"/>
      <c r="AB546" s="977"/>
      <c r="AC546" s="977"/>
      <c r="AD546" s="977"/>
      <c r="AE546" s="977"/>
      <c r="AF546" s="977"/>
      <c r="AG546" s="977"/>
      <c r="AH546" s="977"/>
      <c r="AI546" s="977"/>
      <c r="AJ546" s="977"/>
      <c r="AK546" s="977"/>
      <c r="AL546" s="977"/>
      <c r="AM546" s="977"/>
      <c r="AN546" s="977"/>
      <c r="AO546" s="977"/>
      <c r="AP546" s="977"/>
      <c r="AQ546" s="977"/>
    </row>
    <row r="547" spans="1:43" ht="14.25" customHeight="1">
      <c r="A547" s="977"/>
      <c r="B547" s="977"/>
      <c r="C547" s="977"/>
      <c r="D547" s="977"/>
      <c r="E547" s="977"/>
      <c r="F547" s="977"/>
      <c r="G547" s="977"/>
      <c r="H547" s="977"/>
      <c r="I547" s="977"/>
      <c r="J547" s="977"/>
      <c r="K547" s="977"/>
      <c r="L547" s="977"/>
      <c r="M547" s="977"/>
      <c r="N547" s="977"/>
      <c r="O547" s="977"/>
      <c r="P547" s="977"/>
      <c r="Q547" s="977"/>
      <c r="R547" s="977"/>
      <c r="S547" s="977"/>
      <c r="T547" s="977"/>
      <c r="U547" s="977"/>
      <c r="V547" s="977"/>
      <c r="W547" s="977"/>
      <c r="X547" s="977"/>
      <c r="Y547" s="977"/>
      <c r="Z547" s="977"/>
      <c r="AA547" s="977"/>
      <c r="AB547" s="977"/>
      <c r="AC547" s="977"/>
      <c r="AD547" s="977"/>
      <c r="AE547" s="977"/>
      <c r="AF547" s="977"/>
      <c r="AG547" s="977"/>
      <c r="AH547" s="977"/>
      <c r="AI547" s="977"/>
      <c r="AJ547" s="977"/>
      <c r="AK547" s="977"/>
      <c r="AL547" s="977"/>
      <c r="AM547" s="977"/>
      <c r="AN547" s="977"/>
      <c r="AO547" s="977"/>
      <c r="AP547" s="977"/>
      <c r="AQ547" s="977"/>
    </row>
    <row r="548" spans="1:43" ht="14.25" customHeight="1">
      <c r="A548" s="977"/>
      <c r="B548" s="977"/>
      <c r="C548" s="977"/>
      <c r="D548" s="977"/>
      <c r="E548" s="977"/>
      <c r="F548" s="977"/>
      <c r="G548" s="977"/>
      <c r="H548" s="977"/>
      <c r="I548" s="977"/>
      <c r="J548" s="977"/>
      <c r="K548" s="977"/>
      <c r="L548" s="977"/>
      <c r="M548" s="977"/>
      <c r="N548" s="977"/>
      <c r="O548" s="977"/>
      <c r="P548" s="977"/>
      <c r="Q548" s="977"/>
      <c r="R548" s="977"/>
      <c r="S548" s="977"/>
      <c r="T548" s="977"/>
      <c r="U548" s="977"/>
      <c r="V548" s="977"/>
      <c r="W548" s="977"/>
      <c r="X548" s="977"/>
      <c r="Y548" s="977"/>
      <c r="Z548" s="977"/>
      <c r="AA548" s="977"/>
      <c r="AB548" s="977"/>
      <c r="AC548" s="977"/>
      <c r="AD548" s="977"/>
      <c r="AE548" s="977"/>
      <c r="AF548" s="977"/>
      <c r="AG548" s="977"/>
      <c r="AH548" s="977"/>
      <c r="AI548" s="977"/>
      <c r="AJ548" s="977"/>
      <c r="AK548" s="977"/>
      <c r="AL548" s="977"/>
      <c r="AM548" s="977"/>
      <c r="AN548" s="977"/>
      <c r="AO548" s="977"/>
      <c r="AP548" s="977"/>
      <c r="AQ548" s="977"/>
    </row>
    <row r="549" spans="1:43" ht="14.25" customHeight="1">
      <c r="A549" s="977"/>
      <c r="B549" s="977"/>
      <c r="C549" s="977"/>
      <c r="D549" s="977"/>
      <c r="E549" s="977"/>
      <c r="F549" s="977"/>
      <c r="G549" s="977"/>
      <c r="H549" s="977"/>
      <c r="I549" s="977"/>
      <c r="J549" s="977"/>
      <c r="K549" s="977"/>
      <c r="L549" s="977"/>
      <c r="M549" s="977"/>
      <c r="N549" s="977"/>
      <c r="O549" s="977"/>
      <c r="P549" s="977"/>
      <c r="Q549" s="977"/>
      <c r="R549" s="977"/>
      <c r="S549" s="977"/>
      <c r="T549" s="977"/>
      <c r="U549" s="977"/>
      <c r="V549" s="977"/>
      <c r="W549" s="977"/>
      <c r="X549" s="977"/>
      <c r="Y549" s="977"/>
      <c r="Z549" s="977"/>
      <c r="AA549" s="977"/>
      <c r="AB549" s="977"/>
      <c r="AC549" s="977"/>
      <c r="AD549" s="977"/>
      <c r="AE549" s="977"/>
      <c r="AF549" s="977"/>
      <c r="AG549" s="977"/>
      <c r="AH549" s="977"/>
      <c r="AI549" s="977"/>
      <c r="AJ549" s="977"/>
      <c r="AK549" s="977"/>
      <c r="AL549" s="977"/>
      <c r="AM549" s="977"/>
      <c r="AN549" s="977"/>
      <c r="AO549" s="977"/>
      <c r="AP549" s="977"/>
      <c r="AQ549" s="977"/>
    </row>
    <row r="550" spans="1:43" ht="14.25" customHeight="1">
      <c r="A550" s="977"/>
      <c r="B550" s="977"/>
      <c r="C550" s="977"/>
      <c r="D550" s="977"/>
      <c r="E550" s="977"/>
      <c r="F550" s="977"/>
      <c r="G550" s="977"/>
      <c r="H550" s="977"/>
      <c r="I550" s="977"/>
      <c r="J550" s="977"/>
      <c r="K550" s="977"/>
      <c r="L550" s="977"/>
      <c r="M550" s="977"/>
      <c r="N550" s="977"/>
      <c r="O550" s="977"/>
      <c r="P550" s="977"/>
      <c r="Q550" s="977"/>
      <c r="R550" s="977"/>
      <c r="S550" s="977"/>
      <c r="T550" s="977"/>
      <c r="U550" s="977"/>
      <c r="V550" s="977"/>
      <c r="W550" s="977"/>
      <c r="X550" s="977"/>
      <c r="Y550" s="977"/>
      <c r="Z550" s="977"/>
      <c r="AA550" s="977"/>
      <c r="AB550" s="977"/>
      <c r="AC550" s="977"/>
      <c r="AD550" s="977"/>
      <c r="AE550" s="977"/>
      <c r="AF550" s="977"/>
      <c r="AG550" s="977"/>
      <c r="AH550" s="977"/>
      <c r="AI550" s="977"/>
      <c r="AJ550" s="977"/>
      <c r="AK550" s="977"/>
      <c r="AL550" s="977"/>
      <c r="AM550" s="977"/>
      <c r="AN550" s="977"/>
      <c r="AO550" s="977"/>
      <c r="AP550" s="977"/>
      <c r="AQ550" s="977"/>
    </row>
    <row r="551" spans="1:43" ht="14.25" customHeight="1">
      <c r="A551" s="977"/>
      <c r="B551" s="977"/>
      <c r="C551" s="977"/>
      <c r="D551" s="977"/>
      <c r="E551" s="977"/>
      <c r="F551" s="977"/>
      <c r="G551" s="977"/>
      <c r="H551" s="977"/>
      <c r="I551" s="977"/>
      <c r="J551" s="977"/>
      <c r="K551" s="977"/>
      <c r="L551" s="977"/>
      <c r="M551" s="977"/>
      <c r="N551" s="977"/>
      <c r="O551" s="977"/>
      <c r="P551" s="977"/>
      <c r="Q551" s="977"/>
      <c r="R551" s="977"/>
      <c r="S551" s="977"/>
      <c r="T551" s="977"/>
      <c r="U551" s="977"/>
      <c r="V551" s="977"/>
      <c r="W551" s="977"/>
      <c r="X551" s="977"/>
      <c r="Y551" s="977"/>
      <c r="Z551" s="977"/>
      <c r="AA551" s="977"/>
      <c r="AB551" s="977"/>
      <c r="AC551" s="977"/>
      <c r="AD551" s="977"/>
      <c r="AE551" s="977"/>
      <c r="AF551" s="977"/>
      <c r="AG551" s="977"/>
      <c r="AH551" s="977"/>
      <c r="AI551" s="977"/>
      <c r="AJ551" s="977"/>
      <c r="AK551" s="977"/>
      <c r="AL551" s="977"/>
      <c r="AM551" s="977"/>
      <c r="AN551" s="977"/>
      <c r="AO551" s="977"/>
      <c r="AP551" s="977"/>
      <c r="AQ551" s="977"/>
    </row>
    <row r="552" spans="1:43" ht="14.25" customHeight="1">
      <c r="A552" s="977"/>
      <c r="B552" s="977"/>
      <c r="C552" s="977"/>
      <c r="D552" s="977"/>
      <c r="E552" s="977"/>
      <c r="F552" s="977"/>
      <c r="G552" s="977"/>
      <c r="H552" s="977"/>
      <c r="I552" s="977"/>
      <c r="J552" s="977"/>
      <c r="K552" s="977"/>
      <c r="L552" s="977"/>
      <c r="M552" s="977"/>
      <c r="N552" s="977"/>
      <c r="O552" s="977"/>
      <c r="P552" s="977"/>
      <c r="Q552" s="977"/>
      <c r="R552" s="977"/>
      <c r="S552" s="977"/>
      <c r="T552" s="977"/>
      <c r="U552" s="977"/>
      <c r="V552" s="977"/>
      <c r="W552" s="977"/>
      <c r="X552" s="977"/>
      <c r="Y552" s="977"/>
      <c r="Z552" s="977"/>
      <c r="AA552" s="977"/>
      <c r="AB552" s="977"/>
      <c r="AC552" s="977"/>
      <c r="AD552" s="977"/>
      <c r="AE552" s="977"/>
      <c r="AF552" s="977"/>
      <c r="AG552" s="977"/>
      <c r="AH552" s="977"/>
      <c r="AI552" s="977"/>
      <c r="AJ552" s="977"/>
      <c r="AK552" s="977"/>
      <c r="AL552" s="977"/>
      <c r="AM552" s="977"/>
      <c r="AN552" s="977"/>
      <c r="AO552" s="977"/>
      <c r="AP552" s="977"/>
      <c r="AQ552" s="977"/>
    </row>
    <row r="553" spans="1:43" ht="14.25" customHeight="1">
      <c r="A553" s="977"/>
      <c r="B553" s="977"/>
      <c r="C553" s="977"/>
      <c r="D553" s="977"/>
      <c r="E553" s="977"/>
      <c r="F553" s="977"/>
      <c r="G553" s="977"/>
      <c r="H553" s="977"/>
      <c r="I553" s="977"/>
      <c r="J553" s="977"/>
      <c r="K553" s="977"/>
      <c r="L553" s="977"/>
      <c r="M553" s="977"/>
      <c r="N553" s="977"/>
      <c r="O553" s="977"/>
      <c r="P553" s="977"/>
      <c r="Q553" s="977"/>
      <c r="R553" s="977"/>
      <c r="S553" s="977"/>
      <c r="T553" s="977"/>
      <c r="U553" s="977"/>
      <c r="V553" s="977"/>
      <c r="W553" s="977"/>
      <c r="X553" s="977"/>
      <c r="Y553" s="977"/>
      <c r="Z553" s="977"/>
      <c r="AA553" s="977"/>
      <c r="AB553" s="977"/>
      <c r="AC553" s="977"/>
      <c r="AD553" s="977"/>
      <c r="AE553" s="977"/>
      <c r="AF553" s="977"/>
      <c r="AG553" s="977"/>
      <c r="AH553" s="977"/>
      <c r="AI553" s="977"/>
      <c r="AJ553" s="977"/>
      <c r="AK553" s="977"/>
      <c r="AL553" s="977"/>
      <c r="AM553" s="977"/>
      <c r="AN553" s="977"/>
      <c r="AO553" s="977"/>
      <c r="AP553" s="977"/>
      <c r="AQ553" s="977"/>
    </row>
    <row r="554" spans="1:43" ht="14.25" customHeight="1">
      <c r="A554" s="977"/>
      <c r="B554" s="977"/>
      <c r="C554" s="977"/>
      <c r="D554" s="977"/>
      <c r="E554" s="977"/>
      <c r="F554" s="977"/>
      <c r="G554" s="977"/>
      <c r="H554" s="977"/>
      <c r="I554" s="977"/>
      <c r="J554" s="977"/>
      <c r="K554" s="977"/>
      <c r="L554" s="977"/>
      <c r="M554" s="977"/>
      <c r="N554" s="977"/>
      <c r="O554" s="977"/>
      <c r="P554" s="977"/>
      <c r="Q554" s="977"/>
      <c r="R554" s="977"/>
      <c r="S554" s="977"/>
      <c r="T554" s="977"/>
      <c r="U554" s="977"/>
      <c r="V554" s="977"/>
      <c r="W554" s="977"/>
      <c r="X554" s="977"/>
      <c r="Y554" s="977"/>
      <c r="Z554" s="977"/>
      <c r="AA554" s="977"/>
      <c r="AB554" s="977"/>
      <c r="AC554" s="977"/>
      <c r="AD554" s="977"/>
      <c r="AE554" s="977"/>
      <c r="AF554" s="977"/>
      <c r="AG554" s="977"/>
      <c r="AH554" s="977"/>
      <c r="AI554" s="977"/>
      <c r="AJ554" s="977"/>
      <c r="AK554" s="977"/>
      <c r="AL554" s="977"/>
      <c r="AM554" s="977"/>
      <c r="AN554" s="977"/>
      <c r="AO554" s="977"/>
      <c r="AP554" s="977"/>
      <c r="AQ554" s="977"/>
    </row>
    <row r="555" spans="1:43" ht="14.25" customHeight="1">
      <c r="A555" s="977"/>
      <c r="B555" s="977"/>
      <c r="C555" s="977"/>
      <c r="D555" s="977"/>
      <c r="E555" s="977"/>
      <c r="F555" s="977"/>
      <c r="G555" s="977"/>
      <c r="H555" s="977"/>
      <c r="I555" s="977"/>
      <c r="J555" s="977"/>
      <c r="K555" s="977"/>
      <c r="L555" s="977"/>
      <c r="M555" s="977"/>
      <c r="N555" s="977"/>
      <c r="O555" s="977"/>
      <c r="P555" s="977"/>
      <c r="Q555" s="977"/>
      <c r="R555" s="977"/>
      <c r="S555" s="977"/>
      <c r="T555" s="977"/>
      <c r="U555" s="977"/>
      <c r="V555" s="977"/>
      <c r="W555" s="977"/>
      <c r="X555" s="977"/>
      <c r="Y555" s="977"/>
      <c r="Z555" s="977"/>
      <c r="AA555" s="977"/>
      <c r="AB555" s="977"/>
      <c r="AC555" s="977"/>
      <c r="AD555" s="977"/>
      <c r="AE555" s="977"/>
      <c r="AF555" s="977"/>
      <c r="AG555" s="977"/>
      <c r="AH555" s="977"/>
      <c r="AI555" s="977"/>
      <c r="AJ555" s="977"/>
      <c r="AK555" s="977"/>
      <c r="AL555" s="977"/>
      <c r="AM555" s="977"/>
      <c r="AN555" s="977"/>
      <c r="AO555" s="977"/>
      <c r="AP555" s="977"/>
      <c r="AQ555" s="977"/>
    </row>
    <row r="556" spans="1:43" ht="14.25" customHeight="1">
      <c r="A556" s="977"/>
      <c r="B556" s="977"/>
      <c r="C556" s="977"/>
      <c r="D556" s="977"/>
      <c r="E556" s="977"/>
      <c r="F556" s="977"/>
      <c r="G556" s="977"/>
      <c r="H556" s="977"/>
      <c r="I556" s="977"/>
      <c r="J556" s="977"/>
      <c r="K556" s="977"/>
      <c r="L556" s="977"/>
      <c r="M556" s="977"/>
      <c r="N556" s="977"/>
      <c r="O556" s="977"/>
      <c r="P556" s="977"/>
      <c r="Q556" s="977"/>
      <c r="R556" s="977"/>
      <c r="S556" s="977"/>
      <c r="T556" s="977"/>
      <c r="U556" s="977"/>
      <c r="V556" s="977"/>
      <c r="W556" s="977"/>
      <c r="X556" s="977"/>
      <c r="Y556" s="977"/>
      <c r="Z556" s="977"/>
      <c r="AA556" s="977"/>
      <c r="AB556" s="977"/>
      <c r="AC556" s="977"/>
      <c r="AD556" s="977"/>
      <c r="AE556" s="977"/>
      <c r="AF556" s="977"/>
      <c r="AG556" s="977"/>
      <c r="AH556" s="977"/>
      <c r="AI556" s="977"/>
      <c r="AJ556" s="977"/>
      <c r="AK556" s="977"/>
      <c r="AL556" s="977"/>
      <c r="AM556" s="977"/>
      <c r="AN556" s="977"/>
      <c r="AO556" s="977"/>
      <c r="AP556" s="977"/>
      <c r="AQ556" s="977"/>
    </row>
    <row r="557" spans="1:43" ht="14.25" customHeight="1">
      <c r="A557" s="977"/>
      <c r="B557" s="977"/>
      <c r="C557" s="977"/>
      <c r="D557" s="977"/>
      <c r="E557" s="977"/>
      <c r="F557" s="977"/>
      <c r="G557" s="977"/>
      <c r="H557" s="977"/>
      <c r="I557" s="977"/>
      <c r="J557" s="977"/>
      <c r="K557" s="977"/>
      <c r="L557" s="977"/>
      <c r="M557" s="977"/>
      <c r="N557" s="977"/>
      <c r="O557" s="977"/>
      <c r="P557" s="977"/>
      <c r="Q557" s="977"/>
      <c r="R557" s="977"/>
      <c r="S557" s="977"/>
      <c r="T557" s="977"/>
      <c r="U557" s="977"/>
      <c r="V557" s="977"/>
      <c r="W557" s="977"/>
      <c r="X557" s="977"/>
      <c r="Y557" s="977"/>
      <c r="Z557" s="977"/>
      <c r="AA557" s="977"/>
      <c r="AB557" s="977"/>
      <c r="AC557" s="977"/>
      <c r="AD557" s="977"/>
      <c r="AE557" s="977"/>
      <c r="AF557" s="977"/>
      <c r="AG557" s="977"/>
      <c r="AH557" s="977"/>
      <c r="AI557" s="977"/>
      <c r="AJ557" s="977"/>
      <c r="AK557" s="977"/>
      <c r="AL557" s="977"/>
      <c r="AM557" s="977"/>
      <c r="AN557" s="977"/>
      <c r="AO557" s="977"/>
      <c r="AP557" s="977"/>
      <c r="AQ557" s="977"/>
    </row>
    <row r="558" spans="1:43" ht="14.25" customHeight="1">
      <c r="A558" s="977"/>
      <c r="B558" s="977"/>
      <c r="C558" s="977"/>
      <c r="D558" s="977"/>
      <c r="E558" s="977"/>
      <c r="F558" s="977"/>
      <c r="G558" s="977"/>
      <c r="H558" s="977"/>
      <c r="I558" s="977"/>
      <c r="J558" s="977"/>
      <c r="K558" s="977"/>
      <c r="L558" s="977"/>
      <c r="M558" s="977"/>
      <c r="N558" s="977"/>
      <c r="O558" s="977"/>
      <c r="P558" s="977"/>
      <c r="Q558" s="977"/>
      <c r="R558" s="977"/>
      <c r="S558" s="977"/>
      <c r="T558" s="977"/>
      <c r="U558" s="977"/>
      <c r="V558" s="977"/>
      <c r="W558" s="977"/>
      <c r="X558" s="977"/>
      <c r="Y558" s="977"/>
      <c r="Z558" s="977"/>
      <c r="AA558" s="977"/>
      <c r="AB558" s="977"/>
      <c r="AC558" s="977"/>
      <c r="AD558" s="977"/>
      <c r="AE558" s="977"/>
      <c r="AF558" s="977"/>
      <c r="AG558" s="977"/>
      <c r="AH558" s="977"/>
      <c r="AI558" s="977"/>
      <c r="AJ558" s="977"/>
      <c r="AK558" s="977"/>
      <c r="AL558" s="977"/>
      <c r="AM558" s="977"/>
      <c r="AN558" s="977"/>
      <c r="AO558" s="977"/>
      <c r="AP558" s="977"/>
      <c r="AQ558" s="977"/>
    </row>
    <row r="559" spans="1:43" ht="14.25" customHeight="1">
      <c r="A559" s="977"/>
      <c r="B559" s="977"/>
      <c r="C559" s="977"/>
      <c r="D559" s="977"/>
      <c r="E559" s="977"/>
      <c r="F559" s="977"/>
      <c r="G559" s="977"/>
      <c r="H559" s="977"/>
      <c r="I559" s="977"/>
      <c r="J559" s="977"/>
      <c r="K559" s="977"/>
      <c r="L559" s="977"/>
      <c r="M559" s="977"/>
      <c r="N559" s="977"/>
      <c r="O559" s="977"/>
      <c r="P559" s="977"/>
      <c r="Q559" s="977"/>
      <c r="R559" s="977"/>
      <c r="S559" s="977"/>
      <c r="T559" s="977"/>
      <c r="U559" s="977"/>
      <c r="V559" s="977"/>
      <c r="W559" s="977"/>
      <c r="X559" s="977"/>
      <c r="Y559" s="977"/>
      <c r="Z559" s="977"/>
      <c r="AA559" s="977"/>
      <c r="AB559" s="977"/>
      <c r="AC559" s="977"/>
      <c r="AD559" s="977"/>
      <c r="AE559" s="977"/>
      <c r="AF559" s="977"/>
      <c r="AG559" s="977"/>
      <c r="AH559" s="977"/>
      <c r="AI559" s="977"/>
      <c r="AJ559" s="977"/>
      <c r="AK559" s="977"/>
      <c r="AL559" s="977"/>
      <c r="AM559" s="977"/>
      <c r="AN559" s="977"/>
      <c r="AO559" s="977"/>
      <c r="AP559" s="977"/>
      <c r="AQ559" s="977"/>
    </row>
    <row r="560" spans="1:43" ht="14.25" customHeight="1">
      <c r="A560" s="977"/>
      <c r="B560" s="977"/>
      <c r="C560" s="977"/>
      <c r="D560" s="977"/>
      <c r="E560" s="977"/>
      <c r="F560" s="977"/>
      <c r="G560" s="977"/>
      <c r="H560" s="977"/>
      <c r="I560" s="977"/>
      <c r="J560" s="977"/>
      <c r="K560" s="977"/>
      <c r="L560" s="977"/>
      <c r="M560" s="977"/>
      <c r="N560" s="977"/>
      <c r="O560" s="977"/>
      <c r="P560" s="977"/>
      <c r="Q560" s="977"/>
      <c r="R560" s="977"/>
      <c r="S560" s="977"/>
      <c r="T560" s="977"/>
      <c r="U560" s="977"/>
      <c r="V560" s="977"/>
      <c r="W560" s="977"/>
      <c r="X560" s="977"/>
      <c r="Y560" s="977"/>
      <c r="Z560" s="977"/>
      <c r="AA560" s="977"/>
      <c r="AB560" s="977"/>
      <c r="AC560" s="977"/>
      <c r="AD560" s="977"/>
      <c r="AE560" s="977"/>
      <c r="AF560" s="977"/>
      <c r="AG560" s="977"/>
      <c r="AH560" s="977"/>
      <c r="AI560" s="977"/>
      <c r="AJ560" s="977"/>
      <c r="AK560" s="977"/>
      <c r="AL560" s="977"/>
      <c r="AM560" s="977"/>
      <c r="AN560" s="977"/>
      <c r="AO560" s="977"/>
      <c r="AP560" s="977"/>
      <c r="AQ560" s="977"/>
    </row>
    <row r="561" spans="1:43" ht="14.25" customHeight="1">
      <c r="A561" s="977"/>
      <c r="B561" s="977"/>
      <c r="C561" s="977"/>
      <c r="D561" s="977"/>
      <c r="E561" s="977"/>
      <c r="F561" s="977"/>
      <c r="G561" s="977"/>
      <c r="H561" s="977"/>
      <c r="I561" s="977"/>
      <c r="J561" s="977"/>
      <c r="K561" s="977"/>
      <c r="L561" s="977"/>
      <c r="M561" s="977"/>
      <c r="N561" s="977"/>
      <c r="O561" s="977"/>
      <c r="P561" s="977"/>
      <c r="Q561" s="977"/>
      <c r="R561" s="977"/>
      <c r="S561" s="977"/>
      <c r="T561" s="977"/>
      <c r="U561" s="977"/>
      <c r="V561" s="977"/>
      <c r="W561" s="977"/>
      <c r="X561" s="977"/>
      <c r="Y561" s="977"/>
      <c r="Z561" s="977"/>
      <c r="AA561" s="977"/>
      <c r="AB561" s="977"/>
      <c r="AC561" s="977"/>
      <c r="AD561" s="977"/>
      <c r="AE561" s="977"/>
      <c r="AF561" s="977"/>
      <c r="AG561" s="977"/>
      <c r="AH561" s="977"/>
      <c r="AI561" s="977"/>
      <c r="AJ561" s="977"/>
      <c r="AK561" s="977"/>
      <c r="AL561" s="977"/>
      <c r="AM561" s="977"/>
      <c r="AN561" s="977"/>
      <c r="AO561" s="977"/>
      <c r="AP561" s="977"/>
      <c r="AQ561" s="977"/>
    </row>
    <row r="562" spans="1:43" ht="14.25" customHeight="1">
      <c r="A562" s="977"/>
      <c r="B562" s="977"/>
      <c r="C562" s="977"/>
      <c r="D562" s="977"/>
      <c r="E562" s="977"/>
      <c r="F562" s="977"/>
      <c r="G562" s="977"/>
      <c r="H562" s="977"/>
      <c r="I562" s="977"/>
      <c r="J562" s="977"/>
      <c r="K562" s="977"/>
      <c r="L562" s="977"/>
      <c r="M562" s="977"/>
      <c r="N562" s="977"/>
      <c r="O562" s="977"/>
      <c r="P562" s="977"/>
      <c r="Q562" s="977"/>
      <c r="R562" s="977"/>
      <c r="S562" s="977"/>
      <c r="T562" s="977"/>
      <c r="U562" s="977"/>
      <c r="V562" s="977"/>
      <c r="W562" s="977"/>
      <c r="X562" s="977"/>
      <c r="Y562" s="977"/>
      <c r="Z562" s="977"/>
      <c r="AA562" s="977"/>
      <c r="AB562" s="977"/>
      <c r="AC562" s="977"/>
      <c r="AD562" s="977"/>
      <c r="AE562" s="977"/>
      <c r="AF562" s="977"/>
      <c r="AG562" s="977"/>
      <c r="AH562" s="977"/>
      <c r="AI562" s="977"/>
      <c r="AJ562" s="977"/>
      <c r="AK562" s="977"/>
      <c r="AL562" s="977"/>
      <c r="AM562" s="977"/>
      <c r="AN562" s="977"/>
      <c r="AO562" s="977"/>
      <c r="AP562" s="977"/>
      <c r="AQ562" s="977"/>
    </row>
    <row r="563" spans="1:43" ht="14.25" customHeight="1">
      <c r="A563" s="977"/>
      <c r="B563" s="977"/>
      <c r="C563" s="977"/>
      <c r="D563" s="977"/>
      <c r="E563" s="977"/>
      <c r="F563" s="977"/>
      <c r="G563" s="977"/>
      <c r="H563" s="977"/>
      <c r="I563" s="977"/>
      <c r="J563" s="977"/>
      <c r="K563" s="977"/>
      <c r="L563" s="977"/>
      <c r="M563" s="977"/>
      <c r="N563" s="977"/>
      <c r="O563" s="977"/>
      <c r="P563" s="977"/>
      <c r="Q563" s="977"/>
      <c r="R563" s="977"/>
      <c r="S563" s="977"/>
      <c r="T563" s="977"/>
      <c r="U563" s="977"/>
      <c r="V563" s="977"/>
      <c r="W563" s="977"/>
      <c r="X563" s="977"/>
      <c r="Y563" s="977"/>
      <c r="Z563" s="977"/>
      <c r="AA563" s="977"/>
      <c r="AB563" s="977"/>
      <c r="AC563" s="977"/>
      <c r="AD563" s="977"/>
      <c r="AE563" s="977"/>
      <c r="AF563" s="977"/>
      <c r="AG563" s="977"/>
      <c r="AH563" s="977"/>
      <c r="AI563" s="977"/>
      <c r="AJ563" s="977"/>
      <c r="AK563" s="977"/>
      <c r="AL563" s="977"/>
      <c r="AM563" s="977"/>
      <c r="AN563" s="977"/>
      <c r="AO563" s="977"/>
      <c r="AP563" s="977"/>
      <c r="AQ563" s="977"/>
    </row>
    <row r="564" spans="1:43" ht="14.25" customHeight="1">
      <c r="A564" s="977"/>
      <c r="B564" s="977"/>
      <c r="C564" s="977"/>
      <c r="D564" s="977"/>
      <c r="E564" s="977"/>
      <c r="F564" s="977"/>
      <c r="G564" s="977"/>
      <c r="H564" s="977"/>
      <c r="I564" s="977"/>
      <c r="J564" s="977"/>
      <c r="K564" s="977"/>
      <c r="L564" s="977"/>
      <c r="M564" s="977"/>
      <c r="N564" s="977"/>
      <c r="O564" s="977"/>
      <c r="P564" s="977"/>
      <c r="Q564" s="977"/>
      <c r="R564" s="977"/>
      <c r="S564" s="977"/>
      <c r="T564" s="977"/>
      <c r="U564" s="977"/>
      <c r="V564" s="977"/>
      <c r="W564" s="977"/>
      <c r="X564" s="977"/>
      <c r="Y564" s="977"/>
      <c r="Z564" s="977"/>
      <c r="AA564" s="977"/>
      <c r="AB564" s="977"/>
      <c r="AC564" s="977"/>
      <c r="AD564" s="977"/>
      <c r="AE564" s="977"/>
      <c r="AF564" s="977"/>
      <c r="AG564" s="977"/>
      <c r="AH564" s="977"/>
      <c r="AI564" s="977"/>
      <c r="AJ564" s="977"/>
      <c r="AK564" s="977"/>
      <c r="AL564" s="977"/>
      <c r="AM564" s="977"/>
      <c r="AN564" s="977"/>
      <c r="AO564" s="977"/>
      <c r="AP564" s="977"/>
      <c r="AQ564" s="977"/>
    </row>
    <row r="565" spans="1:43" ht="14.25" customHeight="1">
      <c r="A565" s="977"/>
      <c r="B565" s="977"/>
      <c r="C565" s="977"/>
      <c r="D565" s="977"/>
      <c r="E565" s="977"/>
      <c r="F565" s="977"/>
      <c r="G565" s="977"/>
      <c r="H565" s="977"/>
      <c r="I565" s="977"/>
      <c r="J565" s="977"/>
      <c r="K565" s="977"/>
      <c r="L565" s="977"/>
      <c r="M565" s="977"/>
      <c r="N565" s="977"/>
      <c r="O565" s="977"/>
      <c r="P565" s="977"/>
      <c r="Q565" s="977"/>
      <c r="R565" s="977"/>
      <c r="S565" s="977"/>
      <c r="T565" s="977"/>
      <c r="U565" s="977"/>
      <c r="V565" s="977"/>
      <c r="W565" s="977"/>
      <c r="X565" s="977"/>
      <c r="Y565" s="977"/>
      <c r="Z565" s="977"/>
      <c r="AA565" s="977"/>
      <c r="AB565" s="977"/>
      <c r="AC565" s="977"/>
      <c r="AD565" s="977"/>
      <c r="AE565" s="977"/>
      <c r="AF565" s="977"/>
      <c r="AG565" s="977"/>
      <c r="AH565" s="977"/>
      <c r="AI565" s="977"/>
      <c r="AJ565" s="977"/>
      <c r="AK565" s="977"/>
      <c r="AL565" s="977"/>
      <c r="AM565" s="977"/>
      <c r="AN565" s="977"/>
      <c r="AO565" s="977"/>
      <c r="AP565" s="977"/>
      <c r="AQ565" s="977"/>
    </row>
    <row r="566" spans="1:43" ht="14.25" customHeight="1">
      <c r="A566" s="977"/>
      <c r="B566" s="977"/>
      <c r="C566" s="977"/>
      <c r="D566" s="977"/>
      <c r="E566" s="977"/>
      <c r="F566" s="977"/>
      <c r="G566" s="977"/>
      <c r="H566" s="977"/>
      <c r="I566" s="977"/>
      <c r="J566" s="977"/>
      <c r="K566" s="977"/>
      <c r="L566" s="977"/>
      <c r="M566" s="977"/>
      <c r="N566" s="977"/>
      <c r="O566" s="977"/>
      <c r="P566" s="977"/>
      <c r="Q566" s="977"/>
      <c r="R566" s="977"/>
      <c r="S566" s="977"/>
      <c r="T566" s="977"/>
      <c r="U566" s="977"/>
      <c r="V566" s="977"/>
      <c r="W566" s="977"/>
      <c r="X566" s="977"/>
      <c r="Y566" s="977"/>
      <c r="Z566" s="977"/>
      <c r="AA566" s="977"/>
      <c r="AB566" s="977"/>
      <c r="AC566" s="977"/>
      <c r="AD566" s="977"/>
      <c r="AE566" s="977"/>
      <c r="AF566" s="977"/>
      <c r="AG566" s="977"/>
      <c r="AH566" s="977"/>
      <c r="AI566" s="977"/>
      <c r="AJ566" s="977"/>
      <c r="AK566" s="977"/>
      <c r="AL566" s="977"/>
      <c r="AM566" s="977"/>
      <c r="AN566" s="977"/>
      <c r="AO566" s="977"/>
      <c r="AP566" s="977"/>
      <c r="AQ566" s="977"/>
    </row>
    <row r="567" spans="1:43" ht="14.25" customHeight="1">
      <c r="A567" s="977"/>
      <c r="B567" s="977"/>
      <c r="C567" s="977"/>
      <c r="D567" s="977"/>
      <c r="E567" s="977"/>
      <c r="F567" s="977"/>
      <c r="G567" s="977"/>
      <c r="H567" s="977"/>
      <c r="I567" s="977"/>
      <c r="J567" s="977"/>
      <c r="K567" s="977"/>
      <c r="L567" s="977"/>
      <c r="M567" s="977"/>
      <c r="N567" s="977"/>
      <c r="O567" s="977"/>
      <c r="P567" s="977"/>
      <c r="Q567" s="977"/>
      <c r="R567" s="977"/>
      <c r="S567" s="977"/>
      <c r="T567" s="977"/>
      <c r="U567" s="977"/>
      <c r="V567" s="977"/>
      <c r="W567" s="977"/>
      <c r="X567" s="977"/>
      <c r="Y567" s="977"/>
      <c r="Z567" s="977"/>
      <c r="AA567" s="977"/>
      <c r="AB567" s="977"/>
      <c r="AC567" s="977"/>
      <c r="AD567" s="977"/>
      <c r="AE567" s="977"/>
      <c r="AF567" s="977"/>
      <c r="AG567" s="977"/>
      <c r="AH567" s="977"/>
      <c r="AI567" s="977"/>
      <c r="AJ567" s="977"/>
      <c r="AK567" s="977"/>
      <c r="AL567" s="977"/>
      <c r="AM567" s="977"/>
      <c r="AN567" s="977"/>
      <c r="AO567" s="977"/>
      <c r="AP567" s="977"/>
      <c r="AQ567" s="977"/>
    </row>
    <row r="568" spans="1:43" ht="14.25" customHeight="1">
      <c r="A568" s="977"/>
      <c r="B568" s="977"/>
      <c r="C568" s="977"/>
      <c r="D568" s="977"/>
      <c r="E568" s="977"/>
      <c r="F568" s="977"/>
      <c r="G568" s="977"/>
      <c r="H568" s="977"/>
      <c r="I568" s="977"/>
      <c r="J568" s="977"/>
      <c r="K568" s="977"/>
      <c r="L568" s="977"/>
      <c r="M568" s="977"/>
      <c r="N568" s="977"/>
      <c r="O568" s="977"/>
      <c r="P568" s="977"/>
      <c r="Q568" s="977"/>
      <c r="R568" s="977"/>
      <c r="S568" s="977"/>
      <c r="T568" s="977"/>
      <c r="U568" s="977"/>
      <c r="V568" s="977"/>
      <c r="W568" s="977"/>
      <c r="X568" s="977"/>
      <c r="Y568" s="977"/>
      <c r="Z568" s="977"/>
      <c r="AA568" s="977"/>
      <c r="AB568" s="977"/>
      <c r="AC568" s="977"/>
      <c r="AD568" s="977"/>
      <c r="AE568" s="977"/>
      <c r="AF568" s="977"/>
      <c r="AG568" s="977"/>
      <c r="AH568" s="977"/>
      <c r="AI568" s="977"/>
      <c r="AJ568" s="977"/>
      <c r="AK568" s="977"/>
      <c r="AL568" s="977"/>
      <c r="AM568" s="977"/>
      <c r="AN568" s="977"/>
      <c r="AO568" s="977"/>
      <c r="AP568" s="977"/>
      <c r="AQ568" s="977"/>
    </row>
    <row r="569" spans="1:43" ht="14.25" customHeight="1">
      <c r="A569" s="977"/>
      <c r="B569" s="977"/>
      <c r="C569" s="977"/>
      <c r="D569" s="977"/>
      <c r="E569" s="977"/>
      <c r="F569" s="977"/>
      <c r="G569" s="977"/>
      <c r="H569" s="977"/>
      <c r="I569" s="977"/>
      <c r="J569" s="977"/>
      <c r="K569" s="977"/>
      <c r="L569" s="977"/>
      <c r="M569" s="977"/>
      <c r="N569" s="977"/>
      <c r="O569" s="977"/>
      <c r="P569" s="977"/>
      <c r="Q569" s="977"/>
      <c r="R569" s="977"/>
      <c r="S569" s="977"/>
      <c r="T569" s="977"/>
      <c r="U569" s="977"/>
      <c r="V569" s="977"/>
      <c r="W569" s="977"/>
      <c r="X569" s="977"/>
      <c r="Y569" s="977"/>
      <c r="Z569" s="977"/>
      <c r="AA569" s="977"/>
      <c r="AB569" s="977"/>
      <c r="AC569" s="977"/>
      <c r="AD569" s="977"/>
      <c r="AE569" s="977"/>
      <c r="AF569" s="977"/>
      <c r="AG569" s="977"/>
      <c r="AH569" s="977"/>
      <c r="AI569" s="977"/>
      <c r="AJ569" s="977"/>
      <c r="AK569" s="977"/>
      <c r="AL569" s="977"/>
      <c r="AM569" s="977"/>
      <c r="AN569" s="977"/>
      <c r="AO569" s="977"/>
      <c r="AP569" s="977"/>
      <c r="AQ569" s="977"/>
    </row>
    <row r="570" spans="1:43" ht="14.25" customHeight="1">
      <c r="A570" s="977"/>
      <c r="B570" s="977"/>
      <c r="C570" s="977"/>
      <c r="D570" s="977"/>
      <c r="E570" s="977"/>
      <c r="F570" s="977"/>
      <c r="G570" s="977"/>
      <c r="H570" s="977"/>
      <c r="I570" s="977"/>
      <c r="J570" s="977"/>
      <c r="K570" s="977"/>
      <c r="L570" s="977"/>
      <c r="M570" s="977"/>
      <c r="N570" s="977"/>
      <c r="O570" s="977"/>
      <c r="P570" s="977"/>
      <c r="Q570" s="977"/>
      <c r="R570" s="977"/>
      <c r="S570" s="977"/>
      <c r="T570" s="977"/>
      <c r="U570" s="977"/>
      <c r="V570" s="977"/>
      <c r="W570" s="977"/>
      <c r="X570" s="977"/>
      <c r="Y570" s="977"/>
      <c r="Z570" s="977"/>
      <c r="AA570" s="977"/>
      <c r="AB570" s="977"/>
      <c r="AC570" s="977"/>
      <c r="AD570" s="977"/>
      <c r="AE570" s="977"/>
      <c r="AF570" s="977"/>
      <c r="AG570" s="977"/>
      <c r="AH570" s="977"/>
      <c r="AI570" s="977"/>
      <c r="AJ570" s="977"/>
      <c r="AK570" s="977"/>
      <c r="AL570" s="977"/>
      <c r="AM570" s="977"/>
      <c r="AN570" s="977"/>
      <c r="AO570" s="977"/>
      <c r="AP570" s="977"/>
      <c r="AQ570" s="977"/>
    </row>
    <row r="571" spans="1:43" ht="14.25" customHeight="1">
      <c r="A571" s="977"/>
      <c r="B571" s="977"/>
      <c r="C571" s="977"/>
      <c r="D571" s="977"/>
      <c r="E571" s="977"/>
      <c r="F571" s="977"/>
      <c r="G571" s="977"/>
      <c r="H571" s="977"/>
      <c r="I571" s="977"/>
      <c r="J571" s="977"/>
      <c r="K571" s="977"/>
      <c r="L571" s="977"/>
      <c r="M571" s="977"/>
      <c r="N571" s="977"/>
      <c r="O571" s="977"/>
      <c r="P571" s="977"/>
      <c r="Q571" s="977"/>
      <c r="R571" s="977"/>
      <c r="S571" s="977"/>
      <c r="T571" s="977"/>
      <c r="U571" s="977"/>
      <c r="V571" s="977"/>
      <c r="W571" s="977"/>
      <c r="X571" s="977"/>
      <c r="Y571" s="977"/>
      <c r="Z571" s="977"/>
      <c r="AA571" s="977"/>
      <c r="AB571" s="977"/>
      <c r="AC571" s="977"/>
      <c r="AD571" s="977"/>
      <c r="AE571" s="977"/>
      <c r="AF571" s="977"/>
      <c r="AG571" s="977"/>
      <c r="AH571" s="977"/>
      <c r="AI571" s="977"/>
      <c r="AJ571" s="977"/>
      <c r="AK571" s="977"/>
      <c r="AL571" s="977"/>
      <c r="AM571" s="977"/>
      <c r="AN571" s="977"/>
      <c r="AO571" s="977"/>
      <c r="AP571" s="977"/>
      <c r="AQ571" s="977"/>
    </row>
    <row r="572" spans="1:43" ht="14.25" customHeight="1">
      <c r="A572" s="977"/>
      <c r="B572" s="977"/>
      <c r="C572" s="977"/>
      <c r="D572" s="977"/>
      <c r="E572" s="977"/>
      <c r="F572" s="977"/>
      <c r="G572" s="977"/>
      <c r="H572" s="977"/>
      <c r="I572" s="977"/>
      <c r="J572" s="977"/>
      <c r="K572" s="977"/>
      <c r="L572" s="977"/>
      <c r="M572" s="977"/>
      <c r="N572" s="977"/>
      <c r="O572" s="977"/>
      <c r="P572" s="977"/>
      <c r="Q572" s="977"/>
      <c r="R572" s="977"/>
      <c r="S572" s="977"/>
      <c r="T572" s="977"/>
      <c r="U572" s="977"/>
      <c r="V572" s="977"/>
      <c r="W572" s="977"/>
      <c r="X572" s="977"/>
      <c r="Y572" s="977"/>
      <c r="Z572" s="977"/>
      <c r="AA572" s="977"/>
      <c r="AB572" s="977"/>
      <c r="AC572" s="977"/>
      <c r="AD572" s="977"/>
      <c r="AE572" s="977"/>
      <c r="AF572" s="977"/>
      <c r="AG572" s="977"/>
      <c r="AH572" s="977"/>
      <c r="AI572" s="977"/>
      <c r="AJ572" s="977"/>
      <c r="AK572" s="977"/>
      <c r="AL572" s="977"/>
      <c r="AM572" s="977"/>
      <c r="AN572" s="977"/>
      <c r="AO572" s="977"/>
      <c r="AP572" s="977"/>
      <c r="AQ572" s="977"/>
    </row>
    <row r="573" spans="1:43" ht="14.25" customHeight="1">
      <c r="A573" s="977"/>
      <c r="B573" s="977"/>
      <c r="C573" s="977"/>
      <c r="D573" s="977"/>
      <c r="E573" s="977"/>
      <c r="F573" s="977"/>
      <c r="G573" s="977"/>
      <c r="H573" s="977"/>
      <c r="I573" s="977"/>
      <c r="J573" s="977"/>
      <c r="K573" s="977"/>
      <c r="L573" s="977"/>
      <c r="M573" s="977"/>
      <c r="N573" s="977"/>
      <c r="O573" s="977"/>
      <c r="P573" s="977"/>
      <c r="Q573" s="977"/>
      <c r="R573" s="977"/>
      <c r="S573" s="977"/>
      <c r="T573" s="977"/>
      <c r="U573" s="977"/>
      <c r="V573" s="977"/>
      <c r="W573" s="977"/>
      <c r="X573" s="977"/>
      <c r="Y573" s="977"/>
      <c r="Z573" s="977"/>
      <c r="AA573" s="977"/>
      <c r="AB573" s="977"/>
      <c r="AC573" s="977"/>
      <c r="AD573" s="977"/>
      <c r="AE573" s="977"/>
      <c r="AF573" s="977"/>
      <c r="AG573" s="977"/>
      <c r="AH573" s="977"/>
      <c r="AI573" s="977"/>
      <c r="AJ573" s="977"/>
      <c r="AK573" s="977"/>
      <c r="AL573" s="977"/>
      <c r="AM573" s="977"/>
      <c r="AN573" s="977"/>
      <c r="AO573" s="977"/>
      <c r="AP573" s="977"/>
      <c r="AQ573" s="977"/>
    </row>
    <row r="574" spans="1:43" ht="14.25" customHeight="1">
      <c r="A574" s="977"/>
      <c r="B574" s="977"/>
      <c r="C574" s="977"/>
      <c r="D574" s="977"/>
      <c r="E574" s="977"/>
      <c r="F574" s="977"/>
      <c r="G574" s="977"/>
      <c r="H574" s="977"/>
      <c r="I574" s="977"/>
      <c r="J574" s="977"/>
      <c r="K574" s="977"/>
      <c r="L574" s="977"/>
      <c r="M574" s="977"/>
      <c r="N574" s="977"/>
      <c r="O574" s="977"/>
      <c r="P574" s="977"/>
      <c r="Q574" s="977"/>
      <c r="R574" s="977"/>
      <c r="S574" s="977"/>
      <c r="T574" s="977"/>
      <c r="U574" s="977"/>
      <c r="V574" s="977"/>
      <c r="W574" s="977"/>
      <c r="X574" s="977"/>
      <c r="Y574" s="977"/>
      <c r="Z574" s="977"/>
      <c r="AA574" s="977"/>
      <c r="AB574" s="977"/>
      <c r="AC574" s="977"/>
      <c r="AD574" s="977"/>
      <c r="AE574" s="977"/>
      <c r="AF574" s="977"/>
      <c r="AG574" s="977"/>
      <c r="AH574" s="977"/>
      <c r="AI574" s="977"/>
      <c r="AJ574" s="977"/>
      <c r="AK574" s="977"/>
      <c r="AL574" s="977"/>
      <c r="AM574" s="977"/>
      <c r="AN574" s="977"/>
      <c r="AO574" s="977"/>
      <c r="AP574" s="977"/>
      <c r="AQ574" s="977"/>
    </row>
    <row r="575" spans="1:43" ht="14.25" customHeight="1">
      <c r="A575" s="977"/>
      <c r="B575" s="977"/>
      <c r="C575" s="977"/>
      <c r="D575" s="977"/>
      <c r="E575" s="977"/>
      <c r="F575" s="977"/>
      <c r="G575" s="977"/>
      <c r="H575" s="977"/>
      <c r="I575" s="977"/>
      <c r="J575" s="977"/>
      <c r="K575" s="977"/>
      <c r="L575" s="977"/>
      <c r="M575" s="977"/>
      <c r="N575" s="977"/>
      <c r="O575" s="977"/>
      <c r="P575" s="977"/>
      <c r="Q575" s="977"/>
      <c r="R575" s="977"/>
      <c r="S575" s="977"/>
      <c r="T575" s="977"/>
      <c r="U575" s="977"/>
      <c r="V575" s="977"/>
      <c r="W575" s="977"/>
      <c r="X575" s="977"/>
      <c r="Y575" s="977"/>
      <c r="Z575" s="977"/>
      <c r="AA575" s="977"/>
      <c r="AB575" s="977"/>
      <c r="AC575" s="977"/>
      <c r="AD575" s="977"/>
      <c r="AE575" s="977"/>
      <c r="AF575" s="977"/>
      <c r="AG575" s="977"/>
      <c r="AH575" s="977"/>
      <c r="AI575" s="977"/>
      <c r="AJ575" s="977"/>
      <c r="AK575" s="977"/>
      <c r="AL575" s="977"/>
      <c r="AM575" s="977"/>
      <c r="AN575" s="977"/>
      <c r="AO575" s="977"/>
      <c r="AP575" s="977"/>
      <c r="AQ575" s="977"/>
    </row>
    <row r="576" spans="1:43" ht="14.25" customHeight="1">
      <c r="A576" s="977"/>
      <c r="B576" s="977"/>
      <c r="C576" s="977"/>
      <c r="D576" s="977"/>
      <c r="E576" s="977"/>
      <c r="F576" s="977"/>
      <c r="G576" s="977"/>
      <c r="H576" s="977"/>
      <c r="I576" s="977"/>
      <c r="J576" s="977"/>
      <c r="K576" s="977"/>
      <c r="L576" s="977"/>
      <c r="M576" s="977"/>
      <c r="N576" s="977"/>
      <c r="O576" s="977"/>
      <c r="P576" s="977"/>
      <c r="Q576" s="977"/>
      <c r="R576" s="977"/>
      <c r="S576" s="977"/>
      <c r="T576" s="977"/>
      <c r="U576" s="977"/>
      <c r="V576" s="977"/>
      <c r="W576" s="977"/>
      <c r="X576" s="977"/>
      <c r="Y576" s="977"/>
      <c r="Z576" s="977"/>
      <c r="AA576" s="977"/>
      <c r="AB576" s="977"/>
      <c r="AC576" s="977"/>
      <c r="AD576" s="977"/>
      <c r="AE576" s="977"/>
      <c r="AF576" s="977"/>
      <c r="AG576" s="977"/>
      <c r="AH576" s="977"/>
      <c r="AI576" s="977"/>
      <c r="AJ576" s="977"/>
      <c r="AK576" s="977"/>
      <c r="AL576" s="977"/>
      <c r="AM576" s="977"/>
      <c r="AN576" s="977"/>
      <c r="AO576" s="977"/>
      <c r="AP576" s="977"/>
      <c r="AQ576" s="977"/>
    </row>
    <row r="577" spans="1:43" ht="14.25" customHeight="1">
      <c r="A577" s="977"/>
      <c r="B577" s="977"/>
      <c r="C577" s="977"/>
      <c r="D577" s="977"/>
      <c r="E577" s="977"/>
      <c r="F577" s="977"/>
      <c r="G577" s="977"/>
      <c r="H577" s="977"/>
      <c r="I577" s="977"/>
      <c r="J577" s="977"/>
      <c r="K577" s="977"/>
      <c r="L577" s="977"/>
      <c r="M577" s="977"/>
      <c r="N577" s="977"/>
      <c r="O577" s="977"/>
      <c r="P577" s="977"/>
      <c r="Q577" s="977"/>
      <c r="R577" s="977"/>
      <c r="S577" s="977"/>
      <c r="T577" s="977"/>
      <c r="U577" s="977"/>
      <c r="V577" s="977"/>
      <c r="W577" s="977"/>
      <c r="X577" s="977"/>
      <c r="Y577" s="977"/>
      <c r="Z577" s="977"/>
      <c r="AA577" s="977"/>
      <c r="AB577" s="977"/>
      <c r="AC577" s="977"/>
      <c r="AD577" s="977"/>
      <c r="AE577" s="977"/>
      <c r="AF577" s="977"/>
      <c r="AG577" s="977"/>
      <c r="AH577" s="977"/>
      <c r="AI577" s="977"/>
      <c r="AJ577" s="977"/>
      <c r="AK577" s="977"/>
      <c r="AL577" s="977"/>
      <c r="AM577" s="977"/>
      <c r="AN577" s="977"/>
      <c r="AO577" s="977"/>
      <c r="AP577" s="977"/>
      <c r="AQ577" s="977"/>
    </row>
    <row r="578" spans="1:43" ht="14.25" customHeight="1">
      <c r="A578" s="977"/>
      <c r="B578" s="977"/>
      <c r="C578" s="977"/>
      <c r="D578" s="977"/>
      <c r="E578" s="977"/>
      <c r="F578" s="977"/>
      <c r="G578" s="977"/>
      <c r="H578" s="977"/>
      <c r="I578" s="977"/>
      <c r="J578" s="977"/>
      <c r="K578" s="977"/>
      <c r="L578" s="977"/>
      <c r="M578" s="977"/>
      <c r="N578" s="977"/>
      <c r="O578" s="977"/>
      <c r="P578" s="977"/>
      <c r="Q578" s="977"/>
      <c r="R578" s="977"/>
      <c r="S578" s="977"/>
      <c r="T578" s="977"/>
      <c r="U578" s="977"/>
      <c r="V578" s="977"/>
      <c r="W578" s="977"/>
      <c r="X578" s="977"/>
      <c r="Y578" s="977"/>
      <c r="Z578" s="977"/>
      <c r="AA578" s="977"/>
      <c r="AB578" s="977"/>
      <c r="AC578" s="977"/>
      <c r="AD578" s="977"/>
      <c r="AE578" s="977"/>
      <c r="AF578" s="977"/>
      <c r="AG578" s="977"/>
      <c r="AH578" s="977"/>
      <c r="AI578" s="977"/>
      <c r="AJ578" s="977"/>
      <c r="AK578" s="977"/>
      <c r="AL578" s="977"/>
      <c r="AM578" s="977"/>
      <c r="AN578" s="977"/>
      <c r="AO578" s="977"/>
      <c r="AP578" s="977"/>
      <c r="AQ578" s="977"/>
    </row>
    <row r="579" spans="1:43" ht="14.25" customHeight="1">
      <c r="A579" s="977"/>
      <c r="B579" s="977"/>
      <c r="C579" s="977"/>
      <c r="D579" s="977"/>
      <c r="E579" s="977"/>
      <c r="F579" s="977"/>
      <c r="G579" s="977"/>
      <c r="H579" s="977"/>
      <c r="I579" s="977"/>
      <c r="J579" s="977"/>
      <c r="K579" s="977"/>
      <c r="L579" s="977"/>
      <c r="M579" s="977"/>
      <c r="N579" s="977"/>
      <c r="O579" s="977"/>
      <c r="P579" s="977"/>
      <c r="Q579" s="977"/>
      <c r="R579" s="977"/>
      <c r="S579" s="977"/>
      <c r="T579" s="977"/>
      <c r="U579" s="977"/>
      <c r="V579" s="977"/>
      <c r="W579" s="977"/>
      <c r="X579" s="977"/>
      <c r="Y579" s="977"/>
      <c r="Z579" s="977"/>
      <c r="AA579" s="977"/>
      <c r="AB579" s="977"/>
      <c r="AC579" s="977"/>
      <c r="AD579" s="977"/>
      <c r="AE579" s="977"/>
      <c r="AF579" s="977"/>
      <c r="AG579" s="977"/>
      <c r="AH579" s="977"/>
      <c r="AI579" s="977"/>
      <c r="AJ579" s="977"/>
      <c r="AK579" s="977"/>
      <c r="AL579" s="977"/>
      <c r="AM579" s="977"/>
      <c r="AN579" s="977"/>
      <c r="AO579" s="977"/>
      <c r="AP579" s="977"/>
      <c r="AQ579" s="977"/>
    </row>
    <row r="580" spans="1:43" ht="14.25" customHeight="1">
      <c r="A580" s="977"/>
      <c r="B580" s="977"/>
      <c r="C580" s="977"/>
      <c r="D580" s="977"/>
      <c r="E580" s="977"/>
      <c r="F580" s="977"/>
      <c r="G580" s="977"/>
      <c r="H580" s="977"/>
      <c r="I580" s="977"/>
      <c r="J580" s="977"/>
      <c r="K580" s="977"/>
      <c r="L580" s="977"/>
      <c r="M580" s="977"/>
      <c r="N580" s="977"/>
      <c r="O580" s="977"/>
      <c r="P580" s="977"/>
      <c r="Q580" s="977"/>
      <c r="R580" s="977"/>
      <c r="S580" s="977"/>
      <c r="T580" s="977"/>
      <c r="U580" s="977"/>
      <c r="V580" s="977"/>
      <c r="W580" s="977"/>
      <c r="X580" s="977"/>
      <c r="Y580" s="977"/>
      <c r="Z580" s="977"/>
      <c r="AA580" s="977"/>
      <c r="AB580" s="977"/>
      <c r="AC580" s="977"/>
      <c r="AD580" s="977"/>
      <c r="AE580" s="977"/>
      <c r="AF580" s="977"/>
      <c r="AG580" s="977"/>
      <c r="AH580" s="977"/>
      <c r="AI580" s="977"/>
      <c r="AJ580" s="977"/>
      <c r="AK580" s="977"/>
      <c r="AL580" s="977"/>
      <c r="AM580" s="977"/>
      <c r="AN580" s="977"/>
      <c r="AO580" s="977"/>
      <c r="AP580" s="977"/>
      <c r="AQ580" s="977"/>
    </row>
    <row r="581" spans="1:43" ht="14.25" customHeight="1">
      <c r="A581" s="977"/>
      <c r="B581" s="977"/>
      <c r="C581" s="977"/>
      <c r="D581" s="977"/>
      <c r="E581" s="977"/>
      <c r="F581" s="977"/>
      <c r="G581" s="977"/>
      <c r="H581" s="977"/>
      <c r="I581" s="977"/>
      <c r="J581" s="977"/>
      <c r="K581" s="977"/>
      <c r="L581" s="977"/>
      <c r="M581" s="977"/>
      <c r="N581" s="977"/>
      <c r="O581" s="977"/>
      <c r="P581" s="977"/>
      <c r="Q581" s="977"/>
      <c r="R581" s="977"/>
      <c r="S581" s="977"/>
      <c r="T581" s="977"/>
      <c r="U581" s="977"/>
      <c r="V581" s="977"/>
      <c r="W581" s="977"/>
      <c r="X581" s="977"/>
      <c r="Y581" s="977"/>
      <c r="Z581" s="977"/>
      <c r="AA581" s="977"/>
      <c r="AB581" s="977"/>
      <c r="AC581" s="977"/>
      <c r="AD581" s="977"/>
      <c r="AE581" s="977"/>
      <c r="AF581" s="977"/>
      <c r="AG581" s="977"/>
      <c r="AH581" s="977"/>
      <c r="AI581" s="977"/>
      <c r="AJ581" s="977"/>
      <c r="AK581" s="977"/>
      <c r="AL581" s="977"/>
      <c r="AM581" s="977"/>
      <c r="AN581" s="977"/>
      <c r="AO581" s="977"/>
      <c r="AP581" s="977"/>
      <c r="AQ581" s="977"/>
    </row>
    <row r="582" spans="1:43" ht="14.25" customHeight="1">
      <c r="A582" s="977"/>
      <c r="B582" s="977"/>
      <c r="C582" s="977"/>
      <c r="D582" s="977"/>
      <c r="E582" s="977"/>
      <c r="F582" s="977"/>
      <c r="G582" s="977"/>
      <c r="H582" s="977"/>
      <c r="I582" s="977"/>
      <c r="J582" s="977"/>
      <c r="K582" s="977"/>
      <c r="L582" s="977"/>
      <c r="M582" s="977"/>
      <c r="N582" s="977"/>
      <c r="O582" s="977"/>
      <c r="P582" s="977"/>
      <c r="Q582" s="977"/>
      <c r="R582" s="977"/>
      <c r="S582" s="977"/>
      <c r="T582" s="977"/>
      <c r="U582" s="977"/>
      <c r="V582" s="977"/>
      <c r="W582" s="977"/>
      <c r="X582" s="977"/>
      <c r="Y582" s="977"/>
      <c r="Z582" s="977"/>
      <c r="AA582" s="977"/>
      <c r="AB582" s="977"/>
      <c r="AC582" s="977"/>
      <c r="AD582" s="977"/>
      <c r="AE582" s="977"/>
      <c r="AF582" s="977"/>
      <c r="AG582" s="977"/>
      <c r="AH582" s="977"/>
      <c r="AI582" s="977"/>
      <c r="AJ582" s="977"/>
      <c r="AK582" s="977"/>
      <c r="AL582" s="977"/>
      <c r="AM582" s="977"/>
      <c r="AN582" s="977"/>
      <c r="AO582" s="977"/>
      <c r="AP582" s="977"/>
      <c r="AQ582" s="977"/>
    </row>
    <row r="583" spans="1:43" ht="14.25" customHeight="1">
      <c r="A583" s="977"/>
      <c r="B583" s="977"/>
      <c r="C583" s="977"/>
      <c r="D583" s="977"/>
      <c r="E583" s="977"/>
      <c r="F583" s="977"/>
      <c r="G583" s="977"/>
      <c r="H583" s="977"/>
      <c r="I583" s="977"/>
      <c r="J583" s="977"/>
      <c r="K583" s="977"/>
      <c r="L583" s="977"/>
      <c r="M583" s="977"/>
      <c r="N583" s="977"/>
      <c r="O583" s="977"/>
      <c r="P583" s="977"/>
      <c r="Q583" s="977"/>
      <c r="R583" s="977"/>
      <c r="S583" s="977"/>
      <c r="T583" s="977"/>
      <c r="U583" s="977"/>
      <c r="V583" s="977"/>
      <c r="W583" s="977"/>
      <c r="X583" s="977"/>
      <c r="Y583" s="977"/>
      <c r="Z583" s="977"/>
      <c r="AA583" s="977"/>
      <c r="AB583" s="977"/>
      <c r="AC583" s="977"/>
      <c r="AD583" s="977"/>
      <c r="AE583" s="977"/>
      <c r="AF583" s="977"/>
      <c r="AG583" s="977"/>
      <c r="AH583" s="977"/>
      <c r="AI583" s="977"/>
      <c r="AJ583" s="977"/>
      <c r="AK583" s="977"/>
      <c r="AL583" s="977"/>
      <c r="AM583" s="977"/>
      <c r="AN583" s="977"/>
      <c r="AO583" s="977"/>
      <c r="AP583" s="977"/>
      <c r="AQ583" s="977"/>
    </row>
    <row r="584" spans="1:43" ht="14.25" customHeight="1">
      <c r="A584" s="977"/>
      <c r="B584" s="977"/>
      <c r="C584" s="977"/>
      <c r="D584" s="977"/>
      <c r="E584" s="977"/>
      <c r="F584" s="977"/>
      <c r="G584" s="977"/>
      <c r="H584" s="977"/>
      <c r="I584" s="977"/>
      <c r="J584" s="977"/>
      <c r="K584" s="977"/>
      <c r="L584" s="977"/>
      <c r="M584" s="977"/>
      <c r="N584" s="977"/>
      <c r="O584" s="977"/>
      <c r="P584" s="977"/>
      <c r="Q584" s="977"/>
      <c r="R584" s="977"/>
      <c r="S584" s="977"/>
      <c r="T584" s="977"/>
      <c r="U584" s="977"/>
      <c r="V584" s="977"/>
      <c r="W584" s="977"/>
      <c r="X584" s="977"/>
      <c r="Y584" s="977"/>
      <c r="Z584" s="977"/>
      <c r="AA584" s="977"/>
      <c r="AB584" s="977"/>
      <c r="AC584" s="977"/>
      <c r="AD584" s="977"/>
      <c r="AE584" s="977"/>
      <c r="AF584" s="977"/>
      <c r="AG584" s="977"/>
      <c r="AH584" s="977"/>
      <c r="AI584" s="977"/>
      <c r="AJ584" s="977"/>
      <c r="AK584" s="977"/>
      <c r="AL584" s="977"/>
      <c r="AM584" s="977"/>
      <c r="AN584" s="977"/>
      <c r="AO584" s="977"/>
      <c r="AP584" s="977"/>
      <c r="AQ584" s="977"/>
    </row>
    <row r="585" spans="1:43" ht="14.25" customHeight="1">
      <c r="A585" s="977"/>
      <c r="B585" s="977"/>
      <c r="C585" s="977"/>
      <c r="D585" s="977"/>
      <c r="E585" s="977"/>
      <c r="F585" s="977"/>
      <c r="G585" s="977"/>
      <c r="H585" s="977"/>
      <c r="I585" s="977"/>
      <c r="J585" s="977"/>
      <c r="K585" s="977"/>
      <c r="L585" s="977"/>
      <c r="M585" s="977"/>
      <c r="N585" s="977"/>
      <c r="O585" s="977"/>
      <c r="P585" s="977"/>
      <c r="Q585" s="977"/>
      <c r="R585" s="977"/>
      <c r="S585" s="977"/>
      <c r="T585" s="977"/>
      <c r="U585" s="977"/>
      <c r="V585" s="977"/>
      <c r="W585" s="977"/>
      <c r="X585" s="977"/>
      <c r="Y585" s="977"/>
      <c r="Z585" s="977"/>
      <c r="AA585" s="977"/>
      <c r="AB585" s="977"/>
      <c r="AC585" s="977"/>
      <c r="AD585" s="977"/>
      <c r="AE585" s="977"/>
      <c r="AF585" s="977"/>
      <c r="AG585" s="977"/>
      <c r="AH585" s="977"/>
      <c r="AI585" s="977"/>
      <c r="AJ585" s="977"/>
      <c r="AK585" s="977"/>
      <c r="AL585" s="977"/>
      <c r="AM585" s="977"/>
      <c r="AN585" s="977"/>
      <c r="AO585" s="977"/>
      <c r="AP585" s="977"/>
      <c r="AQ585" s="977"/>
    </row>
    <row r="586" spans="1:43" ht="14.25" customHeight="1">
      <c r="A586" s="977"/>
      <c r="B586" s="977"/>
      <c r="C586" s="977"/>
      <c r="D586" s="977"/>
      <c r="E586" s="977"/>
      <c r="F586" s="977"/>
      <c r="G586" s="977"/>
      <c r="H586" s="977"/>
      <c r="I586" s="977"/>
      <c r="J586" s="977"/>
      <c r="K586" s="977"/>
      <c r="L586" s="977"/>
      <c r="M586" s="977"/>
      <c r="N586" s="977"/>
      <c r="O586" s="977"/>
      <c r="P586" s="977"/>
      <c r="Q586" s="977"/>
      <c r="R586" s="977"/>
      <c r="S586" s="977"/>
      <c r="T586" s="977"/>
      <c r="U586" s="977"/>
      <c r="V586" s="977"/>
      <c r="W586" s="977"/>
      <c r="X586" s="977"/>
      <c r="Y586" s="977"/>
      <c r="Z586" s="977"/>
      <c r="AA586" s="977"/>
      <c r="AB586" s="977"/>
      <c r="AC586" s="977"/>
      <c r="AD586" s="977"/>
      <c r="AE586" s="977"/>
      <c r="AF586" s="977"/>
      <c r="AG586" s="977"/>
      <c r="AH586" s="977"/>
      <c r="AI586" s="977"/>
      <c r="AJ586" s="977"/>
      <c r="AK586" s="977"/>
      <c r="AL586" s="977"/>
      <c r="AM586" s="977"/>
      <c r="AN586" s="977"/>
      <c r="AO586" s="977"/>
      <c r="AP586" s="977"/>
      <c r="AQ586" s="977"/>
    </row>
    <row r="587" spans="1:43" ht="14.25" customHeight="1">
      <c r="A587" s="977"/>
      <c r="B587" s="977"/>
      <c r="C587" s="977"/>
      <c r="D587" s="977"/>
      <c r="E587" s="977"/>
      <c r="F587" s="977"/>
      <c r="G587" s="977"/>
      <c r="H587" s="977"/>
      <c r="I587" s="977"/>
      <c r="J587" s="977"/>
      <c r="K587" s="977"/>
      <c r="L587" s="977"/>
      <c r="M587" s="977"/>
      <c r="N587" s="977"/>
      <c r="O587" s="977"/>
      <c r="P587" s="977"/>
      <c r="Q587" s="977"/>
      <c r="R587" s="977"/>
      <c r="S587" s="977"/>
      <c r="T587" s="977"/>
      <c r="U587" s="977"/>
      <c r="V587" s="977"/>
      <c r="W587" s="977"/>
      <c r="X587" s="977"/>
      <c r="Y587" s="977"/>
      <c r="Z587" s="977"/>
      <c r="AA587" s="977"/>
      <c r="AB587" s="977"/>
      <c r="AC587" s="977"/>
      <c r="AD587" s="977"/>
      <c r="AE587" s="977"/>
      <c r="AF587" s="977"/>
      <c r="AG587" s="977"/>
      <c r="AH587" s="977"/>
      <c r="AI587" s="977"/>
      <c r="AJ587" s="977"/>
      <c r="AK587" s="977"/>
      <c r="AL587" s="977"/>
      <c r="AM587" s="977"/>
      <c r="AN587" s="977"/>
      <c r="AO587" s="977"/>
      <c r="AP587" s="977"/>
      <c r="AQ587" s="977"/>
    </row>
    <row r="588" spans="1:43" ht="14.25" customHeight="1">
      <c r="A588" s="977"/>
      <c r="B588" s="977"/>
      <c r="C588" s="977"/>
      <c r="D588" s="977"/>
      <c r="E588" s="977"/>
      <c r="F588" s="977"/>
      <c r="G588" s="977"/>
      <c r="H588" s="977"/>
      <c r="I588" s="977"/>
      <c r="J588" s="977"/>
      <c r="K588" s="977"/>
      <c r="L588" s="977"/>
      <c r="M588" s="977"/>
      <c r="N588" s="977"/>
      <c r="O588" s="977"/>
      <c r="P588" s="977"/>
      <c r="Q588" s="977"/>
      <c r="R588" s="977"/>
      <c r="S588" s="977"/>
      <c r="T588" s="977"/>
      <c r="U588" s="977"/>
      <c r="V588" s="977"/>
      <c r="W588" s="977"/>
      <c r="X588" s="977"/>
      <c r="Y588" s="977"/>
      <c r="Z588" s="977"/>
      <c r="AA588" s="977"/>
      <c r="AB588" s="977"/>
      <c r="AC588" s="977"/>
      <c r="AD588" s="977"/>
      <c r="AE588" s="977"/>
      <c r="AF588" s="977"/>
      <c r="AG588" s="977"/>
      <c r="AH588" s="977"/>
      <c r="AI588" s="977"/>
      <c r="AJ588" s="977"/>
      <c r="AK588" s="977"/>
      <c r="AL588" s="977"/>
      <c r="AM588" s="977"/>
      <c r="AN588" s="977"/>
      <c r="AO588" s="977"/>
      <c r="AP588" s="977"/>
      <c r="AQ588" s="977"/>
    </row>
    <row r="589" spans="1:43" ht="14.25" customHeight="1">
      <c r="A589" s="977"/>
      <c r="B589" s="977"/>
      <c r="C589" s="977"/>
      <c r="D589" s="977"/>
      <c r="E589" s="977"/>
      <c r="F589" s="977"/>
      <c r="G589" s="977"/>
      <c r="H589" s="977"/>
      <c r="I589" s="977"/>
      <c r="J589" s="977"/>
      <c r="K589" s="977"/>
      <c r="L589" s="977"/>
      <c r="M589" s="977"/>
      <c r="N589" s="977"/>
      <c r="O589" s="977"/>
      <c r="P589" s="977"/>
      <c r="Q589" s="977"/>
      <c r="R589" s="977"/>
      <c r="S589" s="977"/>
      <c r="T589" s="977"/>
      <c r="U589" s="977"/>
      <c r="V589" s="977"/>
      <c r="W589" s="977"/>
      <c r="X589" s="977"/>
      <c r="Y589" s="977"/>
      <c r="Z589" s="977"/>
      <c r="AA589" s="977"/>
      <c r="AB589" s="977"/>
      <c r="AC589" s="977"/>
      <c r="AD589" s="977"/>
      <c r="AE589" s="977"/>
      <c r="AF589" s="977"/>
      <c r="AG589" s="977"/>
      <c r="AH589" s="977"/>
      <c r="AI589" s="977"/>
      <c r="AJ589" s="977"/>
      <c r="AK589" s="977"/>
      <c r="AL589" s="977"/>
      <c r="AM589" s="977"/>
      <c r="AN589" s="977"/>
      <c r="AO589" s="977"/>
      <c r="AP589" s="977"/>
      <c r="AQ589" s="977"/>
    </row>
    <row r="590" spans="1:43" ht="14.25" customHeight="1">
      <c r="A590" s="977"/>
      <c r="B590" s="977"/>
      <c r="C590" s="977"/>
      <c r="D590" s="977"/>
      <c r="E590" s="977"/>
      <c r="F590" s="977"/>
      <c r="G590" s="977"/>
      <c r="H590" s="977"/>
      <c r="I590" s="977"/>
      <c r="J590" s="977"/>
      <c r="K590" s="977"/>
      <c r="L590" s="977"/>
      <c r="M590" s="977"/>
      <c r="N590" s="977"/>
      <c r="O590" s="977"/>
      <c r="P590" s="977"/>
      <c r="Q590" s="977"/>
      <c r="R590" s="977"/>
      <c r="S590" s="977"/>
      <c r="T590" s="977"/>
      <c r="U590" s="977"/>
      <c r="V590" s="977"/>
      <c r="W590" s="977"/>
      <c r="X590" s="977"/>
      <c r="Y590" s="977"/>
      <c r="Z590" s="977"/>
      <c r="AA590" s="977"/>
      <c r="AB590" s="977"/>
      <c r="AC590" s="977"/>
      <c r="AD590" s="977"/>
      <c r="AE590" s="977"/>
      <c r="AF590" s="977"/>
      <c r="AG590" s="977"/>
      <c r="AH590" s="977"/>
      <c r="AI590" s="977"/>
      <c r="AJ590" s="977"/>
      <c r="AK590" s="977"/>
      <c r="AL590" s="977"/>
      <c r="AM590" s="977"/>
      <c r="AN590" s="977"/>
      <c r="AO590" s="977"/>
      <c r="AP590" s="977"/>
      <c r="AQ590" s="977"/>
    </row>
    <row r="591" spans="1:43" ht="14.25" customHeight="1">
      <c r="A591" s="977"/>
      <c r="B591" s="977"/>
      <c r="C591" s="977"/>
      <c r="D591" s="977"/>
      <c r="E591" s="977"/>
      <c r="F591" s="977"/>
      <c r="G591" s="977"/>
      <c r="H591" s="977"/>
      <c r="I591" s="977"/>
      <c r="J591" s="977"/>
      <c r="K591" s="977"/>
      <c r="L591" s="977"/>
      <c r="M591" s="977"/>
      <c r="N591" s="977"/>
      <c r="O591" s="977"/>
      <c r="P591" s="977"/>
      <c r="Q591" s="977"/>
      <c r="R591" s="977"/>
      <c r="S591" s="977"/>
      <c r="T591" s="977"/>
      <c r="U591" s="977"/>
      <c r="V591" s="977"/>
      <c r="W591" s="977"/>
      <c r="X591" s="977"/>
      <c r="Y591" s="977"/>
      <c r="Z591" s="977"/>
      <c r="AA591" s="977"/>
      <c r="AB591" s="977"/>
      <c r="AC591" s="977"/>
      <c r="AD591" s="977"/>
      <c r="AE591" s="977"/>
      <c r="AF591" s="977"/>
      <c r="AG591" s="977"/>
      <c r="AH591" s="977"/>
      <c r="AI591" s="977"/>
      <c r="AJ591" s="977"/>
      <c r="AK591" s="977"/>
      <c r="AL591" s="977"/>
      <c r="AM591" s="977"/>
      <c r="AN591" s="977"/>
      <c r="AO591" s="977"/>
      <c r="AP591" s="977"/>
      <c r="AQ591" s="977"/>
    </row>
    <row r="592" spans="1:43" ht="14.25" customHeight="1">
      <c r="A592" s="977"/>
      <c r="B592" s="977"/>
      <c r="C592" s="977"/>
      <c r="D592" s="977"/>
      <c r="E592" s="977"/>
      <c r="F592" s="977"/>
      <c r="G592" s="977"/>
      <c r="H592" s="977"/>
      <c r="I592" s="977"/>
      <c r="J592" s="977"/>
      <c r="K592" s="977"/>
      <c r="L592" s="977"/>
      <c r="M592" s="977"/>
      <c r="N592" s="977"/>
      <c r="O592" s="977"/>
      <c r="P592" s="977"/>
      <c r="Q592" s="977"/>
      <c r="R592" s="977"/>
      <c r="S592" s="977"/>
      <c r="T592" s="977"/>
      <c r="U592" s="977"/>
      <c r="V592" s="977"/>
      <c r="W592" s="977"/>
      <c r="X592" s="977"/>
      <c r="Y592" s="977"/>
      <c r="Z592" s="977"/>
      <c r="AA592" s="977"/>
      <c r="AB592" s="977"/>
      <c r="AC592" s="977"/>
      <c r="AD592" s="977"/>
      <c r="AE592" s="977"/>
      <c r="AF592" s="977"/>
      <c r="AG592" s="977"/>
      <c r="AH592" s="977"/>
      <c r="AI592" s="977"/>
      <c r="AJ592" s="977"/>
      <c r="AK592" s="977"/>
      <c r="AL592" s="977"/>
      <c r="AM592" s="977"/>
      <c r="AN592" s="977"/>
      <c r="AO592" s="977"/>
      <c r="AP592" s="977"/>
      <c r="AQ592" s="977"/>
    </row>
    <row r="593" spans="1:43" ht="14.25" customHeight="1">
      <c r="A593" s="977"/>
      <c r="B593" s="977"/>
      <c r="C593" s="977"/>
      <c r="D593" s="977"/>
      <c r="E593" s="977"/>
      <c r="F593" s="977"/>
      <c r="G593" s="977"/>
      <c r="H593" s="977"/>
      <c r="I593" s="977"/>
      <c r="J593" s="977"/>
      <c r="K593" s="977"/>
      <c r="L593" s="977"/>
      <c r="M593" s="977"/>
      <c r="N593" s="977"/>
      <c r="O593" s="977"/>
      <c r="P593" s="977"/>
      <c r="Q593" s="977"/>
      <c r="R593" s="977"/>
      <c r="S593" s="977"/>
      <c r="T593" s="977"/>
      <c r="U593" s="977"/>
      <c r="V593" s="977"/>
      <c r="W593" s="977"/>
      <c r="X593" s="977"/>
      <c r="Y593" s="977"/>
      <c r="Z593" s="977"/>
      <c r="AA593" s="977"/>
      <c r="AB593" s="977"/>
      <c r="AC593" s="977"/>
      <c r="AD593" s="977"/>
      <c r="AE593" s="977"/>
      <c r="AF593" s="977"/>
      <c r="AG593" s="977"/>
      <c r="AH593" s="977"/>
      <c r="AI593" s="977"/>
      <c r="AJ593" s="977"/>
      <c r="AK593" s="977"/>
      <c r="AL593" s="977"/>
      <c r="AM593" s="977"/>
      <c r="AN593" s="977"/>
      <c r="AO593" s="977"/>
      <c r="AP593" s="977"/>
      <c r="AQ593" s="977"/>
    </row>
    <row r="594" spans="1:43" ht="14.25" customHeight="1">
      <c r="A594" s="977"/>
      <c r="B594" s="977"/>
      <c r="C594" s="977"/>
      <c r="D594" s="977"/>
      <c r="E594" s="977"/>
      <c r="F594" s="977"/>
      <c r="G594" s="977"/>
      <c r="H594" s="977"/>
      <c r="I594" s="977"/>
      <c r="J594" s="977"/>
      <c r="K594" s="977"/>
      <c r="L594" s="977"/>
      <c r="M594" s="977"/>
      <c r="N594" s="977"/>
      <c r="O594" s="977"/>
      <c r="P594" s="977"/>
      <c r="Q594" s="977"/>
      <c r="R594" s="977"/>
      <c r="S594" s="977"/>
      <c r="T594" s="977"/>
      <c r="U594" s="977"/>
      <c r="V594" s="977"/>
      <c r="W594" s="977"/>
      <c r="X594" s="977"/>
      <c r="Y594" s="977"/>
      <c r="Z594" s="977"/>
      <c r="AA594" s="977"/>
      <c r="AB594" s="977"/>
      <c r="AC594" s="977"/>
      <c r="AD594" s="977"/>
      <c r="AE594" s="977"/>
      <c r="AF594" s="977"/>
      <c r="AG594" s="977"/>
      <c r="AH594" s="977"/>
      <c r="AI594" s="977"/>
      <c r="AJ594" s="977"/>
      <c r="AK594" s="977"/>
      <c r="AL594" s="977"/>
      <c r="AM594" s="977"/>
      <c r="AN594" s="977"/>
      <c r="AO594" s="977"/>
      <c r="AP594" s="977"/>
      <c r="AQ594" s="977"/>
    </row>
    <row r="595" spans="1:43" ht="14.25" customHeight="1">
      <c r="A595" s="977"/>
      <c r="B595" s="977"/>
      <c r="C595" s="977"/>
      <c r="D595" s="977"/>
      <c r="E595" s="977"/>
      <c r="F595" s="977"/>
      <c r="G595" s="977"/>
      <c r="H595" s="977"/>
      <c r="I595" s="977"/>
      <c r="J595" s="977"/>
      <c r="K595" s="977"/>
      <c r="L595" s="977"/>
      <c r="M595" s="977"/>
      <c r="N595" s="977"/>
      <c r="O595" s="977"/>
      <c r="P595" s="977"/>
      <c r="Q595" s="977"/>
      <c r="R595" s="977"/>
      <c r="S595" s="977"/>
      <c r="T595" s="977"/>
      <c r="U595" s="977"/>
      <c r="V595" s="977"/>
      <c r="W595" s="977"/>
      <c r="X595" s="977"/>
      <c r="Y595" s="977"/>
      <c r="Z595" s="977"/>
      <c r="AA595" s="977"/>
      <c r="AB595" s="977"/>
      <c r="AC595" s="977"/>
      <c r="AD595" s="977"/>
      <c r="AE595" s="977"/>
      <c r="AF595" s="977"/>
      <c r="AG595" s="977"/>
      <c r="AH595" s="977"/>
      <c r="AI595" s="977"/>
      <c r="AJ595" s="977"/>
      <c r="AK595" s="977"/>
      <c r="AL595" s="977"/>
      <c r="AM595" s="977"/>
      <c r="AN595" s="977"/>
      <c r="AO595" s="977"/>
      <c r="AP595" s="977"/>
      <c r="AQ595" s="977"/>
    </row>
    <row r="596" spans="1:43" ht="14.25" customHeight="1">
      <c r="A596" s="977"/>
      <c r="B596" s="977"/>
      <c r="C596" s="977"/>
      <c r="D596" s="977"/>
      <c r="E596" s="977"/>
      <c r="F596" s="977"/>
      <c r="G596" s="977"/>
      <c r="H596" s="977"/>
      <c r="I596" s="977"/>
      <c r="J596" s="977"/>
      <c r="K596" s="977"/>
      <c r="L596" s="977"/>
      <c r="M596" s="977"/>
      <c r="N596" s="977"/>
      <c r="O596" s="977"/>
      <c r="P596" s="977"/>
      <c r="Q596" s="977"/>
      <c r="R596" s="977"/>
      <c r="S596" s="977"/>
      <c r="T596" s="977"/>
      <c r="U596" s="977"/>
      <c r="V596" s="977"/>
      <c r="W596" s="977"/>
      <c r="X596" s="977"/>
      <c r="Y596" s="977"/>
      <c r="Z596" s="977"/>
      <c r="AA596" s="977"/>
      <c r="AB596" s="977"/>
      <c r="AC596" s="977"/>
      <c r="AD596" s="977"/>
      <c r="AE596" s="977"/>
      <c r="AF596" s="977"/>
      <c r="AG596" s="977"/>
      <c r="AH596" s="977"/>
      <c r="AI596" s="977"/>
      <c r="AJ596" s="977"/>
      <c r="AK596" s="977"/>
      <c r="AL596" s="977"/>
      <c r="AM596" s="977"/>
      <c r="AN596" s="977"/>
      <c r="AO596" s="977"/>
      <c r="AP596" s="977"/>
      <c r="AQ596" s="977"/>
    </row>
    <row r="597" spans="1:43" ht="14.25" customHeight="1">
      <c r="A597" s="977"/>
      <c r="B597" s="977"/>
      <c r="C597" s="977"/>
      <c r="D597" s="977"/>
      <c r="E597" s="977"/>
      <c r="F597" s="977"/>
      <c r="G597" s="977"/>
      <c r="H597" s="977"/>
      <c r="I597" s="977"/>
      <c r="J597" s="977"/>
      <c r="K597" s="977"/>
      <c r="L597" s="977"/>
      <c r="M597" s="977"/>
      <c r="N597" s="977"/>
      <c r="O597" s="977"/>
      <c r="P597" s="977"/>
      <c r="Q597" s="977"/>
      <c r="R597" s="977"/>
      <c r="S597" s="977"/>
      <c r="T597" s="977"/>
      <c r="U597" s="977"/>
      <c r="V597" s="977"/>
      <c r="W597" s="977"/>
      <c r="X597" s="977"/>
      <c r="Y597" s="977"/>
      <c r="Z597" s="977"/>
      <c r="AA597" s="977"/>
      <c r="AB597" s="977"/>
      <c r="AC597" s="977"/>
      <c r="AD597" s="977"/>
      <c r="AE597" s="977"/>
      <c r="AF597" s="977"/>
      <c r="AG597" s="977"/>
      <c r="AH597" s="977"/>
      <c r="AI597" s="977"/>
      <c r="AJ597" s="977"/>
      <c r="AK597" s="977"/>
      <c r="AL597" s="977"/>
      <c r="AM597" s="977"/>
      <c r="AN597" s="977"/>
      <c r="AO597" s="977"/>
      <c r="AP597" s="977"/>
      <c r="AQ597" s="977"/>
    </row>
    <row r="598" spans="1:43" ht="14.25" customHeight="1">
      <c r="A598" s="977"/>
      <c r="B598" s="977"/>
      <c r="C598" s="977"/>
      <c r="D598" s="977"/>
      <c r="E598" s="977"/>
      <c r="F598" s="977"/>
      <c r="G598" s="977"/>
      <c r="H598" s="977"/>
      <c r="I598" s="977"/>
      <c r="J598" s="977"/>
      <c r="K598" s="977"/>
      <c r="L598" s="977"/>
      <c r="M598" s="977"/>
      <c r="N598" s="977"/>
      <c r="O598" s="977"/>
      <c r="P598" s="977"/>
      <c r="Q598" s="977"/>
      <c r="R598" s="977"/>
      <c r="S598" s="977"/>
      <c r="T598" s="977"/>
      <c r="U598" s="977"/>
      <c r="V598" s="977"/>
      <c r="W598" s="977"/>
      <c r="X598" s="977"/>
      <c r="Y598" s="977"/>
      <c r="Z598" s="977"/>
      <c r="AA598" s="977"/>
      <c r="AB598" s="977"/>
      <c r="AC598" s="977"/>
      <c r="AD598" s="977"/>
      <c r="AE598" s="977"/>
      <c r="AF598" s="977"/>
      <c r="AG598" s="977"/>
      <c r="AH598" s="977"/>
      <c r="AI598" s="977"/>
      <c r="AJ598" s="977"/>
      <c r="AK598" s="977"/>
      <c r="AL598" s="977"/>
      <c r="AM598" s="977"/>
      <c r="AN598" s="977"/>
      <c r="AO598" s="977"/>
      <c r="AP598" s="977"/>
      <c r="AQ598" s="977"/>
    </row>
    <row r="599" spans="1:43" ht="14.25" customHeight="1">
      <c r="A599" s="977"/>
      <c r="B599" s="977"/>
      <c r="C599" s="977"/>
      <c r="D599" s="977"/>
      <c r="E599" s="977"/>
      <c r="F599" s="977"/>
      <c r="G599" s="977"/>
      <c r="H599" s="977"/>
      <c r="I599" s="977"/>
      <c r="J599" s="977"/>
      <c r="K599" s="977"/>
      <c r="L599" s="977"/>
      <c r="M599" s="977"/>
      <c r="N599" s="977"/>
      <c r="O599" s="977"/>
      <c r="P599" s="977"/>
      <c r="Q599" s="977"/>
      <c r="R599" s="977"/>
      <c r="S599" s="977"/>
      <c r="T599" s="977"/>
      <c r="U599" s="977"/>
      <c r="V599" s="977"/>
      <c r="W599" s="977"/>
      <c r="X599" s="977"/>
      <c r="Y599" s="977"/>
      <c r="Z599" s="977"/>
      <c r="AA599" s="977"/>
      <c r="AB599" s="977"/>
      <c r="AC599" s="977"/>
      <c r="AD599" s="977"/>
      <c r="AE599" s="977"/>
      <c r="AF599" s="977"/>
      <c r="AG599" s="977"/>
      <c r="AH599" s="977"/>
      <c r="AI599" s="977"/>
      <c r="AJ599" s="977"/>
      <c r="AK599" s="977"/>
      <c r="AL599" s="977"/>
      <c r="AM599" s="977"/>
      <c r="AN599" s="977"/>
      <c r="AO599" s="977"/>
      <c r="AP599" s="977"/>
      <c r="AQ599" s="977"/>
    </row>
    <row r="600" spans="1:43" ht="14.25" customHeight="1">
      <c r="A600" s="977"/>
      <c r="B600" s="977"/>
      <c r="C600" s="977"/>
      <c r="D600" s="977"/>
      <c r="E600" s="977"/>
      <c r="F600" s="977"/>
      <c r="G600" s="977"/>
      <c r="H600" s="977"/>
      <c r="I600" s="977"/>
      <c r="J600" s="977"/>
      <c r="K600" s="977"/>
      <c r="L600" s="977"/>
      <c r="M600" s="977"/>
      <c r="N600" s="977"/>
      <c r="O600" s="977"/>
      <c r="P600" s="977"/>
      <c r="Q600" s="977"/>
      <c r="R600" s="977"/>
      <c r="S600" s="977"/>
      <c r="T600" s="977"/>
      <c r="U600" s="977"/>
      <c r="V600" s="977"/>
      <c r="W600" s="977"/>
      <c r="X600" s="977"/>
      <c r="Y600" s="977"/>
      <c r="Z600" s="977"/>
      <c r="AA600" s="977"/>
      <c r="AB600" s="977"/>
      <c r="AC600" s="977"/>
      <c r="AD600" s="977"/>
      <c r="AE600" s="977"/>
      <c r="AF600" s="977"/>
      <c r="AG600" s="977"/>
      <c r="AH600" s="977"/>
      <c r="AI600" s="977"/>
      <c r="AJ600" s="977"/>
      <c r="AK600" s="977"/>
      <c r="AL600" s="977"/>
      <c r="AM600" s="977"/>
      <c r="AN600" s="977"/>
      <c r="AO600" s="977"/>
      <c r="AP600" s="977"/>
      <c r="AQ600" s="977"/>
    </row>
    <row r="601" spans="1:43" ht="14.25" customHeight="1">
      <c r="A601" s="977"/>
      <c r="B601" s="977"/>
      <c r="C601" s="977"/>
      <c r="D601" s="977"/>
      <c r="E601" s="977"/>
      <c r="F601" s="977"/>
      <c r="G601" s="977"/>
      <c r="H601" s="977"/>
      <c r="I601" s="977"/>
      <c r="J601" s="977"/>
      <c r="K601" s="977"/>
      <c r="L601" s="977"/>
      <c r="M601" s="977"/>
      <c r="N601" s="977"/>
      <c r="O601" s="977"/>
      <c r="P601" s="977"/>
      <c r="Q601" s="977"/>
      <c r="R601" s="977"/>
      <c r="S601" s="977"/>
      <c r="T601" s="977"/>
      <c r="U601" s="977"/>
      <c r="V601" s="977"/>
      <c r="W601" s="977"/>
      <c r="X601" s="977"/>
      <c r="Y601" s="977"/>
      <c r="Z601" s="977"/>
      <c r="AA601" s="977"/>
      <c r="AB601" s="977"/>
      <c r="AC601" s="977"/>
      <c r="AD601" s="977"/>
      <c r="AE601" s="977"/>
      <c r="AF601" s="977"/>
      <c r="AG601" s="977"/>
      <c r="AH601" s="977"/>
      <c r="AI601" s="977"/>
      <c r="AJ601" s="977"/>
      <c r="AK601" s="977"/>
      <c r="AL601" s="977"/>
      <c r="AM601" s="977"/>
      <c r="AN601" s="977"/>
      <c r="AO601" s="977"/>
      <c r="AP601" s="977"/>
      <c r="AQ601" s="977"/>
    </row>
    <row r="602" spans="1:43" ht="14.25" customHeight="1">
      <c r="A602" s="977"/>
      <c r="B602" s="977"/>
      <c r="C602" s="977"/>
      <c r="D602" s="977"/>
      <c r="E602" s="977"/>
      <c r="F602" s="977"/>
      <c r="G602" s="977"/>
      <c r="H602" s="977"/>
      <c r="I602" s="977"/>
      <c r="J602" s="977"/>
      <c r="K602" s="977"/>
      <c r="L602" s="977"/>
      <c r="M602" s="977"/>
      <c r="N602" s="977"/>
      <c r="O602" s="977"/>
      <c r="P602" s="977"/>
      <c r="Q602" s="977"/>
      <c r="R602" s="977"/>
      <c r="S602" s="977"/>
      <c r="T602" s="977"/>
      <c r="U602" s="977"/>
      <c r="V602" s="977"/>
      <c r="W602" s="977"/>
      <c r="X602" s="977"/>
      <c r="Y602" s="977"/>
      <c r="Z602" s="977"/>
      <c r="AA602" s="977"/>
      <c r="AB602" s="977"/>
      <c r="AC602" s="977"/>
      <c r="AD602" s="977"/>
      <c r="AE602" s="977"/>
      <c r="AF602" s="977"/>
      <c r="AG602" s="977"/>
      <c r="AH602" s="977"/>
      <c r="AI602" s="977"/>
      <c r="AJ602" s="977"/>
      <c r="AK602" s="977"/>
      <c r="AL602" s="977"/>
      <c r="AM602" s="977"/>
      <c r="AN602" s="977"/>
      <c r="AO602" s="977"/>
      <c r="AP602" s="977"/>
      <c r="AQ602" s="977"/>
    </row>
    <row r="603" spans="1:43" ht="14.25" customHeight="1">
      <c r="A603" s="977"/>
      <c r="B603" s="977"/>
      <c r="C603" s="977"/>
      <c r="D603" s="977"/>
      <c r="E603" s="977"/>
      <c r="F603" s="977"/>
      <c r="G603" s="977"/>
      <c r="H603" s="977"/>
      <c r="I603" s="977"/>
      <c r="J603" s="977"/>
      <c r="K603" s="977"/>
      <c r="L603" s="977"/>
      <c r="M603" s="977"/>
      <c r="N603" s="977"/>
      <c r="O603" s="977"/>
      <c r="P603" s="977"/>
      <c r="Q603" s="977"/>
      <c r="R603" s="977"/>
      <c r="S603" s="977"/>
      <c r="T603" s="977"/>
      <c r="U603" s="977"/>
      <c r="V603" s="977"/>
      <c r="W603" s="977"/>
      <c r="X603" s="977"/>
      <c r="Y603" s="977"/>
      <c r="Z603" s="977"/>
      <c r="AA603" s="977"/>
      <c r="AB603" s="977"/>
      <c r="AC603" s="977"/>
      <c r="AD603" s="977"/>
      <c r="AE603" s="977"/>
      <c r="AF603" s="977"/>
      <c r="AG603" s="977"/>
      <c r="AH603" s="977"/>
      <c r="AI603" s="977"/>
      <c r="AJ603" s="977"/>
      <c r="AK603" s="977"/>
      <c r="AL603" s="977"/>
      <c r="AM603" s="977"/>
      <c r="AN603" s="977"/>
      <c r="AO603" s="977"/>
      <c r="AP603" s="977"/>
      <c r="AQ603" s="977"/>
    </row>
    <row r="604" spans="1:43" ht="14.25" customHeight="1">
      <c r="A604" s="977"/>
      <c r="B604" s="977"/>
      <c r="C604" s="977"/>
      <c r="D604" s="977"/>
      <c r="E604" s="977"/>
      <c r="F604" s="977"/>
      <c r="G604" s="977"/>
      <c r="H604" s="977"/>
      <c r="I604" s="977"/>
      <c r="J604" s="977"/>
      <c r="K604" s="977"/>
      <c r="L604" s="977"/>
      <c r="M604" s="977"/>
      <c r="N604" s="977"/>
      <c r="O604" s="977"/>
      <c r="P604" s="977"/>
      <c r="Q604" s="977"/>
      <c r="R604" s="977"/>
      <c r="S604" s="977"/>
      <c r="T604" s="977"/>
      <c r="U604" s="977"/>
      <c r="V604" s="977"/>
      <c r="W604" s="977"/>
      <c r="X604" s="977"/>
      <c r="Y604" s="977"/>
      <c r="Z604" s="977"/>
      <c r="AA604" s="977"/>
      <c r="AB604" s="977"/>
      <c r="AC604" s="977"/>
      <c r="AD604" s="977"/>
      <c r="AE604" s="977"/>
      <c r="AF604" s="977"/>
      <c r="AG604" s="977"/>
      <c r="AH604" s="977"/>
      <c r="AI604" s="977"/>
      <c r="AJ604" s="977"/>
      <c r="AK604" s="977"/>
      <c r="AL604" s="977"/>
      <c r="AM604" s="977"/>
      <c r="AN604" s="977"/>
      <c r="AO604" s="977"/>
      <c r="AP604" s="977"/>
      <c r="AQ604" s="977"/>
    </row>
    <row r="605" spans="1:43" ht="14.25" customHeight="1">
      <c r="A605" s="977"/>
      <c r="B605" s="977"/>
      <c r="C605" s="977"/>
      <c r="D605" s="977"/>
      <c r="E605" s="977"/>
      <c r="F605" s="977"/>
      <c r="G605" s="977"/>
      <c r="H605" s="977"/>
      <c r="I605" s="977"/>
      <c r="J605" s="977"/>
      <c r="K605" s="977"/>
      <c r="L605" s="977"/>
      <c r="M605" s="977"/>
      <c r="N605" s="977"/>
      <c r="O605" s="977"/>
      <c r="P605" s="977"/>
      <c r="Q605" s="977"/>
      <c r="R605" s="977"/>
      <c r="S605" s="977"/>
      <c r="T605" s="977"/>
      <c r="U605" s="977"/>
      <c r="V605" s="977"/>
      <c r="W605" s="977"/>
      <c r="X605" s="977"/>
      <c r="Y605" s="977"/>
      <c r="Z605" s="977"/>
      <c r="AA605" s="977"/>
      <c r="AB605" s="977"/>
      <c r="AC605" s="977"/>
      <c r="AD605" s="977"/>
      <c r="AE605" s="977"/>
      <c r="AF605" s="977"/>
      <c r="AG605" s="977"/>
      <c r="AH605" s="977"/>
      <c r="AI605" s="977"/>
      <c r="AJ605" s="977"/>
      <c r="AK605" s="977"/>
      <c r="AL605" s="977"/>
      <c r="AM605" s="977"/>
      <c r="AN605" s="977"/>
      <c r="AO605" s="977"/>
      <c r="AP605" s="977"/>
      <c r="AQ605" s="977"/>
    </row>
    <row r="606" spans="1:43" ht="14.25" customHeight="1">
      <c r="A606" s="977"/>
      <c r="B606" s="977"/>
      <c r="C606" s="977"/>
      <c r="D606" s="977"/>
      <c r="E606" s="977"/>
      <c r="F606" s="977"/>
      <c r="G606" s="977"/>
      <c r="H606" s="977"/>
      <c r="I606" s="977"/>
      <c r="J606" s="977"/>
      <c r="K606" s="977"/>
      <c r="L606" s="977"/>
      <c r="M606" s="977"/>
      <c r="N606" s="977"/>
      <c r="O606" s="977"/>
      <c r="P606" s="977"/>
      <c r="Q606" s="977"/>
      <c r="R606" s="977"/>
      <c r="S606" s="977"/>
      <c r="T606" s="977"/>
      <c r="U606" s="977"/>
      <c r="V606" s="977"/>
      <c r="W606" s="977"/>
      <c r="X606" s="977"/>
      <c r="Y606" s="977"/>
      <c r="Z606" s="977"/>
      <c r="AA606" s="977"/>
      <c r="AB606" s="977"/>
      <c r="AC606" s="977"/>
      <c r="AD606" s="977"/>
      <c r="AE606" s="977"/>
      <c r="AF606" s="977"/>
      <c r="AG606" s="977"/>
      <c r="AH606" s="977"/>
      <c r="AI606" s="977"/>
      <c r="AJ606" s="977"/>
      <c r="AK606" s="977"/>
      <c r="AL606" s="977"/>
      <c r="AM606" s="977"/>
      <c r="AN606" s="977"/>
      <c r="AO606" s="977"/>
      <c r="AP606" s="977"/>
      <c r="AQ606" s="977"/>
    </row>
    <row r="607" spans="1:43" ht="14.25" customHeight="1">
      <c r="A607" s="977"/>
      <c r="B607" s="977"/>
      <c r="C607" s="977"/>
      <c r="D607" s="977"/>
      <c r="E607" s="977"/>
      <c r="F607" s="977"/>
      <c r="G607" s="977"/>
      <c r="H607" s="977"/>
      <c r="I607" s="977"/>
      <c r="J607" s="977"/>
      <c r="K607" s="977"/>
      <c r="L607" s="977"/>
      <c r="M607" s="977"/>
      <c r="N607" s="977"/>
      <c r="O607" s="977"/>
      <c r="P607" s="977"/>
      <c r="Q607" s="977"/>
      <c r="R607" s="977"/>
      <c r="S607" s="977"/>
      <c r="T607" s="977"/>
      <c r="U607" s="977"/>
      <c r="V607" s="977"/>
      <c r="W607" s="977"/>
      <c r="X607" s="977"/>
      <c r="Y607" s="977"/>
      <c r="Z607" s="977"/>
      <c r="AA607" s="977"/>
      <c r="AB607" s="977"/>
      <c r="AC607" s="977"/>
      <c r="AD607" s="977"/>
      <c r="AE607" s="977"/>
      <c r="AF607" s="977"/>
      <c r="AG607" s="977"/>
      <c r="AH607" s="977"/>
      <c r="AI607" s="977"/>
      <c r="AJ607" s="977"/>
      <c r="AK607" s="977"/>
      <c r="AL607" s="977"/>
      <c r="AM607" s="977"/>
      <c r="AN607" s="977"/>
      <c r="AO607" s="977"/>
      <c r="AP607" s="977"/>
      <c r="AQ607" s="977"/>
    </row>
    <row r="608" spans="1:43" ht="14.25" customHeight="1">
      <c r="A608" s="977"/>
      <c r="B608" s="977"/>
      <c r="C608" s="977"/>
      <c r="D608" s="977"/>
      <c r="E608" s="977"/>
      <c r="F608" s="977"/>
      <c r="G608" s="977"/>
      <c r="H608" s="977"/>
      <c r="I608" s="977"/>
      <c r="J608" s="977"/>
      <c r="K608" s="977"/>
      <c r="L608" s="977"/>
      <c r="M608" s="977"/>
      <c r="N608" s="977"/>
      <c r="O608" s="977"/>
      <c r="P608" s="977"/>
      <c r="Q608" s="977"/>
      <c r="R608" s="977"/>
      <c r="S608" s="977"/>
      <c r="T608" s="977"/>
      <c r="U608" s="977"/>
      <c r="V608" s="977"/>
      <c r="W608" s="977"/>
      <c r="X608" s="977"/>
      <c r="Y608" s="977"/>
      <c r="Z608" s="977"/>
      <c r="AA608" s="977"/>
      <c r="AB608" s="977"/>
      <c r="AC608" s="977"/>
      <c r="AD608" s="977"/>
      <c r="AE608" s="977"/>
      <c r="AF608" s="977"/>
      <c r="AG608" s="977"/>
      <c r="AH608" s="977"/>
      <c r="AI608" s="977"/>
      <c r="AJ608" s="977"/>
      <c r="AK608" s="977"/>
      <c r="AL608" s="977"/>
      <c r="AM608" s="977"/>
      <c r="AN608" s="977"/>
      <c r="AO608" s="977"/>
      <c r="AP608" s="977"/>
      <c r="AQ608" s="977"/>
    </row>
    <row r="609" spans="1:43" ht="14.25" customHeight="1">
      <c r="A609" s="977"/>
      <c r="B609" s="977"/>
      <c r="C609" s="977"/>
      <c r="D609" s="977"/>
      <c r="E609" s="977"/>
      <c r="F609" s="977"/>
      <c r="G609" s="977"/>
      <c r="H609" s="977"/>
      <c r="I609" s="977"/>
      <c r="J609" s="977"/>
      <c r="K609" s="977"/>
      <c r="L609" s="977"/>
      <c r="M609" s="977"/>
      <c r="N609" s="977"/>
      <c r="O609" s="977"/>
      <c r="P609" s="977"/>
      <c r="Q609" s="977"/>
      <c r="R609" s="977"/>
      <c r="S609" s="977"/>
      <c r="T609" s="977"/>
      <c r="U609" s="977"/>
      <c r="V609" s="977"/>
      <c r="W609" s="977"/>
      <c r="X609" s="977"/>
      <c r="Y609" s="977"/>
      <c r="Z609" s="977"/>
      <c r="AA609" s="977"/>
      <c r="AB609" s="977"/>
      <c r="AC609" s="977"/>
      <c r="AD609" s="977"/>
      <c r="AE609" s="977"/>
      <c r="AF609" s="977"/>
      <c r="AG609" s="977"/>
      <c r="AH609" s="977"/>
      <c r="AI609" s="977"/>
      <c r="AJ609" s="977"/>
      <c r="AK609" s="977"/>
      <c r="AL609" s="977"/>
      <c r="AM609" s="977"/>
      <c r="AN609" s="977"/>
      <c r="AO609" s="977"/>
      <c r="AP609" s="977"/>
      <c r="AQ609" s="977"/>
    </row>
    <row r="610" spans="1:43" ht="14.25" customHeight="1">
      <c r="A610" s="977"/>
      <c r="B610" s="977"/>
      <c r="C610" s="977"/>
      <c r="D610" s="977"/>
      <c r="E610" s="977"/>
      <c r="F610" s="977"/>
      <c r="G610" s="977"/>
      <c r="H610" s="977"/>
      <c r="I610" s="977"/>
      <c r="J610" s="977"/>
      <c r="K610" s="977"/>
      <c r="L610" s="977"/>
      <c r="M610" s="977"/>
      <c r="N610" s="977"/>
      <c r="O610" s="977"/>
      <c r="P610" s="977"/>
      <c r="Q610" s="977"/>
      <c r="R610" s="977"/>
      <c r="S610" s="977"/>
      <c r="T610" s="977"/>
      <c r="U610" s="977"/>
      <c r="V610" s="977"/>
      <c r="W610" s="977"/>
      <c r="X610" s="977"/>
      <c r="Y610" s="977"/>
      <c r="Z610" s="977"/>
      <c r="AA610" s="977"/>
      <c r="AB610" s="977"/>
      <c r="AC610" s="977"/>
      <c r="AD610" s="977"/>
      <c r="AE610" s="977"/>
      <c r="AF610" s="977"/>
      <c r="AG610" s="977"/>
      <c r="AH610" s="977"/>
      <c r="AI610" s="977"/>
      <c r="AJ610" s="977"/>
      <c r="AK610" s="977"/>
      <c r="AL610" s="977"/>
      <c r="AM610" s="977"/>
      <c r="AN610" s="977"/>
      <c r="AO610" s="977"/>
      <c r="AP610" s="977"/>
      <c r="AQ610" s="977"/>
    </row>
    <row r="611" spans="1:43" ht="14.25" customHeight="1">
      <c r="A611" s="977"/>
      <c r="B611" s="977"/>
      <c r="C611" s="977"/>
      <c r="D611" s="977"/>
      <c r="E611" s="977"/>
      <c r="F611" s="977"/>
      <c r="G611" s="977"/>
      <c r="H611" s="977"/>
      <c r="I611" s="977"/>
      <c r="J611" s="977"/>
      <c r="K611" s="977"/>
      <c r="L611" s="977"/>
      <c r="M611" s="977"/>
      <c r="N611" s="977"/>
      <c r="O611" s="977"/>
      <c r="P611" s="977"/>
      <c r="Q611" s="977"/>
      <c r="R611" s="977"/>
      <c r="S611" s="977"/>
      <c r="T611" s="977"/>
      <c r="U611" s="977"/>
      <c r="V611" s="977"/>
      <c r="W611" s="977"/>
      <c r="X611" s="977"/>
      <c r="Y611" s="977"/>
      <c r="Z611" s="977"/>
      <c r="AA611" s="977"/>
      <c r="AB611" s="977"/>
      <c r="AC611" s="977"/>
      <c r="AD611" s="977"/>
      <c r="AE611" s="977"/>
      <c r="AF611" s="977"/>
      <c r="AG611" s="977"/>
      <c r="AH611" s="977"/>
      <c r="AI611" s="977"/>
      <c r="AJ611" s="977"/>
      <c r="AK611" s="977"/>
      <c r="AL611" s="977"/>
      <c r="AM611" s="977"/>
      <c r="AN611" s="977"/>
      <c r="AO611" s="977"/>
      <c r="AP611" s="977"/>
      <c r="AQ611" s="977"/>
    </row>
    <row r="612" spans="1:43" ht="14.25" customHeight="1">
      <c r="A612" s="977"/>
      <c r="B612" s="977"/>
      <c r="C612" s="977"/>
      <c r="D612" s="977"/>
      <c r="E612" s="977"/>
      <c r="F612" s="977"/>
      <c r="G612" s="977"/>
      <c r="H612" s="977"/>
      <c r="I612" s="977"/>
      <c r="J612" s="977"/>
      <c r="K612" s="977"/>
      <c r="L612" s="977"/>
      <c r="M612" s="977"/>
      <c r="N612" s="977"/>
      <c r="O612" s="977"/>
      <c r="P612" s="977"/>
      <c r="Q612" s="977"/>
      <c r="R612" s="977"/>
      <c r="S612" s="977"/>
      <c r="T612" s="977"/>
      <c r="U612" s="977"/>
      <c r="V612" s="977"/>
      <c r="W612" s="977"/>
      <c r="X612" s="977"/>
      <c r="Y612" s="977"/>
      <c r="Z612" s="977"/>
      <c r="AA612" s="977"/>
      <c r="AB612" s="977"/>
      <c r="AC612" s="977"/>
      <c r="AD612" s="977"/>
      <c r="AE612" s="977"/>
      <c r="AF612" s="977"/>
      <c r="AG612" s="977"/>
      <c r="AH612" s="977"/>
      <c r="AI612" s="977"/>
      <c r="AJ612" s="977"/>
      <c r="AK612" s="977"/>
      <c r="AL612" s="977"/>
      <c r="AM612" s="977"/>
      <c r="AN612" s="977"/>
      <c r="AO612" s="977"/>
      <c r="AP612" s="977"/>
      <c r="AQ612" s="977"/>
    </row>
    <row r="613" spans="1:43" ht="14.25" customHeight="1">
      <c r="A613" s="977"/>
      <c r="B613" s="977"/>
      <c r="C613" s="977"/>
      <c r="D613" s="977"/>
      <c r="E613" s="977"/>
      <c r="F613" s="977"/>
      <c r="G613" s="977"/>
      <c r="H613" s="977"/>
      <c r="I613" s="977"/>
      <c r="J613" s="977"/>
      <c r="K613" s="977"/>
      <c r="L613" s="977"/>
      <c r="M613" s="977"/>
      <c r="N613" s="977"/>
      <c r="O613" s="977"/>
      <c r="P613" s="977"/>
      <c r="Q613" s="977"/>
      <c r="R613" s="977"/>
      <c r="S613" s="977"/>
      <c r="T613" s="977"/>
      <c r="U613" s="977"/>
      <c r="V613" s="977"/>
      <c r="W613" s="977"/>
      <c r="X613" s="977"/>
      <c r="Y613" s="977"/>
      <c r="Z613" s="977"/>
      <c r="AA613" s="977"/>
      <c r="AB613" s="977"/>
      <c r="AC613" s="977"/>
      <c r="AD613" s="977"/>
      <c r="AE613" s="977"/>
      <c r="AF613" s="977"/>
      <c r="AG613" s="977"/>
      <c r="AH613" s="977"/>
      <c r="AI613" s="977"/>
      <c r="AJ613" s="977"/>
      <c r="AK613" s="977"/>
      <c r="AL613" s="977"/>
      <c r="AM613" s="977"/>
      <c r="AN613" s="977"/>
      <c r="AO613" s="977"/>
      <c r="AP613" s="977"/>
      <c r="AQ613" s="977"/>
    </row>
    <row r="614" spans="1:43" ht="14.25" customHeight="1">
      <c r="A614" s="977"/>
      <c r="B614" s="977"/>
      <c r="C614" s="977"/>
      <c r="D614" s="977"/>
      <c r="E614" s="977"/>
      <c r="F614" s="977"/>
      <c r="G614" s="977"/>
      <c r="H614" s="977"/>
      <c r="I614" s="977"/>
      <c r="J614" s="977"/>
      <c r="K614" s="977"/>
      <c r="L614" s="977"/>
      <c r="M614" s="977"/>
      <c r="N614" s="977"/>
      <c r="O614" s="977"/>
      <c r="P614" s="977"/>
      <c r="Q614" s="977"/>
      <c r="R614" s="977"/>
      <c r="S614" s="977"/>
      <c r="T614" s="977"/>
      <c r="U614" s="977"/>
      <c r="V614" s="977"/>
      <c r="W614" s="977"/>
      <c r="X614" s="977"/>
      <c r="Y614" s="977"/>
      <c r="Z614" s="977"/>
      <c r="AA614" s="977"/>
      <c r="AB614" s="977"/>
      <c r="AC614" s="977"/>
      <c r="AD614" s="977"/>
      <c r="AE614" s="977"/>
      <c r="AF614" s="977"/>
      <c r="AG614" s="977"/>
      <c r="AH614" s="977"/>
      <c r="AI614" s="977"/>
      <c r="AJ614" s="977"/>
      <c r="AK614" s="977"/>
      <c r="AL614" s="977"/>
      <c r="AM614" s="977"/>
      <c r="AN614" s="977"/>
      <c r="AO614" s="977"/>
      <c r="AP614" s="977"/>
      <c r="AQ614" s="977"/>
    </row>
    <row r="615" spans="1:43" ht="14.25" customHeight="1">
      <c r="A615" s="977"/>
      <c r="B615" s="977"/>
      <c r="C615" s="977"/>
      <c r="D615" s="977"/>
      <c r="E615" s="977"/>
      <c r="F615" s="977"/>
      <c r="G615" s="977"/>
      <c r="H615" s="977"/>
      <c r="I615" s="977"/>
      <c r="J615" s="977"/>
      <c r="K615" s="977"/>
      <c r="L615" s="977"/>
      <c r="M615" s="977"/>
      <c r="N615" s="977"/>
      <c r="O615" s="977"/>
      <c r="P615" s="977"/>
      <c r="Q615" s="977"/>
      <c r="R615" s="977"/>
      <c r="S615" s="977"/>
      <c r="T615" s="977"/>
      <c r="U615" s="977"/>
      <c r="V615" s="977"/>
      <c r="W615" s="977"/>
      <c r="X615" s="977"/>
      <c r="Y615" s="977"/>
      <c r="Z615" s="977"/>
      <c r="AA615" s="977"/>
      <c r="AB615" s="977"/>
      <c r="AC615" s="977"/>
      <c r="AD615" s="977"/>
      <c r="AE615" s="977"/>
      <c r="AF615" s="977"/>
      <c r="AG615" s="977"/>
      <c r="AH615" s="977"/>
      <c r="AI615" s="977"/>
      <c r="AJ615" s="977"/>
      <c r="AK615" s="977"/>
      <c r="AL615" s="977"/>
      <c r="AM615" s="977"/>
      <c r="AN615" s="977"/>
      <c r="AO615" s="977"/>
      <c r="AP615" s="977"/>
      <c r="AQ615" s="977"/>
    </row>
    <row r="616" spans="1:43" ht="14.25" customHeight="1">
      <c r="A616" s="977"/>
      <c r="B616" s="977"/>
      <c r="C616" s="977"/>
      <c r="D616" s="977"/>
      <c r="E616" s="977"/>
      <c r="F616" s="977"/>
      <c r="G616" s="977"/>
      <c r="H616" s="977"/>
      <c r="I616" s="977"/>
      <c r="J616" s="977"/>
      <c r="K616" s="977"/>
      <c r="L616" s="977"/>
      <c r="M616" s="977"/>
      <c r="N616" s="977"/>
      <c r="O616" s="977"/>
      <c r="P616" s="977"/>
      <c r="Q616" s="977"/>
      <c r="R616" s="977"/>
      <c r="S616" s="977"/>
      <c r="T616" s="977"/>
      <c r="U616" s="977"/>
      <c r="V616" s="977"/>
      <c r="W616" s="977"/>
      <c r="X616" s="977"/>
      <c r="Y616" s="977"/>
      <c r="Z616" s="977"/>
      <c r="AA616" s="977"/>
      <c r="AB616" s="977"/>
      <c r="AC616" s="977"/>
      <c r="AD616" s="977"/>
      <c r="AE616" s="977"/>
      <c r="AF616" s="977"/>
      <c r="AG616" s="977"/>
      <c r="AH616" s="977"/>
      <c r="AI616" s="977"/>
      <c r="AJ616" s="977"/>
      <c r="AK616" s="977"/>
      <c r="AL616" s="977"/>
      <c r="AM616" s="977"/>
      <c r="AN616" s="977"/>
      <c r="AO616" s="977"/>
      <c r="AP616" s="977"/>
      <c r="AQ616" s="977"/>
    </row>
    <row r="617" spans="1:43" ht="14.25" customHeight="1">
      <c r="A617" s="977"/>
      <c r="B617" s="977"/>
      <c r="C617" s="977"/>
      <c r="D617" s="977"/>
      <c r="E617" s="977"/>
      <c r="F617" s="977"/>
      <c r="G617" s="977"/>
      <c r="H617" s="977"/>
      <c r="I617" s="977"/>
      <c r="J617" s="977"/>
      <c r="K617" s="977"/>
      <c r="L617" s="977"/>
      <c r="M617" s="977"/>
      <c r="N617" s="977"/>
      <c r="O617" s="977"/>
      <c r="P617" s="977"/>
      <c r="Q617" s="977"/>
      <c r="R617" s="977"/>
      <c r="S617" s="977"/>
      <c r="T617" s="977"/>
      <c r="U617" s="977"/>
      <c r="V617" s="977"/>
      <c r="W617" s="977"/>
      <c r="X617" s="977"/>
      <c r="Y617" s="977"/>
      <c r="Z617" s="977"/>
      <c r="AA617" s="977"/>
      <c r="AB617" s="977"/>
      <c r="AC617" s="977"/>
      <c r="AD617" s="977"/>
      <c r="AE617" s="977"/>
      <c r="AF617" s="977"/>
      <c r="AG617" s="977"/>
      <c r="AH617" s="977"/>
      <c r="AI617" s="977"/>
      <c r="AJ617" s="977"/>
      <c r="AK617" s="977"/>
      <c r="AL617" s="977"/>
      <c r="AM617" s="977"/>
      <c r="AN617" s="977"/>
      <c r="AO617" s="977"/>
      <c r="AP617" s="977"/>
      <c r="AQ617" s="977"/>
    </row>
    <row r="618" spans="1:43" ht="14.25" customHeight="1">
      <c r="A618" s="977"/>
      <c r="B618" s="977"/>
      <c r="C618" s="977"/>
      <c r="D618" s="977"/>
      <c r="E618" s="977"/>
      <c r="F618" s="977"/>
      <c r="G618" s="977"/>
      <c r="H618" s="977"/>
      <c r="I618" s="977"/>
      <c r="J618" s="977"/>
      <c r="K618" s="977"/>
      <c r="L618" s="977"/>
      <c r="M618" s="977"/>
      <c r="N618" s="977"/>
      <c r="O618" s="977"/>
      <c r="P618" s="977"/>
      <c r="Q618" s="977"/>
      <c r="R618" s="977"/>
      <c r="S618" s="977"/>
      <c r="T618" s="977"/>
      <c r="U618" s="977"/>
      <c r="V618" s="977"/>
      <c r="W618" s="977"/>
      <c r="X618" s="977"/>
      <c r="Y618" s="977"/>
      <c r="Z618" s="977"/>
      <c r="AA618" s="977"/>
      <c r="AB618" s="977"/>
      <c r="AC618" s="977"/>
      <c r="AD618" s="977"/>
      <c r="AE618" s="977"/>
      <c r="AF618" s="977"/>
      <c r="AG618" s="977"/>
      <c r="AH618" s="977"/>
      <c r="AI618" s="977"/>
      <c r="AJ618" s="977"/>
      <c r="AK618" s="977"/>
      <c r="AL618" s="977"/>
      <c r="AM618" s="977"/>
      <c r="AN618" s="977"/>
      <c r="AO618" s="977"/>
      <c r="AP618" s="977"/>
      <c r="AQ618" s="977"/>
    </row>
    <row r="619" spans="1:43" ht="14.25" customHeight="1">
      <c r="A619" s="977"/>
      <c r="B619" s="977"/>
      <c r="C619" s="977"/>
      <c r="D619" s="977"/>
      <c r="E619" s="977"/>
      <c r="F619" s="977"/>
      <c r="G619" s="977"/>
      <c r="H619" s="977"/>
      <c r="I619" s="977"/>
      <c r="J619" s="977"/>
      <c r="K619" s="977"/>
      <c r="L619" s="977"/>
      <c r="M619" s="977"/>
      <c r="N619" s="977"/>
      <c r="O619" s="977"/>
      <c r="P619" s="977"/>
      <c r="Q619" s="977"/>
      <c r="R619" s="977"/>
      <c r="S619" s="977"/>
      <c r="T619" s="977"/>
      <c r="U619" s="977"/>
      <c r="V619" s="977"/>
      <c r="W619" s="977"/>
      <c r="X619" s="977"/>
      <c r="Y619" s="977"/>
      <c r="Z619" s="977"/>
      <c r="AA619" s="977"/>
      <c r="AB619" s="977"/>
      <c r="AC619" s="977"/>
      <c r="AD619" s="977"/>
      <c r="AE619" s="977"/>
      <c r="AF619" s="977"/>
      <c r="AG619" s="977"/>
      <c r="AH619" s="977"/>
      <c r="AI619" s="977"/>
      <c r="AJ619" s="977"/>
      <c r="AK619" s="977"/>
      <c r="AL619" s="977"/>
      <c r="AM619" s="977"/>
      <c r="AN619" s="977"/>
      <c r="AO619" s="977"/>
      <c r="AP619" s="977"/>
      <c r="AQ619" s="977"/>
    </row>
    <row r="620" spans="1:43" ht="14.25" customHeight="1">
      <c r="A620" s="977"/>
      <c r="B620" s="977"/>
      <c r="C620" s="977"/>
      <c r="D620" s="977"/>
      <c r="E620" s="977"/>
      <c r="F620" s="977"/>
      <c r="G620" s="977"/>
      <c r="H620" s="977"/>
      <c r="I620" s="977"/>
      <c r="J620" s="977"/>
      <c r="K620" s="977"/>
      <c r="L620" s="977"/>
      <c r="M620" s="977"/>
      <c r="N620" s="977"/>
      <c r="O620" s="977"/>
      <c r="P620" s="977"/>
      <c r="Q620" s="977"/>
      <c r="R620" s="977"/>
      <c r="S620" s="977"/>
      <c r="T620" s="977"/>
      <c r="U620" s="977"/>
      <c r="V620" s="977"/>
      <c r="W620" s="977"/>
      <c r="X620" s="977"/>
      <c r="Y620" s="977"/>
      <c r="Z620" s="977"/>
      <c r="AA620" s="977"/>
      <c r="AB620" s="977"/>
      <c r="AC620" s="977"/>
      <c r="AD620" s="977"/>
      <c r="AE620" s="977"/>
      <c r="AF620" s="977"/>
      <c r="AG620" s="977"/>
      <c r="AH620" s="977"/>
      <c r="AI620" s="977"/>
      <c r="AJ620" s="977"/>
      <c r="AK620" s="977"/>
      <c r="AL620" s="977"/>
      <c r="AM620" s="977"/>
      <c r="AN620" s="977"/>
      <c r="AO620" s="977"/>
      <c r="AP620" s="977"/>
      <c r="AQ620" s="977"/>
    </row>
    <row r="621" spans="1:43" ht="14.25" customHeight="1">
      <c r="A621" s="977"/>
      <c r="B621" s="977"/>
      <c r="C621" s="977"/>
      <c r="D621" s="977"/>
      <c r="E621" s="977"/>
      <c r="F621" s="977"/>
      <c r="G621" s="977"/>
      <c r="H621" s="977"/>
      <c r="I621" s="977"/>
      <c r="J621" s="977"/>
      <c r="K621" s="977"/>
      <c r="L621" s="977"/>
      <c r="M621" s="977"/>
      <c r="N621" s="977"/>
      <c r="O621" s="977"/>
      <c r="P621" s="977"/>
      <c r="Q621" s="977"/>
      <c r="R621" s="977"/>
      <c r="S621" s="977"/>
      <c r="T621" s="977"/>
      <c r="U621" s="977"/>
      <c r="V621" s="977"/>
      <c r="W621" s="977"/>
      <c r="X621" s="977"/>
      <c r="Y621" s="977"/>
      <c r="Z621" s="977"/>
      <c r="AA621" s="977"/>
      <c r="AB621" s="977"/>
      <c r="AC621" s="977"/>
      <c r="AD621" s="977"/>
      <c r="AE621" s="977"/>
      <c r="AF621" s="977"/>
      <c r="AG621" s="977"/>
      <c r="AH621" s="977"/>
      <c r="AI621" s="977"/>
      <c r="AJ621" s="977"/>
      <c r="AK621" s="977"/>
      <c r="AL621" s="977"/>
      <c r="AM621" s="977"/>
      <c r="AN621" s="977"/>
      <c r="AO621" s="977"/>
      <c r="AP621" s="977"/>
      <c r="AQ621" s="977"/>
    </row>
    <row r="622" spans="1:43" ht="14.25" customHeight="1">
      <c r="A622" s="977"/>
      <c r="B622" s="977"/>
      <c r="C622" s="977"/>
      <c r="D622" s="977"/>
      <c r="E622" s="977"/>
      <c r="F622" s="977"/>
      <c r="G622" s="977"/>
      <c r="H622" s="977"/>
      <c r="I622" s="977"/>
      <c r="J622" s="977"/>
      <c r="K622" s="977"/>
      <c r="L622" s="977"/>
      <c r="M622" s="977"/>
      <c r="N622" s="977"/>
      <c r="O622" s="977"/>
      <c r="P622" s="977"/>
      <c r="Q622" s="977"/>
      <c r="R622" s="977"/>
      <c r="S622" s="977"/>
      <c r="T622" s="977"/>
      <c r="U622" s="977"/>
      <c r="V622" s="977"/>
      <c r="W622" s="977"/>
      <c r="X622" s="977"/>
      <c r="Y622" s="977"/>
      <c r="Z622" s="977"/>
      <c r="AA622" s="977"/>
      <c r="AB622" s="977"/>
      <c r="AC622" s="977"/>
      <c r="AD622" s="977"/>
      <c r="AE622" s="977"/>
      <c r="AF622" s="977"/>
      <c r="AG622" s="977"/>
      <c r="AH622" s="977"/>
      <c r="AI622" s="977"/>
      <c r="AJ622" s="977"/>
      <c r="AK622" s="977"/>
      <c r="AL622" s="977"/>
      <c r="AM622" s="977"/>
      <c r="AN622" s="977"/>
      <c r="AO622" s="977"/>
      <c r="AP622" s="977"/>
      <c r="AQ622" s="977"/>
    </row>
    <row r="623" spans="1:43" ht="14.25" customHeight="1">
      <c r="A623" s="977"/>
      <c r="B623" s="977"/>
      <c r="C623" s="977"/>
      <c r="D623" s="977"/>
      <c r="E623" s="977"/>
      <c r="F623" s="977"/>
      <c r="G623" s="977"/>
      <c r="H623" s="977"/>
      <c r="I623" s="977"/>
      <c r="J623" s="977"/>
      <c r="K623" s="977"/>
      <c r="L623" s="977"/>
      <c r="M623" s="977"/>
      <c r="N623" s="977"/>
      <c r="O623" s="977"/>
      <c r="P623" s="977"/>
      <c r="Q623" s="977"/>
      <c r="R623" s="977"/>
      <c r="S623" s="977"/>
      <c r="T623" s="977"/>
      <c r="U623" s="977"/>
      <c r="V623" s="977"/>
      <c r="W623" s="977"/>
      <c r="X623" s="977"/>
      <c r="Y623" s="977"/>
      <c r="Z623" s="977"/>
      <c r="AA623" s="977"/>
      <c r="AB623" s="977"/>
      <c r="AC623" s="977"/>
      <c r="AD623" s="977"/>
      <c r="AE623" s="977"/>
      <c r="AF623" s="977"/>
      <c r="AG623" s="977"/>
      <c r="AH623" s="977"/>
      <c r="AI623" s="977"/>
      <c r="AJ623" s="977"/>
      <c r="AK623" s="977"/>
      <c r="AL623" s="977"/>
      <c r="AM623" s="977"/>
      <c r="AN623" s="977"/>
      <c r="AO623" s="977"/>
      <c r="AP623" s="977"/>
      <c r="AQ623" s="977"/>
    </row>
    <row r="624" spans="1:43" ht="14.25" customHeight="1">
      <c r="A624" s="977"/>
      <c r="B624" s="977"/>
      <c r="C624" s="977"/>
      <c r="D624" s="977"/>
      <c r="E624" s="977"/>
      <c r="F624" s="977"/>
      <c r="G624" s="977"/>
      <c r="H624" s="977"/>
      <c r="I624" s="977"/>
      <c r="J624" s="977"/>
      <c r="K624" s="977"/>
      <c r="L624" s="977"/>
      <c r="M624" s="977"/>
      <c r="N624" s="977"/>
      <c r="O624" s="977"/>
      <c r="P624" s="977"/>
      <c r="Q624" s="977"/>
      <c r="R624" s="977"/>
      <c r="S624" s="977"/>
      <c r="T624" s="977"/>
      <c r="U624" s="977"/>
      <c r="V624" s="977"/>
      <c r="W624" s="977"/>
      <c r="X624" s="977"/>
      <c r="Y624" s="977"/>
      <c r="Z624" s="977"/>
      <c r="AA624" s="977"/>
      <c r="AB624" s="977"/>
      <c r="AC624" s="977"/>
      <c r="AD624" s="977"/>
      <c r="AE624" s="977"/>
      <c r="AF624" s="977"/>
      <c r="AG624" s="977"/>
      <c r="AH624" s="977"/>
      <c r="AI624" s="977"/>
      <c r="AJ624" s="977"/>
      <c r="AK624" s="977"/>
      <c r="AL624" s="977"/>
      <c r="AM624" s="977"/>
      <c r="AN624" s="977"/>
      <c r="AO624" s="977"/>
      <c r="AP624" s="977"/>
      <c r="AQ624" s="977"/>
    </row>
    <row r="625" spans="1:43" ht="14.25" customHeight="1">
      <c r="A625" s="977"/>
      <c r="B625" s="977"/>
      <c r="C625" s="977"/>
      <c r="D625" s="977"/>
      <c r="E625" s="977"/>
      <c r="F625" s="977"/>
      <c r="G625" s="977"/>
      <c r="H625" s="977"/>
      <c r="I625" s="977"/>
      <c r="J625" s="977"/>
      <c r="K625" s="977"/>
      <c r="L625" s="977"/>
      <c r="M625" s="977"/>
      <c r="N625" s="977"/>
      <c r="O625" s="977"/>
      <c r="P625" s="977"/>
      <c r="Q625" s="977"/>
      <c r="R625" s="977"/>
      <c r="S625" s="977"/>
      <c r="T625" s="977"/>
      <c r="U625" s="977"/>
      <c r="V625" s="977"/>
      <c r="W625" s="977"/>
      <c r="X625" s="977"/>
      <c r="Y625" s="977"/>
      <c r="Z625" s="977"/>
      <c r="AA625" s="977"/>
      <c r="AB625" s="977"/>
      <c r="AC625" s="977"/>
      <c r="AD625" s="977"/>
      <c r="AE625" s="977"/>
      <c r="AF625" s="977"/>
      <c r="AG625" s="977"/>
      <c r="AH625" s="977"/>
      <c r="AI625" s="977"/>
      <c r="AJ625" s="977"/>
      <c r="AK625" s="977"/>
      <c r="AL625" s="977"/>
      <c r="AM625" s="977"/>
      <c r="AN625" s="977"/>
      <c r="AO625" s="977"/>
      <c r="AP625" s="977"/>
      <c r="AQ625" s="977"/>
    </row>
    <row r="626" spans="1:43" ht="14.25" customHeight="1">
      <c r="A626" s="977"/>
      <c r="B626" s="977"/>
      <c r="C626" s="977"/>
      <c r="D626" s="977"/>
      <c r="E626" s="977"/>
      <c r="F626" s="977"/>
      <c r="G626" s="977"/>
      <c r="H626" s="977"/>
      <c r="I626" s="977"/>
      <c r="J626" s="977"/>
      <c r="K626" s="977"/>
      <c r="L626" s="977"/>
      <c r="M626" s="977"/>
      <c r="N626" s="977"/>
      <c r="O626" s="977"/>
      <c r="P626" s="977"/>
      <c r="Q626" s="977"/>
      <c r="R626" s="977"/>
      <c r="S626" s="977"/>
      <c r="T626" s="977"/>
      <c r="U626" s="977"/>
      <c r="V626" s="977"/>
      <c r="W626" s="977"/>
      <c r="X626" s="977"/>
      <c r="Y626" s="977"/>
      <c r="Z626" s="977"/>
      <c r="AA626" s="977"/>
      <c r="AB626" s="977"/>
      <c r="AC626" s="977"/>
      <c r="AD626" s="977"/>
      <c r="AE626" s="977"/>
      <c r="AF626" s="977"/>
      <c r="AG626" s="977"/>
      <c r="AH626" s="977"/>
      <c r="AI626" s="977"/>
      <c r="AJ626" s="977"/>
      <c r="AK626" s="977"/>
      <c r="AL626" s="977"/>
      <c r="AM626" s="977"/>
      <c r="AN626" s="977"/>
      <c r="AO626" s="977"/>
      <c r="AP626" s="977"/>
      <c r="AQ626" s="977"/>
    </row>
    <row r="627" spans="1:43" ht="14.25" customHeight="1">
      <c r="A627" s="977"/>
      <c r="B627" s="977"/>
      <c r="C627" s="977"/>
      <c r="D627" s="977"/>
      <c r="E627" s="977"/>
      <c r="F627" s="977"/>
      <c r="G627" s="977"/>
      <c r="H627" s="977"/>
      <c r="I627" s="977"/>
      <c r="J627" s="977"/>
      <c r="K627" s="977"/>
      <c r="L627" s="977"/>
      <c r="M627" s="977"/>
      <c r="N627" s="977"/>
      <c r="O627" s="977"/>
      <c r="P627" s="977"/>
      <c r="Q627" s="977"/>
      <c r="R627" s="977"/>
      <c r="S627" s="977"/>
      <c r="T627" s="977"/>
      <c r="U627" s="977"/>
      <c r="V627" s="977"/>
      <c r="W627" s="977"/>
      <c r="X627" s="977"/>
      <c r="Y627" s="977"/>
      <c r="Z627" s="977"/>
      <c r="AA627" s="977"/>
      <c r="AB627" s="977"/>
      <c r="AC627" s="977"/>
      <c r="AD627" s="977"/>
      <c r="AE627" s="977"/>
      <c r="AF627" s="977"/>
      <c r="AG627" s="977"/>
      <c r="AH627" s="977"/>
      <c r="AI627" s="977"/>
      <c r="AJ627" s="977"/>
      <c r="AK627" s="977"/>
      <c r="AL627" s="977"/>
      <c r="AM627" s="977"/>
      <c r="AN627" s="977"/>
      <c r="AO627" s="977"/>
      <c r="AP627" s="977"/>
      <c r="AQ627" s="977"/>
    </row>
    <row r="628" spans="1:43" ht="14.25" customHeight="1">
      <c r="A628" s="977"/>
      <c r="B628" s="977"/>
      <c r="C628" s="977"/>
      <c r="D628" s="977"/>
      <c r="E628" s="977"/>
      <c r="F628" s="977"/>
      <c r="G628" s="977"/>
      <c r="H628" s="977"/>
      <c r="I628" s="977"/>
      <c r="J628" s="977"/>
      <c r="K628" s="977"/>
      <c r="L628" s="977"/>
      <c r="M628" s="977"/>
      <c r="N628" s="977"/>
      <c r="O628" s="977"/>
      <c r="P628" s="977"/>
      <c r="Q628" s="977"/>
      <c r="R628" s="977"/>
      <c r="S628" s="977"/>
      <c r="T628" s="977"/>
      <c r="U628" s="977"/>
      <c r="V628" s="977"/>
      <c r="W628" s="977"/>
      <c r="X628" s="977"/>
      <c r="Y628" s="977"/>
      <c r="Z628" s="977"/>
      <c r="AA628" s="977"/>
      <c r="AB628" s="977"/>
      <c r="AC628" s="977"/>
      <c r="AD628" s="977"/>
      <c r="AE628" s="977"/>
      <c r="AF628" s="977"/>
      <c r="AG628" s="977"/>
      <c r="AH628" s="977"/>
      <c r="AI628" s="977"/>
      <c r="AJ628" s="977"/>
      <c r="AK628" s="977"/>
      <c r="AL628" s="977"/>
      <c r="AM628" s="977"/>
      <c r="AN628" s="977"/>
      <c r="AO628" s="977"/>
      <c r="AP628" s="977"/>
      <c r="AQ628" s="977"/>
    </row>
    <row r="629" spans="1:43" ht="14.25" customHeight="1">
      <c r="A629" s="977"/>
      <c r="B629" s="977"/>
      <c r="C629" s="977"/>
      <c r="D629" s="977"/>
      <c r="E629" s="977"/>
      <c r="F629" s="977"/>
      <c r="G629" s="977"/>
      <c r="H629" s="977"/>
      <c r="I629" s="977"/>
      <c r="J629" s="977"/>
      <c r="K629" s="977"/>
      <c r="L629" s="977"/>
      <c r="M629" s="977"/>
      <c r="N629" s="977"/>
      <c r="O629" s="977"/>
      <c r="P629" s="977"/>
      <c r="Q629" s="977"/>
      <c r="R629" s="977"/>
      <c r="S629" s="977"/>
      <c r="T629" s="977"/>
      <c r="U629" s="977"/>
      <c r="V629" s="977"/>
      <c r="W629" s="977"/>
      <c r="X629" s="977"/>
      <c r="Y629" s="977"/>
      <c r="Z629" s="977"/>
      <c r="AA629" s="977"/>
      <c r="AB629" s="977"/>
      <c r="AC629" s="977"/>
      <c r="AD629" s="977"/>
      <c r="AE629" s="977"/>
      <c r="AF629" s="977"/>
      <c r="AG629" s="977"/>
      <c r="AH629" s="977"/>
      <c r="AI629" s="977"/>
      <c r="AJ629" s="977"/>
      <c r="AK629" s="977"/>
      <c r="AL629" s="977"/>
      <c r="AM629" s="977"/>
      <c r="AN629" s="977"/>
      <c r="AO629" s="977"/>
      <c r="AP629" s="977"/>
      <c r="AQ629" s="977"/>
    </row>
    <row r="630" spans="1:43" ht="14.25" customHeight="1">
      <c r="A630" s="977"/>
      <c r="B630" s="977"/>
      <c r="C630" s="977"/>
      <c r="D630" s="977"/>
      <c r="E630" s="977"/>
      <c r="F630" s="977"/>
      <c r="G630" s="977"/>
      <c r="H630" s="977"/>
      <c r="I630" s="977"/>
      <c r="J630" s="977"/>
      <c r="K630" s="977"/>
      <c r="L630" s="977"/>
      <c r="M630" s="977"/>
      <c r="N630" s="977"/>
      <c r="O630" s="977"/>
      <c r="P630" s="977"/>
      <c r="Q630" s="977"/>
      <c r="R630" s="977"/>
      <c r="S630" s="977"/>
      <c r="T630" s="977"/>
      <c r="U630" s="977"/>
      <c r="V630" s="977"/>
      <c r="W630" s="977"/>
      <c r="X630" s="977"/>
      <c r="Y630" s="977"/>
      <c r="Z630" s="977"/>
      <c r="AA630" s="977"/>
      <c r="AB630" s="977"/>
      <c r="AC630" s="977"/>
      <c r="AD630" s="977"/>
      <c r="AE630" s="977"/>
      <c r="AF630" s="977"/>
      <c r="AG630" s="977"/>
      <c r="AH630" s="977"/>
      <c r="AI630" s="977"/>
      <c r="AJ630" s="977"/>
      <c r="AK630" s="977"/>
      <c r="AL630" s="977"/>
      <c r="AM630" s="977"/>
      <c r="AN630" s="977"/>
      <c r="AO630" s="977"/>
      <c r="AP630" s="977"/>
      <c r="AQ630" s="977"/>
    </row>
    <row r="631" spans="1:43" ht="14.25" customHeight="1">
      <c r="A631" s="977"/>
      <c r="B631" s="977"/>
      <c r="C631" s="977"/>
      <c r="D631" s="977"/>
      <c r="E631" s="977"/>
      <c r="F631" s="977"/>
      <c r="G631" s="977"/>
      <c r="H631" s="977"/>
      <c r="I631" s="977"/>
      <c r="J631" s="977"/>
      <c r="K631" s="977"/>
      <c r="L631" s="977"/>
      <c r="M631" s="977"/>
      <c r="N631" s="977"/>
      <c r="O631" s="977"/>
      <c r="P631" s="977"/>
      <c r="Q631" s="977"/>
      <c r="R631" s="977"/>
      <c r="S631" s="977"/>
      <c r="T631" s="977"/>
      <c r="U631" s="977"/>
      <c r="V631" s="977"/>
      <c r="W631" s="977"/>
      <c r="X631" s="977"/>
      <c r="Y631" s="977"/>
      <c r="Z631" s="977"/>
      <c r="AA631" s="977"/>
      <c r="AB631" s="977"/>
      <c r="AC631" s="977"/>
      <c r="AD631" s="977"/>
      <c r="AE631" s="977"/>
      <c r="AF631" s="977"/>
      <c r="AG631" s="977"/>
      <c r="AH631" s="977"/>
      <c r="AI631" s="977"/>
      <c r="AJ631" s="977"/>
      <c r="AK631" s="977"/>
      <c r="AL631" s="977"/>
      <c r="AM631" s="977"/>
      <c r="AN631" s="977"/>
      <c r="AO631" s="977"/>
      <c r="AP631" s="977"/>
      <c r="AQ631" s="977"/>
    </row>
    <row r="632" spans="1:43" ht="14.25" customHeight="1">
      <c r="A632" s="977"/>
      <c r="B632" s="977"/>
      <c r="C632" s="977"/>
      <c r="D632" s="977"/>
      <c r="E632" s="977"/>
      <c r="F632" s="977"/>
      <c r="G632" s="977"/>
      <c r="H632" s="977"/>
      <c r="I632" s="977"/>
      <c r="J632" s="977"/>
      <c r="K632" s="977"/>
      <c r="L632" s="977"/>
      <c r="M632" s="977"/>
      <c r="N632" s="977"/>
      <c r="O632" s="977"/>
      <c r="P632" s="977"/>
      <c r="Q632" s="977"/>
      <c r="R632" s="977"/>
      <c r="S632" s="977"/>
      <c r="T632" s="977"/>
      <c r="U632" s="977"/>
      <c r="V632" s="977"/>
      <c r="W632" s="977"/>
      <c r="X632" s="977"/>
      <c r="Y632" s="977"/>
      <c r="Z632" s="977"/>
      <c r="AA632" s="977"/>
      <c r="AB632" s="977"/>
      <c r="AC632" s="977"/>
      <c r="AD632" s="977"/>
      <c r="AE632" s="977"/>
      <c r="AF632" s="977"/>
      <c r="AG632" s="977"/>
      <c r="AH632" s="977"/>
      <c r="AI632" s="977"/>
      <c r="AJ632" s="977"/>
      <c r="AK632" s="977"/>
      <c r="AL632" s="977"/>
      <c r="AM632" s="977"/>
      <c r="AN632" s="977"/>
      <c r="AO632" s="977"/>
      <c r="AP632" s="977"/>
      <c r="AQ632" s="977"/>
    </row>
    <row r="633" spans="1:43" ht="14.25" customHeight="1">
      <c r="A633" s="977"/>
      <c r="B633" s="977"/>
      <c r="C633" s="977"/>
      <c r="D633" s="977"/>
      <c r="E633" s="977"/>
      <c r="F633" s="977"/>
      <c r="G633" s="977"/>
      <c r="H633" s="977"/>
      <c r="I633" s="977"/>
      <c r="J633" s="977"/>
      <c r="K633" s="977"/>
      <c r="L633" s="977"/>
      <c r="M633" s="977"/>
      <c r="N633" s="977"/>
      <c r="O633" s="977"/>
      <c r="P633" s="977"/>
      <c r="Q633" s="977"/>
      <c r="R633" s="977"/>
      <c r="S633" s="977"/>
      <c r="T633" s="977"/>
      <c r="U633" s="977"/>
      <c r="V633" s="977"/>
      <c r="W633" s="977"/>
      <c r="X633" s="977"/>
      <c r="Y633" s="977"/>
      <c r="Z633" s="977"/>
      <c r="AA633" s="977"/>
      <c r="AB633" s="977"/>
      <c r="AC633" s="977"/>
      <c r="AD633" s="977"/>
      <c r="AE633" s="977"/>
      <c r="AF633" s="977"/>
      <c r="AG633" s="977"/>
      <c r="AH633" s="977"/>
      <c r="AI633" s="977"/>
      <c r="AJ633" s="977"/>
      <c r="AK633" s="977"/>
      <c r="AL633" s="977"/>
      <c r="AM633" s="977"/>
      <c r="AN633" s="977"/>
      <c r="AO633" s="977"/>
      <c r="AP633" s="977"/>
      <c r="AQ633" s="977"/>
    </row>
    <row r="634" spans="1:43" ht="14.25" customHeight="1">
      <c r="A634" s="977"/>
      <c r="B634" s="977"/>
      <c r="C634" s="977"/>
      <c r="D634" s="977"/>
      <c r="E634" s="977"/>
      <c r="F634" s="977"/>
      <c r="G634" s="977"/>
      <c r="H634" s="977"/>
      <c r="I634" s="977"/>
      <c r="J634" s="977"/>
      <c r="K634" s="977"/>
      <c r="L634" s="977"/>
      <c r="M634" s="977"/>
      <c r="N634" s="977"/>
      <c r="O634" s="977"/>
      <c r="P634" s="977"/>
      <c r="Q634" s="977"/>
      <c r="R634" s="977"/>
      <c r="S634" s="977"/>
      <c r="T634" s="977"/>
      <c r="U634" s="977"/>
      <c r="V634" s="977"/>
      <c r="W634" s="977"/>
      <c r="X634" s="977"/>
      <c r="Y634" s="977"/>
      <c r="Z634" s="977"/>
      <c r="AA634" s="977"/>
      <c r="AB634" s="977"/>
      <c r="AC634" s="977"/>
      <c r="AD634" s="977"/>
      <c r="AE634" s="977"/>
      <c r="AF634" s="977"/>
      <c r="AG634" s="977"/>
      <c r="AH634" s="977"/>
      <c r="AI634" s="977"/>
      <c r="AJ634" s="977"/>
      <c r="AK634" s="977"/>
      <c r="AL634" s="977"/>
      <c r="AM634" s="977"/>
      <c r="AN634" s="977"/>
      <c r="AO634" s="977"/>
      <c r="AP634" s="977"/>
      <c r="AQ634" s="977"/>
    </row>
    <row r="635" spans="1:43" ht="14.25" customHeight="1">
      <c r="A635" s="977"/>
      <c r="B635" s="977"/>
      <c r="C635" s="977"/>
      <c r="D635" s="977"/>
      <c r="E635" s="977"/>
      <c r="F635" s="977"/>
      <c r="G635" s="977"/>
      <c r="H635" s="977"/>
      <c r="I635" s="977"/>
      <c r="J635" s="977"/>
      <c r="K635" s="977"/>
      <c r="L635" s="977"/>
      <c r="M635" s="977"/>
      <c r="N635" s="977"/>
      <c r="O635" s="977"/>
      <c r="P635" s="977"/>
      <c r="Q635" s="977"/>
      <c r="R635" s="977"/>
      <c r="S635" s="977"/>
      <c r="T635" s="977"/>
      <c r="U635" s="977"/>
      <c r="V635" s="977"/>
      <c r="W635" s="977"/>
      <c r="X635" s="977"/>
      <c r="Y635" s="977"/>
      <c r="Z635" s="977"/>
      <c r="AA635" s="977"/>
      <c r="AB635" s="977"/>
      <c r="AC635" s="977"/>
      <c r="AD635" s="977"/>
      <c r="AE635" s="977"/>
      <c r="AF635" s="977"/>
      <c r="AG635" s="977"/>
      <c r="AH635" s="977"/>
      <c r="AI635" s="977"/>
      <c r="AJ635" s="977"/>
      <c r="AK635" s="977"/>
      <c r="AL635" s="977"/>
      <c r="AM635" s="977"/>
      <c r="AN635" s="977"/>
      <c r="AO635" s="977"/>
      <c r="AP635" s="977"/>
      <c r="AQ635" s="977"/>
    </row>
    <row r="636" spans="1:43" ht="14.25" customHeight="1">
      <c r="A636" s="977"/>
      <c r="B636" s="977"/>
      <c r="C636" s="977"/>
      <c r="D636" s="977"/>
      <c r="E636" s="977"/>
      <c r="F636" s="977"/>
      <c r="G636" s="977"/>
      <c r="H636" s="977"/>
      <c r="I636" s="977"/>
      <c r="J636" s="977"/>
      <c r="K636" s="977"/>
      <c r="L636" s="977"/>
      <c r="M636" s="977"/>
      <c r="N636" s="977"/>
      <c r="O636" s="977"/>
      <c r="P636" s="977"/>
      <c r="Q636" s="977"/>
      <c r="R636" s="977"/>
      <c r="S636" s="977"/>
      <c r="T636" s="977"/>
      <c r="U636" s="977"/>
      <c r="V636" s="977"/>
      <c r="W636" s="977"/>
      <c r="X636" s="977"/>
      <c r="Y636" s="977"/>
      <c r="Z636" s="977"/>
      <c r="AA636" s="977"/>
      <c r="AB636" s="977"/>
      <c r="AC636" s="977"/>
      <c r="AD636" s="977"/>
      <c r="AE636" s="977"/>
      <c r="AF636" s="977"/>
      <c r="AG636" s="977"/>
      <c r="AH636" s="977"/>
      <c r="AI636" s="977"/>
      <c r="AJ636" s="977"/>
      <c r="AK636" s="977"/>
      <c r="AL636" s="977"/>
      <c r="AM636" s="977"/>
      <c r="AN636" s="977"/>
      <c r="AO636" s="977"/>
      <c r="AP636" s="977"/>
      <c r="AQ636" s="977"/>
    </row>
    <row r="637" spans="1:43" ht="14.25" customHeight="1">
      <c r="A637" s="977"/>
      <c r="B637" s="977"/>
      <c r="C637" s="977"/>
      <c r="D637" s="977"/>
      <c r="E637" s="977"/>
      <c r="F637" s="977"/>
      <c r="G637" s="977"/>
      <c r="H637" s="977"/>
      <c r="I637" s="977"/>
      <c r="J637" s="977"/>
      <c r="K637" s="977"/>
      <c r="L637" s="977"/>
      <c r="M637" s="977"/>
      <c r="N637" s="977"/>
      <c r="O637" s="977"/>
      <c r="P637" s="977"/>
      <c r="Q637" s="977"/>
      <c r="R637" s="977"/>
      <c r="S637" s="977"/>
      <c r="T637" s="977"/>
      <c r="U637" s="977"/>
      <c r="V637" s="977"/>
      <c r="W637" s="977"/>
      <c r="X637" s="977"/>
      <c r="Y637" s="977"/>
      <c r="Z637" s="977"/>
      <c r="AA637" s="977"/>
      <c r="AB637" s="977"/>
      <c r="AC637" s="977"/>
      <c r="AD637" s="977"/>
      <c r="AE637" s="977"/>
      <c r="AF637" s="977"/>
      <c r="AG637" s="977"/>
      <c r="AH637" s="977"/>
      <c r="AI637" s="977"/>
      <c r="AJ637" s="977"/>
      <c r="AK637" s="977"/>
      <c r="AL637" s="977"/>
      <c r="AM637" s="977"/>
      <c r="AN637" s="977"/>
      <c r="AO637" s="977"/>
      <c r="AP637" s="977"/>
      <c r="AQ637" s="977"/>
    </row>
    <row r="638" spans="1:43" ht="14.25" customHeight="1">
      <c r="A638" s="977"/>
      <c r="B638" s="977"/>
      <c r="C638" s="977"/>
      <c r="D638" s="977"/>
      <c r="E638" s="977"/>
      <c r="F638" s="977"/>
      <c r="G638" s="977"/>
      <c r="H638" s="977"/>
      <c r="I638" s="977"/>
      <c r="J638" s="977"/>
      <c r="K638" s="977"/>
      <c r="L638" s="977"/>
      <c r="M638" s="977"/>
      <c r="N638" s="977"/>
      <c r="O638" s="977"/>
      <c r="P638" s="977"/>
      <c r="Q638" s="977"/>
      <c r="R638" s="977"/>
      <c r="S638" s="977"/>
      <c r="T638" s="977"/>
      <c r="U638" s="977"/>
      <c r="V638" s="977"/>
      <c r="W638" s="977"/>
      <c r="X638" s="977"/>
      <c r="Y638" s="977"/>
      <c r="Z638" s="977"/>
      <c r="AA638" s="977"/>
      <c r="AB638" s="977"/>
      <c r="AC638" s="977"/>
      <c r="AD638" s="977"/>
      <c r="AE638" s="977"/>
      <c r="AF638" s="977"/>
      <c r="AG638" s="977"/>
      <c r="AH638" s="977"/>
      <c r="AI638" s="977"/>
      <c r="AJ638" s="977"/>
      <c r="AK638" s="977"/>
      <c r="AL638" s="977"/>
      <c r="AM638" s="977"/>
      <c r="AN638" s="977"/>
      <c r="AO638" s="977"/>
      <c r="AP638" s="977"/>
      <c r="AQ638" s="977"/>
    </row>
    <row r="639" spans="1:43" ht="14.25" customHeight="1">
      <c r="A639" s="977"/>
      <c r="B639" s="977"/>
      <c r="C639" s="977"/>
      <c r="D639" s="977"/>
      <c r="E639" s="977"/>
      <c r="F639" s="977"/>
      <c r="G639" s="977"/>
      <c r="H639" s="977"/>
      <c r="I639" s="977"/>
      <c r="J639" s="977"/>
      <c r="K639" s="977"/>
      <c r="L639" s="977"/>
      <c r="M639" s="977"/>
      <c r="N639" s="977"/>
      <c r="O639" s="977"/>
      <c r="P639" s="977"/>
      <c r="Q639" s="977"/>
      <c r="R639" s="977"/>
      <c r="S639" s="977"/>
      <c r="T639" s="977"/>
      <c r="U639" s="977"/>
      <c r="V639" s="977"/>
      <c r="W639" s="977"/>
      <c r="X639" s="977"/>
      <c r="Y639" s="977"/>
      <c r="Z639" s="977"/>
      <c r="AA639" s="977"/>
      <c r="AB639" s="977"/>
      <c r="AC639" s="977"/>
      <c r="AD639" s="977"/>
      <c r="AE639" s="977"/>
      <c r="AF639" s="977"/>
      <c r="AG639" s="977"/>
      <c r="AH639" s="977"/>
      <c r="AI639" s="977"/>
      <c r="AJ639" s="977"/>
      <c r="AK639" s="977"/>
      <c r="AL639" s="977"/>
      <c r="AM639" s="977"/>
      <c r="AN639" s="977"/>
      <c r="AO639" s="977"/>
      <c r="AP639" s="977"/>
      <c r="AQ639" s="977"/>
    </row>
    <row r="640" spans="1:43" ht="14.25" customHeight="1">
      <c r="A640" s="977"/>
      <c r="B640" s="977"/>
      <c r="C640" s="977"/>
      <c r="D640" s="977"/>
      <c r="E640" s="977"/>
      <c r="F640" s="977"/>
      <c r="G640" s="977"/>
      <c r="H640" s="977"/>
      <c r="I640" s="977"/>
      <c r="J640" s="977"/>
      <c r="K640" s="977"/>
      <c r="L640" s="977"/>
      <c r="M640" s="977"/>
      <c r="N640" s="977"/>
      <c r="O640" s="977"/>
      <c r="P640" s="977"/>
      <c r="Q640" s="977"/>
      <c r="R640" s="977"/>
      <c r="S640" s="977"/>
      <c r="T640" s="977"/>
      <c r="U640" s="977"/>
      <c r="V640" s="977"/>
      <c r="W640" s="977"/>
      <c r="X640" s="977"/>
      <c r="Y640" s="977"/>
      <c r="Z640" s="977"/>
      <c r="AA640" s="977"/>
      <c r="AB640" s="977"/>
      <c r="AC640" s="977"/>
      <c r="AD640" s="977"/>
      <c r="AE640" s="977"/>
      <c r="AF640" s="977"/>
      <c r="AG640" s="977"/>
      <c r="AH640" s="977"/>
      <c r="AI640" s="977"/>
      <c r="AJ640" s="977"/>
      <c r="AK640" s="977"/>
      <c r="AL640" s="977"/>
      <c r="AM640" s="977"/>
      <c r="AN640" s="977"/>
      <c r="AO640" s="977"/>
      <c r="AP640" s="977"/>
      <c r="AQ640" s="977"/>
    </row>
    <row r="641" spans="1:43" ht="14.25" customHeight="1">
      <c r="A641" s="977"/>
      <c r="B641" s="977"/>
      <c r="C641" s="977"/>
      <c r="D641" s="977"/>
      <c r="E641" s="977"/>
      <c r="F641" s="977"/>
      <c r="G641" s="977"/>
      <c r="H641" s="977"/>
      <c r="I641" s="977"/>
      <c r="J641" s="977"/>
      <c r="K641" s="977"/>
      <c r="L641" s="977"/>
      <c r="M641" s="977"/>
      <c r="N641" s="977"/>
      <c r="O641" s="977"/>
      <c r="P641" s="977"/>
      <c r="Q641" s="977"/>
      <c r="R641" s="977"/>
      <c r="S641" s="977"/>
      <c r="T641" s="977"/>
      <c r="U641" s="977"/>
      <c r="V641" s="977"/>
      <c r="W641" s="977"/>
      <c r="X641" s="977"/>
      <c r="Y641" s="977"/>
      <c r="Z641" s="977"/>
      <c r="AA641" s="977"/>
      <c r="AB641" s="977"/>
      <c r="AC641" s="977"/>
      <c r="AD641" s="977"/>
      <c r="AE641" s="977"/>
      <c r="AF641" s="977"/>
      <c r="AG641" s="977"/>
      <c r="AH641" s="977"/>
      <c r="AI641" s="977"/>
      <c r="AJ641" s="977"/>
      <c r="AK641" s="977"/>
      <c r="AL641" s="977"/>
      <c r="AM641" s="977"/>
      <c r="AN641" s="977"/>
      <c r="AO641" s="977"/>
      <c r="AP641" s="977"/>
      <c r="AQ641" s="977"/>
    </row>
    <row r="642" spans="1:43" ht="14.25" customHeight="1">
      <c r="A642" s="977"/>
      <c r="B642" s="977"/>
      <c r="C642" s="977"/>
      <c r="D642" s="977"/>
      <c r="E642" s="977"/>
      <c r="F642" s="977"/>
      <c r="G642" s="977"/>
      <c r="H642" s="977"/>
      <c r="I642" s="977"/>
      <c r="J642" s="977"/>
      <c r="K642" s="977"/>
      <c r="L642" s="977"/>
      <c r="M642" s="977"/>
      <c r="N642" s="977"/>
      <c r="O642" s="977"/>
      <c r="P642" s="977"/>
      <c r="Q642" s="977"/>
      <c r="R642" s="977"/>
      <c r="S642" s="977"/>
      <c r="T642" s="977"/>
      <c r="U642" s="977"/>
      <c r="V642" s="977"/>
      <c r="W642" s="977"/>
      <c r="X642" s="977"/>
      <c r="Y642" s="977"/>
      <c r="Z642" s="977"/>
      <c r="AA642" s="977"/>
      <c r="AB642" s="977"/>
      <c r="AC642" s="977"/>
      <c r="AD642" s="977"/>
      <c r="AE642" s="977"/>
      <c r="AF642" s="977"/>
      <c r="AG642" s="977"/>
      <c r="AH642" s="977"/>
      <c r="AI642" s="977"/>
      <c r="AJ642" s="977"/>
      <c r="AK642" s="977"/>
      <c r="AL642" s="977"/>
      <c r="AM642" s="977"/>
      <c r="AN642" s="977"/>
      <c r="AO642" s="977"/>
      <c r="AP642" s="977"/>
      <c r="AQ642" s="977"/>
    </row>
    <row r="643" spans="1:43" ht="14.25" customHeight="1">
      <c r="A643" s="977"/>
      <c r="B643" s="977"/>
      <c r="C643" s="977"/>
      <c r="D643" s="977"/>
      <c r="E643" s="977"/>
      <c r="F643" s="977"/>
      <c r="G643" s="977"/>
      <c r="H643" s="977"/>
      <c r="I643" s="977"/>
      <c r="J643" s="977"/>
      <c r="K643" s="977"/>
      <c r="L643" s="977"/>
      <c r="M643" s="977"/>
      <c r="N643" s="977"/>
      <c r="O643" s="977"/>
      <c r="P643" s="977"/>
      <c r="Q643" s="977"/>
      <c r="R643" s="977"/>
      <c r="S643" s="977"/>
      <c r="T643" s="977"/>
      <c r="U643" s="977"/>
      <c r="V643" s="977"/>
      <c r="W643" s="977"/>
      <c r="X643" s="977"/>
      <c r="Y643" s="977"/>
      <c r="Z643" s="977"/>
      <c r="AA643" s="977"/>
      <c r="AB643" s="977"/>
      <c r="AC643" s="977"/>
      <c r="AD643" s="977"/>
      <c r="AE643" s="977"/>
      <c r="AF643" s="977"/>
      <c r="AG643" s="977"/>
      <c r="AH643" s="977"/>
      <c r="AI643" s="977"/>
      <c r="AJ643" s="977"/>
      <c r="AK643" s="977"/>
      <c r="AL643" s="977"/>
      <c r="AM643" s="977"/>
      <c r="AN643" s="977"/>
      <c r="AO643" s="977"/>
      <c r="AP643" s="977"/>
      <c r="AQ643" s="977"/>
    </row>
    <row r="644" spans="1:43" ht="14.25" customHeight="1">
      <c r="A644" s="977"/>
      <c r="B644" s="977"/>
      <c r="C644" s="977"/>
      <c r="D644" s="977"/>
      <c r="E644" s="977"/>
      <c r="F644" s="977"/>
      <c r="G644" s="977"/>
      <c r="H644" s="977"/>
      <c r="I644" s="977"/>
      <c r="J644" s="977"/>
      <c r="K644" s="977"/>
      <c r="L644" s="977"/>
      <c r="M644" s="977"/>
      <c r="N644" s="977"/>
      <c r="O644" s="977"/>
      <c r="P644" s="977"/>
      <c r="Q644" s="977"/>
      <c r="R644" s="977"/>
      <c r="S644" s="977"/>
      <c r="T644" s="977"/>
      <c r="U644" s="977"/>
      <c r="V644" s="977"/>
      <c r="W644" s="977"/>
      <c r="X644" s="977"/>
      <c r="Y644" s="977"/>
      <c r="Z644" s="977"/>
      <c r="AA644" s="977"/>
      <c r="AB644" s="977"/>
      <c r="AC644" s="977"/>
      <c r="AD644" s="977"/>
      <c r="AE644" s="977"/>
      <c r="AF644" s="977"/>
      <c r="AG644" s="977"/>
      <c r="AH644" s="977"/>
      <c r="AI644" s="977"/>
      <c r="AJ644" s="977"/>
      <c r="AK644" s="977"/>
      <c r="AL644" s="977"/>
      <c r="AM644" s="977"/>
      <c r="AN644" s="977"/>
      <c r="AO644" s="977"/>
      <c r="AP644" s="977"/>
      <c r="AQ644" s="977"/>
    </row>
    <row r="645" spans="1:43" ht="14.25" customHeight="1">
      <c r="A645" s="977"/>
      <c r="B645" s="977"/>
      <c r="C645" s="977"/>
      <c r="D645" s="977"/>
      <c r="E645" s="977"/>
      <c r="F645" s="977"/>
      <c r="G645" s="977"/>
      <c r="H645" s="977"/>
      <c r="I645" s="977"/>
      <c r="J645" s="977"/>
      <c r="K645" s="977"/>
      <c r="L645" s="977"/>
      <c r="M645" s="977"/>
      <c r="N645" s="977"/>
      <c r="O645" s="977"/>
      <c r="P645" s="977"/>
      <c r="Q645" s="977"/>
      <c r="R645" s="977"/>
      <c r="S645" s="977"/>
      <c r="T645" s="977"/>
      <c r="U645" s="977"/>
      <c r="V645" s="977"/>
      <c r="W645" s="977"/>
      <c r="X645" s="977"/>
      <c r="Y645" s="977"/>
      <c r="Z645" s="977"/>
      <c r="AA645" s="977"/>
      <c r="AB645" s="977"/>
      <c r="AC645" s="977"/>
      <c r="AD645" s="977"/>
      <c r="AE645" s="977"/>
      <c r="AF645" s="977"/>
      <c r="AG645" s="977"/>
      <c r="AH645" s="977"/>
      <c r="AI645" s="977"/>
      <c r="AJ645" s="977"/>
      <c r="AK645" s="977"/>
      <c r="AL645" s="977"/>
      <c r="AM645" s="977"/>
      <c r="AN645" s="977"/>
      <c r="AO645" s="977"/>
      <c r="AP645" s="977"/>
      <c r="AQ645" s="977"/>
    </row>
    <row r="646" spans="1:43" ht="14.25" customHeight="1">
      <c r="A646" s="977"/>
      <c r="B646" s="977"/>
      <c r="C646" s="977"/>
      <c r="D646" s="977"/>
      <c r="E646" s="977"/>
      <c r="F646" s="977"/>
      <c r="G646" s="977"/>
      <c r="H646" s="977"/>
      <c r="I646" s="977"/>
      <c r="J646" s="977"/>
      <c r="K646" s="977"/>
      <c r="L646" s="977"/>
      <c r="M646" s="977"/>
      <c r="N646" s="977"/>
      <c r="O646" s="977"/>
      <c r="P646" s="977"/>
      <c r="Q646" s="977"/>
      <c r="R646" s="977"/>
      <c r="S646" s="977"/>
      <c r="T646" s="977"/>
      <c r="U646" s="977"/>
      <c r="V646" s="977"/>
      <c r="W646" s="977"/>
      <c r="X646" s="977"/>
      <c r="Y646" s="977"/>
      <c r="Z646" s="977"/>
      <c r="AA646" s="977"/>
      <c r="AB646" s="977"/>
      <c r="AC646" s="977"/>
      <c r="AD646" s="977"/>
      <c r="AE646" s="977"/>
      <c r="AF646" s="977"/>
      <c r="AG646" s="977"/>
      <c r="AH646" s="977"/>
      <c r="AI646" s="977"/>
      <c r="AJ646" s="977"/>
      <c r="AK646" s="977"/>
      <c r="AL646" s="977"/>
      <c r="AM646" s="977"/>
      <c r="AN646" s="977"/>
      <c r="AO646" s="977"/>
      <c r="AP646" s="977"/>
      <c r="AQ646" s="977"/>
    </row>
    <row r="647" spans="1:43" ht="14.25" customHeight="1">
      <c r="A647" s="977"/>
      <c r="B647" s="977"/>
      <c r="C647" s="977"/>
      <c r="D647" s="977"/>
      <c r="E647" s="977"/>
      <c r="F647" s="977"/>
      <c r="G647" s="977"/>
      <c r="H647" s="977"/>
      <c r="I647" s="977"/>
      <c r="J647" s="977"/>
      <c r="K647" s="977"/>
      <c r="L647" s="977"/>
      <c r="M647" s="977"/>
      <c r="N647" s="977"/>
      <c r="O647" s="977"/>
      <c r="P647" s="977"/>
      <c r="Q647" s="977"/>
      <c r="R647" s="977"/>
      <c r="S647" s="977"/>
      <c r="T647" s="977"/>
      <c r="U647" s="977"/>
      <c r="V647" s="977"/>
      <c r="W647" s="977"/>
      <c r="X647" s="977"/>
      <c r="Y647" s="977"/>
      <c r="Z647" s="977"/>
      <c r="AA647" s="977"/>
      <c r="AB647" s="977"/>
      <c r="AC647" s="977"/>
      <c r="AD647" s="977"/>
      <c r="AE647" s="977"/>
      <c r="AF647" s="977"/>
      <c r="AG647" s="977"/>
      <c r="AH647" s="977"/>
      <c r="AI647" s="977"/>
      <c r="AJ647" s="977"/>
      <c r="AK647" s="977"/>
      <c r="AL647" s="977"/>
      <c r="AM647" s="977"/>
      <c r="AN647" s="977"/>
      <c r="AO647" s="977"/>
      <c r="AP647" s="977"/>
      <c r="AQ647" s="977"/>
    </row>
    <row r="648" spans="1:43" ht="14.25" customHeight="1">
      <c r="A648" s="977"/>
      <c r="B648" s="977"/>
      <c r="C648" s="977"/>
      <c r="D648" s="977"/>
      <c r="E648" s="977"/>
      <c r="F648" s="977"/>
      <c r="G648" s="977"/>
      <c r="H648" s="977"/>
      <c r="I648" s="977"/>
      <c r="J648" s="977"/>
      <c r="K648" s="977"/>
      <c r="L648" s="977"/>
      <c r="M648" s="977"/>
      <c r="N648" s="977"/>
      <c r="O648" s="977"/>
      <c r="P648" s="977"/>
      <c r="Q648" s="977"/>
      <c r="R648" s="977"/>
      <c r="S648" s="977"/>
      <c r="T648" s="977"/>
      <c r="U648" s="977"/>
      <c r="V648" s="977"/>
      <c r="W648" s="977"/>
      <c r="X648" s="977"/>
      <c r="Y648" s="977"/>
      <c r="Z648" s="977"/>
      <c r="AA648" s="977"/>
      <c r="AB648" s="977"/>
      <c r="AC648" s="977"/>
      <c r="AD648" s="977"/>
      <c r="AE648" s="977"/>
      <c r="AF648" s="977"/>
      <c r="AG648" s="977"/>
      <c r="AH648" s="977"/>
      <c r="AI648" s="977"/>
      <c r="AJ648" s="977"/>
      <c r="AK648" s="977"/>
      <c r="AL648" s="977"/>
      <c r="AM648" s="977"/>
      <c r="AN648" s="977"/>
      <c r="AO648" s="977"/>
      <c r="AP648" s="977"/>
      <c r="AQ648" s="977"/>
    </row>
    <row r="649" spans="1:43" ht="14.25" customHeight="1">
      <c r="A649" s="977"/>
      <c r="B649" s="977"/>
      <c r="C649" s="977"/>
      <c r="D649" s="977"/>
      <c r="E649" s="977"/>
      <c r="F649" s="977"/>
      <c r="G649" s="977"/>
      <c r="H649" s="977"/>
      <c r="I649" s="977"/>
      <c r="J649" s="977"/>
      <c r="K649" s="977"/>
      <c r="L649" s="977"/>
      <c r="M649" s="977"/>
      <c r="N649" s="977"/>
      <c r="O649" s="977"/>
      <c r="P649" s="977"/>
      <c r="Q649" s="977"/>
      <c r="R649" s="977"/>
      <c r="S649" s="977"/>
      <c r="T649" s="977"/>
      <c r="U649" s="977"/>
      <c r="V649" s="977"/>
      <c r="W649" s="977"/>
      <c r="X649" s="977"/>
      <c r="Y649" s="977"/>
      <c r="Z649" s="977"/>
      <c r="AA649" s="977"/>
      <c r="AB649" s="977"/>
      <c r="AC649" s="977"/>
      <c r="AD649" s="977"/>
      <c r="AE649" s="977"/>
      <c r="AF649" s="977"/>
      <c r="AG649" s="977"/>
      <c r="AH649" s="977"/>
      <c r="AI649" s="977"/>
      <c r="AJ649" s="977"/>
      <c r="AK649" s="977"/>
      <c r="AL649" s="977"/>
      <c r="AM649" s="977"/>
      <c r="AN649" s="977"/>
      <c r="AO649" s="977"/>
      <c r="AP649" s="977"/>
      <c r="AQ649" s="977"/>
    </row>
    <row r="650" spans="1:43" ht="14.25" customHeight="1">
      <c r="A650" s="977"/>
      <c r="B650" s="977"/>
      <c r="C650" s="977"/>
      <c r="D650" s="977"/>
      <c r="E650" s="977"/>
      <c r="F650" s="977"/>
      <c r="G650" s="977"/>
      <c r="H650" s="977"/>
      <c r="I650" s="977"/>
      <c r="J650" s="977"/>
      <c r="K650" s="977"/>
      <c r="L650" s="977"/>
      <c r="M650" s="977"/>
      <c r="N650" s="977"/>
      <c r="O650" s="977"/>
      <c r="P650" s="977"/>
      <c r="Q650" s="977"/>
      <c r="R650" s="977"/>
      <c r="S650" s="977"/>
      <c r="T650" s="977"/>
      <c r="U650" s="977"/>
      <c r="V650" s="977"/>
      <c r="W650" s="977"/>
      <c r="X650" s="977"/>
      <c r="Y650" s="977"/>
      <c r="Z650" s="977"/>
      <c r="AA650" s="977"/>
      <c r="AB650" s="977"/>
      <c r="AC650" s="977"/>
      <c r="AD650" s="977"/>
      <c r="AE650" s="977"/>
      <c r="AF650" s="977"/>
      <c r="AG650" s="977"/>
      <c r="AH650" s="977"/>
      <c r="AI650" s="977"/>
      <c r="AJ650" s="977"/>
      <c r="AK650" s="977"/>
      <c r="AL650" s="977"/>
      <c r="AM650" s="977"/>
      <c r="AN650" s="977"/>
      <c r="AO650" s="977"/>
      <c r="AP650" s="977"/>
      <c r="AQ650" s="977"/>
    </row>
    <row r="651" spans="1:43" ht="14.25" customHeight="1">
      <c r="A651" s="977"/>
      <c r="B651" s="977"/>
      <c r="C651" s="977"/>
      <c r="D651" s="977"/>
      <c r="E651" s="977"/>
      <c r="F651" s="977"/>
      <c r="G651" s="977"/>
      <c r="H651" s="977"/>
      <c r="I651" s="977"/>
      <c r="J651" s="977"/>
      <c r="K651" s="977"/>
      <c r="L651" s="977"/>
      <c r="M651" s="977"/>
      <c r="N651" s="977"/>
      <c r="O651" s="977"/>
      <c r="P651" s="977"/>
      <c r="Q651" s="977"/>
      <c r="R651" s="977"/>
      <c r="S651" s="977"/>
      <c r="T651" s="977"/>
      <c r="U651" s="977"/>
      <c r="V651" s="977"/>
      <c r="W651" s="977"/>
      <c r="X651" s="977"/>
      <c r="Y651" s="977"/>
      <c r="Z651" s="977"/>
      <c r="AA651" s="977"/>
      <c r="AB651" s="977"/>
      <c r="AC651" s="977"/>
      <c r="AD651" s="977"/>
      <c r="AE651" s="977"/>
      <c r="AF651" s="977"/>
      <c r="AG651" s="977"/>
      <c r="AH651" s="977"/>
      <c r="AI651" s="977"/>
      <c r="AJ651" s="977"/>
      <c r="AK651" s="977"/>
      <c r="AL651" s="977"/>
      <c r="AM651" s="977"/>
      <c r="AN651" s="977"/>
      <c r="AO651" s="977"/>
      <c r="AP651" s="977"/>
      <c r="AQ651" s="977"/>
    </row>
    <row r="652" spans="1:43" ht="14.25" customHeight="1">
      <c r="A652" s="977"/>
      <c r="B652" s="977"/>
      <c r="C652" s="977"/>
      <c r="D652" s="977"/>
      <c r="E652" s="977"/>
      <c r="F652" s="977"/>
      <c r="G652" s="977"/>
      <c r="H652" s="977"/>
      <c r="I652" s="977"/>
      <c r="J652" s="977"/>
      <c r="K652" s="977"/>
      <c r="L652" s="977"/>
      <c r="M652" s="977"/>
      <c r="N652" s="977"/>
      <c r="O652" s="977"/>
      <c r="P652" s="977"/>
      <c r="Q652" s="977"/>
      <c r="R652" s="977"/>
      <c r="S652" s="977"/>
      <c r="T652" s="977"/>
      <c r="U652" s="977"/>
      <c r="V652" s="977"/>
      <c r="W652" s="977"/>
      <c r="X652" s="977"/>
      <c r="Y652" s="977"/>
      <c r="Z652" s="977"/>
      <c r="AA652" s="977"/>
      <c r="AB652" s="977"/>
      <c r="AC652" s="977"/>
      <c r="AD652" s="977"/>
      <c r="AE652" s="977"/>
      <c r="AF652" s="977"/>
      <c r="AG652" s="977"/>
      <c r="AH652" s="977"/>
      <c r="AI652" s="977"/>
      <c r="AJ652" s="977"/>
      <c r="AK652" s="977"/>
      <c r="AL652" s="977"/>
      <c r="AM652" s="977"/>
      <c r="AN652" s="977"/>
      <c r="AO652" s="977"/>
      <c r="AP652" s="977"/>
      <c r="AQ652" s="977"/>
    </row>
    <row r="653" spans="1:43" ht="14.25" customHeight="1">
      <c r="A653" s="977"/>
      <c r="B653" s="977"/>
      <c r="C653" s="977"/>
      <c r="D653" s="977"/>
      <c r="E653" s="977"/>
      <c r="F653" s="977"/>
      <c r="G653" s="977"/>
      <c r="H653" s="977"/>
      <c r="I653" s="977"/>
      <c r="J653" s="977"/>
      <c r="K653" s="977"/>
      <c r="L653" s="977"/>
      <c r="M653" s="977"/>
      <c r="N653" s="977"/>
      <c r="O653" s="977"/>
      <c r="P653" s="977"/>
      <c r="Q653" s="977"/>
      <c r="R653" s="977"/>
      <c r="S653" s="977"/>
      <c r="T653" s="977"/>
      <c r="U653" s="977"/>
      <c r="V653" s="977"/>
      <c r="W653" s="977"/>
      <c r="X653" s="977"/>
      <c r="Y653" s="977"/>
      <c r="Z653" s="977"/>
      <c r="AA653" s="977"/>
      <c r="AB653" s="977"/>
      <c r="AC653" s="977"/>
      <c r="AD653" s="977"/>
      <c r="AE653" s="977"/>
      <c r="AF653" s="977"/>
      <c r="AG653" s="977"/>
      <c r="AH653" s="977"/>
      <c r="AI653" s="977"/>
      <c r="AJ653" s="977"/>
      <c r="AK653" s="977"/>
      <c r="AL653" s="977"/>
      <c r="AM653" s="977"/>
      <c r="AN653" s="977"/>
      <c r="AO653" s="977"/>
      <c r="AP653" s="977"/>
      <c r="AQ653" s="977"/>
    </row>
    <row r="654" spans="1:43" ht="14.25" customHeight="1">
      <c r="A654" s="977"/>
      <c r="B654" s="977"/>
      <c r="C654" s="977"/>
      <c r="D654" s="977"/>
      <c r="E654" s="977"/>
      <c r="F654" s="977"/>
      <c r="G654" s="977"/>
      <c r="H654" s="977"/>
      <c r="I654" s="977"/>
      <c r="J654" s="977"/>
      <c r="K654" s="977"/>
      <c r="L654" s="977"/>
      <c r="M654" s="977"/>
      <c r="N654" s="977"/>
      <c r="O654" s="977"/>
      <c r="P654" s="977"/>
      <c r="Q654" s="977"/>
      <c r="R654" s="977"/>
      <c r="S654" s="977"/>
      <c r="T654" s="977"/>
      <c r="U654" s="977"/>
      <c r="V654" s="977"/>
      <c r="W654" s="977"/>
      <c r="X654" s="977"/>
      <c r="Y654" s="977"/>
      <c r="Z654" s="977"/>
      <c r="AA654" s="977"/>
      <c r="AB654" s="977"/>
      <c r="AC654" s="977"/>
      <c r="AD654" s="977"/>
      <c r="AE654" s="977"/>
      <c r="AF654" s="977"/>
      <c r="AG654" s="977"/>
      <c r="AH654" s="977"/>
      <c r="AI654" s="977"/>
      <c r="AJ654" s="977"/>
      <c r="AK654" s="977"/>
      <c r="AL654" s="977"/>
      <c r="AM654" s="977"/>
      <c r="AN654" s="977"/>
      <c r="AO654" s="977"/>
      <c r="AP654" s="977"/>
      <c r="AQ654" s="977"/>
    </row>
    <row r="655" spans="1:43" ht="14.25" customHeight="1">
      <c r="A655" s="977"/>
      <c r="B655" s="977"/>
      <c r="C655" s="977"/>
      <c r="D655" s="977"/>
      <c r="E655" s="977"/>
      <c r="F655" s="977"/>
      <c r="G655" s="977"/>
      <c r="H655" s="977"/>
      <c r="I655" s="977"/>
      <c r="J655" s="977"/>
      <c r="K655" s="977"/>
      <c r="L655" s="977"/>
      <c r="M655" s="977"/>
      <c r="N655" s="977"/>
      <c r="O655" s="977"/>
      <c r="P655" s="977"/>
      <c r="Q655" s="977"/>
      <c r="R655" s="977"/>
      <c r="S655" s="977"/>
      <c r="T655" s="977"/>
      <c r="U655" s="977"/>
      <c r="V655" s="977"/>
      <c r="W655" s="977"/>
      <c r="X655" s="977"/>
      <c r="Y655" s="977"/>
      <c r="Z655" s="977"/>
      <c r="AA655" s="977"/>
      <c r="AB655" s="977"/>
      <c r="AC655" s="977"/>
      <c r="AD655" s="977"/>
      <c r="AE655" s="977"/>
      <c r="AF655" s="977"/>
      <c r="AG655" s="977"/>
      <c r="AH655" s="977"/>
      <c r="AI655" s="977"/>
      <c r="AJ655" s="977"/>
      <c r="AK655" s="977"/>
      <c r="AL655" s="977"/>
      <c r="AM655" s="977"/>
      <c r="AN655" s="977"/>
      <c r="AO655" s="977"/>
      <c r="AP655" s="977"/>
      <c r="AQ655" s="977"/>
    </row>
    <row r="656" spans="1:43" ht="14.25" customHeight="1">
      <c r="A656" s="977"/>
      <c r="B656" s="977"/>
      <c r="C656" s="977"/>
      <c r="D656" s="977"/>
      <c r="E656" s="977"/>
      <c r="F656" s="977"/>
      <c r="G656" s="977"/>
      <c r="H656" s="977"/>
      <c r="I656" s="977"/>
      <c r="J656" s="977"/>
      <c r="K656" s="977"/>
      <c r="L656" s="977"/>
      <c r="M656" s="977"/>
      <c r="N656" s="977"/>
      <c r="O656" s="977"/>
      <c r="P656" s="977"/>
      <c r="Q656" s="977"/>
      <c r="R656" s="977"/>
      <c r="S656" s="977"/>
      <c r="T656" s="977"/>
      <c r="U656" s="977"/>
      <c r="V656" s="977"/>
      <c r="W656" s="977"/>
      <c r="X656" s="977"/>
      <c r="Y656" s="977"/>
      <c r="Z656" s="977"/>
      <c r="AA656" s="977"/>
      <c r="AB656" s="977"/>
      <c r="AC656" s="977"/>
      <c r="AD656" s="977"/>
      <c r="AE656" s="977"/>
      <c r="AF656" s="977"/>
      <c r="AG656" s="977"/>
      <c r="AH656" s="977"/>
      <c r="AI656" s="977"/>
      <c r="AJ656" s="977"/>
      <c r="AK656" s="977"/>
      <c r="AL656" s="977"/>
      <c r="AM656" s="977"/>
      <c r="AN656" s="977"/>
      <c r="AO656" s="977"/>
      <c r="AP656" s="977"/>
      <c r="AQ656" s="977"/>
    </row>
    <row r="657" spans="1:43" ht="14.25" customHeight="1">
      <c r="A657" s="977"/>
      <c r="B657" s="977"/>
      <c r="C657" s="977"/>
      <c r="D657" s="977"/>
      <c r="E657" s="977"/>
      <c r="F657" s="977"/>
      <c r="G657" s="977"/>
      <c r="H657" s="977"/>
      <c r="I657" s="977"/>
      <c r="J657" s="977"/>
      <c r="K657" s="977"/>
      <c r="L657" s="977"/>
      <c r="M657" s="977"/>
      <c r="N657" s="977"/>
      <c r="O657" s="977"/>
      <c r="P657" s="977"/>
      <c r="Q657" s="977"/>
      <c r="R657" s="977"/>
      <c r="S657" s="977"/>
      <c r="T657" s="977"/>
      <c r="U657" s="977"/>
      <c r="V657" s="977"/>
      <c r="W657" s="977"/>
      <c r="X657" s="977"/>
      <c r="Y657" s="977"/>
      <c r="Z657" s="977"/>
      <c r="AA657" s="977"/>
      <c r="AB657" s="977"/>
      <c r="AC657" s="977"/>
      <c r="AD657" s="977"/>
      <c r="AE657" s="977"/>
      <c r="AF657" s="977"/>
      <c r="AG657" s="977"/>
      <c r="AH657" s="977"/>
      <c r="AI657" s="977"/>
      <c r="AJ657" s="977"/>
      <c r="AK657" s="977"/>
      <c r="AL657" s="977"/>
      <c r="AM657" s="977"/>
      <c r="AN657" s="977"/>
      <c r="AO657" s="977"/>
      <c r="AP657" s="977"/>
      <c r="AQ657" s="977"/>
    </row>
    <row r="658" spans="1:43" ht="14.25" customHeight="1">
      <c r="A658" s="977"/>
      <c r="B658" s="977"/>
      <c r="C658" s="977"/>
      <c r="D658" s="977"/>
      <c r="E658" s="977"/>
      <c r="F658" s="977"/>
      <c r="G658" s="977"/>
      <c r="H658" s="977"/>
      <c r="I658" s="977"/>
      <c r="J658" s="977"/>
      <c r="K658" s="977"/>
      <c r="L658" s="977"/>
      <c r="M658" s="977"/>
      <c r="N658" s="977"/>
      <c r="O658" s="977"/>
      <c r="P658" s="977"/>
      <c r="Q658" s="977"/>
      <c r="R658" s="977"/>
      <c r="S658" s="977"/>
      <c r="T658" s="977"/>
      <c r="U658" s="977"/>
      <c r="V658" s="977"/>
      <c r="W658" s="977"/>
      <c r="X658" s="977"/>
      <c r="Y658" s="977"/>
      <c r="Z658" s="977"/>
      <c r="AA658" s="977"/>
      <c r="AB658" s="977"/>
      <c r="AC658" s="977"/>
      <c r="AD658" s="977"/>
      <c r="AE658" s="977"/>
      <c r="AF658" s="977"/>
      <c r="AG658" s="977"/>
      <c r="AH658" s="977"/>
      <c r="AI658" s="977"/>
      <c r="AJ658" s="977"/>
      <c r="AK658" s="977"/>
      <c r="AL658" s="977"/>
      <c r="AM658" s="977"/>
      <c r="AN658" s="977"/>
      <c r="AO658" s="977"/>
      <c r="AP658" s="977"/>
      <c r="AQ658" s="977"/>
    </row>
    <row r="659" spans="1:43" ht="14.25" customHeight="1">
      <c r="A659" s="977"/>
      <c r="B659" s="977"/>
      <c r="C659" s="977"/>
      <c r="D659" s="977"/>
      <c r="E659" s="977"/>
      <c r="F659" s="977"/>
      <c r="G659" s="977"/>
      <c r="H659" s="977"/>
      <c r="I659" s="977"/>
      <c r="J659" s="977"/>
      <c r="K659" s="977"/>
      <c r="L659" s="977"/>
      <c r="M659" s="977"/>
      <c r="N659" s="977"/>
      <c r="O659" s="977"/>
      <c r="P659" s="977"/>
      <c r="Q659" s="977"/>
      <c r="R659" s="977"/>
      <c r="S659" s="977"/>
      <c r="T659" s="977"/>
      <c r="U659" s="977"/>
      <c r="V659" s="977"/>
      <c r="W659" s="977"/>
      <c r="X659" s="977"/>
      <c r="Y659" s="977"/>
      <c r="Z659" s="977"/>
      <c r="AA659" s="977"/>
      <c r="AB659" s="977"/>
      <c r="AC659" s="977"/>
      <c r="AD659" s="977"/>
      <c r="AE659" s="977"/>
      <c r="AF659" s="977"/>
      <c r="AG659" s="977"/>
      <c r="AH659" s="977"/>
      <c r="AI659" s="977"/>
      <c r="AJ659" s="977"/>
      <c r="AK659" s="977"/>
      <c r="AL659" s="977"/>
      <c r="AM659" s="977"/>
      <c r="AN659" s="977"/>
      <c r="AO659" s="977"/>
      <c r="AP659" s="977"/>
      <c r="AQ659" s="977"/>
    </row>
    <row r="660" spans="1:43" ht="14.25" customHeight="1">
      <c r="A660" s="977"/>
      <c r="B660" s="977"/>
      <c r="C660" s="977"/>
      <c r="D660" s="977"/>
      <c r="E660" s="977"/>
      <c r="F660" s="977"/>
      <c r="G660" s="977"/>
      <c r="H660" s="977"/>
      <c r="I660" s="977"/>
      <c r="J660" s="977"/>
      <c r="K660" s="977"/>
      <c r="L660" s="977"/>
      <c r="M660" s="977"/>
      <c r="N660" s="977"/>
      <c r="O660" s="977"/>
      <c r="P660" s="977"/>
      <c r="Q660" s="977"/>
      <c r="R660" s="977"/>
      <c r="S660" s="977"/>
      <c r="T660" s="977"/>
      <c r="U660" s="977"/>
      <c r="V660" s="977"/>
      <c r="W660" s="977"/>
      <c r="X660" s="977"/>
      <c r="Y660" s="977"/>
      <c r="Z660" s="977"/>
      <c r="AA660" s="977"/>
      <c r="AB660" s="977"/>
      <c r="AC660" s="977"/>
      <c r="AD660" s="977"/>
      <c r="AE660" s="977"/>
      <c r="AF660" s="977"/>
      <c r="AG660" s="977"/>
      <c r="AH660" s="977"/>
      <c r="AI660" s="977"/>
      <c r="AJ660" s="977"/>
      <c r="AK660" s="977"/>
      <c r="AL660" s="977"/>
      <c r="AM660" s="977"/>
      <c r="AN660" s="977"/>
      <c r="AO660" s="977"/>
      <c r="AP660" s="977"/>
      <c r="AQ660" s="977"/>
    </row>
    <row r="661" spans="1:43" ht="14.25" customHeight="1">
      <c r="A661" s="977"/>
      <c r="B661" s="977"/>
      <c r="C661" s="977"/>
      <c r="D661" s="977"/>
      <c r="E661" s="977"/>
      <c r="F661" s="977"/>
      <c r="G661" s="977"/>
      <c r="H661" s="977"/>
      <c r="I661" s="977"/>
      <c r="J661" s="977"/>
      <c r="K661" s="977"/>
      <c r="L661" s="977"/>
      <c r="M661" s="977"/>
      <c r="N661" s="977"/>
      <c r="O661" s="977"/>
      <c r="P661" s="977"/>
      <c r="Q661" s="977"/>
      <c r="R661" s="977"/>
      <c r="S661" s="977"/>
      <c r="T661" s="977"/>
      <c r="U661" s="977"/>
      <c r="V661" s="977"/>
      <c r="W661" s="977"/>
      <c r="X661" s="977"/>
      <c r="Y661" s="977"/>
      <c r="Z661" s="977"/>
      <c r="AA661" s="977"/>
      <c r="AB661" s="977"/>
      <c r="AC661" s="977"/>
      <c r="AD661" s="977"/>
      <c r="AE661" s="977"/>
      <c r="AF661" s="977"/>
      <c r="AG661" s="977"/>
      <c r="AH661" s="977"/>
      <c r="AI661" s="977"/>
      <c r="AJ661" s="977"/>
      <c r="AK661" s="977"/>
      <c r="AL661" s="977"/>
      <c r="AM661" s="977"/>
      <c r="AN661" s="977"/>
      <c r="AO661" s="977"/>
      <c r="AP661" s="977"/>
      <c r="AQ661" s="977"/>
    </row>
    <row r="662" spans="1:43" ht="14.25" customHeight="1">
      <c r="A662" s="977"/>
      <c r="B662" s="977"/>
      <c r="C662" s="977"/>
      <c r="D662" s="977"/>
      <c r="E662" s="977"/>
      <c r="F662" s="977"/>
      <c r="G662" s="977"/>
      <c r="H662" s="977"/>
      <c r="I662" s="977"/>
      <c r="J662" s="977"/>
      <c r="K662" s="977"/>
      <c r="L662" s="977"/>
      <c r="M662" s="977"/>
      <c r="N662" s="977"/>
      <c r="O662" s="977"/>
      <c r="P662" s="977"/>
      <c r="Q662" s="977"/>
      <c r="R662" s="977"/>
      <c r="S662" s="977"/>
      <c r="T662" s="977"/>
      <c r="U662" s="977"/>
      <c r="V662" s="977"/>
      <c r="W662" s="977"/>
      <c r="X662" s="977"/>
      <c r="Y662" s="977"/>
      <c r="Z662" s="977"/>
      <c r="AA662" s="977"/>
      <c r="AB662" s="977"/>
      <c r="AC662" s="977"/>
      <c r="AD662" s="977"/>
      <c r="AE662" s="977"/>
      <c r="AF662" s="977"/>
      <c r="AG662" s="977"/>
      <c r="AH662" s="977"/>
      <c r="AI662" s="977"/>
      <c r="AJ662" s="977"/>
      <c r="AK662" s="977"/>
      <c r="AL662" s="977"/>
      <c r="AM662" s="977"/>
      <c r="AN662" s="977"/>
      <c r="AO662" s="977"/>
      <c r="AP662" s="977"/>
      <c r="AQ662" s="977"/>
    </row>
    <row r="663" spans="1:43" ht="14.25" customHeight="1">
      <c r="A663" s="977"/>
      <c r="B663" s="977"/>
      <c r="C663" s="977"/>
      <c r="D663" s="977"/>
      <c r="E663" s="977"/>
      <c r="F663" s="977"/>
      <c r="G663" s="977"/>
      <c r="H663" s="977"/>
      <c r="I663" s="977"/>
      <c r="J663" s="977"/>
      <c r="K663" s="977"/>
      <c r="L663" s="977"/>
      <c r="M663" s="977"/>
      <c r="N663" s="977"/>
      <c r="O663" s="977"/>
      <c r="P663" s="977"/>
      <c r="Q663" s="977"/>
      <c r="R663" s="977"/>
      <c r="S663" s="977"/>
      <c r="T663" s="977"/>
      <c r="U663" s="977"/>
      <c r="V663" s="977"/>
      <c r="W663" s="977"/>
      <c r="X663" s="977"/>
      <c r="Y663" s="977"/>
      <c r="Z663" s="977"/>
      <c r="AA663" s="977"/>
      <c r="AB663" s="977"/>
      <c r="AC663" s="977"/>
      <c r="AD663" s="977"/>
      <c r="AE663" s="977"/>
      <c r="AF663" s="977"/>
      <c r="AG663" s="977"/>
      <c r="AH663" s="977"/>
      <c r="AI663" s="977"/>
      <c r="AJ663" s="977"/>
      <c r="AK663" s="977"/>
      <c r="AL663" s="977"/>
      <c r="AM663" s="977"/>
      <c r="AN663" s="977"/>
      <c r="AO663" s="977"/>
      <c r="AP663" s="977"/>
      <c r="AQ663" s="977"/>
    </row>
    <row r="664" spans="1:43" ht="14.25" customHeight="1">
      <c r="A664" s="977"/>
      <c r="B664" s="977"/>
      <c r="C664" s="977"/>
      <c r="D664" s="977"/>
      <c r="E664" s="977"/>
      <c r="F664" s="977"/>
      <c r="G664" s="977"/>
      <c r="H664" s="977"/>
      <c r="I664" s="977"/>
      <c r="J664" s="977"/>
      <c r="K664" s="977"/>
      <c r="L664" s="977"/>
      <c r="M664" s="977"/>
      <c r="N664" s="977"/>
      <c r="O664" s="977"/>
      <c r="P664" s="977"/>
      <c r="Q664" s="977"/>
      <c r="R664" s="977"/>
      <c r="S664" s="977"/>
      <c r="T664" s="977"/>
      <c r="U664" s="977"/>
      <c r="V664" s="977"/>
      <c r="W664" s="977"/>
      <c r="X664" s="977"/>
      <c r="Y664" s="977"/>
      <c r="Z664" s="977"/>
      <c r="AA664" s="977"/>
      <c r="AB664" s="977"/>
      <c r="AC664" s="977"/>
      <c r="AD664" s="977"/>
      <c r="AE664" s="977"/>
      <c r="AF664" s="977"/>
      <c r="AG664" s="977"/>
      <c r="AH664" s="977"/>
      <c r="AI664" s="977"/>
      <c r="AJ664" s="977"/>
      <c r="AK664" s="977"/>
      <c r="AL664" s="977"/>
      <c r="AM664" s="977"/>
      <c r="AN664" s="977"/>
      <c r="AO664" s="977"/>
      <c r="AP664" s="977"/>
      <c r="AQ664" s="977"/>
    </row>
    <row r="665" spans="1:43" ht="14.25" customHeight="1">
      <c r="A665" s="977"/>
      <c r="B665" s="977"/>
      <c r="C665" s="977"/>
      <c r="D665" s="977"/>
      <c r="E665" s="977"/>
      <c r="F665" s="977"/>
      <c r="G665" s="977"/>
      <c r="H665" s="977"/>
      <c r="I665" s="977"/>
      <c r="J665" s="977"/>
      <c r="K665" s="977"/>
      <c r="L665" s="977"/>
      <c r="M665" s="977"/>
      <c r="N665" s="977"/>
      <c r="O665" s="977"/>
      <c r="P665" s="977"/>
      <c r="Q665" s="977"/>
      <c r="R665" s="977"/>
      <c r="S665" s="977"/>
      <c r="T665" s="977"/>
      <c r="U665" s="977"/>
      <c r="V665" s="977"/>
      <c r="W665" s="977"/>
      <c r="X665" s="977"/>
      <c r="Y665" s="977"/>
      <c r="Z665" s="977"/>
      <c r="AA665" s="977"/>
      <c r="AB665" s="977"/>
      <c r="AC665" s="977"/>
      <c r="AD665" s="977"/>
      <c r="AE665" s="977"/>
      <c r="AF665" s="977"/>
      <c r="AG665" s="977"/>
      <c r="AH665" s="977"/>
      <c r="AI665" s="977"/>
      <c r="AJ665" s="977"/>
      <c r="AK665" s="977"/>
      <c r="AL665" s="977"/>
      <c r="AM665" s="977"/>
      <c r="AN665" s="977"/>
      <c r="AO665" s="977"/>
      <c r="AP665" s="977"/>
      <c r="AQ665" s="977"/>
    </row>
    <row r="666" spans="1:43" ht="14.25" customHeight="1">
      <c r="A666" s="977"/>
      <c r="B666" s="977"/>
      <c r="C666" s="977"/>
      <c r="D666" s="977"/>
      <c r="E666" s="977"/>
      <c r="F666" s="977"/>
      <c r="G666" s="977"/>
      <c r="H666" s="977"/>
      <c r="I666" s="977"/>
      <c r="J666" s="977"/>
      <c r="K666" s="977"/>
      <c r="L666" s="977"/>
      <c r="M666" s="977"/>
      <c r="N666" s="977"/>
      <c r="O666" s="977"/>
      <c r="P666" s="977"/>
      <c r="Q666" s="977"/>
      <c r="R666" s="977"/>
      <c r="S666" s="977"/>
      <c r="T666" s="977"/>
      <c r="U666" s="977"/>
      <c r="V666" s="977"/>
      <c r="W666" s="977"/>
      <c r="X666" s="977"/>
      <c r="Y666" s="977"/>
      <c r="Z666" s="977"/>
      <c r="AA666" s="977"/>
      <c r="AB666" s="977"/>
      <c r="AC666" s="977"/>
      <c r="AD666" s="977"/>
      <c r="AE666" s="977"/>
      <c r="AF666" s="977"/>
      <c r="AG666" s="977"/>
      <c r="AH666" s="977"/>
      <c r="AI666" s="977"/>
      <c r="AJ666" s="977"/>
      <c r="AK666" s="977"/>
      <c r="AL666" s="977"/>
      <c r="AM666" s="977"/>
      <c r="AN666" s="977"/>
      <c r="AO666" s="977"/>
      <c r="AP666" s="977"/>
      <c r="AQ666" s="977"/>
    </row>
    <row r="667" spans="1:43" ht="14.25" customHeight="1">
      <c r="A667" s="977"/>
      <c r="B667" s="977"/>
      <c r="C667" s="977"/>
      <c r="D667" s="977"/>
      <c r="E667" s="977"/>
      <c r="F667" s="977"/>
      <c r="G667" s="977"/>
      <c r="H667" s="977"/>
      <c r="I667" s="977"/>
      <c r="J667" s="977"/>
      <c r="K667" s="977"/>
      <c r="L667" s="977"/>
      <c r="M667" s="977"/>
      <c r="N667" s="977"/>
      <c r="O667" s="977"/>
      <c r="P667" s="977"/>
      <c r="Q667" s="977"/>
      <c r="R667" s="977"/>
      <c r="S667" s="977"/>
      <c r="T667" s="977"/>
      <c r="U667" s="977"/>
      <c r="V667" s="977"/>
      <c r="W667" s="977"/>
      <c r="X667" s="977"/>
      <c r="Y667" s="977"/>
      <c r="Z667" s="977"/>
      <c r="AA667" s="977"/>
      <c r="AB667" s="977"/>
      <c r="AC667" s="977"/>
      <c r="AD667" s="977"/>
      <c r="AE667" s="977"/>
      <c r="AF667" s="977"/>
      <c r="AG667" s="977"/>
      <c r="AH667" s="977"/>
      <c r="AI667" s="977"/>
      <c r="AJ667" s="977"/>
      <c r="AK667" s="977"/>
      <c r="AL667" s="977"/>
      <c r="AM667" s="977"/>
      <c r="AN667" s="977"/>
      <c r="AO667" s="977"/>
      <c r="AP667" s="977"/>
      <c r="AQ667" s="977"/>
    </row>
    <row r="668" spans="1:43" ht="14.25" customHeight="1">
      <c r="A668" s="977"/>
      <c r="B668" s="977"/>
      <c r="C668" s="977"/>
      <c r="D668" s="977"/>
      <c r="E668" s="977"/>
      <c r="F668" s="977"/>
      <c r="G668" s="977"/>
      <c r="H668" s="977"/>
      <c r="I668" s="977"/>
      <c r="J668" s="977"/>
      <c r="K668" s="977"/>
      <c r="L668" s="977"/>
      <c r="M668" s="977"/>
      <c r="N668" s="977"/>
      <c r="O668" s="977"/>
      <c r="P668" s="977"/>
      <c r="Q668" s="977"/>
      <c r="R668" s="977"/>
      <c r="S668" s="977"/>
      <c r="T668" s="977"/>
      <c r="U668" s="977"/>
      <c r="V668" s="977"/>
      <c r="W668" s="977"/>
      <c r="X668" s="977"/>
      <c r="Y668" s="977"/>
      <c r="Z668" s="977"/>
      <c r="AA668" s="977"/>
      <c r="AB668" s="977"/>
      <c r="AC668" s="977"/>
      <c r="AD668" s="977"/>
      <c r="AE668" s="977"/>
      <c r="AF668" s="977"/>
      <c r="AG668" s="977"/>
      <c r="AH668" s="977"/>
      <c r="AI668" s="977"/>
      <c r="AJ668" s="977"/>
      <c r="AK668" s="977"/>
      <c r="AL668" s="977"/>
      <c r="AM668" s="977"/>
      <c r="AN668" s="977"/>
      <c r="AO668" s="977"/>
      <c r="AP668" s="977"/>
      <c r="AQ668" s="977"/>
    </row>
    <row r="669" spans="1:43" ht="14.25" customHeight="1">
      <c r="A669" s="977"/>
      <c r="B669" s="977"/>
      <c r="C669" s="977"/>
      <c r="D669" s="977"/>
      <c r="E669" s="977"/>
      <c r="F669" s="977"/>
      <c r="G669" s="977"/>
      <c r="H669" s="977"/>
      <c r="I669" s="977"/>
      <c r="J669" s="977"/>
      <c r="K669" s="977"/>
      <c r="L669" s="977"/>
      <c r="M669" s="977"/>
      <c r="N669" s="977"/>
      <c r="O669" s="977"/>
      <c r="P669" s="977"/>
      <c r="Q669" s="977"/>
      <c r="R669" s="977"/>
      <c r="S669" s="977"/>
      <c r="T669" s="977"/>
      <c r="U669" s="977"/>
      <c r="V669" s="977"/>
      <c r="W669" s="977"/>
      <c r="X669" s="977"/>
      <c r="Y669" s="977"/>
      <c r="Z669" s="977"/>
      <c r="AA669" s="977"/>
      <c r="AB669" s="977"/>
      <c r="AC669" s="977"/>
      <c r="AD669" s="977"/>
      <c r="AE669" s="977"/>
      <c r="AF669" s="977"/>
      <c r="AG669" s="977"/>
      <c r="AH669" s="977"/>
      <c r="AI669" s="977"/>
      <c r="AJ669" s="977"/>
      <c r="AK669" s="977"/>
      <c r="AL669" s="977"/>
      <c r="AM669" s="977"/>
      <c r="AN669" s="977"/>
      <c r="AO669" s="977"/>
      <c r="AP669" s="977"/>
      <c r="AQ669" s="977"/>
    </row>
    <row r="670" spans="1:43" ht="14.25" customHeight="1">
      <c r="A670" s="977"/>
      <c r="B670" s="977"/>
      <c r="C670" s="977"/>
      <c r="D670" s="977"/>
      <c r="E670" s="977"/>
      <c r="F670" s="977"/>
      <c r="G670" s="977"/>
      <c r="H670" s="977"/>
      <c r="I670" s="977"/>
      <c r="J670" s="977"/>
      <c r="K670" s="977"/>
      <c r="L670" s="977"/>
      <c r="M670" s="977"/>
      <c r="N670" s="977"/>
      <c r="O670" s="977"/>
      <c r="P670" s="977"/>
      <c r="Q670" s="977"/>
      <c r="R670" s="977"/>
      <c r="S670" s="977"/>
      <c r="T670" s="977"/>
      <c r="U670" s="977"/>
      <c r="V670" s="977"/>
      <c r="W670" s="977"/>
      <c r="X670" s="977"/>
      <c r="Y670" s="977"/>
      <c r="Z670" s="977"/>
      <c r="AA670" s="977"/>
      <c r="AB670" s="977"/>
      <c r="AC670" s="977"/>
      <c r="AD670" s="977"/>
      <c r="AE670" s="977"/>
      <c r="AF670" s="977"/>
      <c r="AG670" s="977"/>
      <c r="AH670" s="977"/>
      <c r="AI670" s="977"/>
      <c r="AJ670" s="977"/>
      <c r="AK670" s="977"/>
      <c r="AL670" s="977"/>
      <c r="AM670" s="977"/>
      <c r="AN670" s="977"/>
      <c r="AO670" s="977"/>
      <c r="AP670" s="977"/>
      <c r="AQ670" s="977"/>
    </row>
    <row r="671" spans="1:43" ht="14.25" customHeight="1">
      <c r="A671" s="977"/>
      <c r="B671" s="977"/>
      <c r="C671" s="977"/>
      <c r="D671" s="977"/>
      <c r="E671" s="977"/>
      <c r="F671" s="977"/>
      <c r="G671" s="977"/>
      <c r="H671" s="977"/>
      <c r="I671" s="977"/>
      <c r="J671" s="977"/>
      <c r="K671" s="977"/>
      <c r="L671" s="977"/>
      <c r="M671" s="977"/>
      <c r="N671" s="977"/>
      <c r="O671" s="977"/>
      <c r="P671" s="977"/>
      <c r="Q671" s="977"/>
      <c r="R671" s="977"/>
      <c r="S671" s="977"/>
      <c r="T671" s="977"/>
      <c r="U671" s="977"/>
      <c r="V671" s="977"/>
      <c r="W671" s="977"/>
      <c r="X671" s="977"/>
      <c r="Y671" s="977"/>
      <c r="Z671" s="977"/>
      <c r="AA671" s="977"/>
      <c r="AB671" s="977"/>
      <c r="AC671" s="977"/>
      <c r="AD671" s="977"/>
      <c r="AE671" s="977"/>
      <c r="AF671" s="977"/>
      <c r="AG671" s="977"/>
      <c r="AH671" s="977"/>
      <c r="AI671" s="977"/>
      <c r="AJ671" s="977"/>
      <c r="AK671" s="977"/>
      <c r="AL671" s="977"/>
      <c r="AM671" s="977"/>
      <c r="AN671" s="977"/>
      <c r="AO671" s="977"/>
      <c r="AP671" s="977"/>
      <c r="AQ671" s="977"/>
    </row>
    <row r="672" spans="1:43" ht="14.25" customHeight="1">
      <c r="A672" s="977"/>
      <c r="B672" s="977"/>
      <c r="C672" s="977"/>
      <c r="D672" s="977"/>
      <c r="E672" s="977"/>
      <c r="F672" s="977"/>
      <c r="G672" s="977"/>
      <c r="H672" s="977"/>
      <c r="I672" s="977"/>
      <c r="J672" s="977"/>
      <c r="K672" s="977"/>
      <c r="L672" s="977"/>
      <c r="M672" s="977"/>
      <c r="N672" s="977"/>
      <c r="O672" s="977"/>
      <c r="P672" s="977"/>
      <c r="Q672" s="977"/>
      <c r="R672" s="977"/>
      <c r="S672" s="977"/>
      <c r="T672" s="977"/>
      <c r="U672" s="977"/>
      <c r="V672" s="977"/>
      <c r="W672" s="977"/>
      <c r="X672" s="977"/>
      <c r="Y672" s="977"/>
      <c r="Z672" s="977"/>
      <c r="AA672" s="977"/>
      <c r="AB672" s="977"/>
      <c r="AC672" s="977"/>
      <c r="AD672" s="977"/>
      <c r="AE672" s="977"/>
      <c r="AF672" s="977"/>
      <c r="AG672" s="977"/>
      <c r="AH672" s="977"/>
      <c r="AI672" s="977"/>
      <c r="AJ672" s="977"/>
      <c r="AK672" s="977"/>
      <c r="AL672" s="977"/>
      <c r="AM672" s="977"/>
      <c r="AN672" s="977"/>
      <c r="AO672" s="977"/>
      <c r="AP672" s="977"/>
      <c r="AQ672" s="977"/>
    </row>
    <row r="673" spans="1:43" ht="14.25" customHeight="1">
      <c r="A673" s="977"/>
      <c r="B673" s="977"/>
      <c r="C673" s="977"/>
      <c r="D673" s="977"/>
      <c r="E673" s="977"/>
      <c r="F673" s="977"/>
      <c r="G673" s="977"/>
      <c r="H673" s="977"/>
      <c r="I673" s="977"/>
      <c r="J673" s="977"/>
      <c r="K673" s="977"/>
      <c r="L673" s="977"/>
      <c r="M673" s="977"/>
      <c r="N673" s="977"/>
      <c r="O673" s="977"/>
      <c r="P673" s="977"/>
      <c r="Q673" s="977"/>
      <c r="R673" s="977"/>
      <c r="S673" s="977"/>
      <c r="T673" s="977"/>
      <c r="U673" s="977"/>
      <c r="V673" s="977"/>
      <c r="W673" s="977"/>
      <c r="X673" s="977"/>
      <c r="Y673" s="977"/>
      <c r="Z673" s="977"/>
      <c r="AA673" s="977"/>
      <c r="AB673" s="977"/>
      <c r="AC673" s="977"/>
      <c r="AD673" s="977"/>
      <c r="AE673" s="977"/>
      <c r="AF673" s="977"/>
      <c r="AG673" s="977"/>
      <c r="AH673" s="977"/>
      <c r="AI673" s="977"/>
      <c r="AJ673" s="977"/>
      <c r="AK673" s="977"/>
      <c r="AL673" s="977"/>
      <c r="AM673" s="977"/>
      <c r="AN673" s="977"/>
      <c r="AO673" s="977"/>
      <c r="AP673" s="977"/>
      <c r="AQ673" s="977"/>
    </row>
    <row r="674" spans="1:43" ht="14.25" customHeight="1">
      <c r="A674" s="977"/>
      <c r="B674" s="977"/>
      <c r="C674" s="977"/>
      <c r="D674" s="977"/>
      <c r="E674" s="977"/>
      <c r="F674" s="977"/>
      <c r="G674" s="977"/>
      <c r="H674" s="977"/>
      <c r="I674" s="977"/>
      <c r="J674" s="977"/>
      <c r="K674" s="977"/>
      <c r="L674" s="977"/>
      <c r="M674" s="977"/>
      <c r="N674" s="977"/>
      <c r="O674" s="977"/>
      <c r="P674" s="977"/>
      <c r="Q674" s="977"/>
      <c r="R674" s="977"/>
      <c r="S674" s="977"/>
      <c r="T674" s="977"/>
      <c r="U674" s="977"/>
      <c r="V674" s="977"/>
      <c r="W674" s="977"/>
      <c r="X674" s="977"/>
      <c r="Y674" s="977"/>
      <c r="Z674" s="977"/>
      <c r="AA674" s="977"/>
      <c r="AB674" s="977"/>
      <c r="AC674" s="977"/>
      <c r="AD674" s="977"/>
      <c r="AE674" s="977"/>
      <c r="AF674" s="977"/>
      <c r="AG674" s="977"/>
      <c r="AH674" s="977"/>
      <c r="AI674" s="977"/>
      <c r="AJ674" s="977"/>
      <c r="AK674" s="977"/>
      <c r="AL674" s="977"/>
      <c r="AM674" s="977"/>
      <c r="AN674" s="977"/>
      <c r="AO674" s="977"/>
      <c r="AP674" s="977"/>
      <c r="AQ674" s="977"/>
    </row>
    <row r="675" spans="1:43" ht="14.25" customHeight="1">
      <c r="A675" s="977"/>
      <c r="B675" s="977"/>
      <c r="C675" s="977"/>
      <c r="D675" s="977"/>
      <c r="E675" s="977"/>
      <c r="F675" s="977"/>
      <c r="G675" s="977"/>
      <c r="H675" s="977"/>
      <c r="I675" s="977"/>
      <c r="J675" s="977"/>
      <c r="K675" s="977"/>
      <c r="L675" s="977"/>
      <c r="M675" s="977"/>
      <c r="N675" s="977"/>
      <c r="O675" s="977"/>
      <c r="P675" s="977"/>
      <c r="Q675" s="977"/>
      <c r="R675" s="977"/>
      <c r="S675" s="977"/>
      <c r="T675" s="977"/>
      <c r="U675" s="977"/>
      <c r="V675" s="977"/>
      <c r="W675" s="977"/>
      <c r="X675" s="977"/>
      <c r="Y675" s="977"/>
      <c r="Z675" s="977"/>
      <c r="AA675" s="977"/>
      <c r="AB675" s="977"/>
      <c r="AC675" s="977"/>
      <c r="AD675" s="977"/>
      <c r="AE675" s="977"/>
      <c r="AF675" s="977"/>
      <c r="AG675" s="977"/>
      <c r="AH675" s="977"/>
      <c r="AI675" s="977"/>
      <c r="AJ675" s="977"/>
      <c r="AK675" s="977"/>
      <c r="AL675" s="977"/>
      <c r="AM675" s="977"/>
      <c r="AN675" s="977"/>
      <c r="AO675" s="977"/>
      <c r="AP675" s="977"/>
      <c r="AQ675" s="977"/>
    </row>
    <row r="676" spans="1:43" ht="14.25" customHeight="1">
      <c r="A676" s="977"/>
      <c r="B676" s="977"/>
      <c r="C676" s="977"/>
      <c r="D676" s="977"/>
      <c r="E676" s="977"/>
      <c r="F676" s="977"/>
      <c r="G676" s="977"/>
      <c r="H676" s="977"/>
      <c r="I676" s="977"/>
      <c r="J676" s="977"/>
      <c r="K676" s="977"/>
      <c r="L676" s="977"/>
      <c r="M676" s="977"/>
      <c r="N676" s="977"/>
      <c r="O676" s="977"/>
      <c r="P676" s="977"/>
      <c r="Q676" s="977"/>
      <c r="R676" s="977"/>
      <c r="S676" s="977"/>
      <c r="T676" s="977"/>
      <c r="U676" s="977"/>
      <c r="V676" s="977"/>
      <c r="W676" s="977"/>
      <c r="X676" s="977"/>
      <c r="Y676" s="977"/>
      <c r="Z676" s="977"/>
      <c r="AA676" s="977"/>
      <c r="AB676" s="977"/>
      <c r="AC676" s="977"/>
      <c r="AD676" s="977"/>
      <c r="AE676" s="977"/>
      <c r="AF676" s="977"/>
      <c r="AG676" s="977"/>
      <c r="AH676" s="977"/>
      <c r="AI676" s="977"/>
      <c r="AJ676" s="977"/>
      <c r="AK676" s="977"/>
      <c r="AL676" s="977"/>
      <c r="AM676" s="977"/>
      <c r="AN676" s="977"/>
      <c r="AO676" s="977"/>
      <c r="AP676" s="977"/>
      <c r="AQ676" s="977"/>
    </row>
    <row r="677" spans="1:43" ht="14.25" customHeight="1">
      <c r="A677" s="977"/>
      <c r="B677" s="977"/>
      <c r="C677" s="977"/>
      <c r="D677" s="977"/>
      <c r="E677" s="977"/>
      <c r="F677" s="977"/>
      <c r="G677" s="977"/>
      <c r="H677" s="977"/>
      <c r="I677" s="977"/>
      <c r="J677" s="977"/>
      <c r="K677" s="977"/>
      <c r="L677" s="977"/>
      <c r="M677" s="977"/>
      <c r="N677" s="977"/>
      <c r="O677" s="977"/>
      <c r="P677" s="977"/>
      <c r="Q677" s="977"/>
      <c r="R677" s="977"/>
      <c r="S677" s="977"/>
      <c r="T677" s="977"/>
      <c r="U677" s="977"/>
      <c r="V677" s="977"/>
      <c r="W677" s="977"/>
      <c r="X677" s="977"/>
      <c r="Y677" s="977"/>
      <c r="Z677" s="977"/>
      <c r="AA677" s="977"/>
      <c r="AB677" s="977"/>
      <c r="AC677" s="977"/>
      <c r="AD677" s="977"/>
      <c r="AE677" s="977"/>
      <c r="AF677" s="977"/>
      <c r="AG677" s="977"/>
      <c r="AH677" s="977"/>
      <c r="AI677" s="977"/>
      <c r="AJ677" s="977"/>
      <c r="AK677" s="977"/>
      <c r="AL677" s="977"/>
      <c r="AM677" s="977"/>
      <c r="AN677" s="977"/>
      <c r="AO677" s="977"/>
      <c r="AP677" s="977"/>
      <c r="AQ677" s="977"/>
    </row>
    <row r="678" spans="1:43" ht="14.25" customHeight="1">
      <c r="A678" s="977"/>
      <c r="B678" s="977"/>
      <c r="C678" s="977"/>
      <c r="D678" s="977"/>
      <c r="E678" s="977"/>
      <c r="F678" s="977"/>
      <c r="G678" s="977"/>
      <c r="H678" s="977"/>
      <c r="I678" s="977"/>
      <c r="J678" s="977"/>
      <c r="K678" s="977"/>
      <c r="L678" s="977"/>
      <c r="M678" s="977"/>
      <c r="N678" s="977"/>
      <c r="O678" s="977"/>
      <c r="P678" s="977"/>
      <c r="Q678" s="977"/>
      <c r="R678" s="977"/>
      <c r="S678" s="977"/>
      <c r="T678" s="977"/>
      <c r="U678" s="977"/>
      <c r="V678" s="977"/>
      <c r="W678" s="977"/>
      <c r="X678" s="977"/>
      <c r="Y678" s="977"/>
      <c r="Z678" s="977"/>
      <c r="AA678" s="977"/>
      <c r="AB678" s="977"/>
      <c r="AC678" s="977"/>
      <c r="AD678" s="977"/>
      <c r="AE678" s="977"/>
      <c r="AF678" s="977"/>
      <c r="AG678" s="977"/>
      <c r="AH678" s="977"/>
      <c r="AI678" s="977"/>
      <c r="AJ678" s="977"/>
      <c r="AK678" s="977"/>
      <c r="AL678" s="977"/>
      <c r="AM678" s="977"/>
      <c r="AN678" s="977"/>
      <c r="AO678" s="977"/>
      <c r="AP678" s="977"/>
      <c r="AQ678" s="977"/>
    </row>
    <row r="679" spans="1:43" ht="14.25" customHeight="1">
      <c r="A679" s="977"/>
      <c r="B679" s="977"/>
      <c r="C679" s="977"/>
      <c r="D679" s="977"/>
      <c r="E679" s="977"/>
      <c r="F679" s="977"/>
      <c r="G679" s="977"/>
      <c r="H679" s="977"/>
      <c r="I679" s="977"/>
      <c r="J679" s="977"/>
      <c r="K679" s="977"/>
      <c r="L679" s="977"/>
      <c r="M679" s="977"/>
      <c r="N679" s="977"/>
      <c r="O679" s="977"/>
      <c r="P679" s="977"/>
      <c r="Q679" s="977"/>
      <c r="R679" s="977"/>
      <c r="S679" s="977"/>
      <c r="T679" s="977"/>
      <c r="U679" s="977"/>
      <c r="V679" s="977"/>
      <c r="W679" s="977"/>
      <c r="X679" s="977"/>
      <c r="Y679" s="977"/>
      <c r="Z679" s="977"/>
      <c r="AA679" s="977"/>
      <c r="AB679" s="977"/>
      <c r="AC679" s="977"/>
      <c r="AD679" s="977"/>
      <c r="AE679" s="977"/>
      <c r="AF679" s="977"/>
      <c r="AG679" s="977"/>
      <c r="AH679" s="977"/>
      <c r="AI679" s="977"/>
      <c r="AJ679" s="977"/>
      <c r="AK679" s="977"/>
      <c r="AL679" s="977"/>
      <c r="AM679" s="977"/>
      <c r="AN679" s="977"/>
      <c r="AO679" s="977"/>
      <c r="AP679" s="977"/>
      <c r="AQ679" s="977"/>
    </row>
    <row r="680" spans="1:43" ht="14.25" customHeight="1">
      <c r="A680" s="977"/>
      <c r="B680" s="977"/>
      <c r="C680" s="977"/>
      <c r="D680" s="977"/>
      <c r="E680" s="977"/>
      <c r="F680" s="977"/>
      <c r="G680" s="977"/>
      <c r="H680" s="977"/>
      <c r="I680" s="977"/>
      <c r="J680" s="977"/>
      <c r="K680" s="977"/>
      <c r="L680" s="977"/>
      <c r="M680" s="977"/>
      <c r="N680" s="977"/>
      <c r="O680" s="977"/>
      <c r="P680" s="977"/>
      <c r="Q680" s="977"/>
      <c r="R680" s="977"/>
      <c r="S680" s="977"/>
      <c r="T680" s="977"/>
      <c r="U680" s="977"/>
      <c r="V680" s="977"/>
      <c r="W680" s="977"/>
      <c r="X680" s="977"/>
      <c r="Y680" s="977"/>
      <c r="Z680" s="977"/>
      <c r="AA680" s="977"/>
      <c r="AB680" s="977"/>
      <c r="AC680" s="977"/>
      <c r="AD680" s="977"/>
      <c r="AE680" s="977"/>
      <c r="AF680" s="977"/>
      <c r="AG680" s="977"/>
      <c r="AH680" s="977"/>
      <c r="AI680" s="977"/>
      <c r="AJ680" s="977"/>
      <c r="AK680" s="977"/>
      <c r="AL680" s="977"/>
      <c r="AM680" s="977"/>
      <c r="AN680" s="977"/>
      <c r="AO680" s="977"/>
      <c r="AP680" s="977"/>
      <c r="AQ680" s="977"/>
    </row>
    <row r="681" spans="1:43" ht="14.25" customHeight="1">
      <c r="A681" s="977"/>
      <c r="B681" s="977"/>
      <c r="C681" s="977"/>
      <c r="D681" s="977"/>
      <c r="E681" s="977"/>
      <c r="F681" s="977"/>
      <c r="G681" s="977"/>
      <c r="H681" s="977"/>
      <c r="I681" s="977"/>
      <c r="J681" s="977"/>
      <c r="K681" s="977"/>
      <c r="L681" s="977"/>
      <c r="M681" s="977"/>
      <c r="N681" s="977"/>
      <c r="O681" s="977"/>
      <c r="P681" s="977"/>
      <c r="Q681" s="977"/>
      <c r="R681" s="977"/>
      <c r="S681" s="977"/>
      <c r="T681" s="977"/>
      <c r="U681" s="977"/>
      <c r="V681" s="977"/>
      <c r="W681" s="977"/>
      <c r="X681" s="977"/>
      <c r="Y681" s="977"/>
      <c r="Z681" s="977"/>
      <c r="AA681" s="977"/>
      <c r="AB681" s="977"/>
      <c r="AC681" s="977"/>
      <c r="AD681" s="977"/>
      <c r="AE681" s="977"/>
      <c r="AF681" s="977"/>
      <c r="AG681" s="977"/>
      <c r="AH681" s="977"/>
      <c r="AI681" s="977"/>
      <c r="AJ681" s="977"/>
      <c r="AK681" s="977"/>
      <c r="AL681" s="977"/>
      <c r="AM681" s="977"/>
      <c r="AN681" s="977"/>
      <c r="AO681" s="977"/>
      <c r="AP681" s="977"/>
      <c r="AQ681" s="977"/>
    </row>
    <row r="682" spans="1:43" ht="14.25" customHeight="1">
      <c r="A682" s="977"/>
      <c r="B682" s="977"/>
      <c r="C682" s="977"/>
      <c r="D682" s="977"/>
      <c r="E682" s="977"/>
      <c r="F682" s="977"/>
      <c r="G682" s="977"/>
      <c r="H682" s="977"/>
      <c r="I682" s="977"/>
      <c r="J682" s="977"/>
      <c r="K682" s="977"/>
      <c r="L682" s="977"/>
      <c r="M682" s="977"/>
      <c r="N682" s="977"/>
      <c r="O682" s="977"/>
      <c r="P682" s="977"/>
      <c r="Q682" s="977"/>
      <c r="R682" s="977"/>
      <c r="S682" s="977"/>
      <c r="T682" s="977"/>
      <c r="U682" s="977"/>
      <c r="V682" s="977"/>
      <c r="W682" s="977"/>
      <c r="X682" s="977"/>
      <c r="Y682" s="977"/>
      <c r="Z682" s="977"/>
      <c r="AA682" s="977"/>
      <c r="AB682" s="977"/>
      <c r="AC682" s="977"/>
      <c r="AD682" s="977"/>
      <c r="AE682" s="977"/>
      <c r="AF682" s="977"/>
      <c r="AG682" s="977"/>
      <c r="AH682" s="977"/>
      <c r="AI682" s="977"/>
      <c r="AJ682" s="977"/>
      <c r="AK682" s="977"/>
      <c r="AL682" s="977"/>
      <c r="AM682" s="977"/>
      <c r="AN682" s="977"/>
      <c r="AO682" s="977"/>
      <c r="AP682" s="977"/>
      <c r="AQ682" s="977"/>
    </row>
    <row r="683" spans="1:43" ht="14.25" customHeight="1">
      <c r="A683" s="977"/>
      <c r="B683" s="977"/>
      <c r="C683" s="977"/>
      <c r="D683" s="977"/>
      <c r="E683" s="977"/>
      <c r="F683" s="977"/>
      <c r="G683" s="977"/>
      <c r="H683" s="977"/>
      <c r="I683" s="977"/>
      <c r="J683" s="977"/>
      <c r="K683" s="977"/>
      <c r="L683" s="977"/>
      <c r="M683" s="977"/>
      <c r="N683" s="977"/>
      <c r="O683" s="977"/>
      <c r="P683" s="977"/>
      <c r="Q683" s="977"/>
      <c r="R683" s="977"/>
      <c r="S683" s="977"/>
      <c r="T683" s="977"/>
      <c r="U683" s="977"/>
      <c r="V683" s="977"/>
      <c r="W683" s="977"/>
      <c r="X683" s="977"/>
      <c r="Y683" s="977"/>
      <c r="Z683" s="977"/>
      <c r="AA683" s="977"/>
      <c r="AB683" s="977"/>
      <c r="AC683" s="977"/>
      <c r="AD683" s="977"/>
      <c r="AE683" s="977"/>
      <c r="AF683" s="977"/>
      <c r="AG683" s="977"/>
      <c r="AH683" s="977"/>
      <c r="AI683" s="977"/>
      <c r="AJ683" s="977"/>
      <c r="AK683" s="977"/>
      <c r="AL683" s="977"/>
      <c r="AM683" s="977"/>
      <c r="AN683" s="977"/>
      <c r="AO683" s="977"/>
      <c r="AP683" s="977"/>
      <c r="AQ683" s="977"/>
    </row>
    <row r="684" spans="1:43" ht="14.25" customHeight="1">
      <c r="A684" s="977"/>
      <c r="B684" s="977"/>
      <c r="C684" s="977"/>
      <c r="D684" s="977"/>
      <c r="E684" s="977"/>
      <c r="F684" s="977"/>
      <c r="G684" s="977"/>
      <c r="H684" s="977"/>
      <c r="I684" s="977"/>
      <c r="J684" s="977"/>
      <c r="K684" s="977"/>
      <c r="L684" s="977"/>
      <c r="M684" s="977"/>
      <c r="N684" s="977"/>
      <c r="O684" s="977"/>
      <c r="P684" s="977"/>
      <c r="Q684" s="977"/>
      <c r="R684" s="977"/>
      <c r="S684" s="977"/>
      <c r="T684" s="977"/>
      <c r="U684" s="977"/>
      <c r="V684" s="977"/>
      <c r="W684" s="977"/>
      <c r="X684" s="977"/>
      <c r="Y684" s="977"/>
      <c r="Z684" s="977"/>
      <c r="AA684" s="977"/>
      <c r="AB684" s="977"/>
      <c r="AC684" s="977"/>
      <c r="AD684" s="977"/>
      <c r="AE684" s="977"/>
      <c r="AF684" s="977"/>
      <c r="AG684" s="977"/>
      <c r="AH684" s="977"/>
      <c r="AI684" s="977"/>
      <c r="AJ684" s="977"/>
      <c r="AK684" s="977"/>
      <c r="AL684" s="977"/>
      <c r="AM684" s="977"/>
      <c r="AN684" s="977"/>
      <c r="AO684" s="977"/>
      <c r="AP684" s="977"/>
      <c r="AQ684" s="977"/>
    </row>
    <row r="685" spans="1:43" ht="14.25" customHeight="1">
      <c r="A685" s="977"/>
      <c r="B685" s="977"/>
      <c r="C685" s="977"/>
      <c r="D685" s="977"/>
      <c r="E685" s="977"/>
      <c r="F685" s="977"/>
      <c r="G685" s="977"/>
      <c r="H685" s="977"/>
      <c r="I685" s="977"/>
      <c r="J685" s="977"/>
      <c r="K685" s="977"/>
      <c r="L685" s="977"/>
      <c r="M685" s="977"/>
      <c r="N685" s="977"/>
      <c r="O685" s="977"/>
      <c r="P685" s="977"/>
      <c r="Q685" s="977"/>
      <c r="R685" s="977"/>
      <c r="S685" s="977"/>
      <c r="T685" s="977"/>
      <c r="U685" s="977"/>
      <c r="V685" s="977"/>
      <c r="W685" s="977"/>
      <c r="X685" s="977"/>
      <c r="Y685" s="977"/>
      <c r="Z685" s="977"/>
      <c r="AA685" s="977"/>
      <c r="AB685" s="977"/>
      <c r="AC685" s="977"/>
      <c r="AD685" s="977"/>
      <c r="AE685" s="977"/>
      <c r="AF685" s="977"/>
      <c r="AG685" s="977"/>
      <c r="AH685" s="977"/>
      <c r="AI685" s="977"/>
      <c r="AJ685" s="977"/>
      <c r="AK685" s="977"/>
      <c r="AL685" s="977"/>
      <c r="AM685" s="977"/>
      <c r="AN685" s="977"/>
      <c r="AO685" s="977"/>
      <c r="AP685" s="977"/>
      <c r="AQ685" s="977"/>
    </row>
    <row r="686" spans="1:43" ht="14.25" customHeight="1">
      <c r="A686" s="977"/>
      <c r="B686" s="977"/>
      <c r="C686" s="977"/>
      <c r="D686" s="977"/>
      <c r="E686" s="977"/>
      <c r="F686" s="977"/>
      <c r="G686" s="977"/>
      <c r="H686" s="977"/>
      <c r="I686" s="977"/>
      <c r="J686" s="977"/>
      <c r="K686" s="977"/>
      <c r="L686" s="977"/>
      <c r="M686" s="977"/>
      <c r="N686" s="977"/>
      <c r="O686" s="977"/>
      <c r="P686" s="977"/>
      <c r="Q686" s="977"/>
      <c r="R686" s="977"/>
      <c r="S686" s="977"/>
      <c r="T686" s="977"/>
      <c r="U686" s="977"/>
      <c r="V686" s="977"/>
      <c r="W686" s="977"/>
      <c r="X686" s="977"/>
      <c r="Y686" s="977"/>
      <c r="Z686" s="977"/>
      <c r="AA686" s="977"/>
      <c r="AB686" s="977"/>
      <c r="AC686" s="977"/>
      <c r="AD686" s="977"/>
      <c r="AE686" s="977"/>
      <c r="AF686" s="977"/>
      <c r="AG686" s="977"/>
      <c r="AH686" s="977"/>
      <c r="AI686" s="977"/>
      <c r="AJ686" s="977"/>
      <c r="AK686" s="977"/>
      <c r="AL686" s="977"/>
      <c r="AM686" s="977"/>
      <c r="AN686" s="977"/>
      <c r="AO686" s="977"/>
      <c r="AP686" s="977"/>
      <c r="AQ686" s="977"/>
    </row>
    <row r="687" spans="1:43" ht="14.25" customHeight="1">
      <c r="A687" s="977"/>
      <c r="B687" s="977"/>
      <c r="C687" s="977"/>
      <c r="D687" s="977"/>
      <c r="E687" s="977"/>
      <c r="F687" s="977"/>
      <c r="G687" s="977"/>
      <c r="H687" s="977"/>
      <c r="I687" s="977"/>
      <c r="J687" s="977"/>
      <c r="K687" s="977"/>
      <c r="L687" s="977"/>
      <c r="M687" s="977"/>
      <c r="N687" s="977"/>
      <c r="O687" s="977"/>
      <c r="P687" s="977"/>
      <c r="Q687" s="977"/>
      <c r="R687" s="977"/>
      <c r="S687" s="977"/>
      <c r="T687" s="977"/>
      <c r="U687" s="977"/>
      <c r="V687" s="977"/>
      <c r="W687" s="977"/>
      <c r="X687" s="977"/>
      <c r="Y687" s="977"/>
      <c r="Z687" s="977"/>
      <c r="AA687" s="977"/>
      <c r="AB687" s="977"/>
      <c r="AC687" s="977"/>
      <c r="AD687" s="977"/>
      <c r="AE687" s="977"/>
      <c r="AF687" s="977"/>
      <c r="AG687" s="977"/>
      <c r="AH687" s="977"/>
      <c r="AI687" s="977"/>
      <c r="AJ687" s="977"/>
      <c r="AK687" s="977"/>
      <c r="AL687" s="977"/>
      <c r="AM687" s="977"/>
      <c r="AN687" s="977"/>
      <c r="AO687" s="977"/>
      <c r="AP687" s="977"/>
      <c r="AQ687" s="977"/>
    </row>
    <row r="688" spans="1:43" ht="14.25" customHeight="1">
      <c r="A688" s="977"/>
      <c r="B688" s="977"/>
      <c r="C688" s="977"/>
      <c r="D688" s="977"/>
      <c r="E688" s="977"/>
      <c r="F688" s="977"/>
      <c r="G688" s="977"/>
      <c r="H688" s="977"/>
      <c r="I688" s="977"/>
      <c r="J688" s="977"/>
      <c r="K688" s="977"/>
      <c r="L688" s="977"/>
      <c r="M688" s="977"/>
      <c r="N688" s="977"/>
      <c r="O688" s="977"/>
      <c r="P688" s="977"/>
      <c r="Q688" s="977"/>
      <c r="R688" s="977"/>
      <c r="S688" s="977"/>
      <c r="T688" s="977"/>
      <c r="U688" s="977"/>
      <c r="V688" s="977"/>
      <c r="W688" s="977"/>
      <c r="X688" s="977"/>
      <c r="Y688" s="977"/>
      <c r="Z688" s="977"/>
      <c r="AA688" s="977"/>
      <c r="AB688" s="977"/>
      <c r="AC688" s="977"/>
      <c r="AD688" s="977"/>
      <c r="AE688" s="977"/>
      <c r="AF688" s="977"/>
      <c r="AG688" s="977"/>
      <c r="AH688" s="977"/>
      <c r="AI688" s="977"/>
      <c r="AJ688" s="977"/>
      <c r="AK688" s="977"/>
      <c r="AL688" s="977"/>
      <c r="AM688" s="977"/>
      <c r="AN688" s="977"/>
      <c r="AO688" s="977"/>
      <c r="AP688" s="977"/>
      <c r="AQ688" s="977"/>
    </row>
    <row r="689" spans="1:43" ht="14.25" customHeight="1">
      <c r="A689" s="977"/>
      <c r="B689" s="977"/>
      <c r="C689" s="977"/>
      <c r="D689" s="977"/>
      <c r="E689" s="977"/>
      <c r="F689" s="977"/>
      <c r="G689" s="977"/>
      <c r="H689" s="977"/>
      <c r="I689" s="977"/>
      <c r="J689" s="977"/>
      <c r="K689" s="977"/>
      <c r="L689" s="977"/>
      <c r="M689" s="977"/>
      <c r="N689" s="977"/>
      <c r="O689" s="977"/>
      <c r="P689" s="977"/>
      <c r="Q689" s="977"/>
      <c r="R689" s="977"/>
      <c r="S689" s="977"/>
      <c r="T689" s="977"/>
      <c r="U689" s="977"/>
      <c r="V689" s="977"/>
      <c r="W689" s="977"/>
      <c r="X689" s="977"/>
      <c r="Y689" s="977"/>
      <c r="Z689" s="977"/>
      <c r="AA689" s="977"/>
      <c r="AB689" s="977"/>
      <c r="AC689" s="977"/>
      <c r="AD689" s="977"/>
      <c r="AE689" s="977"/>
      <c r="AF689" s="977"/>
      <c r="AG689" s="977"/>
      <c r="AH689" s="977"/>
      <c r="AI689" s="977"/>
      <c r="AJ689" s="977"/>
      <c r="AK689" s="977"/>
      <c r="AL689" s="977"/>
      <c r="AM689" s="977"/>
      <c r="AN689" s="977"/>
      <c r="AO689" s="977"/>
      <c r="AP689" s="977"/>
      <c r="AQ689" s="977"/>
    </row>
    <row r="690" spans="1:43" ht="14.25" customHeight="1">
      <c r="A690" s="977"/>
      <c r="B690" s="977"/>
      <c r="C690" s="977"/>
      <c r="D690" s="977"/>
      <c r="E690" s="977"/>
      <c r="F690" s="977"/>
      <c r="G690" s="977"/>
      <c r="H690" s="977"/>
      <c r="I690" s="977"/>
      <c r="J690" s="977"/>
      <c r="K690" s="977"/>
      <c r="L690" s="977"/>
      <c r="M690" s="977"/>
      <c r="N690" s="977"/>
      <c r="O690" s="977"/>
      <c r="P690" s="977"/>
      <c r="Q690" s="977"/>
      <c r="R690" s="977"/>
      <c r="S690" s="977"/>
      <c r="T690" s="977"/>
      <c r="U690" s="977"/>
      <c r="V690" s="977"/>
      <c r="W690" s="977"/>
      <c r="X690" s="977"/>
      <c r="Y690" s="977"/>
      <c r="Z690" s="977"/>
      <c r="AA690" s="977"/>
      <c r="AB690" s="977"/>
      <c r="AC690" s="977"/>
      <c r="AD690" s="977"/>
      <c r="AE690" s="977"/>
      <c r="AF690" s="977"/>
      <c r="AG690" s="977"/>
      <c r="AH690" s="977"/>
      <c r="AI690" s="977"/>
      <c r="AJ690" s="977"/>
      <c r="AK690" s="977"/>
      <c r="AL690" s="977"/>
      <c r="AM690" s="977"/>
      <c r="AN690" s="977"/>
      <c r="AO690" s="977"/>
      <c r="AP690" s="977"/>
      <c r="AQ690" s="977"/>
    </row>
    <row r="691" spans="1:43" ht="14.25" customHeight="1">
      <c r="A691" s="977"/>
      <c r="B691" s="977"/>
      <c r="C691" s="977"/>
      <c r="D691" s="977"/>
      <c r="E691" s="977"/>
      <c r="F691" s="977"/>
      <c r="G691" s="977"/>
      <c r="H691" s="977"/>
      <c r="I691" s="977"/>
      <c r="J691" s="977"/>
      <c r="K691" s="977"/>
      <c r="L691" s="977"/>
      <c r="M691" s="977"/>
      <c r="N691" s="977"/>
      <c r="O691" s="977"/>
      <c r="P691" s="977"/>
      <c r="Q691" s="977"/>
      <c r="R691" s="977"/>
      <c r="S691" s="977"/>
      <c r="T691" s="977"/>
      <c r="U691" s="977"/>
      <c r="V691" s="977"/>
      <c r="W691" s="977"/>
      <c r="X691" s="977"/>
      <c r="Y691" s="977"/>
      <c r="Z691" s="977"/>
      <c r="AA691" s="977"/>
      <c r="AB691" s="977"/>
      <c r="AC691" s="977"/>
      <c r="AD691" s="977"/>
      <c r="AE691" s="977"/>
      <c r="AF691" s="977"/>
      <c r="AG691" s="977"/>
      <c r="AH691" s="977"/>
      <c r="AI691" s="977"/>
      <c r="AJ691" s="977"/>
      <c r="AK691" s="977"/>
      <c r="AL691" s="977"/>
      <c r="AM691" s="977"/>
      <c r="AN691" s="977"/>
      <c r="AO691" s="977"/>
      <c r="AP691" s="977"/>
      <c r="AQ691" s="977"/>
    </row>
    <row r="692" spans="1:43" ht="14.25" customHeight="1">
      <c r="A692" s="977"/>
      <c r="B692" s="977"/>
      <c r="C692" s="977"/>
      <c r="D692" s="977"/>
      <c r="E692" s="977"/>
      <c r="F692" s="977"/>
      <c r="G692" s="977"/>
      <c r="H692" s="977"/>
      <c r="I692" s="977"/>
      <c r="J692" s="977"/>
      <c r="K692" s="977"/>
      <c r="L692" s="977"/>
      <c r="M692" s="977"/>
      <c r="N692" s="977"/>
      <c r="O692" s="977"/>
      <c r="P692" s="977"/>
      <c r="Q692" s="977"/>
      <c r="R692" s="977"/>
      <c r="S692" s="977"/>
      <c r="T692" s="977"/>
      <c r="U692" s="977"/>
      <c r="V692" s="977"/>
      <c r="W692" s="977"/>
      <c r="X692" s="977"/>
      <c r="Y692" s="977"/>
      <c r="Z692" s="977"/>
      <c r="AA692" s="977"/>
      <c r="AB692" s="977"/>
      <c r="AC692" s="977"/>
      <c r="AD692" s="977"/>
      <c r="AE692" s="977"/>
      <c r="AF692" s="977"/>
      <c r="AG692" s="977"/>
      <c r="AH692" s="977"/>
      <c r="AI692" s="977"/>
      <c r="AJ692" s="977"/>
      <c r="AK692" s="977"/>
      <c r="AL692" s="977"/>
      <c r="AM692" s="977"/>
      <c r="AN692" s="977"/>
      <c r="AO692" s="977"/>
      <c r="AP692" s="977"/>
      <c r="AQ692" s="977"/>
    </row>
    <row r="693" spans="1:43" ht="14.25" customHeight="1">
      <c r="A693" s="977"/>
      <c r="B693" s="977"/>
      <c r="C693" s="977"/>
      <c r="D693" s="977"/>
      <c r="E693" s="977"/>
      <c r="F693" s="977"/>
      <c r="G693" s="977"/>
      <c r="H693" s="977"/>
      <c r="I693" s="977"/>
      <c r="J693" s="977"/>
      <c r="K693" s="977"/>
      <c r="L693" s="977"/>
      <c r="M693" s="977"/>
      <c r="N693" s="977"/>
      <c r="O693" s="977"/>
      <c r="P693" s="977"/>
      <c r="Q693" s="977"/>
      <c r="R693" s="977"/>
      <c r="S693" s="977"/>
      <c r="T693" s="977"/>
      <c r="U693" s="977"/>
      <c r="V693" s="977"/>
      <c r="W693" s="977"/>
      <c r="X693" s="977"/>
      <c r="Y693" s="977"/>
      <c r="Z693" s="977"/>
      <c r="AA693" s="977"/>
      <c r="AB693" s="977"/>
      <c r="AC693" s="977"/>
      <c r="AD693" s="977"/>
      <c r="AE693" s="977"/>
      <c r="AF693" s="977"/>
      <c r="AG693" s="977"/>
      <c r="AH693" s="977"/>
      <c r="AI693" s="977"/>
      <c r="AJ693" s="977"/>
      <c r="AK693" s="977"/>
      <c r="AL693" s="977"/>
      <c r="AM693" s="977"/>
      <c r="AN693" s="977"/>
      <c r="AO693" s="977"/>
      <c r="AP693" s="977"/>
      <c r="AQ693" s="977"/>
    </row>
    <row r="694" spans="1:43" ht="14.25" customHeight="1">
      <c r="A694" s="977"/>
      <c r="B694" s="977"/>
      <c r="C694" s="977"/>
      <c r="D694" s="977"/>
      <c r="E694" s="977"/>
      <c r="F694" s="977"/>
      <c r="G694" s="977"/>
      <c r="H694" s="977"/>
      <c r="I694" s="977"/>
      <c r="J694" s="977"/>
      <c r="K694" s="977"/>
      <c r="L694" s="977"/>
      <c r="M694" s="977"/>
      <c r="N694" s="977"/>
      <c r="O694" s="977"/>
      <c r="P694" s="977"/>
      <c r="Q694" s="977"/>
      <c r="R694" s="977"/>
      <c r="S694" s="977"/>
      <c r="T694" s="977"/>
      <c r="U694" s="977"/>
      <c r="V694" s="977"/>
      <c r="W694" s="977"/>
      <c r="X694" s="977"/>
      <c r="Y694" s="977"/>
      <c r="Z694" s="977"/>
      <c r="AA694" s="977"/>
      <c r="AB694" s="977"/>
      <c r="AC694" s="977"/>
      <c r="AD694" s="977"/>
      <c r="AE694" s="977"/>
      <c r="AF694" s="977"/>
      <c r="AG694" s="977"/>
      <c r="AH694" s="977"/>
      <c r="AI694" s="977"/>
      <c r="AJ694" s="977"/>
      <c r="AK694" s="977"/>
      <c r="AL694" s="977"/>
      <c r="AM694" s="977"/>
      <c r="AN694" s="977"/>
      <c r="AO694" s="977"/>
      <c r="AP694" s="977"/>
      <c r="AQ694" s="977"/>
    </row>
    <row r="695" spans="1:43" ht="14.25" customHeight="1">
      <c r="A695" s="977"/>
      <c r="B695" s="977"/>
      <c r="C695" s="977"/>
      <c r="D695" s="977"/>
      <c r="E695" s="977"/>
      <c r="F695" s="977"/>
      <c r="G695" s="977"/>
      <c r="H695" s="977"/>
      <c r="I695" s="977"/>
      <c r="J695" s="977"/>
      <c r="K695" s="977"/>
      <c r="L695" s="977"/>
      <c r="M695" s="977"/>
      <c r="N695" s="977"/>
      <c r="O695" s="977"/>
      <c r="P695" s="977"/>
      <c r="Q695" s="977"/>
      <c r="R695" s="977"/>
      <c r="S695" s="977"/>
      <c r="T695" s="977"/>
      <c r="U695" s="977"/>
      <c r="V695" s="977"/>
      <c r="W695" s="977"/>
      <c r="X695" s="977"/>
      <c r="Y695" s="977"/>
      <c r="Z695" s="977"/>
      <c r="AA695" s="977"/>
      <c r="AB695" s="977"/>
      <c r="AC695" s="977"/>
      <c r="AD695" s="977"/>
      <c r="AE695" s="977"/>
      <c r="AF695" s="977"/>
      <c r="AG695" s="977"/>
      <c r="AH695" s="977"/>
      <c r="AI695" s="977"/>
      <c r="AJ695" s="977"/>
      <c r="AK695" s="977"/>
      <c r="AL695" s="977"/>
      <c r="AM695" s="977"/>
      <c r="AN695" s="977"/>
      <c r="AO695" s="977"/>
      <c r="AP695" s="977"/>
      <c r="AQ695" s="977"/>
    </row>
    <row r="696" spans="1:43" ht="14.25" customHeight="1">
      <c r="A696" s="977"/>
      <c r="B696" s="977"/>
      <c r="C696" s="977"/>
      <c r="D696" s="977"/>
      <c r="E696" s="977"/>
      <c r="F696" s="977"/>
      <c r="G696" s="977"/>
      <c r="H696" s="977"/>
      <c r="I696" s="977"/>
      <c r="J696" s="977"/>
      <c r="K696" s="977"/>
      <c r="L696" s="977"/>
      <c r="M696" s="977"/>
      <c r="N696" s="977"/>
      <c r="O696" s="977"/>
      <c r="P696" s="977"/>
      <c r="Q696" s="977"/>
      <c r="R696" s="977"/>
      <c r="S696" s="977"/>
      <c r="T696" s="977"/>
      <c r="U696" s="977"/>
      <c r="V696" s="977"/>
      <c r="W696" s="977"/>
      <c r="X696" s="977"/>
      <c r="Y696" s="977"/>
      <c r="Z696" s="977"/>
      <c r="AA696" s="977"/>
      <c r="AB696" s="977"/>
      <c r="AC696" s="977"/>
      <c r="AD696" s="977"/>
      <c r="AE696" s="977"/>
      <c r="AF696" s="977"/>
      <c r="AG696" s="977"/>
      <c r="AH696" s="977"/>
      <c r="AI696" s="977"/>
      <c r="AJ696" s="977"/>
      <c r="AK696" s="977"/>
      <c r="AL696" s="977"/>
      <c r="AM696" s="977"/>
      <c r="AN696" s="977"/>
      <c r="AO696" s="977"/>
      <c r="AP696" s="977"/>
      <c r="AQ696" s="977"/>
    </row>
    <row r="697" spans="1:43" ht="14.25" customHeight="1">
      <c r="A697" s="977"/>
      <c r="B697" s="977"/>
      <c r="C697" s="977"/>
      <c r="D697" s="977"/>
      <c r="E697" s="977"/>
      <c r="F697" s="977"/>
      <c r="G697" s="977"/>
      <c r="H697" s="977"/>
      <c r="I697" s="977"/>
      <c r="J697" s="977"/>
      <c r="K697" s="977"/>
      <c r="L697" s="977"/>
      <c r="M697" s="977"/>
      <c r="N697" s="977"/>
      <c r="O697" s="977"/>
      <c r="P697" s="977"/>
      <c r="Q697" s="977"/>
      <c r="R697" s="977"/>
      <c r="S697" s="977"/>
      <c r="T697" s="977"/>
      <c r="U697" s="977"/>
      <c r="V697" s="977"/>
      <c r="W697" s="977"/>
      <c r="X697" s="977"/>
      <c r="Y697" s="977"/>
      <c r="Z697" s="977"/>
      <c r="AA697" s="977"/>
      <c r="AB697" s="977"/>
      <c r="AC697" s="977"/>
      <c r="AD697" s="977"/>
      <c r="AE697" s="977"/>
      <c r="AF697" s="977"/>
      <c r="AG697" s="977"/>
      <c r="AH697" s="977"/>
      <c r="AI697" s="977"/>
      <c r="AJ697" s="977"/>
      <c r="AK697" s="977"/>
      <c r="AL697" s="977"/>
      <c r="AM697" s="977"/>
      <c r="AN697" s="977"/>
      <c r="AO697" s="977"/>
      <c r="AP697" s="977"/>
      <c r="AQ697" s="977"/>
    </row>
    <row r="698" spans="1:43" ht="14.25" customHeight="1">
      <c r="A698" s="977"/>
      <c r="B698" s="977"/>
      <c r="C698" s="977"/>
      <c r="D698" s="977"/>
      <c r="E698" s="977"/>
      <c r="F698" s="977"/>
      <c r="G698" s="977"/>
      <c r="H698" s="977"/>
      <c r="I698" s="977"/>
      <c r="J698" s="977"/>
      <c r="K698" s="977"/>
      <c r="L698" s="977"/>
      <c r="M698" s="977"/>
      <c r="N698" s="977"/>
      <c r="O698" s="977"/>
      <c r="P698" s="977"/>
      <c r="Q698" s="977"/>
      <c r="R698" s="977"/>
      <c r="S698" s="977"/>
      <c r="T698" s="977"/>
      <c r="U698" s="977"/>
      <c r="V698" s="977"/>
      <c r="W698" s="977"/>
      <c r="X698" s="977"/>
      <c r="Y698" s="977"/>
      <c r="Z698" s="977"/>
      <c r="AA698" s="977"/>
      <c r="AB698" s="977"/>
      <c r="AC698" s="977"/>
      <c r="AD698" s="977"/>
      <c r="AE698" s="977"/>
      <c r="AF698" s="977"/>
      <c r="AG698" s="977"/>
      <c r="AH698" s="977"/>
      <c r="AI698" s="977"/>
      <c r="AJ698" s="977"/>
      <c r="AK698" s="977"/>
      <c r="AL698" s="977"/>
      <c r="AM698" s="977"/>
      <c r="AN698" s="977"/>
      <c r="AO698" s="977"/>
      <c r="AP698" s="977"/>
      <c r="AQ698" s="977"/>
    </row>
    <row r="699" spans="1:43" ht="14.25" customHeight="1">
      <c r="A699" s="977"/>
      <c r="B699" s="977"/>
      <c r="C699" s="977"/>
      <c r="D699" s="977"/>
      <c r="E699" s="977"/>
      <c r="F699" s="977"/>
      <c r="G699" s="977"/>
      <c r="H699" s="977"/>
      <c r="I699" s="977"/>
      <c r="J699" s="977"/>
      <c r="K699" s="977"/>
      <c r="L699" s="977"/>
      <c r="M699" s="977"/>
      <c r="N699" s="977"/>
      <c r="O699" s="977"/>
      <c r="P699" s="977"/>
      <c r="Q699" s="977"/>
      <c r="R699" s="977"/>
      <c r="S699" s="977"/>
      <c r="T699" s="977"/>
      <c r="U699" s="977"/>
      <c r="V699" s="977"/>
      <c r="W699" s="977"/>
      <c r="X699" s="977"/>
      <c r="Y699" s="977"/>
      <c r="Z699" s="977"/>
      <c r="AA699" s="977"/>
      <c r="AB699" s="977"/>
      <c r="AC699" s="977"/>
      <c r="AD699" s="977"/>
      <c r="AE699" s="977"/>
      <c r="AF699" s="977"/>
      <c r="AG699" s="977"/>
      <c r="AH699" s="977"/>
      <c r="AI699" s="977"/>
      <c r="AJ699" s="977"/>
      <c r="AK699" s="977"/>
      <c r="AL699" s="977"/>
      <c r="AM699" s="977"/>
      <c r="AN699" s="977"/>
      <c r="AO699" s="977"/>
      <c r="AP699" s="977"/>
      <c r="AQ699" s="977"/>
    </row>
    <row r="700" spans="1:43" ht="14.25" customHeight="1">
      <c r="A700" s="977"/>
      <c r="B700" s="977"/>
      <c r="C700" s="977"/>
      <c r="D700" s="977"/>
      <c r="E700" s="977"/>
      <c r="F700" s="977"/>
      <c r="G700" s="977"/>
      <c r="H700" s="977"/>
      <c r="I700" s="977"/>
      <c r="J700" s="977"/>
      <c r="K700" s="977"/>
      <c r="L700" s="977"/>
      <c r="M700" s="977"/>
      <c r="N700" s="977"/>
      <c r="O700" s="977"/>
      <c r="P700" s="977"/>
      <c r="Q700" s="977"/>
      <c r="R700" s="977"/>
      <c r="S700" s="977"/>
      <c r="T700" s="977"/>
      <c r="U700" s="977"/>
      <c r="V700" s="977"/>
      <c r="W700" s="977"/>
      <c r="X700" s="977"/>
      <c r="Y700" s="977"/>
      <c r="Z700" s="977"/>
      <c r="AA700" s="977"/>
      <c r="AB700" s="977"/>
      <c r="AC700" s="977"/>
      <c r="AD700" s="977"/>
      <c r="AE700" s="977"/>
      <c r="AF700" s="977"/>
      <c r="AG700" s="977"/>
      <c r="AH700" s="977"/>
      <c r="AI700" s="977"/>
      <c r="AJ700" s="977"/>
      <c r="AK700" s="977"/>
      <c r="AL700" s="977"/>
      <c r="AM700" s="977"/>
      <c r="AN700" s="977"/>
      <c r="AO700" s="977"/>
      <c r="AP700" s="977"/>
      <c r="AQ700" s="977"/>
    </row>
    <row r="701" spans="1:43" ht="14.25" customHeight="1">
      <c r="A701" s="977"/>
      <c r="B701" s="977"/>
      <c r="C701" s="977"/>
      <c r="D701" s="977"/>
      <c r="E701" s="977"/>
      <c r="F701" s="977"/>
      <c r="G701" s="977"/>
      <c r="H701" s="977"/>
      <c r="I701" s="977"/>
      <c r="J701" s="977"/>
      <c r="K701" s="977"/>
      <c r="L701" s="977"/>
      <c r="M701" s="977"/>
      <c r="N701" s="977"/>
      <c r="O701" s="977"/>
      <c r="P701" s="977"/>
      <c r="Q701" s="977"/>
      <c r="R701" s="977"/>
      <c r="S701" s="977"/>
      <c r="T701" s="977"/>
      <c r="U701" s="977"/>
      <c r="V701" s="977"/>
      <c r="W701" s="977"/>
      <c r="X701" s="977"/>
      <c r="Y701" s="977"/>
      <c r="Z701" s="977"/>
      <c r="AA701" s="977"/>
      <c r="AB701" s="977"/>
      <c r="AC701" s="977"/>
      <c r="AD701" s="977"/>
      <c r="AE701" s="977"/>
      <c r="AF701" s="977"/>
      <c r="AG701" s="977"/>
      <c r="AH701" s="977"/>
      <c r="AI701" s="977"/>
      <c r="AJ701" s="977"/>
      <c r="AK701" s="977"/>
      <c r="AL701" s="977"/>
      <c r="AM701" s="977"/>
      <c r="AN701" s="977"/>
      <c r="AO701" s="977"/>
      <c r="AP701" s="977"/>
      <c r="AQ701" s="977"/>
    </row>
    <row r="702" spans="1:43" ht="14.25" customHeight="1">
      <c r="A702" s="977"/>
      <c r="B702" s="977"/>
      <c r="C702" s="977"/>
      <c r="D702" s="977"/>
      <c r="E702" s="977"/>
      <c r="F702" s="977"/>
      <c r="G702" s="977"/>
      <c r="H702" s="977"/>
      <c r="I702" s="977"/>
      <c r="J702" s="977"/>
      <c r="K702" s="977"/>
      <c r="L702" s="977"/>
      <c r="M702" s="977"/>
      <c r="N702" s="977"/>
      <c r="O702" s="977"/>
      <c r="P702" s="977"/>
      <c r="Q702" s="977"/>
      <c r="R702" s="977"/>
      <c r="S702" s="977"/>
      <c r="T702" s="977"/>
      <c r="U702" s="977"/>
      <c r="V702" s="977"/>
      <c r="W702" s="977"/>
      <c r="X702" s="977"/>
      <c r="Y702" s="977"/>
      <c r="Z702" s="977"/>
      <c r="AA702" s="977"/>
      <c r="AB702" s="977"/>
      <c r="AC702" s="977"/>
      <c r="AD702" s="977"/>
      <c r="AE702" s="977"/>
      <c r="AF702" s="977"/>
      <c r="AG702" s="977"/>
      <c r="AH702" s="977"/>
      <c r="AI702" s="977"/>
      <c r="AJ702" s="977"/>
      <c r="AK702" s="977"/>
      <c r="AL702" s="977"/>
      <c r="AM702" s="977"/>
      <c r="AN702" s="977"/>
      <c r="AO702" s="977"/>
      <c r="AP702" s="977"/>
      <c r="AQ702" s="977"/>
    </row>
    <row r="703" spans="1:43" ht="14.25" customHeight="1">
      <c r="A703" s="977"/>
      <c r="B703" s="977"/>
      <c r="C703" s="977"/>
      <c r="D703" s="977"/>
      <c r="E703" s="977"/>
      <c r="F703" s="977"/>
      <c r="G703" s="977"/>
      <c r="H703" s="977"/>
      <c r="I703" s="977"/>
      <c r="J703" s="977"/>
      <c r="K703" s="977"/>
      <c r="L703" s="977"/>
      <c r="M703" s="977"/>
      <c r="N703" s="977"/>
      <c r="O703" s="977"/>
      <c r="P703" s="977"/>
      <c r="Q703" s="977"/>
      <c r="R703" s="977"/>
      <c r="S703" s="977"/>
      <c r="T703" s="977"/>
      <c r="U703" s="977"/>
      <c r="V703" s="977"/>
      <c r="W703" s="977"/>
      <c r="X703" s="977"/>
      <c r="Y703" s="977"/>
      <c r="Z703" s="977"/>
      <c r="AA703" s="977"/>
      <c r="AB703" s="977"/>
      <c r="AC703" s="977"/>
      <c r="AD703" s="977"/>
      <c r="AE703" s="977"/>
      <c r="AF703" s="977"/>
      <c r="AG703" s="977"/>
      <c r="AH703" s="977"/>
      <c r="AI703" s="977"/>
      <c r="AJ703" s="977"/>
      <c r="AK703" s="977"/>
      <c r="AL703" s="977"/>
      <c r="AM703" s="977"/>
      <c r="AN703" s="977"/>
      <c r="AO703" s="977"/>
      <c r="AP703" s="977"/>
      <c r="AQ703" s="977"/>
    </row>
    <row r="704" spans="1:43" ht="14.25" customHeight="1">
      <c r="A704" s="977"/>
      <c r="B704" s="977"/>
      <c r="C704" s="977"/>
      <c r="D704" s="977"/>
      <c r="E704" s="977"/>
      <c r="F704" s="977"/>
      <c r="G704" s="977"/>
      <c r="H704" s="977"/>
      <c r="I704" s="977"/>
      <c r="J704" s="977"/>
      <c r="K704" s="977"/>
      <c r="L704" s="977"/>
      <c r="M704" s="977"/>
      <c r="N704" s="977"/>
      <c r="O704" s="977"/>
      <c r="P704" s="977"/>
      <c r="Q704" s="977"/>
      <c r="R704" s="977"/>
      <c r="S704" s="977"/>
      <c r="T704" s="977"/>
      <c r="U704" s="977"/>
      <c r="V704" s="977"/>
      <c r="W704" s="977"/>
      <c r="X704" s="977"/>
      <c r="Y704" s="977"/>
      <c r="Z704" s="977"/>
      <c r="AA704" s="977"/>
      <c r="AB704" s="977"/>
      <c r="AC704" s="977"/>
      <c r="AD704" s="977"/>
      <c r="AE704" s="977"/>
      <c r="AF704" s="977"/>
      <c r="AG704" s="977"/>
      <c r="AH704" s="977"/>
      <c r="AI704" s="977"/>
      <c r="AJ704" s="977"/>
      <c r="AK704" s="977"/>
      <c r="AL704" s="977"/>
      <c r="AM704" s="977"/>
      <c r="AN704" s="977"/>
      <c r="AO704" s="977"/>
      <c r="AP704" s="977"/>
      <c r="AQ704" s="977"/>
    </row>
    <row r="705" spans="1:43" ht="14.25" customHeight="1">
      <c r="A705" s="977"/>
      <c r="B705" s="977"/>
      <c r="C705" s="977"/>
      <c r="D705" s="977"/>
      <c r="E705" s="977"/>
      <c r="F705" s="977"/>
      <c r="G705" s="977"/>
      <c r="H705" s="977"/>
      <c r="I705" s="977"/>
      <c r="J705" s="977"/>
      <c r="K705" s="977"/>
      <c r="L705" s="977"/>
      <c r="M705" s="977"/>
      <c r="N705" s="977"/>
      <c r="O705" s="977"/>
      <c r="P705" s="977"/>
      <c r="Q705" s="977"/>
      <c r="R705" s="977"/>
      <c r="S705" s="977"/>
      <c r="T705" s="977"/>
      <c r="U705" s="977"/>
      <c r="V705" s="977"/>
      <c r="W705" s="977"/>
      <c r="X705" s="977"/>
      <c r="Y705" s="977"/>
      <c r="Z705" s="977"/>
      <c r="AA705" s="977"/>
      <c r="AB705" s="977"/>
      <c r="AC705" s="977"/>
      <c r="AD705" s="977"/>
      <c r="AE705" s="977"/>
      <c r="AF705" s="977"/>
      <c r="AG705" s="977"/>
      <c r="AH705" s="977"/>
      <c r="AI705" s="977"/>
      <c r="AJ705" s="977"/>
      <c r="AK705" s="977"/>
      <c r="AL705" s="977"/>
      <c r="AM705" s="977"/>
      <c r="AN705" s="977"/>
      <c r="AO705" s="977"/>
      <c r="AP705" s="977"/>
      <c r="AQ705" s="977"/>
    </row>
    <row r="706" spans="1:43" ht="14.25" customHeight="1">
      <c r="A706" s="977"/>
      <c r="B706" s="977"/>
      <c r="C706" s="977"/>
      <c r="D706" s="977"/>
      <c r="E706" s="977"/>
      <c r="F706" s="977"/>
      <c r="G706" s="977"/>
      <c r="H706" s="977"/>
      <c r="I706" s="977"/>
      <c r="J706" s="977"/>
      <c r="K706" s="977"/>
      <c r="L706" s="977"/>
      <c r="M706" s="977"/>
      <c r="N706" s="977"/>
      <c r="O706" s="977"/>
      <c r="P706" s="977"/>
      <c r="Q706" s="977"/>
      <c r="R706" s="977"/>
      <c r="S706" s="977"/>
      <c r="T706" s="977"/>
      <c r="U706" s="977"/>
      <c r="V706" s="977"/>
      <c r="W706" s="977"/>
      <c r="X706" s="977"/>
      <c r="Y706" s="977"/>
      <c r="Z706" s="977"/>
      <c r="AA706" s="977"/>
      <c r="AB706" s="977"/>
      <c r="AC706" s="977"/>
      <c r="AD706" s="977"/>
      <c r="AE706" s="977"/>
      <c r="AF706" s="977"/>
      <c r="AG706" s="977"/>
      <c r="AH706" s="977"/>
      <c r="AI706" s="977"/>
      <c r="AJ706" s="977"/>
      <c r="AK706" s="977"/>
      <c r="AL706" s="977"/>
      <c r="AM706" s="977"/>
      <c r="AN706" s="977"/>
      <c r="AO706" s="977"/>
      <c r="AP706" s="977"/>
      <c r="AQ706" s="977"/>
    </row>
    <row r="707" spans="1:43" ht="14.25" customHeight="1">
      <c r="A707" s="977"/>
      <c r="B707" s="977"/>
      <c r="C707" s="977"/>
      <c r="D707" s="977"/>
      <c r="E707" s="977"/>
      <c r="F707" s="977"/>
      <c r="G707" s="977"/>
      <c r="H707" s="977"/>
      <c r="I707" s="977"/>
      <c r="J707" s="977"/>
      <c r="K707" s="977"/>
      <c r="L707" s="977"/>
      <c r="M707" s="977"/>
      <c r="N707" s="977"/>
      <c r="O707" s="977"/>
      <c r="P707" s="977"/>
      <c r="Q707" s="977"/>
      <c r="R707" s="977"/>
      <c r="S707" s="977"/>
      <c r="T707" s="977"/>
      <c r="U707" s="977"/>
      <c r="V707" s="977"/>
      <c r="W707" s="977"/>
      <c r="X707" s="977"/>
      <c r="Y707" s="977"/>
      <c r="Z707" s="977"/>
      <c r="AA707" s="977"/>
      <c r="AB707" s="977"/>
      <c r="AC707" s="977"/>
      <c r="AD707" s="977"/>
      <c r="AE707" s="977"/>
      <c r="AF707" s="977"/>
      <c r="AG707" s="977"/>
      <c r="AH707" s="977"/>
      <c r="AI707" s="977"/>
      <c r="AJ707" s="977"/>
      <c r="AK707" s="977"/>
      <c r="AL707" s="977"/>
      <c r="AM707" s="977"/>
      <c r="AN707" s="977"/>
      <c r="AO707" s="977"/>
      <c r="AP707" s="977"/>
      <c r="AQ707" s="977"/>
    </row>
    <row r="708" spans="1:43" ht="14.25" customHeight="1">
      <c r="A708" s="977"/>
      <c r="B708" s="977"/>
      <c r="C708" s="977"/>
      <c r="D708" s="977"/>
      <c r="E708" s="977"/>
      <c r="F708" s="977"/>
      <c r="G708" s="977"/>
      <c r="H708" s="977"/>
      <c r="I708" s="977"/>
      <c r="J708" s="977"/>
      <c r="K708" s="977"/>
      <c r="L708" s="977"/>
      <c r="M708" s="977"/>
      <c r="N708" s="977"/>
      <c r="O708" s="977"/>
      <c r="P708" s="977"/>
      <c r="Q708" s="977"/>
      <c r="R708" s="977"/>
      <c r="S708" s="977"/>
      <c r="T708" s="977"/>
      <c r="U708" s="977"/>
      <c r="V708" s="977"/>
      <c r="W708" s="977"/>
      <c r="X708" s="977"/>
      <c r="Y708" s="977"/>
      <c r="Z708" s="977"/>
      <c r="AA708" s="977"/>
      <c r="AB708" s="977"/>
      <c r="AC708" s="977"/>
      <c r="AD708" s="977"/>
      <c r="AE708" s="977"/>
      <c r="AF708" s="977"/>
      <c r="AG708" s="977"/>
      <c r="AH708" s="977"/>
      <c r="AI708" s="977"/>
      <c r="AJ708" s="977"/>
      <c r="AK708" s="977"/>
      <c r="AL708" s="977"/>
      <c r="AM708" s="977"/>
      <c r="AN708" s="977"/>
      <c r="AO708" s="977"/>
      <c r="AP708" s="977"/>
      <c r="AQ708" s="977"/>
    </row>
    <row r="709" spans="1:43" ht="14.25" customHeight="1">
      <c r="A709" s="977"/>
      <c r="B709" s="977"/>
      <c r="C709" s="977"/>
      <c r="D709" s="977"/>
      <c r="E709" s="977"/>
      <c r="F709" s="977"/>
      <c r="G709" s="977"/>
      <c r="H709" s="977"/>
      <c r="I709" s="977"/>
      <c r="J709" s="977"/>
      <c r="K709" s="977"/>
      <c r="L709" s="977"/>
      <c r="M709" s="977"/>
      <c r="N709" s="977"/>
      <c r="O709" s="977"/>
      <c r="P709" s="977"/>
      <c r="Q709" s="977"/>
      <c r="R709" s="977"/>
      <c r="S709" s="977"/>
      <c r="T709" s="977"/>
      <c r="U709" s="977"/>
      <c r="V709" s="977"/>
      <c r="W709" s="977"/>
      <c r="X709" s="977"/>
      <c r="Y709" s="977"/>
      <c r="Z709" s="977"/>
      <c r="AA709" s="977"/>
      <c r="AB709" s="977"/>
      <c r="AC709" s="977"/>
      <c r="AD709" s="977"/>
      <c r="AE709" s="977"/>
      <c r="AF709" s="977"/>
      <c r="AG709" s="977"/>
      <c r="AH709" s="977"/>
      <c r="AI709" s="977"/>
      <c r="AJ709" s="977"/>
      <c r="AK709" s="977"/>
      <c r="AL709" s="977"/>
      <c r="AM709" s="977"/>
      <c r="AN709" s="977"/>
      <c r="AO709" s="977"/>
      <c r="AP709" s="977"/>
      <c r="AQ709" s="977"/>
    </row>
    <row r="710" spans="1:43" ht="14.25" customHeight="1">
      <c r="A710" s="977"/>
      <c r="B710" s="977"/>
      <c r="C710" s="977"/>
      <c r="D710" s="977"/>
      <c r="E710" s="977"/>
      <c r="F710" s="977"/>
      <c r="G710" s="977"/>
      <c r="H710" s="977"/>
      <c r="I710" s="977"/>
      <c r="J710" s="977"/>
      <c r="K710" s="977"/>
      <c r="L710" s="977"/>
      <c r="M710" s="977"/>
      <c r="N710" s="977"/>
      <c r="O710" s="977"/>
      <c r="P710" s="977"/>
      <c r="Q710" s="977"/>
      <c r="R710" s="977"/>
      <c r="S710" s="977"/>
      <c r="T710" s="977"/>
      <c r="U710" s="977"/>
      <c r="V710" s="977"/>
      <c r="W710" s="977"/>
      <c r="X710" s="977"/>
      <c r="Y710" s="977"/>
      <c r="Z710" s="977"/>
      <c r="AA710" s="977"/>
      <c r="AB710" s="977"/>
      <c r="AC710" s="977"/>
      <c r="AD710" s="977"/>
      <c r="AE710" s="977"/>
      <c r="AF710" s="977"/>
      <c r="AG710" s="977"/>
      <c r="AH710" s="977"/>
      <c r="AI710" s="977"/>
      <c r="AJ710" s="977"/>
      <c r="AK710" s="977"/>
      <c r="AL710" s="977"/>
      <c r="AM710" s="977"/>
      <c r="AN710" s="977"/>
      <c r="AO710" s="977"/>
      <c r="AP710" s="977"/>
      <c r="AQ710" s="977"/>
    </row>
    <row r="711" spans="1:43" ht="14.25" customHeight="1">
      <c r="A711" s="977"/>
      <c r="B711" s="977"/>
      <c r="C711" s="977"/>
      <c r="D711" s="977"/>
      <c r="E711" s="977"/>
      <c r="F711" s="977"/>
      <c r="G711" s="977"/>
      <c r="H711" s="977"/>
      <c r="I711" s="977"/>
      <c r="J711" s="977"/>
      <c r="K711" s="977"/>
      <c r="L711" s="977"/>
      <c r="M711" s="977"/>
      <c r="N711" s="977"/>
      <c r="O711" s="977"/>
      <c r="P711" s="977"/>
      <c r="Q711" s="977"/>
      <c r="R711" s="977"/>
      <c r="S711" s="977"/>
      <c r="T711" s="977"/>
      <c r="U711" s="977"/>
      <c r="V711" s="977"/>
      <c r="W711" s="977"/>
      <c r="X711" s="977"/>
      <c r="Y711" s="977"/>
      <c r="Z711" s="977"/>
      <c r="AA711" s="977"/>
      <c r="AB711" s="977"/>
      <c r="AC711" s="977"/>
      <c r="AD711" s="977"/>
      <c r="AE711" s="977"/>
      <c r="AF711" s="977"/>
      <c r="AG711" s="977"/>
      <c r="AH711" s="977"/>
      <c r="AI711" s="977"/>
      <c r="AJ711" s="977"/>
      <c r="AK711" s="977"/>
      <c r="AL711" s="977"/>
      <c r="AM711" s="977"/>
      <c r="AN711" s="977"/>
      <c r="AO711" s="977"/>
      <c r="AP711" s="977"/>
      <c r="AQ711" s="977"/>
    </row>
    <row r="712" spans="1:43" ht="14.25" customHeight="1">
      <c r="A712" s="977"/>
      <c r="B712" s="977"/>
      <c r="C712" s="977"/>
      <c r="D712" s="977"/>
      <c r="E712" s="977"/>
      <c r="F712" s="977"/>
      <c r="G712" s="977"/>
      <c r="H712" s="977"/>
      <c r="I712" s="977"/>
      <c r="J712" s="977"/>
      <c r="K712" s="977"/>
      <c r="L712" s="977"/>
      <c r="M712" s="977"/>
      <c r="N712" s="977"/>
      <c r="O712" s="977"/>
      <c r="P712" s="977"/>
      <c r="Q712" s="977"/>
      <c r="R712" s="977"/>
      <c r="S712" s="977"/>
      <c r="T712" s="977"/>
      <c r="U712" s="977"/>
      <c r="V712" s="977"/>
      <c r="W712" s="977"/>
      <c r="X712" s="977"/>
      <c r="Y712" s="977"/>
      <c r="Z712" s="977"/>
      <c r="AA712" s="977"/>
      <c r="AB712" s="977"/>
      <c r="AC712" s="977"/>
      <c r="AD712" s="977"/>
      <c r="AE712" s="977"/>
      <c r="AF712" s="977"/>
      <c r="AG712" s="977"/>
      <c r="AH712" s="977"/>
      <c r="AI712" s="977"/>
      <c r="AJ712" s="977"/>
      <c r="AK712" s="977"/>
      <c r="AL712" s="977"/>
      <c r="AM712" s="977"/>
      <c r="AN712" s="977"/>
      <c r="AO712" s="977"/>
      <c r="AP712" s="977"/>
      <c r="AQ712" s="977"/>
    </row>
    <row r="713" spans="1:43" ht="14.25" customHeight="1">
      <c r="A713" s="977"/>
      <c r="B713" s="977"/>
      <c r="C713" s="977"/>
      <c r="D713" s="977"/>
      <c r="E713" s="977"/>
      <c r="F713" s="977"/>
      <c r="G713" s="977"/>
      <c r="H713" s="977"/>
      <c r="I713" s="977"/>
      <c r="J713" s="977"/>
      <c r="K713" s="977"/>
      <c r="L713" s="977"/>
      <c r="M713" s="977"/>
      <c r="N713" s="977"/>
      <c r="O713" s="977"/>
      <c r="P713" s="977"/>
      <c r="Q713" s="977"/>
      <c r="R713" s="977"/>
      <c r="S713" s="977"/>
      <c r="T713" s="977"/>
      <c r="U713" s="977"/>
      <c r="V713" s="977"/>
      <c r="W713" s="977"/>
      <c r="X713" s="977"/>
      <c r="Y713" s="977"/>
      <c r="Z713" s="977"/>
      <c r="AA713" s="977"/>
      <c r="AB713" s="977"/>
      <c r="AC713" s="977"/>
      <c r="AD713" s="977"/>
      <c r="AE713" s="977"/>
      <c r="AF713" s="977"/>
      <c r="AG713" s="977"/>
      <c r="AH713" s="977"/>
      <c r="AI713" s="977"/>
      <c r="AJ713" s="977"/>
      <c r="AK713" s="977"/>
      <c r="AL713" s="977"/>
      <c r="AM713" s="977"/>
      <c r="AN713" s="977"/>
      <c r="AO713" s="977"/>
      <c r="AP713" s="977"/>
      <c r="AQ713" s="977"/>
    </row>
    <row r="714" spans="1:43" ht="14.25" customHeight="1">
      <c r="A714" s="977"/>
      <c r="B714" s="977"/>
      <c r="C714" s="977"/>
      <c r="D714" s="977"/>
      <c r="E714" s="977"/>
      <c r="F714" s="977"/>
      <c r="G714" s="977"/>
      <c r="H714" s="977"/>
      <c r="I714" s="977"/>
      <c r="J714" s="977"/>
      <c r="K714" s="977"/>
      <c r="L714" s="977"/>
      <c r="M714" s="977"/>
      <c r="N714" s="977"/>
      <c r="O714" s="977"/>
      <c r="P714" s="977"/>
      <c r="Q714" s="977"/>
      <c r="R714" s="977"/>
      <c r="S714" s="977"/>
      <c r="T714" s="977"/>
      <c r="U714" s="977"/>
      <c r="V714" s="977"/>
      <c r="W714" s="977"/>
      <c r="X714" s="977"/>
      <c r="Y714" s="977"/>
      <c r="Z714" s="977"/>
      <c r="AA714" s="977"/>
      <c r="AB714" s="977"/>
      <c r="AC714" s="977"/>
      <c r="AD714" s="977"/>
      <c r="AE714" s="977"/>
      <c r="AF714" s="977"/>
      <c r="AG714" s="977"/>
      <c r="AH714" s="977"/>
      <c r="AI714" s="977"/>
      <c r="AJ714" s="977"/>
      <c r="AK714" s="977"/>
      <c r="AL714" s="977"/>
      <c r="AM714" s="977"/>
      <c r="AN714" s="977"/>
      <c r="AO714" s="977"/>
      <c r="AP714" s="977"/>
      <c r="AQ714" s="977"/>
    </row>
    <row r="715" spans="1:43" ht="14.25" customHeight="1">
      <c r="A715" s="977"/>
      <c r="B715" s="977"/>
      <c r="C715" s="977"/>
      <c r="D715" s="977"/>
      <c r="E715" s="977"/>
      <c r="F715" s="977"/>
      <c r="G715" s="977"/>
      <c r="H715" s="977"/>
      <c r="I715" s="977"/>
      <c r="J715" s="977"/>
      <c r="K715" s="977"/>
      <c r="L715" s="977"/>
      <c r="M715" s="977"/>
      <c r="N715" s="977"/>
      <c r="O715" s="977"/>
      <c r="P715" s="977"/>
      <c r="Q715" s="977"/>
      <c r="R715" s="977"/>
      <c r="S715" s="977"/>
      <c r="T715" s="977"/>
      <c r="U715" s="977"/>
      <c r="V715" s="977"/>
      <c r="W715" s="977"/>
      <c r="X715" s="977"/>
      <c r="Y715" s="977"/>
      <c r="Z715" s="977"/>
      <c r="AA715" s="977"/>
      <c r="AB715" s="977"/>
      <c r="AC715" s="977"/>
      <c r="AD715" s="977"/>
      <c r="AE715" s="977"/>
      <c r="AF715" s="977"/>
      <c r="AG715" s="977"/>
      <c r="AH715" s="977"/>
      <c r="AI715" s="977"/>
      <c r="AJ715" s="977"/>
      <c r="AK715" s="977"/>
      <c r="AL715" s="977"/>
      <c r="AM715" s="977"/>
      <c r="AN715" s="977"/>
      <c r="AO715" s="977"/>
      <c r="AP715" s="977"/>
      <c r="AQ715" s="977"/>
    </row>
    <row r="716" spans="1:43" ht="14.25" customHeight="1">
      <c r="A716" s="977"/>
      <c r="B716" s="977"/>
      <c r="C716" s="977"/>
      <c r="D716" s="977"/>
      <c r="E716" s="977"/>
      <c r="F716" s="977"/>
      <c r="G716" s="977"/>
      <c r="H716" s="977"/>
      <c r="I716" s="977"/>
      <c r="J716" s="977"/>
      <c r="K716" s="977"/>
      <c r="L716" s="977"/>
      <c r="M716" s="977"/>
      <c r="N716" s="977"/>
      <c r="O716" s="977"/>
      <c r="P716" s="977"/>
      <c r="Q716" s="977"/>
      <c r="R716" s="977"/>
      <c r="S716" s="977"/>
      <c r="T716" s="977"/>
      <c r="U716" s="977"/>
      <c r="V716" s="977"/>
      <c r="W716" s="977"/>
      <c r="X716" s="977"/>
      <c r="Y716" s="977"/>
      <c r="Z716" s="977"/>
      <c r="AA716" s="977"/>
      <c r="AB716" s="977"/>
      <c r="AC716" s="977"/>
      <c r="AD716" s="977"/>
      <c r="AE716" s="977"/>
      <c r="AF716" s="977"/>
      <c r="AG716" s="977"/>
      <c r="AH716" s="977"/>
      <c r="AI716" s="977"/>
      <c r="AJ716" s="977"/>
      <c r="AK716" s="977"/>
      <c r="AL716" s="977"/>
      <c r="AM716" s="977"/>
      <c r="AN716" s="977"/>
      <c r="AO716" s="977"/>
      <c r="AP716" s="977"/>
      <c r="AQ716" s="977"/>
    </row>
    <row r="717" spans="1:43" ht="14.25" customHeight="1">
      <c r="A717" s="977"/>
      <c r="B717" s="977"/>
      <c r="C717" s="977"/>
      <c r="D717" s="977"/>
      <c r="E717" s="977"/>
      <c r="F717" s="977"/>
      <c r="G717" s="977"/>
      <c r="H717" s="977"/>
      <c r="I717" s="977"/>
      <c r="J717" s="977"/>
      <c r="K717" s="977"/>
      <c r="L717" s="977"/>
      <c r="M717" s="977"/>
      <c r="N717" s="977"/>
      <c r="O717" s="977"/>
      <c r="P717" s="977"/>
      <c r="Q717" s="977"/>
      <c r="R717" s="977"/>
      <c r="S717" s="977"/>
      <c r="T717" s="977"/>
      <c r="U717" s="977"/>
      <c r="V717" s="977"/>
      <c r="W717" s="977"/>
      <c r="X717" s="977"/>
      <c r="Y717" s="977"/>
      <c r="Z717" s="977"/>
      <c r="AA717" s="977"/>
      <c r="AB717" s="977"/>
      <c r="AC717" s="977"/>
      <c r="AD717" s="977"/>
      <c r="AE717" s="977"/>
      <c r="AF717" s="977"/>
      <c r="AG717" s="977"/>
      <c r="AH717" s="977"/>
      <c r="AI717" s="977"/>
      <c r="AJ717" s="977"/>
      <c r="AK717" s="977"/>
      <c r="AL717" s="977"/>
      <c r="AM717" s="977"/>
      <c r="AN717" s="977"/>
      <c r="AO717" s="977"/>
      <c r="AP717" s="977"/>
      <c r="AQ717" s="977"/>
    </row>
    <row r="718" spans="1:43" ht="14.25" customHeight="1">
      <c r="A718" s="977"/>
      <c r="B718" s="977"/>
      <c r="C718" s="977"/>
      <c r="D718" s="977"/>
      <c r="E718" s="977"/>
      <c r="F718" s="977"/>
      <c r="G718" s="977"/>
      <c r="H718" s="977"/>
      <c r="I718" s="977"/>
      <c r="J718" s="977"/>
      <c r="K718" s="977"/>
      <c r="L718" s="977"/>
      <c r="M718" s="977"/>
      <c r="N718" s="977"/>
      <c r="O718" s="977"/>
      <c r="P718" s="977"/>
      <c r="Q718" s="977"/>
      <c r="R718" s="977"/>
      <c r="S718" s="977"/>
      <c r="T718" s="977"/>
      <c r="U718" s="977"/>
      <c r="V718" s="977"/>
      <c r="W718" s="977"/>
      <c r="X718" s="977"/>
      <c r="Y718" s="977"/>
      <c r="Z718" s="977"/>
      <c r="AA718" s="977"/>
      <c r="AB718" s="977"/>
      <c r="AC718" s="977"/>
      <c r="AD718" s="977"/>
      <c r="AE718" s="977"/>
      <c r="AF718" s="977"/>
      <c r="AG718" s="977"/>
      <c r="AH718" s="977"/>
      <c r="AI718" s="977"/>
      <c r="AJ718" s="977"/>
      <c r="AK718" s="977"/>
      <c r="AL718" s="977"/>
      <c r="AM718" s="977"/>
      <c r="AN718" s="977"/>
      <c r="AO718" s="977"/>
      <c r="AP718" s="977"/>
      <c r="AQ718" s="977"/>
    </row>
    <row r="719" spans="1:43" ht="14.25" customHeight="1">
      <c r="A719" s="977"/>
      <c r="B719" s="977"/>
      <c r="C719" s="977"/>
      <c r="D719" s="977"/>
      <c r="E719" s="977"/>
      <c r="F719" s="977"/>
      <c r="G719" s="977"/>
      <c r="H719" s="977"/>
      <c r="I719" s="977"/>
      <c r="J719" s="977"/>
      <c r="K719" s="977"/>
      <c r="L719" s="977"/>
      <c r="M719" s="977"/>
      <c r="N719" s="977"/>
      <c r="O719" s="977"/>
      <c r="P719" s="977"/>
      <c r="Q719" s="977"/>
      <c r="R719" s="977"/>
      <c r="S719" s="977"/>
      <c r="T719" s="977"/>
      <c r="U719" s="977"/>
      <c r="V719" s="977"/>
      <c r="W719" s="977"/>
      <c r="X719" s="977"/>
      <c r="Y719" s="977"/>
      <c r="Z719" s="977"/>
      <c r="AA719" s="977"/>
      <c r="AB719" s="977"/>
      <c r="AC719" s="977"/>
      <c r="AD719" s="977"/>
      <c r="AE719" s="977"/>
      <c r="AF719" s="977"/>
      <c r="AG719" s="977"/>
      <c r="AH719" s="977"/>
      <c r="AI719" s="977"/>
      <c r="AJ719" s="977"/>
      <c r="AK719" s="977"/>
      <c r="AL719" s="977"/>
      <c r="AM719" s="977"/>
      <c r="AN719" s="977"/>
      <c r="AO719" s="977"/>
      <c r="AP719" s="977"/>
      <c r="AQ719" s="977"/>
    </row>
    <row r="720" spans="1:43" ht="14.25" customHeight="1">
      <c r="A720" s="977"/>
      <c r="B720" s="977"/>
      <c r="C720" s="977"/>
      <c r="D720" s="977"/>
      <c r="E720" s="977"/>
      <c r="F720" s="977"/>
      <c r="G720" s="977"/>
      <c r="H720" s="977"/>
      <c r="I720" s="977"/>
      <c r="J720" s="977"/>
      <c r="K720" s="977"/>
      <c r="L720" s="977"/>
      <c r="M720" s="977"/>
      <c r="N720" s="977"/>
      <c r="O720" s="977"/>
      <c r="P720" s="977"/>
      <c r="Q720" s="977"/>
      <c r="R720" s="977"/>
      <c r="S720" s="977"/>
      <c r="T720" s="977"/>
      <c r="U720" s="977"/>
      <c r="V720" s="977"/>
      <c r="W720" s="977"/>
      <c r="X720" s="977"/>
      <c r="Y720" s="977"/>
      <c r="Z720" s="977"/>
      <c r="AA720" s="977"/>
      <c r="AB720" s="977"/>
      <c r="AC720" s="977"/>
      <c r="AD720" s="977"/>
      <c r="AE720" s="977"/>
      <c r="AF720" s="977"/>
      <c r="AG720" s="977"/>
      <c r="AH720" s="977"/>
      <c r="AI720" s="977"/>
      <c r="AJ720" s="977"/>
      <c r="AK720" s="977"/>
      <c r="AL720" s="977"/>
      <c r="AM720" s="977"/>
      <c r="AN720" s="977"/>
      <c r="AO720" s="977"/>
      <c r="AP720" s="977"/>
      <c r="AQ720" s="977"/>
    </row>
    <row r="721" spans="1:43" ht="14.25" customHeight="1">
      <c r="A721" s="977"/>
      <c r="B721" s="977"/>
      <c r="C721" s="977"/>
      <c r="D721" s="977"/>
      <c r="E721" s="977"/>
      <c r="F721" s="977"/>
      <c r="G721" s="977"/>
      <c r="H721" s="977"/>
      <c r="I721" s="977"/>
      <c r="J721" s="977"/>
      <c r="K721" s="977"/>
      <c r="L721" s="977"/>
      <c r="M721" s="977"/>
      <c r="N721" s="977"/>
      <c r="O721" s="977"/>
      <c r="P721" s="977"/>
      <c r="Q721" s="977"/>
      <c r="R721" s="977"/>
      <c r="S721" s="977"/>
      <c r="T721" s="977"/>
      <c r="U721" s="977"/>
      <c r="V721" s="977"/>
      <c r="W721" s="977"/>
      <c r="X721" s="977"/>
      <c r="Y721" s="977"/>
      <c r="Z721" s="977"/>
      <c r="AA721" s="977"/>
      <c r="AB721" s="977"/>
      <c r="AC721" s="977"/>
      <c r="AD721" s="977"/>
      <c r="AE721" s="977"/>
      <c r="AF721" s="977"/>
      <c r="AG721" s="977"/>
      <c r="AH721" s="977"/>
      <c r="AI721" s="977"/>
      <c r="AJ721" s="977"/>
      <c r="AK721" s="977"/>
      <c r="AL721" s="977"/>
      <c r="AM721" s="977"/>
      <c r="AN721" s="977"/>
      <c r="AO721" s="977"/>
      <c r="AP721" s="977"/>
      <c r="AQ721" s="977"/>
    </row>
    <row r="722" spans="1:43" ht="14.25" customHeight="1">
      <c r="A722" s="977"/>
      <c r="B722" s="977"/>
      <c r="C722" s="977"/>
      <c r="D722" s="977"/>
      <c r="E722" s="977"/>
      <c r="F722" s="977"/>
      <c r="G722" s="977"/>
      <c r="H722" s="977"/>
      <c r="I722" s="977"/>
      <c r="J722" s="977"/>
      <c r="K722" s="977"/>
      <c r="L722" s="977"/>
      <c r="M722" s="977"/>
      <c r="N722" s="977"/>
      <c r="O722" s="977"/>
      <c r="P722" s="977"/>
      <c r="Q722" s="977"/>
      <c r="R722" s="977"/>
      <c r="S722" s="977"/>
      <c r="T722" s="977"/>
      <c r="U722" s="977"/>
      <c r="V722" s="977"/>
      <c r="W722" s="977"/>
      <c r="X722" s="977"/>
      <c r="Y722" s="977"/>
      <c r="Z722" s="977"/>
      <c r="AA722" s="977"/>
      <c r="AB722" s="977"/>
      <c r="AC722" s="977"/>
      <c r="AD722" s="977"/>
      <c r="AE722" s="977"/>
      <c r="AF722" s="977"/>
      <c r="AG722" s="977"/>
      <c r="AH722" s="977"/>
      <c r="AI722" s="977"/>
      <c r="AJ722" s="977"/>
      <c r="AK722" s="977"/>
      <c r="AL722" s="977"/>
      <c r="AM722" s="977"/>
      <c r="AN722" s="977"/>
      <c r="AO722" s="977"/>
      <c r="AP722" s="977"/>
      <c r="AQ722" s="977"/>
    </row>
    <row r="723" spans="1:43" ht="14.25" customHeight="1">
      <c r="A723" s="977"/>
      <c r="B723" s="977"/>
      <c r="C723" s="977"/>
      <c r="D723" s="977"/>
      <c r="E723" s="977"/>
      <c r="F723" s="977"/>
      <c r="G723" s="977"/>
      <c r="H723" s="977"/>
      <c r="I723" s="977"/>
      <c r="J723" s="977"/>
      <c r="K723" s="977"/>
      <c r="L723" s="977"/>
      <c r="M723" s="977"/>
      <c r="N723" s="977"/>
      <c r="O723" s="977"/>
      <c r="P723" s="977"/>
      <c r="Q723" s="977"/>
      <c r="R723" s="977"/>
      <c r="S723" s="977"/>
      <c r="T723" s="977"/>
      <c r="U723" s="977"/>
      <c r="V723" s="977"/>
      <c r="W723" s="977"/>
      <c r="X723" s="977"/>
      <c r="Y723" s="977"/>
      <c r="Z723" s="977"/>
      <c r="AA723" s="977"/>
      <c r="AB723" s="977"/>
      <c r="AC723" s="977"/>
      <c r="AD723" s="977"/>
      <c r="AE723" s="977"/>
      <c r="AF723" s="977"/>
      <c r="AG723" s="977"/>
      <c r="AH723" s="977"/>
      <c r="AI723" s="977"/>
      <c r="AJ723" s="977"/>
      <c r="AK723" s="977"/>
      <c r="AL723" s="977"/>
      <c r="AM723" s="977"/>
      <c r="AN723" s="977"/>
      <c r="AO723" s="977"/>
      <c r="AP723" s="977"/>
      <c r="AQ723" s="977"/>
    </row>
    <row r="724" spans="1:43" ht="14.25" customHeight="1">
      <c r="A724" s="977"/>
      <c r="B724" s="977"/>
      <c r="C724" s="977"/>
      <c r="D724" s="977"/>
      <c r="E724" s="977"/>
      <c r="F724" s="977"/>
      <c r="G724" s="977"/>
      <c r="H724" s="977"/>
      <c r="I724" s="977"/>
      <c r="J724" s="977"/>
      <c r="K724" s="977"/>
      <c r="L724" s="977"/>
      <c r="M724" s="977"/>
      <c r="N724" s="977"/>
      <c r="O724" s="977"/>
      <c r="P724" s="977"/>
      <c r="Q724" s="977"/>
      <c r="R724" s="977"/>
      <c r="S724" s="977"/>
      <c r="T724" s="977"/>
      <c r="U724" s="977"/>
      <c r="V724" s="977"/>
      <c r="W724" s="977"/>
      <c r="X724" s="977"/>
      <c r="Y724" s="977"/>
      <c r="Z724" s="977"/>
      <c r="AA724" s="977"/>
      <c r="AB724" s="977"/>
      <c r="AC724" s="977"/>
      <c r="AD724" s="977"/>
      <c r="AE724" s="977"/>
      <c r="AF724" s="977"/>
      <c r="AG724" s="977"/>
      <c r="AH724" s="977"/>
      <c r="AI724" s="977"/>
      <c r="AJ724" s="977"/>
      <c r="AK724" s="977"/>
      <c r="AL724" s="977"/>
      <c r="AM724" s="977"/>
      <c r="AN724" s="977"/>
      <c r="AO724" s="977"/>
      <c r="AP724" s="977"/>
      <c r="AQ724" s="977"/>
    </row>
    <row r="725" spans="1:43" ht="14.25" customHeight="1">
      <c r="A725" s="977"/>
      <c r="B725" s="977"/>
      <c r="C725" s="977"/>
      <c r="D725" s="977"/>
      <c r="E725" s="977"/>
      <c r="F725" s="977"/>
      <c r="G725" s="977"/>
      <c r="H725" s="977"/>
      <c r="I725" s="977"/>
      <c r="J725" s="977"/>
      <c r="K725" s="977"/>
      <c r="L725" s="977"/>
      <c r="M725" s="977"/>
      <c r="N725" s="977"/>
      <c r="O725" s="977"/>
      <c r="P725" s="977"/>
      <c r="Q725" s="977"/>
      <c r="R725" s="977"/>
      <c r="S725" s="977"/>
      <c r="T725" s="977"/>
      <c r="U725" s="977"/>
      <c r="V725" s="977"/>
      <c r="W725" s="977"/>
      <c r="X725" s="977"/>
      <c r="Y725" s="977"/>
      <c r="Z725" s="977"/>
      <c r="AA725" s="977"/>
      <c r="AB725" s="977"/>
      <c r="AC725" s="977"/>
      <c r="AD725" s="977"/>
      <c r="AE725" s="977"/>
      <c r="AF725" s="977"/>
      <c r="AG725" s="977"/>
      <c r="AH725" s="977"/>
      <c r="AI725" s="977"/>
      <c r="AJ725" s="977"/>
      <c r="AK725" s="977"/>
      <c r="AL725" s="977"/>
      <c r="AM725" s="977"/>
      <c r="AN725" s="977"/>
      <c r="AO725" s="977"/>
      <c r="AP725" s="977"/>
      <c r="AQ725" s="977"/>
    </row>
    <row r="726" spans="1:43" ht="14.25" customHeight="1">
      <c r="A726" s="977"/>
      <c r="B726" s="977"/>
      <c r="C726" s="977"/>
      <c r="D726" s="977"/>
      <c r="E726" s="977"/>
      <c r="F726" s="977"/>
      <c r="G726" s="977"/>
      <c r="H726" s="977"/>
      <c r="I726" s="977"/>
      <c r="J726" s="977"/>
      <c r="K726" s="977"/>
      <c r="L726" s="977"/>
      <c r="M726" s="977"/>
      <c r="N726" s="977"/>
      <c r="O726" s="977"/>
      <c r="P726" s="977"/>
      <c r="Q726" s="977"/>
      <c r="R726" s="977"/>
      <c r="S726" s="977"/>
      <c r="T726" s="977"/>
      <c r="U726" s="977"/>
      <c r="V726" s="977"/>
      <c r="W726" s="977"/>
      <c r="X726" s="977"/>
      <c r="Y726" s="977"/>
      <c r="Z726" s="977"/>
      <c r="AA726" s="977"/>
      <c r="AB726" s="977"/>
      <c r="AC726" s="977"/>
      <c r="AD726" s="977"/>
      <c r="AE726" s="977"/>
      <c r="AF726" s="977"/>
      <c r="AG726" s="977"/>
      <c r="AH726" s="977"/>
      <c r="AI726" s="977"/>
      <c r="AJ726" s="977"/>
      <c r="AK726" s="977"/>
      <c r="AL726" s="977"/>
      <c r="AM726" s="977"/>
      <c r="AN726" s="977"/>
      <c r="AO726" s="977"/>
      <c r="AP726" s="977"/>
      <c r="AQ726" s="977"/>
    </row>
    <row r="727" spans="1:43" ht="14.25" customHeight="1">
      <c r="A727" s="977"/>
      <c r="B727" s="977"/>
      <c r="C727" s="977"/>
      <c r="D727" s="977"/>
      <c r="E727" s="977"/>
      <c r="F727" s="977"/>
      <c r="G727" s="977"/>
      <c r="H727" s="977"/>
      <c r="I727" s="977"/>
      <c r="J727" s="977"/>
      <c r="K727" s="977"/>
      <c r="L727" s="977"/>
      <c r="M727" s="977"/>
      <c r="N727" s="977"/>
      <c r="O727" s="977"/>
      <c r="P727" s="977"/>
      <c r="Q727" s="977"/>
      <c r="R727" s="977"/>
      <c r="S727" s="977"/>
      <c r="T727" s="977"/>
      <c r="U727" s="977"/>
      <c r="V727" s="977"/>
      <c r="W727" s="977"/>
      <c r="X727" s="977"/>
      <c r="Y727" s="977"/>
      <c r="Z727" s="977"/>
      <c r="AA727" s="977"/>
      <c r="AB727" s="977"/>
      <c r="AC727" s="977"/>
      <c r="AD727" s="977"/>
      <c r="AE727" s="977"/>
      <c r="AF727" s="977"/>
      <c r="AG727" s="977"/>
      <c r="AH727" s="977"/>
      <c r="AI727" s="977"/>
      <c r="AJ727" s="977"/>
      <c r="AK727" s="977"/>
      <c r="AL727" s="977"/>
      <c r="AM727" s="977"/>
      <c r="AN727" s="977"/>
      <c r="AO727" s="977"/>
      <c r="AP727" s="977"/>
      <c r="AQ727" s="977"/>
    </row>
    <row r="728" spans="1:43" ht="14.25" customHeight="1">
      <c r="A728" s="977"/>
      <c r="B728" s="977"/>
      <c r="C728" s="977"/>
      <c r="D728" s="977"/>
      <c r="E728" s="977"/>
      <c r="F728" s="977"/>
      <c r="G728" s="977"/>
      <c r="H728" s="977"/>
      <c r="I728" s="977"/>
      <c r="J728" s="977"/>
      <c r="K728" s="977"/>
      <c r="L728" s="977"/>
      <c r="M728" s="977"/>
      <c r="N728" s="977"/>
      <c r="O728" s="977"/>
      <c r="P728" s="977"/>
      <c r="Q728" s="977"/>
      <c r="R728" s="977"/>
      <c r="S728" s="977"/>
      <c r="T728" s="977"/>
      <c r="U728" s="977"/>
      <c r="V728" s="977"/>
      <c r="W728" s="977"/>
      <c r="X728" s="977"/>
      <c r="Y728" s="977"/>
      <c r="Z728" s="977"/>
      <c r="AA728" s="977"/>
      <c r="AB728" s="977"/>
      <c r="AC728" s="977"/>
      <c r="AD728" s="977"/>
      <c r="AE728" s="977"/>
      <c r="AF728" s="977"/>
      <c r="AG728" s="977"/>
      <c r="AH728" s="977"/>
      <c r="AI728" s="977"/>
      <c r="AJ728" s="977"/>
      <c r="AK728" s="977"/>
      <c r="AL728" s="977"/>
      <c r="AM728" s="977"/>
      <c r="AN728" s="977"/>
      <c r="AO728" s="977"/>
      <c r="AP728" s="977"/>
      <c r="AQ728" s="977"/>
    </row>
    <row r="729" spans="1:43" ht="14.25" customHeight="1">
      <c r="A729" s="977"/>
      <c r="B729" s="977"/>
      <c r="C729" s="977"/>
      <c r="D729" s="977"/>
      <c r="E729" s="977"/>
      <c r="F729" s="977"/>
      <c r="G729" s="977"/>
      <c r="H729" s="977"/>
      <c r="I729" s="977"/>
      <c r="J729" s="977"/>
      <c r="K729" s="977"/>
      <c r="L729" s="977"/>
      <c r="M729" s="977"/>
      <c r="N729" s="977"/>
      <c r="O729" s="977"/>
      <c r="P729" s="977"/>
      <c r="Q729" s="977"/>
      <c r="R729" s="977"/>
      <c r="S729" s="977"/>
      <c r="T729" s="977"/>
      <c r="U729" s="977"/>
      <c r="V729" s="977"/>
      <c r="W729" s="977"/>
      <c r="X729" s="977"/>
      <c r="Y729" s="977"/>
      <c r="Z729" s="977"/>
      <c r="AA729" s="977"/>
      <c r="AB729" s="977"/>
      <c r="AC729" s="977"/>
      <c r="AD729" s="977"/>
      <c r="AE729" s="977"/>
      <c r="AF729" s="977"/>
      <c r="AG729" s="977"/>
      <c r="AH729" s="977"/>
      <c r="AI729" s="977"/>
      <c r="AJ729" s="977"/>
      <c r="AK729" s="977"/>
      <c r="AL729" s="977"/>
      <c r="AM729" s="977"/>
      <c r="AN729" s="977"/>
      <c r="AO729" s="977"/>
      <c r="AP729" s="977"/>
      <c r="AQ729" s="977"/>
    </row>
    <row r="730" spans="1:43" ht="14.25" customHeight="1">
      <c r="A730" s="977"/>
      <c r="B730" s="977"/>
      <c r="C730" s="977"/>
      <c r="D730" s="977"/>
      <c r="E730" s="977"/>
      <c r="F730" s="977"/>
      <c r="G730" s="977"/>
      <c r="H730" s="977"/>
      <c r="I730" s="977"/>
      <c r="J730" s="977"/>
      <c r="K730" s="977"/>
      <c r="L730" s="977"/>
      <c r="M730" s="977"/>
      <c r="N730" s="977"/>
      <c r="O730" s="977"/>
      <c r="P730" s="977"/>
      <c r="Q730" s="977"/>
      <c r="R730" s="977"/>
      <c r="S730" s="977"/>
      <c r="T730" s="977"/>
      <c r="U730" s="977"/>
      <c r="V730" s="977"/>
      <c r="W730" s="977"/>
      <c r="X730" s="977"/>
      <c r="Y730" s="977"/>
      <c r="Z730" s="977"/>
      <c r="AA730" s="977"/>
      <c r="AB730" s="977"/>
      <c r="AC730" s="977"/>
      <c r="AD730" s="977"/>
      <c r="AE730" s="977"/>
      <c r="AF730" s="977"/>
      <c r="AG730" s="977"/>
      <c r="AH730" s="977"/>
      <c r="AI730" s="977"/>
      <c r="AJ730" s="977"/>
      <c r="AK730" s="977"/>
      <c r="AL730" s="977"/>
      <c r="AM730" s="977"/>
      <c r="AN730" s="977"/>
      <c r="AO730" s="977"/>
      <c r="AP730" s="977"/>
      <c r="AQ730" s="977"/>
    </row>
    <row r="731" spans="1:43" ht="14.25" customHeight="1">
      <c r="A731" s="977"/>
      <c r="B731" s="977"/>
      <c r="C731" s="977"/>
      <c r="D731" s="977"/>
      <c r="E731" s="977"/>
      <c r="F731" s="977"/>
      <c r="G731" s="977"/>
      <c r="H731" s="977"/>
      <c r="I731" s="977"/>
      <c r="J731" s="977"/>
      <c r="K731" s="977"/>
      <c r="L731" s="977"/>
      <c r="M731" s="977"/>
      <c r="N731" s="977"/>
      <c r="O731" s="977"/>
      <c r="P731" s="977"/>
      <c r="Q731" s="977"/>
      <c r="R731" s="977"/>
      <c r="S731" s="977"/>
      <c r="T731" s="977"/>
      <c r="U731" s="977"/>
      <c r="V731" s="977"/>
      <c r="W731" s="977"/>
      <c r="X731" s="977"/>
      <c r="Y731" s="977"/>
      <c r="Z731" s="977"/>
      <c r="AA731" s="977"/>
      <c r="AB731" s="977"/>
      <c r="AC731" s="977"/>
      <c r="AD731" s="977"/>
      <c r="AE731" s="977"/>
      <c r="AF731" s="977"/>
      <c r="AG731" s="977"/>
      <c r="AH731" s="977"/>
      <c r="AI731" s="977"/>
      <c r="AJ731" s="977"/>
      <c r="AK731" s="977"/>
      <c r="AL731" s="977"/>
      <c r="AM731" s="977"/>
      <c r="AN731" s="977"/>
      <c r="AO731" s="977"/>
      <c r="AP731" s="977"/>
      <c r="AQ731" s="977"/>
    </row>
    <row r="732" spans="1:43" ht="14.25" customHeight="1">
      <c r="A732" s="977"/>
      <c r="B732" s="977"/>
      <c r="C732" s="977"/>
      <c r="D732" s="977"/>
      <c r="E732" s="977"/>
      <c r="F732" s="977"/>
      <c r="G732" s="977"/>
      <c r="H732" s="977"/>
      <c r="I732" s="977"/>
      <c r="J732" s="977"/>
      <c r="K732" s="977"/>
      <c r="L732" s="977"/>
      <c r="M732" s="977"/>
      <c r="N732" s="977"/>
      <c r="O732" s="977"/>
      <c r="P732" s="977"/>
      <c r="Q732" s="977"/>
      <c r="R732" s="977"/>
      <c r="S732" s="977"/>
      <c r="T732" s="977"/>
      <c r="U732" s="977"/>
      <c r="V732" s="977"/>
      <c r="W732" s="977"/>
      <c r="X732" s="977"/>
      <c r="Y732" s="977"/>
      <c r="Z732" s="977"/>
      <c r="AA732" s="977"/>
      <c r="AB732" s="977"/>
      <c r="AC732" s="977"/>
      <c r="AD732" s="977"/>
      <c r="AE732" s="977"/>
      <c r="AF732" s="977"/>
      <c r="AG732" s="977"/>
      <c r="AH732" s="977"/>
      <c r="AI732" s="977"/>
      <c r="AJ732" s="977"/>
      <c r="AK732" s="977"/>
      <c r="AL732" s="977"/>
      <c r="AM732" s="977"/>
      <c r="AN732" s="977"/>
      <c r="AO732" s="977"/>
      <c r="AP732" s="977"/>
      <c r="AQ732" s="977"/>
    </row>
    <row r="733" spans="1:43" ht="14.25" customHeight="1">
      <c r="A733" s="977"/>
      <c r="B733" s="977"/>
      <c r="C733" s="977"/>
      <c r="D733" s="977"/>
      <c r="E733" s="977"/>
      <c r="F733" s="977"/>
      <c r="G733" s="977"/>
      <c r="H733" s="977"/>
      <c r="I733" s="977"/>
      <c r="J733" s="977"/>
      <c r="K733" s="977"/>
      <c r="L733" s="977"/>
      <c r="M733" s="977"/>
      <c r="N733" s="977"/>
      <c r="O733" s="977"/>
      <c r="P733" s="977"/>
      <c r="Q733" s="977"/>
      <c r="R733" s="977"/>
      <c r="S733" s="977"/>
      <c r="T733" s="977"/>
      <c r="U733" s="977"/>
      <c r="V733" s="977"/>
      <c r="W733" s="977"/>
      <c r="X733" s="977"/>
      <c r="Y733" s="977"/>
      <c r="Z733" s="977"/>
      <c r="AA733" s="977"/>
      <c r="AB733" s="977"/>
      <c r="AC733" s="977"/>
      <c r="AD733" s="977"/>
      <c r="AE733" s="977"/>
      <c r="AF733" s="977"/>
      <c r="AG733" s="977"/>
      <c r="AH733" s="977"/>
      <c r="AI733" s="977"/>
      <c r="AJ733" s="977"/>
      <c r="AK733" s="977"/>
      <c r="AL733" s="977"/>
      <c r="AM733" s="977"/>
      <c r="AN733" s="977"/>
      <c r="AO733" s="977"/>
      <c r="AP733" s="977"/>
      <c r="AQ733" s="977"/>
    </row>
    <row r="734" spans="1:43" ht="14.25" customHeight="1">
      <c r="A734" s="977"/>
      <c r="B734" s="977"/>
      <c r="C734" s="977"/>
      <c r="D734" s="977"/>
      <c r="E734" s="977"/>
      <c r="F734" s="977"/>
      <c r="G734" s="977"/>
      <c r="H734" s="977"/>
      <c r="I734" s="977"/>
      <c r="J734" s="977"/>
      <c r="K734" s="977"/>
      <c r="L734" s="977"/>
      <c r="M734" s="977"/>
      <c r="N734" s="977"/>
      <c r="O734" s="977"/>
      <c r="P734" s="977"/>
      <c r="Q734" s="977"/>
      <c r="R734" s="977"/>
      <c r="S734" s="977"/>
      <c r="T734" s="977"/>
      <c r="U734" s="977"/>
      <c r="V734" s="977"/>
      <c r="W734" s="977"/>
      <c r="X734" s="977"/>
      <c r="Y734" s="977"/>
      <c r="Z734" s="977"/>
      <c r="AA734" s="977"/>
      <c r="AB734" s="977"/>
      <c r="AC734" s="977"/>
      <c r="AD734" s="977"/>
      <c r="AE734" s="977"/>
      <c r="AF734" s="977"/>
      <c r="AG734" s="977"/>
      <c r="AH734" s="977"/>
      <c r="AI734" s="977"/>
      <c r="AJ734" s="977"/>
      <c r="AK734" s="977"/>
      <c r="AL734" s="977"/>
      <c r="AM734" s="977"/>
      <c r="AN734" s="977"/>
      <c r="AO734" s="977"/>
      <c r="AP734" s="977"/>
      <c r="AQ734" s="977"/>
    </row>
    <row r="735" spans="1:43" ht="14.25" customHeight="1">
      <c r="A735" s="977"/>
      <c r="B735" s="977"/>
      <c r="C735" s="977"/>
      <c r="D735" s="977"/>
      <c r="E735" s="977"/>
      <c r="F735" s="977"/>
      <c r="G735" s="977"/>
      <c r="H735" s="977"/>
      <c r="I735" s="977"/>
      <c r="J735" s="977"/>
      <c r="K735" s="977"/>
      <c r="L735" s="977"/>
      <c r="M735" s="977"/>
      <c r="N735" s="977"/>
      <c r="O735" s="977"/>
      <c r="P735" s="977"/>
      <c r="Q735" s="977"/>
      <c r="R735" s="977"/>
      <c r="S735" s="977"/>
      <c r="T735" s="977"/>
      <c r="U735" s="977"/>
      <c r="V735" s="977"/>
      <c r="W735" s="977"/>
      <c r="X735" s="977"/>
      <c r="Y735" s="977"/>
      <c r="Z735" s="977"/>
      <c r="AA735" s="977"/>
      <c r="AB735" s="977"/>
      <c r="AC735" s="977"/>
      <c r="AD735" s="977"/>
      <c r="AE735" s="977"/>
      <c r="AF735" s="977"/>
      <c r="AG735" s="977"/>
      <c r="AH735" s="977"/>
      <c r="AI735" s="977"/>
      <c r="AJ735" s="977"/>
      <c r="AK735" s="977"/>
      <c r="AL735" s="977"/>
      <c r="AM735" s="977"/>
      <c r="AN735" s="977"/>
      <c r="AO735" s="977"/>
      <c r="AP735" s="977"/>
      <c r="AQ735" s="977"/>
    </row>
    <row r="736" spans="1:43" ht="14.25" customHeight="1">
      <c r="A736" s="977"/>
      <c r="B736" s="977"/>
      <c r="C736" s="977"/>
      <c r="D736" s="977"/>
      <c r="E736" s="977"/>
      <c r="F736" s="977"/>
      <c r="G736" s="977"/>
      <c r="H736" s="977"/>
      <c r="I736" s="977"/>
      <c r="J736" s="977"/>
      <c r="K736" s="977"/>
      <c r="L736" s="977"/>
      <c r="M736" s="977"/>
      <c r="N736" s="977"/>
      <c r="O736" s="977"/>
      <c r="P736" s="977"/>
      <c r="Q736" s="977"/>
      <c r="R736" s="977"/>
      <c r="S736" s="977"/>
      <c r="T736" s="977"/>
      <c r="U736" s="977"/>
      <c r="V736" s="977"/>
      <c r="W736" s="977"/>
      <c r="X736" s="977"/>
      <c r="Y736" s="977"/>
      <c r="Z736" s="977"/>
      <c r="AA736" s="977"/>
      <c r="AB736" s="977"/>
      <c r="AC736" s="977"/>
      <c r="AD736" s="977"/>
      <c r="AE736" s="977"/>
      <c r="AF736" s="977"/>
      <c r="AG736" s="977"/>
      <c r="AH736" s="977"/>
      <c r="AI736" s="977"/>
      <c r="AJ736" s="977"/>
      <c r="AK736" s="977"/>
      <c r="AL736" s="977"/>
      <c r="AM736" s="977"/>
      <c r="AN736" s="977"/>
      <c r="AO736" s="977"/>
      <c r="AP736" s="977"/>
      <c r="AQ736" s="977"/>
    </row>
    <row r="737" spans="1:43" ht="14.25" customHeight="1">
      <c r="A737" s="977"/>
      <c r="B737" s="977"/>
      <c r="C737" s="977"/>
      <c r="D737" s="977"/>
      <c r="E737" s="977"/>
      <c r="F737" s="977"/>
      <c r="G737" s="977"/>
      <c r="H737" s="977"/>
      <c r="I737" s="977"/>
      <c r="J737" s="977"/>
      <c r="K737" s="977"/>
      <c r="L737" s="977"/>
      <c r="M737" s="977"/>
      <c r="N737" s="977"/>
      <c r="O737" s="977"/>
      <c r="P737" s="977"/>
      <c r="Q737" s="977"/>
      <c r="R737" s="977"/>
      <c r="S737" s="977"/>
      <c r="T737" s="977"/>
      <c r="U737" s="977"/>
      <c r="V737" s="977"/>
      <c r="W737" s="977"/>
      <c r="X737" s="977"/>
      <c r="Y737" s="977"/>
      <c r="Z737" s="977"/>
      <c r="AA737" s="977"/>
      <c r="AB737" s="977"/>
      <c r="AC737" s="977"/>
      <c r="AD737" s="977"/>
      <c r="AE737" s="977"/>
      <c r="AF737" s="977"/>
      <c r="AG737" s="977"/>
      <c r="AH737" s="977"/>
      <c r="AI737" s="977"/>
      <c r="AJ737" s="977"/>
      <c r="AK737" s="977"/>
      <c r="AL737" s="977"/>
      <c r="AM737" s="977"/>
      <c r="AN737" s="977"/>
      <c r="AO737" s="977"/>
      <c r="AP737" s="977"/>
      <c r="AQ737" s="977"/>
    </row>
    <row r="738" spans="1:43" ht="14.25" customHeight="1">
      <c r="A738" s="977"/>
      <c r="B738" s="977"/>
      <c r="C738" s="977"/>
      <c r="D738" s="977"/>
      <c r="E738" s="977"/>
      <c r="F738" s="977"/>
      <c r="G738" s="977"/>
      <c r="H738" s="977"/>
      <c r="I738" s="977"/>
      <c r="J738" s="977"/>
      <c r="K738" s="977"/>
      <c r="L738" s="977"/>
      <c r="M738" s="977"/>
      <c r="N738" s="977"/>
      <c r="O738" s="977"/>
      <c r="P738" s="977"/>
      <c r="Q738" s="977"/>
      <c r="R738" s="977"/>
      <c r="S738" s="977"/>
      <c r="T738" s="977"/>
      <c r="U738" s="977"/>
      <c r="V738" s="977"/>
      <c r="W738" s="977"/>
      <c r="X738" s="977"/>
      <c r="Y738" s="977"/>
      <c r="Z738" s="977"/>
      <c r="AA738" s="977"/>
      <c r="AB738" s="977"/>
      <c r="AC738" s="977"/>
      <c r="AD738" s="977"/>
      <c r="AE738" s="977"/>
      <c r="AF738" s="977"/>
      <c r="AG738" s="977"/>
      <c r="AH738" s="977"/>
      <c r="AI738" s="977"/>
      <c r="AJ738" s="977"/>
      <c r="AK738" s="977"/>
      <c r="AL738" s="977"/>
      <c r="AM738" s="977"/>
      <c r="AN738" s="977"/>
      <c r="AO738" s="977"/>
      <c r="AP738" s="977"/>
      <c r="AQ738" s="977"/>
    </row>
    <row r="739" spans="1:43" ht="14.25" customHeight="1">
      <c r="A739" s="977"/>
      <c r="B739" s="977"/>
      <c r="C739" s="977"/>
      <c r="D739" s="977"/>
      <c r="E739" s="977"/>
      <c r="F739" s="977"/>
      <c r="G739" s="977"/>
      <c r="H739" s="977"/>
      <c r="I739" s="977"/>
      <c r="J739" s="977"/>
      <c r="K739" s="977"/>
      <c r="L739" s="977"/>
      <c r="M739" s="977"/>
      <c r="N739" s="977"/>
      <c r="O739" s="977"/>
      <c r="P739" s="977"/>
      <c r="Q739" s="977"/>
      <c r="R739" s="977"/>
      <c r="S739" s="977"/>
      <c r="T739" s="977"/>
      <c r="U739" s="977"/>
      <c r="V739" s="977"/>
      <c r="W739" s="977"/>
      <c r="X739" s="977"/>
      <c r="Y739" s="977"/>
      <c r="Z739" s="977"/>
      <c r="AA739" s="977"/>
      <c r="AB739" s="977"/>
      <c r="AC739" s="977"/>
      <c r="AD739" s="977"/>
      <c r="AE739" s="977"/>
      <c r="AF739" s="977"/>
      <c r="AG739" s="977"/>
      <c r="AH739" s="977"/>
      <c r="AI739" s="977"/>
      <c r="AJ739" s="977"/>
      <c r="AK739" s="977"/>
      <c r="AL739" s="977"/>
      <c r="AM739" s="977"/>
      <c r="AN739" s="977"/>
      <c r="AO739" s="977"/>
      <c r="AP739" s="977"/>
      <c r="AQ739" s="977"/>
    </row>
    <row r="740" spans="1:43" ht="14.25" customHeight="1">
      <c r="A740" s="977"/>
      <c r="B740" s="977"/>
      <c r="C740" s="977"/>
      <c r="D740" s="977"/>
      <c r="E740" s="977"/>
      <c r="F740" s="977"/>
      <c r="G740" s="977"/>
      <c r="H740" s="977"/>
      <c r="I740" s="977"/>
      <c r="J740" s="977"/>
      <c r="K740" s="977"/>
      <c r="L740" s="977"/>
      <c r="M740" s="977"/>
      <c r="N740" s="977"/>
      <c r="O740" s="977"/>
      <c r="P740" s="977"/>
      <c r="Q740" s="977"/>
      <c r="R740" s="977"/>
      <c r="S740" s="977"/>
      <c r="T740" s="977"/>
      <c r="U740" s="977"/>
      <c r="V740" s="977"/>
      <c r="W740" s="977"/>
      <c r="X740" s="977"/>
      <c r="Y740" s="977"/>
      <c r="Z740" s="977"/>
      <c r="AA740" s="977"/>
      <c r="AB740" s="977"/>
      <c r="AC740" s="977"/>
      <c r="AD740" s="977"/>
      <c r="AE740" s="977"/>
      <c r="AF740" s="977"/>
      <c r="AG740" s="977"/>
      <c r="AH740" s="977"/>
      <c r="AI740" s="977"/>
      <c r="AJ740" s="977"/>
      <c r="AK740" s="977"/>
      <c r="AL740" s="977"/>
      <c r="AM740" s="977"/>
      <c r="AN740" s="977"/>
      <c r="AO740" s="977"/>
      <c r="AP740" s="977"/>
      <c r="AQ740" s="977"/>
    </row>
    <row r="741" spans="1:43" ht="14.25" customHeight="1">
      <c r="A741" s="977"/>
      <c r="B741" s="977"/>
      <c r="C741" s="977"/>
      <c r="D741" s="977"/>
      <c r="E741" s="977"/>
      <c r="F741" s="977"/>
      <c r="G741" s="977"/>
      <c r="H741" s="977"/>
      <c r="I741" s="977"/>
      <c r="J741" s="977"/>
      <c r="K741" s="977"/>
      <c r="L741" s="977"/>
      <c r="M741" s="977"/>
      <c r="N741" s="977"/>
      <c r="O741" s="977"/>
      <c r="P741" s="977"/>
      <c r="Q741" s="977"/>
      <c r="R741" s="977"/>
      <c r="S741" s="977"/>
      <c r="T741" s="977"/>
      <c r="U741" s="977"/>
      <c r="V741" s="977"/>
      <c r="W741" s="977"/>
      <c r="X741" s="977"/>
      <c r="Y741" s="977"/>
      <c r="Z741" s="977"/>
      <c r="AA741" s="977"/>
      <c r="AB741" s="977"/>
      <c r="AC741" s="977"/>
      <c r="AD741" s="977"/>
      <c r="AE741" s="977"/>
      <c r="AF741" s="977"/>
      <c r="AG741" s="977"/>
      <c r="AH741" s="977"/>
      <c r="AI741" s="977"/>
      <c r="AJ741" s="977"/>
      <c r="AK741" s="977"/>
      <c r="AL741" s="977"/>
      <c r="AM741" s="977"/>
      <c r="AN741" s="977"/>
      <c r="AO741" s="977"/>
      <c r="AP741" s="977"/>
      <c r="AQ741" s="977"/>
    </row>
    <row r="742" spans="1:43" ht="14.25" customHeight="1">
      <c r="A742" s="977"/>
      <c r="B742" s="977"/>
      <c r="C742" s="977"/>
      <c r="D742" s="977"/>
      <c r="E742" s="977"/>
      <c r="F742" s="977"/>
      <c r="G742" s="977"/>
      <c r="H742" s="977"/>
      <c r="I742" s="977"/>
      <c r="J742" s="977"/>
      <c r="K742" s="977"/>
      <c r="L742" s="977"/>
      <c r="M742" s="977"/>
      <c r="N742" s="977"/>
      <c r="O742" s="977"/>
      <c r="P742" s="977"/>
      <c r="Q742" s="977"/>
      <c r="R742" s="977"/>
      <c r="S742" s="977"/>
      <c r="T742" s="977"/>
      <c r="U742" s="977"/>
      <c r="V742" s="977"/>
      <c r="W742" s="977"/>
      <c r="X742" s="977"/>
      <c r="Y742" s="977"/>
      <c r="Z742" s="977"/>
      <c r="AA742" s="977"/>
      <c r="AB742" s="977"/>
      <c r="AC742" s="977"/>
      <c r="AD742" s="977"/>
      <c r="AE742" s="977"/>
      <c r="AF742" s="977"/>
      <c r="AG742" s="977"/>
      <c r="AH742" s="977"/>
      <c r="AI742" s="977"/>
      <c r="AJ742" s="977"/>
      <c r="AK742" s="977"/>
      <c r="AL742" s="977"/>
      <c r="AM742" s="977"/>
      <c r="AN742" s="977"/>
      <c r="AO742" s="977"/>
      <c r="AP742" s="977"/>
      <c r="AQ742" s="977"/>
    </row>
    <row r="743" spans="1:43" ht="14.25" customHeight="1">
      <c r="A743" s="977"/>
      <c r="B743" s="977"/>
      <c r="C743" s="977"/>
      <c r="D743" s="977"/>
      <c r="E743" s="977"/>
      <c r="F743" s="977"/>
      <c r="G743" s="977"/>
      <c r="H743" s="977"/>
      <c r="I743" s="977"/>
      <c r="J743" s="977"/>
      <c r="K743" s="977"/>
      <c r="L743" s="977"/>
      <c r="M743" s="977"/>
      <c r="N743" s="977"/>
      <c r="O743" s="977"/>
      <c r="P743" s="977"/>
      <c r="Q743" s="977"/>
      <c r="R743" s="977"/>
      <c r="S743" s="977"/>
      <c r="T743" s="977"/>
      <c r="U743" s="977"/>
      <c r="V743" s="977"/>
      <c r="W743" s="977"/>
      <c r="X743" s="977"/>
      <c r="Y743" s="977"/>
      <c r="Z743" s="977"/>
      <c r="AA743" s="977"/>
      <c r="AB743" s="977"/>
      <c r="AC743" s="977"/>
      <c r="AD743" s="977"/>
      <c r="AE743" s="977"/>
      <c r="AF743" s="977"/>
      <c r="AG743" s="977"/>
      <c r="AH743" s="977"/>
      <c r="AI743" s="977"/>
      <c r="AJ743" s="977"/>
      <c r="AK743" s="977"/>
      <c r="AL743" s="977"/>
      <c r="AM743" s="977"/>
      <c r="AN743" s="977"/>
      <c r="AO743" s="977"/>
      <c r="AP743" s="977"/>
      <c r="AQ743" s="977"/>
    </row>
    <row r="744" spans="1:43" ht="14.25" customHeight="1">
      <c r="A744" s="977"/>
      <c r="B744" s="977"/>
      <c r="C744" s="977"/>
      <c r="D744" s="977"/>
      <c r="E744" s="977"/>
      <c r="F744" s="977"/>
      <c r="G744" s="977"/>
      <c r="H744" s="977"/>
      <c r="I744" s="977"/>
      <c r="J744" s="977"/>
      <c r="K744" s="977"/>
      <c r="L744" s="977"/>
      <c r="M744" s="977"/>
      <c r="N744" s="977"/>
      <c r="O744" s="977"/>
      <c r="P744" s="977"/>
      <c r="Q744" s="977"/>
      <c r="R744" s="977"/>
      <c r="S744" s="977"/>
      <c r="T744" s="977"/>
      <c r="U744" s="977"/>
      <c r="V744" s="977"/>
      <c r="W744" s="977"/>
      <c r="X744" s="977"/>
      <c r="Y744" s="977"/>
      <c r="Z744" s="977"/>
      <c r="AA744" s="977"/>
      <c r="AB744" s="977"/>
      <c r="AC744" s="977"/>
      <c r="AD744" s="977"/>
      <c r="AE744" s="977"/>
      <c r="AF744" s="977"/>
      <c r="AG744" s="977"/>
      <c r="AH744" s="977"/>
      <c r="AI744" s="977"/>
      <c r="AJ744" s="977"/>
      <c r="AK744" s="977"/>
      <c r="AL744" s="977"/>
      <c r="AM744" s="977"/>
      <c r="AN744" s="977"/>
      <c r="AO744" s="977"/>
      <c r="AP744" s="977"/>
      <c r="AQ744" s="977"/>
    </row>
    <row r="745" spans="1:43" ht="14.25" customHeight="1">
      <c r="A745" s="977"/>
      <c r="B745" s="977"/>
      <c r="C745" s="977"/>
      <c r="D745" s="977"/>
      <c r="E745" s="977"/>
      <c r="F745" s="977"/>
      <c r="G745" s="977"/>
      <c r="H745" s="977"/>
      <c r="I745" s="977"/>
      <c r="J745" s="977"/>
      <c r="K745" s="977"/>
      <c r="L745" s="977"/>
      <c r="M745" s="977"/>
      <c r="N745" s="977"/>
      <c r="O745" s="977"/>
      <c r="P745" s="977"/>
      <c r="Q745" s="977"/>
      <c r="R745" s="977"/>
      <c r="S745" s="977"/>
      <c r="T745" s="977"/>
      <c r="U745" s="977"/>
      <c r="V745" s="977"/>
      <c r="W745" s="977"/>
      <c r="X745" s="977"/>
      <c r="Y745" s="977"/>
      <c r="Z745" s="977"/>
      <c r="AA745" s="977"/>
      <c r="AB745" s="977"/>
      <c r="AC745" s="977"/>
      <c r="AD745" s="977"/>
      <c r="AE745" s="977"/>
      <c r="AF745" s="977"/>
      <c r="AG745" s="977"/>
      <c r="AH745" s="977"/>
      <c r="AI745" s="977"/>
      <c r="AJ745" s="977"/>
      <c r="AK745" s="977"/>
      <c r="AL745" s="977"/>
      <c r="AM745" s="977"/>
      <c r="AN745" s="977"/>
      <c r="AO745" s="977"/>
      <c r="AP745" s="977"/>
      <c r="AQ745" s="977"/>
    </row>
    <row r="746" spans="1:43" ht="14.25" customHeight="1">
      <c r="A746" s="977"/>
      <c r="B746" s="977"/>
      <c r="C746" s="977"/>
      <c r="D746" s="977"/>
      <c r="E746" s="977"/>
      <c r="F746" s="977"/>
      <c r="G746" s="977"/>
      <c r="H746" s="977"/>
      <c r="I746" s="977"/>
      <c r="J746" s="977"/>
      <c r="K746" s="977"/>
      <c r="L746" s="977"/>
      <c r="M746" s="977"/>
      <c r="N746" s="977"/>
      <c r="O746" s="977"/>
      <c r="P746" s="977"/>
      <c r="Q746" s="977"/>
      <c r="R746" s="977"/>
      <c r="S746" s="977"/>
      <c r="T746" s="977"/>
      <c r="U746" s="977"/>
      <c r="V746" s="977"/>
      <c r="W746" s="977"/>
      <c r="X746" s="977"/>
      <c r="Y746" s="977"/>
      <c r="Z746" s="977"/>
      <c r="AA746" s="977"/>
      <c r="AB746" s="977"/>
      <c r="AC746" s="977"/>
      <c r="AD746" s="977"/>
      <c r="AE746" s="977"/>
      <c r="AF746" s="977"/>
      <c r="AG746" s="977"/>
      <c r="AH746" s="977"/>
      <c r="AI746" s="977"/>
      <c r="AJ746" s="977"/>
      <c r="AK746" s="977"/>
      <c r="AL746" s="977"/>
      <c r="AM746" s="977"/>
      <c r="AN746" s="977"/>
      <c r="AO746" s="977"/>
      <c r="AP746" s="977"/>
      <c r="AQ746" s="977"/>
    </row>
    <row r="747" spans="1:43" ht="14.25" customHeight="1">
      <c r="A747" s="977"/>
      <c r="B747" s="977"/>
      <c r="C747" s="977"/>
      <c r="D747" s="977"/>
      <c r="E747" s="977"/>
      <c r="F747" s="977"/>
      <c r="G747" s="977"/>
      <c r="H747" s="977"/>
      <c r="I747" s="977"/>
      <c r="J747" s="977"/>
      <c r="K747" s="977"/>
      <c r="L747" s="977"/>
      <c r="M747" s="977"/>
      <c r="N747" s="977"/>
      <c r="O747" s="977"/>
      <c r="P747" s="977"/>
      <c r="Q747" s="977"/>
      <c r="R747" s="977"/>
      <c r="S747" s="977"/>
      <c r="T747" s="977"/>
      <c r="U747" s="977"/>
      <c r="V747" s="977"/>
      <c r="W747" s="977"/>
      <c r="X747" s="977"/>
      <c r="Y747" s="977"/>
      <c r="Z747" s="977"/>
      <c r="AA747" s="977"/>
      <c r="AB747" s="977"/>
      <c r="AC747" s="977"/>
      <c r="AD747" s="977"/>
      <c r="AE747" s="977"/>
      <c r="AF747" s="977"/>
      <c r="AG747" s="977"/>
      <c r="AH747" s="977"/>
      <c r="AI747" s="977"/>
      <c r="AJ747" s="977"/>
      <c r="AK747" s="977"/>
      <c r="AL747" s="977"/>
      <c r="AM747" s="977"/>
      <c r="AN747" s="977"/>
      <c r="AO747" s="977"/>
      <c r="AP747" s="977"/>
      <c r="AQ747" s="977"/>
    </row>
    <row r="748" spans="1:43" ht="14.25" customHeight="1">
      <c r="A748" s="977"/>
      <c r="B748" s="977"/>
      <c r="C748" s="977"/>
      <c r="D748" s="977"/>
      <c r="E748" s="977"/>
      <c r="F748" s="977"/>
      <c r="G748" s="977"/>
      <c r="H748" s="977"/>
      <c r="I748" s="977"/>
      <c r="J748" s="977"/>
      <c r="K748" s="977"/>
      <c r="L748" s="977"/>
      <c r="M748" s="977"/>
      <c r="N748" s="977"/>
      <c r="O748" s="977"/>
      <c r="P748" s="977"/>
      <c r="Q748" s="977"/>
      <c r="R748" s="977"/>
      <c r="S748" s="977"/>
      <c r="T748" s="977"/>
      <c r="U748" s="977"/>
      <c r="V748" s="977"/>
      <c r="W748" s="977"/>
      <c r="X748" s="977"/>
      <c r="Y748" s="977"/>
      <c r="Z748" s="977"/>
      <c r="AA748" s="977"/>
      <c r="AB748" s="977"/>
      <c r="AC748" s="977"/>
      <c r="AD748" s="977"/>
      <c r="AE748" s="977"/>
      <c r="AF748" s="977"/>
      <c r="AG748" s="977"/>
      <c r="AH748" s="977"/>
      <c r="AI748" s="977"/>
      <c r="AJ748" s="977"/>
      <c r="AK748" s="977"/>
      <c r="AL748" s="977"/>
      <c r="AM748" s="977"/>
      <c r="AN748" s="977"/>
      <c r="AO748" s="977"/>
      <c r="AP748" s="977"/>
      <c r="AQ748" s="977"/>
    </row>
    <row r="749" spans="1:43" ht="14.25" customHeight="1">
      <c r="A749" s="977"/>
      <c r="B749" s="977"/>
      <c r="C749" s="977"/>
      <c r="D749" s="977"/>
      <c r="E749" s="977"/>
      <c r="F749" s="977"/>
      <c r="G749" s="977"/>
      <c r="H749" s="977"/>
      <c r="I749" s="977"/>
      <c r="J749" s="977"/>
      <c r="K749" s="977"/>
      <c r="L749" s="977"/>
      <c r="M749" s="977"/>
      <c r="N749" s="977"/>
      <c r="O749" s="977"/>
      <c r="P749" s="977"/>
      <c r="Q749" s="977"/>
      <c r="R749" s="977"/>
      <c r="S749" s="977"/>
      <c r="T749" s="977"/>
      <c r="U749" s="977"/>
      <c r="V749" s="977"/>
      <c r="W749" s="977"/>
      <c r="X749" s="977"/>
      <c r="Y749" s="977"/>
      <c r="Z749" s="977"/>
      <c r="AA749" s="977"/>
      <c r="AB749" s="977"/>
      <c r="AC749" s="977"/>
      <c r="AD749" s="977"/>
      <c r="AE749" s="977"/>
      <c r="AF749" s="977"/>
      <c r="AG749" s="977"/>
      <c r="AH749" s="977"/>
      <c r="AI749" s="977"/>
      <c r="AJ749" s="977"/>
      <c r="AK749" s="977"/>
      <c r="AL749" s="977"/>
      <c r="AM749" s="977"/>
      <c r="AN749" s="977"/>
      <c r="AO749" s="977"/>
      <c r="AP749" s="977"/>
      <c r="AQ749" s="977"/>
    </row>
    <row r="750" spans="1:43" ht="14.25" customHeight="1">
      <c r="A750" s="977"/>
      <c r="B750" s="977"/>
      <c r="C750" s="977"/>
      <c r="D750" s="977"/>
      <c r="E750" s="977"/>
      <c r="F750" s="977"/>
      <c r="G750" s="977"/>
      <c r="H750" s="977"/>
      <c r="I750" s="977"/>
      <c r="J750" s="977"/>
      <c r="K750" s="977"/>
      <c r="L750" s="977"/>
      <c r="M750" s="977"/>
      <c r="N750" s="977"/>
      <c r="O750" s="977"/>
      <c r="P750" s="977"/>
      <c r="Q750" s="977"/>
      <c r="R750" s="977"/>
      <c r="S750" s="977"/>
      <c r="T750" s="977"/>
      <c r="U750" s="977"/>
      <c r="V750" s="977"/>
      <c r="W750" s="977"/>
      <c r="X750" s="977"/>
      <c r="Y750" s="977"/>
      <c r="Z750" s="977"/>
      <c r="AA750" s="977"/>
      <c r="AB750" s="977"/>
      <c r="AC750" s="977"/>
      <c r="AD750" s="977"/>
      <c r="AE750" s="977"/>
      <c r="AF750" s="977"/>
      <c r="AG750" s="977"/>
      <c r="AH750" s="977"/>
      <c r="AI750" s="977"/>
      <c r="AJ750" s="977"/>
      <c r="AK750" s="977"/>
      <c r="AL750" s="977"/>
      <c r="AM750" s="977"/>
      <c r="AN750" s="977"/>
      <c r="AO750" s="977"/>
      <c r="AP750" s="977"/>
      <c r="AQ750" s="977"/>
    </row>
    <row r="751" spans="1:43" ht="14.25" customHeight="1">
      <c r="A751" s="977"/>
      <c r="B751" s="977"/>
      <c r="C751" s="977"/>
      <c r="D751" s="977"/>
      <c r="E751" s="977"/>
      <c r="F751" s="977"/>
      <c r="G751" s="977"/>
      <c r="H751" s="977"/>
      <c r="I751" s="977"/>
      <c r="J751" s="977"/>
      <c r="K751" s="977"/>
      <c r="L751" s="977"/>
      <c r="M751" s="977"/>
      <c r="N751" s="977"/>
      <c r="O751" s="977"/>
      <c r="P751" s="977"/>
      <c r="Q751" s="977"/>
      <c r="R751" s="977"/>
      <c r="S751" s="977"/>
      <c r="T751" s="977"/>
      <c r="U751" s="977"/>
      <c r="V751" s="977"/>
      <c r="W751" s="977"/>
      <c r="X751" s="977"/>
      <c r="Y751" s="977"/>
      <c r="Z751" s="977"/>
      <c r="AA751" s="977"/>
      <c r="AB751" s="977"/>
      <c r="AC751" s="977"/>
      <c r="AD751" s="977"/>
      <c r="AE751" s="977"/>
      <c r="AF751" s="977"/>
      <c r="AG751" s="977"/>
      <c r="AH751" s="977"/>
      <c r="AI751" s="977"/>
      <c r="AJ751" s="977"/>
      <c r="AK751" s="977"/>
      <c r="AL751" s="977"/>
      <c r="AM751" s="977"/>
      <c r="AN751" s="977"/>
      <c r="AO751" s="977"/>
      <c r="AP751" s="977"/>
      <c r="AQ751" s="977"/>
    </row>
    <row r="752" spans="1:43" ht="14.25" customHeight="1">
      <c r="A752" s="977"/>
      <c r="B752" s="977"/>
      <c r="C752" s="977"/>
      <c r="D752" s="977"/>
      <c r="E752" s="977"/>
      <c r="F752" s="977"/>
      <c r="G752" s="977"/>
      <c r="H752" s="977"/>
      <c r="I752" s="977"/>
      <c r="J752" s="977"/>
      <c r="K752" s="977"/>
      <c r="L752" s="977"/>
      <c r="M752" s="977"/>
      <c r="N752" s="977"/>
      <c r="O752" s="977"/>
      <c r="P752" s="977"/>
      <c r="Q752" s="977"/>
      <c r="R752" s="977"/>
      <c r="S752" s="977"/>
      <c r="T752" s="977"/>
      <c r="U752" s="977"/>
      <c r="V752" s="977"/>
      <c r="W752" s="977"/>
      <c r="X752" s="977"/>
      <c r="Y752" s="977"/>
      <c r="Z752" s="977"/>
      <c r="AA752" s="977"/>
      <c r="AB752" s="977"/>
      <c r="AC752" s="977"/>
      <c r="AD752" s="977"/>
      <c r="AE752" s="977"/>
      <c r="AF752" s="977"/>
      <c r="AG752" s="977"/>
      <c r="AH752" s="977"/>
      <c r="AI752" s="977"/>
      <c r="AJ752" s="977"/>
      <c r="AK752" s="977"/>
      <c r="AL752" s="977"/>
      <c r="AM752" s="977"/>
      <c r="AN752" s="977"/>
      <c r="AO752" s="977"/>
      <c r="AP752" s="977"/>
      <c r="AQ752" s="977"/>
    </row>
    <row r="753" spans="1:43" ht="14.25" customHeight="1">
      <c r="A753" s="977"/>
      <c r="B753" s="977"/>
      <c r="C753" s="977"/>
      <c r="D753" s="977"/>
      <c r="E753" s="977"/>
      <c r="F753" s="977"/>
      <c r="G753" s="977"/>
      <c r="H753" s="977"/>
      <c r="I753" s="977"/>
      <c r="J753" s="977"/>
      <c r="K753" s="977"/>
      <c r="L753" s="977"/>
      <c r="M753" s="977"/>
      <c r="N753" s="977"/>
      <c r="O753" s="977"/>
      <c r="P753" s="977"/>
      <c r="Q753" s="977"/>
      <c r="R753" s="977"/>
      <c r="S753" s="977"/>
      <c r="T753" s="977"/>
      <c r="U753" s="977"/>
      <c r="V753" s="977"/>
      <c r="W753" s="977"/>
      <c r="X753" s="977"/>
      <c r="Y753" s="977"/>
      <c r="Z753" s="977"/>
      <c r="AA753" s="977"/>
      <c r="AB753" s="977"/>
      <c r="AC753" s="977"/>
      <c r="AD753" s="977"/>
      <c r="AE753" s="977"/>
      <c r="AF753" s="977"/>
      <c r="AG753" s="977"/>
      <c r="AH753" s="977"/>
      <c r="AI753" s="977"/>
      <c r="AJ753" s="977"/>
      <c r="AK753" s="977"/>
      <c r="AL753" s="977"/>
      <c r="AM753" s="977"/>
      <c r="AN753" s="977"/>
      <c r="AO753" s="977"/>
      <c r="AP753" s="977"/>
      <c r="AQ753" s="977"/>
    </row>
    <row r="754" spans="1:43" ht="14.25" customHeight="1">
      <c r="A754" s="977"/>
      <c r="B754" s="977"/>
      <c r="C754" s="977"/>
      <c r="D754" s="977"/>
      <c r="E754" s="977"/>
      <c r="F754" s="977"/>
      <c r="G754" s="977"/>
      <c r="H754" s="977"/>
      <c r="I754" s="977"/>
      <c r="J754" s="977"/>
      <c r="K754" s="977"/>
      <c r="L754" s="977"/>
      <c r="M754" s="977"/>
      <c r="N754" s="977"/>
      <c r="O754" s="977"/>
      <c r="P754" s="977"/>
      <c r="Q754" s="977"/>
      <c r="R754" s="977"/>
      <c r="S754" s="977"/>
      <c r="T754" s="977"/>
      <c r="U754" s="977"/>
      <c r="V754" s="977"/>
      <c r="W754" s="977"/>
      <c r="X754" s="977"/>
      <c r="Y754" s="977"/>
      <c r="Z754" s="977"/>
      <c r="AA754" s="977"/>
      <c r="AB754" s="977"/>
      <c r="AC754" s="977"/>
      <c r="AD754" s="977"/>
      <c r="AE754" s="977"/>
      <c r="AF754" s="977"/>
      <c r="AG754" s="977"/>
      <c r="AH754" s="977"/>
      <c r="AI754" s="977"/>
      <c r="AJ754" s="977"/>
      <c r="AK754" s="977"/>
      <c r="AL754" s="977"/>
      <c r="AM754" s="977"/>
      <c r="AN754" s="977"/>
      <c r="AO754" s="977"/>
      <c r="AP754" s="977"/>
      <c r="AQ754" s="977"/>
    </row>
    <row r="755" spans="1:43" ht="14.25" customHeight="1">
      <c r="A755" s="977"/>
      <c r="B755" s="977"/>
      <c r="C755" s="977"/>
      <c r="D755" s="977"/>
      <c r="E755" s="977"/>
      <c r="F755" s="977"/>
      <c r="G755" s="977"/>
      <c r="H755" s="977"/>
      <c r="I755" s="977"/>
      <c r="J755" s="977"/>
      <c r="K755" s="977"/>
      <c r="L755" s="977"/>
      <c r="M755" s="977"/>
      <c r="N755" s="977"/>
      <c r="O755" s="977"/>
      <c r="P755" s="977"/>
      <c r="Q755" s="977"/>
      <c r="R755" s="977"/>
      <c r="S755" s="977"/>
      <c r="T755" s="977"/>
      <c r="U755" s="977"/>
      <c r="V755" s="977"/>
      <c r="W755" s="977"/>
      <c r="X755" s="977"/>
      <c r="Y755" s="977"/>
      <c r="Z755" s="977"/>
      <c r="AA755" s="977"/>
      <c r="AB755" s="977"/>
      <c r="AC755" s="977"/>
      <c r="AD755" s="977"/>
      <c r="AE755" s="977"/>
      <c r="AF755" s="977"/>
      <c r="AG755" s="977"/>
      <c r="AH755" s="977"/>
      <c r="AI755" s="977"/>
      <c r="AJ755" s="977"/>
      <c r="AK755" s="977"/>
      <c r="AL755" s="977"/>
      <c r="AM755" s="977"/>
      <c r="AN755" s="977"/>
      <c r="AO755" s="977"/>
      <c r="AP755" s="977"/>
      <c r="AQ755" s="977"/>
    </row>
    <row r="756" spans="1:43" ht="14.25" customHeight="1">
      <c r="A756" s="977"/>
      <c r="B756" s="977"/>
      <c r="C756" s="977"/>
      <c r="D756" s="977"/>
      <c r="E756" s="977"/>
      <c r="F756" s="977"/>
      <c r="G756" s="977"/>
      <c r="H756" s="977"/>
      <c r="I756" s="977"/>
      <c r="J756" s="977"/>
      <c r="K756" s="977"/>
      <c r="L756" s="977"/>
      <c r="M756" s="977"/>
      <c r="N756" s="977"/>
      <c r="O756" s="977"/>
      <c r="P756" s="977"/>
      <c r="Q756" s="977"/>
      <c r="R756" s="977"/>
      <c r="S756" s="977"/>
      <c r="T756" s="977"/>
      <c r="U756" s="977"/>
      <c r="V756" s="977"/>
      <c r="W756" s="977"/>
      <c r="X756" s="977"/>
      <c r="Y756" s="977"/>
      <c r="Z756" s="977"/>
      <c r="AA756" s="977"/>
      <c r="AB756" s="977"/>
      <c r="AC756" s="977"/>
      <c r="AD756" s="977"/>
      <c r="AE756" s="977"/>
      <c r="AF756" s="977"/>
      <c r="AG756" s="977"/>
      <c r="AH756" s="977"/>
      <c r="AI756" s="977"/>
      <c r="AJ756" s="977"/>
      <c r="AK756" s="977"/>
      <c r="AL756" s="977"/>
      <c r="AM756" s="977"/>
      <c r="AN756" s="977"/>
      <c r="AO756" s="977"/>
      <c r="AP756" s="977"/>
      <c r="AQ756" s="977"/>
    </row>
    <row r="757" spans="1:43" ht="14.25" customHeight="1">
      <c r="A757" s="977"/>
      <c r="B757" s="977"/>
      <c r="C757" s="977"/>
      <c r="D757" s="977"/>
      <c r="E757" s="977"/>
      <c r="F757" s="977"/>
      <c r="G757" s="977"/>
      <c r="H757" s="977"/>
      <c r="I757" s="977"/>
      <c r="J757" s="977"/>
      <c r="K757" s="977"/>
      <c r="L757" s="977"/>
      <c r="M757" s="977"/>
      <c r="N757" s="977"/>
      <c r="O757" s="977"/>
      <c r="P757" s="977"/>
      <c r="Q757" s="977"/>
      <c r="R757" s="977"/>
      <c r="S757" s="977"/>
      <c r="T757" s="977"/>
      <c r="U757" s="977"/>
      <c r="V757" s="977"/>
      <c r="W757" s="977"/>
      <c r="X757" s="977"/>
      <c r="Y757" s="977"/>
      <c r="Z757" s="977"/>
      <c r="AA757" s="977"/>
      <c r="AB757" s="977"/>
      <c r="AC757" s="977"/>
      <c r="AD757" s="977"/>
      <c r="AE757" s="977"/>
      <c r="AF757" s="977"/>
      <c r="AG757" s="977"/>
      <c r="AH757" s="977"/>
      <c r="AI757" s="977"/>
      <c r="AJ757" s="977"/>
      <c r="AK757" s="977"/>
      <c r="AL757" s="977"/>
      <c r="AM757" s="977"/>
      <c r="AN757" s="977"/>
      <c r="AO757" s="977"/>
      <c r="AP757" s="977"/>
      <c r="AQ757" s="977"/>
    </row>
    <row r="758" spans="1:43" ht="14.25" customHeight="1">
      <c r="A758" s="977"/>
      <c r="B758" s="977"/>
      <c r="C758" s="977"/>
      <c r="D758" s="977"/>
      <c r="E758" s="977"/>
      <c r="F758" s="977"/>
      <c r="G758" s="977"/>
      <c r="H758" s="977"/>
      <c r="I758" s="977"/>
      <c r="J758" s="977"/>
      <c r="K758" s="977"/>
      <c r="L758" s="977"/>
      <c r="M758" s="977"/>
      <c r="N758" s="977"/>
      <c r="O758" s="977"/>
      <c r="P758" s="977"/>
      <c r="Q758" s="977"/>
      <c r="R758" s="977"/>
      <c r="S758" s="977"/>
      <c r="T758" s="977"/>
      <c r="U758" s="977"/>
      <c r="V758" s="977"/>
      <c r="W758" s="977"/>
      <c r="X758" s="977"/>
      <c r="Y758" s="977"/>
      <c r="Z758" s="977"/>
      <c r="AA758" s="977"/>
      <c r="AB758" s="977"/>
      <c r="AC758" s="977"/>
      <c r="AD758" s="977"/>
      <c r="AE758" s="977"/>
      <c r="AF758" s="977"/>
      <c r="AG758" s="977"/>
      <c r="AH758" s="977"/>
      <c r="AI758" s="977"/>
      <c r="AJ758" s="977"/>
      <c r="AK758" s="977"/>
      <c r="AL758" s="977"/>
      <c r="AM758" s="977"/>
      <c r="AN758" s="977"/>
      <c r="AO758" s="977"/>
      <c r="AP758" s="977"/>
      <c r="AQ758" s="977"/>
    </row>
    <row r="759" spans="1:43" ht="14.25" customHeight="1">
      <c r="A759" s="977"/>
      <c r="B759" s="977"/>
      <c r="C759" s="977"/>
      <c r="D759" s="977"/>
      <c r="E759" s="977"/>
      <c r="F759" s="977"/>
      <c r="G759" s="977"/>
      <c r="H759" s="977"/>
      <c r="I759" s="977"/>
      <c r="J759" s="977"/>
      <c r="K759" s="977"/>
      <c r="L759" s="977"/>
      <c r="M759" s="977"/>
      <c r="N759" s="977"/>
      <c r="O759" s="977"/>
      <c r="P759" s="977"/>
      <c r="Q759" s="977"/>
      <c r="R759" s="977"/>
      <c r="S759" s="977"/>
      <c r="T759" s="977"/>
      <c r="U759" s="977"/>
      <c r="V759" s="977"/>
      <c r="W759" s="977"/>
      <c r="X759" s="977"/>
      <c r="Y759" s="977"/>
      <c r="Z759" s="977"/>
      <c r="AA759" s="977"/>
      <c r="AB759" s="977"/>
      <c r="AC759" s="977"/>
      <c r="AD759" s="977"/>
      <c r="AE759" s="977"/>
      <c r="AF759" s="977"/>
      <c r="AG759" s="977"/>
      <c r="AH759" s="977"/>
      <c r="AI759" s="977"/>
      <c r="AJ759" s="977"/>
      <c r="AK759" s="977"/>
      <c r="AL759" s="977"/>
      <c r="AM759" s="977"/>
      <c r="AN759" s="977"/>
      <c r="AO759" s="977"/>
      <c r="AP759" s="977"/>
      <c r="AQ759" s="977"/>
    </row>
    <row r="760" spans="1:43" ht="14.25" customHeight="1">
      <c r="A760" s="977"/>
      <c r="B760" s="977"/>
      <c r="C760" s="977"/>
      <c r="D760" s="977"/>
      <c r="E760" s="977"/>
      <c r="F760" s="977"/>
      <c r="G760" s="977"/>
      <c r="H760" s="977"/>
      <c r="I760" s="977"/>
      <c r="J760" s="977"/>
      <c r="K760" s="977"/>
      <c r="L760" s="977"/>
      <c r="M760" s="977"/>
      <c r="N760" s="977"/>
      <c r="O760" s="977"/>
      <c r="P760" s="977"/>
      <c r="Q760" s="977"/>
      <c r="R760" s="977"/>
      <c r="S760" s="977"/>
      <c r="T760" s="977"/>
      <c r="U760" s="977"/>
      <c r="V760" s="977"/>
      <c r="W760" s="977"/>
      <c r="X760" s="977"/>
      <c r="Y760" s="977"/>
      <c r="Z760" s="977"/>
      <c r="AA760" s="977"/>
      <c r="AB760" s="977"/>
      <c r="AC760" s="977"/>
      <c r="AD760" s="977"/>
      <c r="AE760" s="977"/>
      <c r="AF760" s="977"/>
      <c r="AG760" s="977"/>
      <c r="AH760" s="977"/>
      <c r="AI760" s="977"/>
      <c r="AJ760" s="977"/>
      <c r="AK760" s="977"/>
      <c r="AL760" s="977"/>
      <c r="AM760" s="977"/>
      <c r="AN760" s="977"/>
      <c r="AO760" s="977"/>
      <c r="AP760" s="977"/>
      <c r="AQ760" s="977"/>
    </row>
    <row r="761" spans="1:43" ht="14.25" customHeight="1">
      <c r="A761" s="977"/>
      <c r="B761" s="977"/>
      <c r="C761" s="977"/>
      <c r="D761" s="977"/>
      <c r="E761" s="977"/>
      <c r="F761" s="977"/>
      <c r="G761" s="977"/>
      <c r="H761" s="977"/>
      <c r="I761" s="977"/>
      <c r="J761" s="977"/>
      <c r="K761" s="977"/>
      <c r="L761" s="977"/>
      <c r="M761" s="977"/>
      <c r="N761" s="977"/>
      <c r="O761" s="977"/>
      <c r="P761" s="977"/>
      <c r="Q761" s="977"/>
      <c r="R761" s="977"/>
      <c r="S761" s="977"/>
      <c r="T761" s="977"/>
      <c r="U761" s="977"/>
      <c r="V761" s="977"/>
      <c r="W761" s="977"/>
      <c r="X761" s="977"/>
      <c r="Y761" s="977"/>
      <c r="Z761" s="977"/>
      <c r="AA761" s="977"/>
      <c r="AB761" s="977"/>
      <c r="AC761" s="977"/>
      <c r="AD761" s="977"/>
      <c r="AE761" s="977"/>
      <c r="AF761" s="977"/>
      <c r="AG761" s="977"/>
      <c r="AH761" s="977"/>
      <c r="AI761" s="977"/>
      <c r="AJ761" s="977"/>
      <c r="AK761" s="977"/>
      <c r="AL761" s="977"/>
      <c r="AM761" s="977"/>
      <c r="AN761" s="977"/>
      <c r="AO761" s="977"/>
      <c r="AP761" s="977"/>
      <c r="AQ761" s="977"/>
    </row>
    <row r="762" spans="1:43" ht="14.25" customHeight="1">
      <c r="A762" s="977"/>
      <c r="B762" s="977"/>
      <c r="C762" s="977"/>
      <c r="D762" s="977"/>
      <c r="E762" s="977"/>
      <c r="F762" s="977"/>
      <c r="G762" s="977"/>
      <c r="H762" s="977"/>
      <c r="I762" s="977"/>
      <c r="J762" s="977"/>
      <c r="K762" s="977"/>
      <c r="L762" s="977"/>
      <c r="M762" s="977"/>
      <c r="N762" s="977"/>
      <c r="O762" s="977"/>
      <c r="P762" s="977"/>
      <c r="Q762" s="977"/>
      <c r="R762" s="977"/>
      <c r="S762" s="977"/>
      <c r="T762" s="977"/>
      <c r="U762" s="977"/>
      <c r="V762" s="977"/>
      <c r="W762" s="977"/>
      <c r="X762" s="977"/>
      <c r="Y762" s="977"/>
      <c r="Z762" s="977"/>
      <c r="AA762" s="977"/>
      <c r="AB762" s="977"/>
      <c r="AC762" s="977"/>
      <c r="AD762" s="977"/>
      <c r="AE762" s="977"/>
      <c r="AF762" s="977"/>
      <c r="AG762" s="977"/>
      <c r="AH762" s="977"/>
      <c r="AI762" s="977"/>
      <c r="AJ762" s="977"/>
      <c r="AK762" s="977"/>
      <c r="AL762" s="977"/>
      <c r="AM762" s="977"/>
      <c r="AN762" s="977"/>
      <c r="AO762" s="977"/>
      <c r="AP762" s="977"/>
      <c r="AQ762" s="977"/>
    </row>
    <row r="763" spans="1:43" ht="14.25" customHeight="1">
      <c r="A763" s="977"/>
      <c r="B763" s="977"/>
      <c r="C763" s="977"/>
      <c r="D763" s="977"/>
      <c r="E763" s="977"/>
      <c r="F763" s="977"/>
      <c r="G763" s="977"/>
      <c r="H763" s="977"/>
      <c r="I763" s="977"/>
      <c r="J763" s="977"/>
      <c r="K763" s="977"/>
      <c r="L763" s="977"/>
      <c r="M763" s="977"/>
      <c r="N763" s="977"/>
      <c r="O763" s="977"/>
      <c r="P763" s="977"/>
      <c r="Q763" s="977"/>
      <c r="R763" s="977"/>
      <c r="S763" s="977"/>
      <c r="T763" s="977"/>
      <c r="U763" s="977"/>
      <c r="V763" s="977"/>
      <c r="W763" s="977"/>
      <c r="X763" s="977"/>
      <c r="Y763" s="977"/>
      <c r="Z763" s="977"/>
      <c r="AA763" s="977"/>
      <c r="AB763" s="977"/>
      <c r="AC763" s="977"/>
      <c r="AD763" s="977"/>
      <c r="AE763" s="977"/>
      <c r="AF763" s="977"/>
      <c r="AG763" s="977"/>
      <c r="AH763" s="977"/>
      <c r="AI763" s="977"/>
      <c r="AJ763" s="977"/>
      <c r="AK763" s="977"/>
      <c r="AL763" s="977"/>
      <c r="AM763" s="977"/>
      <c r="AN763" s="977"/>
      <c r="AO763" s="977"/>
      <c r="AP763" s="977"/>
      <c r="AQ763" s="977"/>
    </row>
    <row r="764" spans="1:43" ht="14.25" customHeight="1">
      <c r="A764" s="977"/>
      <c r="B764" s="977"/>
      <c r="C764" s="977"/>
      <c r="D764" s="977"/>
      <c r="E764" s="977"/>
      <c r="F764" s="977"/>
      <c r="G764" s="977"/>
      <c r="H764" s="977"/>
      <c r="I764" s="977"/>
      <c r="J764" s="977"/>
      <c r="K764" s="977"/>
      <c r="L764" s="977"/>
      <c r="M764" s="977"/>
      <c r="N764" s="977"/>
      <c r="O764" s="977"/>
      <c r="P764" s="977"/>
      <c r="Q764" s="977"/>
      <c r="R764" s="977"/>
      <c r="S764" s="977"/>
      <c r="T764" s="977"/>
      <c r="U764" s="977"/>
      <c r="V764" s="977"/>
      <c r="W764" s="977"/>
      <c r="X764" s="977"/>
      <c r="Y764" s="977"/>
      <c r="Z764" s="977"/>
      <c r="AA764" s="977"/>
      <c r="AB764" s="977"/>
      <c r="AC764" s="977"/>
      <c r="AD764" s="977"/>
      <c r="AE764" s="977"/>
      <c r="AF764" s="977"/>
      <c r="AG764" s="977"/>
      <c r="AH764" s="977"/>
      <c r="AI764" s="977"/>
      <c r="AJ764" s="977"/>
      <c r="AK764" s="977"/>
      <c r="AL764" s="977"/>
      <c r="AM764" s="977"/>
      <c r="AN764" s="977"/>
      <c r="AO764" s="977"/>
      <c r="AP764" s="977"/>
      <c r="AQ764" s="977"/>
    </row>
    <row r="765" spans="1:43" ht="14.25" customHeight="1">
      <c r="A765" s="977"/>
      <c r="B765" s="977"/>
      <c r="C765" s="977"/>
      <c r="D765" s="977"/>
      <c r="E765" s="977"/>
      <c r="F765" s="977"/>
      <c r="G765" s="977"/>
      <c r="H765" s="977"/>
      <c r="I765" s="977"/>
      <c r="J765" s="977"/>
      <c r="K765" s="977"/>
      <c r="L765" s="977"/>
      <c r="M765" s="977"/>
      <c r="N765" s="977"/>
      <c r="O765" s="977"/>
      <c r="P765" s="977"/>
      <c r="Q765" s="977"/>
      <c r="R765" s="977"/>
      <c r="S765" s="977"/>
      <c r="T765" s="977"/>
      <c r="U765" s="977"/>
      <c r="V765" s="977"/>
      <c r="W765" s="977"/>
      <c r="X765" s="977"/>
      <c r="Y765" s="977"/>
      <c r="Z765" s="977"/>
      <c r="AA765" s="977"/>
      <c r="AB765" s="977"/>
      <c r="AC765" s="977"/>
      <c r="AD765" s="977"/>
      <c r="AE765" s="977"/>
      <c r="AF765" s="977"/>
      <c r="AG765" s="977"/>
      <c r="AH765" s="977"/>
      <c r="AI765" s="977"/>
      <c r="AJ765" s="977"/>
      <c r="AK765" s="977"/>
      <c r="AL765" s="977"/>
      <c r="AM765" s="977"/>
      <c r="AN765" s="977"/>
      <c r="AO765" s="977"/>
      <c r="AP765" s="977"/>
      <c r="AQ765" s="977"/>
    </row>
    <row r="766" spans="1:43" ht="14.25" customHeight="1">
      <c r="A766" s="977"/>
      <c r="B766" s="977"/>
      <c r="C766" s="977"/>
      <c r="D766" s="977"/>
      <c r="E766" s="977"/>
      <c r="F766" s="977"/>
      <c r="G766" s="977"/>
      <c r="H766" s="977"/>
      <c r="I766" s="977"/>
      <c r="J766" s="977"/>
      <c r="K766" s="977"/>
      <c r="L766" s="977"/>
      <c r="M766" s="977"/>
      <c r="N766" s="977"/>
      <c r="O766" s="977"/>
      <c r="P766" s="977"/>
      <c r="Q766" s="977"/>
      <c r="R766" s="977"/>
      <c r="S766" s="977"/>
      <c r="T766" s="977"/>
      <c r="U766" s="977"/>
      <c r="V766" s="977"/>
      <c r="W766" s="977"/>
      <c r="X766" s="977"/>
      <c r="Y766" s="977"/>
      <c r="Z766" s="977"/>
      <c r="AA766" s="977"/>
      <c r="AB766" s="977"/>
      <c r="AC766" s="977"/>
      <c r="AD766" s="977"/>
      <c r="AE766" s="977"/>
      <c r="AF766" s="977"/>
      <c r="AG766" s="977"/>
      <c r="AH766" s="977"/>
      <c r="AI766" s="977"/>
      <c r="AJ766" s="977"/>
      <c r="AK766" s="977"/>
      <c r="AL766" s="977"/>
      <c r="AM766" s="977"/>
      <c r="AN766" s="977"/>
      <c r="AO766" s="977"/>
      <c r="AP766" s="977"/>
      <c r="AQ766" s="977"/>
    </row>
    <row r="767" spans="1:43" ht="14.25" customHeight="1">
      <c r="A767" s="977"/>
      <c r="B767" s="977"/>
      <c r="C767" s="977"/>
      <c r="D767" s="977"/>
      <c r="E767" s="977"/>
      <c r="F767" s="977"/>
      <c r="G767" s="977"/>
      <c r="H767" s="977"/>
      <c r="I767" s="977"/>
      <c r="J767" s="977"/>
      <c r="K767" s="977"/>
      <c r="L767" s="977"/>
      <c r="M767" s="977"/>
      <c r="N767" s="977"/>
      <c r="O767" s="977"/>
      <c r="P767" s="977"/>
      <c r="Q767" s="977"/>
      <c r="R767" s="977"/>
      <c r="S767" s="977"/>
      <c r="T767" s="977"/>
      <c r="U767" s="977"/>
      <c r="V767" s="977"/>
      <c r="W767" s="977"/>
      <c r="X767" s="977"/>
      <c r="Y767" s="977"/>
      <c r="Z767" s="977"/>
      <c r="AA767" s="977"/>
      <c r="AB767" s="977"/>
      <c r="AC767" s="977"/>
      <c r="AD767" s="977"/>
      <c r="AE767" s="977"/>
      <c r="AF767" s="977"/>
      <c r="AG767" s="977"/>
      <c r="AH767" s="977"/>
      <c r="AI767" s="977"/>
      <c r="AJ767" s="977"/>
      <c r="AK767" s="977"/>
      <c r="AL767" s="977"/>
      <c r="AM767" s="977"/>
      <c r="AN767" s="977"/>
      <c r="AO767" s="977"/>
      <c r="AP767" s="977"/>
      <c r="AQ767" s="977"/>
    </row>
    <row r="768" spans="1:43" ht="14.25" customHeight="1">
      <c r="A768" s="977"/>
      <c r="B768" s="977"/>
      <c r="C768" s="977"/>
      <c r="D768" s="977"/>
      <c r="E768" s="977"/>
      <c r="F768" s="977"/>
      <c r="G768" s="977"/>
      <c r="H768" s="977"/>
      <c r="I768" s="977"/>
      <c r="J768" s="977"/>
      <c r="K768" s="977"/>
      <c r="L768" s="977"/>
      <c r="M768" s="977"/>
      <c r="N768" s="977"/>
      <c r="O768" s="977"/>
      <c r="P768" s="977"/>
      <c r="Q768" s="977"/>
      <c r="R768" s="977"/>
      <c r="S768" s="977"/>
      <c r="T768" s="977"/>
      <c r="U768" s="977"/>
      <c r="V768" s="977"/>
      <c r="W768" s="977"/>
      <c r="X768" s="977"/>
      <c r="Y768" s="977"/>
      <c r="Z768" s="977"/>
      <c r="AA768" s="977"/>
      <c r="AB768" s="977"/>
      <c r="AC768" s="977"/>
      <c r="AD768" s="977"/>
      <c r="AE768" s="977"/>
      <c r="AF768" s="977"/>
      <c r="AG768" s="977"/>
      <c r="AH768" s="977"/>
      <c r="AI768" s="977"/>
      <c r="AJ768" s="977"/>
      <c r="AK768" s="977"/>
      <c r="AL768" s="977"/>
      <c r="AM768" s="977"/>
      <c r="AN768" s="977"/>
      <c r="AO768" s="977"/>
      <c r="AP768" s="977"/>
      <c r="AQ768" s="977"/>
    </row>
    <row r="769" spans="1:43" ht="14.25" customHeight="1">
      <c r="A769" s="977"/>
      <c r="B769" s="977"/>
      <c r="C769" s="977"/>
      <c r="D769" s="977"/>
      <c r="E769" s="977"/>
      <c r="F769" s="977"/>
      <c r="G769" s="977"/>
      <c r="H769" s="977"/>
      <c r="I769" s="977"/>
      <c r="J769" s="977"/>
      <c r="K769" s="977"/>
      <c r="L769" s="977"/>
      <c r="M769" s="977"/>
      <c r="N769" s="977"/>
      <c r="O769" s="977"/>
      <c r="P769" s="977"/>
      <c r="Q769" s="977"/>
      <c r="R769" s="977"/>
      <c r="S769" s="977"/>
      <c r="T769" s="977"/>
      <c r="U769" s="977"/>
      <c r="V769" s="977"/>
      <c r="W769" s="977"/>
      <c r="X769" s="977"/>
      <c r="Y769" s="977"/>
      <c r="Z769" s="977"/>
      <c r="AA769" s="977"/>
      <c r="AB769" s="977"/>
      <c r="AC769" s="977"/>
      <c r="AD769" s="977"/>
      <c r="AE769" s="977"/>
      <c r="AF769" s="977"/>
      <c r="AG769" s="977"/>
      <c r="AH769" s="977"/>
      <c r="AI769" s="977"/>
      <c r="AJ769" s="977"/>
      <c r="AK769" s="977"/>
      <c r="AL769" s="977"/>
      <c r="AM769" s="977"/>
      <c r="AN769" s="977"/>
      <c r="AO769" s="977"/>
      <c r="AP769" s="977"/>
      <c r="AQ769" s="977"/>
    </row>
    <row r="770" spans="1:43" ht="14.25" customHeight="1">
      <c r="A770" s="977"/>
      <c r="B770" s="977"/>
      <c r="C770" s="977"/>
      <c r="D770" s="977"/>
      <c r="E770" s="977"/>
      <c r="F770" s="977"/>
      <c r="G770" s="977"/>
      <c r="H770" s="977"/>
      <c r="I770" s="977"/>
      <c r="J770" s="977"/>
      <c r="K770" s="977"/>
      <c r="L770" s="977"/>
      <c r="M770" s="977"/>
      <c r="N770" s="977"/>
      <c r="O770" s="977"/>
      <c r="P770" s="977"/>
      <c r="Q770" s="977"/>
      <c r="R770" s="977"/>
      <c r="S770" s="977"/>
      <c r="T770" s="977"/>
      <c r="U770" s="977"/>
      <c r="V770" s="977"/>
      <c r="W770" s="977"/>
      <c r="X770" s="977"/>
      <c r="Y770" s="977"/>
      <c r="Z770" s="977"/>
      <c r="AA770" s="977"/>
      <c r="AB770" s="977"/>
      <c r="AC770" s="977"/>
      <c r="AD770" s="977"/>
      <c r="AE770" s="977"/>
      <c r="AF770" s="977"/>
      <c r="AG770" s="977"/>
      <c r="AH770" s="977"/>
      <c r="AI770" s="977"/>
      <c r="AJ770" s="977"/>
      <c r="AK770" s="977"/>
      <c r="AL770" s="977"/>
      <c r="AM770" s="977"/>
      <c r="AN770" s="977"/>
      <c r="AO770" s="977"/>
      <c r="AP770" s="977"/>
      <c r="AQ770" s="977"/>
    </row>
    <row r="771" spans="1:43" ht="14.25" customHeight="1">
      <c r="A771" s="977"/>
      <c r="B771" s="977"/>
      <c r="C771" s="977"/>
      <c r="D771" s="977"/>
      <c r="E771" s="977"/>
      <c r="F771" s="977"/>
      <c r="G771" s="977"/>
      <c r="H771" s="977"/>
      <c r="I771" s="977"/>
      <c r="J771" s="977"/>
      <c r="K771" s="977"/>
      <c r="L771" s="977"/>
      <c r="M771" s="977"/>
      <c r="N771" s="977"/>
      <c r="O771" s="977"/>
      <c r="P771" s="977"/>
      <c r="Q771" s="977"/>
      <c r="R771" s="977"/>
      <c r="S771" s="977"/>
      <c r="T771" s="977"/>
      <c r="U771" s="977"/>
      <c r="V771" s="977"/>
      <c r="W771" s="977"/>
      <c r="X771" s="977"/>
      <c r="Y771" s="977"/>
      <c r="Z771" s="977"/>
      <c r="AA771" s="977"/>
      <c r="AB771" s="977"/>
      <c r="AC771" s="977"/>
      <c r="AD771" s="977"/>
      <c r="AE771" s="977"/>
      <c r="AF771" s="977"/>
      <c r="AG771" s="977"/>
      <c r="AH771" s="977"/>
      <c r="AI771" s="977"/>
      <c r="AJ771" s="977"/>
      <c r="AK771" s="977"/>
      <c r="AL771" s="977"/>
      <c r="AM771" s="977"/>
      <c r="AN771" s="977"/>
      <c r="AO771" s="977"/>
      <c r="AP771" s="977"/>
      <c r="AQ771" s="977"/>
    </row>
    <row r="772" spans="1:43" ht="14.25" customHeight="1">
      <c r="A772" s="977"/>
      <c r="B772" s="977"/>
      <c r="C772" s="977"/>
      <c r="D772" s="977"/>
      <c r="E772" s="977"/>
      <c r="F772" s="977"/>
      <c r="G772" s="977"/>
      <c r="H772" s="977"/>
      <c r="I772" s="977"/>
      <c r="J772" s="977"/>
      <c r="K772" s="977"/>
      <c r="L772" s="977"/>
      <c r="M772" s="977"/>
      <c r="N772" s="977"/>
      <c r="O772" s="977"/>
      <c r="P772" s="977"/>
      <c r="Q772" s="977"/>
      <c r="R772" s="977"/>
      <c r="S772" s="977"/>
      <c r="T772" s="977"/>
      <c r="U772" s="977"/>
      <c r="V772" s="977"/>
      <c r="W772" s="977"/>
      <c r="X772" s="977"/>
      <c r="Y772" s="977"/>
      <c r="Z772" s="977"/>
      <c r="AA772" s="977"/>
      <c r="AB772" s="977"/>
      <c r="AC772" s="977"/>
      <c r="AD772" s="977"/>
      <c r="AE772" s="977"/>
      <c r="AF772" s="977"/>
      <c r="AG772" s="977"/>
      <c r="AH772" s="977"/>
      <c r="AI772" s="977"/>
      <c r="AJ772" s="977"/>
      <c r="AK772" s="977"/>
      <c r="AL772" s="977"/>
      <c r="AM772" s="977"/>
      <c r="AN772" s="977"/>
      <c r="AO772" s="977"/>
      <c r="AP772" s="977"/>
      <c r="AQ772" s="977"/>
    </row>
    <row r="773" spans="1:43" ht="14.25" customHeight="1">
      <c r="A773" s="977"/>
      <c r="B773" s="977"/>
      <c r="C773" s="977"/>
      <c r="D773" s="977"/>
      <c r="E773" s="977"/>
      <c r="F773" s="977"/>
      <c r="G773" s="977"/>
      <c r="H773" s="977"/>
      <c r="I773" s="977"/>
      <c r="J773" s="977"/>
      <c r="K773" s="977"/>
      <c r="L773" s="977"/>
      <c r="M773" s="977"/>
      <c r="N773" s="977"/>
      <c r="O773" s="977"/>
      <c r="P773" s="977"/>
      <c r="Q773" s="977"/>
      <c r="R773" s="977"/>
      <c r="S773" s="977"/>
      <c r="T773" s="977"/>
      <c r="U773" s="977"/>
      <c r="V773" s="977"/>
      <c r="W773" s="977"/>
      <c r="X773" s="977"/>
      <c r="Y773" s="977"/>
      <c r="Z773" s="977"/>
      <c r="AA773" s="977"/>
      <c r="AB773" s="977"/>
      <c r="AC773" s="977"/>
      <c r="AD773" s="977"/>
      <c r="AE773" s="977"/>
      <c r="AF773" s="977"/>
      <c r="AG773" s="977"/>
      <c r="AH773" s="977"/>
      <c r="AI773" s="977"/>
      <c r="AJ773" s="977"/>
      <c r="AK773" s="977"/>
      <c r="AL773" s="977"/>
      <c r="AM773" s="977"/>
      <c r="AN773" s="977"/>
      <c r="AO773" s="977"/>
      <c r="AP773" s="977"/>
      <c r="AQ773" s="977"/>
    </row>
    <row r="774" spans="1:43" ht="14.25" customHeight="1">
      <c r="A774" s="977"/>
      <c r="B774" s="977"/>
      <c r="C774" s="977"/>
      <c r="D774" s="977"/>
      <c r="E774" s="977"/>
      <c r="F774" s="977"/>
      <c r="G774" s="977"/>
      <c r="H774" s="977"/>
      <c r="I774" s="977"/>
      <c r="J774" s="977"/>
      <c r="K774" s="977"/>
      <c r="L774" s="977"/>
      <c r="M774" s="977"/>
      <c r="N774" s="977"/>
      <c r="O774" s="977"/>
      <c r="P774" s="977"/>
      <c r="Q774" s="977"/>
      <c r="R774" s="977"/>
      <c r="S774" s="977"/>
      <c r="T774" s="977"/>
      <c r="U774" s="977"/>
      <c r="V774" s="977"/>
      <c r="W774" s="977"/>
      <c r="X774" s="977"/>
      <c r="Y774" s="977"/>
      <c r="Z774" s="977"/>
      <c r="AA774" s="977"/>
      <c r="AB774" s="977"/>
      <c r="AC774" s="977"/>
      <c r="AD774" s="977"/>
      <c r="AE774" s="977"/>
      <c r="AF774" s="977"/>
      <c r="AG774" s="977"/>
      <c r="AH774" s="977"/>
      <c r="AI774" s="977"/>
      <c r="AJ774" s="977"/>
      <c r="AK774" s="977"/>
      <c r="AL774" s="977"/>
      <c r="AM774" s="977"/>
      <c r="AN774" s="977"/>
      <c r="AO774" s="977"/>
      <c r="AP774" s="977"/>
      <c r="AQ774" s="977"/>
    </row>
    <row r="775" spans="1:43" ht="14.25" customHeight="1">
      <c r="A775" s="977"/>
      <c r="B775" s="977"/>
      <c r="C775" s="977"/>
      <c r="D775" s="977"/>
      <c r="E775" s="977"/>
      <c r="F775" s="977"/>
      <c r="G775" s="977"/>
      <c r="H775" s="977"/>
      <c r="I775" s="977"/>
      <c r="J775" s="977"/>
      <c r="K775" s="977"/>
      <c r="L775" s="977"/>
      <c r="M775" s="977"/>
      <c r="N775" s="977"/>
      <c r="O775" s="977"/>
      <c r="P775" s="977"/>
      <c r="Q775" s="977"/>
      <c r="R775" s="977"/>
      <c r="S775" s="977"/>
      <c r="T775" s="977"/>
      <c r="U775" s="977"/>
      <c r="V775" s="977"/>
      <c r="W775" s="977"/>
      <c r="X775" s="977"/>
      <c r="Y775" s="977"/>
      <c r="Z775" s="977"/>
      <c r="AA775" s="977"/>
      <c r="AB775" s="977"/>
      <c r="AC775" s="977"/>
      <c r="AD775" s="977"/>
      <c r="AE775" s="977"/>
      <c r="AF775" s="977"/>
      <c r="AG775" s="977"/>
      <c r="AH775" s="977"/>
      <c r="AI775" s="977"/>
      <c r="AJ775" s="977"/>
      <c r="AK775" s="977"/>
      <c r="AL775" s="977"/>
      <c r="AM775" s="977"/>
      <c r="AN775" s="977"/>
      <c r="AO775" s="977"/>
      <c r="AP775" s="977"/>
      <c r="AQ775" s="977"/>
    </row>
    <row r="776" spans="1:43" ht="14.25" customHeight="1">
      <c r="A776" s="977"/>
      <c r="B776" s="977"/>
      <c r="C776" s="977"/>
      <c r="D776" s="977"/>
      <c r="E776" s="977"/>
      <c r="F776" s="977"/>
      <c r="G776" s="977"/>
      <c r="H776" s="977"/>
      <c r="I776" s="977"/>
      <c r="J776" s="977"/>
      <c r="K776" s="977"/>
      <c r="L776" s="977"/>
      <c r="M776" s="977"/>
      <c r="N776" s="977"/>
      <c r="O776" s="977"/>
      <c r="P776" s="977"/>
      <c r="Q776" s="977"/>
      <c r="R776" s="977"/>
      <c r="S776" s="977"/>
      <c r="T776" s="977"/>
      <c r="U776" s="977"/>
      <c r="V776" s="977"/>
      <c r="W776" s="977"/>
      <c r="X776" s="977"/>
      <c r="Y776" s="977"/>
      <c r="Z776" s="977"/>
      <c r="AA776" s="977"/>
      <c r="AB776" s="977"/>
      <c r="AC776" s="977"/>
      <c r="AD776" s="977"/>
      <c r="AE776" s="977"/>
      <c r="AF776" s="977"/>
      <c r="AG776" s="977"/>
      <c r="AH776" s="977"/>
      <c r="AI776" s="977"/>
      <c r="AJ776" s="977"/>
      <c r="AK776" s="977"/>
      <c r="AL776" s="977"/>
      <c r="AM776" s="977"/>
      <c r="AN776" s="977"/>
      <c r="AO776" s="977"/>
      <c r="AP776" s="977"/>
      <c r="AQ776" s="977"/>
    </row>
    <row r="777" spans="1:43" ht="14.25" customHeight="1">
      <c r="A777" s="977"/>
      <c r="B777" s="977"/>
      <c r="C777" s="977"/>
      <c r="D777" s="977"/>
      <c r="E777" s="977"/>
      <c r="F777" s="977"/>
      <c r="G777" s="977"/>
      <c r="H777" s="977"/>
      <c r="I777" s="977"/>
      <c r="J777" s="977"/>
      <c r="K777" s="977"/>
      <c r="L777" s="977"/>
      <c r="M777" s="977"/>
      <c r="N777" s="977"/>
      <c r="O777" s="977"/>
      <c r="P777" s="977"/>
      <c r="Q777" s="977"/>
      <c r="R777" s="977"/>
      <c r="S777" s="977"/>
      <c r="T777" s="977"/>
      <c r="U777" s="977"/>
      <c r="V777" s="977"/>
      <c r="W777" s="977"/>
      <c r="X777" s="977"/>
      <c r="Y777" s="977"/>
      <c r="Z777" s="977"/>
      <c r="AA777" s="977"/>
      <c r="AB777" s="977"/>
      <c r="AC777" s="977"/>
      <c r="AD777" s="977"/>
      <c r="AE777" s="977"/>
      <c r="AF777" s="977"/>
      <c r="AG777" s="977"/>
      <c r="AH777" s="977"/>
      <c r="AI777" s="977"/>
      <c r="AJ777" s="977"/>
      <c r="AK777" s="977"/>
      <c r="AL777" s="977"/>
      <c r="AM777" s="977"/>
      <c r="AN777" s="977"/>
      <c r="AO777" s="977"/>
      <c r="AP777" s="977"/>
      <c r="AQ777" s="977"/>
    </row>
    <row r="778" spans="1:43" ht="14.25" customHeight="1">
      <c r="A778" s="977"/>
      <c r="B778" s="977"/>
      <c r="C778" s="977"/>
      <c r="D778" s="977"/>
      <c r="E778" s="977"/>
      <c r="F778" s="977"/>
      <c r="G778" s="977"/>
      <c r="H778" s="977"/>
      <c r="I778" s="977"/>
      <c r="J778" s="977"/>
      <c r="K778" s="977"/>
      <c r="L778" s="977"/>
      <c r="M778" s="977"/>
      <c r="N778" s="977"/>
      <c r="O778" s="977"/>
      <c r="P778" s="977"/>
      <c r="Q778" s="977"/>
      <c r="R778" s="977"/>
      <c r="S778" s="977"/>
      <c r="T778" s="977"/>
      <c r="U778" s="977"/>
      <c r="V778" s="977"/>
      <c r="W778" s="977"/>
      <c r="X778" s="977"/>
      <c r="Y778" s="977"/>
      <c r="Z778" s="977"/>
      <c r="AA778" s="977"/>
      <c r="AB778" s="977"/>
      <c r="AC778" s="977"/>
      <c r="AD778" s="977"/>
      <c r="AE778" s="977"/>
      <c r="AF778" s="977"/>
      <c r="AG778" s="977"/>
      <c r="AH778" s="977"/>
      <c r="AI778" s="977"/>
      <c r="AJ778" s="977"/>
      <c r="AK778" s="977"/>
      <c r="AL778" s="977"/>
      <c r="AM778" s="977"/>
      <c r="AN778" s="977"/>
      <c r="AO778" s="977"/>
      <c r="AP778" s="977"/>
      <c r="AQ778" s="977"/>
    </row>
    <row r="779" spans="1:43" ht="14.25" customHeight="1">
      <c r="A779" s="977"/>
      <c r="B779" s="977"/>
      <c r="C779" s="977"/>
      <c r="D779" s="977"/>
      <c r="E779" s="977"/>
      <c r="F779" s="977"/>
      <c r="G779" s="977"/>
      <c r="H779" s="977"/>
      <c r="I779" s="977"/>
      <c r="J779" s="977"/>
      <c r="K779" s="977"/>
      <c r="L779" s="977"/>
      <c r="M779" s="977"/>
      <c r="N779" s="977"/>
      <c r="O779" s="977"/>
      <c r="P779" s="977"/>
      <c r="Q779" s="977"/>
      <c r="R779" s="977"/>
      <c r="S779" s="977"/>
      <c r="T779" s="977"/>
      <c r="U779" s="977"/>
      <c r="V779" s="977"/>
      <c r="W779" s="977"/>
      <c r="X779" s="977"/>
      <c r="Y779" s="977"/>
      <c r="Z779" s="977"/>
      <c r="AA779" s="977"/>
      <c r="AB779" s="977"/>
      <c r="AC779" s="977"/>
      <c r="AD779" s="977"/>
      <c r="AE779" s="977"/>
      <c r="AF779" s="977"/>
      <c r="AG779" s="977"/>
      <c r="AH779" s="977"/>
      <c r="AI779" s="977"/>
      <c r="AJ779" s="977"/>
      <c r="AK779" s="977"/>
      <c r="AL779" s="977"/>
      <c r="AM779" s="977"/>
      <c r="AN779" s="977"/>
      <c r="AO779" s="977"/>
      <c r="AP779" s="977"/>
      <c r="AQ779" s="977"/>
    </row>
    <row r="780" spans="1:43" ht="14.25" customHeight="1">
      <c r="A780" s="977"/>
      <c r="B780" s="977"/>
      <c r="C780" s="977"/>
      <c r="D780" s="977"/>
      <c r="E780" s="977"/>
      <c r="F780" s="977"/>
      <c r="G780" s="977"/>
      <c r="H780" s="977"/>
      <c r="I780" s="977"/>
      <c r="J780" s="977"/>
      <c r="K780" s="977"/>
      <c r="L780" s="977"/>
      <c r="M780" s="977"/>
      <c r="N780" s="977"/>
      <c r="O780" s="977"/>
      <c r="P780" s="977"/>
      <c r="Q780" s="977"/>
      <c r="R780" s="977"/>
      <c r="S780" s="977"/>
      <c r="T780" s="977"/>
      <c r="U780" s="977"/>
      <c r="V780" s="977"/>
      <c r="W780" s="977"/>
      <c r="X780" s="977"/>
      <c r="Y780" s="977"/>
      <c r="Z780" s="977"/>
      <c r="AA780" s="977"/>
      <c r="AB780" s="977"/>
      <c r="AC780" s="977"/>
      <c r="AD780" s="977"/>
      <c r="AE780" s="977"/>
      <c r="AF780" s="977"/>
      <c r="AG780" s="977"/>
      <c r="AH780" s="977"/>
      <c r="AI780" s="977"/>
      <c r="AJ780" s="977"/>
      <c r="AK780" s="977"/>
      <c r="AL780" s="977"/>
      <c r="AM780" s="977"/>
      <c r="AN780" s="977"/>
      <c r="AO780" s="977"/>
      <c r="AP780" s="977"/>
      <c r="AQ780" s="977"/>
    </row>
    <row r="781" spans="1:43" ht="14.25" customHeight="1">
      <c r="A781" s="977"/>
      <c r="B781" s="977"/>
      <c r="C781" s="977"/>
      <c r="D781" s="977"/>
      <c r="E781" s="977"/>
      <c r="F781" s="977"/>
      <c r="G781" s="977"/>
      <c r="H781" s="977"/>
      <c r="I781" s="977"/>
      <c r="J781" s="977"/>
      <c r="K781" s="977"/>
      <c r="L781" s="977"/>
      <c r="M781" s="977"/>
      <c r="N781" s="977"/>
      <c r="O781" s="977"/>
      <c r="P781" s="977"/>
      <c r="Q781" s="977"/>
      <c r="R781" s="977"/>
      <c r="S781" s="977"/>
      <c r="T781" s="977"/>
      <c r="U781" s="977"/>
      <c r="V781" s="977"/>
      <c r="W781" s="977"/>
      <c r="X781" s="977"/>
      <c r="Y781" s="977"/>
      <c r="Z781" s="977"/>
      <c r="AA781" s="977"/>
      <c r="AB781" s="977"/>
      <c r="AC781" s="977"/>
      <c r="AD781" s="977"/>
      <c r="AE781" s="977"/>
      <c r="AF781" s="977"/>
      <c r="AG781" s="977"/>
      <c r="AH781" s="977"/>
      <c r="AI781" s="977"/>
      <c r="AJ781" s="977"/>
      <c r="AK781" s="977"/>
      <c r="AL781" s="977"/>
      <c r="AM781" s="977"/>
      <c r="AN781" s="977"/>
      <c r="AO781" s="977"/>
      <c r="AP781" s="977"/>
      <c r="AQ781" s="977"/>
    </row>
    <row r="782" spans="1:43" ht="14.25" customHeight="1">
      <c r="A782" s="977"/>
      <c r="B782" s="977"/>
      <c r="C782" s="977"/>
      <c r="D782" s="977"/>
      <c r="E782" s="977"/>
      <c r="F782" s="977"/>
      <c r="G782" s="977"/>
      <c r="H782" s="977"/>
      <c r="I782" s="977"/>
      <c r="J782" s="977"/>
      <c r="K782" s="977"/>
      <c r="L782" s="977"/>
      <c r="M782" s="977"/>
      <c r="N782" s="977"/>
      <c r="O782" s="977"/>
      <c r="P782" s="977"/>
      <c r="Q782" s="977"/>
      <c r="R782" s="977"/>
      <c r="S782" s="977"/>
      <c r="T782" s="977"/>
      <c r="U782" s="977"/>
      <c r="V782" s="977"/>
      <c r="W782" s="977"/>
      <c r="X782" s="977"/>
      <c r="Y782" s="977"/>
      <c r="Z782" s="977"/>
      <c r="AA782" s="977"/>
      <c r="AB782" s="977"/>
      <c r="AC782" s="977"/>
      <c r="AD782" s="977"/>
      <c r="AE782" s="977"/>
      <c r="AF782" s="977"/>
      <c r="AG782" s="977"/>
      <c r="AH782" s="977"/>
      <c r="AI782" s="977"/>
      <c r="AJ782" s="977"/>
      <c r="AK782" s="977"/>
      <c r="AL782" s="977"/>
      <c r="AM782" s="977"/>
      <c r="AN782" s="977"/>
      <c r="AO782" s="977"/>
      <c r="AP782" s="977"/>
      <c r="AQ782" s="977"/>
    </row>
    <row r="783" spans="1:43" ht="14.25" customHeight="1">
      <c r="A783" s="977"/>
      <c r="B783" s="977"/>
      <c r="C783" s="977"/>
      <c r="D783" s="977"/>
      <c r="E783" s="977"/>
      <c r="F783" s="977"/>
      <c r="G783" s="977"/>
      <c r="H783" s="977"/>
      <c r="I783" s="977"/>
      <c r="J783" s="977"/>
      <c r="K783" s="977"/>
      <c r="L783" s="977"/>
      <c r="M783" s="977"/>
      <c r="N783" s="977"/>
      <c r="O783" s="977"/>
      <c r="P783" s="977"/>
      <c r="Q783" s="977"/>
      <c r="R783" s="977"/>
      <c r="S783" s="977"/>
      <c r="T783" s="977"/>
      <c r="U783" s="977"/>
      <c r="V783" s="977"/>
      <c r="W783" s="977"/>
      <c r="X783" s="977"/>
      <c r="Y783" s="977"/>
      <c r="Z783" s="977"/>
      <c r="AA783" s="977"/>
      <c r="AB783" s="977"/>
      <c r="AC783" s="977"/>
      <c r="AD783" s="977"/>
      <c r="AE783" s="977"/>
      <c r="AF783" s="977"/>
      <c r="AG783" s="977"/>
      <c r="AH783" s="977"/>
      <c r="AI783" s="977"/>
      <c r="AJ783" s="977"/>
      <c r="AK783" s="977"/>
      <c r="AL783" s="977"/>
      <c r="AM783" s="977"/>
      <c r="AN783" s="977"/>
      <c r="AO783" s="977"/>
      <c r="AP783" s="977"/>
      <c r="AQ783" s="977"/>
    </row>
    <row r="784" spans="1:43" ht="14.25" customHeight="1">
      <c r="A784" s="977"/>
      <c r="B784" s="977"/>
      <c r="C784" s="977"/>
      <c r="D784" s="977"/>
      <c r="E784" s="977"/>
      <c r="F784" s="977"/>
      <c r="G784" s="977"/>
      <c r="H784" s="977"/>
      <c r="I784" s="977"/>
      <c r="J784" s="977"/>
      <c r="K784" s="977"/>
      <c r="L784" s="977"/>
      <c r="M784" s="977"/>
      <c r="N784" s="977"/>
      <c r="O784" s="977"/>
      <c r="P784" s="977"/>
      <c r="Q784" s="977"/>
      <c r="R784" s="977"/>
      <c r="S784" s="977"/>
      <c r="T784" s="977"/>
      <c r="U784" s="977"/>
      <c r="V784" s="977"/>
      <c r="W784" s="977"/>
      <c r="X784" s="977"/>
      <c r="Y784" s="977"/>
      <c r="Z784" s="977"/>
      <c r="AA784" s="977"/>
      <c r="AB784" s="977"/>
      <c r="AC784" s="977"/>
      <c r="AD784" s="977"/>
      <c r="AE784" s="977"/>
      <c r="AF784" s="977"/>
      <c r="AG784" s="977"/>
      <c r="AH784" s="977"/>
      <c r="AI784" s="977"/>
      <c r="AJ784" s="977"/>
      <c r="AK784" s="977"/>
      <c r="AL784" s="977"/>
      <c r="AM784" s="977"/>
      <c r="AN784" s="977"/>
      <c r="AO784" s="977"/>
      <c r="AP784" s="977"/>
      <c r="AQ784" s="977"/>
    </row>
    <row r="785" spans="1:43" ht="14.25" customHeight="1">
      <c r="A785" s="977"/>
      <c r="B785" s="977"/>
      <c r="C785" s="977"/>
      <c r="D785" s="977"/>
      <c r="E785" s="977"/>
      <c r="F785" s="977"/>
      <c r="G785" s="977"/>
      <c r="H785" s="977"/>
      <c r="I785" s="977"/>
      <c r="J785" s="977"/>
      <c r="K785" s="977"/>
      <c r="L785" s="977"/>
      <c r="M785" s="977"/>
      <c r="N785" s="977"/>
      <c r="O785" s="977"/>
      <c r="P785" s="977"/>
      <c r="Q785" s="977"/>
      <c r="R785" s="977"/>
      <c r="S785" s="977"/>
      <c r="T785" s="977"/>
      <c r="U785" s="977"/>
      <c r="V785" s="977"/>
      <c r="W785" s="977"/>
      <c r="X785" s="977"/>
      <c r="Y785" s="977"/>
      <c r="Z785" s="977"/>
      <c r="AA785" s="977"/>
      <c r="AB785" s="977"/>
      <c r="AC785" s="977"/>
      <c r="AD785" s="977"/>
      <c r="AE785" s="977"/>
      <c r="AF785" s="977"/>
      <c r="AG785" s="977"/>
      <c r="AH785" s="977"/>
      <c r="AI785" s="977"/>
      <c r="AJ785" s="977"/>
      <c r="AK785" s="977"/>
      <c r="AL785" s="977"/>
      <c r="AM785" s="977"/>
      <c r="AN785" s="977"/>
      <c r="AO785" s="977"/>
      <c r="AP785" s="977"/>
      <c r="AQ785" s="977"/>
    </row>
    <row r="786" spans="1:43" ht="14.25" customHeight="1">
      <c r="A786" s="977"/>
      <c r="B786" s="977"/>
      <c r="C786" s="977"/>
      <c r="D786" s="977"/>
      <c r="E786" s="977"/>
      <c r="F786" s="977"/>
      <c r="G786" s="977"/>
      <c r="H786" s="977"/>
      <c r="I786" s="977"/>
      <c r="J786" s="977"/>
      <c r="K786" s="977"/>
      <c r="L786" s="977"/>
      <c r="M786" s="977"/>
      <c r="N786" s="977"/>
      <c r="O786" s="977"/>
      <c r="P786" s="977"/>
      <c r="Q786" s="977"/>
      <c r="R786" s="977"/>
      <c r="S786" s="977"/>
      <c r="T786" s="977"/>
      <c r="U786" s="977"/>
      <c r="V786" s="977"/>
      <c r="W786" s="977"/>
      <c r="X786" s="977"/>
      <c r="Y786" s="977"/>
      <c r="Z786" s="977"/>
      <c r="AA786" s="977"/>
      <c r="AB786" s="977"/>
      <c r="AC786" s="977"/>
      <c r="AD786" s="977"/>
      <c r="AE786" s="977"/>
      <c r="AF786" s="977"/>
      <c r="AG786" s="977"/>
      <c r="AH786" s="977"/>
      <c r="AI786" s="977"/>
      <c r="AJ786" s="977"/>
      <c r="AK786" s="977"/>
      <c r="AL786" s="977"/>
      <c r="AM786" s="977"/>
      <c r="AN786" s="977"/>
      <c r="AO786" s="977"/>
      <c r="AP786" s="977"/>
      <c r="AQ786" s="977"/>
    </row>
    <row r="787" spans="1:43" ht="14.25" customHeight="1">
      <c r="A787" s="977"/>
      <c r="B787" s="977"/>
      <c r="C787" s="977"/>
      <c r="D787" s="977"/>
      <c r="E787" s="977"/>
      <c r="F787" s="977"/>
      <c r="G787" s="977"/>
      <c r="H787" s="977"/>
      <c r="I787" s="977"/>
      <c r="J787" s="977"/>
      <c r="K787" s="977"/>
      <c r="L787" s="977"/>
      <c r="M787" s="977"/>
      <c r="N787" s="977"/>
      <c r="O787" s="977"/>
      <c r="P787" s="977"/>
      <c r="Q787" s="977"/>
      <c r="R787" s="977"/>
      <c r="S787" s="977"/>
      <c r="T787" s="977"/>
      <c r="U787" s="977"/>
      <c r="V787" s="977"/>
      <c r="W787" s="977"/>
      <c r="X787" s="977"/>
      <c r="Y787" s="977"/>
      <c r="Z787" s="977"/>
      <c r="AA787" s="977"/>
      <c r="AB787" s="977"/>
      <c r="AC787" s="977"/>
      <c r="AD787" s="977"/>
      <c r="AE787" s="977"/>
      <c r="AF787" s="977"/>
      <c r="AG787" s="977"/>
      <c r="AH787" s="977"/>
      <c r="AI787" s="977"/>
      <c r="AJ787" s="977"/>
      <c r="AK787" s="977"/>
      <c r="AL787" s="977"/>
      <c r="AM787" s="977"/>
      <c r="AN787" s="977"/>
      <c r="AO787" s="977"/>
      <c r="AP787" s="977"/>
      <c r="AQ787" s="977"/>
    </row>
    <row r="788" spans="1:43" ht="14.25" customHeight="1">
      <c r="A788" s="977"/>
      <c r="B788" s="977"/>
      <c r="C788" s="977"/>
      <c r="D788" s="977"/>
      <c r="E788" s="977"/>
      <c r="F788" s="977"/>
      <c r="G788" s="977"/>
      <c r="H788" s="977"/>
      <c r="I788" s="977"/>
      <c r="J788" s="977"/>
      <c r="K788" s="977"/>
      <c r="L788" s="977"/>
      <c r="M788" s="977"/>
      <c r="N788" s="977"/>
      <c r="O788" s="977"/>
      <c r="P788" s="977"/>
      <c r="Q788" s="977"/>
      <c r="R788" s="977"/>
      <c r="S788" s="977"/>
      <c r="T788" s="977"/>
      <c r="U788" s="977"/>
      <c r="V788" s="977"/>
      <c r="W788" s="977"/>
      <c r="X788" s="977"/>
      <c r="Y788" s="977"/>
      <c r="Z788" s="977"/>
      <c r="AA788" s="977"/>
      <c r="AB788" s="977"/>
      <c r="AC788" s="977"/>
      <c r="AD788" s="977"/>
      <c r="AE788" s="977"/>
      <c r="AF788" s="977"/>
      <c r="AG788" s="977"/>
      <c r="AH788" s="977"/>
      <c r="AI788" s="977"/>
      <c r="AJ788" s="977"/>
      <c r="AK788" s="977"/>
      <c r="AL788" s="977"/>
      <c r="AM788" s="977"/>
      <c r="AN788" s="977"/>
      <c r="AO788" s="977"/>
      <c r="AP788" s="977"/>
      <c r="AQ788" s="977"/>
    </row>
    <row r="789" spans="1:43" ht="14.25" customHeight="1">
      <c r="A789" s="977"/>
      <c r="B789" s="977"/>
      <c r="C789" s="977"/>
      <c r="D789" s="977"/>
      <c r="E789" s="977"/>
      <c r="F789" s="977"/>
      <c r="G789" s="977"/>
      <c r="H789" s="977"/>
      <c r="I789" s="977"/>
      <c r="J789" s="977"/>
      <c r="K789" s="977"/>
      <c r="L789" s="977"/>
      <c r="M789" s="977"/>
      <c r="N789" s="977"/>
      <c r="O789" s="977"/>
      <c r="P789" s="977"/>
      <c r="Q789" s="977"/>
      <c r="R789" s="977"/>
      <c r="S789" s="977"/>
      <c r="T789" s="977"/>
      <c r="U789" s="977"/>
      <c r="V789" s="977"/>
      <c r="W789" s="977"/>
      <c r="X789" s="977"/>
      <c r="Y789" s="977"/>
      <c r="Z789" s="977"/>
      <c r="AA789" s="977"/>
      <c r="AB789" s="977"/>
      <c r="AC789" s="977"/>
      <c r="AD789" s="977"/>
      <c r="AE789" s="977"/>
      <c r="AF789" s="977"/>
      <c r="AG789" s="977"/>
      <c r="AH789" s="977"/>
      <c r="AI789" s="977"/>
      <c r="AJ789" s="977"/>
      <c r="AK789" s="977"/>
      <c r="AL789" s="977"/>
      <c r="AM789" s="977"/>
      <c r="AN789" s="977"/>
      <c r="AO789" s="977"/>
      <c r="AP789" s="977"/>
      <c r="AQ789" s="977"/>
    </row>
    <row r="790" spans="1:43" ht="14.25" customHeight="1">
      <c r="A790" s="977"/>
      <c r="B790" s="977"/>
      <c r="C790" s="977"/>
      <c r="D790" s="977"/>
      <c r="E790" s="977"/>
      <c r="F790" s="977"/>
      <c r="G790" s="977"/>
      <c r="H790" s="977"/>
      <c r="I790" s="977"/>
      <c r="J790" s="977"/>
      <c r="K790" s="977"/>
      <c r="L790" s="977"/>
      <c r="M790" s="977"/>
      <c r="N790" s="977"/>
      <c r="O790" s="977"/>
      <c r="P790" s="977"/>
      <c r="Q790" s="977"/>
      <c r="R790" s="977"/>
      <c r="S790" s="977"/>
      <c r="T790" s="977"/>
      <c r="U790" s="977"/>
      <c r="V790" s="977"/>
      <c r="W790" s="977"/>
      <c r="X790" s="977"/>
      <c r="Y790" s="977"/>
      <c r="Z790" s="977"/>
      <c r="AA790" s="977"/>
      <c r="AB790" s="977"/>
      <c r="AC790" s="977"/>
      <c r="AD790" s="977"/>
      <c r="AE790" s="977"/>
      <c r="AF790" s="977"/>
      <c r="AG790" s="977"/>
      <c r="AH790" s="977"/>
      <c r="AI790" s="977"/>
      <c r="AJ790" s="977"/>
      <c r="AK790" s="977"/>
      <c r="AL790" s="977"/>
      <c r="AM790" s="977"/>
      <c r="AN790" s="977"/>
      <c r="AO790" s="977"/>
      <c r="AP790" s="977"/>
      <c r="AQ790" s="977"/>
    </row>
    <row r="791" spans="1:43" ht="14.25" customHeight="1">
      <c r="A791" s="977"/>
      <c r="B791" s="977"/>
      <c r="C791" s="977"/>
      <c r="D791" s="977"/>
      <c r="E791" s="977"/>
      <c r="F791" s="977"/>
      <c r="G791" s="977"/>
      <c r="H791" s="977"/>
      <c r="I791" s="977"/>
      <c r="J791" s="977"/>
      <c r="K791" s="977"/>
      <c r="L791" s="977"/>
      <c r="M791" s="977"/>
      <c r="N791" s="977"/>
      <c r="O791" s="977"/>
      <c r="P791" s="977"/>
      <c r="Q791" s="977"/>
      <c r="R791" s="977"/>
      <c r="S791" s="977"/>
      <c r="T791" s="977"/>
      <c r="U791" s="977"/>
      <c r="V791" s="977"/>
      <c r="W791" s="977"/>
      <c r="X791" s="977"/>
      <c r="Y791" s="977"/>
      <c r="Z791" s="977"/>
      <c r="AA791" s="977"/>
      <c r="AB791" s="977"/>
      <c r="AC791" s="977"/>
      <c r="AD791" s="977"/>
      <c r="AE791" s="977"/>
      <c r="AF791" s="977"/>
      <c r="AG791" s="977"/>
      <c r="AH791" s="977"/>
      <c r="AI791" s="977"/>
      <c r="AJ791" s="977"/>
      <c r="AK791" s="977"/>
      <c r="AL791" s="977"/>
      <c r="AM791" s="977"/>
      <c r="AN791" s="977"/>
      <c r="AO791" s="977"/>
      <c r="AP791" s="977"/>
      <c r="AQ791" s="977"/>
    </row>
    <row r="792" spans="1:43" ht="14.25" customHeight="1">
      <c r="A792" s="977"/>
      <c r="B792" s="977"/>
      <c r="C792" s="977"/>
      <c r="D792" s="977"/>
      <c r="E792" s="977"/>
      <c r="F792" s="977"/>
      <c r="G792" s="977"/>
      <c r="H792" s="977"/>
      <c r="I792" s="977"/>
      <c r="J792" s="977"/>
      <c r="K792" s="977"/>
      <c r="L792" s="977"/>
      <c r="M792" s="977"/>
      <c r="N792" s="977"/>
      <c r="O792" s="977"/>
      <c r="P792" s="977"/>
      <c r="Q792" s="977"/>
      <c r="R792" s="977"/>
      <c r="S792" s="977"/>
      <c r="T792" s="977"/>
      <c r="U792" s="977"/>
      <c r="V792" s="977"/>
      <c r="W792" s="977"/>
      <c r="X792" s="977"/>
      <c r="Y792" s="977"/>
      <c r="Z792" s="977"/>
      <c r="AA792" s="977"/>
      <c r="AB792" s="977"/>
      <c r="AC792" s="977"/>
      <c r="AD792" s="977"/>
      <c r="AE792" s="977"/>
      <c r="AF792" s="977"/>
      <c r="AG792" s="977"/>
      <c r="AH792" s="977"/>
      <c r="AI792" s="977"/>
      <c r="AJ792" s="977"/>
      <c r="AK792" s="977"/>
      <c r="AL792" s="977"/>
      <c r="AM792" s="977"/>
      <c r="AN792" s="977"/>
      <c r="AO792" s="977"/>
      <c r="AP792" s="977"/>
      <c r="AQ792" s="977"/>
    </row>
    <row r="793" spans="1:43" ht="14.25" customHeight="1">
      <c r="A793" s="977"/>
      <c r="B793" s="977"/>
      <c r="C793" s="977"/>
      <c r="D793" s="977"/>
      <c r="E793" s="977"/>
      <c r="F793" s="977"/>
      <c r="G793" s="977"/>
      <c r="H793" s="977"/>
      <c r="I793" s="977"/>
      <c r="J793" s="977"/>
      <c r="K793" s="977"/>
      <c r="L793" s="977"/>
      <c r="M793" s="977"/>
      <c r="N793" s="977"/>
      <c r="O793" s="977"/>
      <c r="P793" s="977"/>
      <c r="Q793" s="977"/>
      <c r="R793" s="977"/>
      <c r="S793" s="977"/>
      <c r="T793" s="977"/>
      <c r="U793" s="977"/>
      <c r="V793" s="977"/>
      <c r="W793" s="977"/>
      <c r="X793" s="977"/>
      <c r="Y793" s="977"/>
      <c r="Z793" s="977"/>
      <c r="AA793" s="977"/>
      <c r="AB793" s="977"/>
      <c r="AC793" s="977"/>
      <c r="AD793" s="977"/>
      <c r="AE793" s="977"/>
      <c r="AF793" s="977"/>
      <c r="AG793" s="977"/>
      <c r="AH793" s="977"/>
      <c r="AI793" s="977"/>
      <c r="AJ793" s="977"/>
      <c r="AK793" s="977"/>
      <c r="AL793" s="977"/>
      <c r="AM793" s="977"/>
      <c r="AN793" s="977"/>
      <c r="AO793" s="977"/>
      <c r="AP793" s="977"/>
      <c r="AQ793" s="977"/>
    </row>
    <row r="794" spans="1:43" ht="14.25" customHeight="1">
      <c r="A794" s="977"/>
      <c r="B794" s="977"/>
      <c r="C794" s="977"/>
      <c r="D794" s="977"/>
      <c r="E794" s="977"/>
      <c r="F794" s="977"/>
      <c r="G794" s="977"/>
      <c r="H794" s="977"/>
      <c r="I794" s="977"/>
      <c r="J794" s="977"/>
      <c r="K794" s="977"/>
      <c r="L794" s="977"/>
      <c r="M794" s="977"/>
      <c r="N794" s="977"/>
      <c r="O794" s="977"/>
      <c r="P794" s="977"/>
      <c r="Q794" s="977"/>
      <c r="R794" s="977"/>
      <c r="S794" s="977"/>
      <c r="T794" s="977"/>
      <c r="U794" s="977"/>
      <c r="V794" s="977"/>
      <c r="W794" s="977"/>
      <c r="X794" s="977"/>
      <c r="Y794" s="977"/>
      <c r="Z794" s="977"/>
      <c r="AA794" s="977"/>
      <c r="AB794" s="977"/>
      <c r="AC794" s="977"/>
      <c r="AD794" s="977"/>
      <c r="AE794" s="977"/>
      <c r="AF794" s="977"/>
      <c r="AG794" s="977"/>
      <c r="AH794" s="977"/>
      <c r="AI794" s="977"/>
      <c r="AJ794" s="977"/>
      <c r="AK794" s="977"/>
      <c r="AL794" s="977"/>
      <c r="AM794" s="977"/>
      <c r="AN794" s="977"/>
      <c r="AO794" s="977"/>
      <c r="AP794" s="977"/>
      <c r="AQ794" s="977"/>
    </row>
    <row r="795" spans="1:43" ht="14.25" customHeight="1">
      <c r="A795" s="977"/>
      <c r="B795" s="977"/>
      <c r="C795" s="977"/>
      <c r="D795" s="977"/>
      <c r="E795" s="977"/>
      <c r="F795" s="977"/>
      <c r="G795" s="977"/>
      <c r="H795" s="977"/>
      <c r="I795" s="977"/>
      <c r="J795" s="977"/>
      <c r="K795" s="977"/>
      <c r="L795" s="977"/>
      <c r="M795" s="977"/>
      <c r="N795" s="977"/>
      <c r="O795" s="977"/>
      <c r="P795" s="977"/>
      <c r="Q795" s="977"/>
      <c r="R795" s="977"/>
      <c r="S795" s="977"/>
      <c r="T795" s="977"/>
      <c r="U795" s="977"/>
      <c r="V795" s="977"/>
      <c r="W795" s="977"/>
      <c r="X795" s="977"/>
      <c r="Y795" s="977"/>
      <c r="Z795" s="977"/>
      <c r="AA795" s="977"/>
      <c r="AB795" s="977"/>
      <c r="AC795" s="977"/>
      <c r="AD795" s="977"/>
      <c r="AE795" s="977"/>
      <c r="AF795" s="977"/>
      <c r="AG795" s="977"/>
      <c r="AH795" s="977"/>
      <c r="AI795" s="977"/>
      <c r="AJ795" s="977"/>
      <c r="AK795" s="977"/>
      <c r="AL795" s="977"/>
      <c r="AM795" s="977"/>
      <c r="AN795" s="977"/>
      <c r="AO795" s="977"/>
      <c r="AP795" s="977"/>
      <c r="AQ795" s="977"/>
    </row>
    <row r="796" spans="1:43" ht="14.25" customHeight="1">
      <c r="A796" s="977"/>
      <c r="B796" s="977"/>
      <c r="C796" s="977"/>
      <c r="D796" s="977"/>
      <c r="E796" s="977"/>
      <c r="F796" s="977"/>
      <c r="G796" s="977"/>
      <c r="H796" s="977"/>
      <c r="I796" s="977"/>
      <c r="J796" s="977"/>
      <c r="K796" s="977"/>
      <c r="L796" s="977"/>
      <c r="M796" s="977"/>
      <c r="N796" s="977"/>
      <c r="O796" s="977"/>
      <c r="P796" s="977"/>
      <c r="Q796" s="977"/>
      <c r="R796" s="977"/>
      <c r="S796" s="977"/>
      <c r="T796" s="977"/>
      <c r="U796" s="977"/>
      <c r="V796" s="977"/>
      <c r="W796" s="977"/>
      <c r="X796" s="977"/>
      <c r="Y796" s="977"/>
      <c r="Z796" s="977"/>
      <c r="AA796" s="977"/>
      <c r="AB796" s="977"/>
      <c r="AC796" s="977"/>
      <c r="AD796" s="977"/>
      <c r="AE796" s="977"/>
      <c r="AF796" s="977"/>
      <c r="AG796" s="977"/>
      <c r="AH796" s="977"/>
      <c r="AI796" s="977"/>
      <c r="AJ796" s="977"/>
      <c r="AK796" s="977"/>
      <c r="AL796" s="977"/>
      <c r="AM796" s="977"/>
      <c r="AN796" s="977"/>
      <c r="AO796" s="977"/>
      <c r="AP796" s="977"/>
      <c r="AQ796" s="977"/>
    </row>
    <row r="797" spans="1:43" ht="14.25" customHeight="1">
      <c r="A797" s="977"/>
      <c r="B797" s="977"/>
      <c r="C797" s="977"/>
      <c r="D797" s="977"/>
      <c r="E797" s="977"/>
      <c r="F797" s="977"/>
      <c r="G797" s="977"/>
      <c r="H797" s="977"/>
      <c r="I797" s="977"/>
      <c r="J797" s="977"/>
      <c r="K797" s="977"/>
      <c r="L797" s="977"/>
      <c r="M797" s="977"/>
      <c r="N797" s="977"/>
      <c r="O797" s="977"/>
      <c r="P797" s="977"/>
      <c r="Q797" s="977"/>
      <c r="R797" s="977"/>
      <c r="S797" s="977"/>
      <c r="T797" s="977"/>
      <c r="U797" s="977"/>
      <c r="V797" s="977"/>
      <c r="W797" s="977"/>
      <c r="X797" s="977"/>
      <c r="Y797" s="977"/>
      <c r="Z797" s="977"/>
      <c r="AA797" s="977"/>
      <c r="AB797" s="977"/>
      <c r="AC797" s="977"/>
      <c r="AD797" s="977"/>
      <c r="AE797" s="977"/>
      <c r="AF797" s="977"/>
      <c r="AG797" s="977"/>
      <c r="AH797" s="977"/>
      <c r="AI797" s="977"/>
      <c r="AJ797" s="977"/>
      <c r="AK797" s="977"/>
      <c r="AL797" s="977"/>
      <c r="AM797" s="977"/>
      <c r="AN797" s="977"/>
      <c r="AO797" s="977"/>
      <c r="AP797" s="977"/>
      <c r="AQ797" s="977"/>
    </row>
    <row r="798" spans="1:43" ht="14.25" customHeight="1">
      <c r="A798" s="977"/>
      <c r="B798" s="977"/>
      <c r="C798" s="977"/>
      <c r="D798" s="977"/>
      <c r="E798" s="977"/>
      <c r="F798" s="977"/>
      <c r="G798" s="977"/>
      <c r="H798" s="977"/>
      <c r="I798" s="977"/>
      <c r="J798" s="977"/>
      <c r="K798" s="977"/>
      <c r="L798" s="977"/>
      <c r="M798" s="977"/>
      <c r="N798" s="977"/>
      <c r="O798" s="977"/>
      <c r="P798" s="977"/>
      <c r="Q798" s="977"/>
      <c r="R798" s="977"/>
      <c r="S798" s="977"/>
      <c r="T798" s="977"/>
      <c r="U798" s="977"/>
      <c r="V798" s="977"/>
      <c r="W798" s="977"/>
      <c r="X798" s="977"/>
      <c r="Y798" s="977"/>
      <c r="Z798" s="977"/>
      <c r="AA798" s="977"/>
      <c r="AB798" s="977"/>
      <c r="AC798" s="977"/>
      <c r="AD798" s="977"/>
      <c r="AE798" s="977"/>
      <c r="AF798" s="977"/>
      <c r="AG798" s="977"/>
      <c r="AH798" s="977"/>
      <c r="AI798" s="977"/>
      <c r="AJ798" s="977"/>
      <c r="AK798" s="977"/>
      <c r="AL798" s="977"/>
      <c r="AM798" s="977"/>
      <c r="AN798" s="977"/>
      <c r="AO798" s="977"/>
      <c r="AP798" s="977"/>
      <c r="AQ798" s="977"/>
    </row>
    <row r="799" spans="1:43" ht="14.25" customHeight="1">
      <c r="A799" s="977"/>
      <c r="B799" s="977"/>
      <c r="C799" s="977"/>
      <c r="D799" s="977"/>
      <c r="E799" s="977"/>
      <c r="F799" s="977"/>
      <c r="G799" s="977"/>
      <c r="H799" s="977"/>
      <c r="I799" s="977"/>
      <c r="J799" s="977"/>
      <c r="K799" s="977"/>
      <c r="L799" s="977"/>
      <c r="M799" s="977"/>
      <c r="N799" s="977"/>
      <c r="O799" s="977"/>
      <c r="P799" s="977"/>
      <c r="Q799" s="977"/>
      <c r="R799" s="977"/>
      <c r="S799" s="977"/>
      <c r="T799" s="977"/>
      <c r="U799" s="977"/>
      <c r="V799" s="977"/>
      <c r="W799" s="977"/>
      <c r="X799" s="977"/>
      <c r="Y799" s="977"/>
      <c r="Z799" s="977"/>
      <c r="AA799" s="977"/>
      <c r="AB799" s="977"/>
      <c r="AC799" s="977"/>
      <c r="AD799" s="977"/>
      <c r="AE799" s="977"/>
      <c r="AF799" s="977"/>
      <c r="AG799" s="977"/>
      <c r="AH799" s="977"/>
      <c r="AI799" s="977"/>
      <c r="AJ799" s="977"/>
      <c r="AK799" s="977"/>
      <c r="AL799" s="977"/>
      <c r="AM799" s="977"/>
      <c r="AN799" s="977"/>
      <c r="AO799" s="977"/>
      <c r="AP799" s="977"/>
      <c r="AQ799" s="977"/>
    </row>
    <row r="800" spans="1:43" ht="14.25" customHeight="1">
      <c r="A800" s="977"/>
      <c r="B800" s="977"/>
      <c r="C800" s="977"/>
      <c r="D800" s="977"/>
      <c r="E800" s="977"/>
      <c r="F800" s="977"/>
      <c r="G800" s="977"/>
      <c r="H800" s="977"/>
      <c r="I800" s="977"/>
      <c r="J800" s="977"/>
      <c r="K800" s="977"/>
      <c r="L800" s="977"/>
      <c r="M800" s="977"/>
      <c r="N800" s="977"/>
      <c r="O800" s="977"/>
      <c r="P800" s="977"/>
      <c r="Q800" s="977"/>
      <c r="R800" s="977"/>
      <c r="S800" s="977"/>
      <c r="T800" s="977"/>
      <c r="U800" s="977"/>
      <c r="V800" s="977"/>
      <c r="W800" s="977"/>
      <c r="X800" s="977"/>
      <c r="Y800" s="977"/>
      <c r="Z800" s="977"/>
      <c r="AA800" s="977"/>
      <c r="AB800" s="977"/>
      <c r="AC800" s="977"/>
      <c r="AD800" s="977"/>
      <c r="AE800" s="977"/>
      <c r="AF800" s="977"/>
      <c r="AG800" s="977"/>
      <c r="AH800" s="977"/>
      <c r="AI800" s="977"/>
      <c r="AJ800" s="977"/>
      <c r="AK800" s="977"/>
      <c r="AL800" s="977"/>
      <c r="AM800" s="977"/>
      <c r="AN800" s="977"/>
      <c r="AO800" s="977"/>
      <c r="AP800" s="977"/>
      <c r="AQ800" s="977"/>
    </row>
    <row r="801" spans="1:43" ht="14.25" customHeight="1">
      <c r="A801" s="977"/>
      <c r="B801" s="977"/>
      <c r="C801" s="977"/>
      <c r="D801" s="977"/>
      <c r="E801" s="977"/>
      <c r="F801" s="977"/>
      <c r="G801" s="977"/>
      <c r="H801" s="977"/>
      <c r="I801" s="977"/>
      <c r="J801" s="977"/>
      <c r="K801" s="977"/>
      <c r="L801" s="977"/>
      <c r="M801" s="977"/>
      <c r="N801" s="977"/>
      <c r="O801" s="977"/>
      <c r="P801" s="977"/>
      <c r="Q801" s="977"/>
      <c r="R801" s="977"/>
      <c r="S801" s="977"/>
      <c r="T801" s="977"/>
      <c r="U801" s="977"/>
      <c r="V801" s="977"/>
      <c r="W801" s="977"/>
      <c r="X801" s="977"/>
      <c r="Y801" s="977"/>
      <c r="Z801" s="977"/>
      <c r="AA801" s="977"/>
      <c r="AB801" s="977"/>
      <c r="AC801" s="977"/>
      <c r="AD801" s="977"/>
      <c r="AE801" s="977"/>
      <c r="AF801" s="977"/>
      <c r="AG801" s="977"/>
      <c r="AH801" s="977"/>
      <c r="AI801" s="977"/>
      <c r="AJ801" s="977"/>
      <c r="AK801" s="977"/>
      <c r="AL801" s="977"/>
      <c r="AM801" s="977"/>
      <c r="AN801" s="977"/>
      <c r="AO801" s="977"/>
      <c r="AP801" s="977"/>
      <c r="AQ801" s="977"/>
    </row>
    <row r="802" spans="1:43" ht="14.25" customHeight="1">
      <c r="A802" s="977"/>
      <c r="B802" s="977"/>
      <c r="C802" s="977"/>
      <c r="D802" s="977"/>
      <c r="E802" s="977"/>
      <c r="F802" s="977"/>
      <c r="G802" s="977"/>
      <c r="H802" s="977"/>
      <c r="I802" s="977"/>
      <c r="J802" s="977"/>
      <c r="K802" s="977"/>
      <c r="L802" s="977"/>
      <c r="M802" s="977"/>
      <c r="N802" s="977"/>
      <c r="O802" s="977"/>
      <c r="P802" s="977"/>
      <c r="Q802" s="977"/>
      <c r="R802" s="977"/>
      <c r="S802" s="977"/>
      <c r="T802" s="977"/>
      <c r="U802" s="977"/>
      <c r="V802" s="977"/>
      <c r="W802" s="977"/>
      <c r="X802" s="977"/>
      <c r="Y802" s="977"/>
      <c r="Z802" s="977"/>
      <c r="AA802" s="977"/>
      <c r="AB802" s="977"/>
      <c r="AC802" s="977"/>
      <c r="AD802" s="977"/>
      <c r="AE802" s="977"/>
      <c r="AF802" s="977"/>
      <c r="AG802" s="977"/>
      <c r="AH802" s="977"/>
      <c r="AI802" s="977"/>
      <c r="AJ802" s="977"/>
      <c r="AK802" s="977"/>
      <c r="AL802" s="977"/>
      <c r="AM802" s="977"/>
      <c r="AN802" s="977"/>
      <c r="AO802" s="977"/>
      <c r="AP802" s="977"/>
      <c r="AQ802" s="977"/>
    </row>
    <row r="803" spans="1:43" ht="14.25" customHeight="1">
      <c r="A803" s="977"/>
      <c r="B803" s="977"/>
      <c r="C803" s="977"/>
      <c r="D803" s="977"/>
      <c r="E803" s="977"/>
      <c r="F803" s="977"/>
      <c r="G803" s="977"/>
      <c r="H803" s="977"/>
      <c r="I803" s="977"/>
      <c r="J803" s="977"/>
      <c r="K803" s="977"/>
      <c r="L803" s="977"/>
      <c r="M803" s="977"/>
      <c r="N803" s="977"/>
      <c r="O803" s="977"/>
      <c r="P803" s="977"/>
      <c r="Q803" s="977"/>
      <c r="R803" s="977"/>
      <c r="S803" s="977"/>
      <c r="T803" s="977"/>
      <c r="U803" s="977"/>
      <c r="V803" s="977"/>
      <c r="W803" s="977"/>
      <c r="X803" s="977"/>
      <c r="Y803" s="977"/>
      <c r="Z803" s="977"/>
      <c r="AA803" s="977"/>
      <c r="AB803" s="977"/>
      <c r="AC803" s="977"/>
      <c r="AD803" s="977"/>
      <c r="AE803" s="977"/>
      <c r="AF803" s="977"/>
      <c r="AG803" s="977"/>
      <c r="AH803" s="977"/>
      <c r="AI803" s="977"/>
      <c r="AJ803" s="977"/>
      <c r="AK803" s="977"/>
      <c r="AL803" s="977"/>
      <c r="AM803" s="977"/>
      <c r="AN803" s="977"/>
      <c r="AO803" s="977"/>
      <c r="AP803" s="977"/>
      <c r="AQ803" s="977"/>
    </row>
    <row r="804" spans="1:43" ht="14.25" customHeight="1">
      <c r="A804" s="977"/>
      <c r="B804" s="977"/>
      <c r="C804" s="977"/>
      <c r="D804" s="977"/>
      <c r="E804" s="977"/>
      <c r="F804" s="977"/>
      <c r="G804" s="977"/>
      <c r="H804" s="977"/>
      <c r="I804" s="977"/>
      <c r="J804" s="977"/>
      <c r="K804" s="977"/>
      <c r="L804" s="977"/>
      <c r="M804" s="977"/>
      <c r="N804" s="977"/>
      <c r="O804" s="977"/>
      <c r="P804" s="977"/>
      <c r="Q804" s="977"/>
      <c r="R804" s="977"/>
      <c r="S804" s="977"/>
      <c r="T804" s="977"/>
      <c r="U804" s="977"/>
      <c r="V804" s="977"/>
      <c r="W804" s="977"/>
      <c r="X804" s="977"/>
      <c r="Y804" s="977"/>
      <c r="Z804" s="977"/>
      <c r="AA804" s="977"/>
      <c r="AB804" s="977"/>
      <c r="AC804" s="977"/>
      <c r="AD804" s="977"/>
      <c r="AE804" s="977"/>
      <c r="AF804" s="977"/>
      <c r="AG804" s="977"/>
      <c r="AH804" s="977"/>
      <c r="AI804" s="977"/>
      <c r="AJ804" s="977"/>
      <c r="AK804" s="977"/>
      <c r="AL804" s="977"/>
      <c r="AM804" s="977"/>
      <c r="AN804" s="977"/>
      <c r="AO804" s="977"/>
      <c r="AP804" s="977"/>
      <c r="AQ804" s="977"/>
    </row>
    <row r="805" spans="1:43" ht="14.25" customHeight="1">
      <c r="A805" s="977"/>
      <c r="B805" s="977"/>
      <c r="C805" s="977"/>
      <c r="D805" s="977"/>
      <c r="E805" s="977"/>
      <c r="F805" s="977"/>
      <c r="G805" s="977"/>
      <c r="H805" s="977"/>
      <c r="I805" s="977"/>
      <c r="J805" s="977"/>
      <c r="K805" s="977"/>
      <c r="L805" s="977"/>
      <c r="M805" s="977"/>
      <c r="N805" s="977"/>
      <c r="O805" s="977"/>
      <c r="P805" s="977"/>
      <c r="Q805" s="977"/>
      <c r="R805" s="977"/>
      <c r="S805" s="977"/>
      <c r="T805" s="977"/>
      <c r="U805" s="977"/>
      <c r="V805" s="977"/>
      <c r="W805" s="977"/>
      <c r="X805" s="977"/>
      <c r="Y805" s="977"/>
      <c r="Z805" s="977"/>
      <c r="AA805" s="977"/>
      <c r="AB805" s="977"/>
      <c r="AC805" s="977"/>
      <c r="AD805" s="977"/>
      <c r="AE805" s="977"/>
      <c r="AF805" s="977"/>
      <c r="AG805" s="977"/>
      <c r="AH805" s="977"/>
      <c r="AI805" s="977"/>
      <c r="AJ805" s="977"/>
      <c r="AK805" s="977"/>
      <c r="AL805" s="977"/>
      <c r="AM805" s="977"/>
      <c r="AN805" s="977"/>
      <c r="AO805" s="977"/>
      <c r="AP805" s="977"/>
      <c r="AQ805" s="977"/>
    </row>
    <row r="806" spans="1:43" ht="14.25" customHeight="1">
      <c r="A806" s="977"/>
      <c r="B806" s="977"/>
      <c r="C806" s="977"/>
      <c r="D806" s="977"/>
      <c r="E806" s="977"/>
      <c r="F806" s="977"/>
      <c r="G806" s="977"/>
      <c r="H806" s="977"/>
      <c r="I806" s="977"/>
      <c r="J806" s="977"/>
      <c r="K806" s="977"/>
      <c r="L806" s="977"/>
      <c r="M806" s="977"/>
      <c r="N806" s="977"/>
      <c r="O806" s="977"/>
      <c r="P806" s="977"/>
      <c r="Q806" s="977"/>
      <c r="R806" s="977"/>
      <c r="S806" s="977"/>
      <c r="T806" s="977"/>
      <c r="U806" s="977"/>
      <c r="V806" s="977"/>
      <c r="W806" s="977"/>
      <c r="X806" s="977"/>
      <c r="Y806" s="977"/>
      <c r="Z806" s="977"/>
      <c r="AA806" s="977"/>
      <c r="AB806" s="977"/>
      <c r="AC806" s="977"/>
      <c r="AD806" s="977"/>
      <c r="AE806" s="977"/>
      <c r="AF806" s="977"/>
      <c r="AG806" s="977"/>
      <c r="AH806" s="977"/>
      <c r="AI806" s="977"/>
      <c r="AJ806" s="977"/>
      <c r="AK806" s="977"/>
      <c r="AL806" s="977"/>
      <c r="AM806" s="977"/>
      <c r="AN806" s="977"/>
      <c r="AO806" s="977"/>
      <c r="AP806" s="977"/>
      <c r="AQ806" s="977"/>
    </row>
    <row r="807" spans="1:43" ht="14.25" customHeight="1">
      <c r="A807" s="977"/>
      <c r="B807" s="977"/>
      <c r="C807" s="977"/>
      <c r="D807" s="977"/>
      <c r="E807" s="977"/>
      <c r="F807" s="977"/>
      <c r="G807" s="977"/>
      <c r="H807" s="977"/>
      <c r="I807" s="977"/>
      <c r="J807" s="977"/>
      <c r="K807" s="977"/>
      <c r="L807" s="977"/>
      <c r="M807" s="977"/>
      <c r="N807" s="977"/>
      <c r="O807" s="977"/>
      <c r="P807" s="977"/>
      <c r="Q807" s="977"/>
      <c r="R807" s="977"/>
      <c r="S807" s="977"/>
      <c r="T807" s="977"/>
      <c r="U807" s="977"/>
      <c r="V807" s="977"/>
      <c r="W807" s="977"/>
      <c r="X807" s="977"/>
      <c r="Y807" s="977"/>
      <c r="Z807" s="977"/>
      <c r="AA807" s="977"/>
      <c r="AB807" s="977"/>
      <c r="AC807" s="977"/>
      <c r="AD807" s="977"/>
      <c r="AE807" s="977"/>
      <c r="AF807" s="977"/>
      <c r="AG807" s="977"/>
      <c r="AH807" s="977"/>
      <c r="AI807" s="977"/>
      <c r="AJ807" s="977"/>
      <c r="AK807" s="977"/>
      <c r="AL807" s="977"/>
      <c r="AM807" s="977"/>
      <c r="AN807" s="977"/>
      <c r="AO807" s="977"/>
      <c r="AP807" s="977"/>
      <c r="AQ807" s="977"/>
    </row>
    <row r="808" spans="1:43" ht="14.25" customHeight="1">
      <c r="A808" s="977"/>
      <c r="B808" s="977"/>
      <c r="C808" s="977"/>
      <c r="D808" s="977"/>
      <c r="E808" s="977"/>
      <c r="F808" s="977"/>
      <c r="G808" s="977"/>
      <c r="H808" s="977"/>
      <c r="I808" s="977"/>
      <c r="J808" s="977"/>
      <c r="K808" s="977"/>
      <c r="L808" s="977"/>
      <c r="M808" s="977"/>
      <c r="N808" s="977"/>
      <c r="O808" s="977"/>
      <c r="P808" s="977"/>
      <c r="Q808" s="977"/>
      <c r="R808" s="977"/>
      <c r="S808" s="977"/>
      <c r="T808" s="977"/>
      <c r="U808" s="977"/>
      <c r="V808" s="977"/>
      <c r="W808" s="977"/>
      <c r="X808" s="977"/>
      <c r="Y808" s="977"/>
      <c r="Z808" s="977"/>
      <c r="AA808" s="977"/>
      <c r="AB808" s="977"/>
      <c r="AC808" s="977"/>
      <c r="AD808" s="977"/>
      <c r="AE808" s="977"/>
      <c r="AF808" s="977"/>
      <c r="AG808" s="977"/>
      <c r="AH808" s="977"/>
      <c r="AI808" s="977"/>
      <c r="AJ808" s="977"/>
      <c r="AK808" s="977"/>
      <c r="AL808" s="977"/>
      <c r="AM808" s="977"/>
      <c r="AN808" s="977"/>
      <c r="AO808" s="977"/>
      <c r="AP808" s="977"/>
      <c r="AQ808" s="977"/>
    </row>
    <row r="809" spans="1:43" ht="14.25" customHeight="1">
      <c r="A809" s="977"/>
      <c r="B809" s="977"/>
      <c r="C809" s="977"/>
      <c r="D809" s="977"/>
      <c r="E809" s="977"/>
      <c r="F809" s="977"/>
      <c r="G809" s="977"/>
      <c r="H809" s="977"/>
      <c r="I809" s="977"/>
      <c r="J809" s="977"/>
      <c r="K809" s="977"/>
      <c r="L809" s="977"/>
      <c r="M809" s="977"/>
      <c r="N809" s="977"/>
      <c r="O809" s="977"/>
      <c r="P809" s="977"/>
      <c r="Q809" s="977"/>
      <c r="R809" s="977"/>
      <c r="S809" s="977"/>
      <c r="T809" s="977"/>
      <c r="U809" s="977"/>
      <c r="V809" s="977"/>
      <c r="W809" s="977"/>
      <c r="X809" s="977"/>
      <c r="Y809" s="977"/>
      <c r="Z809" s="977"/>
      <c r="AA809" s="977"/>
      <c r="AB809" s="977"/>
      <c r="AC809" s="977"/>
      <c r="AD809" s="977"/>
      <c r="AE809" s="977"/>
      <c r="AF809" s="977"/>
      <c r="AG809" s="977"/>
      <c r="AH809" s="977"/>
      <c r="AI809" s="977"/>
      <c r="AJ809" s="977"/>
      <c r="AK809" s="977"/>
      <c r="AL809" s="977"/>
      <c r="AM809" s="977"/>
      <c r="AN809" s="977"/>
      <c r="AO809" s="977"/>
      <c r="AP809" s="977"/>
      <c r="AQ809" s="977"/>
    </row>
    <row r="810" spans="1:43" ht="14.25" customHeight="1">
      <c r="A810" s="977"/>
      <c r="B810" s="977"/>
      <c r="C810" s="977"/>
      <c r="D810" s="977"/>
      <c r="E810" s="977"/>
      <c r="F810" s="977"/>
      <c r="G810" s="977"/>
      <c r="H810" s="977"/>
      <c r="I810" s="977"/>
      <c r="J810" s="977"/>
      <c r="K810" s="977"/>
      <c r="L810" s="977"/>
      <c r="M810" s="977"/>
      <c r="N810" s="977"/>
      <c r="O810" s="977"/>
      <c r="P810" s="977"/>
      <c r="Q810" s="977"/>
      <c r="R810" s="977"/>
      <c r="S810" s="977"/>
      <c r="T810" s="977"/>
      <c r="U810" s="977"/>
      <c r="V810" s="977"/>
      <c r="W810" s="977"/>
      <c r="X810" s="977"/>
      <c r="Y810" s="977"/>
      <c r="Z810" s="977"/>
      <c r="AA810" s="977"/>
      <c r="AB810" s="977"/>
      <c r="AC810" s="977"/>
      <c r="AD810" s="977"/>
      <c r="AE810" s="977"/>
      <c r="AF810" s="977"/>
      <c r="AG810" s="977"/>
      <c r="AH810" s="977"/>
      <c r="AI810" s="977"/>
      <c r="AJ810" s="977"/>
      <c r="AK810" s="977"/>
      <c r="AL810" s="977"/>
      <c r="AM810" s="977"/>
      <c r="AN810" s="977"/>
      <c r="AO810" s="977"/>
      <c r="AP810" s="977"/>
      <c r="AQ810" s="977"/>
    </row>
    <row r="811" spans="1:43" ht="14.25" customHeight="1">
      <c r="A811" s="977"/>
      <c r="B811" s="977"/>
      <c r="C811" s="977"/>
      <c r="D811" s="977"/>
      <c r="E811" s="977"/>
      <c r="F811" s="977"/>
      <c r="G811" s="977"/>
      <c r="H811" s="977"/>
      <c r="I811" s="977"/>
      <c r="J811" s="977"/>
      <c r="K811" s="977"/>
      <c r="L811" s="977"/>
      <c r="M811" s="977"/>
      <c r="N811" s="977"/>
      <c r="O811" s="977"/>
      <c r="P811" s="977"/>
      <c r="Q811" s="977"/>
      <c r="R811" s="977"/>
      <c r="S811" s="977"/>
      <c r="T811" s="977"/>
      <c r="U811" s="977"/>
      <c r="V811" s="977"/>
      <c r="W811" s="977"/>
      <c r="X811" s="977"/>
      <c r="Y811" s="977"/>
      <c r="Z811" s="977"/>
      <c r="AA811" s="977"/>
      <c r="AB811" s="977"/>
      <c r="AC811" s="977"/>
      <c r="AD811" s="977"/>
      <c r="AE811" s="977"/>
      <c r="AF811" s="977"/>
      <c r="AG811" s="977"/>
      <c r="AH811" s="977"/>
      <c r="AI811" s="977"/>
      <c r="AJ811" s="977"/>
      <c r="AK811" s="977"/>
      <c r="AL811" s="977"/>
      <c r="AM811" s="977"/>
      <c r="AN811" s="977"/>
      <c r="AO811" s="977"/>
      <c r="AP811" s="977"/>
      <c r="AQ811" s="977"/>
    </row>
    <row r="812" spans="1:43" ht="14.25" customHeight="1">
      <c r="A812" s="977"/>
      <c r="B812" s="977"/>
      <c r="C812" s="977"/>
      <c r="D812" s="977"/>
      <c r="E812" s="977"/>
      <c r="F812" s="977"/>
      <c r="G812" s="977"/>
      <c r="H812" s="977"/>
      <c r="I812" s="977"/>
      <c r="J812" s="977"/>
      <c r="K812" s="977"/>
      <c r="L812" s="977"/>
      <c r="M812" s="977"/>
      <c r="N812" s="977"/>
      <c r="O812" s="977"/>
      <c r="P812" s="977"/>
      <c r="Q812" s="977"/>
      <c r="R812" s="977"/>
      <c r="S812" s="977"/>
      <c r="T812" s="977"/>
      <c r="U812" s="977"/>
      <c r="V812" s="977"/>
      <c r="W812" s="977"/>
      <c r="X812" s="977"/>
      <c r="Y812" s="977"/>
      <c r="Z812" s="977"/>
      <c r="AA812" s="977"/>
      <c r="AB812" s="977"/>
      <c r="AC812" s="977"/>
      <c r="AD812" s="977"/>
      <c r="AE812" s="977"/>
      <c r="AF812" s="977"/>
      <c r="AG812" s="977"/>
      <c r="AH812" s="977"/>
      <c r="AI812" s="977"/>
      <c r="AJ812" s="977"/>
      <c r="AK812" s="977"/>
      <c r="AL812" s="977"/>
      <c r="AM812" s="977"/>
      <c r="AN812" s="977"/>
      <c r="AO812" s="977"/>
      <c r="AP812" s="977"/>
      <c r="AQ812" s="977"/>
    </row>
    <row r="813" spans="1:43" ht="14.25" customHeight="1">
      <c r="A813" s="977"/>
      <c r="B813" s="977"/>
      <c r="C813" s="977"/>
      <c r="D813" s="977"/>
      <c r="E813" s="977"/>
      <c r="F813" s="977"/>
      <c r="G813" s="977"/>
      <c r="H813" s="977"/>
      <c r="I813" s="977"/>
      <c r="J813" s="977"/>
      <c r="K813" s="977"/>
      <c r="L813" s="977"/>
      <c r="M813" s="977"/>
      <c r="N813" s="977"/>
      <c r="O813" s="977"/>
      <c r="P813" s="977"/>
      <c r="Q813" s="977"/>
      <c r="R813" s="977"/>
      <c r="S813" s="977"/>
      <c r="T813" s="977"/>
      <c r="U813" s="977"/>
      <c r="V813" s="977"/>
      <c r="W813" s="977"/>
      <c r="X813" s="977"/>
      <c r="Y813" s="977"/>
      <c r="Z813" s="977"/>
      <c r="AA813" s="977"/>
      <c r="AB813" s="977"/>
      <c r="AC813" s="977"/>
      <c r="AD813" s="977"/>
      <c r="AE813" s="977"/>
      <c r="AF813" s="977"/>
      <c r="AG813" s="977"/>
      <c r="AH813" s="977"/>
      <c r="AI813" s="977"/>
      <c r="AJ813" s="977"/>
      <c r="AK813" s="977"/>
      <c r="AL813" s="977"/>
      <c r="AM813" s="977"/>
      <c r="AN813" s="977"/>
      <c r="AO813" s="977"/>
      <c r="AP813" s="977"/>
      <c r="AQ813" s="977"/>
    </row>
    <row r="814" spans="1:43" ht="14.25" customHeight="1">
      <c r="A814" s="977"/>
      <c r="B814" s="977"/>
      <c r="C814" s="977"/>
      <c r="D814" s="977"/>
      <c r="E814" s="977"/>
      <c r="F814" s="977"/>
      <c r="G814" s="977"/>
      <c r="H814" s="977"/>
      <c r="I814" s="977"/>
      <c r="J814" s="977"/>
      <c r="K814" s="977"/>
      <c r="L814" s="977"/>
      <c r="M814" s="977"/>
      <c r="N814" s="977"/>
      <c r="O814" s="977"/>
      <c r="P814" s="977"/>
      <c r="Q814" s="977"/>
      <c r="R814" s="977"/>
      <c r="S814" s="977"/>
      <c r="T814" s="977"/>
      <c r="U814" s="977"/>
      <c r="V814" s="977"/>
      <c r="W814" s="977"/>
      <c r="X814" s="977"/>
      <c r="Y814" s="977"/>
      <c r="Z814" s="977"/>
      <c r="AA814" s="977"/>
      <c r="AB814" s="977"/>
      <c r="AC814" s="977"/>
      <c r="AD814" s="977"/>
      <c r="AE814" s="977"/>
      <c r="AF814" s="977"/>
      <c r="AG814" s="977"/>
      <c r="AH814" s="977"/>
      <c r="AI814" s="977"/>
      <c r="AJ814" s="977"/>
      <c r="AK814" s="977"/>
      <c r="AL814" s="977"/>
      <c r="AM814" s="977"/>
      <c r="AN814" s="977"/>
      <c r="AO814" s="977"/>
      <c r="AP814" s="977"/>
      <c r="AQ814" s="977"/>
    </row>
    <row r="815" spans="1:43" ht="14.25" customHeight="1">
      <c r="A815" s="977"/>
      <c r="B815" s="977"/>
      <c r="C815" s="977"/>
      <c r="D815" s="977"/>
      <c r="E815" s="977"/>
      <c r="F815" s="977"/>
      <c r="G815" s="977"/>
      <c r="H815" s="977"/>
      <c r="I815" s="977"/>
      <c r="J815" s="977"/>
      <c r="K815" s="977"/>
      <c r="L815" s="977"/>
      <c r="M815" s="977"/>
      <c r="N815" s="977"/>
      <c r="O815" s="977"/>
      <c r="P815" s="977"/>
      <c r="Q815" s="977"/>
      <c r="R815" s="977"/>
      <c r="S815" s="977"/>
      <c r="T815" s="977"/>
      <c r="U815" s="977"/>
      <c r="V815" s="977"/>
      <c r="W815" s="977"/>
      <c r="X815" s="977"/>
      <c r="Y815" s="977"/>
      <c r="Z815" s="977"/>
      <c r="AA815" s="977"/>
      <c r="AB815" s="977"/>
      <c r="AC815" s="977"/>
      <c r="AD815" s="977"/>
      <c r="AE815" s="977"/>
      <c r="AF815" s="977"/>
      <c r="AG815" s="977"/>
      <c r="AH815" s="977"/>
      <c r="AI815" s="977"/>
      <c r="AJ815" s="977"/>
      <c r="AK815" s="977"/>
      <c r="AL815" s="977"/>
      <c r="AM815" s="977"/>
      <c r="AN815" s="977"/>
      <c r="AO815" s="977"/>
      <c r="AP815" s="977"/>
      <c r="AQ815" s="977"/>
    </row>
    <row r="816" spans="1:43" ht="14.25" customHeight="1">
      <c r="A816" s="977"/>
      <c r="B816" s="977"/>
      <c r="C816" s="977"/>
      <c r="D816" s="977"/>
      <c r="E816" s="977"/>
      <c r="F816" s="977"/>
      <c r="G816" s="977"/>
      <c r="H816" s="977"/>
      <c r="I816" s="977"/>
      <c r="J816" s="977"/>
      <c r="K816" s="977"/>
      <c r="L816" s="977"/>
      <c r="M816" s="977"/>
      <c r="N816" s="977"/>
      <c r="O816" s="977"/>
      <c r="P816" s="977"/>
      <c r="Q816" s="977"/>
      <c r="R816" s="977"/>
      <c r="S816" s="977"/>
      <c r="T816" s="977"/>
      <c r="U816" s="977"/>
      <c r="V816" s="977"/>
      <c r="W816" s="977"/>
      <c r="X816" s="977"/>
      <c r="Y816" s="977"/>
      <c r="Z816" s="977"/>
      <c r="AA816" s="977"/>
      <c r="AB816" s="977"/>
      <c r="AC816" s="977"/>
      <c r="AD816" s="977"/>
      <c r="AE816" s="977"/>
      <c r="AF816" s="977"/>
      <c r="AG816" s="977"/>
      <c r="AH816" s="977"/>
      <c r="AI816" s="977"/>
      <c r="AJ816" s="977"/>
      <c r="AK816" s="977"/>
      <c r="AL816" s="977"/>
      <c r="AM816" s="977"/>
      <c r="AN816" s="977"/>
      <c r="AO816" s="977"/>
      <c r="AP816" s="977"/>
      <c r="AQ816" s="977"/>
    </row>
    <row r="817" spans="1:43" ht="14.25" customHeight="1">
      <c r="A817" s="977"/>
      <c r="B817" s="977"/>
      <c r="C817" s="977"/>
      <c r="D817" s="977"/>
      <c r="E817" s="977"/>
      <c r="F817" s="977"/>
      <c r="G817" s="977"/>
      <c r="H817" s="977"/>
      <c r="I817" s="977"/>
      <c r="J817" s="977"/>
      <c r="K817" s="977"/>
      <c r="L817" s="977"/>
      <c r="M817" s="977"/>
      <c r="N817" s="977"/>
      <c r="O817" s="977"/>
      <c r="P817" s="977"/>
      <c r="Q817" s="977"/>
      <c r="R817" s="977"/>
      <c r="S817" s="977"/>
      <c r="T817" s="977"/>
      <c r="U817" s="977"/>
      <c r="V817" s="977"/>
      <c r="W817" s="977"/>
      <c r="X817" s="977"/>
      <c r="Y817" s="977"/>
      <c r="Z817" s="977"/>
      <c r="AA817" s="977"/>
      <c r="AB817" s="977"/>
      <c r="AC817" s="977"/>
      <c r="AD817" s="977"/>
      <c r="AE817" s="977"/>
      <c r="AF817" s="977"/>
      <c r="AG817" s="977"/>
      <c r="AH817" s="977"/>
      <c r="AI817" s="977"/>
      <c r="AJ817" s="977"/>
      <c r="AK817" s="977"/>
      <c r="AL817" s="977"/>
      <c r="AM817" s="977"/>
      <c r="AN817" s="977"/>
      <c r="AO817" s="977"/>
      <c r="AP817" s="977"/>
      <c r="AQ817" s="977"/>
    </row>
    <row r="818" spans="1:43" ht="14.25" customHeight="1">
      <c r="A818" s="977"/>
      <c r="B818" s="977"/>
      <c r="C818" s="977"/>
      <c r="D818" s="977"/>
      <c r="E818" s="977"/>
      <c r="F818" s="977"/>
      <c r="G818" s="977"/>
      <c r="H818" s="977"/>
      <c r="I818" s="977"/>
      <c r="J818" s="977"/>
      <c r="K818" s="977"/>
      <c r="L818" s="977"/>
      <c r="M818" s="977"/>
      <c r="N818" s="977"/>
      <c r="O818" s="977"/>
      <c r="P818" s="977"/>
      <c r="Q818" s="977"/>
      <c r="R818" s="977"/>
      <c r="S818" s="977"/>
      <c r="T818" s="977"/>
      <c r="U818" s="977"/>
      <c r="V818" s="977"/>
      <c r="W818" s="977"/>
      <c r="X818" s="977"/>
      <c r="Y818" s="977"/>
      <c r="Z818" s="977"/>
      <c r="AA818" s="977"/>
      <c r="AB818" s="977"/>
      <c r="AC818" s="977"/>
      <c r="AD818" s="977"/>
      <c r="AE818" s="977"/>
      <c r="AF818" s="977"/>
      <c r="AG818" s="977"/>
      <c r="AH818" s="977"/>
      <c r="AI818" s="977"/>
      <c r="AJ818" s="977"/>
      <c r="AK818" s="977"/>
      <c r="AL818" s="977"/>
      <c r="AM818" s="977"/>
      <c r="AN818" s="977"/>
      <c r="AO818" s="977"/>
      <c r="AP818" s="977"/>
      <c r="AQ818" s="977"/>
    </row>
    <row r="819" spans="1:43" ht="14.25" customHeight="1">
      <c r="A819" s="977"/>
      <c r="B819" s="977"/>
      <c r="C819" s="977"/>
      <c r="D819" s="977"/>
      <c r="E819" s="977"/>
      <c r="F819" s="977"/>
      <c r="G819" s="977"/>
      <c r="H819" s="977"/>
      <c r="I819" s="977"/>
      <c r="J819" s="977"/>
      <c r="K819" s="977"/>
      <c r="L819" s="977"/>
      <c r="M819" s="977"/>
      <c r="N819" s="977"/>
      <c r="O819" s="977"/>
      <c r="P819" s="977"/>
      <c r="Q819" s="977"/>
      <c r="R819" s="977"/>
      <c r="S819" s="977"/>
      <c r="T819" s="977"/>
      <c r="U819" s="977"/>
      <c r="V819" s="977"/>
      <c r="W819" s="977"/>
      <c r="X819" s="977"/>
      <c r="Y819" s="977"/>
      <c r="Z819" s="977"/>
      <c r="AA819" s="977"/>
      <c r="AB819" s="977"/>
      <c r="AC819" s="977"/>
      <c r="AD819" s="977"/>
      <c r="AE819" s="977"/>
      <c r="AF819" s="977"/>
      <c r="AG819" s="977"/>
      <c r="AH819" s="977"/>
      <c r="AI819" s="977"/>
      <c r="AJ819" s="977"/>
      <c r="AK819" s="977"/>
      <c r="AL819" s="977"/>
      <c r="AM819" s="977"/>
      <c r="AN819" s="977"/>
      <c r="AO819" s="977"/>
      <c r="AP819" s="977"/>
      <c r="AQ819" s="977"/>
    </row>
    <row r="820" spans="1:43" ht="14.25" customHeight="1">
      <c r="A820" s="977"/>
      <c r="B820" s="977"/>
      <c r="C820" s="977"/>
      <c r="D820" s="977"/>
      <c r="E820" s="977"/>
      <c r="F820" s="977"/>
      <c r="G820" s="977"/>
      <c r="H820" s="977"/>
      <c r="I820" s="977"/>
      <c r="J820" s="977"/>
      <c r="K820" s="977"/>
      <c r="L820" s="977"/>
      <c r="M820" s="977"/>
      <c r="N820" s="977"/>
      <c r="O820" s="977"/>
      <c r="P820" s="977"/>
      <c r="Q820" s="977"/>
      <c r="R820" s="977"/>
      <c r="S820" s="977"/>
      <c r="T820" s="977"/>
      <c r="U820" s="977"/>
      <c r="V820" s="977"/>
      <c r="W820" s="977"/>
      <c r="X820" s="977"/>
      <c r="Y820" s="977"/>
      <c r="Z820" s="977"/>
      <c r="AA820" s="977"/>
      <c r="AB820" s="977"/>
      <c r="AC820" s="977"/>
      <c r="AD820" s="977"/>
      <c r="AE820" s="977"/>
      <c r="AF820" s="977"/>
      <c r="AG820" s="977"/>
      <c r="AH820" s="977"/>
      <c r="AI820" s="977"/>
      <c r="AJ820" s="977"/>
      <c r="AK820" s="977"/>
      <c r="AL820" s="977"/>
      <c r="AM820" s="977"/>
      <c r="AN820" s="977"/>
      <c r="AO820" s="977"/>
      <c r="AP820" s="977"/>
      <c r="AQ820" s="977"/>
    </row>
    <row r="821" spans="1:43" ht="14.25" customHeight="1">
      <c r="A821" s="977"/>
      <c r="B821" s="977"/>
      <c r="C821" s="977"/>
      <c r="D821" s="977"/>
      <c r="E821" s="977"/>
      <c r="F821" s="977"/>
      <c r="G821" s="977"/>
      <c r="H821" s="977"/>
      <c r="I821" s="977"/>
      <c r="J821" s="977"/>
      <c r="K821" s="977"/>
      <c r="L821" s="977"/>
      <c r="M821" s="977"/>
      <c r="N821" s="977"/>
      <c r="O821" s="977"/>
      <c r="P821" s="977"/>
      <c r="Q821" s="977"/>
      <c r="R821" s="977"/>
      <c r="S821" s="977"/>
      <c r="T821" s="977"/>
      <c r="U821" s="977"/>
      <c r="V821" s="977"/>
      <c r="W821" s="977"/>
      <c r="X821" s="977"/>
      <c r="Y821" s="977"/>
      <c r="Z821" s="977"/>
      <c r="AA821" s="977"/>
      <c r="AB821" s="977"/>
      <c r="AC821" s="977"/>
      <c r="AD821" s="977"/>
      <c r="AE821" s="977"/>
      <c r="AF821" s="977"/>
      <c r="AG821" s="977"/>
      <c r="AH821" s="977"/>
      <c r="AI821" s="977"/>
      <c r="AJ821" s="977"/>
      <c r="AK821" s="977"/>
      <c r="AL821" s="977"/>
      <c r="AM821" s="977"/>
      <c r="AN821" s="977"/>
      <c r="AO821" s="977"/>
      <c r="AP821" s="977"/>
      <c r="AQ821" s="977"/>
    </row>
    <row r="822" spans="1:43" ht="14.25" customHeight="1">
      <c r="A822" s="977"/>
      <c r="B822" s="977"/>
      <c r="C822" s="977"/>
      <c r="D822" s="977"/>
      <c r="E822" s="977"/>
      <c r="F822" s="977"/>
      <c r="G822" s="977"/>
      <c r="H822" s="977"/>
      <c r="I822" s="977"/>
      <c r="J822" s="977"/>
      <c r="K822" s="977"/>
      <c r="L822" s="977"/>
      <c r="M822" s="977"/>
      <c r="N822" s="977"/>
      <c r="O822" s="977"/>
      <c r="P822" s="977"/>
      <c r="Q822" s="977"/>
      <c r="R822" s="977"/>
      <c r="S822" s="977"/>
      <c r="T822" s="977"/>
      <c r="U822" s="977"/>
      <c r="V822" s="977"/>
      <c r="W822" s="977"/>
      <c r="X822" s="977"/>
      <c r="Y822" s="977"/>
      <c r="Z822" s="977"/>
      <c r="AA822" s="977"/>
      <c r="AB822" s="977"/>
      <c r="AC822" s="977"/>
      <c r="AD822" s="977"/>
      <c r="AE822" s="977"/>
      <c r="AF822" s="977"/>
      <c r="AG822" s="977"/>
      <c r="AH822" s="977"/>
      <c r="AI822" s="977"/>
      <c r="AJ822" s="977"/>
      <c r="AK822" s="977"/>
      <c r="AL822" s="977"/>
      <c r="AM822" s="977"/>
      <c r="AN822" s="977"/>
      <c r="AO822" s="977"/>
      <c r="AP822" s="977"/>
      <c r="AQ822" s="977"/>
    </row>
    <row r="823" spans="1:43" ht="14.25" customHeight="1">
      <c r="A823" s="977"/>
      <c r="B823" s="977"/>
      <c r="C823" s="977"/>
      <c r="D823" s="977"/>
      <c r="E823" s="977"/>
      <c r="F823" s="977"/>
      <c r="G823" s="977"/>
      <c r="H823" s="977"/>
      <c r="I823" s="977"/>
      <c r="J823" s="977"/>
      <c r="K823" s="977"/>
      <c r="L823" s="977"/>
      <c r="M823" s="977"/>
      <c r="N823" s="977"/>
      <c r="O823" s="977"/>
      <c r="P823" s="977"/>
      <c r="Q823" s="977"/>
      <c r="R823" s="977"/>
      <c r="S823" s="977"/>
      <c r="T823" s="977"/>
      <c r="U823" s="977"/>
      <c r="V823" s="977"/>
      <c r="W823" s="977"/>
      <c r="X823" s="977"/>
      <c r="Y823" s="977"/>
      <c r="Z823" s="977"/>
      <c r="AA823" s="977"/>
      <c r="AB823" s="977"/>
      <c r="AC823" s="977"/>
      <c r="AD823" s="977"/>
      <c r="AE823" s="977"/>
      <c r="AF823" s="977"/>
      <c r="AG823" s="977"/>
      <c r="AH823" s="977"/>
      <c r="AI823" s="977"/>
      <c r="AJ823" s="977"/>
      <c r="AK823" s="977"/>
      <c r="AL823" s="977"/>
      <c r="AM823" s="977"/>
      <c r="AN823" s="977"/>
      <c r="AO823" s="977"/>
      <c r="AP823" s="977"/>
      <c r="AQ823" s="977"/>
    </row>
    <row r="824" spans="1:43" ht="14.25" customHeight="1">
      <c r="A824" s="977"/>
      <c r="B824" s="977"/>
      <c r="C824" s="977"/>
      <c r="D824" s="977"/>
      <c r="E824" s="977"/>
      <c r="F824" s="977"/>
      <c r="G824" s="977"/>
      <c r="H824" s="977"/>
      <c r="I824" s="977"/>
      <c r="J824" s="977"/>
      <c r="K824" s="977"/>
      <c r="L824" s="977"/>
      <c r="M824" s="977"/>
      <c r="N824" s="977"/>
      <c r="O824" s="977"/>
      <c r="P824" s="977"/>
      <c r="Q824" s="977"/>
      <c r="R824" s="977"/>
      <c r="S824" s="977"/>
      <c r="T824" s="977"/>
      <c r="U824" s="977"/>
      <c r="V824" s="977"/>
      <c r="W824" s="977"/>
      <c r="X824" s="977"/>
      <c r="Y824" s="977"/>
      <c r="Z824" s="977"/>
      <c r="AA824" s="977"/>
      <c r="AB824" s="977"/>
      <c r="AC824" s="977"/>
      <c r="AD824" s="977"/>
      <c r="AE824" s="977"/>
      <c r="AF824" s="977"/>
      <c r="AG824" s="977"/>
      <c r="AH824" s="977"/>
      <c r="AI824" s="977"/>
      <c r="AJ824" s="977"/>
      <c r="AK824" s="977"/>
      <c r="AL824" s="977"/>
      <c r="AM824" s="977"/>
      <c r="AN824" s="977"/>
      <c r="AO824" s="977"/>
      <c r="AP824" s="977"/>
      <c r="AQ824" s="977"/>
    </row>
    <row r="825" spans="1:43" ht="14.25" customHeight="1">
      <c r="A825" s="977"/>
      <c r="B825" s="977"/>
      <c r="C825" s="977"/>
      <c r="D825" s="977"/>
      <c r="E825" s="977"/>
      <c r="F825" s="977"/>
      <c r="G825" s="977"/>
      <c r="H825" s="977"/>
      <c r="I825" s="977"/>
      <c r="J825" s="977"/>
      <c r="K825" s="977"/>
      <c r="L825" s="977"/>
      <c r="M825" s="977"/>
      <c r="N825" s="977"/>
      <c r="O825" s="977"/>
      <c r="P825" s="977"/>
      <c r="Q825" s="977"/>
      <c r="R825" s="977"/>
      <c r="S825" s="977"/>
      <c r="T825" s="977"/>
      <c r="U825" s="977"/>
      <c r="V825" s="977"/>
      <c r="W825" s="977"/>
      <c r="X825" s="977"/>
      <c r="Y825" s="977"/>
      <c r="Z825" s="977"/>
      <c r="AA825" s="977"/>
      <c r="AB825" s="977"/>
      <c r="AC825" s="977"/>
      <c r="AD825" s="977"/>
      <c r="AE825" s="977"/>
      <c r="AF825" s="977"/>
      <c r="AG825" s="977"/>
      <c r="AH825" s="977"/>
      <c r="AI825" s="977"/>
      <c r="AJ825" s="977"/>
      <c r="AK825" s="977"/>
      <c r="AL825" s="977"/>
      <c r="AM825" s="977"/>
      <c r="AN825" s="977"/>
      <c r="AO825" s="977"/>
      <c r="AP825" s="977"/>
      <c r="AQ825" s="977"/>
    </row>
    <row r="826" spans="1:43" ht="14.25" customHeight="1">
      <c r="A826" s="977"/>
      <c r="B826" s="977"/>
      <c r="C826" s="977"/>
      <c r="D826" s="977"/>
      <c r="E826" s="977"/>
      <c r="F826" s="977"/>
      <c r="G826" s="977"/>
      <c r="H826" s="977"/>
      <c r="I826" s="977"/>
      <c r="J826" s="977"/>
      <c r="K826" s="977"/>
      <c r="L826" s="977"/>
      <c r="M826" s="977"/>
      <c r="N826" s="977"/>
      <c r="O826" s="977"/>
      <c r="P826" s="977"/>
      <c r="Q826" s="977"/>
      <c r="R826" s="977"/>
      <c r="S826" s="977"/>
      <c r="T826" s="977"/>
      <c r="U826" s="977"/>
      <c r="V826" s="977"/>
      <c r="W826" s="977"/>
      <c r="X826" s="977"/>
      <c r="Y826" s="977"/>
      <c r="Z826" s="977"/>
      <c r="AA826" s="977"/>
      <c r="AB826" s="977"/>
      <c r="AC826" s="977"/>
      <c r="AD826" s="977"/>
      <c r="AE826" s="977"/>
      <c r="AF826" s="977"/>
      <c r="AG826" s="977"/>
      <c r="AH826" s="977"/>
      <c r="AI826" s="977"/>
      <c r="AJ826" s="977"/>
      <c r="AK826" s="977"/>
      <c r="AL826" s="977"/>
      <c r="AM826" s="977"/>
      <c r="AN826" s="977"/>
      <c r="AO826" s="977"/>
      <c r="AP826" s="977"/>
      <c r="AQ826" s="977"/>
    </row>
    <row r="827" spans="1:43" ht="14.25" customHeight="1">
      <c r="A827" s="977"/>
      <c r="B827" s="977"/>
      <c r="C827" s="977"/>
      <c r="D827" s="977"/>
      <c r="E827" s="977"/>
      <c r="F827" s="977"/>
      <c r="G827" s="977"/>
      <c r="H827" s="977"/>
      <c r="I827" s="977"/>
      <c r="J827" s="977"/>
      <c r="K827" s="977"/>
      <c r="L827" s="977"/>
      <c r="M827" s="977"/>
      <c r="N827" s="977"/>
      <c r="O827" s="977"/>
      <c r="P827" s="977"/>
      <c r="Q827" s="977"/>
      <c r="R827" s="977"/>
      <c r="S827" s="977"/>
      <c r="T827" s="977"/>
      <c r="U827" s="977"/>
      <c r="V827" s="977"/>
      <c r="W827" s="977"/>
      <c r="X827" s="977"/>
      <c r="Y827" s="977"/>
      <c r="Z827" s="977"/>
      <c r="AA827" s="977"/>
      <c r="AB827" s="977"/>
      <c r="AC827" s="977"/>
      <c r="AD827" s="977"/>
      <c r="AE827" s="977"/>
      <c r="AF827" s="977"/>
      <c r="AG827" s="977"/>
      <c r="AH827" s="977"/>
      <c r="AI827" s="977"/>
      <c r="AJ827" s="977"/>
      <c r="AK827" s="977"/>
      <c r="AL827" s="977"/>
      <c r="AM827" s="977"/>
      <c r="AN827" s="977"/>
      <c r="AO827" s="977"/>
      <c r="AP827" s="977"/>
      <c r="AQ827" s="977"/>
    </row>
    <row r="828" spans="1:43" ht="14.25" customHeight="1">
      <c r="A828" s="977"/>
      <c r="B828" s="977"/>
      <c r="C828" s="977"/>
      <c r="D828" s="977"/>
      <c r="E828" s="977"/>
      <c r="F828" s="977"/>
      <c r="G828" s="977"/>
      <c r="H828" s="977"/>
      <c r="I828" s="977"/>
      <c r="J828" s="977"/>
      <c r="K828" s="977"/>
      <c r="L828" s="977"/>
      <c r="M828" s="977"/>
      <c r="N828" s="977"/>
      <c r="O828" s="977"/>
      <c r="P828" s="977"/>
      <c r="Q828" s="977"/>
      <c r="R828" s="977"/>
      <c r="S828" s="977"/>
      <c r="T828" s="977"/>
      <c r="U828" s="977"/>
      <c r="V828" s="977"/>
      <c r="W828" s="977"/>
      <c r="X828" s="977"/>
      <c r="Y828" s="977"/>
      <c r="Z828" s="977"/>
      <c r="AA828" s="977"/>
      <c r="AB828" s="977"/>
      <c r="AC828" s="977"/>
      <c r="AD828" s="977"/>
      <c r="AE828" s="977"/>
      <c r="AF828" s="977"/>
      <c r="AG828" s="977"/>
      <c r="AH828" s="977"/>
      <c r="AI828" s="977"/>
      <c r="AJ828" s="977"/>
      <c r="AK828" s="977"/>
      <c r="AL828" s="977"/>
      <c r="AM828" s="977"/>
      <c r="AN828" s="977"/>
      <c r="AO828" s="977"/>
      <c r="AP828" s="977"/>
      <c r="AQ828" s="977"/>
    </row>
    <row r="829" spans="1:43" ht="14.25" customHeight="1">
      <c r="A829" s="977"/>
      <c r="B829" s="977"/>
      <c r="C829" s="977"/>
      <c r="D829" s="977"/>
      <c r="E829" s="977"/>
      <c r="F829" s="977"/>
      <c r="G829" s="977"/>
      <c r="H829" s="977"/>
      <c r="I829" s="977"/>
      <c r="J829" s="977"/>
      <c r="K829" s="977"/>
      <c r="L829" s="977"/>
      <c r="M829" s="977"/>
      <c r="N829" s="977"/>
      <c r="O829" s="977"/>
      <c r="P829" s="977"/>
      <c r="Q829" s="977"/>
      <c r="R829" s="977"/>
      <c r="S829" s="977"/>
      <c r="T829" s="977"/>
      <c r="U829" s="977"/>
      <c r="V829" s="977"/>
      <c r="W829" s="977"/>
      <c r="X829" s="977"/>
      <c r="Y829" s="977"/>
      <c r="Z829" s="977"/>
      <c r="AA829" s="977"/>
      <c r="AB829" s="977"/>
      <c r="AC829" s="977"/>
      <c r="AD829" s="977"/>
      <c r="AE829" s="977"/>
      <c r="AF829" s="977"/>
      <c r="AG829" s="977"/>
      <c r="AH829" s="977"/>
      <c r="AI829" s="977"/>
      <c r="AJ829" s="977"/>
      <c r="AK829" s="977"/>
      <c r="AL829" s="977"/>
      <c r="AM829" s="977"/>
      <c r="AN829" s="977"/>
      <c r="AO829" s="977"/>
      <c r="AP829" s="977"/>
      <c r="AQ829" s="977"/>
    </row>
    <row r="830" spans="1:43" ht="14.25" customHeight="1">
      <c r="A830" s="977"/>
      <c r="B830" s="977"/>
      <c r="C830" s="977"/>
      <c r="D830" s="977"/>
      <c r="E830" s="977"/>
      <c r="F830" s="977"/>
      <c r="G830" s="977"/>
      <c r="H830" s="977"/>
      <c r="I830" s="977"/>
      <c r="J830" s="977"/>
      <c r="K830" s="977"/>
      <c r="L830" s="977"/>
      <c r="M830" s="977"/>
      <c r="N830" s="977"/>
      <c r="O830" s="977"/>
      <c r="P830" s="977"/>
      <c r="Q830" s="977"/>
      <c r="R830" s="977"/>
      <c r="S830" s="977"/>
      <c r="T830" s="977"/>
      <c r="U830" s="977"/>
      <c r="V830" s="977"/>
      <c r="W830" s="977"/>
      <c r="X830" s="977"/>
      <c r="Y830" s="977"/>
      <c r="Z830" s="977"/>
      <c r="AA830" s="977"/>
      <c r="AB830" s="977"/>
      <c r="AC830" s="977"/>
      <c r="AD830" s="977"/>
      <c r="AE830" s="977"/>
      <c r="AF830" s="977"/>
      <c r="AG830" s="977"/>
      <c r="AH830" s="977"/>
      <c r="AI830" s="977"/>
      <c r="AJ830" s="977"/>
      <c r="AK830" s="977"/>
      <c r="AL830" s="977"/>
      <c r="AM830" s="977"/>
      <c r="AN830" s="977"/>
      <c r="AO830" s="977"/>
      <c r="AP830" s="977"/>
      <c r="AQ830" s="977"/>
    </row>
    <row r="831" spans="1:43" ht="14.25" customHeight="1">
      <c r="A831" s="977"/>
      <c r="B831" s="977"/>
      <c r="C831" s="977"/>
      <c r="D831" s="977"/>
      <c r="E831" s="977"/>
      <c r="F831" s="977"/>
      <c r="G831" s="977"/>
      <c r="H831" s="977"/>
      <c r="I831" s="977"/>
      <c r="J831" s="977"/>
      <c r="K831" s="977"/>
      <c r="L831" s="977"/>
      <c r="M831" s="977"/>
      <c r="N831" s="977"/>
      <c r="O831" s="977"/>
      <c r="P831" s="977"/>
      <c r="Q831" s="977"/>
      <c r="R831" s="977"/>
      <c r="S831" s="977"/>
      <c r="T831" s="977"/>
      <c r="U831" s="977"/>
      <c r="V831" s="977"/>
      <c r="W831" s="977"/>
      <c r="X831" s="977"/>
      <c r="Y831" s="977"/>
      <c r="Z831" s="977"/>
      <c r="AA831" s="977"/>
      <c r="AB831" s="977"/>
      <c r="AC831" s="977"/>
      <c r="AD831" s="977"/>
      <c r="AE831" s="977"/>
      <c r="AF831" s="977"/>
      <c r="AG831" s="977"/>
      <c r="AH831" s="977"/>
      <c r="AI831" s="977"/>
      <c r="AJ831" s="977"/>
      <c r="AK831" s="977"/>
      <c r="AL831" s="977"/>
      <c r="AM831" s="977"/>
      <c r="AN831" s="977"/>
      <c r="AO831" s="977"/>
      <c r="AP831" s="977"/>
      <c r="AQ831" s="977"/>
    </row>
    <row r="832" spans="1:43" ht="14.25" customHeight="1">
      <c r="A832" s="977"/>
      <c r="B832" s="977"/>
      <c r="C832" s="977"/>
      <c r="D832" s="977"/>
      <c r="E832" s="977"/>
      <c r="F832" s="977"/>
      <c r="G832" s="977"/>
      <c r="H832" s="977"/>
      <c r="I832" s="977"/>
      <c r="J832" s="977"/>
      <c r="K832" s="977"/>
      <c r="L832" s="977"/>
      <c r="M832" s="977"/>
      <c r="N832" s="977"/>
      <c r="O832" s="977"/>
      <c r="P832" s="977"/>
      <c r="Q832" s="977"/>
      <c r="R832" s="977"/>
      <c r="S832" s="977"/>
      <c r="T832" s="977"/>
      <c r="U832" s="977"/>
      <c r="V832" s="977"/>
      <c r="W832" s="977"/>
      <c r="X832" s="977"/>
      <c r="Y832" s="977"/>
      <c r="Z832" s="977"/>
      <c r="AA832" s="977"/>
      <c r="AB832" s="977"/>
      <c r="AC832" s="977"/>
      <c r="AD832" s="977"/>
      <c r="AE832" s="977"/>
      <c r="AF832" s="977"/>
      <c r="AG832" s="977"/>
      <c r="AH832" s="977"/>
      <c r="AI832" s="977"/>
      <c r="AJ832" s="977"/>
      <c r="AK832" s="977"/>
      <c r="AL832" s="977"/>
      <c r="AM832" s="977"/>
      <c r="AN832" s="977"/>
      <c r="AO832" s="977"/>
      <c r="AP832" s="977"/>
      <c r="AQ832" s="977"/>
    </row>
    <row r="833" spans="1:43" ht="14.25" customHeight="1">
      <c r="A833" s="977"/>
      <c r="B833" s="977"/>
      <c r="C833" s="977"/>
      <c r="D833" s="977"/>
      <c r="E833" s="977"/>
      <c r="F833" s="977"/>
      <c r="G833" s="977"/>
      <c r="H833" s="977"/>
      <c r="I833" s="977"/>
      <c r="J833" s="977"/>
      <c r="K833" s="977"/>
      <c r="L833" s="977"/>
      <c r="M833" s="977"/>
      <c r="N833" s="977"/>
      <c r="O833" s="977"/>
      <c r="P833" s="977"/>
      <c r="Q833" s="977"/>
      <c r="R833" s="977"/>
      <c r="S833" s="977"/>
      <c r="T833" s="977"/>
      <c r="U833" s="977"/>
      <c r="V833" s="977"/>
      <c r="W833" s="977"/>
      <c r="X833" s="977"/>
      <c r="Y833" s="977"/>
      <c r="Z833" s="977"/>
      <c r="AA833" s="977"/>
      <c r="AB833" s="977"/>
      <c r="AC833" s="977"/>
      <c r="AD833" s="977"/>
      <c r="AE833" s="977"/>
      <c r="AF833" s="977"/>
      <c r="AG833" s="977"/>
      <c r="AH833" s="977"/>
      <c r="AI833" s="977"/>
      <c r="AJ833" s="977"/>
      <c r="AK833" s="977"/>
      <c r="AL833" s="977"/>
      <c r="AM833" s="977"/>
      <c r="AN833" s="977"/>
      <c r="AO833" s="977"/>
      <c r="AP833" s="977"/>
      <c r="AQ833" s="977"/>
    </row>
    <row r="834" spans="1:43" ht="14.25" customHeight="1">
      <c r="A834" s="977"/>
      <c r="B834" s="977"/>
      <c r="C834" s="977"/>
      <c r="D834" s="977"/>
      <c r="E834" s="977"/>
      <c r="F834" s="977"/>
      <c r="G834" s="977"/>
      <c r="H834" s="977"/>
      <c r="I834" s="977"/>
      <c r="J834" s="977"/>
      <c r="K834" s="977"/>
      <c r="L834" s="977"/>
      <c r="M834" s="977"/>
      <c r="N834" s="977"/>
      <c r="O834" s="977"/>
      <c r="P834" s="977"/>
      <c r="Q834" s="977"/>
      <c r="R834" s="977"/>
      <c r="S834" s="977"/>
      <c r="T834" s="977"/>
      <c r="U834" s="977"/>
      <c r="V834" s="977"/>
      <c r="W834" s="977"/>
      <c r="X834" s="977"/>
      <c r="Y834" s="977"/>
      <c r="Z834" s="977"/>
      <c r="AA834" s="977"/>
      <c r="AB834" s="977"/>
      <c r="AC834" s="977"/>
      <c r="AD834" s="977"/>
      <c r="AE834" s="977"/>
      <c r="AF834" s="977"/>
      <c r="AG834" s="977"/>
      <c r="AH834" s="977"/>
      <c r="AI834" s="977"/>
      <c r="AJ834" s="977"/>
      <c r="AK834" s="977"/>
      <c r="AL834" s="977"/>
      <c r="AM834" s="977"/>
      <c r="AN834" s="977"/>
      <c r="AO834" s="977"/>
      <c r="AP834" s="977"/>
      <c r="AQ834" s="977"/>
    </row>
    <row r="835" spans="1:43" ht="14.25" customHeight="1">
      <c r="A835" s="977"/>
      <c r="B835" s="977"/>
      <c r="C835" s="977"/>
      <c r="D835" s="977"/>
      <c r="E835" s="977"/>
      <c r="F835" s="977"/>
      <c r="G835" s="977"/>
      <c r="H835" s="977"/>
      <c r="I835" s="977"/>
      <c r="J835" s="977"/>
      <c r="K835" s="977"/>
      <c r="L835" s="977"/>
      <c r="M835" s="977"/>
      <c r="N835" s="977"/>
      <c r="O835" s="977"/>
      <c r="P835" s="977"/>
      <c r="Q835" s="977"/>
      <c r="R835" s="977"/>
      <c r="S835" s="977"/>
      <c r="T835" s="977"/>
      <c r="U835" s="977"/>
      <c r="V835" s="977"/>
      <c r="W835" s="977"/>
      <c r="X835" s="977"/>
      <c r="Y835" s="977"/>
      <c r="Z835" s="977"/>
      <c r="AA835" s="977"/>
      <c r="AB835" s="977"/>
      <c r="AC835" s="977"/>
      <c r="AD835" s="977"/>
      <c r="AE835" s="977"/>
      <c r="AF835" s="977"/>
      <c r="AG835" s="977"/>
      <c r="AH835" s="977"/>
      <c r="AI835" s="977"/>
      <c r="AJ835" s="977"/>
      <c r="AK835" s="977"/>
      <c r="AL835" s="977"/>
      <c r="AM835" s="977"/>
      <c r="AN835" s="977"/>
      <c r="AO835" s="977"/>
      <c r="AP835" s="977"/>
      <c r="AQ835" s="977"/>
    </row>
    <row r="836" spans="1:43" ht="14.25" customHeight="1">
      <c r="A836" s="977"/>
      <c r="B836" s="977"/>
      <c r="C836" s="977"/>
      <c r="D836" s="977"/>
      <c r="E836" s="977"/>
      <c r="F836" s="977"/>
      <c r="G836" s="977"/>
      <c r="H836" s="977"/>
      <c r="I836" s="977"/>
      <c r="J836" s="977"/>
      <c r="K836" s="977"/>
      <c r="L836" s="977"/>
      <c r="M836" s="977"/>
      <c r="N836" s="977"/>
      <c r="O836" s="977"/>
      <c r="P836" s="977"/>
      <c r="Q836" s="977"/>
      <c r="R836" s="977"/>
      <c r="S836" s="977"/>
      <c r="T836" s="977"/>
      <c r="U836" s="977"/>
      <c r="V836" s="977"/>
      <c r="W836" s="977"/>
      <c r="X836" s="977"/>
      <c r="Y836" s="977"/>
      <c r="Z836" s="977"/>
      <c r="AA836" s="977"/>
      <c r="AB836" s="977"/>
      <c r="AC836" s="977"/>
      <c r="AD836" s="977"/>
      <c r="AE836" s="977"/>
      <c r="AF836" s="977"/>
      <c r="AG836" s="977"/>
      <c r="AH836" s="977"/>
      <c r="AI836" s="977"/>
      <c r="AJ836" s="977"/>
      <c r="AK836" s="977"/>
      <c r="AL836" s="977"/>
      <c r="AM836" s="977"/>
      <c r="AN836" s="977"/>
      <c r="AO836" s="977"/>
      <c r="AP836" s="977"/>
      <c r="AQ836" s="977"/>
    </row>
    <row r="837" spans="1:43" ht="14.25" customHeight="1">
      <c r="A837" s="977"/>
      <c r="B837" s="977"/>
      <c r="C837" s="977"/>
      <c r="D837" s="977"/>
      <c r="E837" s="977"/>
      <c r="F837" s="977"/>
      <c r="G837" s="977"/>
      <c r="H837" s="977"/>
      <c r="I837" s="977"/>
      <c r="J837" s="977"/>
      <c r="K837" s="977"/>
      <c r="L837" s="977"/>
      <c r="M837" s="977"/>
      <c r="N837" s="977"/>
      <c r="O837" s="977"/>
      <c r="P837" s="977"/>
      <c r="Q837" s="977"/>
      <c r="R837" s="977"/>
      <c r="S837" s="977"/>
      <c r="T837" s="977"/>
      <c r="U837" s="977"/>
      <c r="V837" s="977"/>
      <c r="W837" s="977"/>
      <c r="X837" s="977"/>
      <c r="Y837" s="977"/>
      <c r="Z837" s="977"/>
      <c r="AA837" s="977"/>
      <c r="AB837" s="977"/>
      <c r="AC837" s="977"/>
      <c r="AD837" s="977"/>
      <c r="AE837" s="977"/>
      <c r="AF837" s="977"/>
      <c r="AG837" s="977"/>
      <c r="AH837" s="977"/>
      <c r="AI837" s="977"/>
      <c r="AJ837" s="977"/>
      <c r="AK837" s="977"/>
      <c r="AL837" s="977"/>
      <c r="AM837" s="977"/>
      <c r="AN837" s="977"/>
      <c r="AO837" s="977"/>
      <c r="AP837" s="977"/>
      <c r="AQ837" s="977"/>
    </row>
    <row r="838" spans="1:43" ht="14.25" customHeight="1">
      <c r="A838" s="977"/>
      <c r="B838" s="977"/>
      <c r="C838" s="977"/>
      <c r="D838" s="977"/>
      <c r="E838" s="977"/>
      <c r="F838" s="977"/>
      <c r="G838" s="977"/>
      <c r="H838" s="977"/>
      <c r="I838" s="977"/>
      <c r="J838" s="977"/>
      <c r="K838" s="977"/>
      <c r="L838" s="977"/>
      <c r="M838" s="977"/>
      <c r="N838" s="977"/>
      <c r="O838" s="977"/>
      <c r="P838" s="977"/>
      <c r="Q838" s="977"/>
      <c r="R838" s="977"/>
      <c r="S838" s="977"/>
      <c r="T838" s="977"/>
      <c r="U838" s="977"/>
      <c r="V838" s="977"/>
      <c r="W838" s="977"/>
      <c r="X838" s="977"/>
      <c r="Y838" s="977"/>
      <c r="Z838" s="977"/>
      <c r="AA838" s="977"/>
      <c r="AB838" s="977"/>
      <c r="AC838" s="977"/>
      <c r="AD838" s="977"/>
      <c r="AE838" s="977"/>
      <c r="AF838" s="977"/>
      <c r="AG838" s="977"/>
      <c r="AH838" s="977"/>
      <c r="AI838" s="977"/>
      <c r="AJ838" s="977"/>
      <c r="AK838" s="977"/>
      <c r="AL838" s="977"/>
      <c r="AM838" s="977"/>
      <c r="AN838" s="977"/>
      <c r="AO838" s="977"/>
      <c r="AP838" s="977"/>
      <c r="AQ838" s="977"/>
    </row>
    <row r="839" spans="1:43" ht="14.25" customHeight="1">
      <c r="A839" s="977"/>
      <c r="B839" s="977"/>
      <c r="C839" s="977"/>
      <c r="D839" s="977"/>
      <c r="E839" s="977"/>
      <c r="F839" s="977"/>
      <c r="G839" s="977"/>
      <c r="H839" s="977"/>
      <c r="I839" s="977"/>
      <c r="J839" s="977"/>
      <c r="K839" s="977"/>
      <c r="L839" s="977"/>
      <c r="M839" s="977"/>
      <c r="N839" s="977"/>
      <c r="O839" s="977"/>
      <c r="P839" s="977"/>
      <c r="Q839" s="977"/>
      <c r="R839" s="977"/>
      <c r="S839" s="977"/>
      <c r="T839" s="977"/>
      <c r="U839" s="977"/>
      <c r="V839" s="977"/>
      <c r="W839" s="977"/>
      <c r="X839" s="977"/>
      <c r="Y839" s="977"/>
      <c r="Z839" s="977"/>
      <c r="AA839" s="977"/>
      <c r="AB839" s="977"/>
      <c r="AC839" s="977"/>
      <c r="AD839" s="977"/>
      <c r="AE839" s="977"/>
      <c r="AF839" s="977"/>
      <c r="AG839" s="977"/>
      <c r="AH839" s="977"/>
      <c r="AI839" s="977"/>
      <c r="AJ839" s="977"/>
      <c r="AK839" s="977"/>
      <c r="AL839" s="977"/>
      <c r="AM839" s="977"/>
      <c r="AN839" s="977"/>
      <c r="AO839" s="977"/>
      <c r="AP839" s="977"/>
      <c r="AQ839" s="977"/>
    </row>
    <row r="840" spans="1:43" ht="14.25" customHeight="1">
      <c r="A840" s="977"/>
      <c r="B840" s="977"/>
      <c r="C840" s="977"/>
      <c r="D840" s="977"/>
      <c r="E840" s="977"/>
      <c r="F840" s="977"/>
      <c r="G840" s="977"/>
      <c r="H840" s="977"/>
      <c r="I840" s="977"/>
      <c r="J840" s="977"/>
      <c r="K840" s="977"/>
      <c r="L840" s="977"/>
      <c r="M840" s="977"/>
      <c r="N840" s="977"/>
      <c r="O840" s="977"/>
      <c r="P840" s="977"/>
      <c r="Q840" s="977"/>
      <c r="R840" s="977"/>
      <c r="S840" s="977"/>
      <c r="T840" s="977"/>
      <c r="U840" s="977"/>
      <c r="V840" s="977"/>
      <c r="W840" s="977"/>
      <c r="X840" s="977"/>
      <c r="Y840" s="977"/>
      <c r="Z840" s="977"/>
      <c r="AA840" s="977"/>
      <c r="AB840" s="977"/>
      <c r="AC840" s="977"/>
      <c r="AD840" s="977"/>
      <c r="AE840" s="977"/>
      <c r="AF840" s="977"/>
      <c r="AG840" s="977"/>
      <c r="AH840" s="977"/>
      <c r="AI840" s="977"/>
      <c r="AJ840" s="977"/>
      <c r="AK840" s="977"/>
      <c r="AL840" s="977"/>
      <c r="AM840" s="977"/>
      <c r="AN840" s="977"/>
      <c r="AO840" s="977"/>
      <c r="AP840" s="977"/>
      <c r="AQ840" s="977"/>
    </row>
    <row r="841" spans="1:43" ht="14.25" customHeight="1">
      <c r="A841" s="977"/>
      <c r="B841" s="977"/>
      <c r="C841" s="977"/>
      <c r="D841" s="977"/>
      <c r="E841" s="977"/>
      <c r="F841" s="977"/>
      <c r="G841" s="977"/>
      <c r="H841" s="977"/>
      <c r="I841" s="977"/>
      <c r="J841" s="977"/>
      <c r="K841" s="977"/>
      <c r="L841" s="977"/>
      <c r="M841" s="977"/>
      <c r="N841" s="977"/>
      <c r="O841" s="977"/>
      <c r="P841" s="977"/>
      <c r="Q841" s="977"/>
      <c r="R841" s="977"/>
      <c r="S841" s="977"/>
      <c r="T841" s="977"/>
      <c r="U841" s="977"/>
      <c r="V841" s="977"/>
      <c r="W841" s="977"/>
      <c r="X841" s="977"/>
      <c r="Y841" s="977"/>
      <c r="Z841" s="977"/>
      <c r="AA841" s="977"/>
      <c r="AB841" s="977"/>
      <c r="AC841" s="977"/>
      <c r="AD841" s="977"/>
      <c r="AE841" s="977"/>
      <c r="AF841" s="977"/>
      <c r="AG841" s="977"/>
      <c r="AH841" s="977"/>
      <c r="AI841" s="977"/>
      <c r="AJ841" s="977"/>
      <c r="AK841" s="977"/>
      <c r="AL841" s="977"/>
      <c r="AM841" s="977"/>
      <c r="AN841" s="977"/>
      <c r="AO841" s="977"/>
      <c r="AP841" s="977"/>
      <c r="AQ841" s="977"/>
    </row>
    <row r="842" spans="1:43" ht="14.25" customHeight="1">
      <c r="A842" s="977"/>
      <c r="B842" s="977"/>
      <c r="C842" s="977"/>
      <c r="D842" s="977"/>
      <c r="E842" s="977"/>
      <c r="F842" s="977"/>
      <c r="G842" s="977"/>
      <c r="H842" s="977"/>
      <c r="I842" s="977"/>
      <c r="J842" s="977"/>
      <c r="K842" s="977"/>
      <c r="L842" s="977"/>
      <c r="M842" s="977"/>
      <c r="N842" s="977"/>
      <c r="O842" s="977"/>
      <c r="P842" s="977"/>
      <c r="Q842" s="977"/>
      <c r="R842" s="977"/>
      <c r="S842" s="977"/>
      <c r="T842" s="977"/>
      <c r="U842" s="977"/>
      <c r="V842" s="977"/>
      <c r="W842" s="977"/>
      <c r="X842" s="977"/>
      <c r="Y842" s="977"/>
      <c r="Z842" s="977"/>
      <c r="AA842" s="977"/>
      <c r="AB842" s="977"/>
      <c r="AC842" s="977"/>
      <c r="AD842" s="977"/>
      <c r="AE842" s="977"/>
      <c r="AF842" s="977"/>
      <c r="AG842" s="977"/>
      <c r="AH842" s="977"/>
      <c r="AI842" s="977"/>
      <c r="AJ842" s="977"/>
      <c r="AK842" s="977"/>
      <c r="AL842" s="977"/>
      <c r="AM842" s="977"/>
      <c r="AN842" s="977"/>
      <c r="AO842" s="977"/>
      <c r="AP842" s="977"/>
      <c r="AQ842" s="977"/>
    </row>
    <row r="843" spans="1:43" ht="14.25" customHeight="1">
      <c r="A843" s="977"/>
      <c r="B843" s="977"/>
      <c r="C843" s="977"/>
      <c r="D843" s="977"/>
      <c r="E843" s="977"/>
      <c r="F843" s="977"/>
      <c r="G843" s="977"/>
      <c r="H843" s="977"/>
      <c r="I843" s="977"/>
      <c r="J843" s="977"/>
      <c r="K843" s="977"/>
      <c r="L843" s="977"/>
      <c r="M843" s="977"/>
      <c r="N843" s="977"/>
      <c r="O843" s="977"/>
      <c r="P843" s="977"/>
      <c r="Q843" s="977"/>
      <c r="R843" s="977"/>
      <c r="S843" s="977"/>
      <c r="T843" s="977"/>
      <c r="U843" s="977"/>
      <c r="V843" s="977"/>
      <c r="W843" s="977"/>
      <c r="X843" s="977"/>
      <c r="Y843" s="977"/>
      <c r="Z843" s="977"/>
      <c r="AA843" s="977"/>
      <c r="AB843" s="977"/>
      <c r="AC843" s="977"/>
      <c r="AD843" s="977"/>
      <c r="AE843" s="977"/>
      <c r="AF843" s="977"/>
      <c r="AG843" s="977"/>
      <c r="AH843" s="977"/>
      <c r="AI843" s="977"/>
      <c r="AJ843" s="977"/>
      <c r="AK843" s="977"/>
      <c r="AL843" s="977"/>
      <c r="AM843" s="977"/>
      <c r="AN843" s="977"/>
      <c r="AO843" s="977"/>
      <c r="AP843" s="977"/>
      <c r="AQ843" s="977"/>
    </row>
    <row r="844" spans="1:43" ht="14.25" customHeight="1">
      <c r="A844" s="977"/>
      <c r="B844" s="977"/>
      <c r="C844" s="977"/>
      <c r="D844" s="977"/>
      <c r="E844" s="977"/>
      <c r="F844" s="977"/>
      <c r="G844" s="977"/>
      <c r="H844" s="977"/>
      <c r="I844" s="977"/>
      <c r="J844" s="977"/>
      <c r="K844" s="977"/>
      <c r="L844" s="977"/>
      <c r="M844" s="977"/>
      <c r="N844" s="977"/>
      <c r="O844" s="977"/>
      <c r="P844" s="977"/>
      <c r="Q844" s="977"/>
      <c r="R844" s="977"/>
      <c r="S844" s="977"/>
      <c r="T844" s="977"/>
      <c r="U844" s="977"/>
      <c r="V844" s="977"/>
      <c r="W844" s="977"/>
      <c r="X844" s="977"/>
      <c r="Y844" s="977"/>
      <c r="Z844" s="977"/>
      <c r="AA844" s="977"/>
      <c r="AB844" s="977"/>
      <c r="AC844" s="977"/>
      <c r="AD844" s="977"/>
      <c r="AE844" s="977"/>
      <c r="AF844" s="977"/>
      <c r="AG844" s="977"/>
      <c r="AH844" s="977"/>
      <c r="AI844" s="977"/>
      <c r="AJ844" s="977"/>
      <c r="AK844" s="977"/>
      <c r="AL844" s="977"/>
      <c r="AM844" s="977"/>
      <c r="AN844" s="977"/>
      <c r="AO844" s="977"/>
      <c r="AP844" s="977"/>
      <c r="AQ844" s="977"/>
    </row>
    <row r="845" spans="1:43" ht="14.25" customHeight="1">
      <c r="A845" s="977"/>
      <c r="B845" s="977"/>
      <c r="C845" s="977"/>
      <c r="D845" s="977"/>
      <c r="E845" s="977"/>
      <c r="F845" s="977"/>
      <c r="G845" s="977"/>
      <c r="H845" s="977"/>
      <c r="I845" s="977"/>
      <c r="J845" s="977"/>
      <c r="K845" s="977"/>
      <c r="L845" s="977"/>
      <c r="M845" s="977"/>
      <c r="N845" s="977"/>
      <c r="O845" s="977"/>
      <c r="P845" s="977"/>
      <c r="Q845" s="977"/>
      <c r="R845" s="977"/>
      <c r="S845" s="977"/>
      <c r="T845" s="977"/>
      <c r="U845" s="977"/>
      <c r="V845" s="977"/>
      <c r="W845" s="977"/>
      <c r="X845" s="977"/>
      <c r="Y845" s="977"/>
      <c r="Z845" s="977"/>
      <c r="AA845" s="977"/>
      <c r="AB845" s="977"/>
      <c r="AC845" s="977"/>
      <c r="AD845" s="977"/>
      <c r="AE845" s="977"/>
      <c r="AF845" s="977"/>
      <c r="AG845" s="977"/>
      <c r="AH845" s="977"/>
      <c r="AI845" s="977"/>
      <c r="AJ845" s="977"/>
      <c r="AK845" s="977"/>
      <c r="AL845" s="977"/>
      <c r="AM845" s="977"/>
      <c r="AN845" s="977"/>
      <c r="AO845" s="977"/>
      <c r="AP845" s="977"/>
      <c r="AQ845" s="977"/>
    </row>
    <row r="846" spans="1:43" ht="14.25" customHeight="1">
      <c r="A846" s="977"/>
      <c r="B846" s="977"/>
      <c r="C846" s="977"/>
      <c r="D846" s="977"/>
      <c r="E846" s="977"/>
      <c r="F846" s="977"/>
      <c r="G846" s="977"/>
      <c r="H846" s="977"/>
      <c r="I846" s="977"/>
      <c r="J846" s="977"/>
      <c r="K846" s="977"/>
      <c r="L846" s="977"/>
      <c r="M846" s="977"/>
      <c r="N846" s="977"/>
      <c r="O846" s="977"/>
      <c r="P846" s="977"/>
      <c r="Q846" s="977"/>
      <c r="R846" s="977"/>
      <c r="S846" s="977"/>
      <c r="T846" s="977"/>
      <c r="U846" s="977"/>
      <c r="V846" s="977"/>
      <c r="W846" s="977"/>
      <c r="X846" s="977"/>
      <c r="Y846" s="977"/>
      <c r="Z846" s="977"/>
      <c r="AA846" s="977"/>
      <c r="AB846" s="977"/>
      <c r="AC846" s="977"/>
      <c r="AD846" s="977"/>
      <c r="AE846" s="977"/>
      <c r="AF846" s="977"/>
      <c r="AG846" s="977"/>
      <c r="AH846" s="977"/>
      <c r="AI846" s="977"/>
      <c r="AJ846" s="977"/>
      <c r="AK846" s="977"/>
      <c r="AL846" s="977"/>
      <c r="AM846" s="977"/>
      <c r="AN846" s="977"/>
      <c r="AO846" s="977"/>
      <c r="AP846" s="977"/>
      <c r="AQ846" s="977"/>
    </row>
    <row r="847" spans="1:43" ht="14.25" customHeight="1">
      <c r="A847" s="977"/>
      <c r="B847" s="977"/>
      <c r="C847" s="977"/>
      <c r="D847" s="977"/>
      <c r="E847" s="977"/>
      <c r="F847" s="977"/>
      <c r="G847" s="977"/>
      <c r="H847" s="977"/>
      <c r="I847" s="977"/>
      <c r="J847" s="977"/>
      <c r="K847" s="977"/>
      <c r="L847" s="977"/>
      <c r="M847" s="977"/>
      <c r="N847" s="977"/>
      <c r="O847" s="977"/>
      <c r="P847" s="977"/>
      <c r="Q847" s="977"/>
      <c r="R847" s="977"/>
      <c r="S847" s="977"/>
      <c r="T847" s="977"/>
      <c r="U847" s="977"/>
      <c r="V847" s="977"/>
      <c r="W847" s="977"/>
      <c r="X847" s="977"/>
      <c r="Y847" s="977"/>
      <c r="Z847" s="977"/>
      <c r="AA847" s="977"/>
      <c r="AB847" s="977"/>
      <c r="AC847" s="977"/>
      <c r="AD847" s="977"/>
      <c r="AE847" s="977"/>
      <c r="AF847" s="977"/>
      <c r="AG847" s="977"/>
      <c r="AH847" s="977"/>
      <c r="AI847" s="977"/>
      <c r="AJ847" s="977"/>
      <c r="AK847" s="977"/>
      <c r="AL847" s="977"/>
      <c r="AM847" s="977"/>
      <c r="AN847" s="977"/>
      <c r="AO847" s="977"/>
      <c r="AP847" s="977"/>
      <c r="AQ847" s="977"/>
    </row>
    <row r="848" spans="1:43" ht="14.25" customHeight="1">
      <c r="A848" s="977"/>
      <c r="B848" s="977"/>
      <c r="C848" s="977"/>
      <c r="D848" s="977"/>
      <c r="E848" s="977"/>
      <c r="F848" s="977"/>
      <c r="G848" s="977"/>
      <c r="H848" s="977"/>
      <c r="I848" s="977"/>
      <c r="J848" s="977"/>
      <c r="K848" s="977"/>
      <c r="L848" s="977"/>
      <c r="M848" s="977"/>
      <c r="N848" s="977"/>
      <c r="O848" s="977"/>
      <c r="P848" s="977"/>
      <c r="Q848" s="977"/>
      <c r="R848" s="977"/>
      <c r="S848" s="977"/>
      <c r="T848" s="977"/>
      <c r="U848" s="977"/>
      <c r="V848" s="977"/>
      <c r="W848" s="977"/>
      <c r="X848" s="977"/>
      <c r="Y848" s="977"/>
      <c r="Z848" s="977"/>
      <c r="AA848" s="977"/>
      <c r="AB848" s="977"/>
      <c r="AC848" s="977"/>
      <c r="AD848" s="977"/>
      <c r="AE848" s="977"/>
      <c r="AF848" s="977"/>
      <c r="AG848" s="977"/>
      <c r="AH848" s="977"/>
      <c r="AI848" s="977"/>
      <c r="AJ848" s="977"/>
      <c r="AK848" s="977"/>
      <c r="AL848" s="977"/>
      <c r="AM848" s="977"/>
      <c r="AN848" s="977"/>
      <c r="AO848" s="977"/>
      <c r="AP848" s="977"/>
      <c r="AQ848" s="977"/>
    </row>
    <row r="849" spans="1:43" ht="14.25" customHeight="1">
      <c r="A849" s="977"/>
      <c r="B849" s="977"/>
      <c r="C849" s="977"/>
      <c r="D849" s="977"/>
      <c r="E849" s="977"/>
      <c r="F849" s="977"/>
      <c r="G849" s="977"/>
      <c r="H849" s="977"/>
      <c r="I849" s="977"/>
      <c r="J849" s="977"/>
      <c r="K849" s="977"/>
      <c r="L849" s="977"/>
      <c r="M849" s="977"/>
      <c r="N849" s="977"/>
      <c r="O849" s="977"/>
      <c r="P849" s="977"/>
      <c r="Q849" s="977"/>
      <c r="R849" s="977"/>
      <c r="S849" s="977"/>
      <c r="T849" s="977"/>
      <c r="U849" s="977"/>
      <c r="V849" s="977"/>
      <c r="W849" s="977"/>
      <c r="X849" s="977"/>
      <c r="Y849" s="977"/>
      <c r="Z849" s="977"/>
      <c r="AA849" s="977"/>
      <c r="AB849" s="977"/>
      <c r="AC849" s="977"/>
      <c r="AD849" s="977"/>
      <c r="AE849" s="977"/>
      <c r="AF849" s="977"/>
      <c r="AG849" s="977"/>
      <c r="AH849" s="977"/>
      <c r="AI849" s="977"/>
      <c r="AJ849" s="977"/>
      <c r="AK849" s="977"/>
      <c r="AL849" s="977"/>
      <c r="AM849" s="977"/>
      <c r="AN849" s="977"/>
      <c r="AO849" s="977"/>
      <c r="AP849" s="977"/>
      <c r="AQ849" s="977"/>
    </row>
    <row r="850" spans="1:43" ht="14.25" customHeight="1">
      <c r="A850" s="977"/>
      <c r="B850" s="977"/>
      <c r="C850" s="977"/>
      <c r="D850" s="977"/>
      <c r="E850" s="977"/>
      <c r="F850" s="977"/>
      <c r="G850" s="977"/>
      <c r="H850" s="977"/>
      <c r="I850" s="977"/>
      <c r="J850" s="977"/>
      <c r="K850" s="977"/>
      <c r="L850" s="977"/>
      <c r="M850" s="977"/>
      <c r="N850" s="977"/>
      <c r="O850" s="977"/>
      <c r="P850" s="977"/>
      <c r="Q850" s="977"/>
      <c r="R850" s="977"/>
      <c r="S850" s="977"/>
      <c r="T850" s="977"/>
      <c r="U850" s="977"/>
      <c r="V850" s="977"/>
      <c r="W850" s="977"/>
      <c r="X850" s="977"/>
      <c r="Y850" s="977"/>
      <c r="Z850" s="977"/>
      <c r="AA850" s="977"/>
      <c r="AB850" s="977"/>
      <c r="AC850" s="977"/>
      <c r="AD850" s="977"/>
      <c r="AE850" s="977"/>
      <c r="AF850" s="977"/>
      <c r="AG850" s="977"/>
      <c r="AH850" s="977"/>
      <c r="AI850" s="977"/>
      <c r="AJ850" s="977"/>
      <c r="AK850" s="977"/>
      <c r="AL850" s="977"/>
      <c r="AM850" s="977"/>
      <c r="AN850" s="977"/>
      <c r="AO850" s="977"/>
      <c r="AP850" s="977"/>
      <c r="AQ850" s="977"/>
    </row>
    <row r="851" spans="1:43" ht="14.25" customHeight="1">
      <c r="A851" s="977"/>
      <c r="B851" s="977"/>
      <c r="C851" s="977"/>
      <c r="D851" s="977"/>
      <c r="E851" s="977"/>
      <c r="F851" s="977"/>
      <c r="G851" s="977"/>
      <c r="H851" s="977"/>
      <c r="I851" s="977"/>
      <c r="J851" s="977"/>
      <c r="K851" s="977"/>
      <c r="L851" s="977"/>
      <c r="M851" s="977"/>
      <c r="N851" s="977"/>
      <c r="O851" s="977"/>
      <c r="P851" s="977"/>
      <c r="Q851" s="977"/>
      <c r="R851" s="977"/>
      <c r="S851" s="977"/>
      <c r="T851" s="977"/>
      <c r="U851" s="977"/>
      <c r="V851" s="977"/>
      <c r="W851" s="977"/>
      <c r="X851" s="977"/>
      <c r="Y851" s="977"/>
      <c r="Z851" s="977"/>
      <c r="AA851" s="977"/>
      <c r="AB851" s="977"/>
      <c r="AC851" s="977"/>
      <c r="AD851" s="977"/>
      <c r="AE851" s="977"/>
      <c r="AF851" s="977"/>
      <c r="AG851" s="977"/>
      <c r="AH851" s="977"/>
      <c r="AI851" s="977"/>
      <c r="AJ851" s="977"/>
      <c r="AK851" s="977"/>
      <c r="AL851" s="977"/>
      <c r="AM851" s="977"/>
      <c r="AN851" s="977"/>
      <c r="AO851" s="977"/>
      <c r="AP851" s="977"/>
      <c r="AQ851" s="977"/>
    </row>
    <row r="852" spans="1:43" ht="14.25" customHeight="1">
      <c r="A852" s="977"/>
      <c r="B852" s="977"/>
      <c r="C852" s="977"/>
      <c r="D852" s="977"/>
      <c r="E852" s="977"/>
      <c r="F852" s="977"/>
      <c r="G852" s="977"/>
      <c r="H852" s="977"/>
      <c r="I852" s="977"/>
      <c r="J852" s="977"/>
      <c r="K852" s="977"/>
      <c r="L852" s="977"/>
      <c r="M852" s="977"/>
      <c r="N852" s="977"/>
      <c r="O852" s="977"/>
      <c r="P852" s="977"/>
      <c r="Q852" s="977"/>
      <c r="R852" s="977"/>
      <c r="S852" s="977"/>
      <c r="T852" s="977"/>
      <c r="U852" s="977"/>
      <c r="V852" s="977"/>
      <c r="W852" s="977"/>
      <c r="X852" s="977"/>
      <c r="Y852" s="977"/>
      <c r="Z852" s="977"/>
      <c r="AA852" s="977"/>
      <c r="AB852" s="977"/>
      <c r="AC852" s="977"/>
      <c r="AD852" s="977"/>
      <c r="AE852" s="977"/>
      <c r="AF852" s="977"/>
      <c r="AG852" s="977"/>
      <c r="AH852" s="977"/>
      <c r="AI852" s="977"/>
      <c r="AJ852" s="977"/>
      <c r="AK852" s="977"/>
      <c r="AL852" s="977"/>
      <c r="AM852" s="977"/>
      <c r="AN852" s="977"/>
      <c r="AO852" s="977"/>
      <c r="AP852" s="977"/>
      <c r="AQ852" s="977"/>
    </row>
    <row r="853" spans="1:43" ht="14.25" customHeight="1">
      <c r="A853" s="977"/>
      <c r="B853" s="977"/>
      <c r="C853" s="977"/>
      <c r="D853" s="977"/>
      <c r="E853" s="977"/>
      <c r="F853" s="977"/>
      <c r="G853" s="977"/>
      <c r="H853" s="977"/>
      <c r="I853" s="977"/>
      <c r="J853" s="977"/>
      <c r="K853" s="977"/>
      <c r="L853" s="977"/>
      <c r="M853" s="977"/>
      <c r="N853" s="977"/>
      <c r="O853" s="977"/>
      <c r="P853" s="977"/>
      <c r="Q853" s="977"/>
      <c r="R853" s="977"/>
      <c r="S853" s="977"/>
      <c r="T853" s="977"/>
      <c r="U853" s="977"/>
      <c r="V853" s="977"/>
      <c r="W853" s="977"/>
      <c r="X853" s="977"/>
      <c r="Y853" s="977"/>
      <c r="Z853" s="977"/>
      <c r="AA853" s="977"/>
      <c r="AB853" s="977"/>
      <c r="AC853" s="977"/>
      <c r="AD853" s="977"/>
      <c r="AE853" s="977"/>
      <c r="AF853" s="977"/>
      <c r="AG853" s="977"/>
      <c r="AH853" s="977"/>
      <c r="AI853" s="977"/>
      <c r="AJ853" s="977"/>
      <c r="AK853" s="977"/>
      <c r="AL853" s="977"/>
      <c r="AM853" s="977"/>
      <c r="AN853" s="977"/>
      <c r="AO853" s="977"/>
      <c r="AP853" s="977"/>
      <c r="AQ853" s="977"/>
    </row>
    <row r="854" spans="1:43" ht="14.25" customHeight="1">
      <c r="A854" s="977"/>
      <c r="B854" s="977"/>
      <c r="C854" s="977"/>
      <c r="D854" s="977"/>
      <c r="E854" s="977"/>
      <c r="F854" s="977"/>
      <c r="G854" s="977"/>
      <c r="H854" s="977"/>
      <c r="I854" s="977"/>
      <c r="J854" s="977"/>
      <c r="K854" s="977"/>
      <c r="L854" s="977"/>
      <c r="M854" s="977"/>
      <c r="N854" s="977"/>
      <c r="O854" s="977"/>
      <c r="P854" s="977"/>
      <c r="Q854" s="977"/>
      <c r="R854" s="977"/>
      <c r="S854" s="977"/>
      <c r="T854" s="977"/>
      <c r="U854" s="977"/>
      <c r="V854" s="977"/>
      <c r="W854" s="977"/>
      <c r="X854" s="977"/>
      <c r="Y854" s="977"/>
      <c r="Z854" s="977"/>
      <c r="AA854" s="977"/>
      <c r="AB854" s="977"/>
      <c r="AC854" s="977"/>
      <c r="AD854" s="977"/>
      <c r="AE854" s="977"/>
      <c r="AF854" s="977"/>
      <c r="AG854" s="977"/>
      <c r="AH854" s="977"/>
      <c r="AI854" s="977"/>
      <c r="AJ854" s="977"/>
      <c r="AK854" s="977"/>
      <c r="AL854" s="977"/>
      <c r="AM854" s="977"/>
      <c r="AN854" s="977"/>
      <c r="AO854" s="977"/>
      <c r="AP854" s="977"/>
      <c r="AQ854" s="977"/>
    </row>
    <row r="855" spans="1:43" ht="14.25" customHeight="1">
      <c r="A855" s="977"/>
      <c r="B855" s="977"/>
      <c r="C855" s="977"/>
      <c r="D855" s="977"/>
      <c r="E855" s="977"/>
      <c r="F855" s="977"/>
      <c r="G855" s="977"/>
      <c r="H855" s="977"/>
      <c r="I855" s="977"/>
      <c r="J855" s="977"/>
      <c r="K855" s="977"/>
      <c r="L855" s="977"/>
      <c r="M855" s="977"/>
      <c r="N855" s="977"/>
      <c r="O855" s="977"/>
      <c r="P855" s="977"/>
      <c r="Q855" s="977"/>
      <c r="R855" s="977"/>
      <c r="S855" s="977"/>
      <c r="T855" s="977"/>
      <c r="U855" s="977"/>
      <c r="V855" s="977"/>
      <c r="W855" s="977"/>
      <c r="X855" s="977"/>
      <c r="Y855" s="977"/>
      <c r="Z855" s="977"/>
      <c r="AA855" s="977"/>
      <c r="AB855" s="977"/>
      <c r="AC855" s="977"/>
      <c r="AD855" s="977"/>
      <c r="AE855" s="977"/>
      <c r="AF855" s="977"/>
      <c r="AG855" s="977"/>
      <c r="AH855" s="977"/>
      <c r="AI855" s="977"/>
      <c r="AJ855" s="977"/>
      <c r="AK855" s="977"/>
      <c r="AL855" s="977"/>
      <c r="AM855" s="977"/>
      <c r="AN855" s="977"/>
      <c r="AO855" s="977"/>
      <c r="AP855" s="977"/>
      <c r="AQ855" s="977"/>
    </row>
    <row r="856" spans="1:43" ht="14.25" customHeight="1">
      <c r="A856" s="977"/>
      <c r="B856" s="977"/>
      <c r="C856" s="977"/>
      <c r="D856" s="977"/>
      <c r="E856" s="977"/>
      <c r="F856" s="977"/>
      <c r="G856" s="977"/>
      <c r="H856" s="977"/>
      <c r="I856" s="977"/>
      <c r="J856" s="977"/>
      <c r="K856" s="977"/>
      <c r="L856" s="977"/>
      <c r="M856" s="977"/>
      <c r="N856" s="977"/>
      <c r="O856" s="977"/>
      <c r="P856" s="977"/>
      <c r="Q856" s="977"/>
      <c r="R856" s="977"/>
      <c r="S856" s="977"/>
      <c r="T856" s="977"/>
      <c r="U856" s="977"/>
      <c r="V856" s="977"/>
      <c r="W856" s="977"/>
      <c r="X856" s="977"/>
      <c r="Y856" s="977"/>
      <c r="Z856" s="977"/>
      <c r="AA856" s="977"/>
      <c r="AB856" s="977"/>
      <c r="AC856" s="977"/>
      <c r="AD856" s="977"/>
      <c r="AE856" s="977"/>
      <c r="AF856" s="977"/>
      <c r="AG856" s="977"/>
      <c r="AH856" s="977"/>
      <c r="AI856" s="977"/>
      <c r="AJ856" s="977"/>
      <c r="AK856" s="977"/>
      <c r="AL856" s="977"/>
      <c r="AM856" s="977"/>
      <c r="AN856" s="977"/>
      <c r="AO856" s="977"/>
      <c r="AP856" s="977"/>
      <c r="AQ856" s="977"/>
    </row>
    <row r="857" spans="1:43" ht="14.25" customHeight="1">
      <c r="A857" s="977"/>
      <c r="B857" s="977"/>
      <c r="C857" s="977"/>
      <c r="D857" s="977"/>
      <c r="E857" s="977"/>
      <c r="F857" s="977"/>
      <c r="G857" s="977"/>
      <c r="H857" s="977"/>
      <c r="I857" s="977"/>
      <c r="J857" s="977"/>
      <c r="K857" s="977"/>
      <c r="L857" s="977"/>
      <c r="M857" s="977"/>
      <c r="N857" s="977"/>
      <c r="O857" s="977"/>
      <c r="P857" s="977"/>
      <c r="Q857" s="977"/>
      <c r="R857" s="977"/>
      <c r="S857" s="977"/>
      <c r="T857" s="977"/>
      <c r="U857" s="977"/>
      <c r="V857" s="977"/>
      <c r="W857" s="977"/>
      <c r="X857" s="977"/>
      <c r="Y857" s="977"/>
      <c r="Z857" s="977"/>
      <c r="AA857" s="977"/>
      <c r="AB857" s="977"/>
      <c r="AC857" s="977"/>
      <c r="AD857" s="977"/>
      <c r="AE857" s="977"/>
      <c r="AF857" s="977"/>
      <c r="AG857" s="977"/>
      <c r="AH857" s="977"/>
      <c r="AI857" s="977"/>
      <c r="AJ857" s="977"/>
      <c r="AK857" s="977"/>
      <c r="AL857" s="977"/>
      <c r="AM857" s="977"/>
      <c r="AN857" s="977"/>
      <c r="AO857" s="977"/>
      <c r="AP857" s="977"/>
      <c r="AQ857" s="977"/>
    </row>
    <row r="858" spans="1:43" ht="14.25" customHeight="1">
      <c r="A858" s="977"/>
      <c r="B858" s="977"/>
      <c r="C858" s="977"/>
      <c r="D858" s="977"/>
      <c r="E858" s="977"/>
      <c r="F858" s="977"/>
      <c r="G858" s="977"/>
      <c r="H858" s="977"/>
      <c r="I858" s="977"/>
      <c r="J858" s="977"/>
      <c r="K858" s="977"/>
      <c r="L858" s="977"/>
      <c r="M858" s="977"/>
      <c r="N858" s="977"/>
      <c r="O858" s="977"/>
      <c r="P858" s="977"/>
      <c r="Q858" s="977"/>
      <c r="R858" s="977"/>
      <c r="S858" s="977"/>
      <c r="T858" s="977"/>
      <c r="U858" s="977"/>
      <c r="V858" s="977"/>
      <c r="W858" s="977"/>
      <c r="X858" s="977"/>
      <c r="Y858" s="977"/>
      <c r="Z858" s="977"/>
      <c r="AA858" s="977"/>
      <c r="AB858" s="977"/>
      <c r="AC858" s="977"/>
      <c r="AD858" s="977"/>
      <c r="AE858" s="977"/>
      <c r="AF858" s="977"/>
      <c r="AG858" s="977"/>
      <c r="AH858" s="977"/>
      <c r="AI858" s="977"/>
      <c r="AJ858" s="977"/>
      <c r="AK858" s="977"/>
      <c r="AL858" s="977"/>
      <c r="AM858" s="977"/>
      <c r="AN858" s="977"/>
      <c r="AO858" s="977"/>
      <c r="AP858" s="977"/>
      <c r="AQ858" s="977"/>
    </row>
    <row r="859" spans="1:43" ht="14.25" customHeight="1">
      <c r="A859" s="977"/>
      <c r="B859" s="977"/>
      <c r="C859" s="977"/>
      <c r="D859" s="977"/>
      <c r="E859" s="977"/>
      <c r="F859" s="977"/>
      <c r="G859" s="977"/>
      <c r="H859" s="977"/>
      <c r="I859" s="977"/>
      <c r="J859" s="977"/>
      <c r="K859" s="977"/>
      <c r="L859" s="977"/>
      <c r="M859" s="977"/>
      <c r="N859" s="977"/>
      <c r="O859" s="977"/>
      <c r="P859" s="977"/>
      <c r="Q859" s="977"/>
      <c r="R859" s="977"/>
      <c r="S859" s="977"/>
      <c r="T859" s="977"/>
      <c r="U859" s="977"/>
      <c r="V859" s="977"/>
      <c r="W859" s="977"/>
      <c r="X859" s="977"/>
      <c r="Y859" s="977"/>
      <c r="Z859" s="977"/>
      <c r="AA859" s="977"/>
      <c r="AB859" s="977"/>
      <c r="AC859" s="977"/>
      <c r="AD859" s="977"/>
      <c r="AE859" s="977"/>
      <c r="AF859" s="977"/>
      <c r="AG859" s="977"/>
      <c r="AH859" s="977"/>
      <c r="AI859" s="977"/>
      <c r="AJ859" s="977"/>
      <c r="AK859" s="977"/>
      <c r="AL859" s="977"/>
      <c r="AM859" s="977"/>
      <c r="AN859" s="977"/>
      <c r="AO859" s="977"/>
      <c r="AP859" s="977"/>
      <c r="AQ859" s="977"/>
    </row>
    <row r="860" spans="1:43" ht="14.25" customHeight="1">
      <c r="A860" s="977"/>
      <c r="B860" s="977"/>
      <c r="C860" s="977"/>
      <c r="D860" s="977"/>
      <c r="E860" s="977"/>
      <c r="F860" s="977"/>
      <c r="G860" s="977"/>
      <c r="H860" s="977"/>
      <c r="I860" s="977"/>
      <c r="J860" s="977"/>
      <c r="K860" s="977"/>
      <c r="L860" s="977"/>
      <c r="M860" s="977"/>
      <c r="N860" s="977"/>
      <c r="O860" s="977"/>
      <c r="P860" s="977"/>
      <c r="Q860" s="977"/>
      <c r="R860" s="977"/>
      <c r="S860" s="977"/>
      <c r="T860" s="977"/>
      <c r="U860" s="977"/>
      <c r="V860" s="977"/>
      <c r="W860" s="977"/>
      <c r="X860" s="977"/>
      <c r="Y860" s="977"/>
      <c r="Z860" s="977"/>
      <c r="AA860" s="977"/>
      <c r="AB860" s="977"/>
      <c r="AC860" s="977"/>
      <c r="AD860" s="977"/>
      <c r="AE860" s="977"/>
      <c r="AF860" s="977"/>
      <c r="AG860" s="977"/>
      <c r="AH860" s="977"/>
      <c r="AI860" s="977"/>
      <c r="AJ860" s="977"/>
      <c r="AK860" s="977"/>
      <c r="AL860" s="977"/>
      <c r="AM860" s="977"/>
      <c r="AN860" s="977"/>
      <c r="AO860" s="977"/>
      <c r="AP860" s="977"/>
      <c r="AQ860" s="977"/>
    </row>
    <row r="861" spans="1:43" ht="14.25" customHeight="1">
      <c r="A861" s="977"/>
      <c r="B861" s="977"/>
      <c r="C861" s="977"/>
      <c r="D861" s="977"/>
      <c r="E861" s="977"/>
      <c r="F861" s="977"/>
      <c r="G861" s="977"/>
      <c r="H861" s="977"/>
      <c r="I861" s="977"/>
      <c r="J861" s="977"/>
      <c r="K861" s="977"/>
      <c r="L861" s="977"/>
      <c r="M861" s="977"/>
      <c r="N861" s="977"/>
      <c r="O861" s="977"/>
      <c r="P861" s="977"/>
      <c r="Q861" s="977"/>
      <c r="R861" s="977"/>
      <c r="S861" s="977"/>
      <c r="T861" s="977"/>
      <c r="U861" s="977"/>
      <c r="V861" s="977"/>
      <c r="W861" s="977"/>
      <c r="X861" s="977"/>
      <c r="Y861" s="977"/>
      <c r="Z861" s="977"/>
      <c r="AA861" s="977"/>
      <c r="AB861" s="977"/>
      <c r="AC861" s="977"/>
      <c r="AD861" s="977"/>
      <c r="AE861" s="977"/>
      <c r="AF861" s="977"/>
      <c r="AG861" s="977"/>
      <c r="AH861" s="977"/>
      <c r="AI861" s="977"/>
      <c r="AJ861" s="977"/>
      <c r="AK861" s="977"/>
      <c r="AL861" s="977"/>
      <c r="AM861" s="977"/>
      <c r="AN861" s="977"/>
      <c r="AO861" s="977"/>
      <c r="AP861" s="977"/>
      <c r="AQ861" s="977"/>
    </row>
    <row r="862" spans="1:43" ht="14.25" customHeight="1">
      <c r="A862" s="977"/>
      <c r="B862" s="977"/>
      <c r="C862" s="977"/>
      <c r="D862" s="977"/>
      <c r="E862" s="977"/>
      <c r="F862" s="977"/>
      <c r="G862" s="977"/>
      <c r="H862" s="977"/>
      <c r="I862" s="977"/>
      <c r="J862" s="977"/>
      <c r="K862" s="977"/>
      <c r="L862" s="977"/>
      <c r="M862" s="977"/>
      <c r="N862" s="977"/>
      <c r="O862" s="977"/>
      <c r="P862" s="977"/>
      <c r="Q862" s="977"/>
      <c r="R862" s="977"/>
      <c r="S862" s="977"/>
      <c r="T862" s="977"/>
      <c r="U862" s="977"/>
      <c r="V862" s="977"/>
      <c r="W862" s="977"/>
      <c r="X862" s="977"/>
      <c r="Y862" s="977"/>
      <c r="Z862" s="977"/>
      <c r="AA862" s="977"/>
      <c r="AB862" s="977"/>
      <c r="AC862" s="977"/>
      <c r="AD862" s="977"/>
      <c r="AE862" s="977"/>
      <c r="AF862" s="977"/>
      <c r="AG862" s="977"/>
      <c r="AH862" s="977"/>
      <c r="AI862" s="977"/>
      <c r="AJ862" s="977"/>
      <c r="AK862" s="977"/>
      <c r="AL862" s="977"/>
      <c r="AM862" s="977"/>
      <c r="AN862" s="977"/>
      <c r="AO862" s="977"/>
      <c r="AP862" s="977"/>
      <c r="AQ862" s="977"/>
    </row>
    <row r="863" spans="1:43" ht="14.25" customHeight="1">
      <c r="A863" s="977"/>
      <c r="B863" s="977"/>
      <c r="C863" s="977"/>
      <c r="D863" s="977"/>
      <c r="E863" s="977"/>
      <c r="F863" s="977"/>
      <c r="G863" s="977"/>
      <c r="H863" s="977"/>
      <c r="I863" s="977"/>
      <c r="J863" s="977"/>
      <c r="K863" s="977"/>
      <c r="L863" s="977"/>
      <c r="M863" s="977"/>
      <c r="N863" s="977"/>
      <c r="O863" s="977"/>
      <c r="P863" s="977"/>
      <c r="Q863" s="977"/>
      <c r="R863" s="977"/>
      <c r="S863" s="977"/>
      <c r="T863" s="977"/>
      <c r="U863" s="977"/>
      <c r="V863" s="977"/>
      <c r="W863" s="977"/>
      <c r="X863" s="977"/>
      <c r="Y863" s="977"/>
      <c r="Z863" s="977"/>
      <c r="AA863" s="977"/>
      <c r="AB863" s="977"/>
      <c r="AC863" s="977"/>
      <c r="AD863" s="977"/>
      <c r="AE863" s="977"/>
      <c r="AF863" s="977"/>
      <c r="AG863" s="977"/>
      <c r="AH863" s="977"/>
      <c r="AI863" s="977"/>
      <c r="AJ863" s="977"/>
      <c r="AK863" s="977"/>
      <c r="AL863" s="977"/>
      <c r="AM863" s="977"/>
      <c r="AN863" s="977"/>
      <c r="AO863" s="977"/>
      <c r="AP863" s="977"/>
      <c r="AQ863" s="977"/>
    </row>
    <row r="864" spans="1:43" ht="14.25" customHeight="1">
      <c r="A864" s="977"/>
      <c r="B864" s="977"/>
      <c r="C864" s="977"/>
      <c r="D864" s="977"/>
      <c r="E864" s="977"/>
      <c r="F864" s="977"/>
      <c r="G864" s="977"/>
      <c r="H864" s="977"/>
      <c r="I864" s="977"/>
      <c r="J864" s="977"/>
      <c r="K864" s="977"/>
      <c r="L864" s="977"/>
      <c r="M864" s="977"/>
      <c r="N864" s="977"/>
      <c r="O864" s="977"/>
      <c r="P864" s="977"/>
      <c r="Q864" s="977"/>
      <c r="R864" s="977"/>
      <c r="S864" s="977"/>
      <c r="T864" s="977"/>
      <c r="U864" s="977"/>
      <c r="V864" s="977"/>
      <c r="W864" s="977"/>
      <c r="X864" s="977"/>
      <c r="Y864" s="977"/>
      <c r="Z864" s="977"/>
      <c r="AA864" s="977"/>
      <c r="AB864" s="977"/>
      <c r="AC864" s="977"/>
      <c r="AD864" s="977"/>
      <c r="AE864" s="977"/>
      <c r="AF864" s="977"/>
      <c r="AG864" s="977"/>
      <c r="AH864" s="977"/>
      <c r="AI864" s="977"/>
      <c r="AJ864" s="977"/>
      <c r="AK864" s="977"/>
      <c r="AL864" s="977"/>
      <c r="AM864" s="977"/>
      <c r="AN864" s="977"/>
      <c r="AO864" s="977"/>
      <c r="AP864" s="977"/>
      <c r="AQ864" s="977"/>
    </row>
    <row r="865" spans="1:43" ht="14.25" customHeight="1">
      <c r="A865" s="977"/>
      <c r="B865" s="977"/>
      <c r="C865" s="977"/>
      <c r="D865" s="977"/>
      <c r="E865" s="977"/>
      <c r="F865" s="977"/>
      <c r="G865" s="977"/>
      <c r="H865" s="977"/>
      <c r="I865" s="977"/>
      <c r="J865" s="977"/>
      <c r="K865" s="977"/>
      <c r="L865" s="977"/>
      <c r="M865" s="977"/>
      <c r="N865" s="977"/>
      <c r="O865" s="977"/>
      <c r="P865" s="977"/>
      <c r="Q865" s="977"/>
      <c r="R865" s="977"/>
      <c r="S865" s="977"/>
      <c r="T865" s="977"/>
      <c r="U865" s="977"/>
      <c r="V865" s="977"/>
      <c r="W865" s="977"/>
      <c r="X865" s="977"/>
      <c r="Y865" s="977"/>
      <c r="Z865" s="977"/>
      <c r="AA865" s="977"/>
      <c r="AB865" s="977"/>
      <c r="AC865" s="977"/>
      <c r="AD865" s="977"/>
      <c r="AE865" s="977"/>
      <c r="AF865" s="977"/>
      <c r="AG865" s="977"/>
      <c r="AH865" s="977"/>
      <c r="AI865" s="977"/>
      <c r="AJ865" s="977"/>
      <c r="AK865" s="977"/>
      <c r="AL865" s="977"/>
      <c r="AM865" s="977"/>
      <c r="AN865" s="977"/>
      <c r="AO865" s="977"/>
      <c r="AP865" s="977"/>
      <c r="AQ865" s="977"/>
    </row>
    <row r="866" spans="1:43" ht="14.25" customHeight="1">
      <c r="A866" s="977"/>
      <c r="B866" s="977"/>
      <c r="C866" s="977"/>
      <c r="D866" s="977"/>
      <c r="E866" s="977"/>
      <c r="F866" s="977"/>
      <c r="G866" s="977"/>
      <c r="H866" s="977"/>
      <c r="I866" s="977"/>
      <c r="J866" s="977"/>
      <c r="K866" s="977"/>
      <c r="L866" s="977"/>
      <c r="M866" s="977"/>
      <c r="N866" s="977"/>
      <c r="O866" s="977"/>
      <c r="P866" s="977"/>
      <c r="Q866" s="977"/>
      <c r="R866" s="977"/>
      <c r="S866" s="977"/>
      <c r="T866" s="977"/>
      <c r="U866" s="977"/>
      <c r="V866" s="977"/>
      <c r="W866" s="977"/>
      <c r="X866" s="977"/>
      <c r="Y866" s="977"/>
      <c r="Z866" s="977"/>
      <c r="AA866" s="977"/>
      <c r="AB866" s="977"/>
      <c r="AC866" s="977"/>
      <c r="AD866" s="977"/>
      <c r="AE866" s="977"/>
      <c r="AF866" s="977"/>
      <c r="AG866" s="977"/>
      <c r="AH866" s="977"/>
      <c r="AI866" s="977"/>
      <c r="AJ866" s="977"/>
      <c r="AK866" s="977"/>
      <c r="AL866" s="977"/>
      <c r="AM866" s="977"/>
      <c r="AN866" s="977"/>
      <c r="AO866" s="977"/>
      <c r="AP866" s="977"/>
      <c r="AQ866" s="977"/>
    </row>
    <row r="867" spans="1:43" ht="14.25" customHeight="1">
      <c r="A867" s="977"/>
      <c r="B867" s="977"/>
      <c r="C867" s="977"/>
      <c r="D867" s="977"/>
      <c r="E867" s="977"/>
      <c r="F867" s="977"/>
      <c r="G867" s="977"/>
      <c r="H867" s="977"/>
      <c r="I867" s="977"/>
      <c r="J867" s="977"/>
      <c r="K867" s="977"/>
      <c r="L867" s="977"/>
      <c r="M867" s="977"/>
      <c r="N867" s="977"/>
      <c r="O867" s="977"/>
      <c r="P867" s="977"/>
      <c r="Q867" s="977"/>
      <c r="R867" s="977"/>
      <c r="S867" s="977"/>
      <c r="T867" s="977"/>
      <c r="U867" s="977"/>
      <c r="V867" s="977"/>
      <c r="W867" s="977"/>
      <c r="X867" s="977"/>
      <c r="Y867" s="977"/>
      <c r="Z867" s="977"/>
      <c r="AA867" s="977"/>
      <c r="AB867" s="977"/>
      <c r="AC867" s="977"/>
      <c r="AD867" s="977"/>
      <c r="AE867" s="977"/>
      <c r="AF867" s="977"/>
      <c r="AG867" s="977"/>
      <c r="AH867" s="977"/>
      <c r="AI867" s="977"/>
      <c r="AJ867" s="977"/>
      <c r="AK867" s="977"/>
      <c r="AL867" s="977"/>
      <c r="AM867" s="977"/>
      <c r="AN867" s="977"/>
      <c r="AO867" s="977"/>
      <c r="AP867" s="977"/>
      <c r="AQ867" s="977"/>
    </row>
    <row r="868" spans="1:43" ht="14.25" customHeight="1">
      <c r="A868" s="977"/>
      <c r="B868" s="977"/>
      <c r="C868" s="977"/>
      <c r="D868" s="977"/>
      <c r="E868" s="977"/>
      <c r="F868" s="977"/>
      <c r="G868" s="977"/>
      <c r="H868" s="977"/>
      <c r="I868" s="977"/>
      <c r="J868" s="977"/>
      <c r="K868" s="977"/>
      <c r="L868" s="977"/>
      <c r="M868" s="977"/>
      <c r="N868" s="977"/>
      <c r="O868" s="977"/>
      <c r="P868" s="977"/>
      <c r="Q868" s="977"/>
      <c r="R868" s="977"/>
      <c r="S868" s="977"/>
      <c r="T868" s="977"/>
      <c r="U868" s="977"/>
      <c r="V868" s="977"/>
      <c r="W868" s="977"/>
      <c r="X868" s="977"/>
      <c r="Y868" s="977"/>
      <c r="Z868" s="977"/>
      <c r="AA868" s="977"/>
      <c r="AB868" s="977"/>
      <c r="AC868" s="977"/>
      <c r="AD868" s="977"/>
      <c r="AE868" s="977"/>
      <c r="AF868" s="977"/>
      <c r="AG868" s="977"/>
      <c r="AH868" s="977"/>
      <c r="AI868" s="977"/>
      <c r="AJ868" s="977"/>
      <c r="AK868" s="977"/>
      <c r="AL868" s="977"/>
      <c r="AM868" s="977"/>
      <c r="AN868" s="977"/>
      <c r="AO868" s="977"/>
      <c r="AP868" s="977"/>
      <c r="AQ868" s="977"/>
    </row>
    <row r="869" spans="1:43" ht="14.25" customHeight="1">
      <c r="A869" s="977"/>
      <c r="B869" s="977"/>
      <c r="C869" s="977"/>
      <c r="D869" s="977"/>
      <c r="E869" s="977"/>
      <c r="F869" s="977"/>
      <c r="G869" s="977"/>
      <c r="H869" s="977"/>
      <c r="I869" s="977"/>
      <c r="J869" s="977"/>
      <c r="K869" s="977"/>
      <c r="L869" s="977"/>
      <c r="M869" s="977"/>
      <c r="N869" s="977"/>
      <c r="O869" s="977"/>
      <c r="P869" s="977"/>
      <c r="Q869" s="977"/>
      <c r="R869" s="977"/>
      <c r="S869" s="977"/>
      <c r="T869" s="977"/>
      <c r="U869" s="977"/>
      <c r="V869" s="977"/>
      <c r="W869" s="977"/>
      <c r="X869" s="977"/>
      <c r="Y869" s="977"/>
      <c r="Z869" s="977"/>
      <c r="AA869" s="977"/>
      <c r="AB869" s="977"/>
      <c r="AC869" s="977"/>
      <c r="AD869" s="977"/>
      <c r="AE869" s="977"/>
      <c r="AF869" s="977"/>
      <c r="AG869" s="977"/>
      <c r="AH869" s="977"/>
      <c r="AI869" s="977"/>
      <c r="AJ869" s="977"/>
      <c r="AK869" s="977"/>
      <c r="AL869" s="977"/>
      <c r="AM869" s="977"/>
      <c r="AN869" s="977"/>
      <c r="AO869" s="977"/>
      <c r="AP869" s="977"/>
      <c r="AQ869" s="977"/>
    </row>
    <row r="870" spans="1:43" ht="14.25" customHeight="1">
      <c r="A870" s="977"/>
      <c r="B870" s="977"/>
      <c r="C870" s="977"/>
      <c r="D870" s="977"/>
      <c r="E870" s="977"/>
      <c r="F870" s="977"/>
      <c r="G870" s="977"/>
      <c r="H870" s="977"/>
      <c r="I870" s="977"/>
      <c r="J870" s="977"/>
      <c r="K870" s="977"/>
      <c r="L870" s="977"/>
      <c r="M870" s="977"/>
      <c r="N870" s="977"/>
      <c r="O870" s="977"/>
      <c r="P870" s="977"/>
      <c r="Q870" s="977"/>
      <c r="R870" s="977"/>
      <c r="S870" s="977"/>
      <c r="T870" s="977"/>
      <c r="U870" s="977"/>
      <c r="V870" s="977"/>
      <c r="W870" s="977"/>
      <c r="X870" s="977"/>
      <c r="Y870" s="977"/>
      <c r="Z870" s="977"/>
      <c r="AA870" s="977"/>
      <c r="AB870" s="977"/>
      <c r="AC870" s="977"/>
      <c r="AD870" s="977"/>
      <c r="AE870" s="977"/>
      <c r="AF870" s="977"/>
      <c r="AG870" s="977"/>
      <c r="AH870" s="977"/>
      <c r="AI870" s="977"/>
      <c r="AJ870" s="977"/>
      <c r="AK870" s="977"/>
      <c r="AL870" s="977"/>
      <c r="AM870" s="977"/>
      <c r="AN870" s="977"/>
      <c r="AO870" s="977"/>
      <c r="AP870" s="977"/>
      <c r="AQ870" s="977"/>
    </row>
    <row r="871" spans="1:43" ht="14.25" customHeight="1">
      <c r="A871" s="977"/>
      <c r="B871" s="977"/>
      <c r="C871" s="977"/>
      <c r="D871" s="977"/>
      <c r="E871" s="977"/>
      <c r="F871" s="977"/>
      <c r="G871" s="977"/>
      <c r="H871" s="977"/>
      <c r="I871" s="977"/>
      <c r="J871" s="977"/>
      <c r="K871" s="977"/>
      <c r="L871" s="977"/>
      <c r="M871" s="977"/>
      <c r="N871" s="977"/>
      <c r="O871" s="977"/>
      <c r="P871" s="977"/>
      <c r="Q871" s="977"/>
      <c r="R871" s="977"/>
      <c r="S871" s="977"/>
      <c r="T871" s="977"/>
      <c r="U871" s="977"/>
      <c r="V871" s="977"/>
      <c r="W871" s="977"/>
      <c r="X871" s="977"/>
      <c r="Y871" s="977"/>
      <c r="Z871" s="977"/>
      <c r="AA871" s="977"/>
      <c r="AB871" s="977"/>
      <c r="AC871" s="977"/>
      <c r="AD871" s="977"/>
      <c r="AE871" s="977"/>
      <c r="AF871" s="977"/>
      <c r="AG871" s="977"/>
      <c r="AH871" s="977"/>
      <c r="AI871" s="977"/>
      <c r="AJ871" s="977"/>
      <c r="AK871" s="977"/>
      <c r="AL871" s="977"/>
      <c r="AM871" s="977"/>
      <c r="AN871" s="977"/>
      <c r="AO871" s="977"/>
      <c r="AP871" s="977"/>
      <c r="AQ871" s="977"/>
    </row>
    <row r="872" spans="1:43" ht="14.25" customHeight="1">
      <c r="A872" s="977"/>
      <c r="B872" s="977"/>
      <c r="C872" s="977"/>
      <c r="D872" s="977"/>
      <c r="E872" s="977"/>
      <c r="F872" s="977"/>
      <c r="G872" s="977"/>
      <c r="H872" s="977"/>
      <c r="I872" s="977"/>
      <c r="J872" s="977"/>
      <c r="K872" s="977"/>
      <c r="L872" s="977"/>
      <c r="M872" s="977"/>
      <c r="N872" s="977"/>
      <c r="O872" s="977"/>
      <c r="P872" s="977"/>
      <c r="Q872" s="977"/>
      <c r="R872" s="977"/>
      <c r="S872" s="977"/>
      <c r="T872" s="977"/>
      <c r="U872" s="977"/>
      <c r="V872" s="977"/>
      <c r="W872" s="977"/>
      <c r="X872" s="977"/>
      <c r="Y872" s="977"/>
      <c r="Z872" s="977"/>
      <c r="AA872" s="977"/>
      <c r="AB872" s="977"/>
      <c r="AC872" s="977"/>
      <c r="AD872" s="977"/>
      <c r="AE872" s="977"/>
      <c r="AF872" s="977"/>
      <c r="AG872" s="977"/>
      <c r="AH872" s="977"/>
      <c r="AI872" s="977"/>
      <c r="AJ872" s="977"/>
      <c r="AK872" s="977"/>
      <c r="AL872" s="977"/>
      <c r="AM872" s="977"/>
      <c r="AN872" s="977"/>
      <c r="AO872" s="977"/>
      <c r="AP872" s="977"/>
      <c r="AQ872" s="977"/>
    </row>
    <row r="873" spans="1:43" ht="14.25" customHeight="1">
      <c r="A873" s="977"/>
      <c r="B873" s="977"/>
      <c r="C873" s="977"/>
      <c r="D873" s="977"/>
      <c r="E873" s="977"/>
      <c r="F873" s="977"/>
      <c r="G873" s="977"/>
      <c r="H873" s="977"/>
      <c r="I873" s="977"/>
      <c r="J873" s="977"/>
      <c r="K873" s="977"/>
      <c r="L873" s="977"/>
      <c r="M873" s="977"/>
      <c r="N873" s="977"/>
      <c r="O873" s="977"/>
      <c r="P873" s="977"/>
      <c r="Q873" s="977"/>
      <c r="R873" s="977"/>
      <c r="S873" s="977"/>
      <c r="T873" s="977"/>
      <c r="U873" s="977"/>
      <c r="V873" s="977"/>
      <c r="W873" s="977"/>
      <c r="X873" s="977"/>
      <c r="Y873" s="977"/>
      <c r="Z873" s="977"/>
      <c r="AA873" s="977"/>
      <c r="AB873" s="977"/>
      <c r="AC873" s="977"/>
      <c r="AD873" s="977"/>
      <c r="AE873" s="977"/>
      <c r="AF873" s="977"/>
      <c r="AG873" s="977"/>
      <c r="AH873" s="977"/>
      <c r="AI873" s="977"/>
      <c r="AJ873" s="977"/>
      <c r="AK873" s="977"/>
      <c r="AL873" s="977"/>
      <c r="AM873" s="977"/>
      <c r="AN873" s="977"/>
      <c r="AO873" s="977"/>
      <c r="AP873" s="977"/>
      <c r="AQ873" s="977"/>
    </row>
    <row r="874" spans="1:43" ht="14.25" customHeight="1">
      <c r="A874" s="977"/>
      <c r="B874" s="977"/>
      <c r="C874" s="977"/>
      <c r="D874" s="977"/>
      <c r="E874" s="977"/>
      <c r="F874" s="977"/>
      <c r="G874" s="977"/>
      <c r="H874" s="977"/>
      <c r="I874" s="977"/>
      <c r="J874" s="977"/>
      <c r="K874" s="977"/>
      <c r="L874" s="977"/>
      <c r="M874" s="977"/>
      <c r="N874" s="977"/>
      <c r="O874" s="977"/>
      <c r="P874" s="977"/>
      <c r="Q874" s="977"/>
      <c r="R874" s="977"/>
      <c r="S874" s="977"/>
      <c r="T874" s="977"/>
      <c r="U874" s="977"/>
      <c r="V874" s="977"/>
      <c r="W874" s="977"/>
      <c r="X874" s="977"/>
      <c r="Y874" s="977"/>
      <c r="Z874" s="977"/>
      <c r="AA874" s="977"/>
      <c r="AB874" s="977"/>
      <c r="AC874" s="977"/>
      <c r="AD874" s="977"/>
      <c r="AE874" s="977"/>
      <c r="AF874" s="977"/>
      <c r="AG874" s="977"/>
      <c r="AH874" s="977"/>
      <c r="AI874" s="977"/>
      <c r="AJ874" s="977"/>
      <c r="AK874" s="977"/>
      <c r="AL874" s="977"/>
      <c r="AM874" s="977"/>
      <c r="AN874" s="977"/>
      <c r="AO874" s="977"/>
      <c r="AP874" s="977"/>
      <c r="AQ874" s="977"/>
    </row>
    <row r="875" spans="1:43" ht="14.25" customHeight="1">
      <c r="A875" s="977"/>
      <c r="B875" s="977"/>
      <c r="C875" s="977"/>
      <c r="D875" s="977"/>
      <c r="E875" s="977"/>
      <c r="F875" s="977"/>
      <c r="G875" s="977"/>
      <c r="H875" s="977"/>
      <c r="I875" s="977"/>
      <c r="J875" s="977"/>
      <c r="K875" s="977"/>
      <c r="L875" s="977"/>
      <c r="M875" s="977"/>
      <c r="N875" s="977"/>
      <c r="O875" s="977"/>
      <c r="P875" s="977"/>
      <c r="Q875" s="977"/>
      <c r="R875" s="977"/>
      <c r="S875" s="977"/>
      <c r="T875" s="977"/>
      <c r="U875" s="977"/>
      <c r="V875" s="977"/>
      <c r="W875" s="977"/>
      <c r="X875" s="977"/>
      <c r="Y875" s="977"/>
      <c r="Z875" s="977"/>
      <c r="AA875" s="977"/>
      <c r="AB875" s="977"/>
      <c r="AC875" s="977"/>
      <c r="AD875" s="977"/>
      <c r="AE875" s="977"/>
      <c r="AF875" s="977"/>
      <c r="AG875" s="977"/>
      <c r="AH875" s="977"/>
      <c r="AI875" s="977"/>
      <c r="AJ875" s="977"/>
      <c r="AK875" s="977"/>
      <c r="AL875" s="977"/>
      <c r="AM875" s="977"/>
      <c r="AN875" s="977"/>
      <c r="AO875" s="977"/>
      <c r="AP875" s="977"/>
      <c r="AQ875" s="977"/>
    </row>
    <row r="876" spans="1:43" ht="14.25" customHeight="1">
      <c r="A876" s="977"/>
      <c r="B876" s="977"/>
      <c r="C876" s="977"/>
      <c r="D876" s="977"/>
      <c r="E876" s="977"/>
      <c r="F876" s="977"/>
      <c r="G876" s="977"/>
      <c r="H876" s="977"/>
      <c r="I876" s="977"/>
      <c r="J876" s="977"/>
      <c r="K876" s="977"/>
      <c r="L876" s="977"/>
      <c r="M876" s="977"/>
      <c r="N876" s="977"/>
      <c r="O876" s="977"/>
      <c r="P876" s="977"/>
      <c r="Q876" s="977"/>
      <c r="R876" s="977"/>
      <c r="S876" s="977"/>
      <c r="T876" s="977"/>
      <c r="U876" s="977"/>
      <c r="V876" s="977"/>
      <c r="W876" s="977"/>
      <c r="X876" s="977"/>
      <c r="Y876" s="977"/>
      <c r="Z876" s="977"/>
      <c r="AA876" s="977"/>
      <c r="AB876" s="977"/>
      <c r="AC876" s="977"/>
      <c r="AD876" s="977"/>
      <c r="AE876" s="977"/>
      <c r="AF876" s="977"/>
      <c r="AG876" s="977"/>
      <c r="AH876" s="977"/>
      <c r="AI876" s="977"/>
      <c r="AJ876" s="977"/>
      <c r="AK876" s="977"/>
      <c r="AL876" s="977"/>
      <c r="AM876" s="977"/>
      <c r="AN876" s="977"/>
      <c r="AO876" s="977"/>
      <c r="AP876" s="977"/>
      <c r="AQ876" s="977"/>
    </row>
    <row r="877" spans="1:43" ht="14.25" customHeight="1">
      <c r="A877" s="977"/>
      <c r="B877" s="977"/>
      <c r="C877" s="977"/>
      <c r="D877" s="977"/>
      <c r="E877" s="977"/>
      <c r="F877" s="977"/>
      <c r="G877" s="977"/>
      <c r="H877" s="977"/>
      <c r="I877" s="977"/>
      <c r="J877" s="977"/>
      <c r="K877" s="977"/>
      <c r="L877" s="977"/>
      <c r="M877" s="977"/>
      <c r="N877" s="977"/>
      <c r="O877" s="977"/>
      <c r="P877" s="977"/>
      <c r="Q877" s="977"/>
      <c r="R877" s="977"/>
      <c r="S877" s="977"/>
      <c r="T877" s="977"/>
      <c r="U877" s="977"/>
      <c r="V877" s="977"/>
      <c r="W877" s="977"/>
      <c r="X877" s="977"/>
      <c r="Y877" s="977"/>
      <c r="Z877" s="977"/>
      <c r="AA877" s="977"/>
      <c r="AB877" s="977"/>
      <c r="AC877" s="977"/>
      <c r="AD877" s="977"/>
      <c r="AE877" s="977"/>
      <c r="AF877" s="977"/>
      <c r="AG877" s="977"/>
      <c r="AH877" s="977"/>
      <c r="AI877" s="977"/>
      <c r="AJ877" s="977"/>
      <c r="AK877" s="977"/>
      <c r="AL877" s="977"/>
      <c r="AM877" s="977"/>
      <c r="AN877" s="977"/>
      <c r="AO877" s="977"/>
      <c r="AP877" s="977"/>
      <c r="AQ877" s="977"/>
    </row>
    <row r="878" spans="1:43" ht="14.25" customHeight="1">
      <c r="A878" s="977"/>
      <c r="B878" s="977"/>
      <c r="C878" s="977"/>
      <c r="D878" s="977"/>
      <c r="E878" s="977"/>
      <c r="F878" s="977"/>
      <c r="G878" s="977"/>
      <c r="H878" s="977"/>
      <c r="I878" s="977"/>
      <c r="J878" s="977"/>
      <c r="K878" s="977"/>
      <c r="L878" s="977"/>
      <c r="M878" s="977"/>
      <c r="N878" s="977"/>
      <c r="O878" s="977"/>
      <c r="P878" s="977"/>
      <c r="Q878" s="977"/>
      <c r="R878" s="977"/>
      <c r="S878" s="977"/>
      <c r="T878" s="977"/>
      <c r="U878" s="977"/>
      <c r="V878" s="977"/>
      <c r="W878" s="977"/>
      <c r="X878" s="977"/>
      <c r="Y878" s="977"/>
      <c r="Z878" s="977"/>
      <c r="AA878" s="977"/>
      <c r="AB878" s="977"/>
      <c r="AC878" s="977"/>
      <c r="AD878" s="977"/>
      <c r="AE878" s="977"/>
      <c r="AF878" s="977"/>
      <c r="AG878" s="977"/>
      <c r="AH878" s="977"/>
      <c r="AI878" s="977"/>
      <c r="AJ878" s="977"/>
      <c r="AK878" s="977"/>
      <c r="AL878" s="977"/>
      <c r="AM878" s="977"/>
      <c r="AN878" s="977"/>
      <c r="AO878" s="977"/>
      <c r="AP878" s="977"/>
      <c r="AQ878" s="977"/>
    </row>
    <row r="879" spans="1:43" ht="14.25" customHeight="1">
      <c r="A879" s="977"/>
      <c r="B879" s="977"/>
      <c r="C879" s="977"/>
      <c r="D879" s="977"/>
      <c r="E879" s="977"/>
      <c r="F879" s="977"/>
      <c r="G879" s="977"/>
      <c r="H879" s="977"/>
      <c r="I879" s="977"/>
      <c r="J879" s="977"/>
      <c r="K879" s="977"/>
      <c r="L879" s="977"/>
      <c r="M879" s="977"/>
      <c r="N879" s="977"/>
      <c r="O879" s="977"/>
      <c r="P879" s="977"/>
      <c r="Q879" s="977"/>
      <c r="R879" s="977"/>
      <c r="S879" s="977"/>
      <c r="T879" s="977"/>
      <c r="U879" s="977"/>
      <c r="V879" s="977"/>
      <c r="W879" s="977"/>
      <c r="X879" s="977"/>
      <c r="Y879" s="977"/>
      <c r="Z879" s="977"/>
      <c r="AA879" s="977"/>
      <c r="AB879" s="977"/>
      <c r="AC879" s="977"/>
      <c r="AD879" s="977"/>
      <c r="AE879" s="977"/>
      <c r="AF879" s="977"/>
      <c r="AG879" s="977"/>
      <c r="AH879" s="977"/>
      <c r="AI879" s="977"/>
      <c r="AJ879" s="977"/>
      <c r="AK879" s="977"/>
      <c r="AL879" s="977"/>
      <c r="AM879" s="977"/>
      <c r="AN879" s="977"/>
      <c r="AO879" s="977"/>
      <c r="AP879" s="977"/>
      <c r="AQ879" s="977"/>
    </row>
    <row r="880" spans="1:43" ht="14.25" customHeight="1">
      <c r="A880" s="977"/>
      <c r="B880" s="977"/>
      <c r="C880" s="977"/>
      <c r="D880" s="977"/>
      <c r="E880" s="977"/>
      <c r="F880" s="977"/>
      <c r="G880" s="977"/>
      <c r="H880" s="977"/>
      <c r="I880" s="977"/>
      <c r="J880" s="977"/>
      <c r="K880" s="977"/>
      <c r="L880" s="977"/>
      <c r="M880" s="977"/>
      <c r="N880" s="977"/>
      <c r="O880" s="977"/>
      <c r="P880" s="977"/>
      <c r="Q880" s="977"/>
      <c r="R880" s="977"/>
      <c r="S880" s="977"/>
      <c r="T880" s="977"/>
      <c r="U880" s="977"/>
      <c r="V880" s="977"/>
      <c r="W880" s="977"/>
      <c r="X880" s="977"/>
      <c r="Y880" s="977"/>
      <c r="Z880" s="977"/>
      <c r="AA880" s="977"/>
      <c r="AB880" s="977"/>
      <c r="AC880" s="977"/>
      <c r="AD880" s="977"/>
      <c r="AE880" s="977"/>
      <c r="AF880" s="977"/>
      <c r="AG880" s="977"/>
      <c r="AH880" s="977"/>
      <c r="AI880" s="977"/>
      <c r="AJ880" s="977"/>
      <c r="AK880" s="977"/>
      <c r="AL880" s="977"/>
      <c r="AM880" s="977"/>
      <c r="AN880" s="977"/>
      <c r="AO880" s="977"/>
      <c r="AP880" s="977"/>
      <c r="AQ880" s="977"/>
    </row>
    <row r="881" spans="1:43" ht="14.25" customHeight="1">
      <c r="A881" s="977"/>
      <c r="B881" s="977"/>
      <c r="C881" s="977"/>
      <c r="D881" s="977"/>
      <c r="E881" s="977"/>
      <c r="F881" s="977"/>
      <c r="G881" s="977"/>
      <c r="H881" s="977"/>
      <c r="I881" s="977"/>
      <c r="J881" s="977"/>
      <c r="K881" s="977"/>
      <c r="L881" s="977"/>
      <c r="M881" s="977"/>
      <c r="N881" s="977"/>
      <c r="O881" s="977"/>
      <c r="P881" s="977"/>
      <c r="Q881" s="977"/>
      <c r="R881" s="977"/>
      <c r="S881" s="977"/>
      <c r="T881" s="977"/>
      <c r="U881" s="977"/>
      <c r="V881" s="977"/>
      <c r="W881" s="977"/>
      <c r="X881" s="977"/>
      <c r="Y881" s="977"/>
      <c r="Z881" s="977"/>
      <c r="AA881" s="977"/>
      <c r="AB881" s="977"/>
      <c r="AC881" s="977"/>
      <c r="AD881" s="977"/>
      <c r="AE881" s="977"/>
      <c r="AF881" s="977"/>
      <c r="AG881" s="977"/>
      <c r="AH881" s="977"/>
      <c r="AI881" s="977"/>
      <c r="AJ881" s="977"/>
      <c r="AK881" s="977"/>
      <c r="AL881" s="977"/>
      <c r="AM881" s="977"/>
      <c r="AN881" s="977"/>
      <c r="AO881" s="977"/>
      <c r="AP881" s="977"/>
      <c r="AQ881" s="977"/>
    </row>
    <row r="882" spans="1:43" ht="14.25" customHeight="1">
      <c r="A882" s="977"/>
      <c r="B882" s="977"/>
      <c r="C882" s="977"/>
      <c r="D882" s="977"/>
      <c r="E882" s="977"/>
      <c r="F882" s="977"/>
      <c r="G882" s="977"/>
      <c r="H882" s="977"/>
      <c r="I882" s="977"/>
      <c r="J882" s="977"/>
      <c r="K882" s="977"/>
      <c r="L882" s="977"/>
      <c r="M882" s="977"/>
      <c r="N882" s="977"/>
      <c r="O882" s="977"/>
      <c r="P882" s="977"/>
      <c r="Q882" s="977"/>
      <c r="R882" s="977"/>
      <c r="S882" s="977"/>
      <c r="T882" s="977"/>
      <c r="U882" s="977"/>
      <c r="V882" s="977"/>
      <c r="W882" s="977"/>
      <c r="X882" s="977"/>
      <c r="Y882" s="977"/>
      <c r="Z882" s="977"/>
      <c r="AA882" s="977"/>
      <c r="AB882" s="977"/>
      <c r="AC882" s="977"/>
      <c r="AD882" s="977"/>
      <c r="AE882" s="977"/>
      <c r="AF882" s="977"/>
      <c r="AG882" s="977"/>
      <c r="AH882" s="977"/>
      <c r="AI882" s="977"/>
      <c r="AJ882" s="977"/>
      <c r="AK882" s="977"/>
      <c r="AL882" s="977"/>
      <c r="AM882" s="977"/>
      <c r="AN882" s="977"/>
      <c r="AO882" s="977"/>
      <c r="AP882" s="977"/>
      <c r="AQ882" s="977"/>
    </row>
    <row r="883" spans="1:43" ht="14.25" customHeight="1">
      <c r="A883" s="977"/>
      <c r="B883" s="977"/>
      <c r="C883" s="977"/>
      <c r="D883" s="977"/>
      <c r="E883" s="977"/>
      <c r="F883" s="977"/>
      <c r="G883" s="977"/>
      <c r="H883" s="977"/>
      <c r="I883" s="977"/>
      <c r="J883" s="977"/>
      <c r="K883" s="977"/>
      <c r="L883" s="977"/>
      <c r="M883" s="977"/>
      <c r="N883" s="977"/>
      <c r="O883" s="977"/>
      <c r="P883" s="977"/>
      <c r="Q883" s="977"/>
      <c r="R883" s="977"/>
      <c r="S883" s="977"/>
      <c r="T883" s="977"/>
      <c r="U883" s="977"/>
      <c r="V883" s="977"/>
      <c r="W883" s="977"/>
      <c r="X883" s="977"/>
      <c r="Y883" s="977"/>
      <c r="Z883" s="977"/>
      <c r="AA883" s="977"/>
      <c r="AB883" s="977"/>
      <c r="AC883" s="977"/>
      <c r="AD883" s="977"/>
      <c r="AE883" s="977"/>
      <c r="AF883" s="977"/>
      <c r="AG883" s="977"/>
      <c r="AH883" s="977"/>
      <c r="AI883" s="977"/>
      <c r="AJ883" s="977"/>
      <c r="AK883" s="977"/>
      <c r="AL883" s="977"/>
      <c r="AM883" s="977"/>
      <c r="AN883" s="977"/>
      <c r="AO883" s="977"/>
      <c r="AP883" s="977"/>
      <c r="AQ883" s="977"/>
    </row>
    <row r="884" spans="1:43" ht="14.25" customHeight="1">
      <c r="A884" s="977"/>
      <c r="B884" s="977"/>
      <c r="C884" s="977"/>
      <c r="D884" s="977"/>
      <c r="E884" s="977"/>
      <c r="F884" s="977"/>
      <c r="G884" s="977"/>
      <c r="H884" s="977"/>
      <c r="I884" s="977"/>
      <c r="J884" s="977"/>
      <c r="K884" s="977"/>
      <c r="L884" s="977"/>
      <c r="M884" s="977"/>
      <c r="N884" s="977"/>
      <c r="O884" s="977"/>
      <c r="P884" s="977"/>
      <c r="Q884" s="977"/>
      <c r="R884" s="977"/>
      <c r="S884" s="977"/>
      <c r="T884" s="977"/>
      <c r="U884" s="977"/>
      <c r="V884" s="977"/>
      <c r="W884" s="977"/>
      <c r="X884" s="977"/>
      <c r="Y884" s="977"/>
      <c r="Z884" s="977"/>
      <c r="AA884" s="977"/>
      <c r="AB884" s="977"/>
      <c r="AC884" s="977"/>
      <c r="AD884" s="977"/>
      <c r="AE884" s="977"/>
      <c r="AF884" s="977"/>
      <c r="AG884" s="977"/>
      <c r="AH884" s="977"/>
      <c r="AI884" s="977"/>
      <c r="AJ884" s="977"/>
      <c r="AK884" s="977"/>
      <c r="AL884" s="977"/>
      <c r="AM884" s="977"/>
      <c r="AN884" s="977"/>
      <c r="AO884" s="977"/>
      <c r="AP884" s="977"/>
      <c r="AQ884" s="977"/>
    </row>
    <row r="885" spans="1:43" ht="14.25" customHeight="1">
      <c r="A885" s="977"/>
      <c r="B885" s="977"/>
      <c r="C885" s="977"/>
      <c r="D885" s="977"/>
      <c r="E885" s="977"/>
      <c r="F885" s="977"/>
      <c r="G885" s="977"/>
      <c r="H885" s="977"/>
      <c r="I885" s="977"/>
      <c r="J885" s="977"/>
      <c r="K885" s="977"/>
      <c r="L885" s="977"/>
      <c r="M885" s="977"/>
      <c r="N885" s="977"/>
      <c r="O885" s="977"/>
      <c r="P885" s="977"/>
      <c r="Q885" s="977"/>
      <c r="R885" s="977"/>
      <c r="S885" s="977"/>
      <c r="T885" s="977"/>
      <c r="U885" s="977"/>
      <c r="V885" s="977"/>
      <c r="W885" s="977"/>
      <c r="X885" s="977"/>
      <c r="Y885" s="977"/>
      <c r="Z885" s="977"/>
      <c r="AA885" s="977"/>
      <c r="AB885" s="977"/>
      <c r="AC885" s="977"/>
      <c r="AD885" s="977"/>
      <c r="AE885" s="977"/>
      <c r="AF885" s="977"/>
      <c r="AG885" s="977"/>
      <c r="AH885" s="977"/>
      <c r="AI885" s="977"/>
      <c r="AJ885" s="977"/>
      <c r="AK885" s="977"/>
      <c r="AL885" s="977"/>
      <c r="AM885" s="977"/>
      <c r="AN885" s="977"/>
      <c r="AO885" s="977"/>
      <c r="AP885" s="977"/>
      <c r="AQ885" s="977"/>
    </row>
    <row r="886" spans="1:43" ht="14.25" customHeight="1">
      <c r="A886" s="977"/>
      <c r="B886" s="977"/>
      <c r="C886" s="977"/>
      <c r="D886" s="977"/>
      <c r="E886" s="977"/>
      <c r="F886" s="977"/>
      <c r="G886" s="977"/>
      <c r="H886" s="977"/>
      <c r="I886" s="977"/>
      <c r="J886" s="977"/>
      <c r="K886" s="977"/>
      <c r="L886" s="977"/>
      <c r="M886" s="977"/>
      <c r="N886" s="977"/>
      <c r="O886" s="977"/>
      <c r="P886" s="977"/>
      <c r="Q886" s="977"/>
      <c r="R886" s="977"/>
      <c r="S886" s="977"/>
      <c r="T886" s="977"/>
      <c r="U886" s="977"/>
      <c r="V886" s="977"/>
      <c r="W886" s="977"/>
      <c r="X886" s="977"/>
      <c r="Y886" s="977"/>
      <c r="Z886" s="977"/>
      <c r="AA886" s="977"/>
      <c r="AB886" s="977"/>
      <c r="AC886" s="977"/>
      <c r="AD886" s="977"/>
      <c r="AE886" s="977"/>
      <c r="AF886" s="977"/>
      <c r="AG886" s="977"/>
      <c r="AH886" s="977"/>
      <c r="AI886" s="977"/>
      <c r="AJ886" s="977"/>
      <c r="AK886" s="977"/>
      <c r="AL886" s="977"/>
      <c r="AM886" s="977"/>
      <c r="AN886" s="977"/>
      <c r="AO886" s="977"/>
      <c r="AP886" s="977"/>
      <c r="AQ886" s="977"/>
    </row>
    <row r="887" spans="1:43" ht="14.25" customHeight="1">
      <c r="A887" s="977"/>
      <c r="B887" s="977"/>
      <c r="C887" s="977"/>
      <c r="D887" s="977"/>
      <c r="E887" s="977"/>
      <c r="F887" s="977"/>
      <c r="G887" s="977"/>
      <c r="H887" s="977"/>
      <c r="I887" s="977"/>
      <c r="J887" s="977"/>
      <c r="K887" s="977"/>
      <c r="L887" s="977"/>
      <c r="M887" s="977"/>
      <c r="N887" s="977"/>
      <c r="O887" s="977"/>
      <c r="P887" s="977"/>
      <c r="Q887" s="977"/>
      <c r="R887" s="977"/>
      <c r="S887" s="977"/>
      <c r="T887" s="977"/>
      <c r="U887" s="977"/>
      <c r="V887" s="977"/>
      <c r="W887" s="977"/>
      <c r="X887" s="977"/>
      <c r="Y887" s="977"/>
      <c r="Z887" s="977"/>
      <c r="AA887" s="977"/>
      <c r="AB887" s="977"/>
      <c r="AC887" s="977"/>
      <c r="AD887" s="977"/>
      <c r="AE887" s="977"/>
      <c r="AF887" s="977"/>
      <c r="AG887" s="977"/>
      <c r="AH887" s="977"/>
      <c r="AI887" s="977"/>
      <c r="AJ887" s="977"/>
      <c r="AK887" s="977"/>
      <c r="AL887" s="977"/>
      <c r="AM887" s="977"/>
      <c r="AN887" s="977"/>
      <c r="AO887" s="977"/>
      <c r="AP887" s="977"/>
      <c r="AQ887" s="977"/>
    </row>
    <row r="888" spans="1:43" ht="14.25" customHeight="1">
      <c r="A888" s="977"/>
      <c r="B888" s="977"/>
      <c r="C888" s="977"/>
      <c r="D888" s="977"/>
      <c r="E888" s="977"/>
      <c r="F888" s="977"/>
      <c r="G888" s="977"/>
      <c r="H888" s="977"/>
      <c r="I888" s="977"/>
      <c r="J888" s="977"/>
      <c r="K888" s="977"/>
      <c r="L888" s="977"/>
      <c r="M888" s="977"/>
      <c r="N888" s="977"/>
      <c r="O888" s="977"/>
      <c r="P888" s="977"/>
      <c r="Q888" s="977"/>
      <c r="R888" s="977"/>
      <c r="S888" s="977"/>
      <c r="T888" s="977"/>
      <c r="U888" s="977"/>
      <c r="V888" s="977"/>
      <c r="W888" s="977"/>
      <c r="X888" s="977"/>
      <c r="Y888" s="977"/>
      <c r="Z888" s="977"/>
      <c r="AA888" s="977"/>
      <c r="AB888" s="977"/>
      <c r="AC888" s="977"/>
      <c r="AD888" s="977"/>
      <c r="AE888" s="977"/>
      <c r="AF888" s="977"/>
      <c r="AG888" s="977"/>
      <c r="AH888" s="977"/>
      <c r="AI888" s="977"/>
      <c r="AJ888" s="977"/>
      <c r="AK888" s="977"/>
      <c r="AL888" s="977"/>
      <c r="AM888" s="977"/>
      <c r="AN888" s="977"/>
      <c r="AO888" s="977"/>
      <c r="AP888" s="977"/>
      <c r="AQ888" s="977"/>
    </row>
    <row r="889" spans="1:43" ht="14.25" customHeight="1">
      <c r="A889" s="977"/>
      <c r="B889" s="977"/>
      <c r="C889" s="977"/>
      <c r="D889" s="977"/>
      <c r="E889" s="977"/>
      <c r="F889" s="977"/>
      <c r="G889" s="977"/>
      <c r="H889" s="977"/>
      <c r="I889" s="977"/>
      <c r="J889" s="977"/>
      <c r="K889" s="977"/>
      <c r="L889" s="977"/>
      <c r="M889" s="977"/>
      <c r="N889" s="977"/>
      <c r="O889" s="977"/>
      <c r="P889" s="977"/>
      <c r="Q889" s="977"/>
      <c r="R889" s="977"/>
      <c r="S889" s="977"/>
      <c r="T889" s="977"/>
      <c r="U889" s="977"/>
      <c r="V889" s="977"/>
      <c r="W889" s="977"/>
      <c r="X889" s="977"/>
      <c r="Y889" s="977"/>
      <c r="Z889" s="977"/>
      <c r="AA889" s="977"/>
      <c r="AB889" s="977"/>
      <c r="AC889" s="977"/>
      <c r="AD889" s="977"/>
      <c r="AE889" s="977"/>
      <c r="AF889" s="977"/>
      <c r="AG889" s="977"/>
      <c r="AH889" s="977"/>
      <c r="AI889" s="977"/>
      <c r="AJ889" s="977"/>
      <c r="AK889" s="977"/>
      <c r="AL889" s="977"/>
      <c r="AM889" s="977"/>
      <c r="AN889" s="977"/>
      <c r="AO889" s="977"/>
      <c r="AP889" s="977"/>
      <c r="AQ889" s="977"/>
    </row>
    <row r="890" spans="1:43" ht="14.25" customHeight="1">
      <c r="A890" s="977"/>
      <c r="B890" s="977"/>
      <c r="C890" s="977"/>
      <c r="D890" s="977"/>
      <c r="E890" s="977"/>
      <c r="F890" s="977"/>
      <c r="G890" s="977"/>
      <c r="H890" s="977"/>
      <c r="I890" s="977"/>
      <c r="J890" s="977"/>
      <c r="K890" s="977"/>
      <c r="L890" s="977"/>
      <c r="M890" s="977"/>
      <c r="N890" s="977"/>
      <c r="O890" s="977"/>
      <c r="P890" s="977"/>
      <c r="Q890" s="977"/>
      <c r="R890" s="977"/>
      <c r="S890" s="977"/>
      <c r="T890" s="977"/>
      <c r="U890" s="977"/>
      <c r="V890" s="977"/>
      <c r="W890" s="977"/>
      <c r="X890" s="977"/>
      <c r="Y890" s="977"/>
      <c r="Z890" s="977"/>
      <c r="AA890" s="977"/>
      <c r="AB890" s="977"/>
      <c r="AC890" s="977"/>
      <c r="AD890" s="977"/>
      <c r="AE890" s="977"/>
      <c r="AF890" s="977"/>
      <c r="AG890" s="977"/>
      <c r="AH890" s="977"/>
      <c r="AI890" s="977"/>
      <c r="AJ890" s="977"/>
      <c r="AK890" s="977"/>
      <c r="AL890" s="977"/>
      <c r="AM890" s="977"/>
      <c r="AN890" s="977"/>
      <c r="AO890" s="977"/>
      <c r="AP890" s="977"/>
      <c r="AQ890" s="977"/>
    </row>
    <row r="891" spans="1:43" ht="14.25" customHeight="1">
      <c r="A891" s="977"/>
      <c r="B891" s="977"/>
      <c r="C891" s="977"/>
      <c r="D891" s="977"/>
      <c r="E891" s="977"/>
      <c r="F891" s="977"/>
      <c r="G891" s="977"/>
      <c r="H891" s="977"/>
      <c r="I891" s="977"/>
      <c r="J891" s="977"/>
      <c r="K891" s="977"/>
      <c r="L891" s="977"/>
      <c r="M891" s="977"/>
      <c r="N891" s="977"/>
      <c r="O891" s="977"/>
      <c r="P891" s="977"/>
      <c r="Q891" s="977"/>
      <c r="R891" s="977"/>
      <c r="S891" s="977"/>
      <c r="T891" s="977"/>
      <c r="U891" s="977"/>
      <c r="V891" s="977"/>
      <c r="W891" s="977"/>
      <c r="X891" s="977"/>
      <c r="Y891" s="977"/>
      <c r="Z891" s="977"/>
      <c r="AA891" s="977"/>
      <c r="AB891" s="977"/>
      <c r="AC891" s="977"/>
      <c r="AD891" s="977"/>
      <c r="AE891" s="977"/>
      <c r="AF891" s="977"/>
      <c r="AG891" s="977"/>
      <c r="AH891" s="977"/>
      <c r="AI891" s="977"/>
      <c r="AJ891" s="977"/>
      <c r="AK891" s="977"/>
      <c r="AL891" s="977"/>
      <c r="AM891" s="977"/>
      <c r="AN891" s="977"/>
      <c r="AO891" s="977"/>
      <c r="AP891" s="977"/>
      <c r="AQ891" s="977"/>
    </row>
    <row r="892" spans="1:43" ht="14.25" customHeight="1">
      <c r="A892" s="977"/>
      <c r="B892" s="977"/>
      <c r="C892" s="977"/>
      <c r="D892" s="977"/>
      <c r="E892" s="977"/>
      <c r="F892" s="977"/>
      <c r="G892" s="977"/>
      <c r="H892" s="977"/>
      <c r="I892" s="977"/>
      <c r="J892" s="977"/>
      <c r="K892" s="977"/>
      <c r="L892" s="977"/>
      <c r="M892" s="977"/>
      <c r="N892" s="977"/>
      <c r="O892" s="977"/>
      <c r="P892" s="977"/>
      <c r="Q892" s="977"/>
      <c r="R892" s="977"/>
      <c r="S892" s="977"/>
      <c r="T892" s="977"/>
      <c r="U892" s="977"/>
      <c r="V892" s="977"/>
      <c r="W892" s="977"/>
      <c r="X892" s="977"/>
      <c r="Y892" s="977"/>
      <c r="Z892" s="977"/>
      <c r="AA892" s="977"/>
      <c r="AB892" s="977"/>
      <c r="AC892" s="977"/>
      <c r="AD892" s="977"/>
      <c r="AE892" s="977"/>
      <c r="AF892" s="977"/>
      <c r="AG892" s="977"/>
      <c r="AH892" s="977"/>
      <c r="AI892" s="977"/>
      <c r="AJ892" s="977"/>
      <c r="AK892" s="977"/>
      <c r="AL892" s="977"/>
      <c r="AM892" s="977"/>
      <c r="AN892" s="977"/>
      <c r="AO892" s="977"/>
      <c r="AP892" s="977"/>
      <c r="AQ892" s="977"/>
    </row>
    <row r="893" spans="1:43" ht="14.25" customHeight="1">
      <c r="A893" s="977"/>
      <c r="B893" s="977"/>
      <c r="C893" s="977"/>
      <c r="D893" s="977"/>
      <c r="E893" s="977"/>
      <c r="F893" s="977"/>
      <c r="G893" s="977"/>
      <c r="H893" s="977"/>
      <c r="I893" s="977"/>
      <c r="J893" s="977"/>
      <c r="K893" s="977"/>
      <c r="L893" s="977"/>
      <c r="M893" s="977"/>
      <c r="N893" s="977"/>
      <c r="O893" s="977"/>
      <c r="P893" s="977"/>
      <c r="Q893" s="977"/>
      <c r="R893" s="977"/>
      <c r="S893" s="977"/>
      <c r="T893" s="977"/>
      <c r="U893" s="977"/>
      <c r="V893" s="977"/>
      <c r="W893" s="977"/>
      <c r="X893" s="977"/>
      <c r="Y893" s="977"/>
      <c r="Z893" s="977"/>
      <c r="AA893" s="977"/>
      <c r="AB893" s="977"/>
      <c r="AC893" s="977"/>
      <c r="AD893" s="977"/>
      <c r="AE893" s="977"/>
      <c r="AF893" s="977"/>
      <c r="AG893" s="977"/>
      <c r="AH893" s="977"/>
      <c r="AI893" s="977"/>
      <c r="AJ893" s="977"/>
      <c r="AK893" s="977"/>
      <c r="AL893" s="977"/>
      <c r="AM893" s="977"/>
      <c r="AN893" s="977"/>
      <c r="AO893" s="977"/>
      <c r="AP893" s="977"/>
      <c r="AQ893" s="977"/>
    </row>
    <row r="894" spans="1:43" ht="14.25" customHeight="1">
      <c r="A894" s="977"/>
      <c r="B894" s="977"/>
      <c r="C894" s="977"/>
      <c r="D894" s="977"/>
      <c r="E894" s="977"/>
      <c r="F894" s="977"/>
      <c r="G894" s="977"/>
      <c r="H894" s="977"/>
      <c r="I894" s="977"/>
      <c r="J894" s="977"/>
      <c r="K894" s="977"/>
      <c r="L894" s="977"/>
      <c r="M894" s="977"/>
      <c r="N894" s="977"/>
      <c r="O894" s="977"/>
      <c r="P894" s="977"/>
      <c r="Q894" s="977"/>
      <c r="R894" s="977"/>
      <c r="S894" s="977"/>
      <c r="T894" s="977"/>
      <c r="U894" s="977"/>
      <c r="V894" s="977"/>
      <c r="W894" s="977"/>
      <c r="X894" s="977"/>
      <c r="Y894" s="977"/>
      <c r="Z894" s="977"/>
      <c r="AA894" s="977"/>
      <c r="AB894" s="977"/>
      <c r="AC894" s="977"/>
      <c r="AD894" s="977"/>
      <c r="AE894" s="977"/>
      <c r="AF894" s="977"/>
      <c r="AG894" s="977"/>
      <c r="AH894" s="977"/>
      <c r="AI894" s="977"/>
      <c r="AJ894" s="977"/>
      <c r="AK894" s="977"/>
      <c r="AL894" s="977"/>
      <c r="AM894" s="977"/>
      <c r="AN894" s="977"/>
      <c r="AO894" s="977"/>
      <c r="AP894" s="977"/>
      <c r="AQ894" s="977"/>
    </row>
    <row r="895" spans="1:43" ht="14.25" customHeight="1">
      <c r="A895" s="977"/>
      <c r="B895" s="977"/>
      <c r="C895" s="977"/>
      <c r="D895" s="977"/>
      <c r="E895" s="977"/>
      <c r="F895" s="977"/>
      <c r="G895" s="977"/>
      <c r="H895" s="977"/>
      <c r="I895" s="977"/>
      <c r="J895" s="977"/>
      <c r="K895" s="977"/>
      <c r="L895" s="977"/>
      <c r="M895" s="977"/>
      <c r="N895" s="977"/>
      <c r="O895" s="977"/>
      <c r="P895" s="977"/>
      <c r="Q895" s="977"/>
      <c r="R895" s="977"/>
      <c r="S895" s="977"/>
      <c r="T895" s="977"/>
      <c r="U895" s="977"/>
      <c r="V895" s="977"/>
      <c r="W895" s="977"/>
      <c r="X895" s="977"/>
      <c r="Y895" s="977"/>
      <c r="Z895" s="977"/>
      <c r="AA895" s="977"/>
      <c r="AB895" s="977"/>
      <c r="AC895" s="977"/>
      <c r="AD895" s="977"/>
      <c r="AE895" s="977"/>
      <c r="AF895" s="977"/>
      <c r="AG895" s="977"/>
      <c r="AH895" s="977"/>
      <c r="AI895" s="977"/>
      <c r="AJ895" s="977"/>
      <c r="AK895" s="977"/>
      <c r="AL895" s="977"/>
      <c r="AM895" s="977"/>
      <c r="AN895" s="977"/>
      <c r="AO895" s="977"/>
      <c r="AP895" s="977"/>
      <c r="AQ895" s="977"/>
    </row>
    <row r="896" spans="1:43" ht="14.25" customHeight="1">
      <c r="A896" s="977"/>
      <c r="B896" s="977"/>
      <c r="C896" s="977"/>
      <c r="D896" s="977"/>
      <c r="E896" s="977"/>
      <c r="F896" s="977"/>
      <c r="G896" s="977"/>
      <c r="H896" s="977"/>
      <c r="I896" s="977"/>
      <c r="J896" s="977"/>
      <c r="K896" s="977"/>
      <c r="L896" s="977"/>
      <c r="M896" s="977"/>
      <c r="N896" s="977"/>
      <c r="O896" s="977"/>
      <c r="P896" s="977"/>
      <c r="Q896" s="977"/>
      <c r="R896" s="977"/>
      <c r="S896" s="977"/>
      <c r="T896" s="977"/>
      <c r="U896" s="977"/>
      <c r="V896" s="977"/>
      <c r="W896" s="977"/>
      <c r="X896" s="977"/>
      <c r="Y896" s="977"/>
      <c r="Z896" s="977"/>
      <c r="AA896" s="977"/>
      <c r="AB896" s="977"/>
      <c r="AC896" s="977"/>
      <c r="AD896" s="977"/>
      <c r="AE896" s="977"/>
      <c r="AF896" s="977"/>
      <c r="AG896" s="977"/>
      <c r="AH896" s="977"/>
      <c r="AI896" s="977"/>
      <c r="AJ896" s="977"/>
      <c r="AK896" s="977"/>
      <c r="AL896" s="977"/>
      <c r="AM896" s="977"/>
      <c r="AN896" s="977"/>
      <c r="AO896" s="977"/>
      <c r="AP896" s="977"/>
      <c r="AQ896" s="977"/>
    </row>
    <row r="897" spans="1:43" ht="14.25" customHeight="1">
      <c r="A897" s="977"/>
      <c r="B897" s="977"/>
      <c r="C897" s="977"/>
      <c r="D897" s="977"/>
      <c r="E897" s="977"/>
      <c r="F897" s="977"/>
      <c r="G897" s="977"/>
      <c r="H897" s="977"/>
      <c r="I897" s="977"/>
      <c r="J897" s="977"/>
      <c r="K897" s="977"/>
      <c r="L897" s="977"/>
      <c r="M897" s="977"/>
      <c r="N897" s="977"/>
      <c r="O897" s="977"/>
      <c r="P897" s="977"/>
      <c r="Q897" s="977"/>
      <c r="R897" s="977"/>
      <c r="S897" s="977"/>
      <c r="T897" s="977"/>
      <c r="U897" s="977"/>
      <c r="V897" s="977"/>
      <c r="W897" s="977"/>
      <c r="X897" s="977"/>
      <c r="Y897" s="977"/>
      <c r="Z897" s="977"/>
      <c r="AA897" s="977"/>
      <c r="AB897" s="977"/>
      <c r="AC897" s="977"/>
      <c r="AD897" s="977"/>
      <c r="AE897" s="977"/>
      <c r="AF897" s="977"/>
      <c r="AG897" s="977"/>
      <c r="AH897" s="977"/>
      <c r="AI897" s="977"/>
      <c r="AJ897" s="977"/>
      <c r="AK897" s="977"/>
      <c r="AL897" s="977"/>
      <c r="AM897" s="977"/>
      <c r="AN897" s="977"/>
      <c r="AO897" s="977"/>
      <c r="AP897" s="977"/>
      <c r="AQ897" s="977"/>
    </row>
    <row r="898" spans="1:43" ht="14.25" customHeight="1">
      <c r="A898" s="977"/>
      <c r="B898" s="977"/>
      <c r="C898" s="977"/>
      <c r="D898" s="977"/>
      <c r="E898" s="977"/>
      <c r="F898" s="977"/>
      <c r="G898" s="977"/>
      <c r="H898" s="977"/>
      <c r="I898" s="977"/>
      <c r="J898" s="977"/>
      <c r="K898" s="977"/>
      <c r="L898" s="977"/>
      <c r="M898" s="977"/>
      <c r="N898" s="977"/>
      <c r="O898" s="977"/>
      <c r="P898" s="977"/>
      <c r="Q898" s="977"/>
      <c r="R898" s="977"/>
      <c r="S898" s="977"/>
      <c r="T898" s="977"/>
      <c r="U898" s="977"/>
      <c r="V898" s="977"/>
      <c r="W898" s="977"/>
      <c r="X898" s="977"/>
      <c r="Y898" s="977"/>
      <c r="Z898" s="977"/>
      <c r="AA898" s="977"/>
      <c r="AB898" s="977"/>
      <c r="AC898" s="977"/>
      <c r="AD898" s="977"/>
      <c r="AE898" s="977"/>
      <c r="AF898" s="977"/>
      <c r="AG898" s="977"/>
      <c r="AH898" s="977"/>
      <c r="AI898" s="977"/>
      <c r="AJ898" s="977"/>
      <c r="AK898" s="977"/>
      <c r="AL898" s="977"/>
      <c r="AM898" s="977"/>
      <c r="AN898" s="977"/>
      <c r="AO898" s="977"/>
      <c r="AP898" s="977"/>
      <c r="AQ898" s="977"/>
    </row>
    <row r="899" spans="1:43" ht="14.25" customHeight="1">
      <c r="A899" s="977"/>
      <c r="B899" s="977"/>
      <c r="C899" s="977"/>
      <c r="D899" s="977"/>
      <c r="E899" s="977"/>
      <c r="F899" s="977"/>
      <c r="G899" s="977"/>
      <c r="H899" s="977"/>
      <c r="I899" s="977"/>
      <c r="J899" s="977"/>
      <c r="K899" s="977"/>
      <c r="L899" s="977"/>
      <c r="M899" s="977"/>
      <c r="N899" s="977"/>
      <c r="O899" s="977"/>
      <c r="P899" s="977"/>
      <c r="Q899" s="977"/>
      <c r="R899" s="977"/>
      <c r="S899" s="977"/>
      <c r="T899" s="977"/>
      <c r="U899" s="977"/>
      <c r="V899" s="977"/>
      <c r="W899" s="977"/>
      <c r="X899" s="977"/>
      <c r="Y899" s="977"/>
      <c r="Z899" s="977"/>
      <c r="AA899" s="977"/>
      <c r="AB899" s="977"/>
      <c r="AC899" s="977"/>
      <c r="AD899" s="977"/>
      <c r="AE899" s="977"/>
      <c r="AF899" s="977"/>
      <c r="AG899" s="977"/>
      <c r="AH899" s="977"/>
      <c r="AI899" s="977"/>
      <c r="AJ899" s="977"/>
      <c r="AK899" s="977"/>
      <c r="AL899" s="977"/>
      <c r="AM899" s="977"/>
      <c r="AN899" s="977"/>
      <c r="AO899" s="977"/>
      <c r="AP899" s="977"/>
      <c r="AQ899" s="977"/>
    </row>
    <row r="900" spans="1:43" ht="14.25" customHeight="1">
      <c r="A900" s="977"/>
      <c r="B900" s="977"/>
      <c r="C900" s="977"/>
      <c r="D900" s="977"/>
      <c r="E900" s="977"/>
      <c r="F900" s="977"/>
      <c r="G900" s="977"/>
      <c r="H900" s="977"/>
      <c r="I900" s="977"/>
      <c r="J900" s="977"/>
      <c r="K900" s="977"/>
      <c r="L900" s="977"/>
      <c r="M900" s="977"/>
      <c r="N900" s="977"/>
      <c r="O900" s="977"/>
      <c r="P900" s="977"/>
      <c r="Q900" s="977"/>
      <c r="R900" s="977"/>
      <c r="S900" s="977"/>
      <c r="T900" s="977"/>
      <c r="U900" s="977"/>
      <c r="V900" s="977"/>
      <c r="W900" s="977"/>
      <c r="X900" s="977"/>
      <c r="Y900" s="977"/>
      <c r="Z900" s="977"/>
      <c r="AA900" s="977"/>
      <c r="AB900" s="977"/>
      <c r="AC900" s="977"/>
      <c r="AD900" s="977"/>
      <c r="AE900" s="977"/>
      <c r="AF900" s="977"/>
      <c r="AG900" s="977"/>
      <c r="AH900" s="977"/>
      <c r="AI900" s="977"/>
      <c r="AJ900" s="977"/>
      <c r="AK900" s="977"/>
      <c r="AL900" s="977"/>
      <c r="AM900" s="977"/>
      <c r="AN900" s="977"/>
      <c r="AO900" s="977"/>
      <c r="AP900" s="977"/>
      <c r="AQ900" s="977"/>
    </row>
    <row r="901" spans="1:43" ht="14.25" customHeight="1">
      <c r="A901" s="977"/>
      <c r="B901" s="977"/>
      <c r="C901" s="977"/>
      <c r="D901" s="977"/>
      <c r="E901" s="977"/>
      <c r="F901" s="977"/>
      <c r="G901" s="977"/>
      <c r="H901" s="977"/>
      <c r="I901" s="977"/>
      <c r="J901" s="977"/>
      <c r="K901" s="977"/>
      <c r="L901" s="977"/>
      <c r="M901" s="977"/>
      <c r="N901" s="977"/>
      <c r="O901" s="977"/>
      <c r="P901" s="977"/>
      <c r="Q901" s="977"/>
      <c r="R901" s="977"/>
      <c r="S901" s="977"/>
      <c r="T901" s="977"/>
      <c r="U901" s="977"/>
      <c r="V901" s="977"/>
      <c r="W901" s="977"/>
      <c r="X901" s="977"/>
      <c r="Y901" s="977"/>
      <c r="Z901" s="977"/>
      <c r="AA901" s="977"/>
      <c r="AB901" s="977"/>
      <c r="AC901" s="977"/>
      <c r="AD901" s="977"/>
      <c r="AE901" s="977"/>
      <c r="AF901" s="977"/>
      <c r="AG901" s="977"/>
      <c r="AH901" s="977"/>
      <c r="AI901" s="977"/>
      <c r="AJ901" s="977"/>
      <c r="AK901" s="977"/>
      <c r="AL901" s="977"/>
      <c r="AM901" s="977"/>
      <c r="AN901" s="977"/>
      <c r="AO901" s="977"/>
      <c r="AP901" s="977"/>
      <c r="AQ901" s="977"/>
    </row>
    <row r="902" spans="1:43" ht="14.25" customHeight="1">
      <c r="A902" s="977"/>
      <c r="B902" s="977"/>
      <c r="C902" s="977"/>
      <c r="D902" s="977"/>
      <c r="E902" s="977"/>
      <c r="F902" s="977"/>
      <c r="G902" s="977"/>
      <c r="H902" s="977"/>
      <c r="I902" s="977"/>
      <c r="J902" s="977"/>
      <c r="K902" s="977"/>
      <c r="L902" s="977"/>
      <c r="M902" s="977"/>
      <c r="N902" s="977"/>
      <c r="O902" s="977"/>
      <c r="P902" s="977"/>
      <c r="Q902" s="977"/>
      <c r="R902" s="977"/>
      <c r="S902" s="977"/>
      <c r="T902" s="977"/>
      <c r="U902" s="977"/>
      <c r="V902" s="977"/>
      <c r="W902" s="977"/>
      <c r="X902" s="977"/>
      <c r="Y902" s="977"/>
      <c r="Z902" s="977"/>
      <c r="AA902" s="977"/>
      <c r="AB902" s="977"/>
      <c r="AC902" s="977"/>
      <c r="AD902" s="977"/>
      <c r="AE902" s="977"/>
      <c r="AF902" s="977"/>
      <c r="AG902" s="977"/>
      <c r="AH902" s="977"/>
      <c r="AI902" s="977"/>
      <c r="AJ902" s="977"/>
      <c r="AK902" s="977"/>
      <c r="AL902" s="977"/>
      <c r="AM902" s="977"/>
      <c r="AN902" s="977"/>
      <c r="AO902" s="977"/>
      <c r="AP902" s="977"/>
      <c r="AQ902" s="977"/>
    </row>
    <row r="903" spans="1:43" ht="14.25" customHeight="1">
      <c r="A903" s="977"/>
      <c r="B903" s="977"/>
      <c r="C903" s="977"/>
      <c r="D903" s="977"/>
      <c r="E903" s="977"/>
      <c r="F903" s="977"/>
      <c r="G903" s="977"/>
      <c r="H903" s="977"/>
      <c r="I903" s="977"/>
      <c r="J903" s="977"/>
      <c r="K903" s="977"/>
      <c r="L903" s="977"/>
      <c r="M903" s="977"/>
      <c r="N903" s="977"/>
      <c r="O903" s="977"/>
      <c r="P903" s="977"/>
      <c r="Q903" s="977"/>
      <c r="R903" s="977"/>
      <c r="S903" s="977"/>
      <c r="T903" s="977"/>
      <c r="U903" s="977"/>
      <c r="V903" s="977"/>
      <c r="W903" s="977"/>
      <c r="X903" s="977"/>
      <c r="Y903" s="977"/>
      <c r="Z903" s="977"/>
      <c r="AA903" s="977"/>
      <c r="AB903" s="977"/>
      <c r="AC903" s="977"/>
      <c r="AD903" s="977"/>
      <c r="AE903" s="977"/>
      <c r="AF903" s="977"/>
      <c r="AG903" s="977"/>
      <c r="AH903" s="977"/>
      <c r="AI903" s="977"/>
      <c r="AJ903" s="977"/>
      <c r="AK903" s="977"/>
      <c r="AL903" s="977"/>
      <c r="AM903" s="977"/>
      <c r="AN903" s="977"/>
      <c r="AO903" s="977"/>
      <c r="AP903" s="977"/>
      <c r="AQ903" s="977"/>
    </row>
    <row r="904" spans="1:43" ht="14.25" customHeight="1">
      <c r="A904" s="977"/>
      <c r="B904" s="977"/>
      <c r="C904" s="977"/>
      <c r="D904" s="977"/>
      <c r="E904" s="977"/>
      <c r="F904" s="977"/>
      <c r="G904" s="977"/>
      <c r="H904" s="977"/>
      <c r="I904" s="977"/>
      <c r="J904" s="977"/>
      <c r="K904" s="977"/>
      <c r="L904" s="977"/>
      <c r="M904" s="977"/>
      <c r="N904" s="977"/>
      <c r="O904" s="977"/>
      <c r="P904" s="977"/>
      <c r="Q904" s="977"/>
      <c r="R904" s="977"/>
      <c r="S904" s="977"/>
      <c r="T904" s="977"/>
      <c r="U904" s="977"/>
      <c r="V904" s="977"/>
      <c r="W904" s="977"/>
      <c r="X904" s="977"/>
      <c r="Y904" s="977"/>
      <c r="Z904" s="977"/>
      <c r="AA904" s="977"/>
      <c r="AB904" s="977"/>
      <c r="AC904" s="977"/>
      <c r="AD904" s="977"/>
      <c r="AE904" s="977"/>
      <c r="AF904" s="977"/>
      <c r="AG904" s="977"/>
      <c r="AH904" s="977"/>
      <c r="AI904" s="977"/>
      <c r="AJ904" s="977"/>
      <c r="AK904" s="977"/>
      <c r="AL904" s="977"/>
      <c r="AM904" s="977"/>
      <c r="AN904" s="977"/>
      <c r="AO904" s="977"/>
      <c r="AP904" s="977"/>
      <c r="AQ904" s="977"/>
    </row>
    <row r="905" spans="1:43" ht="14.25" customHeight="1">
      <c r="A905" s="977"/>
      <c r="B905" s="977"/>
      <c r="C905" s="977"/>
      <c r="D905" s="977"/>
      <c r="E905" s="977"/>
      <c r="F905" s="977"/>
      <c r="G905" s="977"/>
      <c r="H905" s="977"/>
      <c r="I905" s="977"/>
      <c r="J905" s="977"/>
      <c r="K905" s="977"/>
      <c r="L905" s="977"/>
      <c r="M905" s="977"/>
      <c r="N905" s="977"/>
      <c r="O905" s="977"/>
      <c r="P905" s="977"/>
      <c r="Q905" s="977"/>
      <c r="R905" s="977"/>
      <c r="S905" s="977"/>
      <c r="T905" s="977"/>
      <c r="U905" s="977"/>
      <c r="V905" s="977"/>
      <c r="W905" s="977"/>
      <c r="X905" s="977"/>
      <c r="Y905" s="977"/>
      <c r="Z905" s="977"/>
      <c r="AA905" s="977"/>
      <c r="AB905" s="977"/>
      <c r="AC905" s="977"/>
      <c r="AD905" s="977"/>
      <c r="AE905" s="977"/>
      <c r="AF905" s="977"/>
      <c r="AG905" s="977"/>
      <c r="AH905" s="977"/>
      <c r="AI905" s="977"/>
      <c r="AJ905" s="977"/>
      <c r="AK905" s="977"/>
      <c r="AL905" s="977"/>
      <c r="AM905" s="977"/>
      <c r="AN905" s="977"/>
      <c r="AO905" s="977"/>
      <c r="AP905" s="977"/>
      <c r="AQ905" s="977"/>
    </row>
    <row r="906" spans="1:43" ht="14.25" customHeight="1">
      <c r="A906" s="977"/>
      <c r="B906" s="977"/>
      <c r="C906" s="977"/>
      <c r="D906" s="977"/>
      <c r="E906" s="977"/>
      <c r="F906" s="977"/>
      <c r="G906" s="977"/>
      <c r="H906" s="977"/>
      <c r="I906" s="977"/>
      <c r="J906" s="977"/>
      <c r="K906" s="977"/>
      <c r="L906" s="977"/>
      <c r="M906" s="977"/>
      <c r="N906" s="977"/>
      <c r="O906" s="977"/>
      <c r="P906" s="977"/>
      <c r="Q906" s="977"/>
      <c r="R906" s="977"/>
      <c r="S906" s="977"/>
      <c r="T906" s="977"/>
      <c r="U906" s="977"/>
      <c r="V906" s="977"/>
      <c r="W906" s="977"/>
      <c r="X906" s="977"/>
      <c r="Y906" s="977"/>
      <c r="Z906" s="977"/>
      <c r="AA906" s="977"/>
      <c r="AB906" s="977"/>
      <c r="AC906" s="977"/>
      <c r="AD906" s="977"/>
      <c r="AE906" s="977"/>
      <c r="AF906" s="977"/>
      <c r="AG906" s="977"/>
      <c r="AH906" s="977"/>
      <c r="AI906" s="977"/>
      <c r="AJ906" s="977"/>
      <c r="AK906" s="977"/>
      <c r="AL906" s="977"/>
      <c r="AM906" s="977"/>
      <c r="AN906" s="977"/>
      <c r="AO906" s="977"/>
      <c r="AP906" s="977"/>
      <c r="AQ906" s="977"/>
    </row>
    <row r="907" spans="1:43" ht="14.25" customHeight="1">
      <c r="A907" s="977"/>
      <c r="B907" s="977"/>
      <c r="C907" s="977"/>
      <c r="D907" s="977"/>
      <c r="E907" s="977"/>
      <c r="F907" s="977"/>
      <c r="G907" s="977"/>
      <c r="H907" s="977"/>
      <c r="I907" s="977"/>
      <c r="J907" s="977"/>
      <c r="K907" s="977"/>
      <c r="L907" s="977"/>
      <c r="M907" s="977"/>
      <c r="N907" s="977"/>
      <c r="O907" s="977"/>
      <c r="P907" s="977"/>
      <c r="Q907" s="977"/>
      <c r="R907" s="977"/>
      <c r="S907" s="977"/>
      <c r="T907" s="977"/>
      <c r="U907" s="977"/>
      <c r="V907" s="977"/>
      <c r="W907" s="977"/>
      <c r="X907" s="977"/>
      <c r="Y907" s="977"/>
      <c r="Z907" s="977"/>
      <c r="AA907" s="977"/>
      <c r="AB907" s="977"/>
      <c r="AC907" s="977"/>
      <c r="AD907" s="977"/>
      <c r="AE907" s="977"/>
      <c r="AF907" s="977"/>
      <c r="AG907" s="977"/>
      <c r="AH907" s="977"/>
      <c r="AI907" s="977"/>
      <c r="AJ907" s="977"/>
      <c r="AK907" s="977"/>
      <c r="AL907" s="977"/>
      <c r="AM907" s="977"/>
      <c r="AN907" s="977"/>
      <c r="AO907" s="977"/>
      <c r="AP907" s="977"/>
      <c r="AQ907" s="977"/>
    </row>
    <row r="908" spans="1:43" ht="14.25" customHeight="1">
      <c r="A908" s="977"/>
      <c r="B908" s="977"/>
      <c r="C908" s="977"/>
      <c r="D908" s="977"/>
      <c r="E908" s="977"/>
      <c r="F908" s="977"/>
      <c r="G908" s="977"/>
      <c r="H908" s="977"/>
      <c r="I908" s="977"/>
      <c r="J908" s="977"/>
      <c r="K908" s="977"/>
      <c r="L908" s="977"/>
      <c r="M908" s="977"/>
      <c r="N908" s="977"/>
      <c r="O908" s="977"/>
      <c r="P908" s="977"/>
      <c r="Q908" s="977"/>
      <c r="R908" s="977"/>
      <c r="S908" s="977"/>
      <c r="T908" s="977"/>
      <c r="U908" s="977"/>
      <c r="V908" s="977"/>
      <c r="W908" s="977"/>
      <c r="X908" s="977"/>
      <c r="Y908" s="977"/>
      <c r="Z908" s="977"/>
      <c r="AA908" s="977"/>
      <c r="AB908" s="977"/>
      <c r="AC908" s="977"/>
      <c r="AD908" s="977"/>
      <c r="AE908" s="977"/>
      <c r="AF908" s="977"/>
      <c r="AG908" s="977"/>
      <c r="AH908" s="977"/>
      <c r="AI908" s="977"/>
      <c r="AJ908" s="977"/>
      <c r="AK908" s="977"/>
      <c r="AL908" s="977"/>
      <c r="AM908" s="977"/>
      <c r="AN908" s="977"/>
      <c r="AO908" s="977"/>
      <c r="AP908" s="977"/>
      <c r="AQ908" s="977"/>
    </row>
    <row r="909" spans="1:43" ht="14.25" customHeight="1">
      <c r="A909" s="977"/>
      <c r="B909" s="977"/>
      <c r="C909" s="977"/>
      <c r="D909" s="977"/>
      <c r="E909" s="977"/>
      <c r="F909" s="977"/>
      <c r="G909" s="977"/>
      <c r="H909" s="977"/>
      <c r="I909" s="977"/>
      <c r="J909" s="977"/>
      <c r="K909" s="977"/>
      <c r="L909" s="977"/>
      <c r="M909" s="977"/>
      <c r="N909" s="977"/>
      <c r="O909" s="977"/>
      <c r="P909" s="977"/>
      <c r="Q909" s="977"/>
      <c r="R909" s="977"/>
      <c r="S909" s="977"/>
      <c r="T909" s="977"/>
      <c r="U909" s="977"/>
      <c r="V909" s="977"/>
      <c r="W909" s="977"/>
      <c r="X909" s="977"/>
      <c r="Y909" s="977"/>
      <c r="Z909" s="977"/>
      <c r="AA909" s="977"/>
      <c r="AB909" s="977"/>
      <c r="AC909" s="977"/>
      <c r="AD909" s="977"/>
      <c r="AE909" s="977"/>
      <c r="AF909" s="977"/>
      <c r="AG909" s="977"/>
      <c r="AH909" s="977"/>
      <c r="AI909" s="977"/>
      <c r="AJ909" s="977"/>
      <c r="AK909" s="977"/>
      <c r="AL909" s="977"/>
      <c r="AM909" s="977"/>
      <c r="AN909" s="977"/>
      <c r="AO909" s="977"/>
      <c r="AP909" s="977"/>
      <c r="AQ909" s="977"/>
    </row>
    <row r="910" spans="1:43" ht="14.25" customHeight="1">
      <c r="A910" s="977"/>
      <c r="B910" s="977"/>
      <c r="C910" s="977"/>
      <c r="D910" s="977"/>
      <c r="E910" s="977"/>
      <c r="F910" s="977"/>
      <c r="G910" s="977"/>
      <c r="H910" s="977"/>
      <c r="I910" s="977"/>
      <c r="J910" s="977"/>
      <c r="K910" s="977"/>
      <c r="L910" s="977"/>
      <c r="M910" s="977"/>
      <c r="N910" s="977"/>
      <c r="O910" s="977"/>
      <c r="P910" s="977"/>
      <c r="Q910" s="977"/>
      <c r="R910" s="977"/>
      <c r="S910" s="977"/>
      <c r="T910" s="977"/>
      <c r="U910" s="977"/>
      <c r="V910" s="977"/>
      <c r="W910" s="977"/>
      <c r="X910" s="977"/>
      <c r="Y910" s="977"/>
      <c r="Z910" s="977"/>
      <c r="AA910" s="977"/>
      <c r="AB910" s="977"/>
      <c r="AC910" s="977"/>
      <c r="AD910" s="977"/>
      <c r="AE910" s="977"/>
      <c r="AF910" s="977"/>
      <c r="AG910" s="977"/>
      <c r="AH910" s="977"/>
      <c r="AI910" s="977"/>
      <c r="AJ910" s="977"/>
      <c r="AK910" s="977"/>
      <c r="AL910" s="977"/>
      <c r="AM910" s="977"/>
      <c r="AN910" s="977"/>
      <c r="AO910" s="977"/>
      <c r="AP910" s="977"/>
      <c r="AQ910" s="977"/>
    </row>
    <row r="911" spans="1:43" ht="14.25" customHeight="1">
      <c r="A911" s="977"/>
      <c r="B911" s="977"/>
      <c r="C911" s="977"/>
      <c r="D911" s="977"/>
      <c r="E911" s="977"/>
      <c r="F911" s="977"/>
      <c r="G911" s="977"/>
      <c r="H911" s="977"/>
      <c r="I911" s="977"/>
      <c r="J911" s="977"/>
      <c r="K911" s="977"/>
      <c r="L911" s="977"/>
      <c r="M911" s="977"/>
      <c r="N911" s="977"/>
      <c r="O911" s="977"/>
      <c r="P911" s="977"/>
      <c r="Q911" s="977"/>
      <c r="R911" s="977"/>
      <c r="S911" s="977"/>
      <c r="T911" s="977"/>
      <c r="U911" s="977"/>
      <c r="V911" s="977"/>
      <c r="W911" s="977"/>
      <c r="X911" s="977"/>
      <c r="Y911" s="977"/>
      <c r="Z911" s="977"/>
      <c r="AA911" s="977"/>
      <c r="AB911" s="977"/>
      <c r="AC911" s="977"/>
      <c r="AD911" s="977"/>
      <c r="AE911" s="977"/>
      <c r="AF911" s="977"/>
      <c r="AG911" s="977"/>
      <c r="AH911" s="977"/>
      <c r="AI911" s="977"/>
      <c r="AJ911" s="977"/>
      <c r="AK911" s="977"/>
      <c r="AL911" s="977"/>
      <c r="AM911" s="977"/>
      <c r="AN911" s="977"/>
      <c r="AO911" s="977"/>
      <c r="AP911" s="977"/>
      <c r="AQ911" s="977"/>
    </row>
    <row r="912" spans="1:43" ht="14.25" customHeight="1">
      <c r="A912" s="977"/>
      <c r="B912" s="977"/>
      <c r="C912" s="977"/>
      <c r="D912" s="977"/>
      <c r="E912" s="977"/>
      <c r="F912" s="977"/>
      <c r="G912" s="977"/>
      <c r="H912" s="977"/>
      <c r="I912" s="977"/>
      <c r="J912" s="977"/>
      <c r="K912" s="977"/>
      <c r="L912" s="977"/>
      <c r="M912" s="977"/>
      <c r="N912" s="977"/>
      <c r="O912" s="977"/>
      <c r="P912" s="977"/>
      <c r="Q912" s="977"/>
      <c r="R912" s="977"/>
      <c r="S912" s="977"/>
      <c r="T912" s="977"/>
      <c r="U912" s="977"/>
      <c r="V912" s="977"/>
      <c r="W912" s="977"/>
      <c r="X912" s="977"/>
      <c r="Y912" s="977"/>
      <c r="Z912" s="977"/>
      <c r="AA912" s="977"/>
      <c r="AB912" s="977"/>
      <c r="AC912" s="977"/>
      <c r="AD912" s="977"/>
      <c r="AE912" s="977"/>
      <c r="AF912" s="977"/>
      <c r="AG912" s="977"/>
      <c r="AH912" s="977"/>
      <c r="AI912" s="977"/>
      <c r="AJ912" s="977"/>
      <c r="AK912" s="977"/>
      <c r="AL912" s="977"/>
      <c r="AM912" s="977"/>
      <c r="AN912" s="977"/>
      <c r="AO912" s="977"/>
      <c r="AP912" s="977"/>
      <c r="AQ912" s="977"/>
    </row>
    <row r="913" spans="1:43" ht="14.25" customHeight="1">
      <c r="A913" s="977"/>
      <c r="B913" s="977"/>
      <c r="C913" s="977"/>
      <c r="D913" s="977"/>
      <c r="E913" s="977"/>
      <c r="F913" s="977"/>
      <c r="G913" s="977"/>
      <c r="H913" s="977"/>
      <c r="I913" s="977"/>
      <c r="J913" s="977"/>
      <c r="K913" s="977"/>
      <c r="L913" s="977"/>
      <c r="M913" s="977"/>
      <c r="N913" s="977"/>
      <c r="O913" s="977"/>
      <c r="P913" s="977"/>
      <c r="Q913" s="977"/>
      <c r="R913" s="977"/>
      <c r="S913" s="977"/>
      <c r="T913" s="977"/>
      <c r="U913" s="977"/>
      <c r="V913" s="977"/>
      <c r="W913" s="977"/>
      <c r="X913" s="977"/>
      <c r="Y913" s="977"/>
      <c r="Z913" s="977"/>
      <c r="AA913" s="977"/>
      <c r="AB913" s="977"/>
      <c r="AC913" s="977"/>
      <c r="AD913" s="977"/>
      <c r="AE913" s="977"/>
      <c r="AF913" s="977"/>
      <c r="AG913" s="977"/>
      <c r="AH913" s="977"/>
      <c r="AI913" s="977"/>
      <c r="AJ913" s="977"/>
      <c r="AK913" s="977"/>
      <c r="AL913" s="977"/>
      <c r="AM913" s="977"/>
      <c r="AN913" s="977"/>
      <c r="AO913" s="977"/>
      <c r="AP913" s="977"/>
      <c r="AQ913" s="977"/>
    </row>
    <row r="914" spans="1:43" ht="14.25" customHeight="1">
      <c r="A914" s="977"/>
      <c r="B914" s="977"/>
      <c r="C914" s="977"/>
      <c r="D914" s="977"/>
      <c r="E914" s="977"/>
      <c r="F914" s="977"/>
      <c r="G914" s="977"/>
      <c r="H914" s="977"/>
      <c r="I914" s="977"/>
      <c r="J914" s="977"/>
      <c r="K914" s="977"/>
      <c r="L914" s="977"/>
      <c r="M914" s="977"/>
      <c r="N914" s="977"/>
      <c r="O914" s="977"/>
      <c r="P914" s="977"/>
      <c r="Q914" s="977"/>
      <c r="R914" s="977"/>
      <c r="S914" s="977"/>
      <c r="T914" s="977"/>
      <c r="U914" s="977"/>
      <c r="V914" s="977"/>
      <c r="W914" s="977"/>
      <c r="X914" s="977"/>
      <c r="Y914" s="977"/>
      <c r="Z914" s="977"/>
      <c r="AA914" s="977"/>
      <c r="AB914" s="977"/>
      <c r="AC914" s="977"/>
      <c r="AD914" s="977"/>
      <c r="AE914" s="977"/>
      <c r="AF914" s="977"/>
      <c r="AG914" s="977"/>
      <c r="AH914" s="977"/>
      <c r="AI914" s="977"/>
      <c r="AJ914" s="977"/>
      <c r="AK914" s="977"/>
      <c r="AL914" s="977"/>
      <c r="AM914" s="977"/>
      <c r="AN914" s="977"/>
      <c r="AO914" s="977"/>
      <c r="AP914" s="977"/>
      <c r="AQ914" s="977"/>
    </row>
    <row r="915" spans="1:43" ht="14.25" customHeight="1">
      <c r="A915" s="977"/>
      <c r="B915" s="977"/>
      <c r="C915" s="977"/>
      <c r="D915" s="977"/>
      <c r="E915" s="977"/>
      <c r="F915" s="977"/>
      <c r="G915" s="977"/>
      <c r="H915" s="977"/>
      <c r="I915" s="977"/>
      <c r="J915" s="977"/>
      <c r="K915" s="977"/>
      <c r="L915" s="977"/>
      <c r="M915" s="977"/>
      <c r="N915" s="977"/>
      <c r="O915" s="977"/>
      <c r="P915" s="977"/>
      <c r="Q915" s="977"/>
      <c r="R915" s="977"/>
      <c r="S915" s="977"/>
      <c r="T915" s="977"/>
      <c r="U915" s="977"/>
      <c r="V915" s="977"/>
      <c r="W915" s="977"/>
      <c r="X915" s="977"/>
      <c r="Y915" s="977"/>
      <c r="Z915" s="977"/>
      <c r="AA915" s="977"/>
      <c r="AB915" s="977"/>
      <c r="AC915" s="977"/>
      <c r="AD915" s="977"/>
      <c r="AE915" s="977"/>
      <c r="AF915" s="977"/>
      <c r="AG915" s="977"/>
      <c r="AH915" s="977"/>
      <c r="AI915" s="977"/>
      <c r="AJ915" s="977"/>
      <c r="AK915" s="977"/>
      <c r="AL915" s="977"/>
      <c r="AM915" s="977"/>
      <c r="AN915" s="977"/>
      <c r="AO915" s="977"/>
      <c r="AP915" s="977"/>
      <c r="AQ915" s="977"/>
    </row>
    <row r="916" spans="1:43" ht="14.25" customHeight="1">
      <c r="A916" s="977"/>
      <c r="B916" s="977"/>
      <c r="C916" s="977"/>
      <c r="D916" s="977"/>
      <c r="E916" s="977"/>
      <c r="F916" s="977"/>
      <c r="G916" s="977"/>
      <c r="H916" s="977"/>
      <c r="I916" s="977"/>
      <c r="J916" s="977"/>
      <c r="K916" s="977"/>
      <c r="L916" s="977"/>
      <c r="M916" s="977"/>
      <c r="N916" s="977"/>
      <c r="O916" s="977"/>
      <c r="P916" s="977"/>
      <c r="Q916" s="977"/>
      <c r="R916" s="977"/>
      <c r="S916" s="977"/>
      <c r="T916" s="977"/>
      <c r="U916" s="977"/>
      <c r="V916" s="977"/>
      <c r="W916" s="977"/>
      <c r="X916" s="977"/>
      <c r="Y916" s="977"/>
      <c r="Z916" s="977"/>
      <c r="AA916" s="977"/>
      <c r="AB916" s="977"/>
      <c r="AC916" s="977"/>
      <c r="AD916" s="977"/>
      <c r="AE916" s="977"/>
      <c r="AF916" s="977"/>
      <c r="AG916" s="977"/>
      <c r="AH916" s="977"/>
      <c r="AI916" s="977"/>
      <c r="AJ916" s="977"/>
      <c r="AK916" s="977"/>
      <c r="AL916" s="977"/>
      <c r="AM916" s="977"/>
      <c r="AN916" s="977"/>
      <c r="AO916" s="977"/>
      <c r="AP916" s="977"/>
      <c r="AQ916" s="977"/>
    </row>
    <row r="917" spans="1:43" ht="14.25" customHeight="1">
      <c r="A917" s="977"/>
      <c r="B917" s="977"/>
      <c r="C917" s="977"/>
      <c r="D917" s="977"/>
      <c r="E917" s="977"/>
      <c r="F917" s="977"/>
      <c r="G917" s="977"/>
      <c r="H917" s="977"/>
      <c r="I917" s="977"/>
      <c r="J917" s="977"/>
      <c r="K917" s="977"/>
      <c r="L917" s="977"/>
      <c r="M917" s="977"/>
      <c r="N917" s="977"/>
      <c r="O917" s="977"/>
      <c r="P917" s="977"/>
      <c r="Q917" s="977"/>
      <c r="R917" s="977"/>
      <c r="S917" s="977"/>
      <c r="T917" s="977"/>
      <c r="U917" s="977"/>
      <c r="V917" s="977"/>
      <c r="W917" s="977"/>
      <c r="X917" s="977"/>
      <c r="Y917" s="977"/>
      <c r="Z917" s="977"/>
      <c r="AA917" s="977"/>
      <c r="AB917" s="977"/>
      <c r="AC917" s="977"/>
      <c r="AD917" s="977"/>
      <c r="AE917" s="977"/>
      <c r="AF917" s="977"/>
      <c r="AG917" s="977"/>
      <c r="AH917" s="977"/>
      <c r="AI917" s="977"/>
      <c r="AJ917" s="977"/>
      <c r="AK917" s="977"/>
      <c r="AL917" s="977"/>
      <c r="AM917" s="977"/>
      <c r="AN917" s="977"/>
      <c r="AO917" s="977"/>
      <c r="AP917" s="977"/>
      <c r="AQ917" s="977"/>
    </row>
    <row r="918" spans="1:43" ht="14.25" customHeight="1">
      <c r="A918" s="977"/>
      <c r="B918" s="977"/>
      <c r="C918" s="977"/>
      <c r="D918" s="977"/>
      <c r="E918" s="977"/>
      <c r="F918" s="977"/>
      <c r="G918" s="977"/>
      <c r="H918" s="977"/>
      <c r="I918" s="977"/>
      <c r="J918" s="977"/>
      <c r="K918" s="977"/>
      <c r="L918" s="977"/>
      <c r="M918" s="977"/>
      <c r="N918" s="977"/>
      <c r="O918" s="977"/>
      <c r="P918" s="977"/>
      <c r="Q918" s="977"/>
      <c r="R918" s="977"/>
      <c r="S918" s="977"/>
      <c r="T918" s="977"/>
      <c r="U918" s="977"/>
      <c r="V918" s="977"/>
      <c r="W918" s="977"/>
      <c r="X918" s="977"/>
      <c r="Y918" s="977"/>
      <c r="Z918" s="977"/>
      <c r="AA918" s="977"/>
      <c r="AB918" s="977"/>
      <c r="AC918" s="977"/>
      <c r="AD918" s="977"/>
      <c r="AE918" s="977"/>
      <c r="AF918" s="977"/>
      <c r="AG918" s="977"/>
      <c r="AH918" s="977"/>
      <c r="AI918" s="977"/>
      <c r="AJ918" s="977"/>
      <c r="AK918" s="977"/>
      <c r="AL918" s="977"/>
      <c r="AM918" s="977"/>
      <c r="AN918" s="977"/>
      <c r="AO918" s="977"/>
      <c r="AP918" s="977"/>
      <c r="AQ918" s="977"/>
    </row>
    <row r="919" spans="1:43" ht="14.25" customHeight="1">
      <c r="A919" s="977"/>
      <c r="B919" s="977"/>
      <c r="C919" s="977"/>
      <c r="D919" s="977"/>
      <c r="E919" s="977"/>
      <c r="F919" s="977"/>
      <c r="G919" s="977"/>
      <c r="H919" s="977"/>
      <c r="I919" s="977"/>
      <c r="J919" s="977"/>
      <c r="K919" s="977"/>
      <c r="L919" s="977"/>
      <c r="M919" s="977"/>
      <c r="N919" s="977"/>
      <c r="O919" s="977"/>
      <c r="P919" s="977"/>
      <c r="Q919" s="977"/>
      <c r="R919" s="977"/>
      <c r="S919" s="977"/>
      <c r="T919" s="977"/>
      <c r="U919" s="977"/>
      <c r="V919" s="977"/>
      <c r="W919" s="977"/>
      <c r="X919" s="977"/>
      <c r="Y919" s="977"/>
      <c r="Z919" s="977"/>
      <c r="AA919" s="977"/>
      <c r="AB919" s="977"/>
      <c r="AC919" s="977"/>
      <c r="AD919" s="977"/>
      <c r="AE919" s="977"/>
      <c r="AF919" s="977"/>
      <c r="AG919" s="977"/>
      <c r="AH919" s="977"/>
      <c r="AI919" s="977"/>
      <c r="AJ919" s="977"/>
      <c r="AK919" s="977"/>
      <c r="AL919" s="977"/>
      <c r="AM919" s="977"/>
      <c r="AN919" s="977"/>
      <c r="AO919" s="977"/>
      <c r="AP919" s="977"/>
      <c r="AQ919" s="977"/>
    </row>
    <row r="920" spans="1:43" ht="14.25" customHeight="1">
      <c r="A920" s="977"/>
      <c r="B920" s="977"/>
      <c r="C920" s="977"/>
      <c r="D920" s="977"/>
      <c r="E920" s="977"/>
      <c r="F920" s="977"/>
      <c r="G920" s="977"/>
      <c r="H920" s="977"/>
      <c r="I920" s="977"/>
      <c r="J920" s="977"/>
      <c r="K920" s="977"/>
      <c r="L920" s="977"/>
      <c r="M920" s="977"/>
      <c r="N920" s="977"/>
      <c r="O920" s="977"/>
      <c r="P920" s="977"/>
      <c r="Q920" s="977"/>
      <c r="R920" s="977"/>
      <c r="S920" s="977"/>
      <c r="T920" s="977"/>
      <c r="U920" s="977"/>
      <c r="V920" s="977"/>
      <c r="W920" s="977"/>
      <c r="X920" s="977"/>
      <c r="Y920" s="977"/>
      <c r="Z920" s="977"/>
      <c r="AA920" s="977"/>
      <c r="AB920" s="977"/>
      <c r="AC920" s="977"/>
      <c r="AD920" s="977"/>
      <c r="AE920" s="977"/>
      <c r="AF920" s="977"/>
      <c r="AG920" s="977"/>
      <c r="AH920" s="977"/>
      <c r="AI920" s="977"/>
      <c r="AJ920" s="977"/>
      <c r="AK920" s="977"/>
      <c r="AL920" s="977"/>
      <c r="AM920" s="977"/>
      <c r="AN920" s="977"/>
      <c r="AO920" s="977"/>
      <c r="AP920" s="977"/>
      <c r="AQ920" s="977"/>
    </row>
    <row r="921" spans="1:43" ht="14.25" customHeight="1">
      <c r="A921" s="977"/>
      <c r="B921" s="977"/>
      <c r="C921" s="977"/>
      <c r="D921" s="977"/>
      <c r="E921" s="977"/>
      <c r="F921" s="977"/>
      <c r="G921" s="977"/>
      <c r="H921" s="977"/>
      <c r="I921" s="977"/>
      <c r="J921" s="977"/>
      <c r="K921" s="977"/>
      <c r="L921" s="977"/>
      <c r="M921" s="977"/>
      <c r="N921" s="977"/>
      <c r="O921" s="977"/>
      <c r="P921" s="977"/>
      <c r="Q921" s="977"/>
      <c r="R921" s="977"/>
      <c r="S921" s="977"/>
      <c r="T921" s="977"/>
      <c r="U921" s="977"/>
      <c r="V921" s="977"/>
      <c r="W921" s="977"/>
      <c r="X921" s="977"/>
      <c r="Y921" s="977"/>
      <c r="Z921" s="977"/>
      <c r="AA921" s="977"/>
      <c r="AB921" s="977"/>
      <c r="AC921" s="977"/>
      <c r="AD921" s="977"/>
      <c r="AE921" s="977"/>
      <c r="AF921" s="977"/>
      <c r="AG921" s="977"/>
      <c r="AH921" s="977"/>
      <c r="AI921" s="977"/>
      <c r="AJ921" s="977"/>
      <c r="AK921" s="977"/>
      <c r="AL921" s="977"/>
      <c r="AM921" s="977"/>
      <c r="AN921" s="977"/>
      <c r="AO921" s="977"/>
      <c r="AP921" s="977"/>
      <c r="AQ921" s="977"/>
    </row>
    <row r="922" spans="1:43" ht="14.25" customHeight="1">
      <c r="A922" s="977"/>
      <c r="B922" s="977"/>
      <c r="C922" s="977"/>
      <c r="D922" s="977"/>
      <c r="E922" s="977"/>
      <c r="F922" s="977"/>
      <c r="G922" s="977"/>
      <c r="H922" s="977"/>
      <c r="I922" s="977"/>
      <c r="J922" s="977"/>
      <c r="K922" s="977"/>
      <c r="L922" s="977"/>
      <c r="M922" s="977"/>
      <c r="N922" s="977"/>
      <c r="O922" s="977"/>
      <c r="P922" s="977"/>
      <c r="Q922" s="977"/>
      <c r="R922" s="977"/>
      <c r="S922" s="977"/>
      <c r="T922" s="977"/>
      <c r="U922" s="977"/>
      <c r="V922" s="977"/>
      <c r="W922" s="977"/>
      <c r="X922" s="977"/>
      <c r="Y922" s="977"/>
      <c r="Z922" s="977"/>
      <c r="AA922" s="977"/>
      <c r="AB922" s="977"/>
      <c r="AC922" s="977"/>
      <c r="AD922" s="977"/>
      <c r="AE922" s="977"/>
      <c r="AF922" s="977"/>
      <c r="AG922" s="977"/>
      <c r="AH922" s="977"/>
      <c r="AI922" s="977"/>
      <c r="AJ922" s="977"/>
      <c r="AK922" s="977"/>
      <c r="AL922" s="977"/>
      <c r="AM922" s="977"/>
      <c r="AN922" s="977"/>
      <c r="AO922" s="977"/>
      <c r="AP922" s="977"/>
      <c r="AQ922" s="977"/>
    </row>
    <row r="923" spans="1:43" ht="14.25" customHeight="1">
      <c r="A923" s="977"/>
      <c r="B923" s="977"/>
      <c r="C923" s="977"/>
      <c r="D923" s="977"/>
      <c r="E923" s="977"/>
      <c r="F923" s="977"/>
      <c r="G923" s="977"/>
      <c r="H923" s="977"/>
      <c r="I923" s="977"/>
      <c r="J923" s="977"/>
      <c r="K923" s="977"/>
      <c r="L923" s="977"/>
      <c r="M923" s="977"/>
      <c r="N923" s="977"/>
      <c r="O923" s="977"/>
      <c r="P923" s="977"/>
      <c r="Q923" s="977"/>
      <c r="R923" s="977"/>
      <c r="S923" s="977"/>
      <c r="T923" s="977"/>
      <c r="U923" s="977"/>
      <c r="V923" s="977"/>
      <c r="W923" s="977"/>
      <c r="X923" s="977"/>
      <c r="Y923" s="977"/>
      <c r="Z923" s="977"/>
      <c r="AA923" s="977"/>
      <c r="AB923" s="977"/>
      <c r="AC923" s="977"/>
      <c r="AD923" s="977"/>
      <c r="AE923" s="977"/>
      <c r="AF923" s="977"/>
      <c r="AG923" s="977"/>
      <c r="AH923" s="977"/>
      <c r="AI923" s="977"/>
      <c r="AJ923" s="977"/>
      <c r="AK923" s="977"/>
      <c r="AL923" s="977"/>
      <c r="AM923" s="977"/>
      <c r="AN923" s="977"/>
      <c r="AO923" s="977"/>
      <c r="AP923" s="977"/>
      <c r="AQ923" s="977"/>
    </row>
    <row r="924" spans="1:43" ht="14.25" customHeight="1">
      <c r="A924" s="977"/>
      <c r="B924" s="977"/>
      <c r="C924" s="977"/>
      <c r="D924" s="977"/>
      <c r="E924" s="977"/>
      <c r="F924" s="977"/>
      <c r="G924" s="977"/>
      <c r="H924" s="977"/>
      <c r="I924" s="977"/>
      <c r="J924" s="977"/>
      <c r="K924" s="977"/>
      <c r="L924" s="977"/>
      <c r="M924" s="977"/>
      <c r="N924" s="977"/>
      <c r="O924" s="977"/>
      <c r="P924" s="977"/>
      <c r="Q924" s="977"/>
      <c r="R924" s="977"/>
      <c r="S924" s="977"/>
      <c r="T924" s="977"/>
      <c r="U924" s="977"/>
      <c r="V924" s="977"/>
      <c r="W924" s="977"/>
      <c r="X924" s="977"/>
      <c r="Y924" s="977"/>
      <c r="Z924" s="977"/>
      <c r="AA924" s="977"/>
      <c r="AB924" s="977"/>
      <c r="AC924" s="977"/>
      <c r="AD924" s="977"/>
      <c r="AE924" s="977"/>
      <c r="AF924" s="977"/>
      <c r="AG924" s="977"/>
      <c r="AH924" s="977"/>
      <c r="AI924" s="977"/>
      <c r="AJ924" s="977"/>
      <c r="AK924" s="977"/>
      <c r="AL924" s="977"/>
      <c r="AM924" s="977"/>
      <c r="AN924" s="977"/>
      <c r="AO924" s="977"/>
      <c r="AP924" s="977"/>
      <c r="AQ924" s="977"/>
    </row>
    <row r="925" spans="1:43" ht="14.25" customHeight="1">
      <c r="A925" s="977"/>
      <c r="B925" s="977"/>
      <c r="C925" s="977"/>
      <c r="D925" s="977"/>
      <c r="E925" s="977"/>
      <c r="F925" s="977"/>
      <c r="G925" s="977"/>
      <c r="H925" s="977"/>
      <c r="I925" s="977"/>
      <c r="J925" s="977"/>
      <c r="K925" s="977"/>
      <c r="L925" s="977"/>
      <c r="M925" s="977"/>
      <c r="N925" s="977"/>
      <c r="O925" s="977"/>
      <c r="P925" s="977"/>
      <c r="Q925" s="977"/>
      <c r="R925" s="977"/>
      <c r="S925" s="977"/>
      <c r="T925" s="977"/>
      <c r="U925" s="977"/>
      <c r="V925" s="977"/>
      <c r="W925" s="977"/>
      <c r="X925" s="977"/>
      <c r="Y925" s="977"/>
      <c r="Z925" s="977"/>
      <c r="AA925" s="977"/>
      <c r="AB925" s="977"/>
      <c r="AC925" s="977"/>
      <c r="AD925" s="977"/>
      <c r="AE925" s="977"/>
      <c r="AF925" s="977"/>
      <c r="AG925" s="977"/>
      <c r="AH925" s="977"/>
      <c r="AI925" s="977"/>
      <c r="AJ925" s="977"/>
      <c r="AK925" s="977"/>
      <c r="AL925" s="977"/>
      <c r="AM925" s="977"/>
      <c r="AN925" s="977"/>
      <c r="AO925" s="977"/>
      <c r="AP925" s="977"/>
      <c r="AQ925" s="977"/>
    </row>
    <row r="926" spans="1:43" ht="14.25" customHeight="1">
      <c r="A926" s="977"/>
      <c r="B926" s="977"/>
      <c r="C926" s="977"/>
      <c r="D926" s="977"/>
      <c r="E926" s="977"/>
      <c r="F926" s="977"/>
      <c r="G926" s="977"/>
      <c r="H926" s="977"/>
      <c r="I926" s="977"/>
      <c r="J926" s="977"/>
      <c r="K926" s="977"/>
      <c r="L926" s="977"/>
      <c r="M926" s="977"/>
      <c r="N926" s="977"/>
      <c r="O926" s="977"/>
      <c r="P926" s="977"/>
      <c r="Q926" s="977"/>
      <c r="R926" s="977"/>
      <c r="S926" s="977"/>
      <c r="T926" s="977"/>
      <c r="U926" s="977"/>
      <c r="V926" s="977"/>
      <c r="W926" s="977"/>
      <c r="X926" s="977"/>
      <c r="Y926" s="977"/>
      <c r="Z926" s="977"/>
      <c r="AA926" s="977"/>
      <c r="AB926" s="977"/>
      <c r="AC926" s="977"/>
      <c r="AD926" s="977"/>
      <c r="AE926" s="977"/>
      <c r="AF926" s="977"/>
      <c r="AG926" s="977"/>
      <c r="AH926" s="977"/>
      <c r="AI926" s="977"/>
      <c r="AJ926" s="977"/>
      <c r="AK926" s="977"/>
      <c r="AL926" s="977"/>
      <c r="AM926" s="977"/>
      <c r="AN926" s="977"/>
      <c r="AO926" s="977"/>
      <c r="AP926" s="977"/>
      <c r="AQ926" s="977"/>
    </row>
    <row r="927" spans="1:43" ht="14.25" customHeight="1">
      <c r="A927" s="977"/>
      <c r="B927" s="977"/>
      <c r="C927" s="977"/>
      <c r="D927" s="977"/>
      <c r="E927" s="977"/>
      <c r="F927" s="977"/>
      <c r="G927" s="977"/>
      <c r="H927" s="977"/>
      <c r="I927" s="977"/>
      <c r="J927" s="977"/>
      <c r="K927" s="977"/>
      <c r="L927" s="977"/>
      <c r="M927" s="977"/>
      <c r="N927" s="977"/>
      <c r="O927" s="977"/>
      <c r="P927" s="977"/>
      <c r="Q927" s="977"/>
      <c r="R927" s="977"/>
      <c r="S927" s="977"/>
      <c r="T927" s="977"/>
      <c r="U927" s="977"/>
      <c r="V927" s="977"/>
      <c r="W927" s="977"/>
      <c r="X927" s="977"/>
      <c r="Y927" s="977"/>
      <c r="Z927" s="977"/>
      <c r="AA927" s="977"/>
      <c r="AB927" s="977"/>
      <c r="AC927" s="977"/>
      <c r="AD927" s="977"/>
      <c r="AE927" s="977"/>
      <c r="AF927" s="977"/>
      <c r="AG927" s="977"/>
      <c r="AH927" s="977"/>
      <c r="AI927" s="977"/>
      <c r="AJ927" s="977"/>
      <c r="AK927" s="977"/>
      <c r="AL927" s="977"/>
      <c r="AM927" s="977"/>
      <c r="AN927" s="977"/>
      <c r="AO927" s="977"/>
      <c r="AP927" s="977"/>
      <c r="AQ927" s="977"/>
    </row>
    <row r="928" spans="1:43" ht="14.25" customHeight="1">
      <c r="A928" s="977"/>
      <c r="B928" s="977"/>
      <c r="C928" s="977"/>
      <c r="D928" s="977"/>
      <c r="E928" s="977"/>
      <c r="F928" s="977"/>
      <c r="G928" s="977"/>
      <c r="H928" s="977"/>
      <c r="I928" s="977"/>
      <c r="J928" s="977"/>
      <c r="K928" s="977"/>
      <c r="L928" s="977"/>
      <c r="M928" s="977"/>
      <c r="N928" s="977"/>
      <c r="O928" s="977"/>
      <c r="P928" s="977"/>
      <c r="Q928" s="977"/>
      <c r="R928" s="977"/>
      <c r="S928" s="977"/>
      <c r="T928" s="977"/>
      <c r="U928" s="977"/>
      <c r="V928" s="977"/>
      <c r="W928" s="977"/>
      <c r="X928" s="977"/>
      <c r="Y928" s="977"/>
      <c r="Z928" s="977"/>
      <c r="AA928" s="977"/>
      <c r="AB928" s="977"/>
      <c r="AC928" s="977"/>
      <c r="AD928" s="977"/>
      <c r="AE928" s="977"/>
      <c r="AF928" s="977"/>
      <c r="AG928" s="977"/>
      <c r="AH928" s="977"/>
      <c r="AI928" s="977"/>
      <c r="AJ928" s="977"/>
      <c r="AK928" s="977"/>
      <c r="AL928" s="977"/>
      <c r="AM928" s="977"/>
      <c r="AN928" s="977"/>
      <c r="AO928" s="977"/>
      <c r="AP928" s="977"/>
      <c r="AQ928" s="977"/>
    </row>
    <row r="929" spans="1:43" ht="14.25" customHeight="1">
      <c r="A929" s="977"/>
      <c r="B929" s="977"/>
      <c r="C929" s="977"/>
      <c r="D929" s="977"/>
      <c r="E929" s="977"/>
      <c r="F929" s="977"/>
      <c r="G929" s="977"/>
      <c r="H929" s="977"/>
      <c r="I929" s="977"/>
      <c r="J929" s="977"/>
      <c r="K929" s="977"/>
      <c r="L929" s="977"/>
      <c r="M929" s="977"/>
      <c r="N929" s="977"/>
      <c r="O929" s="977"/>
      <c r="P929" s="977"/>
      <c r="Q929" s="977"/>
      <c r="R929" s="977"/>
      <c r="S929" s="977"/>
      <c r="T929" s="977"/>
      <c r="U929" s="977"/>
      <c r="V929" s="977"/>
      <c r="W929" s="977"/>
      <c r="X929" s="977"/>
      <c r="Y929" s="977"/>
      <c r="Z929" s="977"/>
      <c r="AA929" s="977"/>
      <c r="AB929" s="977"/>
      <c r="AC929" s="977"/>
      <c r="AD929" s="977"/>
      <c r="AE929" s="977"/>
      <c r="AF929" s="977"/>
      <c r="AG929" s="977"/>
      <c r="AH929" s="977"/>
      <c r="AI929" s="977"/>
      <c r="AJ929" s="977"/>
      <c r="AK929" s="977"/>
      <c r="AL929" s="977"/>
      <c r="AM929" s="977"/>
      <c r="AN929" s="977"/>
      <c r="AO929" s="977"/>
      <c r="AP929" s="977"/>
      <c r="AQ929" s="977"/>
    </row>
    <row r="930" spans="1:43" ht="14.25" customHeight="1">
      <c r="A930" s="977"/>
      <c r="B930" s="977"/>
      <c r="C930" s="977"/>
      <c r="D930" s="977"/>
      <c r="E930" s="977"/>
      <c r="F930" s="977"/>
      <c r="G930" s="977"/>
      <c r="H930" s="977"/>
      <c r="I930" s="977"/>
      <c r="J930" s="977"/>
      <c r="K930" s="977"/>
      <c r="L930" s="977"/>
      <c r="M930" s="977"/>
      <c r="N930" s="977"/>
      <c r="O930" s="977"/>
      <c r="P930" s="977"/>
      <c r="Q930" s="977"/>
      <c r="R930" s="977"/>
      <c r="S930" s="977"/>
      <c r="T930" s="977"/>
      <c r="U930" s="977"/>
      <c r="V930" s="977"/>
      <c r="W930" s="977"/>
      <c r="X930" s="977"/>
      <c r="Y930" s="977"/>
      <c r="Z930" s="977"/>
      <c r="AA930" s="977"/>
      <c r="AB930" s="977"/>
      <c r="AC930" s="977"/>
      <c r="AD930" s="977"/>
      <c r="AE930" s="977"/>
      <c r="AF930" s="977"/>
      <c r="AG930" s="977"/>
      <c r="AH930" s="977"/>
      <c r="AI930" s="977"/>
      <c r="AJ930" s="977"/>
      <c r="AK930" s="977"/>
      <c r="AL930" s="977"/>
      <c r="AM930" s="977"/>
      <c r="AN930" s="977"/>
      <c r="AO930" s="977"/>
      <c r="AP930" s="977"/>
      <c r="AQ930" s="977"/>
    </row>
    <row r="931" spans="1:43" ht="14.25" customHeight="1">
      <c r="A931" s="977"/>
      <c r="B931" s="977"/>
      <c r="C931" s="977"/>
      <c r="D931" s="977"/>
      <c r="E931" s="977"/>
      <c r="F931" s="977"/>
      <c r="G931" s="977"/>
      <c r="H931" s="977"/>
      <c r="I931" s="977"/>
      <c r="J931" s="977"/>
      <c r="K931" s="977"/>
      <c r="L931" s="977"/>
      <c r="M931" s="977"/>
      <c r="N931" s="977"/>
      <c r="O931" s="977"/>
      <c r="P931" s="977"/>
      <c r="Q931" s="977"/>
      <c r="R931" s="977"/>
      <c r="S931" s="977"/>
      <c r="T931" s="977"/>
      <c r="U931" s="977"/>
      <c r="V931" s="977"/>
      <c r="W931" s="977"/>
      <c r="X931" s="977"/>
      <c r="Y931" s="977"/>
      <c r="Z931" s="977"/>
      <c r="AA931" s="977"/>
      <c r="AB931" s="977"/>
      <c r="AC931" s="977"/>
      <c r="AD931" s="977"/>
      <c r="AE931" s="977"/>
      <c r="AF931" s="977"/>
      <c r="AG931" s="977"/>
      <c r="AH931" s="977"/>
      <c r="AI931" s="977"/>
      <c r="AJ931" s="977"/>
      <c r="AK931" s="977"/>
      <c r="AL931" s="977"/>
      <c r="AM931" s="977"/>
      <c r="AN931" s="977"/>
      <c r="AO931" s="977"/>
      <c r="AP931" s="977"/>
      <c r="AQ931" s="977"/>
    </row>
    <row r="932" spans="1:43" ht="14.25" customHeight="1">
      <c r="A932" s="977"/>
      <c r="B932" s="977"/>
      <c r="C932" s="977"/>
      <c r="D932" s="977"/>
      <c r="E932" s="977"/>
      <c r="F932" s="977"/>
      <c r="G932" s="977"/>
      <c r="H932" s="977"/>
      <c r="I932" s="977"/>
      <c r="J932" s="977"/>
      <c r="K932" s="977"/>
      <c r="L932" s="977"/>
      <c r="M932" s="977"/>
      <c r="N932" s="977"/>
      <c r="O932" s="977"/>
      <c r="P932" s="977"/>
      <c r="Q932" s="977"/>
      <c r="R932" s="977"/>
      <c r="S932" s="977"/>
      <c r="T932" s="977"/>
      <c r="U932" s="977"/>
      <c r="V932" s="977"/>
      <c r="W932" s="977"/>
      <c r="X932" s="977"/>
      <c r="Y932" s="977"/>
      <c r="Z932" s="977"/>
      <c r="AA932" s="977"/>
      <c r="AB932" s="977"/>
      <c r="AC932" s="977"/>
      <c r="AD932" s="977"/>
      <c r="AE932" s="977"/>
      <c r="AF932" s="977"/>
      <c r="AG932" s="977"/>
      <c r="AH932" s="977"/>
      <c r="AI932" s="977"/>
      <c r="AJ932" s="977"/>
      <c r="AK932" s="977"/>
      <c r="AL932" s="977"/>
      <c r="AM932" s="977"/>
      <c r="AN932" s="977"/>
      <c r="AO932" s="977"/>
      <c r="AP932" s="977"/>
      <c r="AQ932" s="977"/>
    </row>
    <row r="933" spans="1:43" ht="14.25" customHeight="1">
      <c r="A933" s="977"/>
      <c r="B933" s="977"/>
      <c r="C933" s="977"/>
      <c r="D933" s="977"/>
      <c r="E933" s="977"/>
      <c r="F933" s="977"/>
      <c r="G933" s="977"/>
      <c r="H933" s="977"/>
      <c r="I933" s="977"/>
      <c r="J933" s="977"/>
      <c r="K933" s="977"/>
      <c r="L933" s="977"/>
      <c r="M933" s="977"/>
      <c r="N933" s="977"/>
      <c r="O933" s="977"/>
      <c r="P933" s="977"/>
      <c r="Q933" s="977"/>
      <c r="R933" s="977"/>
      <c r="S933" s="977"/>
      <c r="T933" s="977"/>
      <c r="U933" s="977"/>
      <c r="V933" s="977"/>
      <c r="W933" s="977"/>
      <c r="X933" s="977"/>
      <c r="Y933" s="977"/>
      <c r="Z933" s="977"/>
      <c r="AA933" s="977"/>
      <c r="AB933" s="977"/>
      <c r="AC933" s="977"/>
      <c r="AD933" s="977"/>
      <c r="AE933" s="977"/>
      <c r="AF933" s="977"/>
      <c r="AG933" s="977"/>
      <c r="AH933" s="977"/>
      <c r="AI933" s="977"/>
      <c r="AJ933" s="977"/>
      <c r="AK933" s="977"/>
      <c r="AL933" s="977"/>
      <c r="AM933" s="977"/>
      <c r="AN933" s="977"/>
      <c r="AO933" s="977"/>
      <c r="AP933" s="977"/>
      <c r="AQ933" s="977"/>
    </row>
    <row r="934" spans="1:43" ht="14.25" customHeight="1">
      <c r="A934" s="977"/>
      <c r="B934" s="977"/>
      <c r="C934" s="977"/>
      <c r="D934" s="977"/>
      <c r="E934" s="977"/>
      <c r="F934" s="977"/>
      <c r="G934" s="977"/>
      <c r="H934" s="977"/>
      <c r="I934" s="977"/>
      <c r="J934" s="977"/>
      <c r="K934" s="977"/>
      <c r="L934" s="977"/>
      <c r="M934" s="977"/>
      <c r="N934" s="977"/>
      <c r="O934" s="977"/>
      <c r="P934" s="977"/>
      <c r="Q934" s="977"/>
      <c r="R934" s="977"/>
      <c r="S934" s="977"/>
      <c r="T934" s="977"/>
      <c r="U934" s="977"/>
      <c r="V934" s="977"/>
      <c r="W934" s="977"/>
      <c r="X934" s="977"/>
      <c r="Y934" s="977"/>
      <c r="Z934" s="977"/>
      <c r="AA934" s="977"/>
      <c r="AB934" s="977"/>
      <c r="AC934" s="977"/>
      <c r="AD934" s="977"/>
      <c r="AE934" s="977"/>
      <c r="AF934" s="977"/>
      <c r="AG934" s="977"/>
      <c r="AH934" s="977"/>
      <c r="AI934" s="977"/>
      <c r="AJ934" s="977"/>
      <c r="AK934" s="977"/>
      <c r="AL934" s="977"/>
      <c r="AM934" s="977"/>
      <c r="AN934" s="977"/>
      <c r="AO934" s="977"/>
      <c r="AP934" s="977"/>
      <c r="AQ934" s="977"/>
    </row>
    <row r="935" spans="1:43" ht="14.25" customHeight="1">
      <c r="A935" s="977"/>
      <c r="B935" s="977"/>
      <c r="C935" s="977"/>
      <c r="D935" s="977"/>
      <c r="E935" s="977"/>
      <c r="F935" s="977"/>
      <c r="G935" s="977"/>
      <c r="H935" s="977"/>
      <c r="I935" s="977"/>
      <c r="J935" s="977"/>
      <c r="K935" s="977"/>
      <c r="L935" s="977"/>
      <c r="M935" s="977"/>
      <c r="N935" s="977"/>
      <c r="O935" s="977"/>
      <c r="P935" s="977"/>
      <c r="Q935" s="977"/>
      <c r="R935" s="977"/>
      <c r="S935" s="977"/>
      <c r="T935" s="977"/>
      <c r="U935" s="977"/>
      <c r="V935" s="977"/>
      <c r="W935" s="977"/>
      <c r="X935" s="977"/>
      <c r="Y935" s="977"/>
      <c r="Z935" s="977"/>
      <c r="AA935" s="977"/>
      <c r="AB935" s="977"/>
      <c r="AC935" s="977"/>
      <c r="AD935" s="977"/>
      <c r="AE935" s="977"/>
      <c r="AF935" s="977"/>
      <c r="AG935" s="977"/>
      <c r="AH935" s="977"/>
      <c r="AI935" s="977"/>
      <c r="AJ935" s="977"/>
      <c r="AK935" s="977"/>
      <c r="AL935" s="977"/>
      <c r="AM935" s="977"/>
      <c r="AN935" s="977"/>
      <c r="AO935" s="977"/>
      <c r="AP935" s="977"/>
      <c r="AQ935" s="977"/>
    </row>
    <row r="936" spans="1:43" ht="14.25" customHeight="1">
      <c r="A936" s="977"/>
      <c r="B936" s="977"/>
      <c r="C936" s="977"/>
      <c r="D936" s="977"/>
      <c r="E936" s="977"/>
      <c r="F936" s="977"/>
      <c r="G936" s="977"/>
      <c r="H936" s="977"/>
      <c r="I936" s="977"/>
      <c r="J936" s="977"/>
      <c r="K936" s="977"/>
      <c r="L936" s="977"/>
      <c r="M936" s="977"/>
      <c r="N936" s="977"/>
      <c r="O936" s="977"/>
      <c r="P936" s="977"/>
      <c r="Q936" s="977"/>
      <c r="R936" s="977"/>
      <c r="S936" s="977"/>
      <c r="T936" s="977"/>
      <c r="U936" s="977"/>
      <c r="V936" s="977"/>
      <c r="W936" s="977"/>
      <c r="X936" s="977"/>
      <c r="Y936" s="977"/>
      <c r="Z936" s="977"/>
      <c r="AA936" s="977"/>
      <c r="AB936" s="977"/>
      <c r="AC936" s="977"/>
      <c r="AD936" s="977"/>
      <c r="AE936" s="977"/>
      <c r="AF936" s="977"/>
      <c r="AG936" s="977"/>
      <c r="AH936" s="977"/>
      <c r="AI936" s="977"/>
      <c r="AJ936" s="977"/>
      <c r="AK936" s="977"/>
      <c r="AL936" s="977"/>
      <c r="AM936" s="977"/>
      <c r="AN936" s="977"/>
      <c r="AO936" s="977"/>
      <c r="AP936" s="977"/>
      <c r="AQ936" s="977"/>
    </row>
    <row r="937" spans="1:43" ht="14.25" customHeight="1">
      <c r="A937" s="977"/>
      <c r="B937" s="977"/>
      <c r="C937" s="977"/>
      <c r="D937" s="977"/>
      <c r="E937" s="977"/>
      <c r="F937" s="977"/>
      <c r="G937" s="977"/>
      <c r="H937" s="977"/>
      <c r="I937" s="977"/>
      <c r="J937" s="977"/>
      <c r="K937" s="977"/>
      <c r="L937" s="977"/>
      <c r="M937" s="977"/>
      <c r="N937" s="977"/>
      <c r="O937" s="977"/>
      <c r="P937" s="977"/>
      <c r="Q937" s="977"/>
      <c r="R937" s="977"/>
      <c r="S937" s="977"/>
      <c r="T937" s="977"/>
      <c r="U937" s="977"/>
      <c r="V937" s="977"/>
      <c r="W937" s="977"/>
      <c r="X937" s="977"/>
      <c r="Y937" s="977"/>
      <c r="Z937" s="977"/>
      <c r="AA937" s="977"/>
      <c r="AB937" s="977"/>
      <c r="AC937" s="977"/>
      <c r="AD937" s="977"/>
      <c r="AE937" s="977"/>
      <c r="AF937" s="977"/>
      <c r="AG937" s="977"/>
      <c r="AH937" s="977"/>
      <c r="AI937" s="977"/>
      <c r="AJ937" s="977"/>
      <c r="AK937" s="977"/>
      <c r="AL937" s="977"/>
      <c r="AM937" s="977"/>
      <c r="AN937" s="977"/>
      <c r="AO937" s="977"/>
      <c r="AP937" s="977"/>
      <c r="AQ937" s="977"/>
    </row>
    <row r="938" spans="1:43" ht="14.25" customHeight="1">
      <c r="A938" s="977"/>
      <c r="B938" s="977"/>
      <c r="C938" s="977"/>
      <c r="D938" s="977"/>
      <c r="E938" s="977"/>
      <c r="F938" s="977"/>
      <c r="G938" s="977"/>
      <c r="H938" s="977"/>
      <c r="I938" s="977"/>
      <c r="J938" s="977"/>
      <c r="K938" s="977"/>
      <c r="L938" s="977"/>
      <c r="M938" s="977"/>
      <c r="N938" s="977"/>
      <c r="O938" s="977"/>
      <c r="P938" s="977"/>
      <c r="Q938" s="977"/>
      <c r="R938" s="977"/>
      <c r="S938" s="977"/>
      <c r="T938" s="977"/>
      <c r="U938" s="977"/>
      <c r="V938" s="977"/>
      <c r="W938" s="977"/>
      <c r="X938" s="977"/>
      <c r="Y938" s="977"/>
      <c r="Z938" s="977"/>
      <c r="AA938" s="977"/>
      <c r="AB938" s="977"/>
      <c r="AC938" s="977"/>
      <c r="AD938" s="977"/>
      <c r="AE938" s="977"/>
      <c r="AF938" s="977"/>
      <c r="AG938" s="977"/>
      <c r="AH938" s="977"/>
      <c r="AI938" s="977"/>
      <c r="AJ938" s="977"/>
      <c r="AK938" s="977"/>
      <c r="AL938" s="977"/>
      <c r="AM938" s="977"/>
      <c r="AN938" s="977"/>
      <c r="AO938" s="977"/>
      <c r="AP938" s="977"/>
      <c r="AQ938" s="977"/>
    </row>
    <row r="939" spans="1:43" ht="14.25" customHeight="1">
      <c r="A939" s="977"/>
      <c r="B939" s="977"/>
      <c r="C939" s="977"/>
      <c r="D939" s="977"/>
      <c r="E939" s="977"/>
      <c r="F939" s="977"/>
      <c r="G939" s="977"/>
      <c r="H939" s="977"/>
      <c r="I939" s="977"/>
      <c r="J939" s="977"/>
      <c r="K939" s="977"/>
      <c r="L939" s="977"/>
      <c r="M939" s="977"/>
      <c r="N939" s="977"/>
      <c r="O939" s="977"/>
      <c r="P939" s="977"/>
      <c r="Q939" s="977"/>
      <c r="R939" s="977"/>
      <c r="S939" s="977"/>
      <c r="T939" s="977"/>
      <c r="U939" s="977"/>
      <c r="V939" s="977"/>
      <c r="W939" s="977"/>
      <c r="X939" s="977"/>
      <c r="Y939" s="977"/>
      <c r="Z939" s="977"/>
      <c r="AA939" s="977"/>
      <c r="AB939" s="977"/>
      <c r="AC939" s="977"/>
      <c r="AD939" s="977"/>
      <c r="AE939" s="977"/>
      <c r="AF939" s="977"/>
      <c r="AG939" s="977"/>
      <c r="AH939" s="977"/>
      <c r="AI939" s="977"/>
      <c r="AJ939" s="977"/>
      <c r="AK939" s="977"/>
      <c r="AL939" s="977"/>
      <c r="AM939" s="977"/>
      <c r="AN939" s="977"/>
      <c r="AO939" s="977"/>
      <c r="AP939" s="977"/>
      <c r="AQ939" s="977"/>
    </row>
    <row r="940" spans="1:43" ht="14.25" customHeight="1">
      <c r="A940" s="977"/>
      <c r="B940" s="977"/>
      <c r="C940" s="977"/>
      <c r="D940" s="977"/>
      <c r="E940" s="977"/>
      <c r="F940" s="977"/>
      <c r="G940" s="977"/>
      <c r="H940" s="977"/>
      <c r="I940" s="977"/>
      <c r="J940" s="977"/>
      <c r="K940" s="977"/>
      <c r="L940" s="977"/>
      <c r="M940" s="977"/>
      <c r="N940" s="977"/>
      <c r="O940" s="977"/>
      <c r="P940" s="977"/>
      <c r="Q940" s="977"/>
      <c r="R940" s="977"/>
      <c r="S940" s="977"/>
      <c r="T940" s="977"/>
      <c r="U940" s="977"/>
      <c r="V940" s="977"/>
      <c r="W940" s="977"/>
      <c r="X940" s="977"/>
      <c r="Y940" s="977"/>
      <c r="Z940" s="977"/>
      <c r="AA940" s="977"/>
      <c r="AB940" s="977"/>
      <c r="AC940" s="977"/>
      <c r="AD940" s="977"/>
      <c r="AE940" s="977"/>
      <c r="AF940" s="977"/>
      <c r="AG940" s="977"/>
      <c r="AH940" s="977"/>
      <c r="AI940" s="977"/>
      <c r="AJ940" s="977"/>
      <c r="AK940" s="977"/>
      <c r="AL940" s="977"/>
      <c r="AM940" s="977"/>
      <c r="AN940" s="977"/>
      <c r="AO940" s="977"/>
      <c r="AP940" s="977"/>
      <c r="AQ940" s="977"/>
    </row>
    <row r="941" spans="1:43" ht="14.25" customHeight="1">
      <c r="A941" s="977"/>
      <c r="B941" s="977"/>
      <c r="C941" s="977"/>
      <c r="D941" s="977"/>
      <c r="E941" s="977"/>
      <c r="F941" s="977"/>
      <c r="G941" s="977"/>
      <c r="H941" s="977"/>
      <c r="I941" s="977"/>
      <c r="J941" s="977"/>
      <c r="K941" s="977"/>
      <c r="L941" s="977"/>
      <c r="M941" s="977"/>
      <c r="N941" s="977"/>
      <c r="O941" s="977"/>
      <c r="P941" s="977"/>
      <c r="Q941" s="977"/>
      <c r="R941" s="977"/>
      <c r="S941" s="977"/>
      <c r="T941" s="977"/>
      <c r="U941" s="977"/>
      <c r="V941" s="977"/>
      <c r="W941" s="977"/>
      <c r="X941" s="977"/>
      <c r="Y941" s="977"/>
      <c r="Z941" s="977"/>
      <c r="AA941" s="977"/>
      <c r="AB941" s="977"/>
      <c r="AC941" s="977"/>
      <c r="AD941" s="977"/>
      <c r="AE941" s="977"/>
      <c r="AF941" s="977"/>
      <c r="AG941" s="977"/>
      <c r="AH941" s="977"/>
      <c r="AI941" s="977"/>
      <c r="AJ941" s="977"/>
      <c r="AK941" s="977"/>
      <c r="AL941" s="977"/>
      <c r="AM941" s="977"/>
      <c r="AN941" s="977"/>
      <c r="AO941" s="977"/>
      <c r="AP941" s="977"/>
      <c r="AQ941" s="977"/>
    </row>
    <row r="942" spans="1:43" ht="14.25" customHeight="1">
      <c r="A942" s="977"/>
      <c r="B942" s="977"/>
      <c r="C942" s="977"/>
      <c r="D942" s="977"/>
      <c r="E942" s="977"/>
      <c r="F942" s="977"/>
      <c r="G942" s="977"/>
      <c r="H942" s="977"/>
      <c r="I942" s="977"/>
      <c r="J942" s="977"/>
      <c r="K942" s="977"/>
      <c r="L942" s="977"/>
      <c r="M942" s="977"/>
      <c r="N942" s="977"/>
      <c r="O942" s="977"/>
      <c r="P942" s="977"/>
      <c r="Q942" s="977"/>
      <c r="R942" s="977"/>
      <c r="S942" s="977"/>
      <c r="T942" s="977"/>
      <c r="U942" s="977"/>
      <c r="V942" s="977"/>
      <c r="W942" s="977"/>
      <c r="X942" s="977"/>
      <c r="Y942" s="977"/>
      <c r="Z942" s="977"/>
      <c r="AA942" s="977"/>
      <c r="AB942" s="977"/>
      <c r="AC942" s="977"/>
      <c r="AD942" s="977"/>
      <c r="AE942" s="977"/>
      <c r="AF942" s="977"/>
      <c r="AG942" s="977"/>
      <c r="AH942" s="977"/>
      <c r="AI942" s="977"/>
      <c r="AJ942" s="977"/>
      <c r="AK942" s="977"/>
      <c r="AL942" s="977"/>
      <c r="AM942" s="977"/>
      <c r="AN942" s="977"/>
      <c r="AO942" s="977"/>
      <c r="AP942" s="977"/>
      <c r="AQ942" s="977"/>
    </row>
    <row r="943" spans="1:43" ht="14.25" customHeight="1">
      <c r="A943" s="977"/>
      <c r="B943" s="977"/>
      <c r="C943" s="977"/>
      <c r="D943" s="977"/>
      <c r="E943" s="977"/>
      <c r="F943" s="977"/>
      <c r="G943" s="977"/>
      <c r="H943" s="977"/>
      <c r="I943" s="977"/>
      <c r="J943" s="977"/>
      <c r="K943" s="977"/>
      <c r="L943" s="977"/>
      <c r="M943" s="977"/>
      <c r="N943" s="977"/>
      <c r="O943" s="977"/>
      <c r="P943" s="977"/>
      <c r="Q943" s="977"/>
      <c r="R943" s="977"/>
      <c r="S943" s="977"/>
      <c r="T943" s="977"/>
      <c r="U943" s="977"/>
      <c r="V943" s="977"/>
      <c r="W943" s="977"/>
      <c r="X943" s="977"/>
      <c r="Y943" s="977"/>
      <c r="Z943" s="977"/>
      <c r="AA943" s="977"/>
      <c r="AB943" s="977"/>
      <c r="AC943" s="977"/>
      <c r="AD943" s="977"/>
      <c r="AE943" s="977"/>
      <c r="AF943" s="977"/>
      <c r="AG943" s="977"/>
      <c r="AH943" s="977"/>
      <c r="AI943" s="977"/>
      <c r="AJ943" s="977"/>
      <c r="AK943" s="977"/>
      <c r="AL943" s="977"/>
      <c r="AM943" s="977"/>
      <c r="AN943" s="977"/>
      <c r="AO943" s="977"/>
      <c r="AP943" s="977"/>
      <c r="AQ943" s="977"/>
    </row>
    <row r="944" spans="1:43" ht="14.25" customHeight="1">
      <c r="A944" s="977"/>
      <c r="B944" s="977"/>
      <c r="C944" s="977"/>
      <c r="D944" s="977"/>
      <c r="E944" s="977"/>
      <c r="F944" s="977"/>
      <c r="G944" s="977"/>
      <c r="H944" s="977"/>
      <c r="I944" s="977"/>
      <c r="J944" s="977"/>
      <c r="K944" s="977"/>
      <c r="L944" s="977"/>
      <c r="M944" s="977"/>
      <c r="N944" s="977"/>
      <c r="O944" s="977"/>
      <c r="P944" s="977"/>
      <c r="Q944" s="977"/>
      <c r="R944" s="977"/>
      <c r="S944" s="977"/>
      <c r="T944" s="977"/>
      <c r="U944" s="977"/>
      <c r="V944" s="977"/>
      <c r="W944" s="977"/>
      <c r="X944" s="977"/>
      <c r="Y944" s="977"/>
      <c r="Z944" s="977"/>
      <c r="AA944" s="977"/>
      <c r="AB944" s="977"/>
      <c r="AC944" s="977"/>
      <c r="AD944" s="977"/>
      <c r="AE944" s="977"/>
      <c r="AF944" s="977"/>
      <c r="AG944" s="977"/>
      <c r="AH944" s="977"/>
      <c r="AI944" s="977"/>
      <c r="AJ944" s="977"/>
      <c r="AK944" s="977"/>
      <c r="AL944" s="977"/>
      <c r="AM944" s="977"/>
      <c r="AN944" s="977"/>
      <c r="AO944" s="977"/>
      <c r="AP944" s="977"/>
      <c r="AQ944" s="977"/>
    </row>
    <row r="945" spans="1:49" ht="14.25" customHeight="1">
      <c r="A945" s="977"/>
      <c r="B945" s="977"/>
      <c r="C945" s="977"/>
      <c r="D945" s="977"/>
      <c r="E945" s="977"/>
      <c r="F945" s="977"/>
      <c r="G945" s="977"/>
      <c r="H945" s="977"/>
      <c r="I945" s="977"/>
      <c r="J945" s="977"/>
      <c r="K945" s="977"/>
      <c r="L945" s="977"/>
      <c r="M945" s="977"/>
      <c r="N945" s="977"/>
      <c r="O945" s="977"/>
      <c r="P945" s="977"/>
      <c r="Q945" s="977"/>
      <c r="R945" s="977"/>
      <c r="S945" s="977"/>
      <c r="T945" s="977"/>
      <c r="U945" s="977"/>
      <c r="V945" s="977"/>
      <c r="W945" s="977"/>
      <c r="X945" s="977"/>
      <c r="Y945" s="977"/>
      <c r="Z945" s="977"/>
      <c r="AA945" s="977"/>
      <c r="AB945" s="977"/>
      <c r="AC945" s="977"/>
      <c r="AD945" s="977"/>
      <c r="AE945" s="977"/>
      <c r="AF945" s="977"/>
      <c r="AG945" s="977"/>
      <c r="AH945" s="977"/>
      <c r="AI945" s="977"/>
      <c r="AJ945" s="977"/>
      <c r="AK945" s="977"/>
      <c r="AL945" s="977"/>
      <c r="AM945" s="977"/>
      <c r="AN945" s="977"/>
      <c r="AO945" s="977"/>
      <c r="AP945" s="977"/>
      <c r="AQ945" s="977"/>
    </row>
    <row r="946" spans="1:49" ht="14.25" customHeight="1">
      <c r="A946" s="977"/>
      <c r="B946" s="977"/>
      <c r="C946" s="977"/>
      <c r="D946" s="977"/>
      <c r="E946" s="977"/>
      <c r="F946" s="977"/>
      <c r="G946" s="977"/>
      <c r="H946" s="977"/>
      <c r="I946" s="977"/>
      <c r="J946" s="977"/>
      <c r="K946" s="977"/>
      <c r="L946" s="977"/>
      <c r="M946" s="977"/>
      <c r="N946" s="977"/>
      <c r="O946" s="977"/>
      <c r="P946" s="977"/>
      <c r="Q946" s="977"/>
      <c r="R946" s="977"/>
      <c r="S946" s="977"/>
      <c r="T946" s="977"/>
      <c r="U946" s="977"/>
      <c r="V946" s="977"/>
      <c r="W946" s="977"/>
      <c r="X946" s="977"/>
      <c r="Y946" s="977"/>
      <c r="Z946" s="977"/>
      <c r="AA946" s="977"/>
      <c r="AB946" s="977"/>
      <c r="AC946" s="977"/>
      <c r="AD946" s="977"/>
      <c r="AE946" s="977"/>
      <c r="AF946" s="977"/>
      <c r="AG946" s="977"/>
      <c r="AH946" s="977"/>
      <c r="AI946" s="977"/>
      <c r="AJ946" s="977"/>
      <c r="AK946" s="977"/>
      <c r="AL946" s="977"/>
      <c r="AM946" s="977"/>
      <c r="AN946" s="977"/>
      <c r="AO946" s="977"/>
      <c r="AP946" s="977"/>
      <c r="AQ946" s="977"/>
      <c r="AW946" s="977"/>
    </row>
    <row r="947" spans="1:49" ht="14.25" customHeight="1">
      <c r="A947" s="977"/>
      <c r="B947" s="977"/>
      <c r="C947" s="977"/>
      <c r="D947" s="977"/>
      <c r="E947" s="977"/>
      <c r="F947" s="977"/>
      <c r="G947" s="977"/>
      <c r="H947" s="977"/>
      <c r="I947" s="977"/>
      <c r="J947" s="977"/>
      <c r="K947" s="977"/>
      <c r="L947" s="977"/>
      <c r="M947" s="977"/>
      <c r="N947" s="977"/>
      <c r="O947" s="977"/>
      <c r="P947" s="977"/>
      <c r="Q947" s="977"/>
      <c r="R947" s="977"/>
      <c r="S947" s="977"/>
      <c r="T947" s="977"/>
      <c r="U947" s="977"/>
      <c r="V947" s="977"/>
      <c r="W947" s="977"/>
      <c r="X947" s="977"/>
      <c r="Y947" s="977"/>
      <c r="Z947" s="977"/>
      <c r="AA947" s="977"/>
      <c r="AB947" s="977"/>
      <c r="AC947" s="977"/>
      <c r="AD947" s="977"/>
      <c r="AE947" s="977"/>
      <c r="AF947" s="977"/>
      <c r="AG947" s="977"/>
      <c r="AH947" s="977"/>
      <c r="AI947" s="977"/>
      <c r="AJ947" s="977"/>
      <c r="AK947" s="977"/>
      <c r="AL947" s="977"/>
      <c r="AM947" s="977"/>
      <c r="AN947" s="977"/>
      <c r="AO947" s="977"/>
      <c r="AP947" s="977"/>
      <c r="AQ947" s="977"/>
      <c r="AW947" s="977"/>
    </row>
    <row r="948" spans="1:49" ht="14.25" customHeight="1">
      <c r="A948" s="977"/>
      <c r="B948" s="977"/>
      <c r="C948" s="977"/>
      <c r="D948" s="977"/>
      <c r="E948" s="977"/>
      <c r="F948" s="977"/>
      <c r="G948" s="977"/>
      <c r="H948" s="977"/>
      <c r="I948" s="977"/>
      <c r="J948" s="977"/>
      <c r="K948" s="977"/>
      <c r="L948" s="977"/>
      <c r="M948" s="977"/>
      <c r="N948" s="977"/>
      <c r="O948" s="977"/>
      <c r="P948" s="977"/>
      <c r="Q948" s="977"/>
      <c r="R948" s="977"/>
      <c r="S948" s="977"/>
      <c r="T948" s="977"/>
      <c r="U948" s="977"/>
      <c r="V948" s="977"/>
      <c r="W948" s="977"/>
      <c r="X948" s="977"/>
      <c r="Y948" s="977"/>
      <c r="Z948" s="977"/>
      <c r="AA948" s="977"/>
      <c r="AB948" s="977"/>
      <c r="AC948" s="977"/>
      <c r="AD948" s="977"/>
      <c r="AE948" s="977"/>
      <c r="AF948" s="977"/>
      <c r="AG948" s="977"/>
      <c r="AH948" s="977"/>
      <c r="AI948" s="977"/>
      <c r="AJ948" s="977"/>
      <c r="AK948" s="977"/>
      <c r="AL948" s="977"/>
      <c r="AM948" s="977"/>
      <c r="AN948" s="977"/>
      <c r="AO948" s="977"/>
      <c r="AP948" s="977"/>
      <c r="AQ948" s="977"/>
    </row>
    <row r="949" spans="1:49" ht="14.25" customHeight="1">
      <c r="A949" s="977"/>
      <c r="B949" s="977"/>
      <c r="C949" s="977"/>
      <c r="D949" s="977"/>
      <c r="E949" s="977"/>
      <c r="F949" s="977"/>
      <c r="G949" s="977"/>
      <c r="H949" s="977"/>
      <c r="I949" s="977"/>
      <c r="J949" s="977"/>
      <c r="K949" s="977"/>
      <c r="L949" s="977"/>
      <c r="M949" s="977"/>
      <c r="N949" s="977"/>
      <c r="O949" s="977"/>
      <c r="P949" s="977"/>
      <c r="Q949" s="977"/>
      <c r="R949" s="977"/>
      <c r="S949" s="977"/>
      <c r="T949" s="977"/>
      <c r="U949" s="977"/>
      <c r="V949" s="977"/>
      <c r="W949" s="977"/>
      <c r="X949" s="977"/>
      <c r="Y949" s="977"/>
      <c r="Z949" s="977"/>
      <c r="AA949" s="977"/>
      <c r="AB949" s="977"/>
      <c r="AC949" s="977"/>
      <c r="AD949" s="977"/>
      <c r="AE949" s="977"/>
      <c r="AF949" s="977"/>
      <c r="AG949" s="977"/>
      <c r="AH949" s="977"/>
      <c r="AI949" s="977"/>
      <c r="AJ949" s="977"/>
      <c r="AK949" s="977"/>
      <c r="AL949" s="977"/>
      <c r="AM949" s="977"/>
      <c r="AN949" s="977"/>
      <c r="AO949" s="977"/>
      <c r="AP949" s="977"/>
      <c r="AQ949" s="977"/>
    </row>
    <row r="950" spans="1:49" ht="14.25" customHeight="1">
      <c r="A950" s="977"/>
      <c r="B950" s="977"/>
      <c r="C950" s="977"/>
      <c r="D950" s="977"/>
      <c r="E950" s="977"/>
      <c r="F950" s="977"/>
      <c r="G950" s="977"/>
      <c r="H950" s="977"/>
      <c r="I950" s="977"/>
      <c r="J950" s="977"/>
      <c r="K950" s="977"/>
      <c r="L950" s="977"/>
      <c r="M950" s="977"/>
      <c r="N950" s="977"/>
      <c r="O950" s="977"/>
      <c r="P950" s="977"/>
      <c r="Q950" s="977"/>
      <c r="R950" s="977"/>
      <c r="S950" s="977"/>
      <c r="T950" s="977"/>
      <c r="U950" s="977"/>
      <c r="V950" s="977"/>
      <c r="W950" s="977"/>
      <c r="X950" s="977"/>
      <c r="Y950" s="977"/>
      <c r="Z950" s="977"/>
      <c r="AA950" s="977"/>
      <c r="AB950" s="977"/>
      <c r="AC950" s="977"/>
      <c r="AD950" s="977"/>
      <c r="AE950" s="977"/>
      <c r="AF950" s="977"/>
      <c r="AG950" s="977"/>
      <c r="AH950" s="977"/>
      <c r="AI950" s="977"/>
      <c r="AJ950" s="977"/>
      <c r="AK950" s="977"/>
      <c r="AL950" s="977"/>
      <c r="AM950" s="977"/>
      <c r="AN950" s="977"/>
      <c r="AO950" s="977"/>
      <c r="AP950" s="977"/>
      <c r="AQ950" s="977"/>
    </row>
    <row r="951" spans="1:49" ht="14.25" customHeight="1">
      <c r="A951" s="977"/>
      <c r="B951" s="977"/>
      <c r="C951" s="977"/>
      <c r="D951" s="977"/>
      <c r="E951" s="977"/>
      <c r="F951" s="977"/>
      <c r="G951" s="977"/>
      <c r="H951" s="977"/>
      <c r="I951" s="977"/>
      <c r="J951" s="977"/>
      <c r="K951" s="977"/>
      <c r="L951" s="977"/>
      <c r="M951" s="977"/>
      <c r="N951" s="977"/>
      <c r="O951" s="977"/>
      <c r="P951" s="977"/>
      <c r="Q951" s="977"/>
      <c r="R951" s="977"/>
      <c r="S951" s="977"/>
      <c r="T951" s="977"/>
      <c r="U951" s="977"/>
      <c r="V951" s="977"/>
      <c r="W951" s="977"/>
      <c r="X951" s="977"/>
      <c r="Y951" s="977"/>
      <c r="Z951" s="977"/>
      <c r="AA951" s="977"/>
      <c r="AB951" s="977"/>
      <c r="AC951" s="977"/>
      <c r="AD951" s="977"/>
      <c r="AE951" s="977"/>
      <c r="AF951" s="977"/>
      <c r="AG951" s="977"/>
      <c r="AH951" s="977"/>
      <c r="AI951" s="977"/>
      <c r="AJ951" s="977"/>
      <c r="AK951" s="977"/>
      <c r="AL951" s="977"/>
      <c r="AM951" s="977"/>
      <c r="AN951" s="977"/>
      <c r="AO951" s="977"/>
      <c r="AP951" s="977"/>
      <c r="AQ951" s="977"/>
    </row>
    <row r="952" spans="1:49" ht="14.25" customHeight="1">
      <c r="A952" s="977"/>
      <c r="B952" s="977"/>
      <c r="C952" s="977"/>
      <c r="D952" s="977"/>
      <c r="E952" s="977"/>
      <c r="F952" s="977"/>
      <c r="G952" s="977"/>
      <c r="H952" s="977"/>
      <c r="I952" s="977"/>
      <c r="J952" s="977"/>
      <c r="K952" s="977"/>
      <c r="L952" s="977"/>
      <c r="M952" s="977"/>
      <c r="N952" s="977"/>
      <c r="O952" s="977"/>
      <c r="P952" s="977"/>
      <c r="Q952" s="977"/>
      <c r="R952" s="977"/>
      <c r="S952" s="977"/>
      <c r="T952" s="977"/>
      <c r="U952" s="977"/>
      <c r="V952" s="977"/>
      <c r="W952" s="977"/>
      <c r="X952" s="977"/>
      <c r="Y952" s="977"/>
      <c r="Z952" s="977"/>
      <c r="AA952" s="977"/>
      <c r="AB952" s="977"/>
      <c r="AC952" s="977"/>
      <c r="AD952" s="977"/>
      <c r="AE952" s="977"/>
      <c r="AF952" s="977"/>
      <c r="AG952" s="977"/>
      <c r="AH952" s="977"/>
      <c r="AI952" s="977"/>
      <c r="AJ952" s="977"/>
      <c r="AK952" s="977"/>
      <c r="AL952" s="977"/>
      <c r="AM952" s="977"/>
      <c r="AN952" s="977"/>
      <c r="AO952" s="977"/>
      <c r="AP952" s="977"/>
      <c r="AQ952" s="977"/>
    </row>
    <row r="953" spans="1:49" ht="14.25" customHeight="1">
      <c r="A953" s="977"/>
      <c r="B953" s="977"/>
      <c r="C953" s="977"/>
      <c r="D953" s="977"/>
      <c r="E953" s="977"/>
      <c r="F953" s="977"/>
      <c r="G953" s="977"/>
      <c r="H953" s="977"/>
      <c r="I953" s="977"/>
      <c r="J953" s="977"/>
      <c r="K953" s="977"/>
      <c r="L953" s="977"/>
      <c r="M953" s="977"/>
      <c r="N953" s="977"/>
      <c r="O953" s="977"/>
      <c r="P953" s="977"/>
      <c r="Q953" s="977"/>
      <c r="R953" s="977"/>
      <c r="S953" s="977"/>
      <c r="T953" s="977"/>
      <c r="U953" s="977"/>
      <c r="V953" s="977"/>
      <c r="W953" s="977"/>
      <c r="X953" s="977"/>
      <c r="Y953" s="977"/>
      <c r="Z953" s="977"/>
      <c r="AA953" s="977"/>
      <c r="AB953" s="977"/>
      <c r="AC953" s="977"/>
      <c r="AD953" s="977"/>
      <c r="AE953" s="977"/>
      <c r="AF953" s="977"/>
      <c r="AG953" s="977"/>
      <c r="AH953" s="977"/>
      <c r="AI953" s="977"/>
      <c r="AJ953" s="977"/>
      <c r="AK953" s="977"/>
      <c r="AL953" s="977"/>
      <c r="AM953" s="977"/>
      <c r="AN953" s="977"/>
      <c r="AO953" s="977"/>
      <c r="AP953" s="977"/>
      <c r="AQ953" s="977"/>
    </row>
    <row r="954" spans="1:49" ht="14.25" customHeight="1">
      <c r="A954" s="977"/>
      <c r="B954" s="977"/>
      <c r="C954" s="977"/>
      <c r="D954" s="977"/>
      <c r="E954" s="977"/>
      <c r="F954" s="977"/>
      <c r="G954" s="977"/>
      <c r="H954" s="977"/>
      <c r="I954" s="977"/>
      <c r="J954" s="977"/>
      <c r="K954" s="977"/>
      <c r="L954" s="977"/>
      <c r="M954" s="977"/>
      <c r="N954" s="977"/>
      <c r="O954" s="977"/>
      <c r="P954" s="977"/>
      <c r="Q954" s="977"/>
      <c r="R954" s="977"/>
      <c r="S954" s="977"/>
      <c r="T954" s="977"/>
      <c r="U954" s="977"/>
      <c r="V954" s="977"/>
      <c r="W954" s="977"/>
      <c r="X954" s="977"/>
      <c r="Y954" s="977"/>
      <c r="Z954" s="977"/>
      <c r="AA954" s="977"/>
      <c r="AB954" s="977"/>
      <c r="AC954" s="977"/>
      <c r="AD954" s="977"/>
      <c r="AE954" s="977"/>
      <c r="AF954" s="977"/>
      <c r="AG954" s="977"/>
      <c r="AH954" s="977"/>
      <c r="AI954" s="977"/>
      <c r="AJ954" s="977"/>
      <c r="AK954" s="977"/>
      <c r="AL954" s="977"/>
      <c r="AM954" s="977"/>
      <c r="AN954" s="977"/>
      <c r="AO954" s="977"/>
      <c r="AP954" s="977"/>
      <c r="AQ954" s="977"/>
    </row>
    <row r="955" spans="1:49" ht="14.25" customHeight="1">
      <c r="A955" s="977"/>
      <c r="B955" s="977"/>
      <c r="C955" s="977"/>
      <c r="D955" s="977"/>
      <c r="E955" s="977"/>
      <c r="F955" s="977"/>
      <c r="G955" s="977"/>
      <c r="H955" s="977"/>
      <c r="I955" s="977"/>
      <c r="J955" s="977"/>
      <c r="K955" s="977"/>
      <c r="L955" s="977"/>
      <c r="M955" s="977"/>
      <c r="N955" s="977"/>
      <c r="O955" s="977"/>
      <c r="P955" s="977"/>
      <c r="Q955" s="977"/>
      <c r="R955" s="977"/>
      <c r="S955" s="977"/>
      <c r="T955" s="977"/>
      <c r="U955" s="977"/>
      <c r="V955" s="977"/>
      <c r="W955" s="977"/>
      <c r="X955" s="977"/>
      <c r="Y955" s="977"/>
      <c r="Z955" s="977"/>
      <c r="AA955" s="977"/>
      <c r="AB955" s="977"/>
      <c r="AC955" s="977"/>
      <c r="AD955" s="977"/>
      <c r="AE955" s="977"/>
      <c r="AF955" s="977"/>
      <c r="AG955" s="977"/>
      <c r="AH955" s="977"/>
      <c r="AI955" s="977"/>
      <c r="AJ955" s="977"/>
      <c r="AK955" s="977"/>
      <c r="AL955" s="977"/>
      <c r="AM955" s="977"/>
      <c r="AN955" s="977"/>
      <c r="AO955" s="977"/>
      <c r="AP955" s="977"/>
      <c r="AQ955" s="977"/>
    </row>
    <row r="956" spans="1:49" ht="14.25" customHeight="1">
      <c r="A956" s="977"/>
      <c r="B956" s="977"/>
      <c r="C956" s="977"/>
      <c r="D956" s="977"/>
      <c r="E956" s="977"/>
      <c r="F956" s="977"/>
      <c r="G956" s="977"/>
      <c r="H956" s="977"/>
      <c r="I956" s="977"/>
      <c r="J956" s="977"/>
      <c r="K956" s="977"/>
      <c r="L956" s="977"/>
      <c r="M956" s="977"/>
      <c r="N956" s="977"/>
      <c r="O956" s="977"/>
      <c r="P956" s="977"/>
      <c r="Q956" s="977"/>
      <c r="R956" s="977"/>
      <c r="S956" s="977"/>
      <c r="T956" s="977"/>
      <c r="U956" s="977"/>
      <c r="V956" s="977"/>
      <c r="W956" s="977"/>
      <c r="X956" s="977"/>
      <c r="Y956" s="977"/>
      <c r="Z956" s="977"/>
      <c r="AA956" s="977"/>
      <c r="AB956" s="977"/>
      <c r="AC956" s="977"/>
      <c r="AD956" s="977"/>
      <c r="AE956" s="977"/>
      <c r="AF956" s="977"/>
      <c r="AG956" s="977"/>
      <c r="AH956" s="977"/>
      <c r="AI956" s="977"/>
      <c r="AJ956" s="977"/>
      <c r="AK956" s="977"/>
      <c r="AL956" s="977"/>
      <c r="AM956" s="977"/>
      <c r="AN956" s="977"/>
      <c r="AO956" s="977"/>
      <c r="AP956" s="977"/>
      <c r="AQ956" s="977"/>
    </row>
    <row r="957" spans="1:49" ht="14.25" customHeight="1">
      <c r="A957" s="977"/>
      <c r="B957" s="977"/>
      <c r="C957" s="977"/>
      <c r="D957" s="977"/>
      <c r="E957" s="977"/>
      <c r="F957" s="977"/>
      <c r="G957" s="977"/>
      <c r="H957" s="977"/>
      <c r="I957" s="977"/>
      <c r="J957" s="977"/>
      <c r="K957" s="977"/>
      <c r="L957" s="977"/>
      <c r="M957" s="977"/>
      <c r="N957" s="977"/>
      <c r="O957" s="977"/>
      <c r="P957" s="977"/>
      <c r="Q957" s="977"/>
      <c r="R957" s="977"/>
      <c r="S957" s="977"/>
      <c r="T957" s="977"/>
      <c r="U957" s="977"/>
      <c r="V957" s="977"/>
      <c r="W957" s="977"/>
      <c r="X957" s="977"/>
      <c r="Y957" s="977"/>
      <c r="Z957" s="977"/>
      <c r="AA957" s="977"/>
      <c r="AB957" s="977"/>
      <c r="AC957" s="977"/>
      <c r="AD957" s="977"/>
      <c r="AE957" s="977"/>
      <c r="AF957" s="977"/>
      <c r="AG957" s="977"/>
      <c r="AH957" s="977"/>
      <c r="AI957" s="977"/>
      <c r="AJ957" s="977"/>
      <c r="AK957" s="977"/>
      <c r="AL957" s="977"/>
      <c r="AM957" s="977"/>
      <c r="AN957" s="977"/>
      <c r="AO957" s="977"/>
      <c r="AP957" s="977"/>
      <c r="AQ957" s="977"/>
    </row>
    <row r="958" spans="1:49" ht="14.25" customHeight="1">
      <c r="A958" s="977"/>
      <c r="B958" s="977"/>
      <c r="C958" s="977"/>
      <c r="D958" s="977"/>
      <c r="E958" s="977"/>
      <c r="F958" s="977"/>
      <c r="G958" s="977"/>
      <c r="H958" s="977"/>
      <c r="I958" s="977"/>
      <c r="J958" s="977"/>
      <c r="K958" s="977"/>
      <c r="L958" s="977"/>
      <c r="M958" s="977"/>
      <c r="N958" s="977"/>
      <c r="O958" s="977"/>
      <c r="P958" s="977"/>
      <c r="Q958" s="977"/>
      <c r="R958" s="977"/>
      <c r="S958" s="977"/>
      <c r="T958" s="977"/>
      <c r="U958" s="977"/>
      <c r="V958" s="977"/>
      <c r="W958" s="977"/>
      <c r="X958" s="977"/>
      <c r="Y958" s="977"/>
      <c r="Z958" s="977"/>
      <c r="AA958" s="977"/>
      <c r="AB958" s="977"/>
      <c r="AC958" s="977"/>
      <c r="AD958" s="977"/>
      <c r="AE958" s="977"/>
      <c r="AF958" s="977"/>
      <c r="AG958" s="977"/>
      <c r="AH958" s="977"/>
      <c r="AI958" s="977"/>
      <c r="AJ958" s="977"/>
      <c r="AK958" s="977"/>
      <c r="AL958" s="977"/>
      <c r="AM958" s="977"/>
      <c r="AN958" s="977"/>
      <c r="AO958" s="977"/>
      <c r="AP958" s="977"/>
      <c r="AQ958" s="977"/>
    </row>
    <row r="959" spans="1:49" ht="14.25" customHeight="1">
      <c r="A959" s="977"/>
      <c r="B959" s="977"/>
      <c r="C959" s="977"/>
      <c r="D959" s="977"/>
      <c r="E959" s="977"/>
      <c r="F959" s="977"/>
      <c r="G959" s="977"/>
      <c r="H959" s="977"/>
      <c r="I959" s="977"/>
      <c r="J959" s="977"/>
      <c r="K959" s="977"/>
      <c r="L959" s="977"/>
      <c r="M959" s="977"/>
      <c r="N959" s="977"/>
      <c r="O959" s="977"/>
      <c r="P959" s="977"/>
      <c r="Q959" s="977"/>
      <c r="R959" s="977"/>
      <c r="S959" s="977"/>
      <c r="T959" s="977"/>
      <c r="U959" s="977"/>
      <c r="V959" s="977"/>
      <c r="W959" s="977"/>
      <c r="X959" s="977"/>
      <c r="Y959" s="977"/>
      <c r="Z959" s="977"/>
      <c r="AA959" s="977"/>
      <c r="AB959" s="977"/>
      <c r="AC959" s="977"/>
      <c r="AD959" s="977"/>
      <c r="AE959" s="977"/>
      <c r="AF959" s="977"/>
      <c r="AG959" s="977"/>
      <c r="AH959" s="977"/>
      <c r="AI959" s="977"/>
      <c r="AJ959" s="977"/>
      <c r="AK959" s="977"/>
      <c r="AL959" s="977"/>
      <c r="AM959" s="977"/>
      <c r="AN959" s="977"/>
      <c r="AO959" s="977"/>
      <c r="AP959" s="977"/>
      <c r="AQ959" s="977"/>
    </row>
    <row r="960" spans="1:49" ht="14.25" customHeight="1">
      <c r="A960" s="977"/>
      <c r="B960" s="977"/>
      <c r="C960" s="977"/>
      <c r="D960" s="977"/>
      <c r="E960" s="977"/>
      <c r="F960" s="977"/>
      <c r="G960" s="977"/>
      <c r="H960" s="977"/>
      <c r="I960" s="977"/>
      <c r="J960" s="977"/>
      <c r="K960" s="977"/>
      <c r="L960" s="977"/>
      <c r="M960" s="977"/>
      <c r="N960" s="977"/>
      <c r="O960" s="977"/>
      <c r="P960" s="977"/>
      <c r="Q960" s="977"/>
      <c r="R960" s="977"/>
      <c r="S960" s="977"/>
      <c r="T960" s="977"/>
      <c r="U960" s="977"/>
      <c r="V960" s="977"/>
      <c r="W960" s="977"/>
      <c r="X960" s="977"/>
      <c r="Y960" s="977"/>
      <c r="Z960" s="977"/>
      <c r="AA960" s="977"/>
      <c r="AB960" s="977"/>
      <c r="AC960" s="977"/>
      <c r="AD960" s="977"/>
      <c r="AE960" s="977"/>
      <c r="AF960" s="977"/>
      <c r="AG960" s="977"/>
      <c r="AH960" s="977"/>
      <c r="AI960" s="977"/>
      <c r="AJ960" s="977"/>
      <c r="AK960" s="977"/>
      <c r="AL960" s="977"/>
      <c r="AM960" s="977"/>
      <c r="AN960" s="977"/>
      <c r="AO960" s="977"/>
      <c r="AP960" s="977"/>
      <c r="AQ960" s="977"/>
    </row>
    <row r="961" spans="1:43" ht="14.25" customHeight="1">
      <c r="A961" s="977"/>
      <c r="B961" s="977"/>
      <c r="C961" s="977"/>
      <c r="D961" s="977"/>
      <c r="E961" s="977"/>
      <c r="F961" s="977"/>
      <c r="G961" s="977"/>
      <c r="H961" s="977"/>
      <c r="I961" s="977"/>
      <c r="J961" s="977"/>
      <c r="K961" s="977"/>
      <c r="L961" s="977"/>
      <c r="M961" s="977"/>
      <c r="N961" s="977"/>
      <c r="O961" s="977"/>
      <c r="P961" s="977"/>
      <c r="Q961" s="977"/>
      <c r="R961" s="977"/>
      <c r="S961" s="977"/>
      <c r="T961" s="977"/>
      <c r="U961" s="977"/>
      <c r="V961" s="977"/>
      <c r="W961" s="977"/>
      <c r="X961" s="977"/>
      <c r="Y961" s="977"/>
      <c r="Z961" s="977"/>
      <c r="AA961" s="977"/>
      <c r="AB961" s="977"/>
      <c r="AC961" s="977"/>
      <c r="AD961" s="977"/>
      <c r="AE961" s="977"/>
      <c r="AF961" s="977"/>
      <c r="AG961" s="977"/>
      <c r="AH961" s="977"/>
      <c r="AI961" s="977"/>
      <c r="AJ961" s="977"/>
      <c r="AK961" s="977"/>
      <c r="AL961" s="977"/>
      <c r="AM961" s="977"/>
      <c r="AN961" s="977"/>
      <c r="AO961" s="977"/>
      <c r="AP961" s="977"/>
      <c r="AQ961" s="977"/>
    </row>
    <row r="962" spans="1:43" ht="14.25" customHeight="1">
      <c r="A962" s="977"/>
      <c r="B962" s="977"/>
      <c r="C962" s="977"/>
      <c r="D962" s="977"/>
      <c r="E962" s="977"/>
      <c r="F962" s="977"/>
      <c r="G962" s="977"/>
      <c r="H962" s="977"/>
      <c r="I962" s="977"/>
      <c r="J962" s="977"/>
      <c r="K962" s="977"/>
      <c r="L962" s="977"/>
      <c r="M962" s="977"/>
      <c r="N962" s="977"/>
      <c r="O962" s="977"/>
      <c r="P962" s="977"/>
      <c r="Q962" s="977"/>
      <c r="R962" s="977"/>
      <c r="S962" s="977"/>
      <c r="T962" s="977"/>
      <c r="U962" s="977"/>
      <c r="V962" s="977"/>
      <c r="W962" s="977"/>
      <c r="X962" s="977"/>
      <c r="Y962" s="977"/>
      <c r="Z962" s="977"/>
      <c r="AA962" s="977"/>
      <c r="AB962" s="977"/>
      <c r="AC962" s="977"/>
      <c r="AD962" s="977"/>
      <c r="AE962" s="977"/>
      <c r="AF962" s="977"/>
      <c r="AG962" s="977"/>
      <c r="AH962" s="977"/>
      <c r="AI962" s="977"/>
      <c r="AJ962" s="977"/>
      <c r="AK962" s="977"/>
      <c r="AL962" s="977"/>
      <c r="AM962" s="977"/>
      <c r="AN962" s="977"/>
      <c r="AO962" s="977"/>
      <c r="AP962" s="977"/>
      <c r="AQ962" s="977"/>
    </row>
    <row r="963" spans="1:43" ht="14.25" customHeight="1">
      <c r="A963" s="977"/>
      <c r="B963" s="977"/>
      <c r="C963" s="977"/>
      <c r="D963" s="977"/>
      <c r="E963" s="977"/>
      <c r="F963" s="977"/>
      <c r="G963" s="977"/>
      <c r="H963" s="977"/>
      <c r="I963" s="977"/>
      <c r="J963" s="977"/>
      <c r="K963" s="977"/>
      <c r="L963" s="977"/>
      <c r="M963" s="977"/>
      <c r="N963" s="977"/>
      <c r="O963" s="977"/>
      <c r="P963" s="977"/>
      <c r="Q963" s="977"/>
      <c r="R963" s="977"/>
      <c r="S963" s="977"/>
      <c r="T963" s="977"/>
      <c r="U963" s="977"/>
      <c r="V963" s="977"/>
      <c r="W963" s="977"/>
      <c r="X963" s="977"/>
      <c r="Y963" s="977"/>
      <c r="Z963" s="977"/>
      <c r="AA963" s="977"/>
      <c r="AB963" s="977"/>
      <c r="AC963" s="977"/>
      <c r="AD963" s="977"/>
      <c r="AE963" s="977"/>
      <c r="AF963" s="977"/>
      <c r="AG963" s="977"/>
      <c r="AH963" s="977"/>
      <c r="AI963" s="977"/>
      <c r="AJ963" s="977"/>
      <c r="AK963" s="977"/>
      <c r="AL963" s="977"/>
      <c r="AM963" s="977"/>
      <c r="AN963" s="977"/>
      <c r="AO963" s="977"/>
      <c r="AP963" s="977"/>
      <c r="AQ963" s="977"/>
    </row>
    <row r="964" spans="1:43" ht="14.25" customHeight="1">
      <c r="A964" s="977"/>
      <c r="B964" s="977"/>
      <c r="C964" s="977"/>
      <c r="D964" s="977"/>
      <c r="E964" s="977"/>
      <c r="F964" s="977"/>
      <c r="G964" s="977"/>
      <c r="H964" s="977"/>
      <c r="I964" s="977"/>
      <c r="J964" s="977"/>
      <c r="K964" s="977"/>
      <c r="L964" s="977"/>
      <c r="M964" s="977"/>
      <c r="N964" s="977"/>
      <c r="O964" s="977"/>
      <c r="P964" s="977"/>
      <c r="Q964" s="977"/>
      <c r="R964" s="977"/>
      <c r="S964" s="977"/>
      <c r="T964" s="977"/>
      <c r="U964" s="977"/>
      <c r="V964" s="977"/>
      <c r="W964" s="977"/>
      <c r="X964" s="977"/>
      <c r="Y964" s="977"/>
      <c r="Z964" s="977"/>
      <c r="AA964" s="977"/>
      <c r="AB964" s="977"/>
      <c r="AC964" s="977"/>
      <c r="AD964" s="977"/>
      <c r="AE964" s="977"/>
      <c r="AF964" s="977"/>
      <c r="AG964" s="977"/>
      <c r="AH964" s="977"/>
      <c r="AI964" s="977"/>
      <c r="AJ964" s="977"/>
      <c r="AK964" s="977"/>
      <c r="AL964" s="977"/>
      <c r="AM964" s="977"/>
      <c r="AN964" s="977"/>
      <c r="AO964" s="977"/>
      <c r="AP964" s="977"/>
      <c r="AQ964" s="977"/>
    </row>
    <row r="965" spans="1:43" ht="14.25" customHeight="1">
      <c r="A965" s="977"/>
      <c r="B965" s="977"/>
      <c r="C965" s="977"/>
      <c r="D965" s="977"/>
      <c r="E965" s="977"/>
      <c r="F965" s="977"/>
      <c r="G965" s="977"/>
      <c r="H965" s="977"/>
      <c r="I965" s="977"/>
      <c r="J965" s="977"/>
      <c r="K965" s="977"/>
      <c r="L965" s="977"/>
      <c r="M965" s="977"/>
      <c r="N965" s="977"/>
      <c r="O965" s="977"/>
      <c r="P965" s="977"/>
      <c r="Q965" s="977"/>
      <c r="R965" s="977"/>
      <c r="S965" s="977"/>
      <c r="T965" s="977"/>
      <c r="U965" s="977"/>
      <c r="V965" s="977"/>
      <c r="W965" s="977"/>
      <c r="X965" s="977"/>
      <c r="Y965" s="977"/>
      <c r="Z965" s="977"/>
      <c r="AA965" s="977"/>
      <c r="AB965" s="977"/>
      <c r="AC965" s="977"/>
      <c r="AD965" s="977"/>
      <c r="AE965" s="977"/>
      <c r="AF965" s="977"/>
      <c r="AG965" s="977"/>
      <c r="AH965" s="977"/>
      <c r="AI965" s="977"/>
      <c r="AJ965" s="977"/>
      <c r="AK965" s="977"/>
      <c r="AL965" s="977"/>
      <c r="AM965" s="977"/>
      <c r="AN965" s="977"/>
      <c r="AO965" s="977"/>
      <c r="AP965" s="977"/>
      <c r="AQ965" s="977"/>
    </row>
    <row r="966" spans="1:43" ht="14.25" customHeight="1">
      <c r="A966" s="977"/>
      <c r="B966" s="977"/>
      <c r="C966" s="977"/>
      <c r="D966" s="977"/>
      <c r="E966" s="977"/>
      <c r="F966" s="977"/>
      <c r="G966" s="977"/>
      <c r="H966" s="977"/>
      <c r="I966" s="977"/>
      <c r="J966" s="977"/>
      <c r="K966" s="977"/>
      <c r="L966" s="977"/>
      <c r="M966" s="977"/>
      <c r="N966" s="977"/>
      <c r="O966" s="977"/>
      <c r="P966" s="977"/>
      <c r="Q966" s="977"/>
      <c r="R966" s="977"/>
      <c r="S966" s="977"/>
      <c r="T966" s="977"/>
      <c r="U966" s="977"/>
      <c r="V966" s="977"/>
      <c r="W966" s="977"/>
      <c r="X966" s="977"/>
      <c r="Y966" s="977"/>
      <c r="Z966" s="977"/>
      <c r="AA966" s="977"/>
      <c r="AB966" s="977"/>
      <c r="AC966" s="977"/>
      <c r="AD966" s="977"/>
      <c r="AE966" s="977"/>
      <c r="AF966" s="977"/>
      <c r="AG966" s="977"/>
      <c r="AH966" s="977"/>
      <c r="AI966" s="977"/>
      <c r="AJ966" s="977"/>
      <c r="AK966" s="977"/>
      <c r="AL966" s="977"/>
      <c r="AM966" s="977"/>
      <c r="AN966" s="977"/>
      <c r="AO966" s="977"/>
      <c r="AP966" s="977"/>
      <c r="AQ966" s="977"/>
    </row>
    <row r="967" spans="1:43" ht="14.25" customHeight="1">
      <c r="A967" s="977"/>
      <c r="B967" s="977"/>
      <c r="C967" s="977"/>
      <c r="D967" s="977"/>
      <c r="E967" s="977"/>
      <c r="F967" s="977"/>
      <c r="G967" s="977"/>
      <c r="H967" s="977"/>
      <c r="I967" s="977"/>
      <c r="J967" s="977"/>
      <c r="K967" s="977"/>
      <c r="L967" s="977"/>
      <c r="M967" s="977"/>
      <c r="N967" s="977"/>
      <c r="O967" s="977"/>
      <c r="P967" s="977"/>
      <c r="Q967" s="977"/>
      <c r="R967" s="977"/>
      <c r="S967" s="977"/>
      <c r="T967" s="977"/>
      <c r="U967" s="977"/>
      <c r="V967" s="977"/>
      <c r="W967" s="977"/>
      <c r="X967" s="977"/>
      <c r="Y967" s="977"/>
      <c r="Z967" s="977"/>
      <c r="AA967" s="977"/>
      <c r="AB967" s="977"/>
      <c r="AC967" s="977"/>
      <c r="AD967" s="977"/>
      <c r="AE967" s="977"/>
      <c r="AF967" s="977"/>
      <c r="AG967" s="977"/>
      <c r="AH967" s="977"/>
      <c r="AI967" s="977"/>
      <c r="AJ967" s="977"/>
      <c r="AK967" s="977"/>
      <c r="AL967" s="977"/>
      <c r="AM967" s="977"/>
      <c r="AN967" s="977"/>
      <c r="AO967" s="977"/>
      <c r="AP967" s="977"/>
      <c r="AQ967" s="977"/>
    </row>
    <row r="968" spans="1:43" ht="14.25" customHeight="1">
      <c r="A968" s="977"/>
      <c r="B968" s="977"/>
      <c r="C968" s="977"/>
      <c r="D968" s="977"/>
      <c r="E968" s="977"/>
      <c r="F968" s="977"/>
      <c r="G968" s="977"/>
      <c r="H968" s="977"/>
      <c r="I968" s="977"/>
      <c r="J968" s="977"/>
      <c r="K968" s="977"/>
      <c r="L968" s="977"/>
      <c r="M968" s="977"/>
      <c r="N968" s="977"/>
      <c r="O968" s="977"/>
      <c r="P968" s="977"/>
      <c r="Q968" s="977"/>
      <c r="R968" s="977"/>
      <c r="S968" s="977"/>
      <c r="T968" s="977"/>
      <c r="U968" s="977"/>
      <c r="V968" s="977"/>
      <c r="W968" s="977"/>
      <c r="X968" s="977"/>
      <c r="Y968" s="977"/>
      <c r="Z968" s="977"/>
      <c r="AA968" s="977"/>
      <c r="AB968" s="977"/>
      <c r="AC968" s="977"/>
      <c r="AD968" s="977"/>
      <c r="AE968" s="977"/>
      <c r="AF968" s="977"/>
      <c r="AG968" s="977"/>
      <c r="AH968" s="977"/>
      <c r="AI968" s="977"/>
      <c r="AJ968" s="977"/>
      <c r="AK968" s="977"/>
      <c r="AL968" s="977"/>
      <c r="AM968" s="977"/>
      <c r="AN968" s="977"/>
      <c r="AO968" s="977"/>
      <c r="AP968" s="977"/>
      <c r="AQ968" s="977"/>
    </row>
    <row r="969" spans="1:43" ht="14.25" customHeight="1">
      <c r="A969" s="977"/>
      <c r="B969" s="977"/>
      <c r="C969" s="977"/>
      <c r="D969" s="977"/>
      <c r="E969" s="977"/>
      <c r="F969" s="977"/>
      <c r="G969" s="977"/>
      <c r="H969" s="977"/>
      <c r="I969" s="977"/>
      <c r="J969" s="977"/>
      <c r="K969" s="977"/>
      <c r="L969" s="977"/>
      <c r="M969" s="977"/>
      <c r="N969" s="977"/>
      <c r="O969" s="977"/>
      <c r="P969" s="977"/>
      <c r="Q969" s="977"/>
      <c r="R969" s="977"/>
      <c r="S969" s="977"/>
      <c r="T969" s="977"/>
      <c r="U969" s="977"/>
      <c r="V969" s="977"/>
      <c r="W969" s="977"/>
      <c r="X969" s="977"/>
      <c r="Y969" s="977"/>
      <c r="Z969" s="977"/>
      <c r="AA969" s="977"/>
      <c r="AB969" s="977"/>
      <c r="AC969" s="977"/>
      <c r="AD969" s="977"/>
      <c r="AE969" s="977"/>
      <c r="AF969" s="977"/>
      <c r="AG969" s="977"/>
      <c r="AH969" s="977"/>
      <c r="AI969" s="977"/>
      <c r="AJ969" s="977"/>
      <c r="AK969" s="977"/>
      <c r="AL969" s="977"/>
      <c r="AM969" s="977"/>
      <c r="AN969" s="977"/>
      <c r="AO969" s="977"/>
      <c r="AP969" s="977"/>
      <c r="AQ969" s="977"/>
    </row>
    <row r="970" spans="1:43" ht="14.25" customHeight="1">
      <c r="A970" s="977"/>
      <c r="B970" s="977"/>
      <c r="C970" s="977"/>
      <c r="D970" s="977"/>
      <c r="E970" s="977"/>
      <c r="F970" s="977"/>
      <c r="G970" s="977"/>
      <c r="H970" s="977"/>
      <c r="I970" s="977"/>
      <c r="J970" s="977"/>
      <c r="K970" s="977"/>
      <c r="L970" s="977"/>
      <c r="M970" s="977"/>
      <c r="N970" s="977"/>
      <c r="O970" s="977"/>
      <c r="P970" s="977"/>
      <c r="Q970" s="977"/>
      <c r="R970" s="977"/>
      <c r="S970" s="977"/>
      <c r="T970" s="977"/>
      <c r="U970" s="977"/>
      <c r="V970" s="977"/>
      <c r="W970" s="977"/>
      <c r="X970" s="977"/>
      <c r="Y970" s="977"/>
      <c r="Z970" s="977"/>
      <c r="AA970" s="977"/>
      <c r="AB970" s="977"/>
      <c r="AC970" s="977"/>
      <c r="AD970" s="977"/>
      <c r="AE970" s="977"/>
      <c r="AF970" s="977"/>
      <c r="AG970" s="977"/>
      <c r="AH970" s="977"/>
      <c r="AI970" s="977"/>
      <c r="AJ970" s="977"/>
      <c r="AK970" s="977"/>
      <c r="AL970" s="977"/>
      <c r="AM970" s="977"/>
      <c r="AN970" s="977"/>
      <c r="AO970" s="977"/>
      <c r="AP970" s="977"/>
      <c r="AQ970" s="977"/>
    </row>
    <row r="971" spans="1:43" ht="14.25" customHeight="1">
      <c r="A971" s="977"/>
      <c r="B971" s="977"/>
      <c r="C971" s="977"/>
      <c r="D971" s="977"/>
      <c r="E971" s="977"/>
      <c r="F971" s="977"/>
      <c r="G971" s="977"/>
      <c r="H971" s="977"/>
      <c r="I971" s="977"/>
      <c r="J971" s="977"/>
      <c r="K971" s="977"/>
      <c r="L971" s="977"/>
      <c r="M971" s="977"/>
      <c r="N971" s="977"/>
      <c r="O971" s="977"/>
      <c r="P971" s="977"/>
      <c r="Q971" s="977"/>
      <c r="R971" s="977"/>
      <c r="S971" s="977"/>
      <c r="T971" s="977"/>
      <c r="U971" s="977"/>
      <c r="V971" s="977"/>
      <c r="W971" s="977"/>
      <c r="X971" s="977"/>
      <c r="Y971" s="977"/>
      <c r="Z971" s="977"/>
      <c r="AA971" s="977"/>
      <c r="AB971" s="977"/>
      <c r="AC971" s="977"/>
      <c r="AD971" s="977"/>
      <c r="AE971" s="977"/>
      <c r="AF971" s="977"/>
      <c r="AG971" s="977"/>
      <c r="AH971" s="977"/>
      <c r="AI971" s="977"/>
      <c r="AJ971" s="977"/>
      <c r="AK971" s="977"/>
      <c r="AL971" s="977"/>
      <c r="AM971" s="977"/>
      <c r="AN971" s="977"/>
      <c r="AO971" s="977"/>
      <c r="AP971" s="977"/>
      <c r="AQ971" s="977"/>
    </row>
    <row r="972" spans="1:43" ht="14.25" customHeight="1">
      <c r="A972" s="977"/>
      <c r="B972" s="977"/>
      <c r="C972" s="977"/>
      <c r="D972" s="977"/>
      <c r="E972" s="977"/>
      <c r="F972" s="977"/>
      <c r="G972" s="977"/>
      <c r="H972" s="977"/>
      <c r="I972" s="977"/>
      <c r="J972" s="977"/>
      <c r="K972" s="977"/>
      <c r="L972" s="977"/>
      <c r="M972" s="977"/>
      <c r="N972" s="977"/>
      <c r="O972" s="977"/>
      <c r="P972" s="977"/>
      <c r="Q972" s="977"/>
      <c r="R972" s="977"/>
      <c r="S972" s="977"/>
      <c r="T972" s="977"/>
      <c r="U972" s="977"/>
      <c r="V972" s="977"/>
      <c r="W972" s="977"/>
      <c r="X972" s="977"/>
      <c r="Y972" s="977"/>
      <c r="Z972" s="977"/>
      <c r="AA972" s="977"/>
      <c r="AB972" s="977"/>
      <c r="AC972" s="977"/>
      <c r="AD972" s="977"/>
      <c r="AE972" s="977"/>
      <c r="AF972" s="977"/>
      <c r="AG972" s="977"/>
      <c r="AH972" s="977"/>
      <c r="AI972" s="977"/>
      <c r="AJ972" s="977"/>
      <c r="AK972" s="977"/>
      <c r="AL972" s="977"/>
      <c r="AM972" s="977"/>
      <c r="AN972" s="977"/>
      <c r="AO972" s="977"/>
      <c r="AP972" s="977"/>
      <c r="AQ972" s="977"/>
    </row>
    <row r="973" spans="1:43" ht="14.25" customHeight="1">
      <c r="A973" s="977"/>
      <c r="B973" s="977"/>
      <c r="C973" s="977"/>
      <c r="D973" s="977"/>
      <c r="E973" s="977"/>
      <c r="F973" s="977"/>
      <c r="G973" s="977"/>
      <c r="H973" s="977"/>
      <c r="I973" s="977"/>
      <c r="J973" s="977"/>
      <c r="K973" s="977"/>
      <c r="L973" s="977"/>
      <c r="M973" s="977"/>
      <c r="N973" s="977"/>
      <c r="O973" s="977"/>
      <c r="P973" s="977"/>
      <c r="Q973" s="977"/>
      <c r="R973" s="977"/>
      <c r="S973" s="977"/>
      <c r="T973" s="977"/>
      <c r="U973" s="977"/>
      <c r="V973" s="977"/>
      <c r="W973" s="977"/>
      <c r="X973" s="977"/>
      <c r="Y973" s="977"/>
      <c r="Z973" s="977"/>
      <c r="AA973" s="977"/>
      <c r="AB973" s="977"/>
      <c r="AC973" s="977"/>
      <c r="AD973" s="977"/>
      <c r="AE973" s="977"/>
      <c r="AF973" s="977"/>
      <c r="AG973" s="977"/>
      <c r="AH973" s="977"/>
      <c r="AI973" s="977"/>
      <c r="AJ973" s="977"/>
      <c r="AK973" s="977"/>
      <c r="AL973" s="977"/>
      <c r="AM973" s="977"/>
      <c r="AN973" s="977"/>
      <c r="AO973" s="977"/>
      <c r="AP973" s="977"/>
      <c r="AQ973" s="977"/>
    </row>
    <row r="974" spans="1:43" ht="14.25" customHeight="1">
      <c r="A974" s="977"/>
      <c r="B974" s="977"/>
      <c r="C974" s="977"/>
      <c r="D974" s="977"/>
      <c r="E974" s="977"/>
      <c r="F974" s="977"/>
      <c r="G974" s="977"/>
      <c r="H974" s="977"/>
      <c r="I974" s="977"/>
      <c r="J974" s="977"/>
      <c r="K974" s="977"/>
      <c r="L974" s="977"/>
      <c r="M974" s="977"/>
      <c r="N974" s="977"/>
      <c r="O974" s="977"/>
      <c r="P974" s="977"/>
      <c r="Q974" s="977"/>
      <c r="R974" s="977"/>
      <c r="S974" s="977"/>
      <c r="T974" s="977"/>
      <c r="U974" s="977"/>
      <c r="V974" s="977"/>
      <c r="W974" s="977"/>
      <c r="X974" s="977"/>
      <c r="Y974" s="977"/>
      <c r="Z974" s="977"/>
      <c r="AA974" s="977"/>
      <c r="AB974" s="977"/>
      <c r="AC974" s="977"/>
      <c r="AD974" s="977"/>
      <c r="AE974" s="977"/>
      <c r="AF974" s="977"/>
      <c r="AG974" s="977"/>
      <c r="AH974" s="977"/>
      <c r="AI974" s="977"/>
      <c r="AJ974" s="977"/>
      <c r="AK974" s="977"/>
      <c r="AL974" s="977"/>
      <c r="AM974" s="977"/>
      <c r="AN974" s="977"/>
      <c r="AO974" s="977"/>
      <c r="AP974" s="977"/>
      <c r="AQ974" s="977"/>
    </row>
    <row r="975" spans="1:43" ht="14.25" customHeight="1">
      <c r="A975" s="977"/>
      <c r="B975" s="977"/>
      <c r="C975" s="977"/>
      <c r="D975" s="977"/>
      <c r="E975" s="977"/>
      <c r="F975" s="977"/>
      <c r="G975" s="977"/>
      <c r="H975" s="977"/>
      <c r="I975" s="977"/>
      <c r="J975" s="977"/>
      <c r="K975" s="977"/>
      <c r="L975" s="977"/>
      <c r="M975" s="977"/>
      <c r="N975" s="977"/>
      <c r="O975" s="977"/>
      <c r="P975" s="977"/>
      <c r="Q975" s="977"/>
      <c r="R975" s="977"/>
      <c r="S975" s="977"/>
      <c r="T975" s="977"/>
      <c r="U975" s="977"/>
      <c r="V975" s="977"/>
      <c r="W975" s="977"/>
      <c r="X975" s="977"/>
      <c r="Y975" s="977"/>
      <c r="Z975" s="977"/>
      <c r="AA975" s="977"/>
      <c r="AB975" s="977"/>
      <c r="AC975" s="977"/>
      <c r="AD975" s="977"/>
      <c r="AE975" s="977"/>
      <c r="AF975" s="977"/>
      <c r="AG975" s="977"/>
      <c r="AH975" s="977"/>
      <c r="AI975" s="977"/>
      <c r="AJ975" s="977"/>
      <c r="AK975" s="977"/>
      <c r="AL975" s="977"/>
      <c r="AM975" s="977"/>
      <c r="AN975" s="977"/>
      <c r="AO975" s="977"/>
      <c r="AP975" s="977"/>
      <c r="AQ975" s="977"/>
    </row>
    <row r="976" spans="1:43" ht="14.25" customHeight="1">
      <c r="A976" s="977"/>
      <c r="B976" s="977"/>
      <c r="C976" s="977"/>
      <c r="D976" s="977"/>
      <c r="E976" s="977"/>
      <c r="F976" s="977"/>
      <c r="G976" s="977"/>
      <c r="H976" s="977"/>
      <c r="I976" s="977"/>
      <c r="J976" s="977"/>
      <c r="K976" s="977"/>
      <c r="L976" s="977"/>
      <c r="M976" s="977"/>
      <c r="N976" s="977"/>
      <c r="O976" s="977"/>
      <c r="P976" s="977"/>
      <c r="Q976" s="977"/>
      <c r="R976" s="977"/>
      <c r="S976" s="977"/>
      <c r="T976" s="977"/>
      <c r="U976" s="977"/>
      <c r="V976" s="977"/>
      <c r="W976" s="977"/>
      <c r="X976" s="977"/>
      <c r="Y976" s="977"/>
      <c r="Z976" s="977"/>
      <c r="AA976" s="977"/>
      <c r="AB976" s="977"/>
      <c r="AC976" s="977"/>
      <c r="AD976" s="977"/>
      <c r="AE976" s="977"/>
      <c r="AF976" s="977"/>
      <c r="AG976" s="977"/>
      <c r="AH976" s="977"/>
      <c r="AI976" s="977"/>
      <c r="AJ976" s="977"/>
      <c r="AK976" s="977"/>
      <c r="AL976" s="977"/>
      <c r="AM976" s="977"/>
      <c r="AN976" s="977"/>
      <c r="AO976" s="977"/>
      <c r="AP976" s="977"/>
      <c r="AQ976" s="977"/>
    </row>
    <row r="977" spans="1:43" ht="14.25" customHeight="1">
      <c r="A977" s="977"/>
      <c r="B977" s="977"/>
      <c r="C977" s="977"/>
      <c r="D977" s="977"/>
      <c r="E977" s="977"/>
      <c r="F977" s="977"/>
      <c r="G977" s="977"/>
      <c r="H977" s="977"/>
      <c r="I977" s="977"/>
      <c r="J977" s="977"/>
      <c r="K977" s="977"/>
      <c r="L977" s="977"/>
      <c r="M977" s="977"/>
      <c r="N977" s="977"/>
      <c r="O977" s="977"/>
      <c r="P977" s="977"/>
      <c r="Q977" s="977"/>
      <c r="R977" s="977"/>
      <c r="S977" s="977"/>
      <c r="T977" s="977"/>
      <c r="U977" s="977"/>
      <c r="V977" s="977"/>
      <c r="W977" s="977"/>
      <c r="X977" s="977"/>
      <c r="Y977" s="977"/>
      <c r="Z977" s="977"/>
      <c r="AA977" s="977"/>
      <c r="AB977" s="977"/>
      <c r="AC977" s="977"/>
      <c r="AD977" s="977"/>
      <c r="AE977" s="977"/>
      <c r="AF977" s="977"/>
      <c r="AG977" s="977"/>
      <c r="AH977" s="977"/>
      <c r="AI977" s="977"/>
      <c r="AJ977" s="977"/>
      <c r="AK977" s="977"/>
      <c r="AL977" s="977"/>
      <c r="AM977" s="977"/>
      <c r="AN977" s="977"/>
      <c r="AO977" s="977"/>
      <c r="AP977" s="977"/>
      <c r="AQ977" s="977"/>
    </row>
    <row r="978" spans="1:43" ht="14.25" customHeight="1">
      <c r="A978" s="977"/>
      <c r="B978" s="977"/>
      <c r="C978" s="977"/>
      <c r="D978" s="977"/>
      <c r="E978" s="977"/>
      <c r="F978" s="977"/>
      <c r="G978" s="977"/>
      <c r="H978" s="977"/>
      <c r="I978" s="977"/>
      <c r="J978" s="977"/>
      <c r="K978" s="977"/>
      <c r="L978" s="977"/>
      <c r="M978" s="977"/>
      <c r="N978" s="977"/>
      <c r="O978" s="977"/>
      <c r="P978" s="977"/>
      <c r="Q978" s="977"/>
      <c r="R978" s="977"/>
      <c r="S978" s="977"/>
      <c r="T978" s="977"/>
      <c r="U978" s="977"/>
      <c r="V978" s="977"/>
      <c r="W978" s="977"/>
      <c r="X978" s="977"/>
      <c r="Y978" s="977"/>
      <c r="Z978" s="977"/>
      <c r="AA978" s="977"/>
      <c r="AB978" s="977"/>
      <c r="AC978" s="977"/>
      <c r="AD978" s="977"/>
      <c r="AE978" s="977"/>
      <c r="AF978" s="977"/>
      <c r="AG978" s="977"/>
      <c r="AH978" s="977"/>
      <c r="AI978" s="977"/>
      <c r="AJ978" s="977"/>
      <c r="AK978" s="977"/>
      <c r="AL978" s="977"/>
      <c r="AM978" s="977"/>
      <c r="AN978" s="977"/>
      <c r="AO978" s="977"/>
      <c r="AP978" s="977"/>
      <c r="AQ978" s="977"/>
    </row>
    <row r="979" spans="1:43" ht="14.25" customHeight="1">
      <c r="A979" s="977"/>
      <c r="B979" s="977"/>
      <c r="C979" s="977"/>
      <c r="D979" s="977"/>
      <c r="E979" s="977"/>
      <c r="F979" s="977"/>
      <c r="G979" s="977"/>
      <c r="H979" s="977"/>
      <c r="I979" s="977"/>
      <c r="J979" s="977"/>
      <c r="K979" s="977"/>
      <c r="L979" s="977"/>
      <c r="M979" s="977"/>
      <c r="N979" s="977"/>
      <c r="O979" s="977"/>
      <c r="P979" s="977"/>
      <c r="Q979" s="977"/>
      <c r="R979" s="977"/>
      <c r="S979" s="977"/>
      <c r="T979" s="977"/>
      <c r="U979" s="977"/>
      <c r="V979" s="977"/>
      <c r="W979" s="977"/>
      <c r="X979" s="977"/>
      <c r="Y979" s="977"/>
      <c r="Z979" s="977"/>
      <c r="AA979" s="977"/>
      <c r="AB979" s="977"/>
      <c r="AC979" s="977"/>
      <c r="AD979" s="977"/>
      <c r="AE979" s="977"/>
      <c r="AF979" s="977"/>
      <c r="AG979" s="977"/>
      <c r="AH979" s="977"/>
      <c r="AI979" s="977"/>
      <c r="AJ979" s="977"/>
      <c r="AK979" s="977"/>
      <c r="AL979" s="977"/>
      <c r="AM979" s="977"/>
      <c r="AN979" s="977"/>
      <c r="AO979" s="977"/>
      <c r="AP979" s="977"/>
      <c r="AQ979" s="977"/>
    </row>
    <row r="980" spans="1:43" ht="14.25" customHeight="1">
      <c r="A980" s="977"/>
      <c r="B980" s="977"/>
      <c r="C980" s="977"/>
      <c r="D980" s="977"/>
      <c r="E980" s="977"/>
      <c r="F980" s="977"/>
      <c r="G980" s="977"/>
      <c r="H980" s="977"/>
      <c r="I980" s="977"/>
      <c r="J980" s="977"/>
      <c r="K980" s="977"/>
      <c r="L980" s="977"/>
      <c r="M980" s="977"/>
      <c r="N980" s="977"/>
      <c r="O980" s="977"/>
      <c r="P980" s="977"/>
      <c r="Q980" s="977"/>
      <c r="R980" s="977"/>
      <c r="S980" s="977"/>
      <c r="T980" s="977"/>
      <c r="U980" s="977"/>
      <c r="V980" s="977"/>
      <c r="W980" s="977"/>
      <c r="X980" s="977"/>
      <c r="Y980" s="977"/>
      <c r="Z980" s="977"/>
      <c r="AA980" s="977"/>
      <c r="AB980" s="977"/>
      <c r="AC980" s="977"/>
      <c r="AD980" s="977"/>
      <c r="AE980" s="977"/>
      <c r="AF980" s="977"/>
      <c r="AG980" s="977"/>
      <c r="AH980" s="977"/>
      <c r="AI980" s="977"/>
      <c r="AJ980" s="977"/>
      <c r="AK980" s="977"/>
      <c r="AL980" s="977"/>
      <c r="AM980" s="977"/>
      <c r="AN980" s="977"/>
      <c r="AO980" s="977"/>
      <c r="AP980" s="977"/>
      <c r="AQ980" s="977"/>
    </row>
    <row r="981" spans="1:43" ht="14.25" customHeight="1">
      <c r="A981" s="977"/>
      <c r="B981" s="977"/>
      <c r="C981" s="977"/>
      <c r="D981" s="977"/>
      <c r="E981" s="977"/>
      <c r="F981" s="977"/>
      <c r="G981" s="977"/>
      <c r="H981" s="977"/>
      <c r="I981" s="977"/>
      <c r="J981" s="977"/>
      <c r="K981" s="977"/>
      <c r="L981" s="977"/>
      <c r="M981" s="977"/>
      <c r="N981" s="977"/>
      <c r="O981" s="977"/>
      <c r="P981" s="977"/>
      <c r="Q981" s="977"/>
      <c r="R981" s="977"/>
      <c r="S981" s="977"/>
      <c r="T981" s="977"/>
      <c r="U981" s="977"/>
      <c r="V981" s="977"/>
      <c r="W981" s="977"/>
      <c r="X981" s="977"/>
      <c r="Y981" s="977"/>
      <c r="Z981" s="977"/>
      <c r="AA981" s="977"/>
      <c r="AB981" s="977"/>
      <c r="AC981" s="977"/>
      <c r="AD981" s="977"/>
      <c r="AE981" s="977"/>
      <c r="AF981" s="977"/>
      <c r="AG981" s="977"/>
      <c r="AH981" s="977"/>
      <c r="AI981" s="977"/>
      <c r="AJ981" s="977"/>
      <c r="AK981" s="977"/>
      <c r="AL981" s="977"/>
      <c r="AM981" s="977"/>
      <c r="AN981" s="977"/>
      <c r="AO981" s="977"/>
      <c r="AP981" s="977"/>
      <c r="AQ981" s="977"/>
    </row>
    <row r="982" spans="1:43" ht="14.25" customHeight="1">
      <c r="A982" s="977"/>
      <c r="B982" s="977"/>
      <c r="C982" s="977"/>
      <c r="D982" s="977"/>
      <c r="E982" s="977"/>
      <c r="F982" s="977"/>
      <c r="G982" s="977"/>
      <c r="H982" s="977"/>
      <c r="I982" s="977"/>
      <c r="J982" s="977"/>
      <c r="K982" s="977"/>
      <c r="L982" s="977"/>
      <c r="M982" s="977"/>
      <c r="N982" s="977"/>
      <c r="O982" s="977"/>
      <c r="P982" s="977"/>
      <c r="Q982" s="977"/>
      <c r="R982" s="977"/>
      <c r="S982" s="977"/>
      <c r="T982" s="977"/>
      <c r="U982" s="977"/>
      <c r="V982" s="977"/>
      <c r="W982" s="977"/>
      <c r="X982" s="977"/>
      <c r="Y982" s="977"/>
      <c r="Z982" s="977"/>
      <c r="AA982" s="977"/>
      <c r="AB982" s="977"/>
      <c r="AC982" s="977"/>
      <c r="AD982" s="977"/>
      <c r="AE982" s="977"/>
      <c r="AF982" s="977"/>
      <c r="AG982" s="977"/>
      <c r="AH982" s="977"/>
      <c r="AI982" s="977"/>
      <c r="AJ982" s="977"/>
      <c r="AK982" s="977"/>
      <c r="AL982" s="977"/>
      <c r="AM982" s="977"/>
      <c r="AN982" s="977"/>
      <c r="AO982" s="977"/>
      <c r="AP982" s="977"/>
      <c r="AQ982" s="977"/>
    </row>
    <row r="983" spans="1:43" ht="14.25" customHeight="1">
      <c r="A983" s="977"/>
      <c r="B983" s="977"/>
      <c r="C983" s="977"/>
      <c r="D983" s="977"/>
      <c r="E983" s="977"/>
      <c r="F983" s="977"/>
      <c r="G983" s="977"/>
      <c r="H983" s="977"/>
      <c r="I983" s="977"/>
      <c r="J983" s="977"/>
      <c r="K983" s="977"/>
      <c r="L983" s="977"/>
      <c r="M983" s="977"/>
      <c r="N983" s="977"/>
      <c r="O983" s="977"/>
      <c r="P983" s="977"/>
      <c r="Q983" s="977"/>
      <c r="R983" s="977"/>
      <c r="S983" s="977"/>
      <c r="T983" s="977"/>
      <c r="U983" s="977"/>
      <c r="V983" s="977"/>
      <c r="W983" s="977"/>
      <c r="X983" s="977"/>
      <c r="Y983" s="977"/>
      <c r="Z983" s="977"/>
      <c r="AA983" s="977"/>
      <c r="AB983" s="977"/>
      <c r="AC983" s="977"/>
      <c r="AD983" s="977"/>
      <c r="AE983" s="977"/>
      <c r="AF983" s="977"/>
      <c r="AG983" s="977"/>
      <c r="AH983" s="977"/>
      <c r="AI983" s="977"/>
      <c r="AJ983" s="977"/>
      <c r="AK983" s="977"/>
      <c r="AL983" s="977"/>
      <c r="AM983" s="977"/>
      <c r="AN983" s="977"/>
      <c r="AO983" s="977"/>
      <c r="AP983" s="977"/>
      <c r="AQ983" s="977"/>
    </row>
    <row r="984" spans="1:43" ht="14.25" customHeight="1">
      <c r="A984" s="977"/>
      <c r="B984" s="977"/>
      <c r="C984" s="977"/>
      <c r="D984" s="977"/>
      <c r="E984" s="977"/>
      <c r="F984" s="977"/>
      <c r="G984" s="977"/>
      <c r="H984" s="977"/>
      <c r="I984" s="977"/>
      <c r="J984" s="977"/>
      <c r="K984" s="977"/>
      <c r="L984" s="977"/>
      <c r="M984" s="977"/>
      <c r="N984" s="977"/>
      <c r="O984" s="977"/>
      <c r="P984" s="977"/>
      <c r="Q984" s="977"/>
      <c r="R984" s="977"/>
      <c r="S984" s="977"/>
      <c r="T984" s="977"/>
      <c r="U984" s="977"/>
      <c r="V984" s="977"/>
      <c r="W984" s="977"/>
      <c r="X984" s="977"/>
      <c r="Y984" s="977"/>
      <c r="Z984" s="977"/>
      <c r="AA984" s="977"/>
      <c r="AB984" s="977"/>
      <c r="AC984" s="977"/>
      <c r="AD984" s="977"/>
      <c r="AE984" s="977"/>
      <c r="AF984" s="977"/>
      <c r="AG984" s="977"/>
      <c r="AH984" s="977"/>
      <c r="AI984" s="977"/>
      <c r="AJ984" s="977"/>
      <c r="AK984" s="977"/>
      <c r="AL984" s="977"/>
      <c r="AM984" s="977"/>
      <c r="AN984" s="977"/>
      <c r="AO984" s="977"/>
      <c r="AP984" s="977"/>
      <c r="AQ984" s="977"/>
    </row>
    <row r="985" spans="1:43" ht="14.25" customHeight="1">
      <c r="A985" s="977"/>
      <c r="B985" s="977"/>
      <c r="C985" s="977"/>
      <c r="D985" s="977"/>
      <c r="E985" s="977"/>
      <c r="F985" s="977"/>
      <c r="G985" s="977"/>
      <c r="H985" s="977"/>
      <c r="I985" s="977"/>
      <c r="J985" s="977"/>
      <c r="K985" s="977"/>
      <c r="L985" s="977"/>
      <c r="M985" s="977"/>
      <c r="N985" s="977"/>
      <c r="O985" s="977"/>
      <c r="P985" s="977"/>
      <c r="Q985" s="977"/>
      <c r="R985" s="977"/>
      <c r="S985" s="977"/>
      <c r="T985" s="977"/>
      <c r="U985" s="977"/>
      <c r="V985" s="977"/>
      <c r="W985" s="977"/>
      <c r="X985" s="977"/>
      <c r="Y985" s="977"/>
      <c r="Z985" s="977"/>
      <c r="AA985" s="977"/>
      <c r="AB985" s="977"/>
      <c r="AC985" s="977"/>
      <c r="AD985" s="977"/>
      <c r="AE985" s="977"/>
      <c r="AF985" s="977"/>
      <c r="AG985" s="977"/>
      <c r="AH985" s="977"/>
      <c r="AI985" s="977"/>
      <c r="AJ985" s="977"/>
      <c r="AK985" s="977"/>
      <c r="AL985" s="977"/>
      <c r="AM985" s="977"/>
      <c r="AN985" s="977"/>
      <c r="AO985" s="977"/>
      <c r="AP985" s="977"/>
      <c r="AQ985" s="977"/>
    </row>
    <row r="986" spans="1:43" ht="14.25" customHeight="1">
      <c r="A986" s="977"/>
      <c r="B986" s="977"/>
      <c r="C986" s="977"/>
      <c r="D986" s="977"/>
      <c r="E986" s="977"/>
      <c r="F986" s="977"/>
      <c r="G986" s="977"/>
      <c r="H986" s="977"/>
      <c r="I986" s="977"/>
      <c r="J986" s="977"/>
      <c r="K986" s="977"/>
      <c r="L986" s="977"/>
      <c r="M986" s="977"/>
      <c r="N986" s="977"/>
      <c r="O986" s="977"/>
      <c r="P986" s="977"/>
      <c r="Q986" s="977"/>
      <c r="R986" s="977"/>
      <c r="S986" s="977"/>
      <c r="T986" s="977"/>
      <c r="U986" s="977"/>
      <c r="V986" s="977"/>
      <c r="W986" s="977"/>
      <c r="X986" s="977"/>
      <c r="Y986" s="977"/>
      <c r="Z986" s="977"/>
      <c r="AA986" s="977"/>
      <c r="AB986" s="977"/>
      <c r="AC986" s="977"/>
      <c r="AD986" s="977"/>
      <c r="AE986" s="977"/>
      <c r="AF986" s="977"/>
      <c r="AG986" s="977"/>
      <c r="AH986" s="977"/>
      <c r="AI986" s="977"/>
      <c r="AJ986" s="977"/>
      <c r="AK986" s="977"/>
      <c r="AL986" s="977"/>
      <c r="AM986" s="977"/>
      <c r="AN986" s="977"/>
      <c r="AO986" s="977"/>
      <c r="AP986" s="977"/>
      <c r="AQ986" s="977"/>
    </row>
    <row r="987" spans="1:43" ht="14.25" customHeight="1">
      <c r="A987" s="977"/>
      <c r="B987" s="977"/>
      <c r="C987" s="977"/>
      <c r="D987" s="977"/>
      <c r="E987" s="977"/>
      <c r="F987" s="977"/>
      <c r="G987" s="977"/>
      <c r="H987" s="977"/>
      <c r="I987" s="977"/>
      <c r="J987" s="977"/>
      <c r="K987" s="977"/>
      <c r="L987" s="977"/>
      <c r="M987" s="977"/>
      <c r="N987" s="977"/>
      <c r="O987" s="977"/>
      <c r="P987" s="977"/>
      <c r="Q987" s="977"/>
      <c r="R987" s="977"/>
      <c r="S987" s="977"/>
      <c r="T987" s="977"/>
      <c r="U987" s="977"/>
      <c r="V987" s="977"/>
      <c r="W987" s="977"/>
      <c r="X987" s="977"/>
      <c r="Y987" s="977"/>
      <c r="Z987" s="977"/>
      <c r="AA987" s="977"/>
      <c r="AB987" s="977"/>
      <c r="AC987" s="977"/>
      <c r="AD987" s="977"/>
      <c r="AE987" s="977"/>
      <c r="AF987" s="977"/>
      <c r="AG987" s="977"/>
      <c r="AH987" s="977"/>
      <c r="AI987" s="977"/>
      <c r="AJ987" s="977"/>
      <c r="AK987" s="977"/>
      <c r="AL987" s="977"/>
      <c r="AM987" s="977"/>
      <c r="AN987" s="977"/>
      <c r="AO987" s="977"/>
      <c r="AP987" s="977"/>
      <c r="AQ987" s="977"/>
    </row>
    <row r="988" spans="1:43" ht="14.25" customHeight="1">
      <c r="A988" s="977"/>
      <c r="B988" s="977"/>
      <c r="C988" s="977"/>
      <c r="D988" s="977"/>
      <c r="E988" s="977"/>
      <c r="F988" s="977"/>
      <c r="G988" s="977"/>
      <c r="H988" s="977"/>
      <c r="I988" s="977"/>
      <c r="J988" s="977"/>
      <c r="K988" s="977"/>
      <c r="L988" s="977"/>
      <c r="M988" s="977"/>
      <c r="N988" s="977"/>
      <c r="O988" s="977"/>
      <c r="P988" s="977"/>
      <c r="Q988" s="977"/>
      <c r="R988" s="977"/>
      <c r="S988" s="977"/>
      <c r="T988" s="977"/>
      <c r="U988" s="977"/>
      <c r="V988" s="977"/>
      <c r="W988" s="977"/>
      <c r="X988" s="977"/>
      <c r="Y988" s="977"/>
      <c r="Z988" s="977"/>
      <c r="AA988" s="977"/>
      <c r="AB988" s="977"/>
      <c r="AC988" s="977"/>
      <c r="AD988" s="977"/>
      <c r="AE988" s="977"/>
      <c r="AF988" s="977"/>
      <c r="AG988" s="977"/>
      <c r="AH988" s="977"/>
      <c r="AI988" s="977"/>
      <c r="AJ988" s="977"/>
      <c r="AK988" s="977"/>
      <c r="AL988" s="977"/>
      <c r="AM988" s="977"/>
      <c r="AN988" s="977"/>
      <c r="AO988" s="977"/>
      <c r="AP988" s="977"/>
      <c r="AQ988" s="977"/>
    </row>
    <row r="989" spans="1:43" ht="14.25" customHeight="1">
      <c r="A989" s="977"/>
      <c r="B989" s="977"/>
      <c r="C989" s="977"/>
      <c r="D989" s="977"/>
      <c r="E989" s="977"/>
      <c r="F989" s="977"/>
      <c r="G989" s="977"/>
      <c r="H989" s="977"/>
      <c r="I989" s="977"/>
      <c r="J989" s="977"/>
      <c r="K989" s="977"/>
      <c r="L989" s="977"/>
      <c r="M989" s="977"/>
      <c r="N989" s="977"/>
      <c r="O989" s="977"/>
      <c r="P989" s="977"/>
      <c r="Q989" s="977"/>
      <c r="R989" s="977"/>
      <c r="S989" s="977"/>
      <c r="T989" s="977"/>
      <c r="U989" s="977"/>
      <c r="V989" s="977"/>
      <c r="W989" s="977"/>
      <c r="X989" s="977"/>
      <c r="Y989" s="977"/>
      <c r="Z989" s="977"/>
      <c r="AA989" s="977"/>
      <c r="AB989" s="977"/>
      <c r="AC989" s="977"/>
      <c r="AD989" s="977"/>
      <c r="AE989" s="977"/>
      <c r="AF989" s="977"/>
      <c r="AG989" s="977"/>
      <c r="AH989" s="977"/>
      <c r="AI989" s="977"/>
      <c r="AJ989" s="977"/>
      <c r="AK989" s="977"/>
      <c r="AL989" s="977"/>
      <c r="AM989" s="977"/>
      <c r="AN989" s="977"/>
      <c r="AO989" s="977"/>
      <c r="AP989" s="977"/>
      <c r="AQ989" s="977"/>
    </row>
  </sheetData>
  <mergeCells count="5">
    <mergeCell ref="O1:U1"/>
    <mergeCell ref="W1:Z1"/>
    <mergeCell ref="AC1:AD1"/>
    <mergeCell ref="AE1:AF1"/>
    <mergeCell ref="AG1:AL1"/>
  </mergeCells>
  <pageMargins left="0.7" right="0.7" top="0.75" bottom="0.75" header="0.3" footer="0.3"/>
  <pageSetup paperSize="5" scale="26" fitToHeight="0" orientation="landscape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D903-93EB-4E01-8247-76CA03ADB04A}">
  <sheetPr>
    <pageSetUpPr fitToPage="1"/>
  </sheetPr>
  <dimension ref="A1:AQ221"/>
  <sheetViews>
    <sheetView tabSelected="1" zoomScale="80" zoomScaleNormal="80" workbookViewId="0">
      <pane xSplit="13" ySplit="2" topLeftCell="N16" activePane="bottomRight" state="frozen"/>
      <selection pane="bottomRight" activeCell="F15" sqref="F15"/>
      <selection pane="bottomLeft" activeCell="A3" sqref="A3"/>
      <selection pane="topRight" activeCell="L1" sqref="L1"/>
    </sheetView>
  </sheetViews>
  <sheetFormatPr defaultColWidth="8.5703125" defaultRowHeight="14.25" customHeight="1"/>
  <cols>
    <col min="1" max="1" width="18" style="328" customWidth="1"/>
    <col min="2" max="2" width="31.28515625" style="329" customWidth="1"/>
    <col min="3" max="3" width="17.42578125" style="336" customWidth="1"/>
    <col min="4" max="4" width="15.42578125" style="750" customWidth="1"/>
    <col min="5" max="5" width="44.42578125" style="329" customWidth="1"/>
    <col min="6" max="6" width="17.28515625" style="329" bestFit="1" customWidth="1"/>
    <col min="7" max="7" width="15.42578125" style="329" customWidth="1"/>
    <col min="8" max="8" width="18" style="329" customWidth="1"/>
    <col min="9" max="9" width="24.28515625" style="329" customWidth="1"/>
    <col min="10" max="10" width="15.7109375" style="330" customWidth="1"/>
    <col min="11" max="11" width="15.140625" style="331" customWidth="1"/>
    <col min="12" max="12" width="13.85546875" style="328" customWidth="1"/>
    <col min="13" max="13" width="17.7109375" style="341" customWidth="1"/>
    <col min="14" max="14" width="34.140625" style="328" customWidth="1"/>
    <col min="15" max="15" width="24.85546875" style="339" customWidth="1"/>
    <col min="16" max="16" width="15.42578125" style="332" customWidth="1"/>
    <col min="17" max="17" width="15.5703125" style="328" customWidth="1"/>
    <col min="18" max="18" width="17.28515625" style="333" customWidth="1"/>
    <col min="19" max="19" width="14.140625" style="333" customWidth="1"/>
    <col min="20" max="20" width="14.7109375" style="336" customWidth="1"/>
    <col min="21" max="21" width="15.7109375" style="328" customWidth="1"/>
    <col min="22" max="22" width="16.140625" style="328" customWidth="1"/>
    <col min="23" max="23" width="18.85546875" style="328" customWidth="1" collapsed="1"/>
    <col min="24" max="24" width="17.85546875" style="328" customWidth="1"/>
    <col min="25" max="25" width="13.140625" style="328" customWidth="1"/>
    <col min="26" max="26" width="30.140625" style="328" customWidth="1"/>
    <col min="27" max="28" width="9.85546875" style="328" customWidth="1"/>
    <col min="29" max="29" width="8.5703125" style="335" customWidth="1"/>
    <col min="30" max="30" width="9.42578125" style="335" customWidth="1"/>
    <col min="31" max="31" width="11.85546875" style="328" customWidth="1"/>
    <col min="32" max="32" width="12.140625" style="328" customWidth="1"/>
    <col min="33" max="33" width="33.85546875" style="328" customWidth="1"/>
    <col min="34" max="34" width="21.140625" style="328" hidden="1" customWidth="1"/>
    <col min="35" max="36" width="0" style="328" hidden="1" customWidth="1"/>
    <col min="37" max="37" width="22.5703125" style="328" customWidth="1"/>
    <col min="38" max="38" width="27.7109375" style="342" customWidth="1"/>
    <col min="39" max="40" width="26.140625" style="328" customWidth="1"/>
    <col min="41" max="41" width="25.42578125" style="339" customWidth="1"/>
    <col min="42" max="42" width="8.5703125" style="328"/>
    <col min="43" max="43" width="47.28515625" style="328" customWidth="1"/>
    <col min="44" max="16384" width="8.5703125" style="328"/>
  </cols>
  <sheetData>
    <row r="1" spans="1:43" s="375" customFormat="1" ht="22.5" customHeight="1">
      <c r="A1" s="372"/>
      <c r="B1" s="373"/>
      <c r="C1" s="374"/>
      <c r="D1" s="733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1054" t="s">
        <v>3248</v>
      </c>
      <c r="P1" s="1054"/>
      <c r="Q1" s="1054"/>
      <c r="R1" s="1054"/>
      <c r="S1" s="1054"/>
      <c r="T1" s="1054"/>
      <c r="U1" s="1054"/>
      <c r="V1" s="376" t="s">
        <v>3249</v>
      </c>
      <c r="W1" s="1055" t="s">
        <v>3</v>
      </c>
      <c r="X1" s="1055"/>
      <c r="Y1" s="1055"/>
      <c r="Z1" s="1055"/>
      <c r="AA1" s="372"/>
      <c r="AB1" s="372"/>
      <c r="AC1" s="1055" t="s">
        <v>4</v>
      </c>
      <c r="AD1" s="1055"/>
      <c r="AE1" s="1055" t="s">
        <v>5</v>
      </c>
      <c r="AF1" s="1055"/>
      <c r="AG1" s="1055" t="s">
        <v>3250</v>
      </c>
      <c r="AH1" s="1055"/>
      <c r="AI1" s="1055"/>
      <c r="AJ1" s="1055"/>
      <c r="AK1" s="1055"/>
      <c r="AL1" s="1055"/>
      <c r="AM1" s="372" t="s">
        <v>3251</v>
      </c>
      <c r="AN1" s="372"/>
      <c r="AO1" s="377" t="s">
        <v>3252</v>
      </c>
    </row>
    <row r="2" spans="1:43" s="381" customFormat="1" ht="96.6">
      <c r="A2" s="378" t="s">
        <v>9</v>
      </c>
      <c r="B2" s="379" t="s">
        <v>34</v>
      </c>
      <c r="C2" s="380" t="s">
        <v>35</v>
      </c>
      <c r="D2" s="734" t="s">
        <v>3253</v>
      </c>
      <c r="E2" s="382" t="s">
        <v>15</v>
      </c>
      <c r="F2" s="378" t="s">
        <v>3254</v>
      </c>
      <c r="G2" s="383" t="s">
        <v>10</v>
      </c>
      <c r="H2" s="383" t="s">
        <v>11</v>
      </c>
      <c r="I2" s="383" t="s">
        <v>3255</v>
      </c>
      <c r="J2" s="383" t="s">
        <v>3256</v>
      </c>
      <c r="K2" s="384" t="s">
        <v>3257</v>
      </c>
      <c r="L2" s="385" t="s">
        <v>3258</v>
      </c>
      <c r="M2" s="383" t="s">
        <v>3259</v>
      </c>
      <c r="N2" s="383" t="s">
        <v>16</v>
      </c>
      <c r="O2" s="379" t="s">
        <v>3260</v>
      </c>
      <c r="P2" s="386" t="s">
        <v>36</v>
      </c>
      <c r="Q2" s="387" t="s">
        <v>37</v>
      </c>
      <c r="R2" s="379" t="s">
        <v>3261</v>
      </c>
      <c r="S2" s="388" t="s">
        <v>44</v>
      </c>
      <c r="T2" s="388" t="s">
        <v>45</v>
      </c>
      <c r="U2" s="389" t="s">
        <v>490</v>
      </c>
      <c r="V2" s="379" t="s">
        <v>46</v>
      </c>
      <c r="W2" s="379" t="s">
        <v>3262</v>
      </c>
      <c r="X2" s="379" t="s">
        <v>47</v>
      </c>
      <c r="Y2" s="390" t="s">
        <v>48</v>
      </c>
      <c r="Z2" s="390" t="s">
        <v>49</v>
      </c>
      <c r="AA2" s="378" t="s">
        <v>50</v>
      </c>
      <c r="AB2" s="378" t="s">
        <v>3263</v>
      </c>
      <c r="AC2" s="378" t="s">
        <v>3264</v>
      </c>
      <c r="AD2" s="383" t="s">
        <v>3265</v>
      </c>
      <c r="AE2" s="383" t="s">
        <v>3266</v>
      </c>
      <c r="AF2" s="383" t="s">
        <v>53</v>
      </c>
      <c r="AG2" s="383" t="s">
        <v>54</v>
      </c>
      <c r="AH2" s="383" t="s">
        <v>3267</v>
      </c>
      <c r="AI2" s="383" t="s">
        <v>3268</v>
      </c>
      <c r="AJ2" s="383" t="s">
        <v>3269</v>
      </c>
      <c r="AK2" s="383" t="s">
        <v>3270</v>
      </c>
      <c r="AL2" s="391" t="s">
        <v>3271</v>
      </c>
      <c r="AM2" s="379" t="s">
        <v>3272</v>
      </c>
      <c r="AN2" s="379" t="s">
        <v>3273</v>
      </c>
      <c r="AO2" s="392" t="s">
        <v>3274</v>
      </c>
      <c r="AP2" s="936" t="s">
        <v>3275</v>
      </c>
      <c r="AQ2" s="936" t="s">
        <v>3276</v>
      </c>
    </row>
    <row r="3" spans="1:43" s="838" customFormat="1" ht="43.5" customHeight="1">
      <c r="A3" s="824" t="s">
        <v>3280</v>
      </c>
      <c r="B3" s="825" t="s">
        <v>3281</v>
      </c>
      <c r="C3" s="872">
        <v>18271</v>
      </c>
      <c r="D3" s="826"/>
      <c r="E3" s="816" t="s">
        <v>3282</v>
      </c>
      <c r="F3" s="827" t="s">
        <v>3283</v>
      </c>
      <c r="G3" s="827" t="s">
        <v>3284</v>
      </c>
      <c r="H3" s="827" t="s">
        <v>3285</v>
      </c>
      <c r="I3" s="827" t="s">
        <v>3286</v>
      </c>
      <c r="J3" s="827" t="s">
        <v>3287</v>
      </c>
      <c r="K3" s="828">
        <v>16422.78</v>
      </c>
      <c r="L3" s="829">
        <v>45638</v>
      </c>
      <c r="M3" s="641"/>
      <c r="N3" s="830"/>
      <c r="O3" s="827" t="s">
        <v>3288</v>
      </c>
      <c r="P3" s="829">
        <v>45638</v>
      </c>
      <c r="Q3" s="829">
        <v>45638</v>
      </c>
      <c r="R3" s="615" t="s">
        <v>3289</v>
      </c>
      <c r="S3" s="831">
        <v>16422.78</v>
      </c>
      <c r="T3" s="831">
        <v>11686.42</v>
      </c>
      <c r="U3" s="832">
        <f>(Table48911128[[#This Row],[Invoice Value]]-Table48911128[[#This Row],[Total cost]])/Table48911128[[#This Row],[Invoice Value]]</f>
        <v>0.28840184183189443</v>
      </c>
      <c r="V3" s="615"/>
      <c r="W3" s="833"/>
      <c r="X3" s="615">
        <f>IF(Q3&gt;0,Q3+3," - ")</f>
        <v>45641</v>
      </c>
      <c r="Y3" s="615">
        <f>IF(Q3&gt;0,Q3+14," - ")</f>
        <v>45652</v>
      </c>
      <c r="Z3" s="615"/>
      <c r="AA3" s="830" t="str">
        <f ca="1">IF(P3=0,"-",IF(Z3&gt;0,"Delivered",IF(TODAY()&gt;Y3,"Overdue",IF(TODAY()&lt;Y3,"In Progress"))))</f>
        <v>Overdue</v>
      </c>
      <c r="AB3" s="834"/>
      <c r="AC3" s="834"/>
      <c r="AD3" s="834"/>
      <c r="AE3" s="834"/>
      <c r="AF3" s="830"/>
      <c r="AG3" s="830"/>
      <c r="AH3" s="830"/>
      <c r="AI3" s="835"/>
      <c r="AJ3" s="830"/>
      <c r="AK3" s="830"/>
      <c r="AL3" s="612" t="s">
        <v>3290</v>
      </c>
      <c r="AM3" s="618" t="s">
        <v>3291</v>
      </c>
      <c r="AN3" s="618">
        <v>6</v>
      </c>
      <c r="AO3" s="615"/>
      <c r="AP3" s="836"/>
      <c r="AQ3" s="837"/>
    </row>
    <row r="4" spans="1:43" s="846" customFormat="1" ht="43.5" customHeight="1">
      <c r="A4" s="968" t="s">
        <v>3292</v>
      </c>
      <c r="B4" s="839" t="s">
        <v>3293</v>
      </c>
      <c r="C4" s="870">
        <v>62674</v>
      </c>
      <c r="D4" s="841"/>
      <c r="E4" s="1003" t="s">
        <v>3294</v>
      </c>
      <c r="F4" s="973" t="s">
        <v>3283</v>
      </c>
      <c r="G4" s="968" t="s">
        <v>3295</v>
      </c>
      <c r="H4" s="968" t="s">
        <v>3285</v>
      </c>
      <c r="I4" s="968"/>
      <c r="J4" s="842">
        <v>2025.01</v>
      </c>
      <c r="K4" s="843">
        <v>59987</v>
      </c>
      <c r="L4" s="1004" t="s">
        <v>3296</v>
      </c>
      <c r="M4" s="1005"/>
      <c r="N4" s="968"/>
      <c r="O4" s="844" t="s">
        <v>3288</v>
      </c>
      <c r="P4" s="1006" t="s">
        <v>3297</v>
      </c>
      <c r="Q4" s="1007"/>
      <c r="R4" s="1008" t="s">
        <v>3298</v>
      </c>
      <c r="S4" s="1009"/>
      <c r="T4" s="1009"/>
      <c r="U4" s="1010" t="e">
        <f>(Table48911128[[#This Row],[Invoice Value]]-Table48911128[[#This Row],[Total cost]])/Table48911128[[#This Row],[Invoice Value]]</f>
        <v>#DIV/0!</v>
      </c>
      <c r="V4" s="1008"/>
      <c r="W4" s="666"/>
      <c r="X4" s="1008" t="str">
        <f>IF(Q4&gt;0,Q4+3," - ")</f>
        <v xml:space="preserve"> - </v>
      </c>
      <c r="Y4" s="1008" t="str">
        <f>IF(Q4&gt;0,Q4+14," - ")</f>
        <v xml:space="preserve"> - </v>
      </c>
      <c r="Z4" s="1008"/>
      <c r="AA4" s="968" t="str">
        <f ca="1">IF(P4=0,"-",IF(Z4&gt;0,"Delivered",IF(TODAY()&gt;Y4,"Overdue",IF(TODAY()&lt;Y4,"In Progress"))))</f>
        <v>In Progress</v>
      </c>
      <c r="AB4" s="973"/>
      <c r="AC4" s="973"/>
      <c r="AD4" s="973"/>
      <c r="AE4" s="973"/>
      <c r="AF4" s="968"/>
      <c r="AG4" s="968"/>
      <c r="AH4" s="968"/>
      <c r="AI4" s="974"/>
      <c r="AJ4" s="839"/>
      <c r="AK4" s="839"/>
      <c r="AL4" s="552"/>
      <c r="AM4" s="845"/>
      <c r="AN4" s="845"/>
      <c r="AO4" s="554"/>
      <c r="AP4" s="837"/>
      <c r="AQ4" s="837"/>
    </row>
    <row r="5" spans="1:43" s="846" customFormat="1" ht="43.5" customHeight="1">
      <c r="A5" s="847" t="s">
        <v>3299</v>
      </c>
      <c r="B5" s="848" t="s">
        <v>3300</v>
      </c>
      <c r="C5" s="871">
        <v>9070</v>
      </c>
      <c r="D5" s="841">
        <v>8770</v>
      </c>
      <c r="E5" s="937" t="s">
        <v>3301</v>
      </c>
      <c r="F5" s="938" t="s">
        <v>3283</v>
      </c>
      <c r="G5" s="847" t="s">
        <v>3302</v>
      </c>
      <c r="H5" s="847" t="s">
        <v>3285</v>
      </c>
      <c r="I5" s="847" t="s">
        <v>3303</v>
      </c>
      <c r="J5" s="849" t="s">
        <v>3304</v>
      </c>
      <c r="K5" s="850">
        <v>8770</v>
      </c>
      <c r="L5" s="851">
        <v>45642</v>
      </c>
      <c r="M5" s="939">
        <v>45652</v>
      </c>
      <c r="N5" s="847"/>
      <c r="O5" s="852" t="s">
        <v>3288</v>
      </c>
      <c r="P5" s="853"/>
      <c r="Q5" s="854"/>
      <c r="R5" s="855" t="s">
        <v>3305</v>
      </c>
      <c r="S5" s="856">
        <v>8770</v>
      </c>
      <c r="T5" s="856"/>
      <c r="U5" s="857">
        <f>(Table48911128[[#This Row],[Invoice Value]]-Table48911128[[#This Row],[Total cost]])/Table48911128[[#This Row],[Invoice Value]]</f>
        <v>1</v>
      </c>
      <c r="V5" s="855"/>
      <c r="W5" s="858"/>
      <c r="X5" s="855" t="str">
        <f t="shared" ref="X5:X42" si="0">IF(Q5&gt;0,Q5+3," - ")</f>
        <v xml:space="preserve"> - </v>
      </c>
      <c r="Y5" s="855" t="str">
        <f t="shared" ref="Y5:Y42" si="1">IF(Q5&gt;0,Q5+14," - ")</f>
        <v xml:space="preserve"> - </v>
      </c>
      <c r="Z5" s="855"/>
      <c r="AA5" s="847" t="str">
        <f t="shared" ref="AA5:AA42" ca="1" si="2">IF(P5=0,"-",IF(Z5&gt;0,"Delivered",IF(TODAY()&gt;Y5,"Overdue",IF(TODAY()&lt;Y5,"In Progress"))))</f>
        <v>-</v>
      </c>
      <c r="AB5" s="938"/>
      <c r="AC5" s="938"/>
      <c r="AD5" s="938"/>
      <c r="AE5" s="938"/>
      <c r="AF5" s="847"/>
      <c r="AG5" s="847"/>
      <c r="AH5" s="847"/>
      <c r="AI5" s="940"/>
      <c r="AJ5" s="848"/>
      <c r="AK5" s="848"/>
      <c r="AL5" s="630"/>
      <c r="AM5" s="859"/>
      <c r="AN5" s="859"/>
      <c r="AO5" s="632"/>
      <c r="AP5" s="860"/>
      <c r="AQ5" s="837"/>
    </row>
    <row r="6" spans="1:43" s="846" customFormat="1" ht="43.5" customHeight="1">
      <c r="A6" s="861" t="s">
        <v>3306</v>
      </c>
      <c r="B6" s="862" t="s">
        <v>3307</v>
      </c>
      <c r="C6" s="863">
        <v>18877</v>
      </c>
      <c r="D6" s="841">
        <v>17805</v>
      </c>
      <c r="E6" s="817" t="s">
        <v>3308</v>
      </c>
      <c r="F6" s="864" t="s">
        <v>3283</v>
      </c>
      <c r="G6" s="849" t="s">
        <v>3284</v>
      </c>
      <c r="H6" s="865" t="s">
        <v>3285</v>
      </c>
      <c r="I6" s="866" t="s">
        <v>3309</v>
      </c>
      <c r="J6" s="849"/>
      <c r="K6" s="850">
        <v>17805</v>
      </c>
      <c r="L6" s="851"/>
      <c r="M6" s="941"/>
      <c r="N6" s="847"/>
      <c r="O6" s="852" t="s">
        <v>3288</v>
      </c>
      <c r="P6" s="853"/>
      <c r="Q6" s="854"/>
      <c r="R6" s="855" t="s">
        <v>3310</v>
      </c>
      <c r="S6" s="856">
        <v>17804.54</v>
      </c>
      <c r="T6" s="856"/>
      <c r="U6" s="857">
        <f>(Table48911128[[#This Row],[Invoice Value]]-Table48911128[[#This Row],[Total cost]])/Table48911128[[#This Row],[Invoice Value]]</f>
        <v>1</v>
      </c>
      <c r="V6" s="855"/>
      <c r="W6" s="858"/>
      <c r="X6" s="855" t="str">
        <f t="shared" si="0"/>
        <v xml:space="preserve"> - </v>
      </c>
      <c r="Y6" s="855" t="str">
        <f t="shared" si="1"/>
        <v xml:space="preserve"> - </v>
      </c>
      <c r="Z6" s="855"/>
      <c r="AA6" s="847" t="str">
        <f t="shared" ca="1" si="2"/>
        <v>-</v>
      </c>
      <c r="AB6" s="938"/>
      <c r="AC6" s="938"/>
      <c r="AD6" s="938"/>
      <c r="AE6" s="938"/>
      <c r="AF6" s="847"/>
      <c r="AG6" s="847"/>
      <c r="AH6" s="847"/>
      <c r="AI6" s="942"/>
      <c r="AJ6" s="848"/>
      <c r="AK6" s="848"/>
      <c r="AL6" s="630"/>
      <c r="AM6" s="859"/>
      <c r="AN6" s="859"/>
      <c r="AO6" s="632"/>
      <c r="AP6" s="860"/>
      <c r="AQ6" s="837"/>
    </row>
    <row r="7" spans="1:43" s="846" customFormat="1" ht="43.5" customHeight="1">
      <c r="A7" s="861" t="s">
        <v>3311</v>
      </c>
      <c r="B7" s="839" t="s">
        <v>3312</v>
      </c>
      <c r="C7" s="870">
        <v>403812</v>
      </c>
      <c r="D7" s="867"/>
      <c r="E7" s="818" t="s">
        <v>3313</v>
      </c>
      <c r="F7" s="973" t="s">
        <v>3314</v>
      </c>
      <c r="G7" s="968" t="s">
        <v>3315</v>
      </c>
      <c r="H7" s="968" t="s">
        <v>3285</v>
      </c>
      <c r="I7" s="968" t="s">
        <v>3316</v>
      </c>
      <c r="J7" s="842"/>
      <c r="K7" s="843"/>
      <c r="L7" s="1004"/>
      <c r="M7" s="1011"/>
      <c r="N7" s="968"/>
      <c r="O7" s="844"/>
      <c r="P7" s="1006"/>
      <c r="Q7" s="1007"/>
      <c r="R7" s="1008"/>
      <c r="S7" s="1009"/>
      <c r="T7" s="1009"/>
      <c r="U7" s="1010" t="e">
        <f>(Table48911128[[#This Row],[Invoice Value]]-Table48911128[[#This Row],[Total cost]])/Table48911128[[#This Row],[Invoice Value]]</f>
        <v>#DIV/0!</v>
      </c>
      <c r="V7" s="1008"/>
      <c r="W7" s="666"/>
      <c r="X7" s="1008" t="str">
        <f t="shared" si="0"/>
        <v xml:space="preserve"> - </v>
      </c>
      <c r="Y7" s="1008" t="str">
        <f t="shared" si="1"/>
        <v xml:space="preserve"> - </v>
      </c>
      <c r="Z7" s="1008"/>
      <c r="AA7" s="968" t="str">
        <f t="shared" ca="1" si="2"/>
        <v>-</v>
      </c>
      <c r="AB7" s="973"/>
      <c r="AC7" s="973"/>
      <c r="AD7" s="973"/>
      <c r="AE7" s="973"/>
      <c r="AF7" s="968"/>
      <c r="AG7" s="968"/>
      <c r="AH7" s="968"/>
      <c r="AI7" s="974"/>
      <c r="AJ7" s="839"/>
      <c r="AK7" s="839"/>
      <c r="AL7" s="552"/>
      <c r="AM7" s="845"/>
      <c r="AN7" s="845"/>
      <c r="AO7" s="554"/>
      <c r="AP7" s="837"/>
      <c r="AQ7" s="837"/>
    </row>
    <row r="8" spans="1:43" s="846" customFormat="1" ht="43.5" customHeight="1">
      <c r="A8" s="861" t="s">
        <v>3317</v>
      </c>
      <c r="B8" s="839"/>
      <c r="C8" s="840"/>
      <c r="D8" s="867"/>
      <c r="E8" s="819" t="s">
        <v>3318</v>
      </c>
      <c r="F8" s="973" t="s">
        <v>3314</v>
      </c>
      <c r="G8" s="968" t="s">
        <v>3315</v>
      </c>
      <c r="H8" s="968" t="s">
        <v>3285</v>
      </c>
      <c r="I8" s="1008" t="s">
        <v>3316</v>
      </c>
      <c r="J8" s="842"/>
      <c r="K8" s="843"/>
      <c r="L8" s="1004"/>
      <c r="M8" s="1005"/>
      <c r="N8" s="968"/>
      <c r="O8" s="844"/>
      <c r="P8" s="1006"/>
      <c r="Q8" s="1007"/>
      <c r="R8" s="1008"/>
      <c r="S8" s="1009"/>
      <c r="T8" s="1009"/>
      <c r="U8" s="1010" t="e">
        <f>(Table48911128[[#This Row],[Invoice Value]]-Table48911128[[#This Row],[Total cost]])/Table48911128[[#This Row],[Invoice Value]]</f>
        <v>#DIV/0!</v>
      </c>
      <c r="V8" s="1008"/>
      <c r="W8" s="666"/>
      <c r="X8" s="1008" t="str">
        <f t="shared" si="0"/>
        <v xml:space="preserve"> - </v>
      </c>
      <c r="Y8" s="1008" t="str">
        <f t="shared" si="1"/>
        <v xml:space="preserve"> - </v>
      </c>
      <c r="Z8" s="1008"/>
      <c r="AA8" s="968" t="str">
        <f t="shared" ca="1" si="2"/>
        <v>-</v>
      </c>
      <c r="AB8" s="973"/>
      <c r="AC8" s="973"/>
      <c r="AD8" s="973"/>
      <c r="AE8" s="973"/>
      <c r="AF8" s="968"/>
      <c r="AG8" s="968"/>
      <c r="AH8" s="968"/>
      <c r="AI8" s="1012"/>
      <c r="AJ8" s="839"/>
      <c r="AK8" s="839"/>
      <c r="AL8" s="552"/>
      <c r="AM8" s="845"/>
      <c r="AN8" s="845"/>
      <c r="AO8" s="554"/>
      <c r="AP8" s="837"/>
      <c r="AQ8" s="837"/>
    </row>
    <row r="9" spans="1:43" s="846" customFormat="1" ht="43.5" customHeight="1">
      <c r="A9" s="861" t="s">
        <v>3319</v>
      </c>
      <c r="B9" s="839" t="s">
        <v>3320</v>
      </c>
      <c r="C9" s="870">
        <v>207729.56</v>
      </c>
      <c r="D9" s="867" t="s">
        <v>3321</v>
      </c>
      <c r="E9" s="818" t="s">
        <v>3322</v>
      </c>
      <c r="F9" s="973" t="s">
        <v>3314</v>
      </c>
      <c r="G9" s="968" t="s">
        <v>3323</v>
      </c>
      <c r="H9" s="968" t="s">
        <v>3285</v>
      </c>
      <c r="I9" s="1008" t="s">
        <v>3324</v>
      </c>
      <c r="J9" s="842"/>
      <c r="K9" s="843"/>
      <c r="L9" s="1004"/>
      <c r="M9" s="1005"/>
      <c r="N9" s="968"/>
      <c r="O9" s="844"/>
      <c r="P9" s="1006"/>
      <c r="Q9" s="1007"/>
      <c r="R9" s="1008"/>
      <c r="S9" s="1009"/>
      <c r="T9" s="1009"/>
      <c r="U9" s="1010" t="e">
        <f>(Table48911128[[#This Row],[Invoice Value]]-Table48911128[[#This Row],[Total cost]])/Table48911128[[#This Row],[Invoice Value]]</f>
        <v>#DIV/0!</v>
      </c>
      <c r="V9" s="1008"/>
      <c r="W9" s="666"/>
      <c r="X9" s="1008" t="str">
        <f t="shared" si="0"/>
        <v xml:space="preserve"> - </v>
      </c>
      <c r="Y9" s="1008" t="str">
        <f t="shared" si="1"/>
        <v xml:space="preserve"> - </v>
      </c>
      <c r="Z9" s="1008"/>
      <c r="AA9" s="968" t="str">
        <f t="shared" ca="1" si="2"/>
        <v>-</v>
      </c>
      <c r="AB9" s="973"/>
      <c r="AC9" s="973"/>
      <c r="AD9" s="973"/>
      <c r="AE9" s="973"/>
      <c r="AF9" s="968"/>
      <c r="AG9" s="968"/>
      <c r="AH9" s="968"/>
      <c r="AI9" s="974"/>
      <c r="AJ9" s="839"/>
      <c r="AK9" s="839"/>
      <c r="AL9" s="552"/>
      <c r="AM9" s="845"/>
      <c r="AN9" s="845"/>
      <c r="AO9" s="554"/>
      <c r="AP9" s="837"/>
      <c r="AQ9" s="837"/>
    </row>
    <row r="10" spans="1:43" s="846" customFormat="1" ht="43.5" customHeight="1">
      <c r="A10" s="861" t="s">
        <v>3325</v>
      </c>
      <c r="B10" s="839" t="s">
        <v>3326</v>
      </c>
      <c r="C10" s="870">
        <v>16204</v>
      </c>
      <c r="D10" s="867"/>
      <c r="E10" s="820" t="s">
        <v>3327</v>
      </c>
      <c r="F10" s="973" t="s">
        <v>3314</v>
      </c>
      <c r="G10" s="968" t="s">
        <v>3315</v>
      </c>
      <c r="H10" s="968" t="s">
        <v>3285</v>
      </c>
      <c r="I10" s="1008" t="s">
        <v>3328</v>
      </c>
      <c r="J10" s="842"/>
      <c r="K10" s="843"/>
      <c r="L10" s="1004"/>
      <c r="M10" s="1005"/>
      <c r="N10" s="968"/>
      <c r="O10" s="844"/>
      <c r="P10" s="1006"/>
      <c r="Q10" s="1007"/>
      <c r="R10" s="1008"/>
      <c r="S10" s="1009"/>
      <c r="T10" s="1009"/>
      <c r="U10" s="1010" t="e">
        <f>(Table48911128[[#This Row],[Invoice Value]]-Table48911128[[#This Row],[Total cost]])/Table48911128[[#This Row],[Invoice Value]]</f>
        <v>#DIV/0!</v>
      </c>
      <c r="V10" s="1008"/>
      <c r="W10" s="666"/>
      <c r="X10" s="1008" t="str">
        <f t="shared" si="0"/>
        <v xml:space="preserve"> - </v>
      </c>
      <c r="Y10" s="1008" t="str">
        <f t="shared" si="1"/>
        <v xml:space="preserve"> - </v>
      </c>
      <c r="Z10" s="1008"/>
      <c r="AA10" s="968" t="str">
        <f t="shared" ca="1" si="2"/>
        <v>-</v>
      </c>
      <c r="AB10" s="973"/>
      <c r="AC10" s="973"/>
      <c r="AD10" s="973"/>
      <c r="AE10" s="973"/>
      <c r="AF10" s="968"/>
      <c r="AG10" s="968"/>
      <c r="AH10" s="968"/>
      <c r="AI10" s="1012"/>
      <c r="AJ10" s="839"/>
      <c r="AK10" s="839"/>
      <c r="AL10" s="552"/>
      <c r="AM10" s="845"/>
      <c r="AN10" s="845"/>
      <c r="AO10" s="554"/>
      <c r="AP10" s="837"/>
      <c r="AQ10" s="837"/>
    </row>
    <row r="11" spans="1:43" s="846" customFormat="1" ht="60.75" customHeight="1">
      <c r="A11" s="861" t="s">
        <v>3329</v>
      </c>
      <c r="B11" s="839" t="s">
        <v>3330</v>
      </c>
      <c r="C11" s="870">
        <v>18964</v>
      </c>
      <c r="D11" s="841"/>
      <c r="E11" s="943" t="s">
        <v>3331</v>
      </c>
      <c r="F11" s="864" t="s">
        <v>3283</v>
      </c>
      <c r="G11" s="968" t="s">
        <v>3332</v>
      </c>
      <c r="H11" s="968" t="s">
        <v>3285</v>
      </c>
      <c r="I11" s="968" t="s">
        <v>3328</v>
      </c>
      <c r="J11" s="842"/>
      <c r="K11" s="843"/>
      <c r="L11" s="1004"/>
      <c r="M11" s="1005"/>
      <c r="N11" s="968"/>
      <c r="O11" s="844"/>
      <c r="P11" s="1006">
        <v>45813</v>
      </c>
      <c r="Q11" s="1007">
        <v>45816</v>
      </c>
      <c r="R11" s="1008"/>
      <c r="S11" s="1009"/>
      <c r="T11" s="1009"/>
      <c r="U11" s="1010" t="e">
        <f>(Table48911128[[#This Row],[Invoice Value]]-Table48911128[[#This Row],[Total cost]])/Table48911128[[#This Row],[Invoice Value]]</f>
        <v>#DIV/0!</v>
      </c>
      <c r="V11" s="1008"/>
      <c r="W11" s="666"/>
      <c r="X11" s="1008">
        <f>IF(Q11&gt;0,Q11+3," - ")</f>
        <v>45819</v>
      </c>
      <c r="Y11" s="1008">
        <f>IF(Q11&gt;0,Q11+14," - ")</f>
        <v>45830</v>
      </c>
      <c r="Z11" s="1008"/>
      <c r="AA11" s="968" t="str">
        <f ca="1">IF(P11=0,"-",IF(Z11&gt;0,"Delivered",IF(TODAY()&gt;Y11,"Overdue",IF(TODAY()&lt;Y11,"In Progress"))))</f>
        <v>Overdue</v>
      </c>
      <c r="AB11" s="973"/>
      <c r="AC11" s="973"/>
      <c r="AD11" s="973"/>
      <c r="AE11" s="973"/>
      <c r="AF11" s="968"/>
      <c r="AG11" s="968"/>
      <c r="AH11" s="968"/>
      <c r="AI11" s="1012"/>
      <c r="AJ11" s="839"/>
      <c r="AK11" s="839"/>
      <c r="AL11" s="552"/>
      <c r="AM11" s="845"/>
      <c r="AN11" s="845"/>
      <c r="AO11" s="554"/>
      <c r="AP11" s="837"/>
      <c r="AQ11" s="868" t="s">
        <v>3333</v>
      </c>
    </row>
    <row r="12" spans="1:43" s="846" customFormat="1" ht="43.5" customHeight="1">
      <c r="A12" s="861" t="s">
        <v>3334</v>
      </c>
      <c r="B12" s="839" t="s">
        <v>3335</v>
      </c>
      <c r="C12" s="870">
        <v>14233</v>
      </c>
      <c r="D12" s="867">
        <v>13543</v>
      </c>
      <c r="E12" s="821" t="s">
        <v>3336</v>
      </c>
      <c r="F12" s="864" t="s">
        <v>3283</v>
      </c>
      <c r="G12" s="849" t="s">
        <v>3323</v>
      </c>
      <c r="H12" s="865" t="s">
        <v>3285</v>
      </c>
      <c r="I12" s="1008" t="s">
        <v>3337</v>
      </c>
      <c r="J12" s="842" t="s">
        <v>3338</v>
      </c>
      <c r="K12" s="843">
        <v>13543</v>
      </c>
      <c r="L12" s="1004">
        <v>45698</v>
      </c>
      <c r="M12" s="1005">
        <v>45704</v>
      </c>
      <c r="N12" s="968"/>
      <c r="O12" s="869" t="s">
        <v>3339</v>
      </c>
      <c r="P12" s="1006"/>
      <c r="Q12" s="1007"/>
      <c r="R12" s="1008"/>
      <c r="S12" s="1009"/>
      <c r="T12" s="1009"/>
      <c r="U12" s="1010" t="e">
        <f>(Table48911128[[#This Row],[Invoice Value]]-Table48911128[[#This Row],[Total cost]])/Table48911128[[#This Row],[Invoice Value]]</f>
        <v>#DIV/0!</v>
      </c>
      <c r="V12" s="1008"/>
      <c r="W12" s="666"/>
      <c r="X12" s="1008" t="str">
        <f t="shared" ref="X12:X41" si="3">IF(Q12&gt;0,Q12+3," - ")</f>
        <v xml:space="preserve"> - </v>
      </c>
      <c r="Y12" s="1008" t="str">
        <f t="shared" ref="Y12:Y41" si="4">IF(Q12&gt;0,Q12+14," - ")</f>
        <v xml:space="preserve"> - </v>
      </c>
      <c r="Z12" s="1008"/>
      <c r="AA12" s="968" t="str">
        <f t="shared" ref="AA12:AA41" ca="1" si="5">IF(P12=0,"-",IF(Z12&gt;0,"Delivered",IF(TODAY()&gt;Y12,"Overdue",IF(TODAY()&lt;Y12,"In Progress"))))</f>
        <v>-</v>
      </c>
      <c r="AB12" s="973"/>
      <c r="AC12" s="973"/>
      <c r="AD12" s="973"/>
      <c r="AE12" s="973"/>
      <c r="AF12" s="968"/>
      <c r="AG12" s="968"/>
      <c r="AH12" s="968"/>
      <c r="AI12" s="974"/>
      <c r="AJ12" s="839"/>
      <c r="AK12" s="839"/>
      <c r="AL12" s="552"/>
      <c r="AM12" s="845"/>
      <c r="AN12" s="845"/>
      <c r="AO12" s="554"/>
      <c r="AP12" s="837"/>
      <c r="AQ12" s="837"/>
    </row>
    <row r="13" spans="1:43" s="849" customFormat="1" ht="43.5" customHeight="1">
      <c r="A13" s="861" t="s">
        <v>3340</v>
      </c>
      <c r="B13" s="839" t="s">
        <v>3341</v>
      </c>
      <c r="C13" s="874">
        <v>9395</v>
      </c>
      <c r="D13" s="875">
        <v>9035</v>
      </c>
      <c r="E13" s="822" t="s">
        <v>3342</v>
      </c>
      <c r="F13" s="864" t="s">
        <v>3283</v>
      </c>
      <c r="G13" s="968" t="s">
        <v>3315</v>
      </c>
      <c r="H13" s="968" t="s">
        <v>3285</v>
      </c>
      <c r="I13" s="968" t="s">
        <v>3328</v>
      </c>
      <c r="J13" s="842" t="s">
        <v>3338</v>
      </c>
      <c r="K13" s="876">
        <v>9035</v>
      </c>
      <c r="L13" s="1005">
        <v>45701</v>
      </c>
      <c r="M13" s="1005">
        <v>45705</v>
      </c>
      <c r="N13" s="968"/>
      <c r="O13" s="852" t="s">
        <v>3288</v>
      </c>
      <c r="P13" s="1008"/>
      <c r="Q13" s="1008"/>
      <c r="R13" s="1008" t="s">
        <v>3343</v>
      </c>
      <c r="S13" s="1009">
        <v>9035</v>
      </c>
      <c r="T13" s="1009"/>
      <c r="U13" s="1013">
        <f>(Table48911128[[#This Row],[Invoice Value]]-Table48911128[[#This Row],[Total cost]])/Table48911128[[#This Row],[Invoice Value]]</f>
        <v>1</v>
      </c>
      <c r="V13" s="1008">
        <v>45742</v>
      </c>
      <c r="W13" s="666"/>
      <c r="X13" s="1008" t="str">
        <f t="shared" si="3"/>
        <v xml:space="preserve"> - </v>
      </c>
      <c r="Y13" s="1008" t="str">
        <f t="shared" si="4"/>
        <v xml:space="preserve"> - </v>
      </c>
      <c r="Z13" s="1008"/>
      <c r="AA13" s="968" t="str">
        <f t="shared" ca="1" si="5"/>
        <v>-</v>
      </c>
      <c r="AB13" s="973"/>
      <c r="AC13" s="973"/>
      <c r="AD13" s="973"/>
      <c r="AE13" s="973"/>
      <c r="AF13" s="968"/>
      <c r="AG13" s="968"/>
      <c r="AH13" s="968"/>
      <c r="AI13" s="1012"/>
      <c r="AJ13" s="839"/>
      <c r="AK13" s="839"/>
      <c r="AL13" s="845"/>
      <c r="AM13" s="845"/>
      <c r="AN13" s="845"/>
      <c r="AO13" s="554"/>
      <c r="AP13" s="837"/>
      <c r="AQ13" s="837"/>
    </row>
    <row r="14" spans="1:43" s="849" customFormat="1" ht="43.5" customHeight="1">
      <c r="A14" s="861" t="s">
        <v>3344</v>
      </c>
      <c r="B14" s="877" t="s">
        <v>3345</v>
      </c>
      <c r="C14" s="874">
        <v>37221</v>
      </c>
      <c r="D14" s="875">
        <v>32355.82</v>
      </c>
      <c r="E14" s="823" t="s">
        <v>3346</v>
      </c>
      <c r="F14" s="864" t="s">
        <v>3283</v>
      </c>
      <c r="G14" s="968" t="s">
        <v>3315</v>
      </c>
      <c r="H14" s="968" t="s">
        <v>3285</v>
      </c>
      <c r="I14" s="968" t="s">
        <v>3328</v>
      </c>
      <c r="J14" s="842" t="s">
        <v>3347</v>
      </c>
      <c r="K14" s="876">
        <v>32355.82</v>
      </c>
      <c r="L14" s="1005">
        <v>45722</v>
      </c>
      <c r="M14" s="1005">
        <v>45729</v>
      </c>
      <c r="N14" s="968"/>
      <c r="O14" s="852" t="s">
        <v>3288</v>
      </c>
      <c r="P14" s="1008"/>
      <c r="Q14" s="1008"/>
      <c r="R14" s="1008" t="s">
        <v>3348</v>
      </c>
      <c r="S14" s="1009">
        <v>32355.82</v>
      </c>
      <c r="T14" s="1009"/>
      <c r="U14" s="1013">
        <f>(Table48911128[[#This Row],[Invoice Value]]-Table48911128[[#This Row],[Total cost]])/Table48911128[[#This Row],[Invoice Value]]</f>
        <v>1</v>
      </c>
      <c r="V14" s="1008">
        <v>45742</v>
      </c>
      <c r="W14" s="666"/>
      <c r="X14" s="1008" t="str">
        <f t="shared" si="3"/>
        <v xml:space="preserve"> - </v>
      </c>
      <c r="Y14" s="1008" t="str">
        <f t="shared" si="4"/>
        <v xml:space="preserve"> - </v>
      </c>
      <c r="Z14" s="1008"/>
      <c r="AA14" s="968" t="str">
        <f t="shared" ca="1" si="5"/>
        <v>-</v>
      </c>
      <c r="AB14" s="973"/>
      <c r="AC14" s="973"/>
      <c r="AD14" s="973"/>
      <c r="AE14" s="973"/>
      <c r="AF14" s="968"/>
      <c r="AG14" s="968"/>
      <c r="AH14" s="968"/>
      <c r="AI14" s="1012"/>
      <c r="AJ14" s="839"/>
      <c r="AK14" s="839"/>
      <c r="AL14" s="845"/>
      <c r="AM14" s="845"/>
      <c r="AN14" s="845"/>
      <c r="AO14" s="554"/>
      <c r="AP14" s="837"/>
      <c r="AQ14" s="837"/>
    </row>
    <row r="15" spans="1:43" s="849" customFormat="1" ht="43.5" customHeight="1">
      <c r="A15" s="861" t="s">
        <v>3349</v>
      </c>
      <c r="B15" s="839" t="s">
        <v>3350</v>
      </c>
      <c r="C15" s="874">
        <v>8864</v>
      </c>
      <c r="D15" s="875"/>
      <c r="E15" s="823" t="s">
        <v>3351</v>
      </c>
      <c r="F15" s="864" t="s">
        <v>3283</v>
      </c>
      <c r="G15" s="968" t="s">
        <v>3352</v>
      </c>
      <c r="H15" s="968" t="s">
        <v>3285</v>
      </c>
      <c r="I15" s="968" t="s">
        <v>3286</v>
      </c>
      <c r="J15" s="842"/>
      <c r="K15" s="876"/>
      <c r="L15" s="1005"/>
      <c r="M15" s="1005"/>
      <c r="N15" s="968"/>
      <c r="O15" s="844"/>
      <c r="P15" s="1008"/>
      <c r="Q15" s="1008"/>
      <c r="R15" s="1008"/>
      <c r="S15" s="1009"/>
      <c r="T15" s="1009"/>
      <c r="U15" s="1013" t="e">
        <f>(Table48911128[[#This Row],[Invoice Value]]-Table48911128[[#This Row],[Total cost]])/Table48911128[[#This Row],[Invoice Value]]</f>
        <v>#DIV/0!</v>
      </c>
      <c r="V15" s="1008"/>
      <c r="W15" s="666"/>
      <c r="X15" s="1008" t="str">
        <f t="shared" si="3"/>
        <v xml:space="preserve"> - </v>
      </c>
      <c r="Y15" s="1008" t="str">
        <f t="shared" si="4"/>
        <v xml:space="preserve"> - </v>
      </c>
      <c r="Z15" s="1008"/>
      <c r="AA15" s="968" t="str">
        <f t="shared" ca="1" si="5"/>
        <v>-</v>
      </c>
      <c r="AB15" s="973"/>
      <c r="AC15" s="973"/>
      <c r="AD15" s="973"/>
      <c r="AE15" s="973"/>
      <c r="AF15" s="968"/>
      <c r="AG15" s="968"/>
      <c r="AH15" s="968"/>
      <c r="AI15" s="974"/>
      <c r="AJ15" s="839"/>
      <c r="AK15" s="839"/>
      <c r="AL15" s="845"/>
      <c r="AM15" s="845"/>
      <c r="AN15" s="845"/>
      <c r="AO15" s="554"/>
      <c r="AP15" s="837"/>
      <c r="AQ15" s="837"/>
    </row>
    <row r="16" spans="1:43" s="849" customFormat="1" ht="43.5" customHeight="1">
      <c r="A16" s="861" t="s">
        <v>3353</v>
      </c>
      <c r="B16" s="839" t="s">
        <v>3354</v>
      </c>
      <c r="C16" s="874">
        <v>8864</v>
      </c>
      <c r="D16" s="875"/>
      <c r="E16" s="823" t="s">
        <v>3351</v>
      </c>
      <c r="F16" s="864" t="s">
        <v>3283</v>
      </c>
      <c r="G16" s="968" t="s">
        <v>3315</v>
      </c>
      <c r="H16" s="968" t="s">
        <v>3285</v>
      </c>
      <c r="I16" s="968" t="s">
        <v>3286</v>
      </c>
      <c r="J16" s="842"/>
      <c r="K16" s="876"/>
      <c r="L16" s="1005"/>
      <c r="M16" s="1005"/>
      <c r="N16" s="968"/>
      <c r="O16" s="844"/>
      <c r="P16" s="1008"/>
      <c r="Q16" s="1008"/>
      <c r="R16" s="1008"/>
      <c r="S16" s="1009"/>
      <c r="T16" s="1009"/>
      <c r="U16" s="1013" t="e">
        <f>(Table48911128[[#This Row],[Invoice Value]]-Table48911128[[#This Row],[Total cost]])/Table48911128[[#This Row],[Invoice Value]]</f>
        <v>#DIV/0!</v>
      </c>
      <c r="V16" s="1008"/>
      <c r="W16" s="666"/>
      <c r="X16" s="1008" t="str">
        <f t="shared" si="3"/>
        <v xml:space="preserve"> - </v>
      </c>
      <c r="Y16" s="1008" t="str">
        <f t="shared" si="4"/>
        <v xml:space="preserve"> - </v>
      </c>
      <c r="Z16" s="1008"/>
      <c r="AA16" s="968" t="str">
        <f t="shared" ca="1" si="5"/>
        <v>-</v>
      </c>
      <c r="AB16" s="973"/>
      <c r="AC16" s="973"/>
      <c r="AD16" s="973"/>
      <c r="AE16" s="973"/>
      <c r="AF16" s="968"/>
      <c r="AG16" s="968"/>
      <c r="AH16" s="968"/>
      <c r="AI16" s="1012"/>
      <c r="AJ16" s="839"/>
      <c r="AK16" s="839"/>
      <c r="AL16" s="845"/>
      <c r="AM16" s="845"/>
      <c r="AN16" s="845"/>
      <c r="AO16" s="554"/>
      <c r="AP16" s="837"/>
      <c r="AQ16" s="837"/>
    </row>
    <row r="17" spans="1:43" s="849" customFormat="1" ht="43.5" customHeight="1">
      <c r="A17" s="861" t="s">
        <v>3355</v>
      </c>
      <c r="B17" s="839" t="s">
        <v>3356</v>
      </c>
      <c r="C17" s="874">
        <v>8864</v>
      </c>
      <c r="D17" s="875">
        <v>14645</v>
      </c>
      <c r="E17" s="823" t="s">
        <v>3351</v>
      </c>
      <c r="F17" s="864" t="s">
        <v>3283</v>
      </c>
      <c r="G17" s="968" t="s">
        <v>3332</v>
      </c>
      <c r="H17" s="968" t="s">
        <v>3285</v>
      </c>
      <c r="I17" s="968" t="s">
        <v>3286</v>
      </c>
      <c r="J17" s="842"/>
      <c r="K17" s="876"/>
      <c r="L17" s="1005"/>
      <c r="M17" s="1005"/>
      <c r="N17" s="968"/>
      <c r="O17" s="844"/>
      <c r="P17" s="1008"/>
      <c r="Q17" s="1008"/>
      <c r="R17" s="1008"/>
      <c r="S17" s="1009"/>
      <c r="T17" s="1009"/>
      <c r="U17" s="1013" t="e">
        <f>(Table48911128[[#This Row],[Invoice Value]]-Table48911128[[#This Row],[Total cost]])/Table48911128[[#This Row],[Invoice Value]]</f>
        <v>#DIV/0!</v>
      </c>
      <c r="V17" s="1008"/>
      <c r="W17" s="666"/>
      <c r="X17" s="1008" t="str">
        <f t="shared" si="3"/>
        <v xml:space="preserve"> - </v>
      </c>
      <c r="Y17" s="1008" t="str">
        <f t="shared" si="4"/>
        <v xml:space="preserve"> - </v>
      </c>
      <c r="Z17" s="1008"/>
      <c r="AA17" s="968" t="str">
        <f t="shared" ca="1" si="5"/>
        <v>-</v>
      </c>
      <c r="AB17" s="973"/>
      <c r="AC17" s="973"/>
      <c r="AD17" s="973"/>
      <c r="AE17" s="973"/>
      <c r="AF17" s="968"/>
      <c r="AG17" s="968"/>
      <c r="AH17" s="968"/>
      <c r="AI17" s="1012"/>
      <c r="AJ17" s="839"/>
      <c r="AK17" s="839"/>
      <c r="AL17" s="845"/>
      <c r="AM17" s="845"/>
      <c r="AN17" s="845"/>
      <c r="AO17" s="554"/>
      <c r="AP17" s="837"/>
      <c r="AQ17" s="837"/>
    </row>
    <row r="18" spans="1:43" s="849" customFormat="1" ht="43.5" customHeight="1">
      <c r="A18" s="861" t="s">
        <v>3357</v>
      </c>
      <c r="B18" s="839" t="s">
        <v>3358</v>
      </c>
      <c r="C18" s="874">
        <v>122511</v>
      </c>
      <c r="D18" s="875"/>
      <c r="E18" s="823" t="s">
        <v>3359</v>
      </c>
      <c r="F18" s="864" t="s">
        <v>3283</v>
      </c>
      <c r="G18" s="968" t="s">
        <v>3332</v>
      </c>
      <c r="H18" s="968" t="s">
        <v>3285</v>
      </c>
      <c r="I18" s="968" t="s">
        <v>3286</v>
      </c>
      <c r="J18" s="842"/>
      <c r="K18" s="876"/>
      <c r="L18" s="1005"/>
      <c r="M18" s="1005"/>
      <c r="N18" s="968"/>
      <c r="O18" s="844"/>
      <c r="P18" s="1008">
        <v>45831</v>
      </c>
      <c r="Q18" s="1008">
        <v>45852</v>
      </c>
      <c r="R18" s="1008"/>
      <c r="S18" s="1009"/>
      <c r="T18" s="1009"/>
      <c r="U18" s="1013" t="e">
        <f>(Table48911128[[#This Row],[Invoice Value]]-Table48911128[[#This Row],[Total cost]])/Table48911128[[#This Row],[Invoice Value]]</f>
        <v>#DIV/0!</v>
      </c>
      <c r="V18" s="1008"/>
      <c r="W18" s="666"/>
      <c r="X18" s="1008">
        <f t="shared" si="3"/>
        <v>45855</v>
      </c>
      <c r="Y18" s="1008">
        <f t="shared" si="4"/>
        <v>45866</v>
      </c>
      <c r="Z18" s="1008"/>
      <c r="AA18" s="968" t="str">
        <f t="shared" ca="1" si="5"/>
        <v>Overdue</v>
      </c>
      <c r="AB18" s="973"/>
      <c r="AC18" s="973"/>
      <c r="AD18" s="973"/>
      <c r="AE18" s="973"/>
      <c r="AF18" s="968"/>
      <c r="AG18" s="968"/>
      <c r="AH18" s="968"/>
      <c r="AI18" s="974"/>
      <c r="AJ18" s="839"/>
      <c r="AK18" s="839"/>
      <c r="AL18" s="845"/>
      <c r="AM18" s="845"/>
      <c r="AN18" s="845"/>
      <c r="AO18" s="554"/>
      <c r="AP18" s="837"/>
      <c r="AQ18" s="837" t="s">
        <v>3360</v>
      </c>
    </row>
    <row r="19" spans="1:43" s="846" customFormat="1" ht="43.5" customHeight="1">
      <c r="A19" s="861" t="s">
        <v>3361</v>
      </c>
      <c r="B19" s="839" t="s">
        <v>3358</v>
      </c>
      <c r="C19" s="874">
        <v>122511</v>
      </c>
      <c r="D19" s="867"/>
      <c r="E19" s="823" t="s">
        <v>3362</v>
      </c>
      <c r="F19" s="864" t="s">
        <v>3283</v>
      </c>
      <c r="G19" s="968" t="s">
        <v>3332</v>
      </c>
      <c r="H19" s="968" t="s">
        <v>3285</v>
      </c>
      <c r="I19" s="968" t="s">
        <v>3286</v>
      </c>
      <c r="J19" s="842"/>
      <c r="K19" s="843"/>
      <c r="L19" s="1004"/>
      <c r="M19" s="1005"/>
      <c r="N19" s="968"/>
      <c r="O19" s="844"/>
      <c r="P19" s="1006"/>
      <c r="Q19" s="1007"/>
      <c r="R19" s="1008"/>
      <c r="S19" s="1009"/>
      <c r="T19" s="1009"/>
      <c r="U19" s="1010" t="e">
        <f>(Table48911128[[#This Row],[Invoice Value]]-Table48911128[[#This Row],[Total cost]])/Table48911128[[#This Row],[Invoice Value]]</f>
        <v>#DIV/0!</v>
      </c>
      <c r="V19" s="1008"/>
      <c r="W19" s="666"/>
      <c r="X19" s="1008" t="str">
        <f t="shared" ref="X19:X26" si="6">IF(Q19&gt;0,Q19+3," - ")</f>
        <v xml:space="preserve"> - </v>
      </c>
      <c r="Y19" s="1008" t="str">
        <f t="shared" ref="Y19:Y26" si="7">IF(Q19&gt;0,Q19+14," - ")</f>
        <v xml:space="preserve"> - </v>
      </c>
      <c r="Z19" s="1008"/>
      <c r="AA19" s="968" t="str">
        <f t="shared" ref="AA19:AA26" ca="1" si="8">IF(P19=0,"-",IF(Z19&gt;0,"Delivered",IF(TODAY()&gt;Y19,"Overdue",IF(TODAY()&lt;Y19,"In Progress"))))</f>
        <v>-</v>
      </c>
      <c r="AB19" s="973"/>
      <c r="AC19" s="973"/>
      <c r="AD19" s="973"/>
      <c r="AE19" s="973"/>
      <c r="AF19" s="968"/>
      <c r="AG19" s="968"/>
      <c r="AH19" s="968"/>
      <c r="AI19" s="974"/>
      <c r="AJ19" s="839"/>
      <c r="AK19" s="839"/>
      <c r="AL19" s="552"/>
      <c r="AM19" s="845"/>
      <c r="AN19" s="845"/>
      <c r="AO19" s="554"/>
      <c r="AP19" s="837"/>
      <c r="AQ19" s="837"/>
    </row>
    <row r="20" spans="1:43" s="846" customFormat="1" ht="43.5" customHeight="1">
      <c r="A20" s="861" t="s">
        <v>3363</v>
      </c>
      <c r="B20" s="839" t="s">
        <v>3364</v>
      </c>
      <c r="C20" s="870">
        <v>162498.87</v>
      </c>
      <c r="D20" s="867"/>
      <c r="E20" s="823" t="s">
        <v>3365</v>
      </c>
      <c r="F20" s="973" t="s">
        <v>3366</v>
      </c>
      <c r="G20" s="968" t="s">
        <v>3315</v>
      </c>
      <c r="H20" s="968" t="s">
        <v>3285</v>
      </c>
      <c r="I20" s="968" t="s">
        <v>3286</v>
      </c>
      <c r="J20" s="842"/>
      <c r="K20" s="843"/>
      <c r="L20" s="1004"/>
      <c r="M20" s="1005"/>
      <c r="N20" s="968"/>
      <c r="O20" s="844"/>
      <c r="P20" s="1006"/>
      <c r="Q20" s="1007"/>
      <c r="R20" s="1008"/>
      <c r="S20" s="1009"/>
      <c r="T20" s="1009"/>
      <c r="U20" s="1010" t="e">
        <f>(Table48911128[[#This Row],[Invoice Value]]-Table48911128[[#This Row],[Total cost]])/Table48911128[[#This Row],[Invoice Value]]</f>
        <v>#DIV/0!</v>
      </c>
      <c r="V20" s="1008"/>
      <c r="W20" s="666"/>
      <c r="X20" s="1008" t="str">
        <f t="shared" si="6"/>
        <v xml:space="preserve"> - </v>
      </c>
      <c r="Y20" s="1008" t="str">
        <f t="shared" si="7"/>
        <v xml:space="preserve"> - </v>
      </c>
      <c r="Z20" s="1008"/>
      <c r="AA20" s="968" t="str">
        <f t="shared" ca="1" si="8"/>
        <v>-</v>
      </c>
      <c r="AB20" s="973"/>
      <c r="AC20" s="973"/>
      <c r="AD20" s="973"/>
      <c r="AE20" s="973"/>
      <c r="AF20" s="968"/>
      <c r="AG20" s="968"/>
      <c r="AH20" s="968"/>
      <c r="AI20" s="974"/>
      <c r="AJ20" s="839"/>
      <c r="AK20" s="839"/>
      <c r="AL20" s="552"/>
      <c r="AM20" s="845"/>
      <c r="AN20" s="845"/>
      <c r="AO20" s="554"/>
      <c r="AP20" s="837"/>
      <c r="AQ20" s="837"/>
    </row>
    <row r="21" spans="1:43" s="846" customFormat="1" ht="43.5" customHeight="1">
      <c r="A21" s="861" t="s">
        <v>3367</v>
      </c>
      <c r="B21" s="839"/>
      <c r="C21" s="840"/>
      <c r="D21" s="867"/>
      <c r="E21" s="823" t="s">
        <v>3365</v>
      </c>
      <c r="F21" s="973" t="s">
        <v>3366</v>
      </c>
      <c r="G21" s="968" t="s">
        <v>3315</v>
      </c>
      <c r="H21" s="968" t="s">
        <v>3285</v>
      </c>
      <c r="I21" s="968"/>
      <c r="J21" s="842"/>
      <c r="K21" s="843"/>
      <c r="L21" s="1004"/>
      <c r="M21" s="1005"/>
      <c r="N21" s="968"/>
      <c r="O21" s="844"/>
      <c r="P21" s="1006"/>
      <c r="Q21" s="1007"/>
      <c r="R21" s="1008"/>
      <c r="S21" s="1009"/>
      <c r="T21" s="1009"/>
      <c r="U21" s="1010" t="e">
        <f>(Table48911128[[#This Row],[Invoice Value]]-Table48911128[[#This Row],[Total cost]])/Table48911128[[#This Row],[Invoice Value]]</f>
        <v>#DIV/0!</v>
      </c>
      <c r="V21" s="1008"/>
      <c r="W21" s="666"/>
      <c r="X21" s="1008" t="str">
        <f t="shared" si="6"/>
        <v xml:space="preserve"> - </v>
      </c>
      <c r="Y21" s="1008" t="str">
        <f t="shared" si="7"/>
        <v xml:space="preserve"> - </v>
      </c>
      <c r="Z21" s="1008"/>
      <c r="AA21" s="968" t="str">
        <f t="shared" ca="1" si="8"/>
        <v>-</v>
      </c>
      <c r="AB21" s="973"/>
      <c r="AC21" s="973"/>
      <c r="AD21" s="973"/>
      <c r="AE21" s="973"/>
      <c r="AF21" s="968"/>
      <c r="AG21" s="968"/>
      <c r="AH21" s="968"/>
      <c r="AI21" s="974"/>
      <c r="AJ21" s="839"/>
      <c r="AK21" s="839"/>
      <c r="AL21" s="552"/>
      <c r="AM21" s="845"/>
      <c r="AN21" s="845"/>
      <c r="AO21" s="554"/>
      <c r="AP21" s="837"/>
      <c r="AQ21" s="837"/>
    </row>
    <row r="22" spans="1:43" s="846" customFormat="1" ht="43.5" customHeight="1">
      <c r="A22" s="861" t="s">
        <v>3368</v>
      </c>
      <c r="B22" s="839"/>
      <c r="C22" s="870"/>
      <c r="D22" s="867"/>
      <c r="E22" s="823" t="s">
        <v>3369</v>
      </c>
      <c r="F22" s="973" t="s">
        <v>3283</v>
      </c>
      <c r="G22" s="968" t="s">
        <v>3370</v>
      </c>
      <c r="H22" s="968" t="s">
        <v>3285</v>
      </c>
      <c r="I22" s="968" t="s">
        <v>3286</v>
      </c>
      <c r="J22" s="842"/>
      <c r="K22" s="843"/>
      <c r="L22" s="1004"/>
      <c r="M22" s="1005"/>
      <c r="N22" s="968"/>
      <c r="O22" s="844"/>
      <c r="P22" s="1006"/>
      <c r="Q22" s="1007"/>
      <c r="R22" s="1008"/>
      <c r="S22" s="1009"/>
      <c r="T22" s="1009"/>
      <c r="U22" s="1010" t="e">
        <f>(Table48911128[[#This Row],[Invoice Value]]-Table48911128[[#This Row],[Total cost]])/Table48911128[[#This Row],[Invoice Value]]</f>
        <v>#DIV/0!</v>
      </c>
      <c r="V22" s="1008"/>
      <c r="W22" s="666"/>
      <c r="X22" s="1008" t="str">
        <f t="shared" si="6"/>
        <v xml:space="preserve"> - </v>
      </c>
      <c r="Y22" s="1008" t="str">
        <f t="shared" si="7"/>
        <v xml:space="preserve"> - </v>
      </c>
      <c r="Z22" s="1008"/>
      <c r="AA22" s="968" t="str">
        <f t="shared" ca="1" si="8"/>
        <v>-</v>
      </c>
      <c r="AB22" s="973"/>
      <c r="AC22" s="973"/>
      <c r="AD22" s="973"/>
      <c r="AE22" s="973"/>
      <c r="AF22" s="968"/>
      <c r="AG22" s="968"/>
      <c r="AH22" s="968"/>
      <c r="AI22" s="974"/>
      <c r="AJ22" s="839"/>
      <c r="AK22" s="839"/>
      <c r="AL22" s="552"/>
      <c r="AM22" s="845"/>
      <c r="AN22" s="845"/>
      <c r="AO22" s="554"/>
      <c r="AP22" s="837"/>
      <c r="AQ22" s="837" t="s">
        <v>3360</v>
      </c>
    </row>
    <row r="23" spans="1:43" s="846" customFormat="1" ht="43.5" customHeight="1">
      <c r="A23" s="861" t="s">
        <v>3371</v>
      </c>
      <c r="B23" s="839"/>
      <c r="C23" s="870">
        <v>110626</v>
      </c>
      <c r="D23" s="867"/>
      <c r="E23" s="823" t="s">
        <v>3372</v>
      </c>
      <c r="F23" s="973" t="s">
        <v>3283</v>
      </c>
      <c r="G23" s="968" t="s">
        <v>3315</v>
      </c>
      <c r="H23" s="968" t="s">
        <v>3285</v>
      </c>
      <c r="I23" s="968" t="s">
        <v>3286</v>
      </c>
      <c r="J23" s="842"/>
      <c r="K23" s="843"/>
      <c r="L23" s="1004"/>
      <c r="M23" s="1005"/>
      <c r="N23" s="968"/>
      <c r="O23" s="844"/>
      <c r="P23" s="1006"/>
      <c r="Q23" s="1007"/>
      <c r="R23" s="1008"/>
      <c r="S23" s="1009"/>
      <c r="T23" s="1009"/>
      <c r="U23" s="1010" t="e">
        <f>(Table48911128[[#This Row],[Invoice Value]]-Table48911128[[#This Row],[Total cost]])/Table48911128[[#This Row],[Invoice Value]]</f>
        <v>#DIV/0!</v>
      </c>
      <c r="V23" s="1008"/>
      <c r="W23" s="666"/>
      <c r="X23" s="1008" t="str">
        <f t="shared" si="6"/>
        <v xml:space="preserve"> - </v>
      </c>
      <c r="Y23" s="1008" t="str">
        <f t="shared" si="7"/>
        <v xml:space="preserve"> - </v>
      </c>
      <c r="Z23" s="1008"/>
      <c r="AA23" s="968" t="str">
        <f t="shared" ca="1" si="8"/>
        <v>-</v>
      </c>
      <c r="AB23" s="973"/>
      <c r="AC23" s="973"/>
      <c r="AD23" s="973"/>
      <c r="AE23" s="973"/>
      <c r="AF23" s="968"/>
      <c r="AG23" s="968"/>
      <c r="AH23" s="968"/>
      <c r="AI23" s="974"/>
      <c r="AJ23" s="839"/>
      <c r="AK23" s="839"/>
      <c r="AL23" s="552"/>
      <c r="AM23" s="845"/>
      <c r="AN23" s="845"/>
      <c r="AO23" s="554"/>
      <c r="AP23" s="837"/>
      <c r="AQ23" s="837"/>
    </row>
    <row r="24" spans="1:43" s="846" customFormat="1" ht="43.5" customHeight="1">
      <c r="A24" s="861" t="s">
        <v>3373</v>
      </c>
      <c r="B24" s="839" t="s">
        <v>3374</v>
      </c>
      <c r="C24" s="870">
        <v>24033</v>
      </c>
      <c r="D24" s="867">
        <v>23879.26</v>
      </c>
      <c r="E24" s="822" t="s">
        <v>3375</v>
      </c>
      <c r="F24" s="864" t="s">
        <v>3283</v>
      </c>
      <c r="G24" s="968" t="s">
        <v>3315</v>
      </c>
      <c r="H24" s="968" t="s">
        <v>3285</v>
      </c>
      <c r="I24" s="968" t="s">
        <v>3376</v>
      </c>
      <c r="J24" s="842"/>
      <c r="K24" s="843"/>
      <c r="L24" s="1004"/>
      <c r="M24" s="1005"/>
      <c r="N24" s="968"/>
      <c r="O24" s="844"/>
      <c r="P24" s="1006"/>
      <c r="Q24" s="1007"/>
      <c r="R24" s="1008"/>
      <c r="S24" s="1009"/>
      <c r="T24" s="1009"/>
      <c r="U24" s="1010" t="e">
        <f>(Table48911128[[#This Row],[Invoice Value]]-Table48911128[[#This Row],[Total cost]])/Table48911128[[#This Row],[Invoice Value]]</f>
        <v>#DIV/0!</v>
      </c>
      <c r="V24" s="1008"/>
      <c r="W24" s="666"/>
      <c r="X24" s="1008" t="str">
        <f t="shared" si="6"/>
        <v xml:space="preserve"> - </v>
      </c>
      <c r="Y24" s="1008" t="str">
        <f t="shared" si="7"/>
        <v xml:space="preserve"> - </v>
      </c>
      <c r="Z24" s="1008"/>
      <c r="AA24" s="968" t="str">
        <f t="shared" ca="1" si="8"/>
        <v>-</v>
      </c>
      <c r="AB24" s="973"/>
      <c r="AC24" s="973"/>
      <c r="AD24" s="973"/>
      <c r="AE24" s="973"/>
      <c r="AF24" s="968"/>
      <c r="AG24" s="968"/>
      <c r="AH24" s="968"/>
      <c r="AI24" s="974"/>
      <c r="AJ24" s="839"/>
      <c r="AK24" s="839"/>
      <c r="AL24" s="552"/>
      <c r="AM24" s="845"/>
      <c r="AN24" s="845"/>
      <c r="AO24" s="554"/>
      <c r="AP24" s="837"/>
      <c r="AQ24" s="837"/>
    </row>
    <row r="25" spans="1:43" s="846" customFormat="1" ht="43.5" customHeight="1">
      <c r="A25" s="861" t="s">
        <v>3377</v>
      </c>
      <c r="B25" s="839" t="s">
        <v>3378</v>
      </c>
      <c r="C25" s="870">
        <v>46019</v>
      </c>
      <c r="D25" s="867">
        <v>44441.15</v>
      </c>
      <c r="E25" s="823" t="s">
        <v>3379</v>
      </c>
      <c r="F25" s="973" t="s">
        <v>3314</v>
      </c>
      <c r="G25" s="968" t="s">
        <v>3315</v>
      </c>
      <c r="H25" s="968" t="s">
        <v>3285</v>
      </c>
      <c r="I25" s="968" t="s">
        <v>3380</v>
      </c>
      <c r="J25" s="842"/>
      <c r="K25" s="843"/>
      <c r="L25" s="1004"/>
      <c r="M25" s="1005"/>
      <c r="N25" s="968"/>
      <c r="O25" s="844"/>
      <c r="P25" s="1006"/>
      <c r="Q25" s="1007"/>
      <c r="R25" s="1008"/>
      <c r="S25" s="1009"/>
      <c r="T25" s="1009"/>
      <c r="U25" s="1010" t="e">
        <f>(Table48911128[[#This Row],[Invoice Value]]-Table48911128[[#This Row],[Total cost]])/Table48911128[[#This Row],[Invoice Value]]</f>
        <v>#DIV/0!</v>
      </c>
      <c r="V25" s="1008"/>
      <c r="W25" s="666"/>
      <c r="X25" s="1008" t="str">
        <f t="shared" si="6"/>
        <v xml:space="preserve"> - </v>
      </c>
      <c r="Y25" s="1008" t="str">
        <f t="shared" si="7"/>
        <v xml:space="preserve"> - </v>
      </c>
      <c r="Z25" s="1008"/>
      <c r="AA25" s="968" t="str">
        <f t="shared" ca="1" si="8"/>
        <v>-</v>
      </c>
      <c r="AB25" s="973"/>
      <c r="AC25" s="973"/>
      <c r="AD25" s="973"/>
      <c r="AE25" s="973"/>
      <c r="AF25" s="968"/>
      <c r="AG25" s="968"/>
      <c r="AH25" s="968"/>
      <c r="AI25" s="974"/>
      <c r="AJ25" s="839"/>
      <c r="AK25" s="839"/>
      <c r="AL25" s="552"/>
      <c r="AM25" s="845"/>
      <c r="AN25" s="845"/>
      <c r="AO25" s="554"/>
      <c r="AP25" s="837"/>
      <c r="AQ25" s="837"/>
    </row>
    <row r="26" spans="1:43" s="846" customFormat="1" ht="43.5" customHeight="1">
      <c r="A26" s="861" t="s">
        <v>3381</v>
      </c>
      <c r="B26" s="839" t="s">
        <v>3382</v>
      </c>
      <c r="C26" s="870">
        <v>9740</v>
      </c>
      <c r="D26" s="867">
        <v>9740</v>
      </c>
      <c r="E26" s="823" t="s">
        <v>3383</v>
      </c>
      <c r="F26" s="973" t="s">
        <v>3283</v>
      </c>
      <c r="G26" s="968" t="s">
        <v>3315</v>
      </c>
      <c r="H26" s="968" t="s">
        <v>3285</v>
      </c>
      <c r="I26" s="968" t="s">
        <v>3384</v>
      </c>
      <c r="J26" s="842"/>
      <c r="K26" s="843"/>
      <c r="L26" s="1004"/>
      <c r="M26" s="1005"/>
      <c r="N26" s="968"/>
      <c r="O26" s="844"/>
      <c r="P26" s="1006"/>
      <c r="Q26" s="1007"/>
      <c r="R26" s="1008"/>
      <c r="S26" s="1009"/>
      <c r="T26" s="1009"/>
      <c r="U26" s="1010" t="e">
        <f>(Table48911128[[#This Row],[Invoice Value]]-Table48911128[[#This Row],[Total cost]])/Table48911128[[#This Row],[Invoice Value]]</f>
        <v>#DIV/0!</v>
      </c>
      <c r="V26" s="1008"/>
      <c r="W26" s="666"/>
      <c r="X26" s="1008" t="str">
        <f t="shared" si="6"/>
        <v xml:space="preserve"> - </v>
      </c>
      <c r="Y26" s="1008" t="str">
        <f t="shared" si="7"/>
        <v xml:space="preserve"> - </v>
      </c>
      <c r="Z26" s="1008"/>
      <c r="AA26" s="968" t="str">
        <f t="shared" ca="1" si="8"/>
        <v>-</v>
      </c>
      <c r="AB26" s="973"/>
      <c r="AC26" s="973"/>
      <c r="AD26" s="973"/>
      <c r="AE26" s="973"/>
      <c r="AF26" s="968"/>
      <c r="AG26" s="968"/>
      <c r="AH26" s="968"/>
      <c r="AI26" s="974"/>
      <c r="AJ26" s="839"/>
      <c r="AK26" s="839"/>
      <c r="AL26" s="552"/>
      <c r="AM26" s="845"/>
      <c r="AN26" s="845"/>
      <c r="AO26" s="554"/>
      <c r="AP26" s="837"/>
      <c r="AQ26" s="837"/>
    </row>
    <row r="27" spans="1:43" s="846" customFormat="1" ht="43.5" customHeight="1">
      <c r="A27" s="861" t="s">
        <v>3385</v>
      </c>
      <c r="B27" s="839" t="s">
        <v>3386</v>
      </c>
      <c r="C27" s="870">
        <v>110626</v>
      </c>
      <c r="D27" s="867"/>
      <c r="E27" s="822" t="s">
        <v>3387</v>
      </c>
      <c r="F27" s="973" t="s">
        <v>3283</v>
      </c>
      <c r="G27" s="968" t="s">
        <v>3315</v>
      </c>
      <c r="H27" s="968" t="s">
        <v>3285</v>
      </c>
      <c r="I27" s="968" t="s">
        <v>3286</v>
      </c>
      <c r="J27" s="842"/>
      <c r="K27" s="843"/>
      <c r="L27" s="1004"/>
      <c r="M27" s="1005"/>
      <c r="N27" s="968"/>
      <c r="O27" s="844"/>
      <c r="P27" s="1006"/>
      <c r="Q27" s="1007"/>
      <c r="R27" s="1008"/>
      <c r="S27" s="1009"/>
      <c r="T27" s="1009"/>
      <c r="U27" s="1010" t="e">
        <f>(Table48911128[[#This Row],[Invoice Value]]-Table48911128[[#This Row],[Total cost]])/Table48911128[[#This Row],[Invoice Value]]</f>
        <v>#DIV/0!</v>
      </c>
      <c r="V27" s="1008"/>
      <c r="W27" s="666"/>
      <c r="X27" s="1008" t="str">
        <f t="shared" ref="X27:X28" si="9">IF(Q27&gt;0,Q27+3," - ")</f>
        <v xml:space="preserve"> - </v>
      </c>
      <c r="Y27" s="1008" t="str">
        <f t="shared" ref="Y27:Y28" si="10">IF(Q27&gt;0,Q27+14," - ")</f>
        <v xml:space="preserve"> - </v>
      </c>
      <c r="Z27" s="1008"/>
      <c r="AA27" s="968" t="str">
        <f t="shared" ref="AA27:AA28" ca="1" si="11">IF(P27=0,"-",IF(Z27&gt;0,"Delivered",IF(TODAY()&gt;Y27,"Overdue",IF(TODAY()&lt;Y27,"In Progress"))))</f>
        <v>-</v>
      </c>
      <c r="AB27" s="973"/>
      <c r="AC27" s="973"/>
      <c r="AD27" s="973"/>
      <c r="AE27" s="973"/>
      <c r="AF27" s="968"/>
      <c r="AG27" s="968"/>
      <c r="AH27" s="968"/>
      <c r="AI27" s="974"/>
      <c r="AJ27" s="839"/>
      <c r="AK27" s="839"/>
      <c r="AL27" s="552"/>
      <c r="AM27" s="845"/>
      <c r="AN27" s="845"/>
      <c r="AO27" s="554"/>
      <c r="AP27" s="837"/>
      <c r="AQ27" s="837"/>
    </row>
    <row r="28" spans="1:43" s="846" customFormat="1" ht="43.5" customHeight="1">
      <c r="A28" s="861" t="s">
        <v>3388</v>
      </c>
      <c r="B28" s="839" t="s">
        <v>3386</v>
      </c>
      <c r="C28" s="870">
        <v>110626</v>
      </c>
      <c r="D28" s="867"/>
      <c r="E28" s="822" t="s">
        <v>3389</v>
      </c>
      <c r="F28" s="973" t="s">
        <v>3283</v>
      </c>
      <c r="G28" s="968" t="s">
        <v>3315</v>
      </c>
      <c r="H28" s="968" t="s">
        <v>3285</v>
      </c>
      <c r="I28" s="968" t="s">
        <v>3286</v>
      </c>
      <c r="J28" s="842"/>
      <c r="K28" s="843"/>
      <c r="L28" s="1004"/>
      <c r="M28" s="1005"/>
      <c r="N28" s="968"/>
      <c r="O28" s="844"/>
      <c r="P28" s="1006"/>
      <c r="Q28" s="1007"/>
      <c r="R28" s="1008"/>
      <c r="S28" s="1009"/>
      <c r="T28" s="1009"/>
      <c r="U28" s="1010" t="e">
        <f>(Table48911128[[#This Row],[Invoice Value]]-Table48911128[[#This Row],[Total cost]])/Table48911128[[#This Row],[Invoice Value]]</f>
        <v>#DIV/0!</v>
      </c>
      <c r="V28" s="1008"/>
      <c r="W28" s="666"/>
      <c r="X28" s="1008" t="str">
        <f t="shared" si="9"/>
        <v xml:space="preserve"> - </v>
      </c>
      <c r="Y28" s="1008" t="str">
        <f t="shared" si="10"/>
        <v xml:space="preserve"> - </v>
      </c>
      <c r="Z28" s="1008"/>
      <c r="AA28" s="968" t="str">
        <f t="shared" ca="1" si="11"/>
        <v>-</v>
      </c>
      <c r="AB28" s="973"/>
      <c r="AC28" s="973"/>
      <c r="AD28" s="973"/>
      <c r="AE28" s="973"/>
      <c r="AF28" s="968"/>
      <c r="AG28" s="968"/>
      <c r="AH28" s="968"/>
      <c r="AI28" s="1012"/>
      <c r="AJ28" s="839"/>
      <c r="AK28" s="839"/>
      <c r="AL28" s="552"/>
      <c r="AM28" s="845"/>
      <c r="AN28" s="845"/>
      <c r="AO28" s="554"/>
      <c r="AP28" s="837"/>
      <c r="AQ28" s="837"/>
    </row>
    <row r="29" spans="1:43" s="846" customFormat="1" ht="43.5" customHeight="1">
      <c r="A29" s="861" t="s">
        <v>3390</v>
      </c>
      <c r="B29" s="839" t="s">
        <v>3391</v>
      </c>
      <c r="C29" s="870">
        <v>5950</v>
      </c>
      <c r="D29" s="867"/>
      <c r="E29" s="822" t="s">
        <v>3392</v>
      </c>
      <c r="F29" s="973" t="s">
        <v>3314</v>
      </c>
      <c r="G29" s="968" t="s">
        <v>3370</v>
      </c>
      <c r="H29" s="968" t="s">
        <v>3285</v>
      </c>
      <c r="I29" s="968" t="s">
        <v>3286</v>
      </c>
      <c r="J29" s="842"/>
      <c r="K29" s="843"/>
      <c r="L29" s="1004"/>
      <c r="M29" s="1005"/>
      <c r="N29" s="968"/>
      <c r="O29" s="844"/>
      <c r="P29" s="1006"/>
      <c r="Q29" s="1007"/>
      <c r="R29" s="1008"/>
      <c r="S29" s="1009"/>
      <c r="T29" s="1009"/>
      <c r="U29" s="1010" t="e">
        <f>(Table48911128[[#This Row],[Invoice Value]]-Table48911128[[#This Row],[Total cost]])/Table48911128[[#This Row],[Invoice Value]]</f>
        <v>#DIV/0!</v>
      </c>
      <c r="V29" s="1008"/>
      <c r="W29" s="666"/>
      <c r="X29" s="1008" t="str">
        <f t="shared" ref="X29:X40" si="12">IF(Q29&gt;0,Q29+3," - ")</f>
        <v xml:space="preserve"> - </v>
      </c>
      <c r="Y29" s="1008" t="str">
        <f t="shared" ref="Y29:Y40" si="13">IF(Q29&gt;0,Q29+14," - ")</f>
        <v xml:space="preserve"> - </v>
      </c>
      <c r="Z29" s="1008"/>
      <c r="AA29" s="968" t="str">
        <f t="shared" ref="AA29:AA40" ca="1" si="14">IF(P29=0,"-",IF(Z29&gt;0,"Delivered",IF(TODAY()&gt;Y29,"Overdue",IF(TODAY()&lt;Y29,"In Progress"))))</f>
        <v>-</v>
      </c>
      <c r="AB29" s="973"/>
      <c r="AC29" s="973"/>
      <c r="AD29" s="973"/>
      <c r="AE29" s="973"/>
      <c r="AF29" s="968"/>
      <c r="AG29" s="968"/>
      <c r="AH29" s="968"/>
      <c r="AI29" s="974"/>
      <c r="AJ29" s="839"/>
      <c r="AK29" s="839"/>
      <c r="AL29" s="552"/>
      <c r="AM29" s="845"/>
      <c r="AN29" s="845"/>
      <c r="AO29" s="554"/>
      <c r="AP29" s="837"/>
      <c r="AQ29" s="837"/>
    </row>
    <row r="30" spans="1:43" s="846" customFormat="1" ht="43.5" customHeight="1">
      <c r="A30" s="861" t="s">
        <v>3393</v>
      </c>
      <c r="B30" s="839" t="s">
        <v>3394</v>
      </c>
      <c r="C30" s="870">
        <v>58148</v>
      </c>
      <c r="D30" s="867"/>
      <c r="E30" s="823" t="s">
        <v>3395</v>
      </c>
      <c r="F30" s="973" t="s">
        <v>3283</v>
      </c>
      <c r="G30" s="968" t="s">
        <v>3396</v>
      </c>
      <c r="H30" s="968" t="s">
        <v>3285</v>
      </c>
      <c r="I30" s="968" t="s">
        <v>3286</v>
      </c>
      <c r="J30" s="842"/>
      <c r="K30" s="843"/>
      <c r="L30" s="1004"/>
      <c r="M30" s="1005"/>
      <c r="N30" s="968"/>
      <c r="O30" s="844"/>
      <c r="P30" s="1006">
        <v>45820</v>
      </c>
      <c r="Q30" s="1007">
        <v>45834</v>
      </c>
      <c r="R30" s="1008"/>
      <c r="S30" s="1009"/>
      <c r="T30" s="1009"/>
      <c r="U30" s="1010" t="e">
        <f>(Table48911128[[#This Row],[Invoice Value]]-Table48911128[[#This Row],[Total cost]])/Table48911128[[#This Row],[Invoice Value]]</f>
        <v>#DIV/0!</v>
      </c>
      <c r="V30" s="1008"/>
      <c r="W30" s="666"/>
      <c r="X30" s="1008">
        <f t="shared" si="12"/>
        <v>45837</v>
      </c>
      <c r="Y30" s="1008">
        <f t="shared" si="13"/>
        <v>45848</v>
      </c>
      <c r="Z30" s="1008"/>
      <c r="AA30" s="968" t="str">
        <f t="shared" ca="1" si="14"/>
        <v>Overdue</v>
      </c>
      <c r="AB30" s="973"/>
      <c r="AC30" s="973"/>
      <c r="AD30" s="973"/>
      <c r="AE30" s="973"/>
      <c r="AF30" s="968"/>
      <c r="AG30" s="968"/>
      <c r="AH30" s="968"/>
      <c r="AI30" s="1012"/>
      <c r="AJ30" s="839"/>
      <c r="AK30" s="839"/>
      <c r="AL30" s="552"/>
      <c r="AM30" s="845"/>
      <c r="AN30" s="845"/>
      <c r="AO30" s="554"/>
      <c r="AP30" s="837"/>
      <c r="AQ30" s="837" t="s">
        <v>3360</v>
      </c>
    </row>
    <row r="31" spans="1:43" s="846" customFormat="1" ht="43.5" customHeight="1">
      <c r="A31" s="861" t="s">
        <v>3397</v>
      </c>
      <c r="B31" s="839" t="s">
        <v>3398</v>
      </c>
      <c r="C31" s="870">
        <v>9341</v>
      </c>
      <c r="D31" s="867"/>
      <c r="E31" s="823" t="s">
        <v>3399</v>
      </c>
      <c r="F31" s="973" t="s">
        <v>3314</v>
      </c>
      <c r="G31" s="968" t="s">
        <v>3370</v>
      </c>
      <c r="H31" s="968" t="s">
        <v>3285</v>
      </c>
      <c r="I31" s="968" t="s">
        <v>3286</v>
      </c>
      <c r="J31" s="842"/>
      <c r="K31" s="843"/>
      <c r="L31" s="1004"/>
      <c r="M31" s="1005"/>
      <c r="N31" s="968"/>
      <c r="O31" s="844"/>
      <c r="P31" s="1006"/>
      <c r="Q31" s="1007"/>
      <c r="R31" s="1008"/>
      <c r="S31" s="1009"/>
      <c r="T31" s="1009"/>
      <c r="U31" s="1010" t="e">
        <f>(Table48911128[[#This Row],[Invoice Value]]-Table48911128[[#This Row],[Total cost]])/Table48911128[[#This Row],[Invoice Value]]</f>
        <v>#DIV/0!</v>
      </c>
      <c r="V31" s="1008"/>
      <c r="W31" s="666"/>
      <c r="X31" s="1008" t="str">
        <f t="shared" si="12"/>
        <v xml:space="preserve"> - </v>
      </c>
      <c r="Y31" s="1008" t="str">
        <f t="shared" si="13"/>
        <v xml:space="preserve"> - </v>
      </c>
      <c r="Z31" s="1008"/>
      <c r="AA31" s="968" t="str">
        <f t="shared" ca="1" si="14"/>
        <v>-</v>
      </c>
      <c r="AB31" s="973"/>
      <c r="AC31" s="973"/>
      <c r="AD31" s="973"/>
      <c r="AE31" s="973"/>
      <c r="AF31" s="968"/>
      <c r="AG31" s="968"/>
      <c r="AH31" s="968"/>
      <c r="AI31" s="1012"/>
      <c r="AJ31" s="839"/>
      <c r="AK31" s="839"/>
      <c r="AL31" s="552"/>
      <c r="AM31" s="845"/>
      <c r="AN31" s="845"/>
      <c r="AO31" s="554"/>
      <c r="AP31" s="837"/>
      <c r="AQ31" s="837"/>
    </row>
    <row r="32" spans="1:43" s="846" customFormat="1" ht="43.5" customHeight="1">
      <c r="A32" s="861" t="s">
        <v>3400</v>
      </c>
      <c r="B32" s="839" t="s">
        <v>3401</v>
      </c>
      <c r="C32" s="870">
        <v>15501</v>
      </c>
      <c r="D32" s="867"/>
      <c r="E32" s="822" t="s">
        <v>3402</v>
      </c>
      <c r="F32" s="973" t="s">
        <v>3283</v>
      </c>
      <c r="G32" s="968" t="s">
        <v>3323</v>
      </c>
      <c r="H32" s="968" t="s">
        <v>3285</v>
      </c>
      <c r="I32" s="968" t="s">
        <v>3403</v>
      </c>
      <c r="J32" s="842"/>
      <c r="K32" s="843"/>
      <c r="L32" s="1004"/>
      <c r="M32" s="1005"/>
      <c r="N32" s="968"/>
      <c r="O32" s="844"/>
      <c r="P32" s="1006"/>
      <c r="Q32" s="1007"/>
      <c r="R32" s="1008"/>
      <c r="S32" s="1009"/>
      <c r="T32" s="1009"/>
      <c r="U32" s="1010" t="e">
        <f>(Table48911128[[#This Row],[Invoice Value]]-Table48911128[[#This Row],[Total cost]])/Table48911128[[#This Row],[Invoice Value]]</f>
        <v>#DIV/0!</v>
      </c>
      <c r="V32" s="1008"/>
      <c r="W32" s="666"/>
      <c r="X32" s="1008" t="str">
        <f t="shared" si="12"/>
        <v xml:space="preserve"> - </v>
      </c>
      <c r="Y32" s="1008" t="str">
        <f t="shared" si="13"/>
        <v xml:space="preserve"> - </v>
      </c>
      <c r="Z32" s="1008"/>
      <c r="AA32" s="968" t="str">
        <f t="shared" ca="1" si="14"/>
        <v>-</v>
      </c>
      <c r="AB32" s="973"/>
      <c r="AC32" s="973"/>
      <c r="AD32" s="973"/>
      <c r="AE32" s="973"/>
      <c r="AF32" s="968"/>
      <c r="AG32" s="968"/>
      <c r="AH32" s="968"/>
      <c r="AI32" s="1012"/>
      <c r="AJ32" s="839"/>
      <c r="AK32" s="839"/>
      <c r="AL32" s="552"/>
      <c r="AM32" s="845"/>
      <c r="AN32" s="845"/>
      <c r="AO32" s="554"/>
      <c r="AP32" s="837"/>
      <c r="AQ32" s="837"/>
    </row>
    <row r="33" spans="1:43" s="846" customFormat="1" ht="43.5" customHeight="1">
      <c r="A33" s="861" t="s">
        <v>3404</v>
      </c>
      <c r="B33" s="839" t="s">
        <v>3405</v>
      </c>
      <c r="C33" s="870">
        <v>103710.5</v>
      </c>
      <c r="D33" s="867"/>
      <c r="E33" s="823" t="s">
        <v>3369</v>
      </c>
      <c r="F33" s="973" t="s">
        <v>3283</v>
      </c>
      <c r="G33" s="968" t="s">
        <v>3315</v>
      </c>
      <c r="H33" s="968" t="s">
        <v>3285</v>
      </c>
      <c r="I33" s="968"/>
      <c r="J33" s="842"/>
      <c r="K33" s="843"/>
      <c r="L33" s="1004"/>
      <c r="M33" s="1005"/>
      <c r="N33" s="968"/>
      <c r="O33" s="844"/>
      <c r="P33" s="1006">
        <v>45824</v>
      </c>
      <c r="Q33" s="1007">
        <v>45841</v>
      </c>
      <c r="R33" s="1008"/>
      <c r="S33" s="1009"/>
      <c r="T33" s="1009"/>
      <c r="U33" s="1010" t="e">
        <f>(Table48911128[[#This Row],[Invoice Value]]-Table48911128[[#This Row],[Total cost]])/Table48911128[[#This Row],[Invoice Value]]</f>
        <v>#DIV/0!</v>
      </c>
      <c r="V33" s="1008"/>
      <c r="W33" s="666"/>
      <c r="X33" s="1008">
        <f t="shared" si="12"/>
        <v>45844</v>
      </c>
      <c r="Y33" s="1008">
        <f t="shared" si="13"/>
        <v>45855</v>
      </c>
      <c r="Z33" s="1008"/>
      <c r="AA33" s="968" t="str">
        <f t="shared" ca="1" si="14"/>
        <v>Overdue</v>
      </c>
      <c r="AB33" s="973"/>
      <c r="AC33" s="973"/>
      <c r="AD33" s="973"/>
      <c r="AE33" s="973"/>
      <c r="AF33" s="968"/>
      <c r="AG33" s="968"/>
      <c r="AH33" s="968"/>
      <c r="AI33" s="1012"/>
      <c r="AJ33" s="839"/>
      <c r="AK33" s="839"/>
      <c r="AL33" s="552"/>
      <c r="AM33" s="845"/>
      <c r="AN33" s="845"/>
      <c r="AO33" s="554"/>
      <c r="AP33" s="837"/>
      <c r="AQ33" s="868" t="s">
        <v>3406</v>
      </c>
    </row>
    <row r="34" spans="1:43" s="846" customFormat="1" ht="43.5" customHeight="1">
      <c r="A34" s="861" t="s">
        <v>3407</v>
      </c>
      <c r="B34" s="839" t="s">
        <v>3408</v>
      </c>
      <c r="C34" s="870">
        <v>14484.4</v>
      </c>
      <c r="D34" s="867"/>
      <c r="E34" s="822" t="s">
        <v>3409</v>
      </c>
      <c r="F34" s="973" t="s">
        <v>3283</v>
      </c>
      <c r="G34" s="968" t="s">
        <v>3323</v>
      </c>
      <c r="H34" s="968" t="s">
        <v>3285</v>
      </c>
      <c r="I34" s="968"/>
      <c r="J34" s="842"/>
      <c r="K34" s="843"/>
      <c r="L34" s="1004"/>
      <c r="M34" s="1005"/>
      <c r="N34" s="968"/>
      <c r="O34" s="844"/>
      <c r="P34" s="1006"/>
      <c r="Q34" s="1007"/>
      <c r="R34" s="1008"/>
      <c r="S34" s="1009"/>
      <c r="T34" s="1009"/>
      <c r="U34" s="1010" t="e">
        <f>(Table48911128[[#This Row],[Invoice Value]]-Table48911128[[#This Row],[Total cost]])/Table48911128[[#This Row],[Invoice Value]]</f>
        <v>#DIV/0!</v>
      </c>
      <c r="V34" s="1008"/>
      <c r="W34" s="666"/>
      <c r="X34" s="1008" t="str">
        <f t="shared" si="12"/>
        <v xml:space="preserve"> - </v>
      </c>
      <c r="Y34" s="1008" t="str">
        <f t="shared" si="13"/>
        <v xml:space="preserve"> - </v>
      </c>
      <c r="Z34" s="1008"/>
      <c r="AA34" s="968" t="str">
        <f t="shared" ca="1" si="14"/>
        <v>-</v>
      </c>
      <c r="AB34" s="973"/>
      <c r="AC34" s="973"/>
      <c r="AD34" s="973"/>
      <c r="AE34" s="973"/>
      <c r="AF34" s="968"/>
      <c r="AG34" s="968"/>
      <c r="AH34" s="968"/>
      <c r="AI34" s="1012"/>
      <c r="AJ34" s="839"/>
      <c r="AK34" s="839"/>
      <c r="AL34" s="552"/>
      <c r="AM34" s="845"/>
      <c r="AN34" s="845"/>
      <c r="AO34" s="554"/>
      <c r="AP34" s="837"/>
      <c r="AQ34" s="837"/>
    </row>
    <row r="35" spans="1:43" s="846" customFormat="1" ht="43.5" customHeight="1">
      <c r="A35" s="861" t="s">
        <v>3410</v>
      </c>
      <c r="B35" s="839" t="s">
        <v>3356</v>
      </c>
      <c r="C35" s="870">
        <v>37410</v>
      </c>
      <c r="D35" s="867"/>
      <c r="E35" s="823" t="s">
        <v>3411</v>
      </c>
      <c r="F35" s="973" t="s">
        <v>3283</v>
      </c>
      <c r="G35" s="968" t="s">
        <v>3370</v>
      </c>
      <c r="H35" s="968" t="s">
        <v>3285</v>
      </c>
      <c r="I35" s="968"/>
      <c r="J35" s="842"/>
      <c r="K35" s="843"/>
      <c r="L35" s="1004"/>
      <c r="M35" s="1005"/>
      <c r="N35" s="968"/>
      <c r="O35" s="844"/>
      <c r="P35" s="1006"/>
      <c r="Q35" s="1007"/>
      <c r="R35" s="1008"/>
      <c r="S35" s="1009"/>
      <c r="T35" s="1009"/>
      <c r="U35" s="1010" t="e">
        <f>(Table48911128[[#This Row],[Invoice Value]]-Table48911128[[#This Row],[Total cost]])/Table48911128[[#This Row],[Invoice Value]]</f>
        <v>#DIV/0!</v>
      </c>
      <c r="V35" s="1008"/>
      <c r="W35" s="666"/>
      <c r="X35" s="1008" t="str">
        <f t="shared" si="12"/>
        <v xml:space="preserve"> - </v>
      </c>
      <c r="Y35" s="1008" t="str">
        <f t="shared" si="13"/>
        <v xml:space="preserve"> - </v>
      </c>
      <c r="Z35" s="1008"/>
      <c r="AA35" s="968" t="str">
        <f t="shared" ca="1" si="14"/>
        <v>-</v>
      </c>
      <c r="AB35" s="973"/>
      <c r="AC35" s="973"/>
      <c r="AD35" s="973"/>
      <c r="AE35" s="973"/>
      <c r="AF35" s="968"/>
      <c r="AG35" s="968"/>
      <c r="AH35" s="968"/>
      <c r="AI35" s="1012"/>
      <c r="AJ35" s="839"/>
      <c r="AK35" s="839"/>
      <c r="AL35" s="552"/>
      <c r="AM35" s="845"/>
      <c r="AN35" s="845"/>
      <c r="AO35" s="554"/>
      <c r="AP35" s="837"/>
      <c r="AQ35" s="868" t="s">
        <v>3412</v>
      </c>
    </row>
    <row r="36" spans="1:43" s="846" customFormat="1" ht="43.5" customHeight="1">
      <c r="A36" s="861" t="s">
        <v>3413</v>
      </c>
      <c r="B36" s="839" t="s">
        <v>3414</v>
      </c>
      <c r="C36" s="870">
        <v>93654</v>
      </c>
      <c r="D36" s="867"/>
      <c r="E36" s="823" t="s">
        <v>3415</v>
      </c>
      <c r="F36" s="973" t="s">
        <v>3283</v>
      </c>
      <c r="G36" s="968" t="s">
        <v>3370</v>
      </c>
      <c r="H36" s="968" t="s">
        <v>3285</v>
      </c>
      <c r="I36" s="968"/>
      <c r="J36" s="842"/>
      <c r="K36" s="843"/>
      <c r="L36" s="1004"/>
      <c r="M36" s="1005"/>
      <c r="N36" s="968"/>
      <c r="O36" s="844"/>
      <c r="P36" s="1006"/>
      <c r="Q36" s="1007"/>
      <c r="R36" s="1008"/>
      <c r="S36" s="1009"/>
      <c r="T36" s="1009"/>
      <c r="U36" s="1010" t="e">
        <f>(Table48911128[[#This Row],[Invoice Value]]-Table48911128[[#This Row],[Total cost]])/Table48911128[[#This Row],[Invoice Value]]</f>
        <v>#DIV/0!</v>
      </c>
      <c r="V36" s="1008"/>
      <c r="W36" s="666"/>
      <c r="X36" s="1008" t="str">
        <f t="shared" si="12"/>
        <v xml:space="preserve"> - </v>
      </c>
      <c r="Y36" s="1008" t="str">
        <f t="shared" si="13"/>
        <v xml:space="preserve"> - </v>
      </c>
      <c r="Z36" s="1008"/>
      <c r="AA36" s="968" t="str">
        <f t="shared" ca="1" si="14"/>
        <v>-</v>
      </c>
      <c r="AB36" s="973"/>
      <c r="AC36" s="973"/>
      <c r="AD36" s="973"/>
      <c r="AE36" s="973"/>
      <c r="AF36" s="968"/>
      <c r="AG36" s="968"/>
      <c r="AH36" s="968"/>
      <c r="AI36" s="1012"/>
      <c r="AJ36" s="839"/>
      <c r="AK36" s="839"/>
      <c r="AL36" s="552"/>
      <c r="AM36" s="845"/>
      <c r="AN36" s="845"/>
      <c r="AO36" s="554"/>
      <c r="AP36" s="837"/>
      <c r="AQ36" s="868" t="s">
        <v>3416</v>
      </c>
    </row>
    <row r="37" spans="1:43" s="846" customFormat="1" ht="43.5" customHeight="1">
      <c r="A37" s="861" t="s">
        <v>3417</v>
      </c>
      <c r="B37" s="839" t="s">
        <v>3414</v>
      </c>
      <c r="C37" s="870">
        <v>93654</v>
      </c>
      <c r="D37" s="867"/>
      <c r="E37" s="823" t="s">
        <v>3418</v>
      </c>
      <c r="F37" s="973" t="s">
        <v>3283</v>
      </c>
      <c r="G37" s="968" t="s">
        <v>3370</v>
      </c>
      <c r="H37" s="968" t="s">
        <v>3285</v>
      </c>
      <c r="I37" s="968"/>
      <c r="J37" s="842"/>
      <c r="K37" s="843"/>
      <c r="L37" s="1004"/>
      <c r="M37" s="1005"/>
      <c r="N37" s="968"/>
      <c r="O37" s="844"/>
      <c r="P37" s="1006"/>
      <c r="Q37" s="1007"/>
      <c r="R37" s="1008"/>
      <c r="S37" s="1009"/>
      <c r="T37" s="1009"/>
      <c r="U37" s="1010" t="e">
        <f>(Table48911128[[#This Row],[Invoice Value]]-Table48911128[[#This Row],[Total cost]])/Table48911128[[#This Row],[Invoice Value]]</f>
        <v>#DIV/0!</v>
      </c>
      <c r="V37" s="1008"/>
      <c r="W37" s="666"/>
      <c r="X37" s="1008" t="str">
        <f t="shared" si="12"/>
        <v xml:space="preserve"> - </v>
      </c>
      <c r="Y37" s="1008" t="str">
        <f t="shared" si="13"/>
        <v xml:space="preserve"> - </v>
      </c>
      <c r="Z37" s="1008"/>
      <c r="AA37" s="968" t="str">
        <f t="shared" ca="1" si="14"/>
        <v>-</v>
      </c>
      <c r="AB37" s="973"/>
      <c r="AC37" s="973"/>
      <c r="AD37" s="973"/>
      <c r="AE37" s="973"/>
      <c r="AF37" s="968"/>
      <c r="AG37" s="968"/>
      <c r="AH37" s="968"/>
      <c r="AI37" s="1012"/>
      <c r="AJ37" s="839"/>
      <c r="AK37" s="839"/>
      <c r="AL37" s="552"/>
      <c r="AM37" s="845"/>
      <c r="AN37" s="845"/>
      <c r="AO37" s="554"/>
      <c r="AP37" s="837"/>
      <c r="AQ37" s="868" t="s">
        <v>3419</v>
      </c>
    </row>
    <row r="38" spans="1:43" s="846" customFormat="1" ht="43.5" customHeight="1">
      <c r="A38" s="861" t="s">
        <v>3420</v>
      </c>
      <c r="B38" s="839"/>
      <c r="C38" s="870"/>
      <c r="D38" s="867"/>
      <c r="E38" s="823" t="s">
        <v>3421</v>
      </c>
      <c r="F38" s="973" t="s">
        <v>3283</v>
      </c>
      <c r="G38" s="968" t="s">
        <v>3323</v>
      </c>
      <c r="H38" s="968" t="s">
        <v>3285</v>
      </c>
      <c r="I38" s="968"/>
      <c r="J38" s="842"/>
      <c r="K38" s="843"/>
      <c r="L38" s="1004"/>
      <c r="M38" s="1005"/>
      <c r="N38" s="968"/>
      <c r="O38" s="844"/>
      <c r="P38" s="1006"/>
      <c r="Q38" s="1007"/>
      <c r="R38" s="1008"/>
      <c r="S38" s="1009"/>
      <c r="T38" s="1009"/>
      <c r="U38" s="1010" t="e">
        <f>(Table48911128[[#This Row],[Invoice Value]]-Table48911128[[#This Row],[Total cost]])/Table48911128[[#This Row],[Invoice Value]]</f>
        <v>#DIV/0!</v>
      </c>
      <c r="V38" s="1008"/>
      <c r="W38" s="666"/>
      <c r="X38" s="1008" t="str">
        <f t="shared" si="12"/>
        <v xml:space="preserve"> - </v>
      </c>
      <c r="Y38" s="1008" t="str">
        <f t="shared" si="13"/>
        <v xml:space="preserve"> - </v>
      </c>
      <c r="Z38" s="1008"/>
      <c r="AA38" s="968" t="str">
        <f t="shared" ca="1" si="14"/>
        <v>-</v>
      </c>
      <c r="AB38" s="973"/>
      <c r="AC38" s="973"/>
      <c r="AD38" s="973"/>
      <c r="AE38" s="973"/>
      <c r="AF38" s="968"/>
      <c r="AG38" s="968"/>
      <c r="AH38" s="968"/>
      <c r="AI38" s="1012"/>
      <c r="AJ38" s="839"/>
      <c r="AK38" s="839"/>
      <c r="AL38" s="552"/>
      <c r="AM38" s="845"/>
      <c r="AN38" s="845"/>
      <c r="AO38" s="554"/>
      <c r="AP38" s="837"/>
      <c r="AQ38" s="837"/>
    </row>
    <row r="39" spans="1:43" s="846" customFormat="1" ht="43.5" customHeight="1">
      <c r="A39" s="861" t="s">
        <v>3422</v>
      </c>
      <c r="B39" s="839" t="s">
        <v>3423</v>
      </c>
      <c r="C39" s="870">
        <v>5950</v>
      </c>
      <c r="D39" s="867"/>
      <c r="E39" s="823" t="s">
        <v>3424</v>
      </c>
      <c r="F39" s="973" t="s">
        <v>3283</v>
      </c>
      <c r="G39" s="968" t="s">
        <v>3315</v>
      </c>
      <c r="H39" s="968" t="s">
        <v>3285</v>
      </c>
      <c r="I39" s="968" t="s">
        <v>3425</v>
      </c>
      <c r="J39" s="842"/>
      <c r="K39" s="843"/>
      <c r="L39" s="1004"/>
      <c r="M39" s="1005"/>
      <c r="N39" s="968"/>
      <c r="O39" s="844"/>
      <c r="P39" s="1006"/>
      <c r="Q39" s="1007"/>
      <c r="R39" s="1008"/>
      <c r="S39" s="1009"/>
      <c r="T39" s="1009"/>
      <c r="U39" s="1010" t="e">
        <f>(Table48911128[[#This Row],[Invoice Value]]-Table48911128[[#This Row],[Total cost]])/Table48911128[[#This Row],[Invoice Value]]</f>
        <v>#DIV/0!</v>
      </c>
      <c r="V39" s="1008"/>
      <c r="W39" s="666"/>
      <c r="X39" s="1008" t="str">
        <f t="shared" si="12"/>
        <v xml:space="preserve"> - </v>
      </c>
      <c r="Y39" s="1008" t="str">
        <f t="shared" si="13"/>
        <v xml:space="preserve"> - </v>
      </c>
      <c r="Z39" s="1008"/>
      <c r="AA39" s="968" t="str">
        <f t="shared" ca="1" si="14"/>
        <v>-</v>
      </c>
      <c r="AB39" s="973"/>
      <c r="AC39" s="973"/>
      <c r="AD39" s="973"/>
      <c r="AE39" s="973"/>
      <c r="AF39" s="968"/>
      <c r="AG39" s="968"/>
      <c r="AH39" s="968"/>
      <c r="AI39" s="1012"/>
      <c r="AJ39" s="839"/>
      <c r="AK39" s="839"/>
      <c r="AL39" s="552"/>
      <c r="AM39" s="845"/>
      <c r="AN39" s="845"/>
      <c r="AO39" s="554"/>
      <c r="AP39" s="837"/>
      <c r="AQ39" s="837"/>
    </row>
    <row r="40" spans="1:43" s="846" customFormat="1" ht="43.5" customHeight="1">
      <c r="A40" s="861" t="s">
        <v>3426</v>
      </c>
      <c r="B40" s="839" t="s">
        <v>3427</v>
      </c>
      <c r="C40" s="870">
        <v>150327</v>
      </c>
      <c r="D40" s="867"/>
      <c r="E40" s="823" t="s">
        <v>3428</v>
      </c>
      <c r="F40" s="973" t="s">
        <v>3283</v>
      </c>
      <c r="G40" s="968" t="s">
        <v>3323</v>
      </c>
      <c r="H40" s="968" t="s">
        <v>3285</v>
      </c>
      <c r="I40" s="968" t="s">
        <v>3429</v>
      </c>
      <c r="J40" s="842"/>
      <c r="K40" s="843"/>
      <c r="L40" s="1004"/>
      <c r="M40" s="1005"/>
      <c r="N40" s="968"/>
      <c r="O40" s="844"/>
      <c r="P40" s="1006"/>
      <c r="Q40" s="1007"/>
      <c r="R40" s="1008"/>
      <c r="S40" s="1009"/>
      <c r="T40" s="1009"/>
      <c r="U40" s="1010" t="e">
        <f>(Table48911128[[#This Row],[Invoice Value]]-Table48911128[[#This Row],[Total cost]])/Table48911128[[#This Row],[Invoice Value]]</f>
        <v>#DIV/0!</v>
      </c>
      <c r="V40" s="1008"/>
      <c r="W40" s="666"/>
      <c r="X40" s="1008" t="str">
        <f t="shared" si="12"/>
        <v xml:space="preserve"> - </v>
      </c>
      <c r="Y40" s="1008" t="str">
        <f t="shared" si="13"/>
        <v xml:space="preserve"> - </v>
      </c>
      <c r="Z40" s="1008"/>
      <c r="AA40" s="968" t="str">
        <f t="shared" ca="1" si="14"/>
        <v>-</v>
      </c>
      <c r="AB40" s="973"/>
      <c r="AC40" s="973"/>
      <c r="AD40" s="973"/>
      <c r="AE40" s="973"/>
      <c r="AF40" s="968"/>
      <c r="AG40" s="968"/>
      <c r="AH40" s="968"/>
      <c r="AI40" s="1012"/>
      <c r="AJ40" s="839"/>
      <c r="AK40" s="839"/>
      <c r="AL40" s="552"/>
      <c r="AM40" s="845"/>
      <c r="AN40" s="845"/>
      <c r="AO40" s="554"/>
      <c r="AP40" s="837"/>
      <c r="AQ40" s="837"/>
    </row>
    <row r="41" spans="1:43" s="846" customFormat="1" ht="43.5" customHeight="1">
      <c r="A41" s="861" t="s">
        <v>3430</v>
      </c>
      <c r="B41" s="839" t="s">
        <v>3431</v>
      </c>
      <c r="C41" s="870">
        <v>15501</v>
      </c>
      <c r="D41" s="867"/>
      <c r="E41" s="823" t="s">
        <v>3402</v>
      </c>
      <c r="F41" s="973" t="s">
        <v>3283</v>
      </c>
      <c r="G41" s="968" t="s">
        <v>3315</v>
      </c>
      <c r="H41" s="968" t="s">
        <v>3285</v>
      </c>
      <c r="I41" s="968"/>
      <c r="J41" s="842"/>
      <c r="K41" s="843"/>
      <c r="L41" s="1004"/>
      <c r="M41" s="1005"/>
      <c r="N41" s="968"/>
      <c r="O41" s="844"/>
      <c r="P41" s="1006"/>
      <c r="Q41" s="1007"/>
      <c r="R41" s="1008"/>
      <c r="S41" s="1009"/>
      <c r="T41" s="1009"/>
      <c r="U41" s="1010" t="e">
        <f>(Table48911128[[#This Row],[Invoice Value]]-Table48911128[[#This Row],[Total cost]])/Table48911128[[#This Row],[Invoice Value]]</f>
        <v>#DIV/0!</v>
      </c>
      <c r="V41" s="1008"/>
      <c r="W41" s="666"/>
      <c r="X41" s="1008" t="str">
        <f t="shared" si="3"/>
        <v xml:space="preserve"> - </v>
      </c>
      <c r="Y41" s="1008" t="str">
        <f t="shared" si="4"/>
        <v xml:space="preserve"> - </v>
      </c>
      <c r="Z41" s="1008"/>
      <c r="AA41" s="968" t="str">
        <f t="shared" ca="1" si="5"/>
        <v>-</v>
      </c>
      <c r="AB41" s="973"/>
      <c r="AC41" s="973"/>
      <c r="AD41" s="973"/>
      <c r="AE41" s="973"/>
      <c r="AF41" s="968"/>
      <c r="AG41" s="968"/>
      <c r="AH41" s="968"/>
      <c r="AI41" s="1012"/>
      <c r="AJ41" s="839"/>
      <c r="AK41" s="839"/>
      <c r="AL41" s="552"/>
      <c r="AM41" s="845"/>
      <c r="AN41" s="845"/>
      <c r="AO41" s="554"/>
      <c r="AP41" s="837"/>
      <c r="AQ41" s="837"/>
    </row>
    <row r="42" spans="1:43" s="879" customFormat="1" ht="51" customHeight="1">
      <c r="A42" s="968" t="s">
        <v>3432</v>
      </c>
      <c r="B42" s="839" t="s">
        <v>3433</v>
      </c>
      <c r="C42" s="870">
        <v>23353.84</v>
      </c>
      <c r="D42" s="878"/>
      <c r="E42" s="1003" t="s">
        <v>3434</v>
      </c>
      <c r="F42" s="973" t="s">
        <v>3283</v>
      </c>
      <c r="G42" s="968" t="s">
        <v>3315</v>
      </c>
      <c r="H42" s="968" t="s">
        <v>3285</v>
      </c>
      <c r="I42" s="968"/>
      <c r="J42" s="842"/>
      <c r="K42" s="843"/>
      <c r="L42" s="1004"/>
      <c r="M42" s="1005"/>
      <c r="N42" s="968"/>
      <c r="O42" s="844"/>
      <c r="P42" s="1006"/>
      <c r="Q42" s="1007"/>
      <c r="R42" s="1008"/>
      <c r="S42" s="1009"/>
      <c r="T42" s="1009"/>
      <c r="U42" s="1010" t="e">
        <f>(Table48911128[[#This Row],[Invoice Value]]-Table48911128[[#This Row],[Total cost]])/Table48911128[[#This Row],[Invoice Value]]</f>
        <v>#DIV/0!</v>
      </c>
      <c r="V42" s="1008"/>
      <c r="W42" s="666"/>
      <c r="X42" s="1008" t="str">
        <f t="shared" si="0"/>
        <v xml:space="preserve"> - </v>
      </c>
      <c r="Y42" s="1008" t="str">
        <f t="shared" si="1"/>
        <v xml:space="preserve"> - </v>
      </c>
      <c r="Z42" s="1008"/>
      <c r="AA42" s="968" t="str">
        <f t="shared" ca="1" si="2"/>
        <v>-</v>
      </c>
      <c r="AB42" s="973"/>
      <c r="AC42" s="973"/>
      <c r="AD42" s="973"/>
      <c r="AE42" s="973"/>
      <c r="AF42" s="968"/>
      <c r="AG42" s="968"/>
      <c r="AH42" s="968"/>
      <c r="AI42" s="1012"/>
      <c r="AJ42" s="839"/>
      <c r="AK42" s="839"/>
      <c r="AL42" s="552"/>
      <c r="AM42" s="845"/>
      <c r="AN42" s="845"/>
      <c r="AO42" s="554"/>
      <c r="AP42" s="837"/>
      <c r="AQ42" s="837"/>
    </row>
    <row r="43" spans="1:43" s="934" customFormat="1" ht="51" customHeight="1">
      <c r="A43" s="1014" t="s">
        <v>3435</v>
      </c>
      <c r="B43" s="839" t="s">
        <v>3436</v>
      </c>
      <c r="C43" s="870">
        <v>69233.8</v>
      </c>
      <c r="D43" s="748"/>
      <c r="E43" s="935" t="s">
        <v>3437</v>
      </c>
      <c r="F43" s="973" t="s">
        <v>3283</v>
      </c>
      <c r="G43" s="968" t="s">
        <v>3438</v>
      </c>
      <c r="H43" s="968" t="s">
        <v>3285</v>
      </c>
      <c r="I43" s="968" t="s">
        <v>3439</v>
      </c>
      <c r="J43" s="536">
        <v>202507</v>
      </c>
      <c r="K43" s="549"/>
      <c r="L43" s="1015"/>
      <c r="M43" s="969"/>
      <c r="N43" s="970"/>
      <c r="O43" s="550"/>
      <c r="P43" s="1016"/>
      <c r="Q43" s="1017"/>
      <c r="R43" s="1018"/>
      <c r="S43" s="1019"/>
      <c r="T43" s="1019"/>
      <c r="U43" s="1020" t="e">
        <f>(Table48911128[[#This Row],[Invoice Value]]-Table48911128[[#This Row],[Total cost]])/Table48911128[[#This Row],[Invoice Value]]</f>
        <v>#DIV/0!</v>
      </c>
      <c r="V43" s="1018"/>
      <c r="W43" s="551"/>
      <c r="X43" s="1018" t="str">
        <f t="shared" ref="X43" si="15">IF(Q43&gt;0,Q43+3," - ")</f>
        <v xml:space="preserve"> - </v>
      </c>
      <c r="Y43" s="1018" t="str">
        <f t="shared" ref="Y43" si="16">IF(Q43&gt;0,Q43+14," - ")</f>
        <v xml:space="preserve"> - </v>
      </c>
      <c r="Z43" s="1018"/>
      <c r="AA43" s="970" t="str">
        <f t="shared" ref="AA43" ca="1" si="17">IF(P43=0,"-",IF(Z43&gt;0,"Delivered",IF(TODAY()&gt;Y43,"Overdue",IF(TODAY()&lt;Y43,"In Progress"))))</f>
        <v>-</v>
      </c>
      <c r="AB43" s="971"/>
      <c r="AC43" s="971"/>
      <c r="AD43" s="971"/>
      <c r="AE43" s="971"/>
      <c r="AF43" s="970"/>
      <c r="AG43" s="970"/>
      <c r="AH43" s="970"/>
      <c r="AI43" s="972"/>
      <c r="AJ43" s="547"/>
      <c r="AK43" s="547"/>
      <c r="AL43" s="552"/>
      <c r="AM43" s="553"/>
      <c r="AN43" s="553"/>
      <c r="AO43" s="554"/>
      <c r="AP43" s="507"/>
      <c r="AQ43" s="406"/>
    </row>
    <row r="44" spans="1:43" s="934" customFormat="1" ht="51" customHeight="1">
      <c r="A44" s="1014" t="s">
        <v>3440</v>
      </c>
      <c r="B44" s="839" t="s">
        <v>3436</v>
      </c>
      <c r="C44" s="870">
        <v>69233.8</v>
      </c>
      <c r="D44" s="748"/>
      <c r="E44" s="935" t="s">
        <v>3441</v>
      </c>
      <c r="F44" s="973" t="s">
        <v>3283</v>
      </c>
      <c r="G44" s="968" t="s">
        <v>3438</v>
      </c>
      <c r="H44" s="968" t="s">
        <v>3285</v>
      </c>
      <c r="I44" s="968" t="s">
        <v>3439</v>
      </c>
      <c r="J44" s="536">
        <v>202512</v>
      </c>
      <c r="K44" s="549"/>
      <c r="L44" s="1015"/>
      <c r="M44" s="969"/>
      <c r="N44" s="970"/>
      <c r="O44" s="550"/>
      <c r="P44" s="1016"/>
      <c r="Q44" s="1017"/>
      <c r="R44" s="1018"/>
      <c r="S44" s="1019"/>
      <c r="T44" s="1019"/>
      <c r="U44" s="1020" t="e">
        <f>(Table48911128[[#This Row],[Invoice Value]]-Table48911128[[#This Row],[Total cost]])/Table48911128[[#This Row],[Invoice Value]]</f>
        <v>#DIV/0!</v>
      </c>
      <c r="V44" s="1018"/>
      <c r="W44" s="551"/>
      <c r="X44" s="1018" t="str">
        <f>IF(Q44&gt;0,Q44+3," - ")</f>
        <v xml:space="preserve"> - </v>
      </c>
      <c r="Y44" s="1018" t="str">
        <f>IF(Q44&gt;0,Q44+14," - ")</f>
        <v xml:space="preserve"> - </v>
      </c>
      <c r="Z44" s="1018"/>
      <c r="AA44" s="970" t="str">
        <f ca="1">IF(P44=0,"-",IF(Z44&gt;0,"Delivered",IF(TODAY()&gt;Y44,"Overdue",IF(TODAY()&lt;Y44,"In Progress"))))</f>
        <v>-</v>
      </c>
      <c r="AB44" s="971"/>
      <c r="AC44" s="971"/>
      <c r="AD44" s="971"/>
      <c r="AE44" s="971"/>
      <c r="AF44" s="970"/>
      <c r="AG44" s="970"/>
      <c r="AH44" s="970"/>
      <c r="AI44" s="972"/>
      <c r="AJ44" s="547"/>
      <c r="AK44" s="547"/>
      <c r="AL44" s="552"/>
      <c r="AM44" s="553"/>
      <c r="AN44" s="553"/>
      <c r="AO44" s="554"/>
      <c r="AP44" s="507"/>
      <c r="AQ44" s="406"/>
    </row>
    <row r="45" spans="1:43" s="934" customFormat="1" ht="51" customHeight="1">
      <c r="A45" s="1014" t="s">
        <v>3442</v>
      </c>
      <c r="B45" s="1034"/>
      <c r="C45" s="1035"/>
      <c r="D45" s="1036"/>
      <c r="E45" s="1037" t="s">
        <v>3443</v>
      </c>
      <c r="F45" s="1049" t="s">
        <v>3366</v>
      </c>
      <c r="G45" s="1048" t="s">
        <v>3370</v>
      </c>
      <c r="H45" s="968" t="s">
        <v>3285</v>
      </c>
      <c r="I45" s="1056"/>
      <c r="J45" s="1038"/>
      <c r="K45" s="1039"/>
      <c r="L45" s="1057"/>
      <c r="M45" s="1058"/>
      <c r="N45" s="1056"/>
      <c r="O45" s="1040"/>
      <c r="P45" s="1059"/>
      <c r="Q45" s="1060"/>
      <c r="R45" s="1061"/>
      <c r="S45" s="1062"/>
      <c r="T45" s="1062"/>
      <c r="U45" s="1063" t="e">
        <f>(Table48911128[[#This Row],[Invoice Value]]-Table48911128[[#This Row],[Total cost]])/Table48911128[[#This Row],[Invoice Value]]</f>
        <v>#DIV/0!</v>
      </c>
      <c r="V45" s="1061"/>
      <c r="W45" s="1041"/>
      <c r="X45" s="1061" t="str">
        <f t="shared" ref="X45:X52" si="18">IF(Q45&gt;0,Q45+3," - ")</f>
        <v xml:space="preserve"> - </v>
      </c>
      <c r="Y45" s="1061" t="str">
        <f t="shared" ref="Y45:Y52" si="19">IF(Q45&gt;0,Q45+14," - ")</f>
        <v xml:space="preserve"> - </v>
      </c>
      <c r="Z45" s="1061"/>
      <c r="AA45" s="1056" t="str">
        <f t="shared" ref="AA45:AA52" ca="1" si="20">IF(P45=0,"-",IF(Z45&gt;0,"Delivered",IF(TODAY()&gt;Y45,"Overdue",IF(TODAY()&lt;Y45,"In Progress"))))</f>
        <v>-</v>
      </c>
      <c r="AB45" s="1064"/>
      <c r="AC45" s="1064"/>
      <c r="AD45" s="1064"/>
      <c r="AE45" s="1064"/>
      <c r="AF45" s="1056"/>
      <c r="AG45" s="1056"/>
      <c r="AH45" s="1056"/>
      <c r="AI45" s="1065"/>
      <c r="AJ45" s="1034"/>
      <c r="AK45" s="1034"/>
      <c r="AL45" s="1042"/>
      <c r="AM45" s="1043"/>
      <c r="AN45" s="1043"/>
      <c r="AO45" s="1044"/>
      <c r="AP45" s="1045"/>
      <c r="AQ45" s="1046"/>
    </row>
    <row r="46" spans="1:43" s="934" customFormat="1" ht="51" customHeight="1">
      <c r="A46" s="1014" t="s">
        <v>3444</v>
      </c>
      <c r="B46" s="1034"/>
      <c r="C46" s="1035"/>
      <c r="D46" s="1036"/>
      <c r="E46" s="1037" t="s">
        <v>3445</v>
      </c>
      <c r="F46" s="1049" t="s">
        <v>3366</v>
      </c>
      <c r="G46" s="1048" t="s">
        <v>3370</v>
      </c>
      <c r="H46" s="968" t="s">
        <v>3285</v>
      </c>
      <c r="I46" s="1056"/>
      <c r="J46" s="1038">
        <v>202508</v>
      </c>
      <c r="K46" s="1039"/>
      <c r="L46" s="1057"/>
      <c r="M46" s="1058"/>
      <c r="N46" s="1056"/>
      <c r="O46" s="1040"/>
      <c r="P46" s="1059"/>
      <c r="Q46" s="1060"/>
      <c r="R46" s="1061"/>
      <c r="S46" s="1062"/>
      <c r="T46" s="1062"/>
      <c r="U46" s="1063" t="e">
        <f>(Table48911128[[#This Row],[Invoice Value]]-Table48911128[[#This Row],[Total cost]])/Table48911128[[#This Row],[Invoice Value]]</f>
        <v>#DIV/0!</v>
      </c>
      <c r="V46" s="1061"/>
      <c r="W46" s="1041"/>
      <c r="X46" s="1061" t="str">
        <f t="shared" si="18"/>
        <v xml:space="preserve"> - </v>
      </c>
      <c r="Y46" s="1061" t="str">
        <f t="shared" si="19"/>
        <v xml:space="preserve"> - </v>
      </c>
      <c r="Z46" s="1061"/>
      <c r="AA46" s="1056" t="str">
        <f t="shared" ca="1" si="20"/>
        <v>-</v>
      </c>
      <c r="AB46" s="1064"/>
      <c r="AC46" s="1064"/>
      <c r="AD46" s="1064"/>
      <c r="AE46" s="1064"/>
      <c r="AF46" s="1056"/>
      <c r="AG46" s="1056"/>
      <c r="AH46" s="1056"/>
      <c r="AI46" s="1066"/>
      <c r="AJ46" s="1034"/>
      <c r="AK46" s="1034"/>
      <c r="AL46" s="1042"/>
      <c r="AM46" s="1043"/>
      <c r="AN46" s="1043"/>
      <c r="AO46" s="1044"/>
      <c r="AP46" s="1045"/>
      <c r="AQ46" s="1046"/>
    </row>
    <row r="47" spans="1:43" s="934" customFormat="1" ht="51" customHeight="1">
      <c r="A47" s="1014" t="s">
        <v>3446</v>
      </c>
      <c r="B47" s="1034"/>
      <c r="C47" s="1035"/>
      <c r="D47" s="1036"/>
      <c r="E47" s="1050" t="s">
        <v>3447</v>
      </c>
      <c r="F47" s="1049" t="s">
        <v>3366</v>
      </c>
      <c r="G47" s="1047" t="s">
        <v>3396</v>
      </c>
      <c r="H47" s="968" t="s">
        <v>3285</v>
      </c>
      <c r="I47" s="1056"/>
      <c r="J47" s="1038">
        <v>202507</v>
      </c>
      <c r="K47" s="1039"/>
      <c r="L47" s="1057"/>
      <c r="M47" s="1058"/>
      <c r="N47" s="1056"/>
      <c r="O47" s="1040"/>
      <c r="P47" s="1059"/>
      <c r="Q47" s="1060"/>
      <c r="R47" s="1061"/>
      <c r="S47" s="1062"/>
      <c r="T47" s="1062"/>
      <c r="U47" s="1063" t="e">
        <f>(Table48911128[[#This Row],[Invoice Value]]-Table48911128[[#This Row],[Total cost]])/Table48911128[[#This Row],[Invoice Value]]</f>
        <v>#DIV/0!</v>
      </c>
      <c r="V47" s="1061"/>
      <c r="W47" s="1041"/>
      <c r="X47" s="1061" t="str">
        <f t="shared" si="18"/>
        <v xml:space="preserve"> - </v>
      </c>
      <c r="Y47" s="1061" t="str">
        <f t="shared" si="19"/>
        <v xml:space="preserve"> - </v>
      </c>
      <c r="Z47" s="1061"/>
      <c r="AA47" s="1056" t="str">
        <f t="shared" ca="1" si="20"/>
        <v>-</v>
      </c>
      <c r="AB47" s="1064"/>
      <c r="AC47" s="1064"/>
      <c r="AD47" s="1064"/>
      <c r="AE47" s="1064"/>
      <c r="AF47" s="1056"/>
      <c r="AG47" s="1056"/>
      <c r="AH47" s="1056"/>
      <c r="AI47" s="1066"/>
      <c r="AJ47" s="1034"/>
      <c r="AK47" s="1034"/>
      <c r="AL47" s="1042"/>
      <c r="AM47" s="1043"/>
      <c r="AN47" s="1043"/>
      <c r="AO47" s="1044"/>
      <c r="AP47" s="1045"/>
      <c r="AQ47" s="1046"/>
    </row>
    <row r="48" spans="1:43" s="934" customFormat="1" ht="51" customHeight="1">
      <c r="A48" s="1014" t="s">
        <v>3448</v>
      </c>
      <c r="B48" s="1034"/>
      <c r="C48" s="1035"/>
      <c r="D48" s="1036"/>
      <c r="E48" s="1050" t="s">
        <v>3449</v>
      </c>
      <c r="F48" s="1049" t="s">
        <v>3366</v>
      </c>
      <c r="G48" s="1047" t="s">
        <v>3396</v>
      </c>
      <c r="H48" s="968" t="s">
        <v>3285</v>
      </c>
      <c r="I48" s="1056"/>
      <c r="J48" s="1038">
        <v>202508</v>
      </c>
      <c r="K48" s="1039"/>
      <c r="L48" s="1057"/>
      <c r="M48" s="1058"/>
      <c r="N48" s="1056"/>
      <c r="O48" s="1040"/>
      <c r="P48" s="1059"/>
      <c r="Q48" s="1060"/>
      <c r="R48" s="1061"/>
      <c r="S48" s="1062"/>
      <c r="T48" s="1062"/>
      <c r="U48" s="1063" t="e">
        <f>(Table48911128[[#This Row],[Invoice Value]]-Table48911128[[#This Row],[Total cost]])/Table48911128[[#This Row],[Invoice Value]]</f>
        <v>#DIV/0!</v>
      </c>
      <c r="V48" s="1061"/>
      <c r="W48" s="1041"/>
      <c r="X48" s="1061" t="str">
        <f t="shared" si="18"/>
        <v xml:space="preserve"> - </v>
      </c>
      <c r="Y48" s="1061" t="str">
        <f t="shared" si="19"/>
        <v xml:space="preserve"> - </v>
      </c>
      <c r="Z48" s="1061"/>
      <c r="AA48" s="1056" t="str">
        <f t="shared" ca="1" si="20"/>
        <v>-</v>
      </c>
      <c r="AB48" s="1064"/>
      <c r="AC48" s="1064"/>
      <c r="AD48" s="1064"/>
      <c r="AE48" s="1064"/>
      <c r="AF48" s="1056"/>
      <c r="AG48" s="1056"/>
      <c r="AH48" s="1056"/>
      <c r="AI48" s="1066"/>
      <c r="AJ48" s="1034"/>
      <c r="AK48" s="1034"/>
      <c r="AL48" s="1042"/>
      <c r="AM48" s="1043"/>
      <c r="AN48" s="1043"/>
      <c r="AO48" s="1044"/>
      <c r="AP48" s="1045"/>
      <c r="AQ48" s="1046"/>
    </row>
    <row r="49" spans="1:43" s="934" customFormat="1" ht="51" customHeight="1">
      <c r="A49" s="1014" t="s">
        <v>3450</v>
      </c>
      <c r="B49" s="1034"/>
      <c r="C49" s="1035"/>
      <c r="D49" s="1036"/>
      <c r="E49" s="1037" t="s">
        <v>3451</v>
      </c>
      <c r="F49" s="1049" t="s">
        <v>3314</v>
      </c>
      <c r="G49" s="1047" t="s">
        <v>3370</v>
      </c>
      <c r="H49" s="968" t="s">
        <v>3285</v>
      </c>
      <c r="I49" s="1056"/>
      <c r="J49" s="1038">
        <v>202506</v>
      </c>
      <c r="K49" s="1039"/>
      <c r="L49" s="1057"/>
      <c r="M49" s="1058"/>
      <c r="N49" s="1056"/>
      <c r="O49" s="1040"/>
      <c r="P49" s="1059"/>
      <c r="Q49" s="1060"/>
      <c r="R49" s="1061"/>
      <c r="S49" s="1062"/>
      <c r="T49" s="1062"/>
      <c r="U49" s="1063" t="e">
        <f>(Table48911128[[#This Row],[Invoice Value]]-Table48911128[[#This Row],[Total cost]])/Table48911128[[#This Row],[Invoice Value]]</f>
        <v>#DIV/0!</v>
      </c>
      <c r="V49" s="1061"/>
      <c r="W49" s="1041"/>
      <c r="X49" s="1061" t="str">
        <f t="shared" si="18"/>
        <v xml:space="preserve"> - </v>
      </c>
      <c r="Y49" s="1061" t="str">
        <f t="shared" si="19"/>
        <v xml:space="preserve"> - </v>
      </c>
      <c r="Z49" s="1061"/>
      <c r="AA49" s="1056" t="str">
        <f t="shared" ca="1" si="20"/>
        <v>-</v>
      </c>
      <c r="AB49" s="1064"/>
      <c r="AC49" s="1064"/>
      <c r="AD49" s="1064"/>
      <c r="AE49" s="1064"/>
      <c r="AF49" s="1056"/>
      <c r="AG49" s="1056"/>
      <c r="AH49" s="1056"/>
      <c r="AI49" s="1066"/>
      <c r="AJ49" s="1034"/>
      <c r="AK49" s="1034"/>
      <c r="AL49" s="1042"/>
      <c r="AM49" s="1043"/>
      <c r="AN49" s="1043"/>
      <c r="AO49" s="1044"/>
      <c r="AP49" s="1045"/>
      <c r="AQ49" s="1046"/>
    </row>
    <row r="50" spans="1:43" s="934" customFormat="1" ht="51" customHeight="1">
      <c r="A50" s="1014" t="s">
        <v>3452</v>
      </c>
      <c r="B50" s="1034"/>
      <c r="C50" s="1035"/>
      <c r="D50" s="1036"/>
      <c r="E50" s="1037" t="s">
        <v>3453</v>
      </c>
      <c r="F50" s="1049" t="s">
        <v>3283</v>
      </c>
      <c r="G50" s="1047" t="s">
        <v>3315</v>
      </c>
      <c r="H50" s="968" t="s">
        <v>3285</v>
      </c>
      <c r="I50" s="1056"/>
      <c r="J50" s="1038">
        <v>202507</v>
      </c>
      <c r="K50" s="1039"/>
      <c r="L50" s="1057"/>
      <c r="M50" s="1058"/>
      <c r="N50" s="1056"/>
      <c r="O50" s="1040"/>
      <c r="P50" s="1059"/>
      <c r="Q50" s="1060"/>
      <c r="R50" s="1061"/>
      <c r="S50" s="1062"/>
      <c r="T50" s="1062"/>
      <c r="U50" s="1063" t="e">
        <f>(Table48911128[[#This Row],[Invoice Value]]-Table48911128[[#This Row],[Total cost]])/Table48911128[[#This Row],[Invoice Value]]</f>
        <v>#DIV/0!</v>
      </c>
      <c r="V50" s="1061"/>
      <c r="W50" s="1041"/>
      <c r="X50" s="1061" t="str">
        <f t="shared" si="18"/>
        <v xml:space="preserve"> - </v>
      </c>
      <c r="Y50" s="1061" t="str">
        <f t="shared" si="19"/>
        <v xml:space="preserve"> - </v>
      </c>
      <c r="Z50" s="1061"/>
      <c r="AA50" s="1056" t="str">
        <f t="shared" ca="1" si="20"/>
        <v>-</v>
      </c>
      <c r="AB50" s="1064"/>
      <c r="AC50" s="1064"/>
      <c r="AD50" s="1064"/>
      <c r="AE50" s="1064"/>
      <c r="AF50" s="1056"/>
      <c r="AG50" s="1056"/>
      <c r="AH50" s="1056"/>
      <c r="AI50" s="1066"/>
      <c r="AJ50" s="1034"/>
      <c r="AK50" s="1034"/>
      <c r="AL50" s="1042"/>
      <c r="AM50" s="1043"/>
      <c r="AN50" s="1043"/>
      <c r="AO50" s="1044"/>
      <c r="AP50" s="1045"/>
      <c r="AQ50" s="1046"/>
    </row>
    <row r="51" spans="1:43" s="934" customFormat="1" ht="51" customHeight="1">
      <c r="A51" s="1014" t="s">
        <v>3454</v>
      </c>
      <c r="B51" s="1034"/>
      <c r="C51" s="1035"/>
      <c r="D51" s="1036"/>
      <c r="E51" s="1037" t="s">
        <v>3455</v>
      </c>
      <c r="F51" s="1049" t="s">
        <v>3283</v>
      </c>
      <c r="G51" s="1047" t="s">
        <v>3456</v>
      </c>
      <c r="H51" s="968" t="s">
        <v>3285</v>
      </c>
      <c r="I51" s="1056"/>
      <c r="J51" s="1038">
        <v>202508</v>
      </c>
      <c r="K51" s="1039"/>
      <c r="L51" s="1057"/>
      <c r="M51" s="1058"/>
      <c r="N51" s="1056"/>
      <c r="O51" s="1040"/>
      <c r="P51" s="1059"/>
      <c r="Q51" s="1060"/>
      <c r="R51" s="1061"/>
      <c r="S51" s="1062"/>
      <c r="T51" s="1062"/>
      <c r="U51" s="1063" t="e">
        <f>(Table48911128[[#This Row],[Invoice Value]]-Table48911128[[#This Row],[Total cost]])/Table48911128[[#This Row],[Invoice Value]]</f>
        <v>#DIV/0!</v>
      </c>
      <c r="V51" s="1061"/>
      <c r="W51" s="1041"/>
      <c r="X51" s="1061" t="str">
        <f t="shared" si="18"/>
        <v xml:space="preserve"> - </v>
      </c>
      <c r="Y51" s="1061" t="str">
        <f t="shared" si="19"/>
        <v xml:space="preserve"> - </v>
      </c>
      <c r="Z51" s="1061"/>
      <c r="AA51" s="1056" t="str">
        <f t="shared" ca="1" si="20"/>
        <v>-</v>
      </c>
      <c r="AB51" s="1064"/>
      <c r="AC51" s="1064"/>
      <c r="AD51" s="1064"/>
      <c r="AE51" s="1064"/>
      <c r="AF51" s="1056"/>
      <c r="AG51" s="1056"/>
      <c r="AH51" s="1056"/>
      <c r="AI51" s="1066"/>
      <c r="AJ51" s="1034"/>
      <c r="AK51" s="1034"/>
      <c r="AL51" s="1042"/>
      <c r="AM51" s="1043"/>
      <c r="AN51" s="1043"/>
      <c r="AO51" s="1044"/>
      <c r="AP51" s="1045"/>
      <c r="AQ51" s="1046"/>
    </row>
    <row r="52" spans="1:43" s="934" customFormat="1" ht="51" customHeight="1">
      <c r="A52" s="1014" t="s">
        <v>3457</v>
      </c>
      <c r="B52" s="1034"/>
      <c r="C52" s="1035"/>
      <c r="D52" s="1036"/>
      <c r="E52" s="1037" t="s">
        <v>3458</v>
      </c>
      <c r="F52" s="1049" t="s">
        <v>3283</v>
      </c>
      <c r="G52" s="1047" t="s">
        <v>3396</v>
      </c>
      <c r="H52" s="968" t="s">
        <v>3285</v>
      </c>
      <c r="I52" s="1056"/>
      <c r="J52" s="1038">
        <v>202507</v>
      </c>
      <c r="K52" s="1039"/>
      <c r="L52" s="1057"/>
      <c r="M52" s="1058"/>
      <c r="N52" s="1056"/>
      <c r="O52" s="1040"/>
      <c r="P52" s="1059"/>
      <c r="Q52" s="1060"/>
      <c r="R52" s="1061"/>
      <c r="S52" s="1062"/>
      <c r="T52" s="1062"/>
      <c r="U52" s="1063" t="e">
        <f>(Table48911128[[#This Row],[Invoice Value]]-Table48911128[[#This Row],[Total cost]])/Table48911128[[#This Row],[Invoice Value]]</f>
        <v>#DIV/0!</v>
      </c>
      <c r="V52" s="1061"/>
      <c r="W52" s="1041"/>
      <c r="X52" s="1061" t="str">
        <f t="shared" si="18"/>
        <v xml:space="preserve"> - </v>
      </c>
      <c r="Y52" s="1061" t="str">
        <f t="shared" si="19"/>
        <v xml:space="preserve"> - </v>
      </c>
      <c r="Z52" s="1061"/>
      <c r="AA52" s="1056" t="str">
        <f t="shared" ca="1" si="20"/>
        <v>-</v>
      </c>
      <c r="AB52" s="1064"/>
      <c r="AC52" s="1064"/>
      <c r="AD52" s="1064"/>
      <c r="AE52" s="1064"/>
      <c r="AF52" s="1056"/>
      <c r="AG52" s="1056"/>
      <c r="AH52" s="1056"/>
      <c r="AI52" s="1066"/>
      <c r="AJ52" s="1034"/>
      <c r="AK52" s="1034"/>
      <c r="AL52" s="1042"/>
      <c r="AM52" s="1043"/>
      <c r="AN52" s="1043"/>
      <c r="AO52" s="1044"/>
      <c r="AP52" s="1045"/>
      <c r="AQ52" s="1046"/>
    </row>
    <row r="53" spans="1:43" s="887" customFormat="1" ht="54.75" customHeight="1">
      <c r="A53" s="827" t="s">
        <v>3459</v>
      </c>
      <c r="B53" s="923" t="s">
        <v>3460</v>
      </c>
      <c r="C53" s="924">
        <v>4662</v>
      </c>
      <c r="D53" s="880">
        <v>4662</v>
      </c>
      <c r="E53" s="925" t="s">
        <v>3461</v>
      </c>
      <c r="F53" s="923" t="s">
        <v>3283</v>
      </c>
      <c r="G53" s="926" t="s">
        <v>3462</v>
      </c>
      <c r="H53" s="927" t="s">
        <v>3463</v>
      </c>
      <c r="I53" s="923" t="s">
        <v>3464</v>
      </c>
      <c r="J53" s="923">
        <v>202408</v>
      </c>
      <c r="K53" s="928">
        <v>4662</v>
      </c>
      <c r="L53" s="538" t="s">
        <v>3465</v>
      </c>
      <c r="M53" s="827"/>
      <c r="N53" s="827"/>
      <c r="O53" s="881" t="s">
        <v>3466</v>
      </c>
      <c r="P53" s="882"/>
      <c r="Q53" s="882"/>
      <c r="R53" s="641" t="s">
        <v>3467</v>
      </c>
      <c r="S53" s="883">
        <v>4662</v>
      </c>
      <c r="T53" s="883">
        <v>1378</v>
      </c>
      <c r="U53" s="884">
        <f>(Table48911128[[#This Row],[Invoice Value]]-Table48911128[[#This Row],[Total cost]])/Table48911128[[#This Row],[Invoice Value]]</f>
        <v>0.70441870441870447</v>
      </c>
      <c r="V53" s="641"/>
      <c r="W53" s="641"/>
      <c r="X53" s="641" t="str">
        <f>IF(Q53&gt;0,Q53+3," - ")</f>
        <v xml:space="preserve"> - </v>
      </c>
      <c r="Y53" s="641" t="str">
        <f>IF(Q53&gt;0,Q53+14," - ")</f>
        <v xml:space="preserve"> - </v>
      </c>
      <c r="Z53" s="882"/>
      <c r="AA53" s="827" t="str">
        <f ca="1">IF(P53=0,"-",IF(Z53&gt;0,"Delivered",IF(TODAY()&gt;Y53,"Overdue",IF(TODAY()&lt;Y53,"In Progress"))))</f>
        <v>-</v>
      </c>
      <c r="AB53" s="827"/>
      <c r="AC53" s="827"/>
      <c r="AD53" s="827"/>
      <c r="AE53" s="827"/>
      <c r="AF53" s="827"/>
      <c r="AG53" s="827"/>
      <c r="AH53" s="827"/>
      <c r="AI53" s="827"/>
      <c r="AJ53" s="827"/>
      <c r="AK53" s="827"/>
      <c r="AL53" s="607" t="s">
        <v>3468</v>
      </c>
      <c r="AM53" s="608" t="s">
        <v>3469</v>
      </c>
      <c r="AN53" s="608" t="s">
        <v>3468</v>
      </c>
      <c r="AO53" s="641"/>
      <c r="AP53" s="885"/>
      <c r="AQ53" s="886"/>
    </row>
    <row r="54" spans="1:43" s="887" customFormat="1" ht="43.5" customHeight="1">
      <c r="A54" s="888" t="s">
        <v>3470</v>
      </c>
      <c r="B54" s="889"/>
      <c r="C54" s="929">
        <v>8120</v>
      </c>
      <c r="D54" s="880">
        <v>25800</v>
      </c>
      <c r="E54" s="921" t="s">
        <v>3471</v>
      </c>
      <c r="F54" s="842" t="s">
        <v>3283</v>
      </c>
      <c r="G54" s="968" t="s">
        <v>3472</v>
      </c>
      <c r="H54" s="930" t="s">
        <v>3473</v>
      </c>
      <c r="I54" s="930" t="s">
        <v>3474</v>
      </c>
      <c r="J54" s="930">
        <v>202408</v>
      </c>
      <c r="K54" s="931">
        <v>8120</v>
      </c>
      <c r="L54" s="932">
        <v>45506</v>
      </c>
      <c r="M54" s="888"/>
      <c r="N54" s="889"/>
      <c r="O54" s="890" t="s">
        <v>3475</v>
      </c>
      <c r="P54" s="891"/>
      <c r="Q54" s="892"/>
      <c r="R54" s="889"/>
      <c r="S54" s="893"/>
      <c r="T54" s="893"/>
      <c r="U54" s="894"/>
      <c r="V54" s="656"/>
      <c r="W54" s="656"/>
      <c r="X54" s="656"/>
      <c r="Y54" s="656"/>
      <c r="Z54" s="656"/>
      <c r="AA54" s="889"/>
      <c r="AB54" s="889"/>
      <c r="AC54" s="889"/>
      <c r="AD54" s="895" t="s">
        <v>3476</v>
      </c>
      <c r="AE54" s="895" t="s">
        <v>3476</v>
      </c>
      <c r="AF54" s="889"/>
      <c r="AG54" s="889"/>
      <c r="AH54" s="889"/>
      <c r="AI54" s="896"/>
      <c r="AJ54" s="897"/>
      <c r="AK54" s="897"/>
      <c r="AL54" s="545" t="s">
        <v>3290</v>
      </c>
      <c r="AM54" s="490" t="s">
        <v>3477</v>
      </c>
      <c r="AN54" s="944">
        <v>4</v>
      </c>
      <c r="AO54" s="656"/>
      <c r="AP54" s="886"/>
      <c r="AQ54" s="886"/>
    </row>
    <row r="55" spans="1:43" s="887" customFormat="1" ht="45.75" customHeight="1">
      <c r="A55" s="898" t="s">
        <v>3478</v>
      </c>
      <c r="B55" s="844" t="s">
        <v>3479</v>
      </c>
      <c r="C55" s="918">
        <v>35790</v>
      </c>
      <c r="D55" s="880">
        <v>35122.81</v>
      </c>
      <c r="E55" s="921" t="s">
        <v>3480</v>
      </c>
      <c r="F55" s="844" t="s">
        <v>3314</v>
      </c>
      <c r="G55" s="933" t="s">
        <v>3295</v>
      </c>
      <c r="H55" s="922" t="s">
        <v>3285</v>
      </c>
      <c r="I55" s="922" t="s">
        <v>3481</v>
      </c>
      <c r="J55" s="933"/>
      <c r="K55" s="933"/>
      <c r="L55" s="933"/>
      <c r="M55" s="898"/>
      <c r="N55" s="844"/>
      <c r="O55" s="899" t="s">
        <v>3482</v>
      </c>
      <c r="P55" s="900"/>
      <c r="Q55" s="901"/>
      <c r="R55" s="844"/>
      <c r="S55" s="902"/>
      <c r="T55" s="902"/>
      <c r="U55" s="903"/>
      <c r="V55" s="666"/>
      <c r="W55" s="666"/>
      <c r="X55" s="666"/>
      <c r="Y55" s="666"/>
      <c r="Z55" s="901"/>
      <c r="AA55" s="844"/>
      <c r="AB55" s="844"/>
      <c r="AC55" s="844"/>
      <c r="AD55" s="844"/>
      <c r="AE55" s="844"/>
      <c r="AF55" s="844"/>
      <c r="AG55" s="844"/>
      <c r="AH55" s="844"/>
      <c r="AI55" s="904"/>
      <c r="AJ55" s="905"/>
      <c r="AK55" s="905"/>
      <c r="AL55" s="607" t="s">
        <v>3468</v>
      </c>
      <c r="AM55" s="608" t="s">
        <v>3469</v>
      </c>
      <c r="AN55" s="608" t="s">
        <v>3468</v>
      </c>
      <c r="AO55" s="666"/>
      <c r="AP55" s="886"/>
      <c r="AQ55" s="886"/>
    </row>
    <row r="56" spans="1:43" s="887" customFormat="1" ht="66" customHeight="1">
      <c r="A56" s="898" t="s">
        <v>3483</v>
      </c>
      <c r="B56" s="902" t="s">
        <v>3484</v>
      </c>
      <c r="C56" s="918">
        <v>76712</v>
      </c>
      <c r="D56" s="919"/>
      <c r="E56" s="921" t="s">
        <v>3485</v>
      </c>
      <c r="F56" s="922" t="s">
        <v>3314</v>
      </c>
      <c r="G56" s="922" t="s">
        <v>3486</v>
      </c>
      <c r="H56" s="922" t="s">
        <v>185</v>
      </c>
      <c r="I56" s="922" t="s">
        <v>3487</v>
      </c>
      <c r="J56" s="922">
        <v>202408</v>
      </c>
      <c r="K56" s="922">
        <v>76712</v>
      </c>
      <c r="L56" s="932">
        <v>45526</v>
      </c>
      <c r="M56" s="898"/>
      <c r="N56" s="844"/>
      <c r="O56" s="899" t="s">
        <v>3488</v>
      </c>
      <c r="P56" s="906">
        <v>45561</v>
      </c>
      <c r="Q56" s="901"/>
      <c r="R56" s="844"/>
      <c r="S56" s="902"/>
      <c r="T56" s="902"/>
      <c r="U56" s="903"/>
      <c r="V56" s="666"/>
      <c r="W56" s="666"/>
      <c r="X56" s="666"/>
      <c r="Y56" s="666"/>
      <c r="Z56" s="901"/>
      <c r="AA56" s="844"/>
      <c r="AB56" s="844"/>
      <c r="AC56" s="844"/>
      <c r="AD56" s="907" t="s">
        <v>3489</v>
      </c>
      <c r="AE56" s="907" t="s">
        <v>3489</v>
      </c>
      <c r="AF56" s="844"/>
      <c r="AG56" s="844"/>
      <c r="AH56" s="844"/>
      <c r="AI56" s="904"/>
      <c r="AJ56" s="905"/>
      <c r="AK56" s="905"/>
      <c r="AL56" s="419" t="s">
        <v>3490</v>
      </c>
      <c r="AM56" s="608" t="s">
        <v>3469</v>
      </c>
      <c r="AN56" s="608" t="s">
        <v>3469</v>
      </c>
      <c r="AO56" s="666"/>
      <c r="AP56" s="886"/>
      <c r="AQ56" s="886"/>
    </row>
    <row r="57" spans="1:43" s="342" customFormat="1" ht="20.100000000000001" customHeight="1">
      <c r="A57" s="898" t="s">
        <v>3491</v>
      </c>
      <c r="B57" s="902" t="s">
        <v>3492</v>
      </c>
      <c r="C57" s="920"/>
      <c r="D57" s="919">
        <v>156113.76</v>
      </c>
      <c r="E57" s="921" t="s">
        <v>3493</v>
      </c>
      <c r="F57" s="922" t="s">
        <v>3314</v>
      </c>
      <c r="G57" s="922" t="s">
        <v>3284</v>
      </c>
      <c r="H57" s="922" t="s">
        <v>3285</v>
      </c>
      <c r="I57" s="922" t="s">
        <v>3494</v>
      </c>
      <c r="J57" s="922">
        <v>202406</v>
      </c>
      <c r="K57" s="922">
        <v>214000</v>
      </c>
      <c r="L57" s="932" t="s">
        <v>3495</v>
      </c>
      <c r="M57" s="844"/>
      <c r="N57" s="844"/>
      <c r="O57" s="909" t="s">
        <v>3496</v>
      </c>
      <c r="P57" s="900"/>
      <c r="Q57" s="901"/>
      <c r="R57" s="844"/>
      <c r="S57" s="902"/>
      <c r="T57" s="902"/>
      <c r="U57" s="903"/>
      <c r="V57" s="666"/>
      <c r="W57" s="666"/>
      <c r="X57" s="666"/>
      <c r="Y57" s="666"/>
      <c r="Z57" s="901"/>
      <c r="AA57" s="844"/>
      <c r="AB57" s="844"/>
      <c r="AC57" s="844"/>
      <c r="AD57" s="844"/>
      <c r="AE57" s="844"/>
      <c r="AF57" s="844"/>
      <c r="AG57" s="844"/>
      <c r="AH57" s="844"/>
      <c r="AI57" s="904"/>
      <c r="AJ57" s="905"/>
      <c r="AK57" s="905"/>
      <c r="AL57" s="607" t="s">
        <v>3468</v>
      </c>
      <c r="AM57" s="608" t="s">
        <v>3469</v>
      </c>
      <c r="AN57" s="608" t="s">
        <v>3468</v>
      </c>
      <c r="AO57" s="666"/>
      <c r="AP57" s="886"/>
      <c r="AQ57" s="886"/>
    </row>
    <row r="58" spans="1:43" s="342" customFormat="1" ht="20.100000000000001" customHeight="1">
      <c r="A58" s="898" t="s">
        <v>3497</v>
      </c>
      <c r="B58" s="873" t="s">
        <v>3498</v>
      </c>
      <c r="C58" s="870">
        <v>2122039.9</v>
      </c>
      <c r="D58" s="908"/>
      <c r="E58" s="921" t="s">
        <v>3499</v>
      </c>
      <c r="F58" s="922" t="s">
        <v>3314</v>
      </c>
      <c r="G58" s="922" t="s">
        <v>3284</v>
      </c>
      <c r="H58" s="922" t="s">
        <v>3285</v>
      </c>
      <c r="I58" s="922" t="s">
        <v>3500</v>
      </c>
      <c r="J58" s="922">
        <v>202407</v>
      </c>
      <c r="K58" s="922"/>
      <c r="L58" s="910"/>
      <c r="M58" s="873"/>
      <c r="N58" s="911"/>
      <c r="O58" s="911"/>
      <c r="P58" s="912"/>
      <c r="Q58" s="913"/>
      <c r="R58" s="873"/>
      <c r="S58" s="914"/>
      <c r="T58" s="914"/>
      <c r="U58" s="915"/>
      <c r="V58" s="679"/>
      <c r="W58" s="679"/>
      <c r="X58" s="679"/>
      <c r="Y58" s="679"/>
      <c r="Z58" s="913"/>
      <c r="AA58" s="873"/>
      <c r="AB58" s="873"/>
      <c r="AC58" s="873"/>
      <c r="AD58" s="844"/>
      <c r="AE58" s="844"/>
      <c r="AF58" s="873"/>
      <c r="AG58" s="873"/>
      <c r="AH58" s="873"/>
      <c r="AI58" s="916"/>
      <c r="AJ58" s="839"/>
      <c r="AK58" s="839"/>
      <c r="AL58" s="678" t="s">
        <v>3501</v>
      </c>
      <c r="AM58" s="345" t="s">
        <v>3502</v>
      </c>
      <c r="AN58" s="345">
        <v>1829</v>
      </c>
      <c r="AO58" s="679"/>
      <c r="AP58" s="886"/>
      <c r="AQ58" s="886"/>
    </row>
    <row r="59" spans="1:43" s="342" customFormat="1" ht="20.100000000000001" customHeight="1">
      <c r="A59" s="898" t="s">
        <v>3503</v>
      </c>
      <c r="B59" s="873" t="s">
        <v>3504</v>
      </c>
      <c r="C59" s="870">
        <v>1864441.68</v>
      </c>
      <c r="D59" s="908"/>
      <c r="E59" s="921" t="s">
        <v>3499</v>
      </c>
      <c r="F59" s="922" t="s">
        <v>3314</v>
      </c>
      <c r="G59" s="922" t="s">
        <v>3302</v>
      </c>
      <c r="H59" s="922" t="s">
        <v>3285</v>
      </c>
      <c r="I59" s="922" t="s">
        <v>3500</v>
      </c>
      <c r="J59" s="922">
        <v>202407</v>
      </c>
      <c r="K59" s="922"/>
      <c r="L59" s="910"/>
      <c r="M59" s="873"/>
      <c r="N59" s="911"/>
      <c r="O59" s="911"/>
      <c r="P59" s="912"/>
      <c r="Q59" s="913"/>
      <c r="R59" s="873"/>
      <c r="S59" s="914"/>
      <c r="T59" s="914"/>
      <c r="U59" s="915"/>
      <c r="V59" s="679"/>
      <c r="W59" s="679"/>
      <c r="X59" s="679"/>
      <c r="Y59" s="679"/>
      <c r="Z59" s="913"/>
      <c r="AA59" s="873"/>
      <c r="AB59" s="873"/>
      <c r="AC59" s="873"/>
      <c r="AD59" s="844"/>
      <c r="AE59" s="844"/>
      <c r="AF59" s="873"/>
      <c r="AG59" s="873"/>
      <c r="AH59" s="873"/>
      <c r="AI59" s="916"/>
      <c r="AJ59" s="839"/>
      <c r="AK59" s="839"/>
      <c r="AL59" s="678" t="s">
        <v>3501</v>
      </c>
      <c r="AM59" s="345" t="s">
        <v>3502</v>
      </c>
      <c r="AN59" s="345">
        <v>1685</v>
      </c>
      <c r="AO59" s="679"/>
      <c r="AP59" s="886"/>
      <c r="AQ59" s="886"/>
    </row>
    <row r="60" spans="1:43" s="342" customFormat="1" ht="20.100000000000001" customHeight="1">
      <c r="A60" s="898" t="s">
        <v>3505</v>
      </c>
      <c r="B60" s="873" t="s">
        <v>3506</v>
      </c>
      <c r="C60" s="870">
        <v>16204</v>
      </c>
      <c r="D60" s="908"/>
      <c r="E60" s="822" t="s">
        <v>3507</v>
      </c>
      <c r="F60" s="922" t="s">
        <v>3314</v>
      </c>
      <c r="G60" s="873" t="s">
        <v>3295</v>
      </c>
      <c r="H60" s="922" t="s">
        <v>3285</v>
      </c>
      <c r="I60" s="873" t="s">
        <v>3328</v>
      </c>
      <c r="J60" s="873"/>
      <c r="K60" s="917"/>
      <c r="L60" s="910"/>
      <c r="M60" s="873"/>
      <c r="N60" s="911"/>
      <c r="O60" s="911"/>
      <c r="P60" s="912"/>
      <c r="Q60" s="913"/>
      <c r="R60" s="873"/>
      <c r="S60" s="914"/>
      <c r="T60" s="914"/>
      <c r="U60" s="915"/>
      <c r="V60" s="679"/>
      <c r="W60" s="679"/>
      <c r="X60" s="679"/>
      <c r="Y60" s="679"/>
      <c r="Z60" s="913"/>
      <c r="AA60" s="873"/>
      <c r="AB60" s="873"/>
      <c r="AC60" s="873"/>
      <c r="AD60" s="844"/>
      <c r="AE60" s="844"/>
      <c r="AF60" s="873"/>
      <c r="AG60" s="873"/>
      <c r="AH60" s="873"/>
      <c r="AI60" s="916"/>
      <c r="AJ60" s="839"/>
      <c r="AK60" s="839"/>
      <c r="AL60" s="682"/>
      <c r="AM60" s="839"/>
      <c r="AN60" s="839"/>
      <c r="AO60" s="679"/>
      <c r="AP60" s="886"/>
      <c r="AQ60" s="886"/>
    </row>
    <row r="61" spans="1:43" s="342" customFormat="1" ht="20.100000000000001" customHeight="1">
      <c r="A61" s="898" t="s">
        <v>3508</v>
      </c>
      <c r="B61" s="873" t="s">
        <v>3509</v>
      </c>
      <c r="C61" s="870">
        <v>140186.6</v>
      </c>
      <c r="D61" s="908"/>
      <c r="E61" s="822" t="s">
        <v>3510</v>
      </c>
      <c r="F61" s="922" t="s">
        <v>3314</v>
      </c>
      <c r="G61" s="873" t="s">
        <v>3295</v>
      </c>
      <c r="H61" s="922" t="s">
        <v>3285</v>
      </c>
      <c r="I61" s="873" t="s">
        <v>3511</v>
      </c>
      <c r="J61" s="873">
        <v>202509</v>
      </c>
      <c r="K61" s="917"/>
      <c r="L61" s="910"/>
      <c r="M61" s="873"/>
      <c r="N61" s="911"/>
      <c r="O61" s="911"/>
      <c r="P61" s="912"/>
      <c r="Q61" s="913"/>
      <c r="R61" s="873"/>
      <c r="S61" s="914"/>
      <c r="T61" s="914"/>
      <c r="U61" s="915"/>
      <c r="V61" s="679"/>
      <c r="W61" s="679"/>
      <c r="X61" s="679"/>
      <c r="Y61" s="679"/>
      <c r="Z61" s="913"/>
      <c r="AA61" s="873"/>
      <c r="AB61" s="873"/>
      <c r="AC61" s="873"/>
      <c r="AD61" s="844"/>
      <c r="AE61" s="844"/>
      <c r="AF61" s="873"/>
      <c r="AG61" s="873"/>
      <c r="AH61" s="873"/>
      <c r="AI61" s="916"/>
      <c r="AJ61" s="839"/>
      <c r="AK61" s="839"/>
      <c r="AL61" s="682"/>
      <c r="AM61" s="839"/>
      <c r="AN61" s="839"/>
      <c r="AO61" s="679"/>
      <c r="AP61" s="886"/>
      <c r="AQ61" s="886"/>
    </row>
    <row r="62" spans="1:43" s="342" customFormat="1" ht="20.100000000000001" customHeight="1">
      <c r="A62" s="898" t="s">
        <v>3512</v>
      </c>
      <c r="B62" s="873" t="s">
        <v>3513</v>
      </c>
      <c r="C62" s="870">
        <v>63568.23</v>
      </c>
      <c r="D62" s="908"/>
      <c r="E62" s="822" t="s">
        <v>3514</v>
      </c>
      <c r="F62" s="873" t="s">
        <v>3314</v>
      </c>
      <c r="G62" s="873" t="s">
        <v>3295</v>
      </c>
      <c r="H62" s="922" t="s">
        <v>3285</v>
      </c>
      <c r="I62" s="873" t="s">
        <v>3511</v>
      </c>
      <c r="J62" s="873">
        <v>202509</v>
      </c>
      <c r="K62" s="917"/>
      <c r="L62" s="910"/>
      <c r="M62" s="873"/>
      <c r="N62" s="911"/>
      <c r="O62" s="911"/>
      <c r="P62" s="912"/>
      <c r="Q62" s="913"/>
      <c r="R62" s="873"/>
      <c r="S62" s="914"/>
      <c r="T62" s="914"/>
      <c r="U62" s="915"/>
      <c r="V62" s="679"/>
      <c r="W62" s="679"/>
      <c r="X62" s="679"/>
      <c r="Y62" s="679"/>
      <c r="Z62" s="913"/>
      <c r="AA62" s="873"/>
      <c r="AB62" s="873"/>
      <c r="AC62" s="873"/>
      <c r="AD62" s="844"/>
      <c r="AE62" s="844"/>
      <c r="AF62" s="873"/>
      <c r="AG62" s="873"/>
      <c r="AH62" s="873"/>
      <c r="AI62" s="916"/>
      <c r="AJ62" s="839"/>
      <c r="AK62" s="839"/>
      <c r="AL62" s="682"/>
      <c r="AM62" s="839"/>
      <c r="AN62" s="839"/>
      <c r="AO62" s="679"/>
      <c r="AP62" s="886"/>
      <c r="AQ62" s="886"/>
    </row>
    <row r="63" spans="1:43" s="342" customFormat="1" ht="20.100000000000001" customHeight="1">
      <c r="A63" s="898" t="s">
        <v>3515</v>
      </c>
      <c r="B63" s="873" t="s">
        <v>3516</v>
      </c>
      <c r="C63" s="870">
        <v>62561.3</v>
      </c>
      <c r="D63" s="908" t="s">
        <v>3517</v>
      </c>
      <c r="E63" s="822" t="s">
        <v>3518</v>
      </c>
      <c r="F63" s="873" t="s">
        <v>3314</v>
      </c>
      <c r="G63" s="873" t="s">
        <v>3284</v>
      </c>
      <c r="H63" s="922" t="s">
        <v>3285</v>
      </c>
      <c r="I63" s="873" t="s">
        <v>3286</v>
      </c>
      <c r="J63" s="873"/>
      <c r="K63" s="917"/>
      <c r="L63" s="910"/>
      <c r="M63" s="873"/>
      <c r="N63" s="911"/>
      <c r="O63" s="911"/>
      <c r="P63" s="912"/>
      <c r="Q63" s="913"/>
      <c r="R63" s="873"/>
      <c r="S63" s="914"/>
      <c r="T63" s="914"/>
      <c r="U63" s="915"/>
      <c r="V63" s="679"/>
      <c r="W63" s="679"/>
      <c r="X63" s="679"/>
      <c r="Y63" s="679"/>
      <c r="Z63" s="913"/>
      <c r="AA63" s="873"/>
      <c r="AB63" s="873"/>
      <c r="AC63" s="873"/>
      <c r="AD63" s="844"/>
      <c r="AE63" s="844"/>
      <c r="AF63" s="873"/>
      <c r="AG63" s="873"/>
      <c r="AH63" s="873"/>
      <c r="AI63" s="916"/>
      <c r="AJ63" s="839"/>
      <c r="AK63" s="839"/>
      <c r="AL63" s="682"/>
      <c r="AM63" s="839"/>
      <c r="AN63" s="839"/>
      <c r="AO63" s="679"/>
      <c r="AP63" s="886"/>
      <c r="AQ63" s="886"/>
    </row>
    <row r="64" spans="1:43" s="342" customFormat="1" ht="20.100000000000001" customHeight="1">
      <c r="A64" s="898" t="s">
        <v>3519</v>
      </c>
      <c r="B64" s="873" t="s">
        <v>3520</v>
      </c>
      <c r="C64" s="870">
        <v>5918</v>
      </c>
      <c r="D64" s="908"/>
      <c r="E64" s="822" t="s">
        <v>3521</v>
      </c>
      <c r="F64" s="873" t="s">
        <v>3314</v>
      </c>
      <c r="G64" s="873" t="s">
        <v>3295</v>
      </c>
      <c r="H64" s="922" t="s">
        <v>3285</v>
      </c>
      <c r="I64" s="873" t="s">
        <v>3286</v>
      </c>
      <c r="J64" s="873"/>
      <c r="K64" s="917"/>
      <c r="L64" s="910"/>
      <c r="M64" s="873"/>
      <c r="N64" s="911"/>
      <c r="O64" s="911"/>
      <c r="P64" s="912"/>
      <c r="Q64" s="913"/>
      <c r="R64" s="873"/>
      <c r="S64" s="914"/>
      <c r="T64" s="914"/>
      <c r="U64" s="915"/>
      <c r="V64" s="679"/>
      <c r="W64" s="679"/>
      <c r="X64" s="679"/>
      <c r="Y64" s="679"/>
      <c r="Z64" s="913"/>
      <c r="AA64" s="873"/>
      <c r="AB64" s="873"/>
      <c r="AC64" s="873"/>
      <c r="AD64" s="844"/>
      <c r="AE64" s="844"/>
      <c r="AF64" s="873"/>
      <c r="AG64" s="873"/>
      <c r="AH64" s="873"/>
      <c r="AI64" s="916"/>
      <c r="AJ64" s="839"/>
      <c r="AK64" s="839"/>
      <c r="AL64" s="682"/>
      <c r="AM64" s="839"/>
      <c r="AN64" s="839"/>
      <c r="AO64" s="679"/>
      <c r="AP64" s="886"/>
      <c r="AQ64" s="886"/>
    </row>
    <row r="65" spans="1:43" s="342" customFormat="1" ht="20.100000000000001" customHeight="1">
      <c r="A65" s="898" t="s">
        <v>3522</v>
      </c>
      <c r="B65" s="873" t="s">
        <v>3523</v>
      </c>
      <c r="C65" s="870">
        <v>42606</v>
      </c>
      <c r="D65" s="908">
        <v>38214.75</v>
      </c>
      <c r="E65" s="822" t="s">
        <v>3524</v>
      </c>
      <c r="F65" s="873" t="s">
        <v>3314</v>
      </c>
      <c r="G65" s="873" t="s">
        <v>3284</v>
      </c>
      <c r="H65" s="922" t="s">
        <v>3285</v>
      </c>
      <c r="I65" s="873" t="s">
        <v>3286</v>
      </c>
      <c r="J65" s="873"/>
      <c r="K65" s="917"/>
      <c r="L65" s="910"/>
      <c r="M65" s="873"/>
      <c r="N65" s="911"/>
      <c r="O65" s="911"/>
      <c r="P65" s="912"/>
      <c r="Q65" s="913"/>
      <c r="R65" s="873"/>
      <c r="S65" s="914"/>
      <c r="T65" s="914"/>
      <c r="U65" s="915"/>
      <c r="V65" s="679"/>
      <c r="W65" s="679"/>
      <c r="X65" s="679"/>
      <c r="Y65" s="679"/>
      <c r="Z65" s="913"/>
      <c r="AA65" s="873"/>
      <c r="AB65" s="873"/>
      <c r="AC65" s="873"/>
      <c r="AD65" s="844"/>
      <c r="AE65" s="844"/>
      <c r="AF65" s="873"/>
      <c r="AG65" s="873"/>
      <c r="AH65" s="873"/>
      <c r="AI65" s="916"/>
      <c r="AJ65" s="839"/>
      <c r="AK65" s="839"/>
      <c r="AL65" s="682"/>
      <c r="AM65" s="839"/>
      <c r="AN65" s="839"/>
      <c r="AO65" s="679"/>
      <c r="AP65" s="886"/>
      <c r="AQ65" s="886"/>
    </row>
    <row r="66" spans="1:43" s="342" customFormat="1" ht="20.100000000000001" customHeight="1">
      <c r="A66" s="898" t="s">
        <v>3525</v>
      </c>
      <c r="B66" s="873" t="s">
        <v>3526</v>
      </c>
      <c r="C66" s="870">
        <v>169740.08</v>
      </c>
      <c r="D66" s="908"/>
      <c r="E66" s="822" t="s">
        <v>3527</v>
      </c>
      <c r="F66" s="873" t="s">
        <v>3366</v>
      </c>
      <c r="G66" s="873" t="s">
        <v>3284</v>
      </c>
      <c r="H66" s="922" t="s">
        <v>3285</v>
      </c>
      <c r="I66" s="873" t="s">
        <v>3286</v>
      </c>
      <c r="J66" s="873"/>
      <c r="K66" s="917"/>
      <c r="L66" s="910"/>
      <c r="M66" s="873"/>
      <c r="N66" s="911"/>
      <c r="O66" s="911"/>
      <c r="P66" s="912">
        <v>45834</v>
      </c>
      <c r="Q66" s="913">
        <v>45852</v>
      </c>
      <c r="R66" s="873"/>
      <c r="S66" s="914"/>
      <c r="T66" s="914"/>
      <c r="U66" s="915"/>
      <c r="V66" s="679"/>
      <c r="W66" s="679"/>
      <c r="X66" s="679"/>
      <c r="Y66" s="679"/>
      <c r="Z66" s="913"/>
      <c r="AA66" s="873"/>
      <c r="AB66" s="873"/>
      <c r="AC66" s="873"/>
      <c r="AD66" s="844"/>
      <c r="AE66" s="844"/>
      <c r="AF66" s="873"/>
      <c r="AG66" s="873"/>
      <c r="AH66" s="873"/>
      <c r="AI66" s="916"/>
      <c r="AJ66" s="839"/>
      <c r="AK66" s="839"/>
      <c r="AL66" s="682"/>
      <c r="AM66" s="839"/>
      <c r="AN66" s="839"/>
      <c r="AO66" s="679"/>
      <c r="AP66" s="886"/>
      <c r="AQ66" s="886"/>
    </row>
    <row r="67" spans="1:43" s="342" customFormat="1" ht="20.100000000000001" customHeight="1">
      <c r="A67" s="898" t="s">
        <v>3528</v>
      </c>
      <c r="B67" s="873" t="s">
        <v>3529</v>
      </c>
      <c r="C67" s="870">
        <v>139571.9</v>
      </c>
      <c r="D67" s="908"/>
      <c r="E67" s="822" t="s">
        <v>3518</v>
      </c>
      <c r="F67" s="873" t="s">
        <v>3366</v>
      </c>
      <c r="G67" s="873" t="s">
        <v>3302</v>
      </c>
      <c r="H67" s="922" t="s">
        <v>3285</v>
      </c>
      <c r="I67" s="873"/>
      <c r="J67" s="873">
        <v>202507</v>
      </c>
      <c r="K67" s="917"/>
      <c r="L67" s="910"/>
      <c r="M67" s="873"/>
      <c r="N67" s="911"/>
      <c r="O67" s="911"/>
      <c r="P67" s="912">
        <v>45827</v>
      </c>
      <c r="Q67" s="913">
        <v>45855</v>
      </c>
      <c r="R67" s="873"/>
      <c r="S67" s="914"/>
      <c r="T67" s="914"/>
      <c r="U67" s="915"/>
      <c r="V67" s="679"/>
      <c r="W67" s="679"/>
      <c r="X67" s="679"/>
      <c r="Y67" s="679"/>
      <c r="Z67" s="913"/>
      <c r="AA67" s="873"/>
      <c r="AB67" s="873"/>
      <c r="AC67" s="873"/>
      <c r="AD67" s="844"/>
      <c r="AE67" s="844"/>
      <c r="AF67" s="873"/>
      <c r="AG67" s="873"/>
      <c r="AH67" s="873"/>
      <c r="AI67" s="916"/>
      <c r="AJ67" s="839"/>
      <c r="AK67" s="839"/>
      <c r="AL67" s="682"/>
      <c r="AM67" s="839"/>
      <c r="AN67" s="839"/>
      <c r="AO67" s="679"/>
      <c r="AP67" s="886"/>
      <c r="AQ67" s="886"/>
    </row>
    <row r="68" spans="1:43" ht="20.100000000000001" customHeight="1">
      <c r="A68" s="898" t="s">
        <v>3530</v>
      </c>
      <c r="B68" s="873" t="s">
        <v>3531</v>
      </c>
      <c r="C68" s="870">
        <v>40726.32</v>
      </c>
      <c r="D68" s="908"/>
      <c r="E68" s="1051" t="s">
        <v>3524</v>
      </c>
      <c r="F68" s="873" t="s">
        <v>3283</v>
      </c>
      <c r="G68" s="873" t="s">
        <v>3295</v>
      </c>
      <c r="H68" s="922" t="s">
        <v>3285</v>
      </c>
      <c r="I68" s="873" t="s">
        <v>3532</v>
      </c>
      <c r="J68" s="423">
        <v>202508</v>
      </c>
      <c r="K68" s="681"/>
      <c r="L68" s="670"/>
      <c r="M68" s="423"/>
      <c r="N68" s="671"/>
      <c r="O68" s="671"/>
      <c r="P68" s="672"/>
      <c r="Q68" s="673"/>
      <c r="R68" s="423"/>
      <c r="S68" s="674"/>
      <c r="T68" s="674"/>
      <c r="U68" s="675"/>
      <c r="V68" s="676"/>
      <c r="W68" s="676"/>
      <c r="X68" s="676"/>
      <c r="Y68" s="676"/>
      <c r="Z68" s="673"/>
      <c r="AA68" s="423"/>
      <c r="AB68" s="423"/>
      <c r="AC68" s="423"/>
      <c r="AD68" s="550"/>
      <c r="AE68" s="550"/>
      <c r="AF68" s="423"/>
      <c r="AG68" s="423"/>
      <c r="AH68" s="423"/>
      <c r="AI68" s="677"/>
      <c r="AJ68" s="547"/>
      <c r="AK68" s="547"/>
      <c r="AL68" s="682"/>
      <c r="AM68" s="547"/>
      <c r="AN68" s="547"/>
      <c r="AO68" s="679"/>
      <c r="AP68" s="406"/>
      <c r="AQ68" s="406"/>
    </row>
    <row r="69" spans="1:43" ht="20.100000000000001" customHeight="1">
      <c r="A69" s="898" t="s">
        <v>3533</v>
      </c>
      <c r="B69" s="423"/>
      <c r="C69" s="548"/>
      <c r="E69" s="680" t="s">
        <v>3518</v>
      </c>
      <c r="F69" s="423" t="s">
        <v>3283</v>
      </c>
      <c r="G69" s="423" t="s">
        <v>3295</v>
      </c>
      <c r="H69" s="922" t="s">
        <v>3285</v>
      </c>
      <c r="I69" s="423"/>
      <c r="J69" s="423">
        <v>202507</v>
      </c>
      <c r="K69" s="681"/>
      <c r="L69" s="670"/>
      <c r="M69" s="423"/>
      <c r="N69" s="671"/>
      <c r="O69" s="671"/>
      <c r="P69" s="672"/>
      <c r="Q69" s="673"/>
      <c r="R69" s="423"/>
      <c r="S69" s="674"/>
      <c r="T69" s="674"/>
      <c r="U69" s="675"/>
      <c r="V69" s="676"/>
      <c r="W69" s="676"/>
      <c r="X69" s="676"/>
      <c r="Y69" s="676"/>
      <c r="Z69" s="673"/>
      <c r="AA69" s="423"/>
      <c r="AB69" s="423"/>
      <c r="AC69" s="423"/>
      <c r="AD69" s="550"/>
      <c r="AE69" s="550"/>
      <c r="AF69" s="423"/>
      <c r="AG69" s="423"/>
      <c r="AH69" s="423"/>
      <c r="AI69" s="677"/>
      <c r="AJ69" s="547"/>
      <c r="AK69" s="547"/>
      <c r="AL69" s="682"/>
      <c r="AM69" s="547"/>
      <c r="AN69" s="547"/>
      <c r="AO69" s="679"/>
      <c r="AP69" s="406"/>
      <c r="AQ69" s="406"/>
    </row>
    <row r="70" spans="1:43" ht="20.100000000000001" customHeight="1">
      <c r="A70" s="423" t="s">
        <v>3534</v>
      </c>
      <c r="B70" s="423"/>
      <c r="C70" s="548"/>
      <c r="E70" s="680" t="s">
        <v>3535</v>
      </c>
      <c r="F70" s="423"/>
      <c r="G70" s="423" t="s">
        <v>3284</v>
      </c>
      <c r="H70" s="423" t="s">
        <v>185</v>
      </c>
      <c r="I70" s="423"/>
      <c r="J70" s="423">
        <v>202508</v>
      </c>
      <c r="K70" s="681"/>
      <c r="L70" s="670"/>
      <c r="M70" s="423"/>
      <c r="N70" s="671"/>
      <c r="O70" s="671"/>
      <c r="P70" s="672"/>
      <c r="Q70" s="673"/>
      <c r="R70" s="423"/>
      <c r="S70" s="674"/>
      <c r="T70" s="674"/>
      <c r="U70" s="675"/>
      <c r="V70" s="676"/>
      <c r="W70" s="676"/>
      <c r="X70" s="676"/>
      <c r="Y70" s="676"/>
      <c r="Z70" s="673"/>
      <c r="AA70" s="423"/>
      <c r="AB70" s="423"/>
      <c r="AC70" s="423"/>
      <c r="AD70" s="550"/>
      <c r="AE70" s="550"/>
      <c r="AF70" s="423"/>
      <c r="AG70" s="423"/>
      <c r="AH70" s="423"/>
      <c r="AI70" s="677"/>
      <c r="AJ70" s="547"/>
      <c r="AK70" s="547"/>
      <c r="AL70" s="682"/>
      <c r="AM70" s="547"/>
      <c r="AN70" s="547"/>
      <c r="AO70" s="679"/>
      <c r="AP70" s="406"/>
      <c r="AQ70" s="406"/>
    </row>
    <row r="71" spans="1:43" ht="20.100000000000001" customHeight="1">
      <c r="A71" s="423"/>
      <c r="B71" s="423"/>
      <c r="C71" s="548"/>
      <c r="E71" s="680"/>
      <c r="F71" s="423"/>
      <c r="G71" s="423"/>
      <c r="H71" s="423"/>
      <c r="I71" s="423"/>
      <c r="J71" s="423"/>
      <c r="K71" s="681"/>
      <c r="L71" s="670"/>
      <c r="M71" s="423"/>
      <c r="N71" s="671"/>
      <c r="O71" s="671"/>
      <c r="P71" s="672"/>
      <c r="Q71" s="673"/>
      <c r="R71" s="423"/>
      <c r="S71" s="674"/>
      <c r="T71" s="674"/>
      <c r="U71" s="675"/>
      <c r="V71" s="676"/>
      <c r="W71" s="676"/>
      <c r="X71" s="676"/>
      <c r="Y71" s="676"/>
      <c r="Z71" s="673"/>
      <c r="AA71" s="423"/>
      <c r="AB71" s="423"/>
      <c r="AC71" s="423"/>
      <c r="AD71" s="550"/>
      <c r="AE71" s="550"/>
      <c r="AF71" s="423"/>
      <c r="AG71" s="423"/>
      <c r="AH71" s="423"/>
      <c r="AI71" s="677"/>
      <c r="AJ71" s="547"/>
      <c r="AK71" s="547"/>
      <c r="AL71" s="682"/>
      <c r="AM71" s="547"/>
      <c r="AN71" s="547"/>
      <c r="AO71" s="679"/>
      <c r="AP71" s="406"/>
      <c r="AQ71" s="406"/>
    </row>
    <row r="72" spans="1:43" ht="20.100000000000001" customHeight="1">
      <c r="A72" s="423"/>
      <c r="B72" s="423"/>
      <c r="C72" s="548"/>
      <c r="E72" s="680"/>
      <c r="F72" s="423"/>
      <c r="G72" s="423"/>
      <c r="H72" s="423"/>
      <c r="I72" s="423"/>
      <c r="J72" s="423"/>
      <c r="K72" s="681"/>
      <c r="L72" s="670"/>
      <c r="M72" s="423"/>
      <c r="N72" s="671"/>
      <c r="O72" s="671"/>
      <c r="P72" s="672"/>
      <c r="Q72" s="673"/>
      <c r="R72" s="423"/>
      <c r="S72" s="674"/>
      <c r="T72" s="674"/>
      <c r="U72" s="675"/>
      <c r="V72" s="676"/>
      <c r="W72" s="676"/>
      <c r="X72" s="676"/>
      <c r="Y72" s="676"/>
      <c r="Z72" s="673"/>
      <c r="AA72" s="423"/>
      <c r="AB72" s="423"/>
      <c r="AC72" s="423"/>
      <c r="AD72" s="550"/>
      <c r="AE72" s="550"/>
      <c r="AF72" s="423"/>
      <c r="AG72" s="423"/>
      <c r="AH72" s="423"/>
      <c r="AI72" s="677"/>
      <c r="AJ72" s="547"/>
      <c r="AK72" s="547"/>
      <c r="AL72" s="682"/>
      <c r="AM72" s="547"/>
      <c r="AN72" s="547"/>
      <c r="AO72" s="679"/>
      <c r="AP72" s="406"/>
      <c r="AQ72" s="406"/>
    </row>
    <row r="73" spans="1:43" ht="13.9">
      <c r="A73" s="423"/>
      <c r="B73" s="423"/>
      <c r="C73" s="548"/>
      <c r="E73" s="680"/>
      <c r="F73" s="423"/>
      <c r="G73" s="423"/>
      <c r="H73" s="423"/>
      <c r="I73" s="423"/>
      <c r="J73" s="423"/>
      <c r="K73" s="681"/>
      <c r="L73" s="670"/>
      <c r="M73" s="423"/>
      <c r="N73" s="671"/>
      <c r="O73" s="671"/>
      <c r="P73" s="672"/>
      <c r="Q73" s="673"/>
      <c r="R73" s="423"/>
      <c r="S73" s="674"/>
      <c r="T73" s="674"/>
      <c r="U73" s="675"/>
      <c r="V73" s="676"/>
      <c r="W73" s="676"/>
      <c r="X73" s="676"/>
      <c r="Y73" s="676"/>
      <c r="Z73" s="673"/>
      <c r="AA73" s="423"/>
      <c r="AB73" s="423"/>
      <c r="AC73" s="423"/>
      <c r="AD73" s="550"/>
      <c r="AE73" s="550"/>
      <c r="AF73" s="423"/>
      <c r="AG73" s="423"/>
      <c r="AH73" s="423"/>
      <c r="AI73" s="677"/>
      <c r="AJ73" s="547"/>
      <c r="AK73" s="547"/>
      <c r="AL73" s="682"/>
      <c r="AM73" s="547"/>
      <c r="AN73" s="547"/>
      <c r="AO73" s="679"/>
      <c r="AP73" s="406"/>
      <c r="AQ73" s="406"/>
    </row>
    <row r="74" spans="1:43" ht="13.9">
      <c r="A74" s="423"/>
      <c r="B74" s="423"/>
      <c r="C74" s="548"/>
      <c r="E74" s="680"/>
      <c r="F74" s="423"/>
      <c r="G74" s="423"/>
      <c r="H74" s="423"/>
      <c r="I74" s="423"/>
      <c r="J74" s="423"/>
      <c r="K74" s="681"/>
      <c r="L74" s="670"/>
      <c r="M74" s="423"/>
      <c r="N74" s="671"/>
      <c r="O74" s="671"/>
      <c r="P74" s="672"/>
      <c r="Q74" s="673"/>
      <c r="R74" s="423"/>
      <c r="S74" s="674"/>
      <c r="T74" s="674"/>
      <c r="U74" s="675"/>
      <c r="V74" s="676"/>
      <c r="W74" s="676"/>
      <c r="X74" s="676"/>
      <c r="Y74" s="676"/>
      <c r="Z74" s="673"/>
      <c r="AA74" s="423"/>
      <c r="AB74" s="423"/>
      <c r="AC74" s="423"/>
      <c r="AD74" s="550"/>
      <c r="AE74" s="550"/>
      <c r="AF74" s="423"/>
      <c r="AG74" s="423"/>
      <c r="AH74" s="423"/>
      <c r="AI74" s="423"/>
      <c r="AJ74" s="547"/>
      <c r="AK74" s="547"/>
      <c r="AL74" s="682"/>
      <c r="AM74" s="547"/>
      <c r="AN74" s="547"/>
      <c r="AO74" s="679"/>
      <c r="AP74" s="406"/>
      <c r="AQ74" s="406"/>
    </row>
    <row r="75" spans="1:43" ht="13.9">
      <c r="A75" s="423"/>
      <c r="B75" s="423"/>
      <c r="C75" s="548"/>
      <c r="E75" s="680"/>
      <c r="F75" s="423"/>
      <c r="G75" s="423"/>
      <c r="H75" s="423"/>
      <c r="I75" s="423"/>
      <c r="J75" s="423"/>
      <c r="K75" s="681"/>
      <c r="L75" s="670"/>
      <c r="M75" s="423"/>
      <c r="N75" s="671"/>
      <c r="O75" s="671"/>
      <c r="P75" s="672"/>
      <c r="Q75" s="673"/>
      <c r="R75" s="423"/>
      <c r="S75" s="674"/>
      <c r="T75" s="674"/>
      <c r="U75" s="675"/>
      <c r="V75" s="676"/>
      <c r="W75" s="676"/>
      <c r="X75" s="676"/>
      <c r="Y75" s="676"/>
      <c r="Z75" s="673"/>
      <c r="AA75" s="423"/>
      <c r="AB75" s="423"/>
      <c r="AC75" s="423"/>
      <c r="AD75" s="550"/>
      <c r="AE75" s="550"/>
      <c r="AF75" s="423"/>
      <c r="AG75" s="423"/>
      <c r="AH75" s="423"/>
      <c r="AI75" s="423"/>
      <c r="AJ75" s="547"/>
      <c r="AK75" s="547"/>
      <c r="AL75" s="682"/>
      <c r="AM75" s="547"/>
      <c r="AN75" s="547"/>
      <c r="AO75" s="679"/>
      <c r="AP75" s="406"/>
      <c r="AQ75" s="406"/>
    </row>
    <row r="76" spans="1:43" ht="13.9">
      <c r="A76" s="423"/>
      <c r="B76" s="423"/>
      <c r="C76" s="548"/>
      <c r="E76" s="680"/>
      <c r="F76" s="423"/>
      <c r="G76" s="423"/>
      <c r="H76" s="423"/>
      <c r="I76" s="423"/>
      <c r="J76" s="423"/>
      <c r="K76" s="681"/>
      <c r="L76" s="670"/>
      <c r="M76" s="423"/>
      <c r="N76" s="423"/>
      <c r="O76" s="423"/>
      <c r="P76" s="672"/>
      <c r="Q76" s="673"/>
      <c r="R76" s="423"/>
      <c r="S76" s="674"/>
      <c r="T76" s="674"/>
      <c r="U76" s="675"/>
      <c r="V76" s="676"/>
      <c r="W76" s="676"/>
      <c r="X76" s="676"/>
      <c r="Y76" s="676"/>
      <c r="Z76" s="673"/>
      <c r="AA76" s="423"/>
      <c r="AB76" s="423"/>
      <c r="AC76" s="423"/>
      <c r="AD76" s="550"/>
      <c r="AE76" s="550"/>
      <c r="AF76" s="423"/>
      <c r="AG76" s="423"/>
      <c r="AH76" s="423"/>
      <c r="AI76" s="423"/>
      <c r="AJ76" s="547"/>
      <c r="AK76" s="547"/>
      <c r="AL76" s="682"/>
      <c r="AM76" s="547"/>
      <c r="AN76" s="547"/>
      <c r="AO76" s="679"/>
      <c r="AP76" s="406"/>
      <c r="AQ76" s="406"/>
    </row>
    <row r="77" spans="1:43" ht="13.9">
      <c r="A77" s="423"/>
      <c r="B77" s="423"/>
      <c r="C77" s="548"/>
      <c r="E77" s="680"/>
      <c r="F77" s="423"/>
      <c r="G77" s="423"/>
      <c r="H77" s="423"/>
      <c r="I77" s="423"/>
      <c r="J77" s="423"/>
      <c r="K77" s="681"/>
      <c r="L77" s="670"/>
      <c r="M77" s="423"/>
      <c r="N77" s="671"/>
      <c r="O77" s="671"/>
      <c r="P77" s="672"/>
      <c r="Q77" s="673"/>
      <c r="R77" s="423"/>
      <c r="S77" s="674"/>
      <c r="T77" s="674"/>
      <c r="U77" s="675"/>
      <c r="V77" s="676"/>
      <c r="W77" s="676"/>
      <c r="X77" s="676"/>
      <c r="Y77" s="676"/>
      <c r="Z77" s="673"/>
      <c r="AA77" s="423"/>
      <c r="AB77" s="423"/>
      <c r="AC77" s="423"/>
      <c r="AD77" s="550"/>
      <c r="AE77" s="550"/>
      <c r="AF77" s="423"/>
      <c r="AG77" s="423"/>
      <c r="AH77" s="423"/>
      <c r="AI77" s="423"/>
      <c r="AJ77" s="547"/>
      <c r="AK77" s="547"/>
      <c r="AL77" s="682"/>
      <c r="AM77" s="547"/>
      <c r="AN77" s="547"/>
      <c r="AO77" s="679"/>
      <c r="AP77" s="406"/>
      <c r="AQ77" s="406"/>
    </row>
    <row r="78" spans="1:43" ht="13.9">
      <c r="A78" s="423"/>
      <c r="B78" s="423"/>
      <c r="C78" s="548"/>
      <c r="E78" s="680"/>
      <c r="F78" s="423"/>
      <c r="G78" s="423"/>
      <c r="H78" s="423"/>
      <c r="I78" s="423"/>
      <c r="J78" s="423"/>
      <c r="K78" s="681"/>
      <c r="L78" s="670"/>
      <c r="M78" s="423"/>
      <c r="N78" s="671"/>
      <c r="O78" s="671"/>
      <c r="P78" s="672"/>
      <c r="Q78" s="673"/>
      <c r="R78" s="423"/>
      <c r="S78" s="674"/>
      <c r="T78" s="674"/>
      <c r="U78" s="675"/>
      <c r="V78" s="676"/>
      <c r="W78" s="676"/>
      <c r="X78" s="676"/>
      <c r="Y78" s="676"/>
      <c r="Z78" s="673"/>
      <c r="AA78" s="423"/>
      <c r="AB78" s="423"/>
      <c r="AC78" s="423"/>
      <c r="AD78" s="550"/>
      <c r="AE78" s="550"/>
      <c r="AF78" s="423"/>
      <c r="AG78" s="423"/>
      <c r="AH78" s="423"/>
      <c r="AI78" s="677"/>
      <c r="AJ78" s="547"/>
      <c r="AK78" s="547"/>
      <c r="AL78" s="682"/>
      <c r="AM78" s="547"/>
      <c r="AN78" s="547"/>
      <c r="AO78" s="679"/>
      <c r="AP78" s="406"/>
      <c r="AQ78" s="406"/>
    </row>
    <row r="79" spans="1:43" ht="13.9">
      <c r="A79" s="423"/>
      <c r="B79" s="423"/>
      <c r="C79" s="548"/>
      <c r="E79" s="680"/>
      <c r="F79" s="423"/>
      <c r="G79" s="423"/>
      <c r="H79" s="423"/>
      <c r="I79" s="423"/>
      <c r="J79" s="423"/>
      <c r="K79" s="681"/>
      <c r="L79" s="670"/>
      <c r="M79" s="423"/>
      <c r="N79" s="671"/>
      <c r="O79" s="671"/>
      <c r="P79" s="672"/>
      <c r="Q79" s="673"/>
      <c r="R79" s="423"/>
      <c r="S79" s="674"/>
      <c r="T79" s="674"/>
      <c r="U79" s="675"/>
      <c r="V79" s="676"/>
      <c r="W79" s="676"/>
      <c r="X79" s="676"/>
      <c r="Y79" s="676"/>
      <c r="Z79" s="673"/>
      <c r="AA79" s="423"/>
      <c r="AB79" s="423"/>
      <c r="AC79" s="423"/>
      <c r="AD79" s="550"/>
      <c r="AE79" s="550"/>
      <c r="AF79" s="423"/>
      <c r="AG79" s="423"/>
      <c r="AH79" s="423"/>
      <c r="AI79" s="677"/>
      <c r="AJ79" s="547"/>
      <c r="AK79" s="547"/>
      <c r="AL79" s="682"/>
      <c r="AM79" s="547"/>
      <c r="AN79" s="547"/>
      <c r="AO79" s="679"/>
      <c r="AP79" s="406"/>
      <c r="AQ79" s="406"/>
    </row>
    <row r="80" spans="1:43" ht="13.9">
      <c r="A80" s="423"/>
      <c r="B80" s="423"/>
      <c r="C80" s="548"/>
      <c r="E80" s="680"/>
      <c r="F80" s="423"/>
      <c r="G80" s="423"/>
      <c r="H80" s="423"/>
      <c r="I80" s="423"/>
      <c r="J80" s="423"/>
      <c r="K80" s="681"/>
      <c r="L80" s="670"/>
      <c r="M80" s="423"/>
      <c r="N80" s="671"/>
      <c r="O80" s="671"/>
      <c r="P80" s="672"/>
      <c r="Q80" s="673"/>
      <c r="R80" s="423"/>
      <c r="S80" s="674"/>
      <c r="T80" s="674"/>
      <c r="U80" s="675"/>
      <c r="V80" s="676"/>
      <c r="W80" s="676"/>
      <c r="X80" s="676"/>
      <c r="Y80" s="676"/>
      <c r="Z80" s="673"/>
      <c r="AA80" s="423"/>
      <c r="AB80" s="423"/>
      <c r="AC80" s="423"/>
      <c r="AD80" s="550"/>
      <c r="AE80" s="550"/>
      <c r="AF80" s="423"/>
      <c r="AG80" s="423"/>
      <c r="AH80" s="423"/>
      <c r="AI80" s="677"/>
      <c r="AJ80" s="547"/>
      <c r="AK80" s="547"/>
      <c r="AL80" s="682"/>
      <c r="AM80" s="547"/>
      <c r="AN80" s="547"/>
      <c r="AO80" s="679"/>
      <c r="AP80" s="406"/>
      <c r="AQ80" s="406"/>
    </row>
    <row r="81" spans="1:43" ht="13.9">
      <c r="A81" s="423"/>
      <c r="B81" s="423"/>
      <c r="C81" s="548"/>
      <c r="E81" s="680"/>
      <c r="F81" s="423"/>
      <c r="G81" s="423"/>
      <c r="H81" s="423"/>
      <c r="I81" s="423"/>
      <c r="J81" s="423"/>
      <c r="K81" s="681"/>
      <c r="L81" s="670"/>
      <c r="M81" s="423"/>
      <c r="N81" s="671"/>
      <c r="O81" s="671"/>
      <c r="P81" s="672"/>
      <c r="Q81" s="673"/>
      <c r="R81" s="423"/>
      <c r="S81" s="674"/>
      <c r="T81" s="674"/>
      <c r="U81" s="675"/>
      <c r="V81" s="676"/>
      <c r="W81" s="676"/>
      <c r="X81" s="676"/>
      <c r="Y81" s="676"/>
      <c r="Z81" s="673"/>
      <c r="AA81" s="423"/>
      <c r="AB81" s="423"/>
      <c r="AC81" s="423"/>
      <c r="AD81" s="550"/>
      <c r="AE81" s="550"/>
      <c r="AF81" s="423"/>
      <c r="AG81" s="423"/>
      <c r="AH81" s="423"/>
      <c r="AI81" s="423"/>
      <c r="AJ81" s="547"/>
      <c r="AK81" s="547"/>
      <c r="AL81" s="682"/>
      <c r="AM81" s="547"/>
      <c r="AN81" s="547"/>
      <c r="AO81" s="679"/>
      <c r="AP81" s="406"/>
      <c r="AQ81" s="406"/>
    </row>
    <row r="82" spans="1:43" ht="13.9">
      <c r="A82" s="423"/>
      <c r="B82" s="423"/>
      <c r="C82" s="548"/>
      <c r="E82" s="680"/>
      <c r="F82" s="423"/>
      <c r="G82" s="423"/>
      <c r="H82" s="423"/>
      <c r="I82" s="423"/>
      <c r="J82" s="423"/>
      <c r="K82" s="681"/>
      <c r="L82" s="670"/>
      <c r="M82" s="423"/>
      <c r="N82" s="671"/>
      <c r="O82" s="671"/>
      <c r="P82" s="672"/>
      <c r="Q82" s="673"/>
      <c r="R82" s="423"/>
      <c r="S82" s="674"/>
      <c r="T82" s="674"/>
      <c r="U82" s="675"/>
      <c r="V82" s="676"/>
      <c r="W82" s="676"/>
      <c r="X82" s="676"/>
      <c r="Y82" s="676"/>
      <c r="Z82" s="673"/>
      <c r="AA82" s="423"/>
      <c r="AB82" s="423"/>
      <c r="AC82" s="423"/>
      <c r="AD82" s="550"/>
      <c r="AE82" s="550"/>
      <c r="AF82" s="423"/>
      <c r="AG82" s="423"/>
      <c r="AH82" s="423"/>
      <c r="AI82" s="423"/>
      <c r="AJ82" s="547"/>
      <c r="AK82" s="547"/>
      <c r="AL82" s="682"/>
      <c r="AM82" s="547"/>
      <c r="AN82" s="547"/>
      <c r="AO82" s="679"/>
      <c r="AP82" s="406"/>
      <c r="AQ82" s="406"/>
    </row>
    <row r="83" spans="1:43" ht="13.9">
      <c r="A83" s="423"/>
      <c r="B83" s="423"/>
      <c r="C83" s="548"/>
      <c r="E83" s="680"/>
      <c r="F83" s="423"/>
      <c r="G83" s="423"/>
      <c r="H83" s="423"/>
      <c r="I83" s="423"/>
      <c r="J83" s="423"/>
      <c r="K83" s="681"/>
      <c r="L83" s="670"/>
      <c r="M83" s="423"/>
      <c r="N83" s="671"/>
      <c r="O83" s="671"/>
      <c r="P83" s="672"/>
      <c r="Q83" s="673"/>
      <c r="R83" s="423"/>
      <c r="S83" s="674"/>
      <c r="T83" s="674"/>
      <c r="U83" s="675"/>
      <c r="V83" s="676"/>
      <c r="W83" s="676"/>
      <c r="X83" s="676"/>
      <c r="Y83" s="676"/>
      <c r="Z83" s="673"/>
      <c r="AA83" s="423"/>
      <c r="AB83" s="423"/>
      <c r="AC83" s="423"/>
      <c r="AD83" s="550"/>
      <c r="AE83" s="550"/>
      <c r="AF83" s="423"/>
      <c r="AG83" s="423"/>
      <c r="AH83" s="423"/>
      <c r="AI83" s="423"/>
      <c r="AJ83" s="547"/>
      <c r="AK83" s="547"/>
      <c r="AL83" s="682"/>
      <c r="AM83" s="547"/>
      <c r="AN83" s="547"/>
      <c r="AO83" s="679"/>
      <c r="AP83" s="406"/>
      <c r="AQ83" s="406"/>
    </row>
    <row r="84" spans="1:43" ht="13.9">
      <c r="A84" s="423"/>
      <c r="B84" s="423"/>
      <c r="C84" s="548"/>
      <c r="E84" s="680"/>
      <c r="F84" s="423"/>
      <c r="G84" s="423"/>
      <c r="H84" s="423"/>
      <c r="I84" s="423"/>
      <c r="J84" s="423"/>
      <c r="K84" s="681"/>
      <c r="L84" s="670"/>
      <c r="M84" s="423"/>
      <c r="N84" s="671"/>
      <c r="O84" s="671"/>
      <c r="P84" s="672"/>
      <c r="Q84" s="673"/>
      <c r="R84" s="423"/>
      <c r="S84" s="674"/>
      <c r="T84" s="674"/>
      <c r="U84" s="675"/>
      <c r="V84" s="676"/>
      <c r="W84" s="676"/>
      <c r="X84" s="676"/>
      <c r="Y84" s="676"/>
      <c r="Z84" s="673"/>
      <c r="AA84" s="423"/>
      <c r="AB84" s="423"/>
      <c r="AC84" s="423"/>
      <c r="AD84" s="550"/>
      <c r="AE84" s="550"/>
      <c r="AF84" s="423"/>
      <c r="AG84" s="423"/>
      <c r="AH84" s="423"/>
      <c r="AI84" s="423"/>
      <c r="AJ84" s="547"/>
      <c r="AK84" s="547"/>
      <c r="AL84" s="682"/>
      <c r="AM84" s="547"/>
      <c r="AN84" s="547"/>
      <c r="AO84" s="679"/>
      <c r="AP84" s="406"/>
      <c r="AQ84" s="406"/>
    </row>
    <row r="85" spans="1:43" ht="13.9">
      <c r="A85" s="423"/>
      <c r="B85" s="423"/>
      <c r="C85" s="548"/>
      <c r="E85" s="680"/>
      <c r="F85" s="423"/>
      <c r="G85" s="423"/>
      <c r="H85" s="423"/>
      <c r="I85" s="423"/>
      <c r="J85" s="423"/>
      <c r="K85" s="681"/>
      <c r="L85" s="670"/>
      <c r="M85" s="423"/>
      <c r="N85" s="671"/>
      <c r="O85" s="671"/>
      <c r="P85" s="672"/>
      <c r="Q85" s="673"/>
      <c r="R85" s="423"/>
      <c r="S85" s="674"/>
      <c r="T85" s="674"/>
      <c r="U85" s="675"/>
      <c r="V85" s="676"/>
      <c r="W85" s="676"/>
      <c r="X85" s="676"/>
      <c r="Y85" s="676"/>
      <c r="Z85" s="673"/>
      <c r="AA85" s="423"/>
      <c r="AB85" s="423"/>
      <c r="AC85" s="423"/>
      <c r="AD85" s="550"/>
      <c r="AE85" s="550"/>
      <c r="AF85" s="423"/>
      <c r="AG85" s="423"/>
      <c r="AH85" s="423"/>
      <c r="AI85" s="423"/>
      <c r="AJ85" s="547"/>
      <c r="AK85" s="547"/>
      <c r="AL85" s="682"/>
      <c r="AM85" s="547"/>
      <c r="AN85" s="547"/>
      <c r="AO85" s="679"/>
      <c r="AP85" s="406"/>
      <c r="AQ85" s="406"/>
    </row>
    <row r="86" spans="1:43" ht="13.9">
      <c r="A86" s="423"/>
      <c r="B86" s="423"/>
      <c r="C86" s="548"/>
      <c r="E86" s="680"/>
      <c r="F86" s="423"/>
      <c r="G86" s="423"/>
      <c r="H86" s="423"/>
      <c r="I86" s="423"/>
      <c r="J86" s="423"/>
      <c r="K86" s="681"/>
      <c r="L86" s="670"/>
      <c r="M86" s="423"/>
      <c r="N86" s="671"/>
      <c r="O86" s="671"/>
      <c r="P86" s="672"/>
      <c r="Q86" s="673"/>
      <c r="R86" s="423"/>
      <c r="S86" s="674"/>
      <c r="T86" s="674"/>
      <c r="U86" s="675"/>
      <c r="V86" s="676"/>
      <c r="W86" s="676"/>
      <c r="X86" s="676"/>
      <c r="Y86" s="676"/>
      <c r="Z86" s="673"/>
      <c r="AA86" s="423"/>
      <c r="AB86" s="423"/>
      <c r="AC86" s="423"/>
      <c r="AD86" s="550"/>
      <c r="AE86" s="550"/>
      <c r="AF86" s="423"/>
      <c r="AG86" s="423"/>
      <c r="AH86" s="423"/>
      <c r="AI86" s="423"/>
      <c r="AJ86" s="547"/>
      <c r="AK86" s="547"/>
      <c r="AL86" s="682"/>
      <c r="AM86" s="547"/>
      <c r="AN86" s="547"/>
      <c r="AO86" s="679"/>
      <c r="AP86" s="406"/>
      <c r="AQ86" s="406"/>
    </row>
    <row r="87" spans="1:43" ht="13.9">
      <c r="A87" s="423"/>
      <c r="B87" s="683"/>
      <c r="C87" s="548"/>
      <c r="E87" s="680"/>
      <c r="F87" s="423"/>
      <c r="G87" s="423"/>
      <c r="H87" s="423"/>
      <c r="I87" s="423"/>
      <c r="J87" s="423"/>
      <c r="K87" s="681"/>
      <c r="L87" s="670"/>
      <c r="M87" s="423"/>
      <c r="N87" s="423"/>
      <c r="O87" s="423"/>
      <c r="P87" s="672"/>
      <c r="Q87" s="673"/>
      <c r="R87" s="684"/>
      <c r="S87" s="674"/>
      <c r="T87" s="674"/>
      <c r="U87" s="675"/>
      <c r="V87" s="676"/>
      <c r="W87" s="676"/>
      <c r="X87" s="676"/>
      <c r="Y87" s="676"/>
      <c r="Z87" s="676"/>
      <c r="AA87" s="423"/>
      <c r="AB87" s="676"/>
      <c r="AC87" s="676"/>
      <c r="AD87" s="550"/>
      <c r="AE87" s="550"/>
      <c r="AF87" s="423"/>
      <c r="AG87" s="423"/>
      <c r="AH87" s="423"/>
      <c r="AI87" s="423"/>
      <c r="AJ87" s="547"/>
      <c r="AK87" s="547"/>
      <c r="AL87" s="682"/>
      <c r="AM87" s="547"/>
      <c r="AN87" s="547"/>
      <c r="AO87" s="679"/>
      <c r="AP87" s="406"/>
      <c r="AQ87" s="406"/>
    </row>
    <row r="88" spans="1:43" ht="13.9">
      <c r="A88" s="423"/>
      <c r="B88" s="683"/>
      <c r="C88" s="548"/>
      <c r="E88" s="680"/>
      <c r="F88" s="423"/>
      <c r="G88" s="423"/>
      <c r="H88" s="423"/>
      <c r="I88" s="423"/>
      <c r="J88" s="423"/>
      <c r="K88" s="681"/>
      <c r="L88" s="670"/>
      <c r="M88" s="423"/>
      <c r="N88" s="423"/>
      <c r="O88" s="423"/>
      <c r="P88" s="672"/>
      <c r="Q88" s="673"/>
      <c r="R88" s="684"/>
      <c r="S88" s="674"/>
      <c r="T88" s="674"/>
      <c r="U88" s="675"/>
      <c r="V88" s="676"/>
      <c r="W88" s="676"/>
      <c r="X88" s="676"/>
      <c r="Y88" s="676"/>
      <c r="Z88" s="676"/>
      <c r="AA88" s="423"/>
      <c r="AB88" s="676"/>
      <c r="AC88" s="676"/>
      <c r="AD88" s="550"/>
      <c r="AE88" s="550"/>
      <c r="AF88" s="423"/>
      <c r="AG88" s="423"/>
      <c r="AH88" s="423"/>
      <c r="AI88" s="677"/>
      <c r="AJ88" s="547"/>
      <c r="AK88" s="547"/>
      <c r="AL88" s="682"/>
      <c r="AM88" s="547"/>
      <c r="AN88" s="547"/>
      <c r="AO88" s="679"/>
      <c r="AP88" s="406"/>
      <c r="AQ88" s="406"/>
    </row>
    <row r="89" spans="1:43" ht="13.9">
      <c r="A89" s="423"/>
      <c r="B89" s="423"/>
      <c r="C89" s="548"/>
      <c r="E89" s="680"/>
      <c r="F89" s="423"/>
      <c r="G89" s="423"/>
      <c r="H89" s="423"/>
      <c r="I89" s="423"/>
      <c r="J89" s="423"/>
      <c r="K89" s="681"/>
      <c r="L89" s="670"/>
      <c r="M89" s="423"/>
      <c r="N89" s="423"/>
      <c r="O89" s="423"/>
      <c r="P89" s="672"/>
      <c r="Q89" s="673"/>
      <c r="R89" s="423"/>
      <c r="S89" s="674"/>
      <c r="T89" s="674"/>
      <c r="U89" s="675"/>
      <c r="V89" s="676"/>
      <c r="W89" s="676"/>
      <c r="X89" s="676"/>
      <c r="Y89" s="676"/>
      <c r="Z89" s="676"/>
      <c r="AA89" s="423"/>
      <c r="AB89" s="676"/>
      <c r="AC89" s="676"/>
      <c r="AD89" s="550"/>
      <c r="AE89" s="550"/>
      <c r="AF89" s="423"/>
      <c r="AG89" s="423"/>
      <c r="AH89" s="423"/>
      <c r="AI89" s="423"/>
      <c r="AJ89" s="547"/>
      <c r="AK89" s="547"/>
      <c r="AL89" s="682"/>
      <c r="AM89" s="547"/>
      <c r="AN89" s="547"/>
      <c r="AO89" s="679"/>
      <c r="AP89" s="406"/>
      <c r="AQ89" s="406"/>
    </row>
    <row r="90" spans="1:43" ht="13.9">
      <c r="A90" s="423"/>
      <c r="B90" s="423"/>
      <c r="C90" s="548"/>
      <c r="E90" s="680"/>
      <c r="F90" s="423"/>
      <c r="G90" s="423"/>
      <c r="H90" s="423"/>
      <c r="I90" s="423"/>
      <c r="J90" s="423"/>
      <c r="K90" s="681"/>
      <c r="L90" s="670"/>
      <c r="M90" s="423"/>
      <c r="N90" s="423"/>
      <c r="O90" s="423"/>
      <c r="P90" s="672"/>
      <c r="Q90" s="673"/>
      <c r="R90" s="423"/>
      <c r="S90" s="674"/>
      <c r="T90" s="674"/>
      <c r="U90" s="675"/>
      <c r="V90" s="676"/>
      <c r="W90" s="676"/>
      <c r="X90" s="676"/>
      <c r="Y90" s="676"/>
      <c r="Z90" s="673"/>
      <c r="AA90" s="423"/>
      <c r="AB90" s="676"/>
      <c r="AC90" s="423"/>
      <c r="AD90" s="550"/>
      <c r="AE90" s="550"/>
      <c r="AF90" s="423"/>
      <c r="AG90" s="423"/>
      <c r="AH90" s="423"/>
      <c r="AI90" s="423"/>
      <c r="AJ90" s="547"/>
      <c r="AK90" s="547"/>
      <c r="AL90" s="682"/>
      <c r="AM90" s="547"/>
      <c r="AN90" s="547"/>
      <c r="AO90" s="679"/>
      <c r="AP90" s="406"/>
      <c r="AQ90" s="406"/>
    </row>
    <row r="91" spans="1:43" ht="13.9">
      <c r="A91" s="423"/>
      <c r="B91" s="423"/>
      <c r="C91" s="548"/>
      <c r="E91" s="680"/>
      <c r="F91" s="423"/>
      <c r="G91" s="423"/>
      <c r="H91" s="423"/>
      <c r="I91" s="423"/>
      <c r="J91" s="423"/>
      <c r="K91" s="681"/>
      <c r="L91" s="670"/>
      <c r="M91" s="423"/>
      <c r="N91" s="423"/>
      <c r="O91" s="423"/>
      <c r="P91" s="672"/>
      <c r="Q91" s="673"/>
      <c r="R91" s="423"/>
      <c r="S91" s="674"/>
      <c r="T91" s="674"/>
      <c r="U91" s="675"/>
      <c r="V91" s="676"/>
      <c r="W91" s="676"/>
      <c r="X91" s="676"/>
      <c r="Y91" s="676"/>
      <c r="Z91" s="673"/>
      <c r="AA91" s="423"/>
      <c r="AB91" s="676"/>
      <c r="AC91" s="423"/>
      <c r="AD91" s="550"/>
      <c r="AE91" s="550"/>
      <c r="AF91" s="423"/>
      <c r="AG91" s="423"/>
      <c r="AH91" s="423"/>
      <c r="AI91" s="423"/>
      <c r="AJ91" s="547"/>
      <c r="AK91" s="547"/>
      <c r="AL91" s="682"/>
      <c r="AM91" s="547"/>
      <c r="AN91" s="547"/>
      <c r="AO91" s="679"/>
      <c r="AP91" s="406"/>
      <c r="AQ91" s="406"/>
    </row>
    <row r="92" spans="1:43" ht="13.9">
      <c r="A92" s="423"/>
      <c r="B92" s="423"/>
      <c r="C92" s="548"/>
      <c r="E92" s="680"/>
      <c r="F92" s="423"/>
      <c r="G92" s="423"/>
      <c r="H92" s="423"/>
      <c r="I92" s="423"/>
      <c r="J92" s="423"/>
      <c r="K92" s="681"/>
      <c r="L92" s="670"/>
      <c r="M92" s="423"/>
      <c r="N92" s="423"/>
      <c r="O92" s="423"/>
      <c r="P92" s="672"/>
      <c r="Q92" s="673"/>
      <c r="R92" s="423"/>
      <c r="S92" s="674"/>
      <c r="T92" s="674"/>
      <c r="U92" s="675"/>
      <c r="V92" s="676"/>
      <c r="W92" s="676"/>
      <c r="X92" s="676"/>
      <c r="Y92" s="676"/>
      <c r="Z92" s="676"/>
      <c r="AA92" s="423"/>
      <c r="AB92" s="676"/>
      <c r="AC92" s="676"/>
      <c r="AD92" s="550"/>
      <c r="AE92" s="550"/>
      <c r="AF92" s="423"/>
      <c r="AG92" s="423"/>
      <c r="AH92" s="423"/>
      <c r="AI92" s="423"/>
      <c r="AJ92" s="547"/>
      <c r="AK92" s="547"/>
      <c r="AL92" s="682"/>
      <c r="AM92" s="547"/>
      <c r="AN92" s="547"/>
      <c r="AO92" s="679"/>
      <c r="AP92" s="406"/>
      <c r="AQ92" s="406"/>
    </row>
    <row r="93" spans="1:43" ht="13.9">
      <c r="A93" s="423"/>
      <c r="B93" s="423"/>
      <c r="C93" s="548"/>
      <c r="E93" s="680"/>
      <c r="F93" s="423"/>
      <c r="G93" s="423"/>
      <c r="H93" s="423"/>
      <c r="I93" s="423"/>
      <c r="J93" s="423"/>
      <c r="K93" s="681"/>
      <c r="L93" s="670"/>
      <c r="M93" s="423"/>
      <c r="N93" s="423"/>
      <c r="O93" s="423"/>
      <c r="P93" s="672"/>
      <c r="Q93" s="673"/>
      <c r="R93" s="423"/>
      <c r="S93" s="674"/>
      <c r="T93" s="674"/>
      <c r="U93" s="675"/>
      <c r="V93" s="676"/>
      <c r="W93" s="676"/>
      <c r="X93" s="676"/>
      <c r="Y93" s="676"/>
      <c r="Z93" s="673"/>
      <c r="AA93" s="423"/>
      <c r="AB93" s="676"/>
      <c r="AC93" s="423"/>
      <c r="AD93" s="550"/>
      <c r="AE93" s="550"/>
      <c r="AF93" s="423"/>
      <c r="AG93" s="423"/>
      <c r="AH93" s="423"/>
      <c r="AI93" s="423"/>
      <c r="AJ93" s="547"/>
      <c r="AK93" s="547"/>
      <c r="AL93" s="682"/>
      <c r="AM93" s="547"/>
      <c r="AN93" s="547"/>
      <c r="AO93" s="679"/>
      <c r="AP93" s="406"/>
      <c r="AQ93" s="406"/>
    </row>
    <row r="94" spans="1:43" ht="13.9">
      <c r="A94" s="423"/>
      <c r="B94" s="423"/>
      <c r="C94" s="548"/>
      <c r="E94" s="680"/>
      <c r="F94" s="423"/>
      <c r="G94" s="423"/>
      <c r="H94" s="423"/>
      <c r="I94" s="423"/>
      <c r="J94" s="423"/>
      <c r="K94" s="681"/>
      <c r="L94" s="670"/>
      <c r="M94" s="423"/>
      <c r="N94" s="423"/>
      <c r="O94" s="423"/>
      <c r="P94" s="672"/>
      <c r="Q94" s="673"/>
      <c r="R94" s="423"/>
      <c r="S94" s="674"/>
      <c r="T94" s="674"/>
      <c r="U94" s="675"/>
      <c r="V94" s="676"/>
      <c r="W94" s="676"/>
      <c r="X94" s="676"/>
      <c r="Y94" s="676"/>
      <c r="Z94" s="673"/>
      <c r="AA94" s="423"/>
      <c r="AB94" s="423"/>
      <c r="AC94" s="423"/>
      <c r="AD94" s="550"/>
      <c r="AE94" s="550"/>
      <c r="AF94" s="423"/>
      <c r="AG94" s="423"/>
      <c r="AH94" s="423"/>
      <c r="AI94" s="423"/>
      <c r="AJ94" s="547"/>
      <c r="AK94" s="547"/>
      <c r="AL94" s="682"/>
      <c r="AM94" s="547"/>
      <c r="AN94" s="547"/>
      <c r="AO94" s="679"/>
      <c r="AP94" s="406"/>
      <c r="AQ94" s="406"/>
    </row>
    <row r="95" spans="1:43" ht="13.9">
      <c r="A95" s="423"/>
      <c r="B95" s="423"/>
      <c r="C95" s="548"/>
      <c r="E95" s="680"/>
      <c r="F95" s="423"/>
      <c r="G95" s="423"/>
      <c r="H95" s="423"/>
      <c r="I95" s="423"/>
      <c r="J95" s="423"/>
      <c r="K95" s="681"/>
      <c r="L95" s="670"/>
      <c r="M95" s="423"/>
      <c r="N95" s="423"/>
      <c r="O95" s="423"/>
      <c r="P95" s="672"/>
      <c r="Q95" s="673"/>
      <c r="R95" s="423"/>
      <c r="S95" s="674"/>
      <c r="T95" s="674"/>
      <c r="U95" s="675"/>
      <c r="V95" s="676"/>
      <c r="W95" s="676"/>
      <c r="X95" s="676"/>
      <c r="Y95" s="676"/>
      <c r="Z95" s="673"/>
      <c r="AA95" s="423"/>
      <c r="AB95" s="423"/>
      <c r="AC95" s="423"/>
      <c r="AD95" s="550"/>
      <c r="AE95" s="550"/>
      <c r="AF95" s="423"/>
      <c r="AG95" s="423"/>
      <c r="AH95" s="423"/>
      <c r="AI95" s="423"/>
      <c r="AJ95" s="547"/>
      <c r="AK95" s="547"/>
      <c r="AL95" s="682"/>
      <c r="AM95" s="547"/>
      <c r="AN95" s="547"/>
      <c r="AO95" s="679"/>
      <c r="AP95" s="406"/>
      <c r="AQ95" s="406"/>
    </row>
    <row r="96" spans="1:43" ht="13.9">
      <c r="A96" s="423"/>
      <c r="B96" s="423"/>
      <c r="C96" s="548"/>
      <c r="E96" s="680"/>
      <c r="F96" s="423"/>
      <c r="G96" s="423"/>
      <c r="H96" s="423"/>
      <c r="I96" s="423"/>
      <c r="J96" s="423"/>
      <c r="K96" s="681"/>
      <c r="L96" s="670"/>
      <c r="M96" s="423"/>
      <c r="N96" s="423"/>
      <c r="O96" s="423"/>
      <c r="P96" s="672"/>
      <c r="Q96" s="673"/>
      <c r="R96" s="423"/>
      <c r="S96" s="674"/>
      <c r="T96" s="674"/>
      <c r="U96" s="675"/>
      <c r="V96" s="676"/>
      <c r="W96" s="676"/>
      <c r="X96" s="676"/>
      <c r="Y96" s="676"/>
      <c r="Z96" s="673"/>
      <c r="AA96" s="423"/>
      <c r="AB96" s="423"/>
      <c r="AC96" s="423"/>
      <c r="AD96" s="550"/>
      <c r="AE96" s="550"/>
      <c r="AF96" s="423"/>
      <c r="AG96" s="423"/>
      <c r="AH96" s="423"/>
      <c r="AI96" s="423"/>
      <c r="AJ96" s="547"/>
      <c r="AK96" s="547"/>
      <c r="AL96" s="682"/>
      <c r="AM96" s="547"/>
      <c r="AN96" s="547"/>
      <c r="AO96" s="679"/>
      <c r="AP96" s="406"/>
      <c r="AQ96" s="406"/>
    </row>
    <row r="97" spans="1:43" ht="13.9">
      <c r="A97" s="423"/>
      <c r="B97" s="423"/>
      <c r="C97" s="548"/>
      <c r="E97" s="680"/>
      <c r="F97" s="423"/>
      <c r="G97" s="423"/>
      <c r="H97" s="423"/>
      <c r="I97" s="423"/>
      <c r="J97" s="423"/>
      <c r="K97" s="681"/>
      <c r="L97" s="670"/>
      <c r="M97" s="423"/>
      <c r="N97" s="423"/>
      <c r="O97" s="423"/>
      <c r="P97" s="672"/>
      <c r="Q97" s="673"/>
      <c r="R97" s="423"/>
      <c r="S97" s="674"/>
      <c r="T97" s="674"/>
      <c r="U97" s="675"/>
      <c r="V97" s="676"/>
      <c r="W97" s="676"/>
      <c r="X97" s="676"/>
      <c r="Y97" s="676"/>
      <c r="Z97" s="673"/>
      <c r="AA97" s="423"/>
      <c r="AB97" s="423"/>
      <c r="AC97" s="423"/>
      <c r="AD97" s="550"/>
      <c r="AE97" s="550"/>
      <c r="AF97" s="423"/>
      <c r="AG97" s="423"/>
      <c r="AH97" s="423"/>
      <c r="AI97" s="423"/>
      <c r="AJ97" s="547"/>
      <c r="AK97" s="547"/>
      <c r="AL97" s="682"/>
      <c r="AM97" s="547"/>
      <c r="AN97" s="547"/>
      <c r="AO97" s="679"/>
      <c r="AP97" s="406"/>
      <c r="AQ97" s="406"/>
    </row>
    <row r="98" spans="1:43" ht="13.9">
      <c r="A98" s="423"/>
      <c r="B98" s="423"/>
      <c r="C98" s="548"/>
      <c r="E98" s="680"/>
      <c r="F98" s="423"/>
      <c r="G98" s="423"/>
      <c r="H98" s="423"/>
      <c r="I98" s="423"/>
      <c r="J98" s="423"/>
      <c r="K98" s="681"/>
      <c r="L98" s="670"/>
      <c r="M98" s="423"/>
      <c r="N98" s="423"/>
      <c r="O98" s="423"/>
      <c r="P98" s="672"/>
      <c r="Q98" s="673"/>
      <c r="R98" s="423"/>
      <c r="S98" s="674"/>
      <c r="T98" s="674"/>
      <c r="U98" s="675"/>
      <c r="V98" s="676"/>
      <c r="W98" s="676"/>
      <c r="X98" s="676"/>
      <c r="Y98" s="676"/>
      <c r="Z98" s="673"/>
      <c r="AA98" s="423"/>
      <c r="AB98" s="423"/>
      <c r="AC98" s="423"/>
      <c r="AD98" s="550"/>
      <c r="AE98" s="550"/>
      <c r="AF98" s="423"/>
      <c r="AG98" s="423"/>
      <c r="AH98" s="423"/>
      <c r="AI98" s="423"/>
      <c r="AJ98" s="547"/>
      <c r="AK98" s="547"/>
      <c r="AL98" s="682"/>
      <c r="AM98" s="547"/>
      <c r="AN98" s="547"/>
      <c r="AO98" s="679"/>
      <c r="AP98" s="406"/>
      <c r="AQ98" s="406"/>
    </row>
    <row r="99" spans="1:43" ht="13.9">
      <c r="A99" s="423"/>
      <c r="B99" s="423"/>
      <c r="C99" s="548"/>
      <c r="E99" s="680"/>
      <c r="F99" s="423"/>
      <c r="G99" s="423"/>
      <c r="H99" s="423"/>
      <c r="I99" s="423"/>
      <c r="J99" s="423"/>
      <c r="K99" s="681"/>
      <c r="L99" s="670"/>
      <c r="M99" s="423"/>
      <c r="N99" s="423"/>
      <c r="O99" s="423"/>
      <c r="P99" s="672"/>
      <c r="Q99" s="673"/>
      <c r="R99" s="423"/>
      <c r="S99" s="674"/>
      <c r="T99" s="674"/>
      <c r="U99" s="675"/>
      <c r="V99" s="676"/>
      <c r="W99" s="676"/>
      <c r="X99" s="676"/>
      <c r="Y99" s="676"/>
      <c r="Z99" s="673"/>
      <c r="AA99" s="423"/>
      <c r="AB99" s="423"/>
      <c r="AC99" s="423"/>
      <c r="AD99" s="550"/>
      <c r="AE99" s="550"/>
      <c r="AF99" s="423"/>
      <c r="AG99" s="423"/>
      <c r="AH99" s="423"/>
      <c r="AI99" s="423"/>
      <c r="AJ99" s="547"/>
      <c r="AK99" s="547"/>
      <c r="AL99" s="682"/>
      <c r="AM99" s="547"/>
      <c r="AN99" s="547"/>
      <c r="AO99" s="679"/>
      <c r="AP99" s="406"/>
      <c r="AQ99" s="406"/>
    </row>
    <row r="100" spans="1:43" ht="13.9">
      <c r="A100" s="423"/>
      <c r="B100" s="423"/>
      <c r="C100" s="548"/>
      <c r="E100" s="680"/>
      <c r="F100" s="423"/>
      <c r="G100" s="423"/>
      <c r="H100" s="423"/>
      <c r="I100" s="423"/>
      <c r="J100" s="423"/>
      <c r="K100" s="681"/>
      <c r="L100" s="670"/>
      <c r="M100" s="423"/>
      <c r="N100" s="423"/>
      <c r="O100" s="423"/>
      <c r="P100" s="672"/>
      <c r="Q100" s="673"/>
      <c r="R100" s="423"/>
      <c r="S100" s="674"/>
      <c r="T100" s="674"/>
      <c r="U100" s="675"/>
      <c r="V100" s="676"/>
      <c r="W100" s="676"/>
      <c r="X100" s="676"/>
      <c r="Y100" s="676"/>
      <c r="Z100" s="673"/>
      <c r="AA100" s="423"/>
      <c r="AB100" s="423"/>
      <c r="AC100" s="423"/>
      <c r="AD100" s="550"/>
      <c r="AE100" s="550"/>
      <c r="AF100" s="423"/>
      <c r="AG100" s="423"/>
      <c r="AH100" s="423"/>
      <c r="AI100" s="423"/>
      <c r="AJ100" s="547"/>
      <c r="AK100" s="547"/>
      <c r="AL100" s="682"/>
      <c r="AM100" s="547"/>
      <c r="AN100" s="547"/>
      <c r="AO100" s="679"/>
      <c r="AP100" s="406"/>
      <c r="AQ100" s="406"/>
    </row>
    <row r="101" spans="1:43" ht="13.9">
      <c r="A101" s="423"/>
      <c r="B101" s="423"/>
      <c r="C101" s="548"/>
      <c r="E101" s="680"/>
      <c r="F101" s="423"/>
      <c r="G101" s="423"/>
      <c r="H101" s="423"/>
      <c r="I101" s="423"/>
      <c r="J101" s="423"/>
      <c r="K101" s="681"/>
      <c r="L101" s="670"/>
      <c r="M101" s="423"/>
      <c r="N101" s="423"/>
      <c r="O101" s="423"/>
      <c r="P101" s="672"/>
      <c r="Q101" s="673"/>
      <c r="R101" s="423"/>
      <c r="S101" s="674"/>
      <c r="T101" s="674"/>
      <c r="U101" s="675"/>
      <c r="V101" s="676"/>
      <c r="W101" s="676"/>
      <c r="X101" s="676"/>
      <c r="Y101" s="676"/>
      <c r="Z101" s="673"/>
      <c r="AA101" s="423"/>
      <c r="AB101" s="423"/>
      <c r="AC101" s="423"/>
      <c r="AD101" s="550"/>
      <c r="AE101" s="550"/>
      <c r="AF101" s="423"/>
      <c r="AG101" s="423"/>
      <c r="AH101" s="423"/>
      <c r="AI101" s="677"/>
      <c r="AJ101" s="547"/>
      <c r="AK101" s="547"/>
      <c r="AL101" s="682"/>
      <c r="AM101" s="547"/>
      <c r="AN101" s="547"/>
      <c r="AO101" s="679"/>
      <c r="AP101" s="406"/>
      <c r="AQ101" s="406"/>
    </row>
    <row r="102" spans="1:43" ht="13.9">
      <c r="A102" s="423"/>
      <c r="B102" s="423"/>
      <c r="C102" s="548"/>
      <c r="E102" s="680"/>
      <c r="F102" s="423"/>
      <c r="G102" s="423"/>
      <c r="H102" s="423"/>
      <c r="I102" s="423"/>
      <c r="J102" s="423"/>
      <c r="K102" s="681"/>
      <c r="L102" s="670"/>
      <c r="M102" s="423"/>
      <c r="N102" s="423"/>
      <c r="O102" s="423"/>
      <c r="P102" s="672"/>
      <c r="Q102" s="673"/>
      <c r="R102" s="423"/>
      <c r="S102" s="674"/>
      <c r="T102" s="674"/>
      <c r="U102" s="675"/>
      <c r="V102" s="676"/>
      <c r="W102" s="676"/>
      <c r="X102" s="676"/>
      <c r="Y102" s="676"/>
      <c r="Z102" s="673"/>
      <c r="AA102" s="423"/>
      <c r="AB102" s="423"/>
      <c r="AC102" s="423"/>
      <c r="AD102" s="550"/>
      <c r="AE102" s="550"/>
      <c r="AF102" s="423"/>
      <c r="AG102" s="423"/>
      <c r="AH102" s="423"/>
      <c r="AI102" s="677"/>
      <c r="AJ102" s="547"/>
      <c r="AK102" s="547"/>
      <c r="AL102" s="682"/>
      <c r="AM102" s="547"/>
      <c r="AN102" s="547"/>
      <c r="AO102" s="679"/>
      <c r="AP102" s="406"/>
      <c r="AQ102" s="406"/>
    </row>
    <row r="103" spans="1:43" ht="20.100000000000001" customHeight="1">
      <c r="A103" s="423"/>
      <c r="B103" s="423"/>
      <c r="C103" s="548"/>
      <c r="E103" s="680"/>
      <c r="F103" s="423"/>
      <c r="G103" s="423"/>
      <c r="H103" s="423"/>
      <c r="I103" s="423"/>
      <c r="J103" s="423"/>
      <c r="K103" s="681"/>
      <c r="L103" s="670"/>
      <c r="M103" s="423"/>
      <c r="N103" s="423"/>
      <c r="O103" s="423"/>
      <c r="P103" s="672"/>
      <c r="Q103" s="673"/>
      <c r="R103" s="423"/>
      <c r="S103" s="674"/>
      <c r="T103" s="674"/>
      <c r="U103" s="675"/>
      <c r="V103" s="676"/>
      <c r="W103" s="676"/>
      <c r="X103" s="676"/>
      <c r="Y103" s="676"/>
      <c r="Z103" s="673"/>
      <c r="AA103" s="423"/>
      <c r="AB103" s="423"/>
      <c r="AC103" s="423"/>
      <c r="AD103" s="550"/>
      <c r="AE103" s="550"/>
      <c r="AF103" s="423"/>
      <c r="AG103" s="423"/>
      <c r="AH103" s="423"/>
      <c r="AI103" s="423"/>
      <c r="AJ103" s="547"/>
      <c r="AK103" s="547"/>
      <c r="AL103" s="682"/>
      <c r="AM103" s="547"/>
      <c r="AN103" s="547"/>
      <c r="AO103" s="679"/>
      <c r="AP103" s="406"/>
      <c r="AQ103" s="406"/>
    </row>
    <row r="104" spans="1:43" ht="20.100000000000001" customHeight="1">
      <c r="A104" s="423"/>
      <c r="B104" s="423"/>
      <c r="C104" s="548"/>
      <c r="E104" s="680"/>
      <c r="F104" s="423"/>
      <c r="G104" s="423"/>
      <c r="H104" s="423"/>
      <c r="I104" s="423"/>
      <c r="J104" s="423"/>
      <c r="K104" s="681"/>
      <c r="L104" s="670"/>
      <c r="M104" s="423"/>
      <c r="N104" s="423"/>
      <c r="O104" s="423"/>
      <c r="P104" s="672"/>
      <c r="Q104" s="673"/>
      <c r="R104" s="423"/>
      <c r="S104" s="674"/>
      <c r="T104" s="674"/>
      <c r="U104" s="675"/>
      <c r="V104" s="676"/>
      <c r="W104" s="676"/>
      <c r="X104" s="676"/>
      <c r="Y104" s="676"/>
      <c r="Z104" s="673"/>
      <c r="AA104" s="423"/>
      <c r="AB104" s="423"/>
      <c r="AC104" s="423"/>
      <c r="AD104" s="550"/>
      <c r="AE104" s="550"/>
      <c r="AF104" s="423"/>
      <c r="AG104" s="423"/>
      <c r="AH104" s="423"/>
      <c r="AI104" s="677"/>
      <c r="AJ104" s="547"/>
      <c r="AK104" s="547"/>
      <c r="AL104" s="682"/>
      <c r="AM104" s="547"/>
      <c r="AN104" s="547"/>
      <c r="AO104" s="679"/>
      <c r="AP104" s="406"/>
      <c r="AQ104" s="406"/>
    </row>
    <row r="105" spans="1:43" ht="20.100000000000001" customHeight="1">
      <c r="A105" s="423"/>
      <c r="B105" s="423"/>
      <c r="C105" s="548"/>
      <c r="E105" s="680"/>
      <c r="F105" s="423"/>
      <c r="G105" s="423"/>
      <c r="H105" s="423"/>
      <c r="I105" s="423"/>
      <c r="J105" s="423"/>
      <c r="K105" s="681"/>
      <c r="L105" s="670"/>
      <c r="M105" s="423"/>
      <c r="N105" s="423"/>
      <c r="O105" s="423"/>
      <c r="P105" s="672"/>
      <c r="Q105" s="673"/>
      <c r="R105" s="423"/>
      <c r="S105" s="674"/>
      <c r="T105" s="674"/>
      <c r="U105" s="675"/>
      <c r="V105" s="676"/>
      <c r="W105" s="676"/>
      <c r="X105" s="676"/>
      <c r="Y105" s="676"/>
      <c r="Z105" s="673"/>
      <c r="AA105" s="423"/>
      <c r="AB105" s="423"/>
      <c r="AC105" s="423"/>
      <c r="AD105" s="550"/>
      <c r="AE105" s="550"/>
      <c r="AF105" s="423"/>
      <c r="AG105" s="423"/>
      <c r="AH105" s="423"/>
      <c r="AI105" s="423"/>
      <c r="AJ105" s="547"/>
      <c r="AK105" s="547"/>
      <c r="AL105" s="682"/>
      <c r="AM105" s="547"/>
      <c r="AN105" s="547"/>
      <c r="AO105" s="679"/>
      <c r="AP105" s="406"/>
      <c r="AQ105" s="406"/>
    </row>
    <row r="106" spans="1:43" ht="20.100000000000001" customHeight="1">
      <c r="A106" s="423"/>
      <c r="B106" s="423"/>
      <c r="C106" s="548"/>
      <c r="E106" s="680"/>
      <c r="F106" s="423"/>
      <c r="G106" s="423"/>
      <c r="H106" s="423"/>
      <c r="I106" s="423"/>
      <c r="J106" s="423"/>
      <c r="K106" s="681"/>
      <c r="L106" s="670"/>
      <c r="M106" s="423"/>
      <c r="N106" s="423"/>
      <c r="O106" s="423"/>
      <c r="P106" s="672"/>
      <c r="Q106" s="673"/>
      <c r="R106" s="423"/>
      <c r="S106" s="674"/>
      <c r="T106" s="674"/>
      <c r="U106" s="675"/>
      <c r="V106" s="676"/>
      <c r="W106" s="676"/>
      <c r="X106" s="676"/>
      <c r="Y106" s="676"/>
      <c r="Z106" s="673"/>
      <c r="AA106" s="423"/>
      <c r="AB106" s="423"/>
      <c r="AC106" s="423"/>
      <c r="AD106" s="550"/>
      <c r="AE106" s="550"/>
      <c r="AF106" s="423"/>
      <c r="AG106" s="423"/>
      <c r="AH106" s="423"/>
      <c r="AI106" s="423"/>
      <c r="AJ106" s="547"/>
      <c r="AK106" s="547"/>
      <c r="AL106" s="682"/>
      <c r="AM106" s="547"/>
      <c r="AN106" s="547"/>
      <c r="AO106" s="679"/>
      <c r="AP106" s="406"/>
      <c r="AQ106" s="406"/>
    </row>
    <row r="107" spans="1:43" ht="20.100000000000001" customHeight="1">
      <c r="A107" s="423"/>
      <c r="B107" s="423"/>
      <c r="C107" s="548"/>
      <c r="E107" s="680"/>
      <c r="F107" s="423"/>
      <c r="G107" s="423"/>
      <c r="H107" s="423"/>
      <c r="I107" s="423"/>
      <c r="J107" s="423"/>
      <c r="K107" s="681"/>
      <c r="L107" s="670"/>
      <c r="M107" s="423"/>
      <c r="N107" s="423"/>
      <c r="O107" s="423"/>
      <c r="P107" s="672"/>
      <c r="Q107" s="673"/>
      <c r="R107" s="676"/>
      <c r="S107" s="674"/>
      <c r="T107" s="674"/>
      <c r="U107" s="675"/>
      <c r="V107" s="676"/>
      <c r="W107" s="676"/>
      <c r="X107" s="676"/>
      <c r="Y107" s="676"/>
      <c r="Z107" s="673"/>
      <c r="AA107" s="423"/>
      <c r="AB107" s="423"/>
      <c r="AC107" s="423"/>
      <c r="AD107" s="550"/>
      <c r="AE107" s="550"/>
      <c r="AF107" s="423"/>
      <c r="AG107" s="423"/>
      <c r="AH107" s="423"/>
      <c r="AI107" s="423"/>
      <c r="AJ107" s="547"/>
      <c r="AK107" s="547"/>
      <c r="AL107" s="682"/>
      <c r="AM107" s="547"/>
      <c r="AN107" s="547"/>
      <c r="AO107" s="679"/>
      <c r="AP107" s="406"/>
      <c r="AQ107" s="406"/>
    </row>
    <row r="108" spans="1:43" ht="20.100000000000001" customHeight="1">
      <c r="A108" s="423"/>
      <c r="B108" s="423"/>
      <c r="C108" s="548"/>
      <c r="E108" s="680"/>
      <c r="F108" s="423"/>
      <c r="G108" s="423"/>
      <c r="H108" s="423"/>
      <c r="I108" s="423"/>
      <c r="J108" s="423"/>
      <c r="K108" s="681"/>
      <c r="L108" s="670"/>
      <c r="M108" s="423"/>
      <c r="N108" s="423"/>
      <c r="O108" s="423"/>
      <c r="P108" s="672"/>
      <c r="Q108" s="673"/>
      <c r="R108" s="423"/>
      <c r="S108" s="674"/>
      <c r="T108" s="674"/>
      <c r="U108" s="675"/>
      <c r="V108" s="676"/>
      <c r="W108" s="676"/>
      <c r="X108" s="676"/>
      <c r="Y108" s="676"/>
      <c r="Z108" s="673"/>
      <c r="AA108" s="423"/>
      <c r="AB108" s="423"/>
      <c r="AC108" s="423"/>
      <c r="AD108" s="550"/>
      <c r="AE108" s="550"/>
      <c r="AF108" s="423"/>
      <c r="AG108" s="423"/>
      <c r="AH108" s="423"/>
      <c r="AI108" s="423"/>
      <c r="AJ108" s="547"/>
      <c r="AK108" s="547"/>
      <c r="AL108" s="682"/>
      <c r="AM108" s="547"/>
      <c r="AN108" s="547"/>
      <c r="AO108" s="679"/>
      <c r="AP108" s="406"/>
      <c r="AQ108" s="406"/>
    </row>
    <row r="109" spans="1:43" ht="20.100000000000001" customHeight="1">
      <c r="A109" s="423"/>
      <c r="B109" s="423"/>
      <c r="C109" s="548"/>
      <c r="E109" s="680"/>
      <c r="F109" s="423"/>
      <c r="G109" s="423"/>
      <c r="H109" s="423"/>
      <c r="I109" s="423"/>
      <c r="J109" s="423"/>
      <c r="K109" s="681"/>
      <c r="L109" s="670"/>
      <c r="M109" s="423"/>
      <c r="N109" s="423"/>
      <c r="O109" s="423"/>
      <c r="P109" s="672"/>
      <c r="Q109" s="673"/>
      <c r="R109" s="423"/>
      <c r="S109" s="674"/>
      <c r="T109" s="674"/>
      <c r="U109" s="675"/>
      <c r="V109" s="676"/>
      <c r="W109" s="676"/>
      <c r="X109" s="676"/>
      <c r="Y109" s="676"/>
      <c r="Z109" s="673"/>
      <c r="AA109" s="423"/>
      <c r="AB109" s="423"/>
      <c r="AC109" s="423"/>
      <c r="AD109" s="550"/>
      <c r="AE109" s="550"/>
      <c r="AF109" s="423"/>
      <c r="AG109" s="423"/>
      <c r="AH109" s="423"/>
      <c r="AI109" s="423"/>
      <c r="AJ109" s="547"/>
      <c r="AK109" s="547"/>
      <c r="AL109" s="682"/>
      <c r="AM109" s="547"/>
      <c r="AN109" s="547"/>
      <c r="AO109" s="679"/>
      <c r="AP109" s="406"/>
      <c r="AQ109" s="406"/>
    </row>
    <row r="110" spans="1:43" ht="20.100000000000001" customHeight="1">
      <c r="A110" s="423"/>
      <c r="B110" s="423"/>
      <c r="C110" s="548"/>
      <c r="E110" s="680"/>
      <c r="F110" s="423"/>
      <c r="G110" s="423"/>
      <c r="H110" s="423"/>
      <c r="I110" s="423"/>
      <c r="J110" s="423"/>
      <c r="K110" s="681"/>
      <c r="L110" s="670"/>
      <c r="M110" s="423"/>
      <c r="N110" s="423"/>
      <c r="O110" s="423"/>
      <c r="P110" s="672"/>
      <c r="Q110" s="673"/>
      <c r="R110" s="423"/>
      <c r="S110" s="674"/>
      <c r="T110" s="674"/>
      <c r="U110" s="675"/>
      <c r="V110" s="676"/>
      <c r="W110" s="676"/>
      <c r="X110" s="676"/>
      <c r="Y110" s="676"/>
      <c r="Z110" s="673"/>
      <c r="AA110" s="423"/>
      <c r="AB110" s="423"/>
      <c r="AC110" s="423"/>
      <c r="AD110" s="550"/>
      <c r="AE110" s="550"/>
      <c r="AF110" s="423"/>
      <c r="AG110" s="423"/>
      <c r="AH110" s="423"/>
      <c r="AI110" s="423"/>
      <c r="AJ110" s="547"/>
      <c r="AK110" s="547"/>
      <c r="AL110" s="682"/>
      <c r="AM110" s="547"/>
      <c r="AN110" s="547"/>
      <c r="AO110" s="679"/>
      <c r="AP110" s="406"/>
      <c r="AQ110" s="406"/>
    </row>
    <row r="111" spans="1:43" ht="20.100000000000001" customHeight="1">
      <c r="A111" s="423"/>
      <c r="B111" s="423"/>
      <c r="C111" s="548"/>
      <c r="E111" s="680"/>
      <c r="F111" s="423"/>
      <c r="G111" s="423"/>
      <c r="H111" s="423"/>
      <c r="I111" s="423"/>
      <c r="J111" s="423"/>
      <c r="K111" s="681"/>
      <c r="L111" s="670"/>
      <c r="M111" s="423"/>
      <c r="N111" s="423"/>
      <c r="O111" s="423"/>
      <c r="P111" s="672"/>
      <c r="Q111" s="673"/>
      <c r="R111" s="423"/>
      <c r="S111" s="674"/>
      <c r="T111" s="674"/>
      <c r="U111" s="675"/>
      <c r="V111" s="676"/>
      <c r="W111" s="676"/>
      <c r="X111" s="676"/>
      <c r="Y111" s="676"/>
      <c r="Z111" s="673"/>
      <c r="AA111" s="423"/>
      <c r="AB111" s="423"/>
      <c r="AC111" s="423"/>
      <c r="AD111" s="550"/>
      <c r="AE111" s="550"/>
      <c r="AF111" s="423"/>
      <c r="AG111" s="423"/>
      <c r="AH111" s="423"/>
      <c r="AI111" s="423"/>
      <c r="AJ111" s="547"/>
      <c r="AK111" s="547"/>
      <c r="AL111" s="682"/>
      <c r="AM111" s="547"/>
      <c r="AN111" s="547"/>
      <c r="AO111" s="679"/>
      <c r="AP111" s="406"/>
      <c r="AQ111" s="406"/>
    </row>
    <row r="112" spans="1:43" ht="20.100000000000001" customHeight="1">
      <c r="A112" s="423"/>
      <c r="B112" s="423"/>
      <c r="C112" s="548"/>
      <c r="E112" s="680"/>
      <c r="F112" s="423"/>
      <c r="G112" s="423"/>
      <c r="H112" s="423"/>
      <c r="I112" s="423"/>
      <c r="J112" s="423"/>
      <c r="K112" s="681"/>
      <c r="L112" s="670"/>
      <c r="M112" s="423"/>
      <c r="N112" s="423"/>
      <c r="O112" s="423"/>
      <c r="P112" s="672"/>
      <c r="Q112" s="673"/>
      <c r="R112" s="423"/>
      <c r="S112" s="674"/>
      <c r="T112" s="674"/>
      <c r="U112" s="675"/>
      <c r="V112" s="676"/>
      <c r="W112" s="676"/>
      <c r="X112" s="676"/>
      <c r="Y112" s="676"/>
      <c r="Z112" s="673"/>
      <c r="AA112" s="423"/>
      <c r="AB112" s="423"/>
      <c r="AC112" s="423"/>
      <c r="AD112" s="550"/>
      <c r="AE112" s="550"/>
      <c r="AF112" s="423"/>
      <c r="AG112" s="423"/>
      <c r="AH112" s="423"/>
      <c r="AI112" s="677"/>
      <c r="AJ112" s="547"/>
      <c r="AK112" s="547"/>
      <c r="AL112" s="682"/>
      <c r="AM112" s="547"/>
      <c r="AN112" s="547"/>
      <c r="AO112" s="679"/>
      <c r="AP112" s="406"/>
      <c r="AQ112" s="406"/>
    </row>
    <row r="113" spans="1:43" ht="20.100000000000001" customHeight="1">
      <c r="A113" s="423"/>
      <c r="B113" s="423"/>
      <c r="C113" s="548"/>
      <c r="E113" s="680"/>
      <c r="F113" s="423"/>
      <c r="G113" s="423"/>
      <c r="H113" s="423"/>
      <c r="I113" s="423"/>
      <c r="J113" s="423"/>
      <c r="K113" s="681"/>
      <c r="L113" s="670"/>
      <c r="M113" s="423"/>
      <c r="N113" s="423"/>
      <c r="O113" s="423"/>
      <c r="P113" s="672"/>
      <c r="Q113" s="673"/>
      <c r="R113" s="423"/>
      <c r="S113" s="674"/>
      <c r="T113" s="674"/>
      <c r="U113" s="675"/>
      <c r="V113" s="676"/>
      <c r="W113" s="676"/>
      <c r="X113" s="676"/>
      <c r="Y113" s="676"/>
      <c r="Z113" s="673"/>
      <c r="AA113" s="423"/>
      <c r="AB113" s="423"/>
      <c r="AC113" s="423"/>
      <c r="AD113" s="550"/>
      <c r="AE113" s="550"/>
      <c r="AF113" s="423"/>
      <c r="AG113" s="423"/>
      <c r="AH113" s="423"/>
      <c r="AI113" s="677"/>
      <c r="AJ113" s="547"/>
      <c r="AK113" s="547"/>
      <c r="AL113" s="682"/>
      <c r="AM113" s="547"/>
      <c r="AN113" s="547"/>
      <c r="AO113" s="679"/>
      <c r="AP113" s="406"/>
      <c r="AQ113" s="406"/>
    </row>
    <row r="114" spans="1:43" ht="20.100000000000001" customHeight="1">
      <c r="A114" s="423"/>
      <c r="B114" s="423"/>
      <c r="C114" s="548"/>
      <c r="E114" s="680"/>
      <c r="F114" s="423"/>
      <c r="G114" s="423"/>
      <c r="H114" s="423"/>
      <c r="I114" s="423"/>
      <c r="J114" s="423"/>
      <c r="K114" s="681"/>
      <c r="L114" s="670"/>
      <c r="M114" s="423"/>
      <c r="N114" s="423"/>
      <c r="O114" s="423"/>
      <c r="P114" s="672"/>
      <c r="Q114" s="673"/>
      <c r="R114" s="423"/>
      <c r="S114" s="674"/>
      <c r="T114" s="674"/>
      <c r="U114" s="675"/>
      <c r="V114" s="676"/>
      <c r="W114" s="676"/>
      <c r="X114" s="676"/>
      <c r="Y114" s="676"/>
      <c r="Z114" s="673"/>
      <c r="AA114" s="423"/>
      <c r="AB114" s="423"/>
      <c r="AC114" s="423"/>
      <c r="AD114" s="550"/>
      <c r="AE114" s="550"/>
      <c r="AF114" s="423"/>
      <c r="AG114" s="423"/>
      <c r="AH114" s="423"/>
      <c r="AI114" s="677"/>
      <c r="AJ114" s="547"/>
      <c r="AK114" s="547"/>
      <c r="AL114" s="682"/>
      <c r="AM114" s="547"/>
      <c r="AN114" s="547"/>
      <c r="AO114" s="679"/>
      <c r="AP114" s="406"/>
      <c r="AQ114" s="406"/>
    </row>
    <row r="115" spans="1:43" ht="20.100000000000001" customHeight="1">
      <c r="A115" s="423"/>
      <c r="B115" s="423"/>
      <c r="C115" s="548"/>
      <c r="E115" s="680"/>
      <c r="F115" s="423"/>
      <c r="G115" s="423"/>
      <c r="H115" s="423"/>
      <c r="I115" s="423"/>
      <c r="J115" s="423"/>
      <c r="K115" s="681"/>
      <c r="L115" s="670"/>
      <c r="M115" s="423"/>
      <c r="N115" s="423"/>
      <c r="O115" s="423"/>
      <c r="P115" s="672"/>
      <c r="Q115" s="673"/>
      <c r="R115" s="423"/>
      <c r="S115" s="674"/>
      <c r="T115" s="674"/>
      <c r="U115" s="675">
        <f>IFERROR((Table48911128[[#This Row],[Invoice Value]]-Table48911128[[#This Row],[Total cost]])/Table48911128[[#This Row],[Invoice Value]],)</f>
        <v>0</v>
      </c>
      <c r="V115" s="676"/>
      <c r="W115" s="676"/>
      <c r="X115" s="676" t="str">
        <f t="shared" ref="X115:X178" si="21">IF(Q115&gt;0,Q115+3," - ")</f>
        <v xml:space="preserve"> - </v>
      </c>
      <c r="Y115" s="676" t="str">
        <f t="shared" ref="Y115:Y178" si="22">IF(Q115&gt;0,Q115+14," - ")</f>
        <v xml:space="preserve"> - </v>
      </c>
      <c r="Z115" s="673"/>
      <c r="AA115" s="423" t="str">
        <f t="shared" ref="AA115:AA178" ca="1" si="23">IF(P115=0,"-",IF(Z115&gt;0,"Delivered",IF(TODAY()&gt;Y115,"Overdue",IF(TODAY()&lt;Y115,"In Progress"))))</f>
        <v>-</v>
      </c>
      <c r="AB115" s="423"/>
      <c r="AC115" s="423"/>
      <c r="AD115" s="550"/>
      <c r="AE115" s="550"/>
      <c r="AF115" s="423"/>
      <c r="AG115" s="423"/>
      <c r="AH115" s="423"/>
      <c r="AI115" s="677"/>
      <c r="AJ115" s="547"/>
      <c r="AK115" s="547"/>
      <c r="AL115" s="682"/>
      <c r="AM115" s="547"/>
      <c r="AN115" s="547"/>
      <c r="AO115" s="679"/>
      <c r="AP115" s="406"/>
      <c r="AQ115" s="406"/>
    </row>
    <row r="116" spans="1:43" ht="13.9">
      <c r="A116" s="423"/>
      <c r="B116" s="423"/>
      <c r="C116" s="548"/>
      <c r="E116" s="680"/>
      <c r="F116" s="423"/>
      <c r="G116" s="423"/>
      <c r="H116" s="423"/>
      <c r="I116" s="423"/>
      <c r="J116" s="423"/>
      <c r="K116" s="681"/>
      <c r="L116" s="670"/>
      <c r="M116" s="423"/>
      <c r="N116" s="423"/>
      <c r="O116" s="423"/>
      <c r="P116" s="672"/>
      <c r="Q116" s="673"/>
      <c r="R116" s="423"/>
      <c r="S116" s="674"/>
      <c r="T116" s="674"/>
      <c r="U116" s="675">
        <f>IFERROR((Table48911128[[#This Row],[Invoice Value]]-Table48911128[[#This Row],[Total cost]])/Table48911128[[#This Row],[Invoice Value]],)</f>
        <v>0</v>
      </c>
      <c r="V116" s="676"/>
      <c r="W116" s="676"/>
      <c r="X116" s="676" t="str">
        <f t="shared" si="21"/>
        <v xml:space="preserve"> - </v>
      </c>
      <c r="Y116" s="676" t="str">
        <f t="shared" si="22"/>
        <v xml:space="preserve"> - </v>
      </c>
      <c r="Z116" s="673"/>
      <c r="AA116" s="423" t="str">
        <f t="shared" ca="1" si="23"/>
        <v>-</v>
      </c>
      <c r="AB116" s="423"/>
      <c r="AC116" s="423"/>
      <c r="AD116" s="550"/>
      <c r="AE116" s="550"/>
      <c r="AF116" s="423"/>
      <c r="AG116" s="423"/>
      <c r="AH116" s="423"/>
      <c r="AI116" s="677"/>
      <c r="AJ116" s="547"/>
      <c r="AK116" s="547"/>
      <c r="AL116" s="682"/>
      <c r="AM116" s="547"/>
      <c r="AN116" s="547"/>
      <c r="AO116" s="679"/>
      <c r="AP116" s="406"/>
      <c r="AQ116" s="406"/>
    </row>
    <row r="117" spans="1:43" ht="13.9">
      <c r="A117" s="423"/>
      <c r="B117" s="423"/>
      <c r="C117" s="548"/>
      <c r="E117" s="680"/>
      <c r="F117" s="423"/>
      <c r="G117" s="423"/>
      <c r="H117" s="423"/>
      <c r="I117" s="423"/>
      <c r="J117" s="423"/>
      <c r="K117" s="681"/>
      <c r="L117" s="670"/>
      <c r="M117" s="423"/>
      <c r="N117" s="423"/>
      <c r="O117" s="423"/>
      <c r="P117" s="672"/>
      <c r="Q117" s="673"/>
      <c r="R117" s="423"/>
      <c r="S117" s="674"/>
      <c r="T117" s="674"/>
      <c r="U117" s="675">
        <f>IFERROR((Table48911128[[#This Row],[Invoice Value]]-Table48911128[[#This Row],[Total cost]])/Table48911128[[#This Row],[Invoice Value]],)</f>
        <v>0</v>
      </c>
      <c r="V117" s="676"/>
      <c r="W117" s="676"/>
      <c r="X117" s="676" t="str">
        <f t="shared" si="21"/>
        <v xml:space="preserve"> - </v>
      </c>
      <c r="Y117" s="676" t="str">
        <f t="shared" si="22"/>
        <v xml:space="preserve"> - </v>
      </c>
      <c r="Z117" s="673"/>
      <c r="AA117" s="423" t="str">
        <f t="shared" ca="1" si="23"/>
        <v>-</v>
      </c>
      <c r="AB117" s="423"/>
      <c r="AC117" s="423"/>
      <c r="AD117" s="550"/>
      <c r="AE117" s="550"/>
      <c r="AF117" s="423"/>
      <c r="AG117" s="423"/>
      <c r="AH117" s="423"/>
      <c r="AI117" s="677"/>
      <c r="AJ117" s="547"/>
      <c r="AK117" s="547"/>
      <c r="AL117" s="682"/>
      <c r="AM117" s="547"/>
      <c r="AN117" s="547"/>
      <c r="AO117" s="679"/>
      <c r="AP117" s="406"/>
      <c r="AQ117" s="406"/>
    </row>
    <row r="118" spans="1:43" ht="13.9">
      <c r="A118" s="423"/>
      <c r="B118" s="423"/>
      <c r="C118" s="548"/>
      <c r="E118" s="680"/>
      <c r="F118" s="423"/>
      <c r="G118" s="423"/>
      <c r="H118" s="423"/>
      <c r="I118" s="423"/>
      <c r="J118" s="423"/>
      <c r="K118" s="681"/>
      <c r="L118" s="670"/>
      <c r="M118" s="423"/>
      <c r="N118" s="423"/>
      <c r="O118" s="423"/>
      <c r="P118" s="672"/>
      <c r="Q118" s="673"/>
      <c r="R118" s="423"/>
      <c r="S118" s="674"/>
      <c r="T118" s="674"/>
      <c r="U118" s="675">
        <f>IFERROR((Table48911128[[#This Row],[Invoice Value]]-Table48911128[[#This Row],[Total cost]])/Table48911128[[#This Row],[Invoice Value]],)</f>
        <v>0</v>
      </c>
      <c r="V118" s="676"/>
      <c r="W118" s="676"/>
      <c r="X118" s="676" t="str">
        <f t="shared" si="21"/>
        <v xml:space="preserve"> - </v>
      </c>
      <c r="Y118" s="676" t="str">
        <f t="shared" si="22"/>
        <v xml:space="preserve"> - </v>
      </c>
      <c r="Z118" s="673"/>
      <c r="AA118" s="423" t="str">
        <f t="shared" ca="1" si="23"/>
        <v>-</v>
      </c>
      <c r="AB118" s="423"/>
      <c r="AC118" s="423"/>
      <c r="AD118" s="550"/>
      <c r="AE118" s="550"/>
      <c r="AF118" s="423"/>
      <c r="AG118" s="423"/>
      <c r="AH118" s="423"/>
      <c r="AI118" s="423"/>
      <c r="AJ118" s="547"/>
      <c r="AK118" s="547"/>
      <c r="AL118" s="682"/>
      <c r="AM118" s="547"/>
      <c r="AN118" s="547"/>
      <c r="AO118" s="679"/>
      <c r="AP118" s="406"/>
      <c r="AQ118" s="406"/>
    </row>
    <row r="119" spans="1:43" ht="13.9">
      <c r="A119" s="423"/>
      <c r="B119" s="423"/>
      <c r="C119" s="548"/>
      <c r="E119" s="680"/>
      <c r="F119" s="423"/>
      <c r="G119" s="423"/>
      <c r="H119" s="423"/>
      <c r="I119" s="423"/>
      <c r="J119" s="423"/>
      <c r="K119" s="681"/>
      <c r="L119" s="670"/>
      <c r="M119" s="423"/>
      <c r="N119" s="423"/>
      <c r="O119" s="423"/>
      <c r="P119" s="672"/>
      <c r="Q119" s="673"/>
      <c r="R119" s="423"/>
      <c r="S119" s="674"/>
      <c r="T119" s="674"/>
      <c r="U119" s="675">
        <f>IFERROR((Table48911128[[#This Row],[Invoice Value]]-Table48911128[[#This Row],[Total cost]])/Table48911128[[#This Row],[Invoice Value]],)</f>
        <v>0</v>
      </c>
      <c r="V119" s="676"/>
      <c r="W119" s="676"/>
      <c r="X119" s="676" t="str">
        <f t="shared" si="21"/>
        <v xml:space="preserve"> - </v>
      </c>
      <c r="Y119" s="676" t="str">
        <f t="shared" si="22"/>
        <v xml:space="preserve"> - </v>
      </c>
      <c r="Z119" s="673"/>
      <c r="AA119" s="423" t="str">
        <f t="shared" ca="1" si="23"/>
        <v>-</v>
      </c>
      <c r="AB119" s="423"/>
      <c r="AC119" s="423"/>
      <c r="AD119" s="550"/>
      <c r="AE119" s="550"/>
      <c r="AF119" s="423"/>
      <c r="AG119" s="423"/>
      <c r="AH119" s="423"/>
      <c r="AI119" s="677"/>
      <c r="AJ119" s="547"/>
      <c r="AK119" s="547"/>
      <c r="AL119" s="682"/>
      <c r="AM119" s="547"/>
      <c r="AN119" s="547"/>
      <c r="AO119" s="679"/>
      <c r="AP119" s="406"/>
      <c r="AQ119" s="406"/>
    </row>
    <row r="120" spans="1:43" ht="13.9">
      <c r="A120" s="423"/>
      <c r="B120" s="423"/>
      <c r="C120" s="548"/>
      <c r="E120" s="680"/>
      <c r="F120" s="423"/>
      <c r="G120" s="423"/>
      <c r="H120" s="423"/>
      <c r="I120" s="423"/>
      <c r="J120" s="423"/>
      <c r="K120" s="681"/>
      <c r="L120" s="670"/>
      <c r="M120" s="423"/>
      <c r="N120" s="423"/>
      <c r="O120" s="423"/>
      <c r="P120" s="672"/>
      <c r="Q120" s="673"/>
      <c r="R120" s="423"/>
      <c r="S120" s="674"/>
      <c r="T120" s="674"/>
      <c r="U120" s="675">
        <f>IFERROR((Table48911128[[#This Row],[Invoice Value]]-Table48911128[[#This Row],[Total cost]])/Table48911128[[#This Row],[Invoice Value]],)</f>
        <v>0</v>
      </c>
      <c r="V120" s="676"/>
      <c r="W120" s="676"/>
      <c r="X120" s="676" t="str">
        <f t="shared" si="21"/>
        <v xml:space="preserve"> - </v>
      </c>
      <c r="Y120" s="676" t="str">
        <f t="shared" si="22"/>
        <v xml:space="preserve"> - </v>
      </c>
      <c r="Z120" s="673"/>
      <c r="AA120" s="423" t="str">
        <f t="shared" ca="1" si="23"/>
        <v>-</v>
      </c>
      <c r="AB120" s="423"/>
      <c r="AC120" s="423"/>
      <c r="AD120" s="550"/>
      <c r="AE120" s="550"/>
      <c r="AF120" s="423"/>
      <c r="AG120" s="423"/>
      <c r="AH120" s="423"/>
      <c r="AI120" s="423"/>
      <c r="AJ120" s="547"/>
      <c r="AK120" s="547"/>
      <c r="AL120" s="682"/>
      <c r="AM120" s="547"/>
      <c r="AN120" s="547"/>
      <c r="AO120" s="679"/>
      <c r="AP120" s="406"/>
      <c r="AQ120" s="406"/>
    </row>
    <row r="121" spans="1:43" ht="13.9">
      <c r="A121" s="423"/>
      <c r="B121" s="423"/>
      <c r="C121" s="548"/>
      <c r="E121" s="680"/>
      <c r="F121" s="423"/>
      <c r="G121" s="423"/>
      <c r="H121" s="423"/>
      <c r="I121" s="423"/>
      <c r="J121" s="423"/>
      <c r="K121" s="681"/>
      <c r="L121" s="670"/>
      <c r="M121" s="423"/>
      <c r="N121" s="423"/>
      <c r="O121" s="423"/>
      <c r="P121" s="672"/>
      <c r="Q121" s="673"/>
      <c r="R121" s="423"/>
      <c r="S121" s="674"/>
      <c r="T121" s="674"/>
      <c r="U121" s="675">
        <f>IFERROR((Table48911128[[#This Row],[Invoice Value]]-Table48911128[[#This Row],[Total cost]])/Table48911128[[#This Row],[Invoice Value]],)</f>
        <v>0</v>
      </c>
      <c r="V121" s="676"/>
      <c r="W121" s="676"/>
      <c r="X121" s="676" t="str">
        <f t="shared" si="21"/>
        <v xml:space="preserve"> - </v>
      </c>
      <c r="Y121" s="676" t="str">
        <f t="shared" si="22"/>
        <v xml:space="preserve"> - </v>
      </c>
      <c r="Z121" s="673"/>
      <c r="AA121" s="423" t="str">
        <f t="shared" ca="1" si="23"/>
        <v>-</v>
      </c>
      <c r="AB121" s="423"/>
      <c r="AC121" s="423"/>
      <c r="AD121" s="550"/>
      <c r="AE121" s="550"/>
      <c r="AF121" s="423"/>
      <c r="AG121" s="423"/>
      <c r="AH121" s="423"/>
      <c r="AI121" s="423"/>
      <c r="AJ121" s="547"/>
      <c r="AK121" s="547"/>
      <c r="AL121" s="682"/>
      <c r="AM121" s="547"/>
      <c r="AN121" s="547"/>
      <c r="AO121" s="679"/>
      <c r="AP121" s="406"/>
      <c r="AQ121" s="406"/>
    </row>
    <row r="122" spans="1:43" ht="13.9">
      <c r="A122" s="423"/>
      <c r="B122" s="423"/>
      <c r="C122" s="548"/>
      <c r="E122" s="680"/>
      <c r="F122" s="423"/>
      <c r="G122" s="423"/>
      <c r="H122" s="423"/>
      <c r="I122" s="423"/>
      <c r="J122" s="423"/>
      <c r="K122" s="681"/>
      <c r="L122" s="670"/>
      <c r="M122" s="423"/>
      <c r="N122" s="423"/>
      <c r="O122" s="423"/>
      <c r="P122" s="672"/>
      <c r="Q122" s="673"/>
      <c r="R122" s="676"/>
      <c r="S122" s="674"/>
      <c r="T122" s="674"/>
      <c r="U122" s="675">
        <f>IFERROR((Table48911128[[#This Row],[Invoice Value]]-Table48911128[[#This Row],[Total cost]])/Table48911128[[#This Row],[Invoice Value]],)</f>
        <v>0</v>
      </c>
      <c r="V122" s="676"/>
      <c r="W122" s="676"/>
      <c r="X122" s="676" t="str">
        <f t="shared" si="21"/>
        <v xml:space="preserve"> - </v>
      </c>
      <c r="Y122" s="676" t="str">
        <f t="shared" si="22"/>
        <v xml:space="preserve"> - </v>
      </c>
      <c r="Z122" s="673"/>
      <c r="AA122" s="423" t="str">
        <f t="shared" ca="1" si="23"/>
        <v>-</v>
      </c>
      <c r="AB122" s="423"/>
      <c r="AC122" s="423"/>
      <c r="AD122" s="550"/>
      <c r="AE122" s="550"/>
      <c r="AF122" s="423"/>
      <c r="AG122" s="423"/>
      <c r="AH122" s="423"/>
      <c r="AI122" s="677"/>
      <c r="AJ122" s="547"/>
      <c r="AK122" s="547"/>
      <c r="AL122" s="682"/>
      <c r="AM122" s="547"/>
      <c r="AN122" s="547"/>
      <c r="AO122" s="679"/>
      <c r="AP122" s="406"/>
      <c r="AQ122" s="406"/>
    </row>
    <row r="123" spans="1:43" ht="13.9">
      <c r="A123" s="423"/>
      <c r="B123" s="423"/>
      <c r="C123" s="548"/>
      <c r="E123" s="680"/>
      <c r="F123" s="423"/>
      <c r="G123" s="423"/>
      <c r="H123" s="423"/>
      <c r="I123" s="423"/>
      <c r="J123" s="423"/>
      <c r="K123" s="681"/>
      <c r="L123" s="670"/>
      <c r="M123" s="423"/>
      <c r="N123" s="423"/>
      <c r="O123" s="423"/>
      <c r="P123" s="672"/>
      <c r="Q123" s="673"/>
      <c r="R123" s="423"/>
      <c r="S123" s="674"/>
      <c r="T123" s="674"/>
      <c r="U123" s="675">
        <f>IFERROR((Table48911128[[#This Row],[Invoice Value]]-Table48911128[[#This Row],[Total cost]])/Table48911128[[#This Row],[Invoice Value]],)</f>
        <v>0</v>
      </c>
      <c r="V123" s="676"/>
      <c r="W123" s="676"/>
      <c r="X123" s="676" t="str">
        <f t="shared" si="21"/>
        <v xml:space="preserve"> - </v>
      </c>
      <c r="Y123" s="676" t="str">
        <f t="shared" si="22"/>
        <v xml:space="preserve"> - </v>
      </c>
      <c r="Z123" s="673"/>
      <c r="AA123" s="423" t="str">
        <f t="shared" ca="1" si="23"/>
        <v>-</v>
      </c>
      <c r="AB123" s="423"/>
      <c r="AC123" s="423"/>
      <c r="AD123" s="550"/>
      <c r="AE123" s="550"/>
      <c r="AF123" s="423"/>
      <c r="AG123" s="423"/>
      <c r="AH123" s="423"/>
      <c r="AI123" s="677"/>
      <c r="AJ123" s="547"/>
      <c r="AK123" s="547"/>
      <c r="AL123" s="682"/>
      <c r="AM123" s="547"/>
      <c r="AN123" s="547"/>
      <c r="AO123" s="679"/>
      <c r="AP123" s="406"/>
      <c r="AQ123" s="406"/>
    </row>
    <row r="124" spans="1:43" ht="13.9">
      <c r="A124" s="423"/>
      <c r="B124" s="423"/>
      <c r="C124" s="548"/>
      <c r="E124" s="680"/>
      <c r="F124" s="423"/>
      <c r="G124" s="423"/>
      <c r="H124" s="423"/>
      <c r="I124" s="423"/>
      <c r="J124" s="423"/>
      <c r="K124" s="681"/>
      <c r="L124" s="670"/>
      <c r="M124" s="423"/>
      <c r="N124" s="423"/>
      <c r="O124" s="423"/>
      <c r="P124" s="672"/>
      <c r="Q124" s="673"/>
      <c r="R124" s="423"/>
      <c r="S124" s="674"/>
      <c r="T124" s="674"/>
      <c r="U124" s="675">
        <f>IFERROR((Table48911128[[#This Row],[Invoice Value]]-Table48911128[[#This Row],[Total cost]])/Table48911128[[#This Row],[Invoice Value]],)</f>
        <v>0</v>
      </c>
      <c r="V124" s="676"/>
      <c r="W124" s="676"/>
      <c r="X124" s="676" t="str">
        <f t="shared" si="21"/>
        <v xml:space="preserve"> - </v>
      </c>
      <c r="Y124" s="676" t="str">
        <f t="shared" si="22"/>
        <v xml:space="preserve"> - </v>
      </c>
      <c r="Z124" s="673"/>
      <c r="AA124" s="423" t="str">
        <f t="shared" ca="1" si="23"/>
        <v>-</v>
      </c>
      <c r="AB124" s="423"/>
      <c r="AC124" s="423"/>
      <c r="AD124" s="550"/>
      <c r="AE124" s="550"/>
      <c r="AF124" s="423"/>
      <c r="AG124" s="423"/>
      <c r="AH124" s="423"/>
      <c r="AI124" s="677"/>
      <c r="AJ124" s="547"/>
      <c r="AK124" s="547"/>
      <c r="AL124" s="682"/>
      <c r="AM124" s="547"/>
      <c r="AN124" s="547"/>
      <c r="AO124" s="679"/>
      <c r="AP124" s="406"/>
      <c r="AQ124" s="406"/>
    </row>
    <row r="125" spans="1:43" ht="13.9">
      <c r="A125" s="423"/>
      <c r="B125" s="423"/>
      <c r="C125" s="548"/>
      <c r="E125" s="680"/>
      <c r="F125" s="423"/>
      <c r="G125" s="423"/>
      <c r="H125" s="423"/>
      <c r="I125" s="423"/>
      <c r="J125" s="423"/>
      <c r="K125" s="681"/>
      <c r="L125" s="670"/>
      <c r="M125" s="423"/>
      <c r="N125" s="423"/>
      <c r="O125" s="423"/>
      <c r="P125" s="672"/>
      <c r="Q125" s="673"/>
      <c r="R125" s="423"/>
      <c r="S125" s="674"/>
      <c r="T125" s="674"/>
      <c r="U125" s="675">
        <f>IFERROR((Table48911128[[#This Row],[Invoice Value]]-Table48911128[[#This Row],[Total cost]])/Table48911128[[#This Row],[Invoice Value]],)</f>
        <v>0</v>
      </c>
      <c r="V125" s="676"/>
      <c r="W125" s="676"/>
      <c r="X125" s="676" t="str">
        <f t="shared" si="21"/>
        <v xml:space="preserve"> - </v>
      </c>
      <c r="Y125" s="676" t="str">
        <f t="shared" si="22"/>
        <v xml:space="preserve"> - </v>
      </c>
      <c r="Z125" s="673"/>
      <c r="AA125" s="423" t="str">
        <f t="shared" ca="1" si="23"/>
        <v>-</v>
      </c>
      <c r="AB125" s="423"/>
      <c r="AC125" s="423"/>
      <c r="AD125" s="550"/>
      <c r="AE125" s="550"/>
      <c r="AF125" s="423"/>
      <c r="AG125" s="423"/>
      <c r="AH125" s="423"/>
      <c r="AI125" s="677"/>
      <c r="AJ125" s="547"/>
      <c r="AK125" s="547"/>
      <c r="AL125" s="682"/>
      <c r="AM125" s="547"/>
      <c r="AN125" s="547"/>
      <c r="AO125" s="679"/>
      <c r="AP125" s="406"/>
      <c r="AQ125" s="406"/>
    </row>
    <row r="126" spans="1:43" ht="13.9">
      <c r="A126" s="423"/>
      <c r="B126" s="423"/>
      <c r="C126" s="548"/>
      <c r="E126" s="680"/>
      <c r="F126" s="423"/>
      <c r="G126" s="423"/>
      <c r="H126" s="423"/>
      <c r="I126" s="423"/>
      <c r="J126" s="423"/>
      <c r="K126" s="681"/>
      <c r="L126" s="670"/>
      <c r="M126" s="423"/>
      <c r="N126" s="423"/>
      <c r="O126" s="423"/>
      <c r="P126" s="672"/>
      <c r="Q126" s="673"/>
      <c r="R126" s="423"/>
      <c r="S126" s="674"/>
      <c r="T126" s="674"/>
      <c r="U126" s="675">
        <f>IFERROR((Table48911128[[#This Row],[Invoice Value]]-Table48911128[[#This Row],[Total cost]])/Table48911128[[#This Row],[Invoice Value]],)</f>
        <v>0</v>
      </c>
      <c r="V126" s="676"/>
      <c r="W126" s="676"/>
      <c r="X126" s="676" t="str">
        <f t="shared" si="21"/>
        <v xml:space="preserve"> - </v>
      </c>
      <c r="Y126" s="676" t="str">
        <f t="shared" si="22"/>
        <v xml:space="preserve"> - </v>
      </c>
      <c r="Z126" s="673"/>
      <c r="AA126" s="423" t="str">
        <f t="shared" ca="1" si="23"/>
        <v>-</v>
      </c>
      <c r="AB126" s="423"/>
      <c r="AC126" s="423"/>
      <c r="AD126" s="550"/>
      <c r="AE126" s="550"/>
      <c r="AF126" s="423"/>
      <c r="AG126" s="423"/>
      <c r="AH126" s="423"/>
      <c r="AI126" s="677"/>
      <c r="AJ126" s="547"/>
      <c r="AK126" s="547"/>
      <c r="AL126" s="682"/>
      <c r="AM126" s="547"/>
      <c r="AN126" s="547"/>
      <c r="AO126" s="679"/>
      <c r="AP126" s="406"/>
      <c r="AQ126" s="406"/>
    </row>
    <row r="127" spans="1:43" ht="20.100000000000001" customHeight="1">
      <c r="A127" s="423"/>
      <c r="B127" s="423"/>
      <c r="C127" s="548"/>
      <c r="E127" s="680"/>
      <c r="F127" s="423"/>
      <c r="G127" s="423"/>
      <c r="H127" s="423"/>
      <c r="I127" s="423"/>
      <c r="J127" s="423"/>
      <c r="K127" s="681"/>
      <c r="L127" s="670"/>
      <c r="M127" s="423"/>
      <c r="N127" s="423"/>
      <c r="O127" s="423"/>
      <c r="P127" s="672"/>
      <c r="Q127" s="673"/>
      <c r="R127" s="423"/>
      <c r="S127" s="674"/>
      <c r="T127" s="674"/>
      <c r="U127" s="675">
        <f>IFERROR((Table48911128[[#This Row],[Invoice Value]]-Table48911128[[#This Row],[Total cost]])/Table48911128[[#This Row],[Invoice Value]],)</f>
        <v>0</v>
      </c>
      <c r="V127" s="676"/>
      <c r="W127" s="676"/>
      <c r="X127" s="676" t="str">
        <f t="shared" si="21"/>
        <v xml:space="preserve"> - </v>
      </c>
      <c r="Y127" s="676" t="str">
        <f t="shared" si="22"/>
        <v xml:space="preserve"> - </v>
      </c>
      <c r="Z127" s="673"/>
      <c r="AA127" s="423" t="str">
        <f t="shared" ca="1" si="23"/>
        <v>-</v>
      </c>
      <c r="AB127" s="423"/>
      <c r="AC127" s="423"/>
      <c r="AD127" s="550"/>
      <c r="AE127" s="550"/>
      <c r="AF127" s="423"/>
      <c r="AG127" s="423"/>
      <c r="AH127" s="423"/>
      <c r="AI127" s="677"/>
      <c r="AJ127" s="547"/>
      <c r="AK127" s="547"/>
      <c r="AL127" s="682"/>
      <c r="AM127" s="547"/>
      <c r="AN127" s="547"/>
      <c r="AO127" s="679"/>
      <c r="AP127" s="406"/>
      <c r="AQ127" s="406"/>
    </row>
    <row r="128" spans="1:43" ht="20.100000000000001" customHeight="1">
      <c r="A128" s="423"/>
      <c r="B128" s="423"/>
      <c r="C128" s="548"/>
      <c r="E128" s="680"/>
      <c r="F128" s="423"/>
      <c r="G128" s="423"/>
      <c r="H128" s="423"/>
      <c r="I128" s="423"/>
      <c r="J128" s="423"/>
      <c r="K128" s="681"/>
      <c r="L128" s="670"/>
      <c r="M128" s="423"/>
      <c r="N128" s="423"/>
      <c r="O128" s="423"/>
      <c r="P128" s="672"/>
      <c r="Q128" s="673"/>
      <c r="R128" s="423"/>
      <c r="S128" s="674"/>
      <c r="T128" s="674"/>
      <c r="U128" s="675">
        <f>IFERROR((Table48911128[[#This Row],[Invoice Value]]-Table48911128[[#This Row],[Total cost]])/Table48911128[[#This Row],[Invoice Value]],)</f>
        <v>0</v>
      </c>
      <c r="V128" s="676"/>
      <c r="W128" s="676"/>
      <c r="X128" s="676" t="str">
        <f t="shared" si="21"/>
        <v xml:space="preserve"> - </v>
      </c>
      <c r="Y128" s="676" t="str">
        <f t="shared" si="22"/>
        <v xml:space="preserve"> - </v>
      </c>
      <c r="Z128" s="673"/>
      <c r="AA128" s="423" t="str">
        <f t="shared" ca="1" si="23"/>
        <v>-</v>
      </c>
      <c r="AB128" s="423"/>
      <c r="AC128" s="423"/>
      <c r="AD128" s="550"/>
      <c r="AE128" s="550"/>
      <c r="AF128" s="423"/>
      <c r="AG128" s="423"/>
      <c r="AH128" s="423"/>
      <c r="AI128" s="677"/>
      <c r="AJ128" s="547"/>
      <c r="AK128" s="547"/>
      <c r="AL128" s="682"/>
      <c r="AM128" s="547"/>
      <c r="AN128" s="547"/>
      <c r="AO128" s="679"/>
      <c r="AP128" s="406"/>
      <c r="AQ128" s="406"/>
    </row>
    <row r="129" spans="1:43" ht="20.100000000000001" customHeight="1">
      <c r="A129" s="423"/>
      <c r="B129" s="423"/>
      <c r="C129" s="548"/>
      <c r="E129" s="680"/>
      <c r="F129" s="423"/>
      <c r="G129" s="423"/>
      <c r="H129" s="423"/>
      <c r="I129" s="423"/>
      <c r="J129" s="423"/>
      <c r="K129" s="681"/>
      <c r="L129" s="670"/>
      <c r="M129" s="423"/>
      <c r="N129" s="423"/>
      <c r="O129" s="423"/>
      <c r="P129" s="672"/>
      <c r="Q129" s="673"/>
      <c r="R129" s="423"/>
      <c r="S129" s="674"/>
      <c r="T129" s="674"/>
      <c r="U129" s="675">
        <f>IFERROR((Table48911128[[#This Row],[Invoice Value]]-Table48911128[[#This Row],[Total cost]])/Table48911128[[#This Row],[Invoice Value]],)</f>
        <v>0</v>
      </c>
      <c r="V129" s="676"/>
      <c r="W129" s="676"/>
      <c r="X129" s="676" t="str">
        <f t="shared" si="21"/>
        <v xml:space="preserve"> - </v>
      </c>
      <c r="Y129" s="676" t="str">
        <f t="shared" si="22"/>
        <v xml:space="preserve"> - </v>
      </c>
      <c r="Z129" s="673"/>
      <c r="AA129" s="423" t="str">
        <f t="shared" ca="1" si="23"/>
        <v>-</v>
      </c>
      <c r="AB129" s="423"/>
      <c r="AC129" s="423"/>
      <c r="AD129" s="550"/>
      <c r="AE129" s="550"/>
      <c r="AF129" s="423"/>
      <c r="AG129" s="423"/>
      <c r="AH129" s="423"/>
      <c r="AI129" s="677"/>
      <c r="AJ129" s="547"/>
      <c r="AK129" s="547"/>
      <c r="AL129" s="682"/>
      <c r="AM129" s="547"/>
      <c r="AN129" s="547"/>
      <c r="AO129" s="679"/>
      <c r="AP129" s="406"/>
      <c r="AQ129" s="406"/>
    </row>
    <row r="130" spans="1:43" ht="20.100000000000001" customHeight="1">
      <c r="A130" s="423"/>
      <c r="B130" s="423"/>
      <c r="C130" s="548"/>
      <c r="E130" s="680"/>
      <c r="F130" s="423"/>
      <c r="G130" s="423"/>
      <c r="H130" s="423"/>
      <c r="I130" s="423"/>
      <c r="J130" s="423"/>
      <c r="K130" s="681"/>
      <c r="L130" s="670"/>
      <c r="M130" s="423"/>
      <c r="N130" s="423"/>
      <c r="O130" s="423"/>
      <c r="P130" s="672"/>
      <c r="Q130" s="673"/>
      <c r="R130" s="423"/>
      <c r="S130" s="674"/>
      <c r="T130" s="674"/>
      <c r="U130" s="675">
        <f>IFERROR((Table48911128[[#This Row],[Invoice Value]]-Table48911128[[#This Row],[Total cost]])/Table48911128[[#This Row],[Invoice Value]],)</f>
        <v>0</v>
      </c>
      <c r="V130" s="676"/>
      <c r="W130" s="676"/>
      <c r="X130" s="676" t="str">
        <f t="shared" si="21"/>
        <v xml:space="preserve"> - </v>
      </c>
      <c r="Y130" s="676" t="str">
        <f t="shared" si="22"/>
        <v xml:space="preserve"> - </v>
      </c>
      <c r="Z130" s="673"/>
      <c r="AA130" s="423" t="str">
        <f t="shared" ca="1" si="23"/>
        <v>-</v>
      </c>
      <c r="AB130" s="423"/>
      <c r="AC130" s="423"/>
      <c r="AD130" s="550"/>
      <c r="AE130" s="550"/>
      <c r="AF130" s="423"/>
      <c r="AG130" s="423"/>
      <c r="AH130" s="423"/>
      <c r="AI130" s="677"/>
      <c r="AJ130" s="547"/>
      <c r="AK130" s="547"/>
      <c r="AL130" s="682"/>
      <c r="AM130" s="547"/>
      <c r="AN130" s="547"/>
      <c r="AO130" s="679"/>
      <c r="AP130" s="406"/>
      <c r="AQ130" s="406"/>
    </row>
    <row r="131" spans="1:43" ht="20.100000000000001" customHeight="1">
      <c r="A131" s="423"/>
      <c r="B131" s="423"/>
      <c r="C131" s="548"/>
      <c r="E131" s="680"/>
      <c r="F131" s="423"/>
      <c r="G131" s="423"/>
      <c r="H131" s="423"/>
      <c r="I131" s="423"/>
      <c r="J131" s="423"/>
      <c r="K131" s="681"/>
      <c r="L131" s="670"/>
      <c r="M131" s="423"/>
      <c r="N131" s="423"/>
      <c r="O131" s="423"/>
      <c r="P131" s="672"/>
      <c r="Q131" s="673"/>
      <c r="R131" s="423"/>
      <c r="S131" s="674"/>
      <c r="T131" s="674"/>
      <c r="U131" s="675">
        <f>IFERROR((Table48911128[[#This Row],[Invoice Value]]-Table48911128[[#This Row],[Total cost]])/Table48911128[[#This Row],[Invoice Value]],)</f>
        <v>0</v>
      </c>
      <c r="V131" s="676"/>
      <c r="W131" s="676"/>
      <c r="X131" s="676" t="str">
        <f t="shared" si="21"/>
        <v xml:space="preserve"> - </v>
      </c>
      <c r="Y131" s="676" t="str">
        <f t="shared" si="22"/>
        <v xml:space="preserve"> - </v>
      </c>
      <c r="Z131" s="673"/>
      <c r="AA131" s="423" t="str">
        <f t="shared" ca="1" si="23"/>
        <v>-</v>
      </c>
      <c r="AB131" s="423"/>
      <c r="AC131" s="423"/>
      <c r="AD131" s="550"/>
      <c r="AE131" s="550"/>
      <c r="AF131" s="423"/>
      <c r="AG131" s="423"/>
      <c r="AH131" s="423"/>
      <c r="AI131" s="677"/>
      <c r="AJ131" s="547"/>
      <c r="AK131" s="547"/>
      <c r="AL131" s="682"/>
      <c r="AM131" s="547"/>
      <c r="AN131" s="547"/>
      <c r="AO131" s="679"/>
      <c r="AP131" s="406"/>
      <c r="AQ131" s="406"/>
    </row>
    <row r="132" spans="1:43" ht="20.100000000000001" customHeight="1">
      <c r="A132" s="423"/>
      <c r="B132" s="423"/>
      <c r="C132" s="548"/>
      <c r="E132" s="680"/>
      <c r="F132" s="423"/>
      <c r="G132" s="423"/>
      <c r="H132" s="423"/>
      <c r="I132" s="423"/>
      <c r="J132" s="423"/>
      <c r="K132" s="681"/>
      <c r="L132" s="670"/>
      <c r="M132" s="423"/>
      <c r="N132" s="423"/>
      <c r="O132" s="423"/>
      <c r="P132" s="672"/>
      <c r="Q132" s="673"/>
      <c r="R132" s="423"/>
      <c r="S132" s="674"/>
      <c r="T132" s="674"/>
      <c r="U132" s="675">
        <f>IFERROR((Table48911128[[#This Row],[Invoice Value]]-Table48911128[[#This Row],[Total cost]])/Table48911128[[#This Row],[Invoice Value]],)</f>
        <v>0</v>
      </c>
      <c r="V132" s="676"/>
      <c r="W132" s="676"/>
      <c r="X132" s="676" t="str">
        <f t="shared" si="21"/>
        <v xml:space="preserve"> - </v>
      </c>
      <c r="Y132" s="676" t="str">
        <f t="shared" si="22"/>
        <v xml:space="preserve"> - </v>
      </c>
      <c r="Z132" s="673"/>
      <c r="AA132" s="423" t="str">
        <f t="shared" ca="1" si="23"/>
        <v>-</v>
      </c>
      <c r="AB132" s="423"/>
      <c r="AC132" s="423"/>
      <c r="AD132" s="550"/>
      <c r="AE132" s="550"/>
      <c r="AF132" s="423"/>
      <c r="AG132" s="423"/>
      <c r="AH132" s="423"/>
      <c r="AI132" s="677"/>
      <c r="AJ132" s="547"/>
      <c r="AK132" s="547"/>
      <c r="AL132" s="682"/>
      <c r="AM132" s="547"/>
      <c r="AN132" s="547"/>
      <c r="AO132" s="679"/>
      <c r="AP132" s="406"/>
      <c r="AQ132" s="406"/>
    </row>
    <row r="133" spans="1:43" ht="20.100000000000001" customHeight="1">
      <c r="A133" s="423"/>
      <c r="B133" s="423"/>
      <c r="C133" s="548"/>
      <c r="E133" s="680"/>
      <c r="F133" s="423"/>
      <c r="G133" s="423"/>
      <c r="H133" s="423"/>
      <c r="I133" s="423"/>
      <c r="J133" s="423"/>
      <c r="K133" s="681"/>
      <c r="L133" s="670"/>
      <c r="M133" s="423"/>
      <c r="N133" s="423"/>
      <c r="O133" s="423"/>
      <c r="P133" s="672"/>
      <c r="Q133" s="673"/>
      <c r="R133" s="423"/>
      <c r="S133" s="674"/>
      <c r="T133" s="674"/>
      <c r="U133" s="675">
        <f>IFERROR((Table48911128[[#This Row],[Invoice Value]]-Table48911128[[#This Row],[Total cost]])/Table48911128[[#This Row],[Invoice Value]],)</f>
        <v>0</v>
      </c>
      <c r="V133" s="676"/>
      <c r="W133" s="676"/>
      <c r="X133" s="676" t="str">
        <f t="shared" si="21"/>
        <v xml:space="preserve"> - </v>
      </c>
      <c r="Y133" s="676" t="str">
        <f t="shared" si="22"/>
        <v xml:space="preserve"> - </v>
      </c>
      <c r="Z133" s="673"/>
      <c r="AA133" s="423" t="str">
        <f t="shared" ca="1" si="23"/>
        <v>-</v>
      </c>
      <c r="AB133" s="423"/>
      <c r="AC133" s="423"/>
      <c r="AD133" s="550"/>
      <c r="AE133" s="550"/>
      <c r="AF133" s="423"/>
      <c r="AG133" s="423"/>
      <c r="AH133" s="423"/>
      <c r="AI133" s="677"/>
      <c r="AJ133" s="547"/>
      <c r="AK133" s="547"/>
      <c r="AL133" s="682"/>
      <c r="AM133" s="547"/>
      <c r="AN133" s="547"/>
      <c r="AO133" s="679"/>
      <c r="AP133" s="406"/>
      <c r="AQ133" s="406"/>
    </row>
    <row r="134" spans="1:43" ht="20.100000000000001" customHeight="1">
      <c r="A134" s="423"/>
      <c r="B134" s="423"/>
      <c r="C134" s="548"/>
      <c r="E134" s="680"/>
      <c r="F134" s="423"/>
      <c r="G134" s="423"/>
      <c r="H134" s="423"/>
      <c r="I134" s="423"/>
      <c r="J134" s="423"/>
      <c r="K134" s="681"/>
      <c r="L134" s="670"/>
      <c r="M134" s="423"/>
      <c r="N134" s="423"/>
      <c r="O134" s="423"/>
      <c r="P134" s="672"/>
      <c r="Q134" s="673"/>
      <c r="R134" s="423"/>
      <c r="S134" s="674"/>
      <c r="T134" s="674"/>
      <c r="U134" s="675">
        <f>IFERROR((Table48911128[[#This Row],[Invoice Value]]-Table48911128[[#This Row],[Total cost]])/Table48911128[[#This Row],[Invoice Value]],)</f>
        <v>0</v>
      </c>
      <c r="V134" s="676"/>
      <c r="W134" s="676"/>
      <c r="X134" s="676" t="str">
        <f t="shared" si="21"/>
        <v xml:space="preserve"> - </v>
      </c>
      <c r="Y134" s="676" t="str">
        <f t="shared" si="22"/>
        <v xml:space="preserve"> - </v>
      </c>
      <c r="Z134" s="673"/>
      <c r="AA134" s="423" t="str">
        <f t="shared" ca="1" si="23"/>
        <v>-</v>
      </c>
      <c r="AB134" s="423"/>
      <c r="AC134" s="423"/>
      <c r="AD134" s="550"/>
      <c r="AE134" s="550"/>
      <c r="AF134" s="423"/>
      <c r="AG134" s="423"/>
      <c r="AH134" s="423"/>
      <c r="AI134" s="677"/>
      <c r="AJ134" s="547"/>
      <c r="AK134" s="547"/>
      <c r="AL134" s="682"/>
      <c r="AM134" s="547"/>
      <c r="AN134" s="547"/>
      <c r="AO134" s="679"/>
      <c r="AP134" s="406"/>
      <c r="AQ134" s="406"/>
    </row>
    <row r="135" spans="1:43" ht="20.100000000000001" customHeight="1">
      <c r="A135" s="423"/>
      <c r="B135" s="423"/>
      <c r="C135" s="548"/>
      <c r="E135" s="680"/>
      <c r="F135" s="423"/>
      <c r="G135" s="423"/>
      <c r="H135" s="423"/>
      <c r="I135" s="423" t="s">
        <v>3536</v>
      </c>
      <c r="J135" s="423"/>
      <c r="K135" s="681"/>
      <c r="L135" s="670"/>
      <c r="M135" s="423"/>
      <c r="N135" s="423" t="s">
        <v>3537</v>
      </c>
      <c r="O135" s="423"/>
      <c r="P135" s="685"/>
      <c r="Q135" s="676"/>
      <c r="R135" s="423"/>
      <c r="S135" s="674"/>
      <c r="T135" s="674"/>
      <c r="U135" s="675">
        <f>IFERROR((Table48911128[[#This Row],[Invoice Value]]-Table48911128[[#This Row],[Total cost]])/Table48911128[[#This Row],[Invoice Value]],)</f>
        <v>0</v>
      </c>
      <c r="V135" s="676"/>
      <c r="W135" s="676"/>
      <c r="X135" s="676" t="str">
        <f t="shared" si="21"/>
        <v xml:space="preserve"> - </v>
      </c>
      <c r="Y135" s="676" t="str">
        <f t="shared" si="22"/>
        <v xml:space="preserve"> - </v>
      </c>
      <c r="Z135" s="685"/>
      <c r="AA135" s="423" t="str">
        <f t="shared" ca="1" si="23"/>
        <v>-</v>
      </c>
      <c r="AB135" s="423"/>
      <c r="AC135" s="423"/>
      <c r="AD135" s="550"/>
      <c r="AE135" s="550"/>
      <c r="AF135" s="423"/>
      <c r="AG135" s="423"/>
      <c r="AH135" s="423"/>
      <c r="AI135" s="677"/>
      <c r="AJ135" s="547" t="s">
        <v>100</v>
      </c>
      <c r="AK135" s="547" t="s">
        <v>67</v>
      </c>
      <c r="AL135" s="682"/>
      <c r="AM135" s="547"/>
      <c r="AN135" s="547"/>
      <c r="AO135" s="679"/>
      <c r="AP135" s="406"/>
      <c r="AQ135" s="406"/>
    </row>
    <row r="136" spans="1:43" ht="20.100000000000001" customHeight="1">
      <c r="A136" s="423"/>
      <c r="B136" s="423"/>
      <c r="C136" s="548"/>
      <c r="E136" s="680"/>
      <c r="F136" s="423"/>
      <c r="G136" s="423"/>
      <c r="H136" s="423"/>
      <c r="I136" s="423" t="s">
        <v>3536</v>
      </c>
      <c r="J136" s="423"/>
      <c r="K136" s="681"/>
      <c r="L136" s="670"/>
      <c r="M136" s="423"/>
      <c r="N136" s="423" t="s">
        <v>3537</v>
      </c>
      <c r="O136" s="423"/>
      <c r="P136" s="685"/>
      <c r="Q136" s="685"/>
      <c r="R136" s="423"/>
      <c r="S136" s="674"/>
      <c r="T136" s="674"/>
      <c r="U136" s="675">
        <f>IFERROR((Table48911128[[#This Row],[Invoice Value]]-Table48911128[[#This Row],[Total cost]])/Table48911128[[#This Row],[Invoice Value]],)</f>
        <v>0</v>
      </c>
      <c r="V136" s="676"/>
      <c r="W136" s="676"/>
      <c r="X136" s="676" t="str">
        <f t="shared" si="21"/>
        <v xml:space="preserve"> - </v>
      </c>
      <c r="Y136" s="676" t="str">
        <f t="shared" si="22"/>
        <v xml:space="preserve"> - </v>
      </c>
      <c r="Z136" s="685"/>
      <c r="AA136" s="423" t="str">
        <f t="shared" ca="1" si="23"/>
        <v>-</v>
      </c>
      <c r="AB136" s="423"/>
      <c r="AC136" s="423"/>
      <c r="AD136" s="550"/>
      <c r="AE136" s="550"/>
      <c r="AF136" s="423"/>
      <c r="AG136" s="423"/>
      <c r="AH136" s="423"/>
      <c r="AI136" s="677"/>
      <c r="AJ136" s="547" t="s">
        <v>67</v>
      </c>
      <c r="AK136" s="547" t="s">
        <v>67</v>
      </c>
      <c r="AL136" s="682"/>
      <c r="AM136" s="547"/>
      <c r="AN136" s="547"/>
      <c r="AO136" s="679"/>
      <c r="AP136" s="406"/>
      <c r="AQ136" s="406"/>
    </row>
    <row r="137" spans="1:43" ht="20.100000000000001" customHeight="1">
      <c r="A137" s="423"/>
      <c r="B137" s="423"/>
      <c r="C137" s="548"/>
      <c r="E137" s="680"/>
      <c r="F137" s="423"/>
      <c r="G137" s="423"/>
      <c r="H137" s="423"/>
      <c r="I137" s="423" t="s">
        <v>3536</v>
      </c>
      <c r="J137" s="423"/>
      <c r="K137" s="681"/>
      <c r="L137" s="670"/>
      <c r="M137" s="423"/>
      <c r="N137" s="423" t="s">
        <v>71</v>
      </c>
      <c r="O137" s="423"/>
      <c r="P137" s="685"/>
      <c r="Q137" s="685"/>
      <c r="R137" s="423"/>
      <c r="S137" s="674"/>
      <c r="T137" s="674"/>
      <c r="U137" s="675">
        <f>IFERROR((Table48911128[[#This Row],[Invoice Value]]-Table48911128[[#This Row],[Total cost]])/Table48911128[[#This Row],[Invoice Value]],)</f>
        <v>0</v>
      </c>
      <c r="V137" s="676"/>
      <c r="W137" s="676"/>
      <c r="X137" s="676" t="str">
        <f t="shared" si="21"/>
        <v xml:space="preserve"> - </v>
      </c>
      <c r="Y137" s="676" t="str">
        <f t="shared" si="22"/>
        <v xml:space="preserve"> - </v>
      </c>
      <c r="Z137" s="685"/>
      <c r="AA137" s="423" t="str">
        <f t="shared" ca="1" si="23"/>
        <v>-</v>
      </c>
      <c r="AB137" s="423"/>
      <c r="AC137" s="423"/>
      <c r="AD137" s="550"/>
      <c r="AE137" s="550"/>
      <c r="AF137" s="423"/>
      <c r="AG137" s="423"/>
      <c r="AH137" s="677"/>
      <c r="AI137" s="423"/>
      <c r="AJ137" s="547" t="s">
        <v>100</v>
      </c>
      <c r="AK137" s="406" t="s">
        <v>100</v>
      </c>
      <c r="AL137" s="686"/>
      <c r="AM137" s="406"/>
      <c r="AN137" s="406"/>
      <c r="AO137" s="679"/>
      <c r="AP137" s="406"/>
      <c r="AQ137" s="406"/>
    </row>
    <row r="138" spans="1:43" ht="20.100000000000001" customHeight="1">
      <c r="A138" s="423"/>
      <c r="B138" s="423"/>
      <c r="C138" s="548"/>
      <c r="E138" s="680"/>
      <c r="F138" s="423"/>
      <c r="G138" s="423"/>
      <c r="H138" s="423"/>
      <c r="I138" s="423" t="s">
        <v>3536</v>
      </c>
      <c r="J138" s="423"/>
      <c r="K138" s="681"/>
      <c r="L138" s="670"/>
      <c r="M138" s="423"/>
      <c r="N138" s="423" t="s">
        <v>3538</v>
      </c>
      <c r="O138" s="423"/>
      <c r="P138" s="685"/>
      <c r="Q138" s="685"/>
      <c r="R138" s="423"/>
      <c r="S138" s="674"/>
      <c r="T138" s="674"/>
      <c r="U138" s="675">
        <f>IFERROR((Table48911128[[#This Row],[Invoice Value]]-Table48911128[[#This Row],[Total cost]])/Table48911128[[#This Row],[Invoice Value]],)</f>
        <v>0</v>
      </c>
      <c r="V138" s="676"/>
      <c r="W138" s="676"/>
      <c r="X138" s="676" t="str">
        <f t="shared" si="21"/>
        <v xml:space="preserve"> - </v>
      </c>
      <c r="Y138" s="676" t="str">
        <f t="shared" si="22"/>
        <v xml:space="preserve"> - </v>
      </c>
      <c r="Z138" s="685"/>
      <c r="AA138" s="423" t="str">
        <f t="shared" ca="1" si="23"/>
        <v>-</v>
      </c>
      <c r="AB138" s="423"/>
      <c r="AC138" s="423"/>
      <c r="AD138" s="550"/>
      <c r="AE138" s="550"/>
      <c r="AF138" s="423"/>
      <c r="AG138" s="423"/>
      <c r="AH138" s="423"/>
      <c r="AI138" s="677"/>
      <c r="AJ138" s="547" t="s">
        <v>67</v>
      </c>
      <c r="AK138" s="547" t="s">
        <v>67</v>
      </c>
      <c r="AL138" s="682"/>
      <c r="AM138" s="547"/>
      <c r="AN138" s="547"/>
      <c r="AO138" s="679"/>
      <c r="AP138" s="406"/>
      <c r="AQ138" s="406"/>
    </row>
    <row r="139" spans="1:43" ht="20.100000000000001" customHeight="1">
      <c r="A139" s="423"/>
      <c r="B139" s="683"/>
      <c r="C139" s="548"/>
      <c r="E139" s="680"/>
      <c r="F139" s="423"/>
      <c r="G139" s="423"/>
      <c r="H139" s="423"/>
      <c r="I139" s="423"/>
      <c r="J139" s="423"/>
      <c r="K139" s="681"/>
      <c r="L139" s="670"/>
      <c r="M139" s="423"/>
      <c r="N139" s="423"/>
      <c r="O139" s="423"/>
      <c r="P139" s="685"/>
      <c r="Q139" s="685"/>
      <c r="R139" s="676"/>
      <c r="S139" s="674"/>
      <c r="T139" s="674"/>
      <c r="U139" s="675">
        <f>IFERROR((Table48911128[[#This Row],[Invoice Value]]-Table48911128[[#This Row],[Total cost]])/Table48911128[[#This Row],[Invoice Value]],)</f>
        <v>0</v>
      </c>
      <c r="V139" s="676"/>
      <c r="W139" s="676"/>
      <c r="X139" s="676" t="str">
        <f t="shared" si="21"/>
        <v xml:space="preserve"> - </v>
      </c>
      <c r="Y139" s="676" t="str">
        <f t="shared" si="22"/>
        <v xml:space="preserve"> - </v>
      </c>
      <c r="Z139" s="685"/>
      <c r="AA139" s="423" t="str">
        <f t="shared" ca="1" si="23"/>
        <v>-</v>
      </c>
      <c r="AB139" s="423"/>
      <c r="AC139" s="423"/>
      <c r="AD139" s="550"/>
      <c r="AE139" s="550"/>
      <c r="AF139" s="423"/>
      <c r="AG139" s="423"/>
      <c r="AH139" s="423"/>
      <c r="AI139" s="677"/>
      <c r="AJ139" s="547"/>
      <c r="AK139" s="547"/>
      <c r="AL139" s="682"/>
      <c r="AM139" s="547"/>
      <c r="AN139" s="547"/>
      <c r="AO139" s="679"/>
      <c r="AP139" s="406"/>
      <c r="AQ139" s="406"/>
    </row>
    <row r="140" spans="1:43" ht="20.100000000000001" customHeight="1">
      <c r="A140" s="423"/>
      <c r="B140" s="423"/>
      <c r="C140" s="548"/>
      <c r="E140" s="680"/>
      <c r="F140" s="423"/>
      <c r="G140" s="423"/>
      <c r="H140" s="423"/>
      <c r="I140" s="423" t="s">
        <v>3536</v>
      </c>
      <c r="J140" s="423"/>
      <c r="K140" s="681"/>
      <c r="L140" s="670"/>
      <c r="M140" s="423"/>
      <c r="N140" s="423" t="s">
        <v>71</v>
      </c>
      <c r="O140" s="423"/>
      <c r="P140" s="685"/>
      <c r="Q140" s="685"/>
      <c r="R140" s="423"/>
      <c r="S140" s="674"/>
      <c r="T140" s="674"/>
      <c r="U140" s="675">
        <f>IFERROR((Table48911128[[#This Row],[Invoice Value]]-Table48911128[[#This Row],[Total cost]])/Table48911128[[#This Row],[Invoice Value]],)</f>
        <v>0</v>
      </c>
      <c r="V140" s="676"/>
      <c r="W140" s="676"/>
      <c r="X140" s="676" t="str">
        <f t="shared" si="21"/>
        <v xml:space="preserve"> - </v>
      </c>
      <c r="Y140" s="676" t="str">
        <f t="shared" si="22"/>
        <v xml:space="preserve"> - </v>
      </c>
      <c r="Z140" s="685"/>
      <c r="AA140" s="423" t="str">
        <f t="shared" ca="1" si="23"/>
        <v>-</v>
      </c>
      <c r="AB140" s="423"/>
      <c r="AC140" s="423"/>
      <c r="AD140" s="550"/>
      <c r="AE140" s="550"/>
      <c r="AF140" s="423"/>
      <c r="AG140" s="423"/>
      <c r="AH140" s="423"/>
      <c r="AI140" s="687"/>
      <c r="AJ140" s="423" t="s">
        <v>100</v>
      </c>
      <c r="AK140" s="423" t="s">
        <v>100</v>
      </c>
      <c r="AL140" s="343"/>
      <c r="AM140" s="423"/>
      <c r="AN140" s="423"/>
      <c r="AO140" s="679"/>
      <c r="AP140" s="406"/>
      <c r="AQ140" s="406"/>
    </row>
    <row r="141" spans="1:43" ht="20.100000000000001" customHeight="1">
      <c r="A141" s="423"/>
      <c r="B141" s="423"/>
      <c r="C141" s="548"/>
      <c r="E141" s="680"/>
      <c r="F141" s="423"/>
      <c r="G141" s="423"/>
      <c r="H141" s="423"/>
      <c r="I141" s="423" t="s">
        <v>3536</v>
      </c>
      <c r="J141" s="423"/>
      <c r="K141" s="681"/>
      <c r="L141" s="670"/>
      <c r="M141" s="423"/>
      <c r="N141" s="423" t="s">
        <v>3009</v>
      </c>
      <c r="O141" s="423"/>
      <c r="P141" s="685"/>
      <c r="Q141" s="685"/>
      <c r="R141" s="423"/>
      <c r="S141" s="674"/>
      <c r="T141" s="674"/>
      <c r="U141" s="675">
        <f>IFERROR((Table48911128[[#This Row],[Invoice Value]]-Table48911128[[#This Row],[Total cost]])/Table48911128[[#This Row],[Invoice Value]],)</f>
        <v>0</v>
      </c>
      <c r="V141" s="676"/>
      <c r="W141" s="676"/>
      <c r="X141" s="676" t="str">
        <f t="shared" si="21"/>
        <v xml:space="preserve"> - </v>
      </c>
      <c r="Y141" s="676" t="str">
        <f t="shared" si="22"/>
        <v xml:space="preserve"> - </v>
      </c>
      <c r="Z141" s="685"/>
      <c r="AA141" s="423" t="str">
        <f t="shared" ca="1" si="23"/>
        <v>-</v>
      </c>
      <c r="AB141" s="423"/>
      <c r="AC141" s="423"/>
      <c r="AD141" s="550"/>
      <c r="AE141" s="550"/>
      <c r="AF141" s="423"/>
      <c r="AG141" s="423"/>
      <c r="AH141" s="423"/>
      <c r="AI141" s="687"/>
      <c r="AJ141" s="423" t="s">
        <v>100</v>
      </c>
      <c r="AK141" s="423" t="s">
        <v>100</v>
      </c>
      <c r="AL141" s="343"/>
      <c r="AM141" s="423"/>
      <c r="AN141" s="423"/>
      <c r="AO141" s="679"/>
      <c r="AP141" s="406"/>
      <c r="AQ141" s="406"/>
    </row>
    <row r="142" spans="1:43" ht="20.100000000000001" customHeight="1">
      <c r="A142" s="423"/>
      <c r="B142" s="423"/>
      <c r="C142" s="548"/>
      <c r="E142" s="680"/>
      <c r="F142" s="423"/>
      <c r="G142" s="423"/>
      <c r="H142" s="423"/>
      <c r="I142" s="423" t="s">
        <v>3536</v>
      </c>
      <c r="J142" s="423"/>
      <c r="K142" s="681"/>
      <c r="L142" s="670"/>
      <c r="M142" s="423"/>
      <c r="N142" s="423"/>
      <c r="O142" s="423"/>
      <c r="P142" s="685"/>
      <c r="Q142" s="685"/>
      <c r="R142" s="423"/>
      <c r="S142" s="674"/>
      <c r="T142" s="674"/>
      <c r="U142" s="675">
        <f>IFERROR((Table48911128[[#This Row],[Invoice Value]]-Table48911128[[#This Row],[Total cost]])/Table48911128[[#This Row],[Invoice Value]],)</f>
        <v>0</v>
      </c>
      <c r="V142" s="676"/>
      <c r="W142" s="676"/>
      <c r="X142" s="676" t="str">
        <f t="shared" si="21"/>
        <v xml:space="preserve"> - </v>
      </c>
      <c r="Y142" s="676" t="str">
        <f t="shared" si="22"/>
        <v xml:space="preserve"> - </v>
      </c>
      <c r="Z142" s="685"/>
      <c r="AA142" s="423" t="str">
        <f t="shared" ca="1" si="23"/>
        <v>-</v>
      </c>
      <c r="AB142" s="423"/>
      <c r="AC142" s="423"/>
      <c r="AD142" s="550"/>
      <c r="AE142" s="550"/>
      <c r="AF142" s="423"/>
      <c r="AG142" s="423"/>
      <c r="AH142" s="423"/>
      <c r="AI142" s="687"/>
      <c r="AJ142" s="423" t="s">
        <v>100</v>
      </c>
      <c r="AK142" s="423" t="s">
        <v>67</v>
      </c>
      <c r="AL142" s="343"/>
      <c r="AM142" s="423"/>
      <c r="AN142" s="423"/>
      <c r="AO142" s="679"/>
      <c r="AP142" s="406"/>
      <c r="AQ142" s="406"/>
    </row>
    <row r="143" spans="1:43" ht="20.100000000000001" customHeight="1">
      <c r="A143" s="423"/>
      <c r="B143" s="423"/>
      <c r="C143" s="548"/>
      <c r="E143" s="680"/>
      <c r="F143" s="423"/>
      <c r="G143" s="423"/>
      <c r="H143" s="423"/>
      <c r="I143" s="423" t="s">
        <v>3536</v>
      </c>
      <c r="J143" s="423"/>
      <c r="K143" s="681"/>
      <c r="L143" s="670"/>
      <c r="M143" s="423"/>
      <c r="N143" s="423"/>
      <c r="O143" s="423"/>
      <c r="P143" s="685"/>
      <c r="Q143" s="685"/>
      <c r="R143" s="423"/>
      <c r="S143" s="674"/>
      <c r="T143" s="674"/>
      <c r="U143" s="675">
        <f>IFERROR((Table48911128[[#This Row],[Invoice Value]]-Table48911128[[#This Row],[Total cost]])/Table48911128[[#This Row],[Invoice Value]],)</f>
        <v>0</v>
      </c>
      <c r="V143" s="676"/>
      <c r="W143" s="676"/>
      <c r="X143" s="676" t="str">
        <f t="shared" si="21"/>
        <v xml:space="preserve"> - </v>
      </c>
      <c r="Y143" s="676" t="str">
        <f t="shared" si="22"/>
        <v xml:space="preserve"> - </v>
      </c>
      <c r="Z143" s="685"/>
      <c r="AA143" s="423" t="str">
        <f t="shared" ca="1" si="23"/>
        <v>-</v>
      </c>
      <c r="AB143" s="423"/>
      <c r="AC143" s="423"/>
      <c r="AD143" s="550"/>
      <c r="AE143" s="550"/>
      <c r="AF143" s="423"/>
      <c r="AG143" s="423"/>
      <c r="AH143" s="423"/>
      <c r="AI143" s="687"/>
      <c r="AJ143" s="423" t="s">
        <v>100</v>
      </c>
      <c r="AK143" s="423" t="s">
        <v>67</v>
      </c>
      <c r="AL143" s="343"/>
      <c r="AM143" s="423"/>
      <c r="AN143" s="423"/>
      <c r="AO143" s="679"/>
      <c r="AP143" s="406"/>
      <c r="AQ143" s="406"/>
    </row>
    <row r="144" spans="1:43" ht="20.100000000000001" customHeight="1">
      <c r="A144" s="423"/>
      <c r="B144" s="423"/>
      <c r="C144" s="548"/>
      <c r="E144" s="680"/>
      <c r="F144" s="423"/>
      <c r="G144" s="423"/>
      <c r="H144" s="423"/>
      <c r="I144" s="423" t="s">
        <v>3536</v>
      </c>
      <c r="J144" s="423"/>
      <c r="K144" s="681"/>
      <c r="L144" s="670"/>
      <c r="M144" s="423"/>
      <c r="N144" s="423"/>
      <c r="O144" s="423"/>
      <c r="P144" s="685"/>
      <c r="Q144" s="685"/>
      <c r="R144" s="423"/>
      <c r="S144" s="674"/>
      <c r="T144" s="674"/>
      <c r="U144" s="675">
        <f>IFERROR((Table48911128[[#This Row],[Invoice Value]]-Table48911128[[#This Row],[Total cost]])/Table48911128[[#This Row],[Invoice Value]],)</f>
        <v>0</v>
      </c>
      <c r="V144" s="676"/>
      <c r="W144" s="676"/>
      <c r="X144" s="676" t="str">
        <f t="shared" si="21"/>
        <v xml:space="preserve"> - </v>
      </c>
      <c r="Y144" s="676" t="str">
        <f t="shared" si="22"/>
        <v xml:space="preserve"> - </v>
      </c>
      <c r="Z144" s="685"/>
      <c r="AA144" s="423" t="str">
        <f t="shared" ca="1" si="23"/>
        <v>-</v>
      </c>
      <c r="AB144" s="423"/>
      <c r="AC144" s="423"/>
      <c r="AD144" s="550"/>
      <c r="AE144" s="550"/>
      <c r="AF144" s="423"/>
      <c r="AG144" s="423"/>
      <c r="AH144" s="423"/>
      <c r="AI144" s="687"/>
      <c r="AJ144" s="423" t="s">
        <v>144</v>
      </c>
      <c r="AK144" s="423" t="s">
        <v>67</v>
      </c>
      <c r="AL144" s="343"/>
      <c r="AM144" s="423"/>
      <c r="AN144" s="423"/>
      <c r="AO144" s="679"/>
      <c r="AP144" s="406"/>
      <c r="AQ144" s="406"/>
    </row>
    <row r="145" spans="1:43" ht="20.100000000000001" customHeight="1">
      <c r="A145" s="423"/>
      <c r="B145" s="423"/>
      <c r="C145" s="548"/>
      <c r="E145" s="680"/>
      <c r="F145" s="423"/>
      <c r="G145" s="423"/>
      <c r="H145" s="423"/>
      <c r="I145" s="423" t="s">
        <v>3536</v>
      </c>
      <c r="J145" s="423"/>
      <c r="K145" s="681"/>
      <c r="L145" s="670"/>
      <c r="M145" s="423"/>
      <c r="N145" s="423"/>
      <c r="O145" s="423"/>
      <c r="P145" s="685"/>
      <c r="Q145" s="685"/>
      <c r="R145" s="423"/>
      <c r="S145" s="674"/>
      <c r="T145" s="674"/>
      <c r="U145" s="675">
        <f>IFERROR((Table48911128[[#This Row],[Invoice Value]]-Table48911128[[#This Row],[Total cost]])/Table48911128[[#This Row],[Invoice Value]],)</f>
        <v>0</v>
      </c>
      <c r="V145" s="676"/>
      <c r="W145" s="676"/>
      <c r="X145" s="676" t="str">
        <f t="shared" si="21"/>
        <v xml:space="preserve"> - </v>
      </c>
      <c r="Y145" s="676" t="str">
        <f t="shared" si="22"/>
        <v xml:space="preserve"> - </v>
      </c>
      <c r="Z145" s="685"/>
      <c r="AA145" s="423" t="str">
        <f t="shared" ca="1" si="23"/>
        <v>-</v>
      </c>
      <c r="AB145" s="423"/>
      <c r="AC145" s="423"/>
      <c r="AD145" s="550"/>
      <c r="AE145" s="550"/>
      <c r="AF145" s="423"/>
      <c r="AG145" s="423"/>
      <c r="AH145" s="423"/>
      <c r="AI145" s="687"/>
      <c r="AJ145" s="423"/>
      <c r="AK145" s="423"/>
      <c r="AL145" s="343"/>
      <c r="AM145" s="423"/>
      <c r="AN145" s="423"/>
      <c r="AO145" s="679"/>
      <c r="AP145" s="406"/>
      <c r="AQ145" s="406"/>
    </row>
    <row r="146" spans="1:43" ht="20.100000000000001" customHeight="1">
      <c r="A146" s="423"/>
      <c r="B146" s="423"/>
      <c r="C146" s="548"/>
      <c r="E146" s="680"/>
      <c r="F146" s="423"/>
      <c r="G146" s="423"/>
      <c r="H146" s="423"/>
      <c r="I146" s="423" t="s">
        <v>3536</v>
      </c>
      <c r="J146" s="423"/>
      <c r="K146" s="681"/>
      <c r="L146" s="670"/>
      <c r="M146" s="423"/>
      <c r="N146" s="423"/>
      <c r="O146" s="423"/>
      <c r="P146" s="685"/>
      <c r="Q146" s="685"/>
      <c r="R146" s="423"/>
      <c r="S146" s="674"/>
      <c r="T146" s="674"/>
      <c r="U146" s="675">
        <f>IFERROR((Table48911128[[#This Row],[Invoice Value]]-Table48911128[[#This Row],[Total cost]])/Table48911128[[#This Row],[Invoice Value]],)</f>
        <v>0</v>
      </c>
      <c r="V146" s="676"/>
      <c r="W146" s="676"/>
      <c r="X146" s="676" t="str">
        <f t="shared" si="21"/>
        <v xml:space="preserve"> - </v>
      </c>
      <c r="Y146" s="676" t="str">
        <f t="shared" si="22"/>
        <v xml:space="preserve"> - </v>
      </c>
      <c r="Z146" s="685"/>
      <c r="AA146" s="423" t="str">
        <f t="shared" ca="1" si="23"/>
        <v>-</v>
      </c>
      <c r="AB146" s="423"/>
      <c r="AC146" s="423"/>
      <c r="AD146" s="550"/>
      <c r="AE146" s="550"/>
      <c r="AF146" s="423"/>
      <c r="AG146" s="423"/>
      <c r="AH146" s="423"/>
      <c r="AI146" s="687"/>
      <c r="AJ146" s="423" t="s">
        <v>67</v>
      </c>
      <c r="AK146" s="423" t="s">
        <v>67</v>
      </c>
      <c r="AL146" s="343"/>
      <c r="AM146" s="423"/>
      <c r="AN146" s="423"/>
      <c r="AO146" s="679"/>
      <c r="AP146" s="406"/>
      <c r="AQ146" s="406"/>
    </row>
    <row r="147" spans="1:43" ht="20.100000000000001" customHeight="1">
      <c r="A147" s="423"/>
      <c r="B147" s="423"/>
      <c r="C147" s="548"/>
      <c r="E147" s="680"/>
      <c r="F147" s="423"/>
      <c r="G147" s="423"/>
      <c r="H147" s="423"/>
      <c r="I147" s="423" t="s">
        <v>3536</v>
      </c>
      <c r="J147" s="423"/>
      <c r="K147" s="681"/>
      <c r="L147" s="670"/>
      <c r="M147" s="423"/>
      <c r="N147" s="423"/>
      <c r="O147" s="423"/>
      <c r="P147" s="685"/>
      <c r="Q147" s="685"/>
      <c r="R147" s="423"/>
      <c r="S147" s="674"/>
      <c r="T147" s="674"/>
      <c r="U147" s="675">
        <f>IFERROR((Table48911128[[#This Row],[Invoice Value]]-Table48911128[[#This Row],[Total cost]])/Table48911128[[#This Row],[Invoice Value]],)</f>
        <v>0</v>
      </c>
      <c r="V147" s="676"/>
      <c r="W147" s="676"/>
      <c r="X147" s="676" t="str">
        <f t="shared" si="21"/>
        <v xml:space="preserve"> - </v>
      </c>
      <c r="Y147" s="676" t="str">
        <f t="shared" si="22"/>
        <v xml:space="preserve"> - </v>
      </c>
      <c r="Z147" s="685"/>
      <c r="AA147" s="423" t="str">
        <f t="shared" ca="1" si="23"/>
        <v>-</v>
      </c>
      <c r="AB147" s="423"/>
      <c r="AC147" s="423"/>
      <c r="AD147" s="550"/>
      <c r="AE147" s="550"/>
      <c r="AF147" s="423"/>
      <c r="AG147" s="423"/>
      <c r="AH147" s="423"/>
      <c r="AI147" s="677"/>
      <c r="AJ147" s="547" t="s">
        <v>100</v>
      </c>
      <c r="AK147" s="547" t="s">
        <v>100</v>
      </c>
      <c r="AL147" s="682"/>
      <c r="AM147" s="547"/>
      <c r="AN147" s="547"/>
      <c r="AO147" s="679"/>
      <c r="AP147" s="406"/>
      <c r="AQ147" s="406"/>
    </row>
    <row r="148" spans="1:43" ht="20.100000000000001" customHeight="1">
      <c r="A148" s="423"/>
      <c r="B148" s="423"/>
      <c r="C148" s="548"/>
      <c r="E148" s="680"/>
      <c r="F148" s="423"/>
      <c r="G148" s="423"/>
      <c r="H148" s="423"/>
      <c r="I148" s="423" t="s">
        <v>3536</v>
      </c>
      <c r="J148" s="423"/>
      <c r="K148" s="681"/>
      <c r="L148" s="670"/>
      <c r="M148" s="423"/>
      <c r="N148" s="423"/>
      <c r="O148" s="423"/>
      <c r="P148" s="685"/>
      <c r="Q148" s="685"/>
      <c r="R148" s="423"/>
      <c r="S148" s="674"/>
      <c r="T148" s="674"/>
      <c r="U148" s="675">
        <f>IFERROR((Table48911128[[#This Row],[Invoice Value]]-Table48911128[[#This Row],[Total cost]])/Table48911128[[#This Row],[Invoice Value]],)</f>
        <v>0</v>
      </c>
      <c r="V148" s="676"/>
      <c r="W148" s="676"/>
      <c r="X148" s="676" t="str">
        <f t="shared" si="21"/>
        <v xml:space="preserve"> - </v>
      </c>
      <c r="Y148" s="676" t="str">
        <f t="shared" si="22"/>
        <v xml:space="preserve"> - </v>
      </c>
      <c r="Z148" s="685"/>
      <c r="AA148" s="423" t="str">
        <f t="shared" ca="1" si="23"/>
        <v>-</v>
      </c>
      <c r="AB148" s="423"/>
      <c r="AC148" s="423"/>
      <c r="AD148" s="550"/>
      <c r="AE148" s="550"/>
      <c r="AF148" s="423"/>
      <c r="AG148" s="423"/>
      <c r="AH148" s="423"/>
      <c r="AI148" s="677"/>
      <c r="AJ148" s="547" t="s">
        <v>100</v>
      </c>
      <c r="AK148" s="547" t="s">
        <v>67</v>
      </c>
      <c r="AL148" s="682"/>
      <c r="AM148" s="547"/>
      <c r="AN148" s="547"/>
      <c r="AO148" s="679"/>
      <c r="AP148" s="406"/>
      <c r="AQ148" s="406"/>
    </row>
    <row r="149" spans="1:43" ht="20.100000000000001" customHeight="1">
      <c r="A149" s="423"/>
      <c r="B149" s="423"/>
      <c r="C149" s="548"/>
      <c r="E149" s="680"/>
      <c r="F149" s="423"/>
      <c r="G149" s="423"/>
      <c r="H149" s="423"/>
      <c r="I149" s="423" t="s">
        <v>3536</v>
      </c>
      <c r="J149" s="423"/>
      <c r="K149" s="681"/>
      <c r="L149" s="670"/>
      <c r="M149" s="423"/>
      <c r="N149" s="423"/>
      <c r="O149" s="423"/>
      <c r="P149" s="685"/>
      <c r="Q149" s="685"/>
      <c r="R149" s="423"/>
      <c r="S149" s="674"/>
      <c r="T149" s="674"/>
      <c r="U149" s="675">
        <f>IFERROR((Table48911128[[#This Row],[Invoice Value]]-Table48911128[[#This Row],[Total cost]])/Table48911128[[#This Row],[Invoice Value]],)</f>
        <v>0</v>
      </c>
      <c r="V149" s="676"/>
      <c r="W149" s="676"/>
      <c r="X149" s="676" t="str">
        <f t="shared" si="21"/>
        <v xml:space="preserve"> - </v>
      </c>
      <c r="Y149" s="676" t="str">
        <f t="shared" si="22"/>
        <v xml:space="preserve"> - </v>
      </c>
      <c r="Z149" s="685"/>
      <c r="AA149" s="423" t="str">
        <f t="shared" ca="1" si="23"/>
        <v>-</v>
      </c>
      <c r="AB149" s="423"/>
      <c r="AC149" s="423"/>
      <c r="AD149" s="550"/>
      <c r="AE149" s="550"/>
      <c r="AF149" s="423"/>
      <c r="AG149" s="423"/>
      <c r="AH149" s="423"/>
      <c r="AI149" s="677"/>
      <c r="AJ149" s="547" t="s">
        <v>100</v>
      </c>
      <c r="AK149" s="547" t="s">
        <v>67</v>
      </c>
      <c r="AL149" s="682"/>
      <c r="AM149" s="547"/>
      <c r="AN149" s="547"/>
      <c r="AO149" s="679"/>
      <c r="AP149" s="406"/>
      <c r="AQ149" s="406"/>
    </row>
    <row r="150" spans="1:43" ht="20.100000000000001" customHeight="1">
      <c r="A150" s="423"/>
      <c r="B150" s="423"/>
      <c r="C150" s="548"/>
      <c r="E150" s="680"/>
      <c r="F150" s="423"/>
      <c r="G150" s="423"/>
      <c r="H150" s="423"/>
      <c r="I150" s="423" t="s">
        <v>3536</v>
      </c>
      <c r="J150" s="423"/>
      <c r="K150" s="681"/>
      <c r="L150" s="670"/>
      <c r="M150" s="423"/>
      <c r="N150" s="423"/>
      <c r="O150" s="423"/>
      <c r="P150" s="685"/>
      <c r="Q150" s="685"/>
      <c r="R150" s="688"/>
      <c r="S150" s="674"/>
      <c r="T150" s="674"/>
      <c r="U150" s="675">
        <f>IFERROR((Table48911128[[#This Row],[Invoice Value]]-Table48911128[[#This Row],[Total cost]])/Table48911128[[#This Row],[Invoice Value]],)</f>
        <v>0</v>
      </c>
      <c r="V150" s="676"/>
      <c r="W150" s="676"/>
      <c r="X150" s="676" t="str">
        <f t="shared" si="21"/>
        <v xml:space="preserve"> - </v>
      </c>
      <c r="Y150" s="676" t="str">
        <f t="shared" si="22"/>
        <v xml:space="preserve"> - </v>
      </c>
      <c r="Z150" s="685"/>
      <c r="AA150" s="423" t="str">
        <f t="shared" ca="1" si="23"/>
        <v>-</v>
      </c>
      <c r="AB150" s="423"/>
      <c r="AC150" s="423"/>
      <c r="AD150" s="550"/>
      <c r="AE150" s="550"/>
      <c r="AF150" s="423"/>
      <c r="AG150" s="423"/>
      <c r="AH150" s="423"/>
      <c r="AI150" s="677"/>
      <c r="AJ150" s="547" t="s">
        <v>100</v>
      </c>
      <c r="AK150" s="547" t="s">
        <v>100</v>
      </c>
      <c r="AL150" s="682"/>
      <c r="AM150" s="547"/>
      <c r="AN150" s="547"/>
      <c r="AO150" s="679"/>
      <c r="AP150" s="406"/>
      <c r="AQ150" s="406"/>
    </row>
    <row r="151" spans="1:43" ht="20.100000000000001" customHeight="1">
      <c r="A151" s="423"/>
      <c r="B151" s="423"/>
      <c r="C151" s="548"/>
      <c r="E151" s="680"/>
      <c r="F151" s="423"/>
      <c r="G151" s="423"/>
      <c r="H151" s="423"/>
      <c r="I151" s="423" t="s">
        <v>3536</v>
      </c>
      <c r="J151" s="423"/>
      <c r="K151" s="681"/>
      <c r="L151" s="670"/>
      <c r="M151" s="423"/>
      <c r="N151" s="423"/>
      <c r="O151" s="423"/>
      <c r="P151" s="685"/>
      <c r="Q151" s="685"/>
      <c r="R151" s="423"/>
      <c r="S151" s="674"/>
      <c r="T151" s="674"/>
      <c r="U151" s="675">
        <f>IFERROR((Table48911128[[#This Row],[Invoice Value]]-Table48911128[[#This Row],[Total cost]])/Table48911128[[#This Row],[Invoice Value]],)</f>
        <v>0</v>
      </c>
      <c r="V151" s="676"/>
      <c r="W151" s="676"/>
      <c r="X151" s="676" t="str">
        <f t="shared" si="21"/>
        <v xml:space="preserve"> - </v>
      </c>
      <c r="Y151" s="676" t="str">
        <f t="shared" si="22"/>
        <v xml:space="preserve"> - </v>
      </c>
      <c r="Z151" s="685"/>
      <c r="AA151" s="423" t="str">
        <f t="shared" ca="1" si="23"/>
        <v>-</v>
      </c>
      <c r="AB151" s="423"/>
      <c r="AC151" s="423"/>
      <c r="AD151" s="550"/>
      <c r="AE151" s="550"/>
      <c r="AF151" s="423"/>
      <c r="AG151" s="423"/>
      <c r="AH151" s="423"/>
      <c r="AI151" s="677" t="s">
        <v>144</v>
      </c>
      <c r="AJ151" s="547" t="s">
        <v>100</v>
      </c>
      <c r="AK151" s="547" t="s">
        <v>67</v>
      </c>
      <c r="AL151" s="682"/>
      <c r="AM151" s="547"/>
      <c r="AN151" s="547"/>
      <c r="AO151" s="679"/>
      <c r="AP151" s="406"/>
      <c r="AQ151" s="406"/>
    </row>
    <row r="152" spans="1:43" ht="20.100000000000001" customHeight="1">
      <c r="A152" s="423"/>
      <c r="B152" s="423"/>
      <c r="C152" s="548"/>
      <c r="E152" s="680"/>
      <c r="F152" s="423"/>
      <c r="G152" s="423"/>
      <c r="H152" s="423"/>
      <c r="I152" s="423" t="s">
        <v>3536</v>
      </c>
      <c r="J152" s="423"/>
      <c r="K152" s="681"/>
      <c r="L152" s="670"/>
      <c r="M152" s="423"/>
      <c r="N152" s="423"/>
      <c r="O152" s="423"/>
      <c r="P152" s="685"/>
      <c r="Q152" s="685"/>
      <c r="R152" s="423"/>
      <c r="S152" s="674"/>
      <c r="T152" s="674"/>
      <c r="U152" s="675">
        <f>IFERROR((Table48911128[[#This Row],[Invoice Value]]-Table48911128[[#This Row],[Total cost]])/Table48911128[[#This Row],[Invoice Value]],)</f>
        <v>0</v>
      </c>
      <c r="V152" s="676"/>
      <c r="W152" s="676"/>
      <c r="X152" s="676" t="str">
        <f t="shared" si="21"/>
        <v xml:space="preserve"> - </v>
      </c>
      <c r="Y152" s="676" t="str">
        <f t="shared" si="22"/>
        <v xml:space="preserve"> - </v>
      </c>
      <c r="Z152" s="685"/>
      <c r="AA152" s="423" t="str">
        <f t="shared" ca="1" si="23"/>
        <v>-</v>
      </c>
      <c r="AB152" s="423"/>
      <c r="AC152" s="423"/>
      <c r="AD152" s="550"/>
      <c r="AE152" s="550"/>
      <c r="AF152" s="423"/>
      <c r="AG152" s="423"/>
      <c r="AH152" s="423"/>
      <c r="AI152" s="677" t="s">
        <v>100</v>
      </c>
      <c r="AJ152" s="547" t="s">
        <v>100</v>
      </c>
      <c r="AK152" s="547" t="s">
        <v>67</v>
      </c>
      <c r="AL152" s="682"/>
      <c r="AM152" s="547"/>
      <c r="AN152" s="547"/>
      <c r="AO152" s="679"/>
      <c r="AP152" s="406"/>
      <c r="AQ152" s="406"/>
    </row>
    <row r="153" spans="1:43" ht="20.100000000000001" customHeight="1">
      <c r="A153" s="423"/>
      <c r="B153" s="423"/>
      <c r="C153" s="548"/>
      <c r="E153" s="680"/>
      <c r="F153" s="423"/>
      <c r="G153" s="423"/>
      <c r="H153" s="423"/>
      <c r="I153" s="423" t="s">
        <v>3536</v>
      </c>
      <c r="J153" s="423"/>
      <c r="K153" s="681"/>
      <c r="L153" s="670"/>
      <c r="M153" s="423"/>
      <c r="N153" s="423"/>
      <c r="O153" s="423"/>
      <c r="P153" s="685"/>
      <c r="Q153" s="685"/>
      <c r="R153" s="423"/>
      <c r="S153" s="674"/>
      <c r="T153" s="674"/>
      <c r="U153" s="675">
        <f>IFERROR((Table48911128[[#This Row],[Invoice Value]]-Table48911128[[#This Row],[Total cost]])/Table48911128[[#This Row],[Invoice Value]],)</f>
        <v>0</v>
      </c>
      <c r="V153" s="676"/>
      <c r="W153" s="676"/>
      <c r="X153" s="676" t="str">
        <f t="shared" si="21"/>
        <v xml:space="preserve"> - </v>
      </c>
      <c r="Y153" s="676" t="str">
        <f t="shared" si="22"/>
        <v xml:space="preserve"> - </v>
      </c>
      <c r="Z153" s="685"/>
      <c r="AA153" s="423" t="str">
        <f t="shared" ca="1" si="23"/>
        <v>-</v>
      </c>
      <c r="AB153" s="423"/>
      <c r="AC153" s="423"/>
      <c r="AD153" s="550"/>
      <c r="AE153" s="550"/>
      <c r="AF153" s="423"/>
      <c r="AG153" s="423"/>
      <c r="AH153" s="423"/>
      <c r="AI153" s="677"/>
      <c r="AJ153" s="547"/>
      <c r="AK153" s="547"/>
      <c r="AL153" s="682"/>
      <c r="AM153" s="547"/>
      <c r="AN153" s="547"/>
      <c r="AO153" s="679"/>
      <c r="AP153" s="406"/>
      <c r="AQ153" s="406"/>
    </row>
    <row r="154" spans="1:43" ht="20.100000000000001" customHeight="1">
      <c r="A154" s="423"/>
      <c r="B154" s="423"/>
      <c r="C154" s="548"/>
      <c r="E154" s="680"/>
      <c r="F154" s="423"/>
      <c r="G154" s="423"/>
      <c r="H154" s="423"/>
      <c r="I154" s="423" t="s">
        <v>3536</v>
      </c>
      <c r="J154" s="423"/>
      <c r="K154" s="681"/>
      <c r="L154" s="670"/>
      <c r="M154" s="423"/>
      <c r="N154" s="423"/>
      <c r="O154" s="423"/>
      <c r="P154" s="685"/>
      <c r="Q154" s="685"/>
      <c r="R154" s="423"/>
      <c r="S154" s="674"/>
      <c r="T154" s="674"/>
      <c r="U154" s="675">
        <f>IFERROR((Table48911128[[#This Row],[Invoice Value]]-Table48911128[[#This Row],[Total cost]])/Table48911128[[#This Row],[Invoice Value]],)</f>
        <v>0</v>
      </c>
      <c r="V154" s="676"/>
      <c r="W154" s="676"/>
      <c r="X154" s="676" t="str">
        <f t="shared" si="21"/>
        <v xml:space="preserve"> - </v>
      </c>
      <c r="Y154" s="676" t="str">
        <f t="shared" si="22"/>
        <v xml:space="preserve"> - </v>
      </c>
      <c r="Z154" s="685"/>
      <c r="AA154" s="423" t="str">
        <f t="shared" ca="1" si="23"/>
        <v>-</v>
      </c>
      <c r="AB154" s="423"/>
      <c r="AC154" s="423"/>
      <c r="AD154" s="550"/>
      <c r="AE154" s="550"/>
      <c r="AF154" s="423"/>
      <c r="AG154" s="423"/>
      <c r="AH154" s="423"/>
      <c r="AI154" s="677" t="s">
        <v>207</v>
      </c>
      <c r="AJ154" s="547" t="s">
        <v>100</v>
      </c>
      <c r="AK154" s="547" t="s">
        <v>100</v>
      </c>
      <c r="AL154" s="682"/>
      <c r="AM154" s="547"/>
      <c r="AN154" s="547"/>
      <c r="AO154" s="679"/>
      <c r="AP154" s="406"/>
      <c r="AQ154" s="406"/>
    </row>
    <row r="155" spans="1:43" ht="20.100000000000001" customHeight="1">
      <c r="A155" s="423"/>
      <c r="B155" s="423"/>
      <c r="C155" s="548"/>
      <c r="E155" s="680"/>
      <c r="F155" s="423"/>
      <c r="G155" s="423"/>
      <c r="H155" s="423"/>
      <c r="I155" s="423" t="s">
        <v>3536</v>
      </c>
      <c r="J155" s="423"/>
      <c r="K155" s="681"/>
      <c r="L155" s="670"/>
      <c r="M155" s="423"/>
      <c r="N155" s="423"/>
      <c r="O155" s="423"/>
      <c r="P155" s="685"/>
      <c r="Q155" s="685"/>
      <c r="R155" s="423"/>
      <c r="S155" s="674"/>
      <c r="T155" s="674"/>
      <c r="U155" s="675">
        <f>IFERROR((Table48911128[[#This Row],[Invoice Value]]-Table48911128[[#This Row],[Total cost]])/Table48911128[[#This Row],[Invoice Value]],)</f>
        <v>0</v>
      </c>
      <c r="V155" s="676"/>
      <c r="W155" s="676"/>
      <c r="X155" s="676" t="str">
        <f t="shared" si="21"/>
        <v xml:space="preserve"> - </v>
      </c>
      <c r="Y155" s="676" t="str">
        <f t="shared" si="22"/>
        <v xml:space="preserve"> - </v>
      </c>
      <c r="Z155" s="685"/>
      <c r="AA155" s="423" t="str">
        <f t="shared" ca="1" si="23"/>
        <v>-</v>
      </c>
      <c r="AB155" s="423"/>
      <c r="AC155" s="423"/>
      <c r="AD155" s="550"/>
      <c r="AE155" s="550"/>
      <c r="AF155" s="423"/>
      <c r="AG155" s="423"/>
      <c r="AH155" s="423"/>
      <c r="AI155" s="677" t="s">
        <v>136</v>
      </c>
      <c r="AJ155" s="547" t="s">
        <v>136</v>
      </c>
      <c r="AK155" s="547" t="s">
        <v>136</v>
      </c>
      <c r="AL155" s="682"/>
      <c r="AM155" s="547"/>
      <c r="AN155" s="547"/>
      <c r="AO155" s="679"/>
      <c r="AP155" s="406"/>
      <c r="AQ155" s="406"/>
    </row>
    <row r="156" spans="1:43" ht="20.100000000000001" customHeight="1">
      <c r="A156" s="423"/>
      <c r="B156" s="423"/>
      <c r="C156" s="548"/>
      <c r="E156" s="680"/>
      <c r="F156" s="423"/>
      <c r="G156" s="423"/>
      <c r="H156" s="423"/>
      <c r="I156" s="423" t="s">
        <v>3536</v>
      </c>
      <c r="J156" s="423"/>
      <c r="K156" s="681"/>
      <c r="L156" s="670"/>
      <c r="M156" s="423"/>
      <c r="N156" s="423"/>
      <c r="O156" s="423"/>
      <c r="P156" s="685"/>
      <c r="Q156" s="685"/>
      <c r="R156" s="423"/>
      <c r="S156" s="674"/>
      <c r="T156" s="674"/>
      <c r="U156" s="675">
        <f>IFERROR((Table48911128[[#This Row],[Invoice Value]]-Table48911128[[#This Row],[Total cost]])/Table48911128[[#This Row],[Invoice Value]],)</f>
        <v>0</v>
      </c>
      <c r="V156" s="676"/>
      <c r="W156" s="676"/>
      <c r="X156" s="676" t="str">
        <f t="shared" si="21"/>
        <v xml:space="preserve"> - </v>
      </c>
      <c r="Y156" s="676" t="str">
        <f t="shared" si="22"/>
        <v xml:space="preserve"> - </v>
      </c>
      <c r="Z156" s="685"/>
      <c r="AA156" s="423" t="str">
        <f t="shared" ca="1" si="23"/>
        <v>-</v>
      </c>
      <c r="AB156" s="423"/>
      <c r="AC156" s="423"/>
      <c r="AD156" s="550"/>
      <c r="AE156" s="550"/>
      <c r="AF156" s="423"/>
      <c r="AG156" s="423"/>
      <c r="AH156" s="677"/>
      <c r="AI156" s="423"/>
      <c r="AJ156" s="547" t="s">
        <v>136</v>
      </c>
      <c r="AK156" s="406" t="s">
        <v>67</v>
      </c>
      <c r="AL156" s="686"/>
      <c r="AM156" s="406"/>
      <c r="AN156" s="406"/>
      <c r="AO156" s="679"/>
      <c r="AP156" s="406"/>
      <c r="AQ156" s="406"/>
    </row>
    <row r="157" spans="1:43" ht="20.100000000000001" customHeight="1">
      <c r="A157" s="423"/>
      <c r="B157" s="423"/>
      <c r="C157" s="548"/>
      <c r="E157" s="680"/>
      <c r="F157" s="423"/>
      <c r="G157" s="423"/>
      <c r="H157" s="423"/>
      <c r="I157" s="423" t="s">
        <v>3536</v>
      </c>
      <c r="J157" s="423"/>
      <c r="K157" s="681"/>
      <c r="L157" s="670"/>
      <c r="M157" s="423"/>
      <c r="N157" s="423"/>
      <c r="O157" s="423"/>
      <c r="P157" s="685"/>
      <c r="Q157" s="685"/>
      <c r="R157" s="423"/>
      <c r="S157" s="674"/>
      <c r="T157" s="674"/>
      <c r="U157" s="675">
        <f>IFERROR((Table48911128[[#This Row],[Invoice Value]]-Table48911128[[#This Row],[Total cost]])/Table48911128[[#This Row],[Invoice Value]],)</f>
        <v>0</v>
      </c>
      <c r="V157" s="676"/>
      <c r="W157" s="676"/>
      <c r="X157" s="676" t="str">
        <f t="shared" si="21"/>
        <v xml:space="preserve"> - </v>
      </c>
      <c r="Y157" s="676" t="str">
        <f t="shared" si="22"/>
        <v xml:space="preserve"> - </v>
      </c>
      <c r="Z157" s="685"/>
      <c r="AA157" s="423" t="str">
        <f t="shared" ca="1" si="23"/>
        <v>-</v>
      </c>
      <c r="AB157" s="423"/>
      <c r="AC157" s="423"/>
      <c r="AD157" s="550"/>
      <c r="AE157" s="550"/>
      <c r="AF157" s="423"/>
      <c r="AG157" s="423"/>
      <c r="AH157" s="677"/>
      <c r="AI157" s="423"/>
      <c r="AJ157" s="547"/>
      <c r="AK157" s="406"/>
      <c r="AL157" s="686"/>
      <c r="AM157" s="406"/>
      <c r="AN157" s="406"/>
      <c r="AO157" s="679"/>
      <c r="AP157" s="406"/>
      <c r="AQ157" s="406"/>
    </row>
    <row r="158" spans="1:43" ht="13.9">
      <c r="A158" s="423"/>
      <c r="B158" s="423"/>
      <c r="C158" s="548"/>
      <c r="E158" s="680"/>
      <c r="F158" s="423"/>
      <c r="G158" s="423"/>
      <c r="H158" s="423"/>
      <c r="I158" s="423" t="s">
        <v>3536</v>
      </c>
      <c r="J158" s="423"/>
      <c r="K158" s="681"/>
      <c r="L158" s="670"/>
      <c r="M158" s="423"/>
      <c r="N158" s="423"/>
      <c r="O158" s="423"/>
      <c r="P158" s="685"/>
      <c r="Q158" s="685"/>
      <c r="R158" s="423"/>
      <c r="S158" s="674"/>
      <c r="T158" s="674"/>
      <c r="U158" s="675">
        <f>IFERROR((Table48911128[[#This Row],[Invoice Value]]-Table48911128[[#This Row],[Total cost]])/Table48911128[[#This Row],[Invoice Value]],)</f>
        <v>0</v>
      </c>
      <c r="V158" s="676"/>
      <c r="W158" s="676"/>
      <c r="X158" s="676" t="str">
        <f t="shared" si="21"/>
        <v xml:space="preserve"> - </v>
      </c>
      <c r="Y158" s="676" t="str">
        <f t="shared" si="22"/>
        <v xml:space="preserve"> - </v>
      </c>
      <c r="Z158" s="685"/>
      <c r="AA158" s="423" t="str">
        <f t="shared" ca="1" si="23"/>
        <v>-</v>
      </c>
      <c r="AB158" s="423"/>
      <c r="AC158" s="423"/>
      <c r="AD158" s="550"/>
      <c r="AE158" s="550"/>
      <c r="AF158" s="423"/>
      <c r="AG158" s="423"/>
      <c r="AH158" s="423"/>
      <c r="AI158" s="677" t="s">
        <v>136</v>
      </c>
      <c r="AJ158" s="547" t="s">
        <v>144</v>
      </c>
      <c r="AK158" s="547" t="s">
        <v>67</v>
      </c>
      <c r="AL158" s="682"/>
      <c r="AM158" s="547"/>
      <c r="AN158" s="547"/>
      <c r="AO158" s="679"/>
      <c r="AP158" s="406"/>
      <c r="AQ158" s="406"/>
    </row>
    <row r="159" spans="1:43" ht="13.9">
      <c r="A159" s="423"/>
      <c r="B159" s="423"/>
      <c r="C159" s="548"/>
      <c r="E159" s="680"/>
      <c r="F159" s="423"/>
      <c r="G159" s="423"/>
      <c r="H159" s="423"/>
      <c r="I159" s="423" t="s">
        <v>3536</v>
      </c>
      <c r="J159" s="423"/>
      <c r="K159" s="681"/>
      <c r="L159" s="670"/>
      <c r="M159" s="423"/>
      <c r="N159" s="423"/>
      <c r="O159" s="423"/>
      <c r="P159" s="685"/>
      <c r="Q159" s="685"/>
      <c r="R159" s="423"/>
      <c r="S159" s="674"/>
      <c r="T159" s="674"/>
      <c r="U159" s="675">
        <f>IFERROR((Table48911128[[#This Row],[Invoice Value]]-Table48911128[[#This Row],[Total cost]])/Table48911128[[#This Row],[Invoice Value]],)</f>
        <v>0</v>
      </c>
      <c r="V159" s="676"/>
      <c r="W159" s="676"/>
      <c r="X159" s="676" t="str">
        <f t="shared" si="21"/>
        <v xml:space="preserve"> - </v>
      </c>
      <c r="Y159" s="676" t="str">
        <f t="shared" si="22"/>
        <v xml:space="preserve"> - </v>
      </c>
      <c r="Z159" s="685"/>
      <c r="AA159" s="423" t="str">
        <f t="shared" ca="1" si="23"/>
        <v>-</v>
      </c>
      <c r="AB159" s="423"/>
      <c r="AC159" s="423"/>
      <c r="AD159" s="550"/>
      <c r="AE159" s="550"/>
      <c r="AF159" s="423"/>
      <c r="AG159" s="423"/>
      <c r="AH159" s="423"/>
      <c r="AI159" s="677"/>
      <c r="AJ159" s="547"/>
      <c r="AK159" s="547"/>
      <c r="AL159" s="682"/>
      <c r="AM159" s="547"/>
      <c r="AN159" s="547"/>
      <c r="AO159" s="679"/>
      <c r="AP159" s="406"/>
      <c r="AQ159" s="406"/>
    </row>
    <row r="160" spans="1:43" ht="13.9">
      <c r="A160" s="423"/>
      <c r="B160" s="423"/>
      <c r="C160" s="548"/>
      <c r="E160" s="680"/>
      <c r="F160" s="423"/>
      <c r="G160" s="423"/>
      <c r="H160" s="423"/>
      <c r="I160" s="423" t="s">
        <v>3536</v>
      </c>
      <c r="J160" s="423"/>
      <c r="K160" s="681"/>
      <c r="L160" s="670"/>
      <c r="M160" s="423"/>
      <c r="N160" s="423"/>
      <c r="O160" s="423"/>
      <c r="P160" s="685"/>
      <c r="Q160" s="685"/>
      <c r="R160" s="423"/>
      <c r="S160" s="674"/>
      <c r="T160" s="674"/>
      <c r="U160" s="675">
        <f>IFERROR((Table48911128[[#This Row],[Invoice Value]]-Table48911128[[#This Row],[Total cost]])/Table48911128[[#This Row],[Invoice Value]],)</f>
        <v>0</v>
      </c>
      <c r="V160" s="676"/>
      <c r="W160" s="676"/>
      <c r="X160" s="676" t="str">
        <f t="shared" si="21"/>
        <v xml:space="preserve"> - </v>
      </c>
      <c r="Y160" s="676" t="str">
        <f t="shared" si="22"/>
        <v xml:space="preserve"> - </v>
      </c>
      <c r="Z160" s="685"/>
      <c r="AA160" s="423" t="str">
        <f t="shared" ca="1" si="23"/>
        <v>-</v>
      </c>
      <c r="AB160" s="423"/>
      <c r="AC160" s="423"/>
      <c r="AD160" s="550"/>
      <c r="AE160" s="550"/>
      <c r="AF160" s="423"/>
      <c r="AG160" s="423"/>
      <c r="AH160" s="423"/>
      <c r="AI160" s="677" t="s">
        <v>67</v>
      </c>
      <c r="AJ160" s="547" t="s">
        <v>67</v>
      </c>
      <c r="AK160" s="547" t="s">
        <v>67</v>
      </c>
      <c r="AL160" s="682"/>
      <c r="AM160" s="547"/>
      <c r="AN160" s="547"/>
      <c r="AO160" s="679"/>
      <c r="AP160" s="406"/>
      <c r="AQ160" s="406"/>
    </row>
    <row r="161" spans="1:43" ht="13.9">
      <c r="A161" s="423"/>
      <c r="B161" s="423"/>
      <c r="C161" s="548"/>
      <c r="E161" s="680"/>
      <c r="F161" s="423"/>
      <c r="G161" s="423"/>
      <c r="H161" s="423"/>
      <c r="I161" s="423" t="s">
        <v>3536</v>
      </c>
      <c r="J161" s="423"/>
      <c r="K161" s="681"/>
      <c r="L161" s="670"/>
      <c r="M161" s="423"/>
      <c r="N161" s="423"/>
      <c r="O161" s="423"/>
      <c r="P161" s="685"/>
      <c r="Q161" s="685"/>
      <c r="R161" s="423"/>
      <c r="S161" s="674"/>
      <c r="T161" s="674"/>
      <c r="U161" s="675">
        <f>IFERROR((Table48911128[[#This Row],[Invoice Value]]-Table48911128[[#This Row],[Total cost]])/Table48911128[[#This Row],[Invoice Value]],)</f>
        <v>0</v>
      </c>
      <c r="V161" s="676"/>
      <c r="W161" s="676"/>
      <c r="X161" s="676" t="str">
        <f t="shared" si="21"/>
        <v xml:space="preserve"> - </v>
      </c>
      <c r="Y161" s="676" t="str">
        <f t="shared" si="22"/>
        <v xml:space="preserve"> - </v>
      </c>
      <c r="Z161" s="676"/>
      <c r="AA161" s="423" t="str">
        <f t="shared" ca="1" si="23"/>
        <v>-</v>
      </c>
      <c r="AB161" s="423"/>
      <c r="AC161" s="423"/>
      <c r="AD161" s="550"/>
      <c r="AE161" s="550"/>
      <c r="AF161" s="423"/>
      <c r="AG161" s="423"/>
      <c r="AH161" s="423"/>
      <c r="AI161" s="687" t="s">
        <v>100</v>
      </c>
      <c r="AJ161" s="547" t="s">
        <v>100</v>
      </c>
      <c r="AK161" s="334" t="s">
        <v>67</v>
      </c>
      <c r="AL161" s="343"/>
      <c r="AM161" s="334"/>
      <c r="AN161" s="334"/>
      <c r="AO161" s="679"/>
      <c r="AP161" s="406"/>
      <c r="AQ161" s="406"/>
    </row>
    <row r="162" spans="1:43" ht="13.9">
      <c r="A162" s="423"/>
      <c r="B162" s="423"/>
      <c r="C162" s="548"/>
      <c r="E162" s="680"/>
      <c r="F162" s="423"/>
      <c r="G162" s="423"/>
      <c r="H162" s="423"/>
      <c r="I162" s="423" t="s">
        <v>3536</v>
      </c>
      <c r="J162" s="423"/>
      <c r="K162" s="681"/>
      <c r="L162" s="670"/>
      <c r="M162" s="423"/>
      <c r="N162" s="423"/>
      <c r="O162" s="423"/>
      <c r="P162" s="685"/>
      <c r="Q162" s="685"/>
      <c r="R162" s="423"/>
      <c r="S162" s="674"/>
      <c r="T162" s="674"/>
      <c r="U162" s="675">
        <f>IFERROR((Table48911128[[#This Row],[Invoice Value]]-Table48911128[[#This Row],[Total cost]])/Table48911128[[#This Row],[Invoice Value]],)</f>
        <v>0</v>
      </c>
      <c r="V162" s="676"/>
      <c r="W162" s="676"/>
      <c r="X162" s="676" t="str">
        <f t="shared" si="21"/>
        <v xml:space="preserve"> - </v>
      </c>
      <c r="Y162" s="676" t="str">
        <f t="shared" si="22"/>
        <v xml:space="preserve"> - </v>
      </c>
      <c r="Z162" s="676"/>
      <c r="AA162" s="423" t="str">
        <f t="shared" ca="1" si="23"/>
        <v>-</v>
      </c>
      <c r="AB162" s="423"/>
      <c r="AC162" s="423"/>
      <c r="AD162" s="550"/>
      <c r="AE162" s="550"/>
      <c r="AF162" s="423"/>
      <c r="AG162" s="423"/>
      <c r="AH162" s="423"/>
      <c r="AI162" s="677" t="s">
        <v>100</v>
      </c>
      <c r="AJ162" s="547" t="s">
        <v>100</v>
      </c>
      <c r="AK162" s="547" t="s">
        <v>100</v>
      </c>
      <c r="AL162" s="682"/>
      <c r="AM162" s="547"/>
      <c r="AN162" s="547"/>
      <c r="AO162" s="679"/>
      <c r="AP162" s="406"/>
      <c r="AQ162" s="406"/>
    </row>
    <row r="163" spans="1:43" ht="13.9">
      <c r="A163" s="423"/>
      <c r="B163" s="423"/>
      <c r="C163" s="548"/>
      <c r="E163" s="680"/>
      <c r="F163" s="423"/>
      <c r="G163" s="423"/>
      <c r="H163" s="423"/>
      <c r="I163" s="423" t="s">
        <v>3536</v>
      </c>
      <c r="J163" s="423"/>
      <c r="K163" s="681"/>
      <c r="L163" s="670"/>
      <c r="M163" s="423"/>
      <c r="N163" s="423"/>
      <c r="O163" s="423"/>
      <c r="P163" s="685"/>
      <c r="Q163" s="685"/>
      <c r="R163" s="423"/>
      <c r="S163" s="674"/>
      <c r="T163" s="674"/>
      <c r="U163" s="675">
        <f>IFERROR((Table48911128[[#This Row],[Invoice Value]]-Table48911128[[#This Row],[Total cost]])/Table48911128[[#This Row],[Invoice Value]],)</f>
        <v>0</v>
      </c>
      <c r="V163" s="676"/>
      <c r="W163" s="676"/>
      <c r="X163" s="676" t="str">
        <f t="shared" si="21"/>
        <v xml:space="preserve"> - </v>
      </c>
      <c r="Y163" s="676" t="str">
        <f t="shared" si="22"/>
        <v xml:space="preserve"> - </v>
      </c>
      <c r="Z163" s="676"/>
      <c r="AA163" s="423" t="str">
        <f t="shared" ca="1" si="23"/>
        <v>-</v>
      </c>
      <c r="AB163" s="423"/>
      <c r="AC163" s="423"/>
      <c r="AD163" s="550"/>
      <c r="AE163" s="550"/>
      <c r="AF163" s="423"/>
      <c r="AG163" s="423"/>
      <c r="AH163" s="423"/>
      <c r="AI163" s="677" t="s">
        <v>67</v>
      </c>
      <c r="AJ163" s="547" t="s">
        <v>67</v>
      </c>
      <c r="AK163" s="547" t="s">
        <v>67</v>
      </c>
      <c r="AL163" s="682"/>
      <c r="AM163" s="547"/>
      <c r="AN163" s="547"/>
      <c r="AO163" s="679"/>
      <c r="AP163" s="406"/>
      <c r="AQ163" s="406"/>
    </row>
    <row r="164" spans="1:43" ht="13.9">
      <c r="A164" s="423"/>
      <c r="B164" s="423"/>
      <c r="C164" s="548"/>
      <c r="E164" s="680"/>
      <c r="F164" s="423"/>
      <c r="G164" s="423"/>
      <c r="H164" s="423"/>
      <c r="I164" s="423" t="s">
        <v>3536</v>
      </c>
      <c r="J164" s="423"/>
      <c r="K164" s="681"/>
      <c r="L164" s="670"/>
      <c r="M164" s="423"/>
      <c r="N164" s="423"/>
      <c r="O164" s="423"/>
      <c r="P164" s="685"/>
      <c r="Q164" s="685"/>
      <c r="R164" s="423"/>
      <c r="S164" s="674"/>
      <c r="T164" s="674"/>
      <c r="U164" s="675">
        <f>IFERROR((Table48911128[[#This Row],[Invoice Value]]-Table48911128[[#This Row],[Total cost]])/Table48911128[[#This Row],[Invoice Value]],)</f>
        <v>0</v>
      </c>
      <c r="V164" s="676"/>
      <c r="W164" s="676"/>
      <c r="X164" s="676" t="str">
        <f t="shared" si="21"/>
        <v xml:space="preserve"> - </v>
      </c>
      <c r="Y164" s="676" t="str">
        <f t="shared" si="22"/>
        <v xml:space="preserve"> - </v>
      </c>
      <c r="Z164" s="676"/>
      <c r="AA164" s="423" t="str">
        <f t="shared" ca="1" si="23"/>
        <v>-</v>
      </c>
      <c r="AB164" s="423"/>
      <c r="AC164" s="423"/>
      <c r="AD164" s="550"/>
      <c r="AE164" s="550"/>
      <c r="AF164" s="423"/>
      <c r="AG164" s="423"/>
      <c r="AH164" s="423"/>
      <c r="AI164" s="677" t="s">
        <v>100</v>
      </c>
      <c r="AJ164" s="547" t="s">
        <v>100</v>
      </c>
      <c r="AK164" s="547" t="s">
        <v>100</v>
      </c>
      <c r="AL164" s="682"/>
      <c r="AM164" s="547"/>
      <c r="AN164" s="547"/>
      <c r="AO164" s="679"/>
      <c r="AP164" s="406"/>
      <c r="AQ164" s="406"/>
    </row>
    <row r="165" spans="1:43" ht="13.9">
      <c r="A165" s="423"/>
      <c r="B165" s="423"/>
      <c r="C165" s="548"/>
      <c r="E165" s="680"/>
      <c r="F165" s="423"/>
      <c r="G165" s="423"/>
      <c r="H165" s="423"/>
      <c r="I165" s="423" t="s">
        <v>3536</v>
      </c>
      <c r="J165" s="423"/>
      <c r="K165" s="681"/>
      <c r="L165" s="670"/>
      <c r="M165" s="423"/>
      <c r="N165" s="423"/>
      <c r="O165" s="423"/>
      <c r="P165" s="685"/>
      <c r="Q165" s="685"/>
      <c r="R165" s="423"/>
      <c r="S165" s="674"/>
      <c r="T165" s="674"/>
      <c r="U165" s="675">
        <f>IFERROR((Table48911128[[#This Row],[Invoice Value]]-Table48911128[[#This Row],[Total cost]])/Table48911128[[#This Row],[Invoice Value]],)</f>
        <v>0</v>
      </c>
      <c r="V165" s="676"/>
      <c r="W165" s="676"/>
      <c r="X165" s="676" t="str">
        <f t="shared" si="21"/>
        <v xml:space="preserve"> - </v>
      </c>
      <c r="Y165" s="676" t="str">
        <f t="shared" si="22"/>
        <v xml:space="preserve"> - </v>
      </c>
      <c r="Z165" s="676"/>
      <c r="AA165" s="423" t="str">
        <f t="shared" ca="1" si="23"/>
        <v>-</v>
      </c>
      <c r="AB165" s="423"/>
      <c r="AC165" s="423"/>
      <c r="AD165" s="550"/>
      <c r="AE165" s="550"/>
      <c r="AF165" s="423"/>
      <c r="AG165" s="423"/>
      <c r="AH165" s="423"/>
      <c r="AI165" s="677" t="s">
        <v>67</v>
      </c>
      <c r="AJ165" s="547" t="s">
        <v>67</v>
      </c>
      <c r="AK165" s="547" t="s">
        <v>67</v>
      </c>
      <c r="AL165" s="682"/>
      <c r="AM165" s="547"/>
      <c r="AN165" s="547"/>
      <c r="AO165" s="679"/>
      <c r="AP165" s="406"/>
      <c r="AQ165" s="406"/>
    </row>
    <row r="166" spans="1:43" ht="13.9">
      <c r="A166" s="423"/>
      <c r="B166" s="423"/>
      <c r="C166" s="548"/>
      <c r="E166" s="680"/>
      <c r="F166" s="423"/>
      <c r="G166" s="423"/>
      <c r="H166" s="423"/>
      <c r="I166" s="423" t="s">
        <v>3536</v>
      </c>
      <c r="J166" s="423"/>
      <c r="K166" s="681"/>
      <c r="L166" s="670"/>
      <c r="M166" s="423"/>
      <c r="N166" s="423"/>
      <c r="O166" s="423"/>
      <c r="P166" s="685"/>
      <c r="Q166" s="685"/>
      <c r="R166" s="423"/>
      <c r="S166" s="674"/>
      <c r="T166" s="674"/>
      <c r="U166" s="675">
        <f>IFERROR((Table48911128[[#This Row],[Invoice Value]]-Table48911128[[#This Row],[Total cost]])/Table48911128[[#This Row],[Invoice Value]],)</f>
        <v>0</v>
      </c>
      <c r="V166" s="676"/>
      <c r="W166" s="676"/>
      <c r="X166" s="676" t="str">
        <f t="shared" si="21"/>
        <v xml:space="preserve"> - </v>
      </c>
      <c r="Y166" s="676" t="str">
        <f t="shared" si="22"/>
        <v xml:space="preserve"> - </v>
      </c>
      <c r="Z166" s="685"/>
      <c r="AA166" s="423" t="str">
        <f t="shared" ca="1" si="23"/>
        <v>-</v>
      </c>
      <c r="AB166" s="423"/>
      <c r="AC166" s="423"/>
      <c r="AD166" s="550"/>
      <c r="AE166" s="550"/>
      <c r="AF166" s="423"/>
      <c r="AG166" s="423"/>
      <c r="AH166" s="423"/>
      <c r="AI166" s="677" t="s">
        <v>67</v>
      </c>
      <c r="AJ166" s="547" t="s">
        <v>67</v>
      </c>
      <c r="AK166" s="547" t="s">
        <v>67</v>
      </c>
      <c r="AL166" s="682"/>
      <c r="AM166" s="547"/>
      <c r="AN166" s="547"/>
      <c r="AO166" s="679"/>
      <c r="AP166" s="406"/>
      <c r="AQ166" s="406"/>
    </row>
    <row r="167" spans="1:43" ht="13.9">
      <c r="A167" s="423"/>
      <c r="B167" s="423"/>
      <c r="C167" s="548"/>
      <c r="E167" s="680"/>
      <c r="F167" s="423"/>
      <c r="G167" s="423"/>
      <c r="H167" s="423"/>
      <c r="I167" s="423" t="s">
        <v>3536</v>
      </c>
      <c r="J167" s="423"/>
      <c r="K167" s="681"/>
      <c r="L167" s="670"/>
      <c r="M167" s="423"/>
      <c r="N167" s="423"/>
      <c r="O167" s="423"/>
      <c r="P167" s="685"/>
      <c r="Q167" s="685"/>
      <c r="R167" s="423"/>
      <c r="S167" s="674"/>
      <c r="T167" s="674"/>
      <c r="U167" s="675">
        <f>IFERROR((Table48911128[[#This Row],[Invoice Value]]-Table48911128[[#This Row],[Total cost]])/Table48911128[[#This Row],[Invoice Value]],)</f>
        <v>0</v>
      </c>
      <c r="V167" s="676"/>
      <c r="W167" s="676"/>
      <c r="X167" s="676" t="str">
        <f t="shared" si="21"/>
        <v xml:space="preserve"> - </v>
      </c>
      <c r="Y167" s="676" t="str">
        <f t="shared" si="22"/>
        <v xml:space="preserve"> - </v>
      </c>
      <c r="Z167" s="685"/>
      <c r="AA167" s="423" t="str">
        <f t="shared" ca="1" si="23"/>
        <v>-</v>
      </c>
      <c r="AB167" s="423"/>
      <c r="AC167" s="423"/>
      <c r="AD167" s="550"/>
      <c r="AE167" s="550"/>
      <c r="AF167" s="423"/>
      <c r="AG167" s="423"/>
      <c r="AH167" s="423"/>
      <c r="AI167" s="677" t="s">
        <v>144</v>
      </c>
      <c r="AJ167" s="547" t="s">
        <v>144</v>
      </c>
      <c r="AK167" s="547" t="s">
        <v>100</v>
      </c>
      <c r="AL167" s="682"/>
      <c r="AM167" s="547"/>
      <c r="AN167" s="547"/>
      <c r="AO167" s="679"/>
      <c r="AP167" s="406"/>
      <c r="AQ167" s="406"/>
    </row>
    <row r="168" spans="1:43" ht="13.9">
      <c r="A168" s="423"/>
      <c r="B168" s="423"/>
      <c r="C168" s="548"/>
      <c r="E168" s="680"/>
      <c r="F168" s="423"/>
      <c r="G168" s="423"/>
      <c r="H168" s="423"/>
      <c r="I168" s="423" t="s">
        <v>3536</v>
      </c>
      <c r="J168" s="423"/>
      <c r="K168" s="681"/>
      <c r="L168" s="670"/>
      <c r="M168" s="423"/>
      <c r="N168" s="423"/>
      <c r="O168" s="423"/>
      <c r="P168" s="685"/>
      <c r="Q168" s="685"/>
      <c r="R168" s="423"/>
      <c r="S168" s="674"/>
      <c r="T168" s="674"/>
      <c r="U168" s="675">
        <f>IFERROR((Table48911128[[#This Row],[Invoice Value]]-Table48911128[[#This Row],[Total cost]])/Table48911128[[#This Row],[Invoice Value]],)</f>
        <v>0</v>
      </c>
      <c r="V168" s="676"/>
      <c r="W168" s="676"/>
      <c r="X168" s="676" t="str">
        <f t="shared" si="21"/>
        <v xml:space="preserve"> - </v>
      </c>
      <c r="Y168" s="676" t="str">
        <f t="shared" si="22"/>
        <v xml:space="preserve"> - </v>
      </c>
      <c r="Z168" s="685"/>
      <c r="AA168" s="423" t="str">
        <f t="shared" ca="1" si="23"/>
        <v>-</v>
      </c>
      <c r="AB168" s="423"/>
      <c r="AC168" s="423"/>
      <c r="AD168" s="550"/>
      <c r="AE168" s="550"/>
      <c r="AF168" s="423"/>
      <c r="AG168" s="423"/>
      <c r="AH168" s="423"/>
      <c r="AI168" s="677" t="s">
        <v>144</v>
      </c>
      <c r="AJ168" s="547" t="s">
        <v>144</v>
      </c>
      <c r="AK168" s="547" t="s">
        <v>67</v>
      </c>
      <c r="AL168" s="682"/>
      <c r="AM168" s="547"/>
      <c r="AN168" s="547"/>
      <c r="AO168" s="679"/>
      <c r="AP168" s="406"/>
      <c r="AQ168" s="406"/>
    </row>
    <row r="169" spans="1:43" ht="13.9">
      <c r="A169" s="423"/>
      <c r="B169" s="423"/>
      <c r="C169" s="548"/>
      <c r="E169" s="680"/>
      <c r="F169" s="423"/>
      <c r="G169" s="423"/>
      <c r="H169" s="423"/>
      <c r="I169" s="423" t="s">
        <v>3536</v>
      </c>
      <c r="J169" s="423"/>
      <c r="K169" s="681"/>
      <c r="L169" s="670"/>
      <c r="M169" s="423"/>
      <c r="N169" s="423"/>
      <c r="O169" s="423"/>
      <c r="P169" s="685"/>
      <c r="Q169" s="685"/>
      <c r="R169" s="423"/>
      <c r="S169" s="674"/>
      <c r="T169" s="674"/>
      <c r="U169" s="675">
        <f>IFERROR((Table48911128[[#This Row],[Invoice Value]]-Table48911128[[#This Row],[Total cost]])/Table48911128[[#This Row],[Invoice Value]],)</f>
        <v>0</v>
      </c>
      <c r="V169" s="676"/>
      <c r="W169" s="676"/>
      <c r="X169" s="676" t="str">
        <f t="shared" si="21"/>
        <v xml:space="preserve"> - </v>
      </c>
      <c r="Y169" s="676" t="str">
        <f t="shared" si="22"/>
        <v xml:space="preserve"> - </v>
      </c>
      <c r="Z169" s="685"/>
      <c r="AA169" s="423" t="str">
        <f t="shared" ca="1" si="23"/>
        <v>-</v>
      </c>
      <c r="AB169" s="423"/>
      <c r="AC169" s="423"/>
      <c r="AD169" s="550"/>
      <c r="AE169" s="550"/>
      <c r="AF169" s="423"/>
      <c r="AG169" s="423"/>
      <c r="AH169" s="423"/>
      <c r="AI169" s="677" t="s">
        <v>144</v>
      </c>
      <c r="AJ169" s="547" t="s">
        <v>100</v>
      </c>
      <c r="AK169" s="547" t="s">
        <v>67</v>
      </c>
      <c r="AL169" s="682"/>
      <c r="AM169" s="547"/>
      <c r="AN169" s="547"/>
      <c r="AO169" s="679"/>
      <c r="AP169" s="406"/>
      <c r="AQ169" s="406"/>
    </row>
    <row r="170" spans="1:43" ht="13.9">
      <c r="A170" s="423"/>
      <c r="B170" s="423"/>
      <c r="C170" s="548"/>
      <c r="E170" s="680"/>
      <c r="F170" s="423"/>
      <c r="G170" s="423"/>
      <c r="H170" s="423"/>
      <c r="I170" s="423" t="s">
        <v>3536</v>
      </c>
      <c r="J170" s="423"/>
      <c r="K170" s="681"/>
      <c r="L170" s="670"/>
      <c r="M170" s="423"/>
      <c r="N170" s="423"/>
      <c r="O170" s="423"/>
      <c r="P170" s="685"/>
      <c r="Q170" s="685"/>
      <c r="R170" s="423"/>
      <c r="S170" s="674"/>
      <c r="T170" s="674"/>
      <c r="U170" s="675">
        <f>IFERROR((Table48911128[[#This Row],[Invoice Value]]-Table48911128[[#This Row],[Total cost]])/Table48911128[[#This Row],[Invoice Value]],)</f>
        <v>0</v>
      </c>
      <c r="V170" s="676"/>
      <c r="W170" s="676"/>
      <c r="X170" s="676" t="str">
        <f t="shared" si="21"/>
        <v xml:space="preserve"> - </v>
      </c>
      <c r="Y170" s="676" t="str">
        <f t="shared" si="22"/>
        <v xml:space="preserve"> - </v>
      </c>
      <c r="Z170" s="685"/>
      <c r="AA170" s="423" t="str">
        <f t="shared" ca="1" si="23"/>
        <v>-</v>
      </c>
      <c r="AB170" s="423"/>
      <c r="AC170" s="423"/>
      <c r="AD170" s="550"/>
      <c r="AE170" s="550"/>
      <c r="AF170" s="423"/>
      <c r="AG170" s="423"/>
      <c r="AH170" s="423"/>
      <c r="AI170" s="677" t="s">
        <v>100</v>
      </c>
      <c r="AJ170" s="547" t="s">
        <v>100</v>
      </c>
      <c r="AK170" s="547" t="s">
        <v>67</v>
      </c>
      <c r="AL170" s="682"/>
      <c r="AM170" s="547"/>
      <c r="AN170" s="547"/>
      <c r="AO170" s="679"/>
      <c r="AP170" s="406"/>
      <c r="AQ170" s="406"/>
    </row>
    <row r="171" spans="1:43" ht="13.9">
      <c r="A171" s="423"/>
      <c r="B171" s="423"/>
      <c r="C171" s="548"/>
      <c r="E171" s="680"/>
      <c r="F171" s="423"/>
      <c r="G171" s="423"/>
      <c r="H171" s="423"/>
      <c r="I171" s="423" t="s">
        <v>3536</v>
      </c>
      <c r="J171" s="423"/>
      <c r="K171" s="681"/>
      <c r="L171" s="670"/>
      <c r="M171" s="423"/>
      <c r="N171" s="423"/>
      <c r="O171" s="423"/>
      <c r="P171" s="685"/>
      <c r="Q171" s="685"/>
      <c r="R171" s="423"/>
      <c r="S171" s="674"/>
      <c r="T171" s="674"/>
      <c r="U171" s="675">
        <f>IFERROR((Table48911128[[#This Row],[Invoice Value]]-Table48911128[[#This Row],[Total cost]])/Table48911128[[#This Row],[Invoice Value]],)</f>
        <v>0</v>
      </c>
      <c r="V171" s="676"/>
      <c r="W171" s="676"/>
      <c r="X171" s="676" t="str">
        <f t="shared" si="21"/>
        <v xml:space="preserve"> - </v>
      </c>
      <c r="Y171" s="676" t="str">
        <f t="shared" si="22"/>
        <v xml:space="preserve"> - </v>
      </c>
      <c r="Z171" s="685"/>
      <c r="AA171" s="423" t="str">
        <f t="shared" ca="1" si="23"/>
        <v>-</v>
      </c>
      <c r="AB171" s="423"/>
      <c r="AC171" s="423"/>
      <c r="AD171" s="550"/>
      <c r="AE171" s="550"/>
      <c r="AF171" s="423"/>
      <c r="AG171" s="423"/>
      <c r="AH171" s="423"/>
      <c r="AI171" s="677" t="s">
        <v>100</v>
      </c>
      <c r="AJ171" s="547" t="s">
        <v>100</v>
      </c>
      <c r="AK171" s="547" t="s">
        <v>100</v>
      </c>
      <c r="AL171" s="682"/>
      <c r="AM171" s="547"/>
      <c r="AN171" s="547"/>
      <c r="AO171" s="679"/>
      <c r="AP171" s="406"/>
      <c r="AQ171" s="406"/>
    </row>
    <row r="172" spans="1:43" ht="13.9">
      <c r="A172" s="423"/>
      <c r="B172" s="423"/>
      <c r="C172" s="548"/>
      <c r="E172" s="680"/>
      <c r="F172" s="423"/>
      <c r="G172" s="423"/>
      <c r="H172" s="423"/>
      <c r="I172" s="423" t="s">
        <v>3536</v>
      </c>
      <c r="J172" s="423"/>
      <c r="K172" s="681"/>
      <c r="L172" s="670"/>
      <c r="M172" s="423"/>
      <c r="N172" s="423"/>
      <c r="O172" s="423"/>
      <c r="P172" s="685"/>
      <c r="Q172" s="685"/>
      <c r="R172" s="423"/>
      <c r="S172" s="674"/>
      <c r="T172" s="674"/>
      <c r="U172" s="675">
        <f>IFERROR((Table48911128[[#This Row],[Invoice Value]]-Table48911128[[#This Row],[Total cost]])/Table48911128[[#This Row],[Invoice Value]],)</f>
        <v>0</v>
      </c>
      <c r="V172" s="676"/>
      <c r="W172" s="676"/>
      <c r="X172" s="676" t="str">
        <f t="shared" si="21"/>
        <v xml:space="preserve"> - </v>
      </c>
      <c r="Y172" s="676" t="str">
        <f t="shared" si="22"/>
        <v xml:space="preserve"> - </v>
      </c>
      <c r="Z172" s="685"/>
      <c r="AA172" s="423" t="str">
        <f t="shared" ca="1" si="23"/>
        <v>-</v>
      </c>
      <c r="AB172" s="423"/>
      <c r="AC172" s="423"/>
      <c r="AD172" s="550"/>
      <c r="AE172" s="550"/>
      <c r="AF172" s="423"/>
      <c r="AG172" s="423"/>
      <c r="AH172" s="423"/>
      <c r="AI172" s="677" t="s">
        <v>100</v>
      </c>
      <c r="AJ172" s="547" t="s">
        <v>100</v>
      </c>
      <c r="AK172" s="547" t="s">
        <v>100</v>
      </c>
      <c r="AL172" s="682"/>
      <c r="AM172" s="547"/>
      <c r="AN172" s="547"/>
      <c r="AO172" s="679"/>
      <c r="AP172" s="406"/>
      <c r="AQ172" s="406"/>
    </row>
    <row r="173" spans="1:43" ht="13.9">
      <c r="A173" s="423"/>
      <c r="B173" s="423"/>
      <c r="C173" s="548"/>
      <c r="E173" s="680"/>
      <c r="F173" s="423"/>
      <c r="G173" s="423"/>
      <c r="H173" s="423"/>
      <c r="I173" s="423" t="s">
        <v>3536</v>
      </c>
      <c r="J173" s="423"/>
      <c r="K173" s="681"/>
      <c r="L173" s="670"/>
      <c r="M173" s="423"/>
      <c r="N173" s="423"/>
      <c r="O173" s="423"/>
      <c r="P173" s="685"/>
      <c r="Q173" s="685"/>
      <c r="R173" s="423"/>
      <c r="S173" s="674"/>
      <c r="T173" s="674"/>
      <c r="U173" s="675">
        <f>IFERROR((Table48911128[[#This Row],[Invoice Value]]-Table48911128[[#This Row],[Total cost]])/Table48911128[[#This Row],[Invoice Value]],)</f>
        <v>0</v>
      </c>
      <c r="V173" s="676"/>
      <c r="W173" s="676"/>
      <c r="X173" s="676" t="str">
        <f t="shared" si="21"/>
        <v xml:space="preserve"> - </v>
      </c>
      <c r="Y173" s="676" t="str">
        <f t="shared" si="22"/>
        <v xml:space="preserve"> - </v>
      </c>
      <c r="Z173" s="685"/>
      <c r="AA173" s="423" t="str">
        <f t="shared" ca="1" si="23"/>
        <v>-</v>
      </c>
      <c r="AB173" s="423"/>
      <c r="AC173" s="423"/>
      <c r="AD173" s="550"/>
      <c r="AE173" s="550"/>
      <c r="AF173" s="423"/>
      <c r="AG173" s="423"/>
      <c r="AH173" s="423"/>
      <c r="AI173" s="677" t="s">
        <v>100</v>
      </c>
      <c r="AJ173" s="547" t="s">
        <v>100</v>
      </c>
      <c r="AK173" s="547" t="s">
        <v>67</v>
      </c>
      <c r="AL173" s="682"/>
      <c r="AM173" s="547"/>
      <c r="AN173" s="547"/>
      <c r="AO173" s="679"/>
      <c r="AP173" s="406"/>
      <c r="AQ173" s="406"/>
    </row>
    <row r="174" spans="1:43" ht="13.9">
      <c r="A174" s="423"/>
      <c r="B174" s="423"/>
      <c r="C174" s="548"/>
      <c r="E174" s="680"/>
      <c r="F174" s="423"/>
      <c r="G174" s="423"/>
      <c r="H174" s="423"/>
      <c r="I174" s="423" t="s">
        <v>3536</v>
      </c>
      <c r="J174" s="423"/>
      <c r="K174" s="681"/>
      <c r="L174" s="670"/>
      <c r="M174" s="423"/>
      <c r="N174" s="423"/>
      <c r="O174" s="423"/>
      <c r="P174" s="685"/>
      <c r="Q174" s="685"/>
      <c r="R174" s="423"/>
      <c r="S174" s="674"/>
      <c r="T174" s="674"/>
      <c r="U174" s="675">
        <f>IFERROR((Table48911128[[#This Row],[Invoice Value]]-Table48911128[[#This Row],[Total cost]])/Table48911128[[#This Row],[Invoice Value]],)</f>
        <v>0</v>
      </c>
      <c r="V174" s="676"/>
      <c r="W174" s="676"/>
      <c r="X174" s="676" t="str">
        <f t="shared" si="21"/>
        <v xml:space="preserve"> - </v>
      </c>
      <c r="Y174" s="676" t="str">
        <f t="shared" si="22"/>
        <v xml:space="preserve"> - </v>
      </c>
      <c r="Z174" s="685"/>
      <c r="AA174" s="423" t="str">
        <f t="shared" ca="1" si="23"/>
        <v>-</v>
      </c>
      <c r="AB174" s="423"/>
      <c r="AC174" s="423"/>
      <c r="AD174" s="550"/>
      <c r="AE174" s="550"/>
      <c r="AF174" s="423"/>
      <c r="AG174" s="423"/>
      <c r="AH174" s="423"/>
      <c r="AI174" s="677" t="s">
        <v>67</v>
      </c>
      <c r="AJ174" s="547" t="s">
        <v>67</v>
      </c>
      <c r="AK174" s="547" t="s">
        <v>67</v>
      </c>
      <c r="AL174" s="682"/>
      <c r="AM174" s="547"/>
      <c r="AN174" s="547"/>
      <c r="AO174" s="679"/>
      <c r="AP174" s="406"/>
      <c r="AQ174" s="406"/>
    </row>
    <row r="175" spans="1:43" ht="13.9">
      <c r="A175" s="423"/>
      <c r="B175" s="423"/>
      <c r="C175" s="548"/>
      <c r="E175" s="680"/>
      <c r="F175" s="423"/>
      <c r="G175" s="423"/>
      <c r="H175" s="423"/>
      <c r="I175" s="423" t="s">
        <v>3536</v>
      </c>
      <c r="J175" s="423"/>
      <c r="K175" s="681"/>
      <c r="L175" s="670"/>
      <c r="M175" s="423"/>
      <c r="N175" s="423"/>
      <c r="O175" s="423"/>
      <c r="P175" s="685"/>
      <c r="Q175" s="685"/>
      <c r="R175" s="685"/>
      <c r="S175" s="674"/>
      <c r="T175" s="674"/>
      <c r="U175" s="675">
        <f>IFERROR((Table48911128[[#This Row],[Invoice Value]]-Table48911128[[#This Row],[Total cost]])/Table48911128[[#This Row],[Invoice Value]],)</f>
        <v>0</v>
      </c>
      <c r="V175" s="676"/>
      <c r="W175" s="676"/>
      <c r="X175" s="676" t="str">
        <f t="shared" si="21"/>
        <v xml:space="preserve"> - </v>
      </c>
      <c r="Y175" s="676" t="str">
        <f t="shared" si="22"/>
        <v xml:space="preserve"> - </v>
      </c>
      <c r="Z175" s="685"/>
      <c r="AA175" s="423" t="str">
        <f t="shared" ca="1" si="23"/>
        <v>-</v>
      </c>
      <c r="AB175" s="423"/>
      <c r="AC175" s="423"/>
      <c r="AD175" s="550"/>
      <c r="AE175" s="550"/>
      <c r="AF175" s="423"/>
      <c r="AG175" s="423"/>
      <c r="AH175" s="423"/>
      <c r="AI175" s="677"/>
      <c r="AJ175" s="547"/>
      <c r="AK175" s="547"/>
      <c r="AL175" s="682"/>
      <c r="AM175" s="547"/>
      <c r="AN175" s="547"/>
      <c r="AO175" s="679"/>
      <c r="AP175" s="406"/>
      <c r="AQ175" s="406"/>
    </row>
    <row r="176" spans="1:43" ht="13.9">
      <c r="A176" s="423"/>
      <c r="B176" s="423"/>
      <c r="C176" s="548"/>
      <c r="E176" s="680"/>
      <c r="F176" s="423"/>
      <c r="G176" s="423"/>
      <c r="H176" s="423"/>
      <c r="I176" s="423" t="s">
        <v>3536</v>
      </c>
      <c r="J176" s="423"/>
      <c r="K176" s="681"/>
      <c r="L176" s="670"/>
      <c r="M176" s="423"/>
      <c r="N176" s="423"/>
      <c r="O176" s="423"/>
      <c r="P176" s="685"/>
      <c r="Q176" s="685"/>
      <c r="R176" s="423"/>
      <c r="S176" s="674"/>
      <c r="T176" s="674"/>
      <c r="U176" s="675">
        <f>IFERROR((Table48911128[[#This Row],[Invoice Value]]-Table48911128[[#This Row],[Total cost]])/Table48911128[[#This Row],[Invoice Value]],)</f>
        <v>0</v>
      </c>
      <c r="V176" s="676"/>
      <c r="W176" s="676"/>
      <c r="X176" s="676" t="str">
        <f t="shared" si="21"/>
        <v xml:space="preserve"> - </v>
      </c>
      <c r="Y176" s="676" t="str">
        <f t="shared" si="22"/>
        <v xml:space="preserve"> - </v>
      </c>
      <c r="Z176" s="685"/>
      <c r="AA176" s="423" t="str">
        <f t="shared" ca="1" si="23"/>
        <v>-</v>
      </c>
      <c r="AB176" s="423"/>
      <c r="AC176" s="423"/>
      <c r="AD176" s="550"/>
      <c r="AE176" s="550"/>
      <c r="AF176" s="423"/>
      <c r="AG176" s="423"/>
      <c r="AH176" s="423"/>
      <c r="AI176" s="677" t="s">
        <v>100</v>
      </c>
      <c r="AJ176" s="547" t="s">
        <v>144</v>
      </c>
      <c r="AK176" s="547" t="s">
        <v>144</v>
      </c>
      <c r="AL176" s="682"/>
      <c r="AM176" s="547"/>
      <c r="AN176" s="547"/>
      <c r="AO176" s="679"/>
      <c r="AP176" s="406"/>
      <c r="AQ176" s="406"/>
    </row>
    <row r="177" spans="1:43" ht="13.9">
      <c r="A177" s="423"/>
      <c r="B177" s="423"/>
      <c r="C177" s="548"/>
      <c r="E177" s="680"/>
      <c r="F177" s="423"/>
      <c r="G177" s="423"/>
      <c r="H177" s="423"/>
      <c r="I177" s="423" t="s">
        <v>3536</v>
      </c>
      <c r="J177" s="423"/>
      <c r="K177" s="681"/>
      <c r="L177" s="670"/>
      <c r="M177" s="423"/>
      <c r="N177" s="423"/>
      <c r="O177" s="423"/>
      <c r="P177" s="685"/>
      <c r="Q177" s="685"/>
      <c r="R177" s="685"/>
      <c r="S177" s="674"/>
      <c r="T177" s="674"/>
      <c r="U177" s="675">
        <f>IFERROR((Table48911128[[#This Row],[Invoice Value]]-Table48911128[[#This Row],[Total cost]])/Table48911128[[#This Row],[Invoice Value]],)</f>
        <v>0</v>
      </c>
      <c r="V177" s="676"/>
      <c r="W177" s="676"/>
      <c r="X177" s="676" t="str">
        <f t="shared" si="21"/>
        <v xml:space="preserve"> - </v>
      </c>
      <c r="Y177" s="676" t="str">
        <f t="shared" si="22"/>
        <v xml:space="preserve"> - </v>
      </c>
      <c r="Z177" s="685"/>
      <c r="AA177" s="423" t="str">
        <f t="shared" ca="1" si="23"/>
        <v>-</v>
      </c>
      <c r="AB177" s="423"/>
      <c r="AC177" s="423"/>
      <c r="AD177" s="550"/>
      <c r="AE177" s="550"/>
      <c r="AF177" s="423"/>
      <c r="AG177" s="423"/>
      <c r="AH177" s="423"/>
      <c r="AI177" s="677"/>
      <c r="AJ177" s="547"/>
      <c r="AK177" s="547"/>
      <c r="AL177" s="682"/>
      <c r="AM177" s="547"/>
      <c r="AN177" s="547"/>
      <c r="AO177" s="679"/>
      <c r="AP177" s="406"/>
      <c r="AQ177" s="406"/>
    </row>
    <row r="178" spans="1:43" ht="13.9">
      <c r="A178" s="423"/>
      <c r="B178" s="423"/>
      <c r="C178" s="548"/>
      <c r="E178" s="680"/>
      <c r="F178" s="423"/>
      <c r="G178" s="423"/>
      <c r="H178" s="423"/>
      <c r="I178" s="423" t="s">
        <v>3536</v>
      </c>
      <c r="J178" s="423"/>
      <c r="K178" s="681"/>
      <c r="L178" s="670"/>
      <c r="M178" s="423"/>
      <c r="N178" s="423"/>
      <c r="O178" s="423"/>
      <c r="P178" s="685"/>
      <c r="Q178" s="685"/>
      <c r="R178" s="423"/>
      <c r="S178" s="674"/>
      <c r="T178" s="674"/>
      <c r="U178" s="675">
        <f>IFERROR((Table48911128[[#This Row],[Invoice Value]]-Table48911128[[#This Row],[Total cost]])/Table48911128[[#This Row],[Invoice Value]],)</f>
        <v>0</v>
      </c>
      <c r="V178" s="676"/>
      <c r="W178" s="676"/>
      <c r="X178" s="676" t="str">
        <f t="shared" si="21"/>
        <v xml:space="preserve"> - </v>
      </c>
      <c r="Y178" s="676" t="str">
        <f t="shared" si="22"/>
        <v xml:space="preserve"> - </v>
      </c>
      <c r="Z178" s="685"/>
      <c r="AA178" s="423" t="str">
        <f t="shared" ca="1" si="23"/>
        <v>-</v>
      </c>
      <c r="AB178" s="423"/>
      <c r="AC178" s="423"/>
      <c r="AD178" s="550"/>
      <c r="AE178" s="550"/>
      <c r="AF178" s="423"/>
      <c r="AG178" s="423"/>
      <c r="AH178" s="423"/>
      <c r="AI178" s="677" t="s">
        <v>100</v>
      </c>
      <c r="AJ178" s="547" t="s">
        <v>100</v>
      </c>
      <c r="AK178" s="547" t="s">
        <v>100</v>
      </c>
      <c r="AL178" s="682"/>
      <c r="AM178" s="547"/>
      <c r="AN178" s="547"/>
      <c r="AO178" s="679"/>
      <c r="AP178" s="406"/>
      <c r="AQ178" s="406"/>
    </row>
    <row r="179" spans="1:43" ht="13.9">
      <c r="A179" s="423"/>
      <c r="B179" s="423"/>
      <c r="C179" s="548"/>
      <c r="E179" s="680"/>
      <c r="F179" s="423"/>
      <c r="G179" s="423"/>
      <c r="H179" s="423"/>
      <c r="I179" s="423" t="s">
        <v>3536</v>
      </c>
      <c r="J179" s="423"/>
      <c r="K179" s="681"/>
      <c r="L179" s="670"/>
      <c r="M179" s="423"/>
      <c r="N179" s="423"/>
      <c r="O179" s="423"/>
      <c r="P179" s="685"/>
      <c r="Q179" s="685"/>
      <c r="R179" s="423"/>
      <c r="S179" s="674"/>
      <c r="T179" s="674"/>
      <c r="U179" s="675">
        <f>IFERROR((Table48911128[[#This Row],[Invoice Value]]-Table48911128[[#This Row],[Total cost]])/Table48911128[[#This Row],[Invoice Value]],)</f>
        <v>0</v>
      </c>
      <c r="V179" s="676"/>
      <c r="W179" s="676"/>
      <c r="X179" s="676" t="str">
        <f t="shared" ref="X179:X221" si="24">IF(Q179&gt;0,Q179+3," - ")</f>
        <v xml:space="preserve"> - </v>
      </c>
      <c r="Y179" s="676" t="str">
        <f t="shared" ref="Y179:Y221" si="25">IF(Q179&gt;0,Q179+14," - ")</f>
        <v xml:space="preserve"> - </v>
      </c>
      <c r="Z179" s="685"/>
      <c r="AA179" s="423" t="str">
        <f t="shared" ref="AA179:AA221" ca="1" si="26">IF(P179=0,"-",IF(Z179&gt;0,"Delivered",IF(TODAY()&gt;Y179,"Overdue",IF(TODAY()&lt;Y179,"In Progress"))))</f>
        <v>-</v>
      </c>
      <c r="AB179" s="423"/>
      <c r="AC179" s="423"/>
      <c r="AD179" s="550"/>
      <c r="AE179" s="550"/>
      <c r="AF179" s="423"/>
      <c r="AG179" s="423"/>
      <c r="AH179" s="423"/>
      <c r="AI179" s="677" t="s">
        <v>100</v>
      </c>
      <c r="AJ179" s="547" t="s">
        <v>100</v>
      </c>
      <c r="AK179" s="547" t="s">
        <v>100</v>
      </c>
      <c r="AL179" s="682"/>
      <c r="AM179" s="547"/>
      <c r="AN179" s="547"/>
      <c r="AO179" s="679"/>
      <c r="AP179" s="406"/>
      <c r="AQ179" s="406"/>
    </row>
    <row r="180" spans="1:43" ht="13.9">
      <c r="A180" s="423"/>
      <c r="B180" s="423"/>
      <c r="C180" s="548"/>
      <c r="E180" s="680"/>
      <c r="F180" s="423"/>
      <c r="G180" s="423"/>
      <c r="H180" s="423"/>
      <c r="I180" s="423" t="s">
        <v>3536</v>
      </c>
      <c r="J180" s="423"/>
      <c r="K180" s="681"/>
      <c r="L180" s="670"/>
      <c r="M180" s="423"/>
      <c r="N180" s="423"/>
      <c r="O180" s="423"/>
      <c r="P180" s="685"/>
      <c r="Q180" s="685"/>
      <c r="R180" s="423"/>
      <c r="S180" s="674"/>
      <c r="T180" s="674"/>
      <c r="U180" s="675">
        <f>IFERROR((Table48911128[[#This Row],[Invoice Value]]-Table48911128[[#This Row],[Total cost]])/Table48911128[[#This Row],[Invoice Value]],)</f>
        <v>0</v>
      </c>
      <c r="V180" s="676"/>
      <c r="W180" s="676"/>
      <c r="X180" s="676" t="str">
        <f t="shared" si="24"/>
        <v xml:space="preserve"> - </v>
      </c>
      <c r="Y180" s="676" t="str">
        <f t="shared" si="25"/>
        <v xml:space="preserve"> - </v>
      </c>
      <c r="Z180" s="676"/>
      <c r="AA180" s="423" t="str">
        <f t="shared" ca="1" si="26"/>
        <v>-</v>
      </c>
      <c r="AB180" s="423"/>
      <c r="AC180" s="423"/>
      <c r="AD180" s="550"/>
      <c r="AE180" s="550"/>
      <c r="AF180" s="423"/>
      <c r="AG180" s="423"/>
      <c r="AH180" s="423"/>
      <c r="AI180" s="687" t="s">
        <v>100</v>
      </c>
      <c r="AJ180" s="547" t="s">
        <v>100</v>
      </c>
      <c r="AK180" s="334" t="s">
        <v>67</v>
      </c>
      <c r="AL180" s="343"/>
      <c r="AM180" s="334"/>
      <c r="AN180" s="334"/>
      <c r="AO180" s="679"/>
      <c r="AP180" s="406"/>
      <c r="AQ180" s="406"/>
    </row>
    <row r="181" spans="1:43" ht="13.9">
      <c r="A181" s="423"/>
      <c r="B181" s="423"/>
      <c r="C181" s="548"/>
      <c r="E181" s="680"/>
      <c r="F181" s="423"/>
      <c r="G181" s="423"/>
      <c r="H181" s="423"/>
      <c r="I181" s="423" t="s">
        <v>3536</v>
      </c>
      <c r="J181" s="423"/>
      <c r="K181" s="681"/>
      <c r="L181" s="670"/>
      <c r="M181" s="423"/>
      <c r="N181" s="423"/>
      <c r="O181" s="423"/>
      <c r="P181" s="685"/>
      <c r="Q181" s="685"/>
      <c r="R181" s="423"/>
      <c r="S181" s="674"/>
      <c r="T181" s="674"/>
      <c r="U181" s="675">
        <f>IFERROR((Table48911128[[#This Row],[Invoice Value]]-Table48911128[[#This Row],[Total cost]])/Table48911128[[#This Row],[Invoice Value]],)</f>
        <v>0</v>
      </c>
      <c r="V181" s="676"/>
      <c r="W181" s="676"/>
      <c r="X181" s="676" t="str">
        <f t="shared" si="24"/>
        <v xml:space="preserve"> - </v>
      </c>
      <c r="Y181" s="676" t="str">
        <f t="shared" si="25"/>
        <v xml:space="preserve"> - </v>
      </c>
      <c r="Z181" s="423"/>
      <c r="AA181" s="423" t="str">
        <f t="shared" ca="1" si="26"/>
        <v>-</v>
      </c>
      <c r="AB181" s="423"/>
      <c r="AC181" s="423"/>
      <c r="AD181" s="550"/>
      <c r="AE181" s="550"/>
      <c r="AF181" s="423"/>
      <c r="AG181" s="423"/>
      <c r="AH181" s="423"/>
      <c r="AI181" s="687" t="s">
        <v>67</v>
      </c>
      <c r="AJ181" s="547" t="s">
        <v>67</v>
      </c>
      <c r="AK181" s="334" t="s">
        <v>67</v>
      </c>
      <c r="AL181" s="343"/>
      <c r="AM181" s="334"/>
      <c r="AN181" s="334"/>
      <c r="AO181" s="679"/>
      <c r="AP181" s="406"/>
      <c r="AQ181" s="406"/>
    </row>
    <row r="182" spans="1:43" ht="13.9">
      <c r="A182" s="423"/>
      <c r="B182" s="423"/>
      <c r="C182" s="548"/>
      <c r="E182" s="680"/>
      <c r="F182" s="423"/>
      <c r="G182" s="423"/>
      <c r="H182" s="423"/>
      <c r="I182" s="423" t="s">
        <v>3536</v>
      </c>
      <c r="J182" s="423"/>
      <c r="K182" s="681"/>
      <c r="L182" s="670"/>
      <c r="M182" s="423"/>
      <c r="N182" s="423"/>
      <c r="O182" s="423"/>
      <c r="P182" s="685"/>
      <c r="Q182" s="685"/>
      <c r="R182" s="423"/>
      <c r="S182" s="674"/>
      <c r="T182" s="674"/>
      <c r="U182" s="675">
        <f>IFERROR((Table48911128[[#This Row],[Invoice Value]]-Table48911128[[#This Row],[Total cost]])/Table48911128[[#This Row],[Invoice Value]],)</f>
        <v>0</v>
      </c>
      <c r="V182" s="676"/>
      <c r="W182" s="676"/>
      <c r="X182" s="676" t="str">
        <f t="shared" si="24"/>
        <v xml:space="preserve"> - </v>
      </c>
      <c r="Y182" s="676" t="str">
        <f t="shared" si="25"/>
        <v xml:space="preserve"> - </v>
      </c>
      <c r="Z182" s="685"/>
      <c r="AA182" s="423" t="str">
        <f t="shared" ca="1" si="26"/>
        <v>-</v>
      </c>
      <c r="AB182" s="423"/>
      <c r="AC182" s="423"/>
      <c r="AD182" s="550"/>
      <c r="AE182" s="550"/>
      <c r="AF182" s="423"/>
      <c r="AG182" s="423"/>
      <c r="AH182" s="423"/>
      <c r="AI182" s="677" t="s">
        <v>144</v>
      </c>
      <c r="AJ182" s="547" t="s">
        <v>100</v>
      </c>
      <c r="AK182" s="547" t="s">
        <v>67</v>
      </c>
      <c r="AL182" s="682"/>
      <c r="AM182" s="547"/>
      <c r="AN182" s="547"/>
      <c r="AO182" s="679"/>
      <c r="AP182" s="406"/>
      <c r="AQ182" s="406"/>
    </row>
    <row r="183" spans="1:43" ht="13.9">
      <c r="A183" s="423"/>
      <c r="B183" s="423"/>
      <c r="C183" s="548"/>
      <c r="E183" s="680"/>
      <c r="F183" s="423"/>
      <c r="G183" s="423"/>
      <c r="H183" s="423"/>
      <c r="I183" s="423" t="s">
        <v>3536</v>
      </c>
      <c r="J183" s="423"/>
      <c r="K183" s="681"/>
      <c r="L183" s="670"/>
      <c r="M183" s="423"/>
      <c r="N183" s="423"/>
      <c r="O183" s="423"/>
      <c r="P183" s="685"/>
      <c r="Q183" s="685"/>
      <c r="R183" s="423"/>
      <c r="S183" s="674"/>
      <c r="T183" s="674"/>
      <c r="U183" s="675">
        <f>IFERROR((Table48911128[[#This Row],[Invoice Value]]-Table48911128[[#This Row],[Total cost]])/Table48911128[[#This Row],[Invoice Value]],)</f>
        <v>0</v>
      </c>
      <c r="V183" s="676"/>
      <c r="W183" s="676"/>
      <c r="X183" s="676" t="str">
        <f t="shared" si="24"/>
        <v xml:space="preserve"> - </v>
      </c>
      <c r="Y183" s="676" t="str">
        <f t="shared" si="25"/>
        <v xml:space="preserve"> - </v>
      </c>
      <c r="Z183" s="685"/>
      <c r="AA183" s="423" t="str">
        <f t="shared" ca="1" si="26"/>
        <v>-</v>
      </c>
      <c r="AB183" s="423"/>
      <c r="AC183" s="423"/>
      <c r="AD183" s="550"/>
      <c r="AE183" s="550"/>
      <c r="AF183" s="423"/>
      <c r="AG183" s="423"/>
      <c r="AH183" s="423"/>
      <c r="AI183" s="677" t="s">
        <v>67</v>
      </c>
      <c r="AJ183" s="547" t="s">
        <v>67</v>
      </c>
      <c r="AK183" s="547" t="s">
        <v>67</v>
      </c>
      <c r="AL183" s="682"/>
      <c r="AM183" s="547"/>
      <c r="AN183" s="547"/>
      <c r="AO183" s="679"/>
      <c r="AP183" s="406"/>
      <c r="AQ183" s="406"/>
    </row>
    <row r="184" spans="1:43" ht="13.9">
      <c r="A184" s="423"/>
      <c r="B184" s="423"/>
      <c r="C184" s="548"/>
      <c r="E184" s="680"/>
      <c r="F184" s="423"/>
      <c r="G184" s="423"/>
      <c r="H184" s="423"/>
      <c r="I184" s="423" t="s">
        <v>3536</v>
      </c>
      <c r="J184" s="423"/>
      <c r="K184" s="681"/>
      <c r="L184" s="670"/>
      <c r="M184" s="423"/>
      <c r="N184" s="423"/>
      <c r="O184" s="423"/>
      <c r="P184" s="685"/>
      <c r="Q184" s="685"/>
      <c r="R184" s="423"/>
      <c r="S184" s="674"/>
      <c r="T184" s="674"/>
      <c r="U184" s="675">
        <f>IFERROR((Table48911128[[#This Row],[Invoice Value]]-Table48911128[[#This Row],[Total cost]])/Table48911128[[#This Row],[Invoice Value]],)</f>
        <v>0</v>
      </c>
      <c r="V184" s="676"/>
      <c r="W184" s="676"/>
      <c r="X184" s="676" t="str">
        <f t="shared" si="24"/>
        <v xml:space="preserve"> - </v>
      </c>
      <c r="Y184" s="676" t="str">
        <f t="shared" si="25"/>
        <v xml:space="preserve"> - </v>
      </c>
      <c r="Z184" s="685"/>
      <c r="AA184" s="423" t="str">
        <f t="shared" ca="1" si="26"/>
        <v>-</v>
      </c>
      <c r="AB184" s="423"/>
      <c r="AC184" s="423"/>
      <c r="AD184" s="550"/>
      <c r="AE184" s="550"/>
      <c r="AF184" s="423"/>
      <c r="AG184" s="423"/>
      <c r="AH184" s="423"/>
      <c r="AI184" s="677" t="s">
        <v>144</v>
      </c>
      <c r="AJ184" s="547" t="s">
        <v>100</v>
      </c>
      <c r="AK184" s="547" t="s">
        <v>100</v>
      </c>
      <c r="AL184" s="682"/>
      <c r="AM184" s="547"/>
      <c r="AN184" s="547"/>
      <c r="AO184" s="679"/>
      <c r="AP184" s="406"/>
      <c r="AQ184" s="406"/>
    </row>
    <row r="185" spans="1:43" ht="13.9">
      <c r="A185" s="423"/>
      <c r="B185" s="423"/>
      <c r="C185" s="548"/>
      <c r="E185" s="680"/>
      <c r="F185" s="423"/>
      <c r="G185" s="423"/>
      <c r="H185" s="423"/>
      <c r="I185" s="423" t="s">
        <v>3536</v>
      </c>
      <c r="J185" s="423"/>
      <c r="K185" s="681"/>
      <c r="L185" s="670"/>
      <c r="M185" s="423"/>
      <c r="N185" s="423"/>
      <c r="O185" s="423"/>
      <c r="P185" s="685"/>
      <c r="Q185" s="685"/>
      <c r="R185" s="423"/>
      <c r="S185" s="674"/>
      <c r="T185" s="674"/>
      <c r="U185" s="675">
        <f>IFERROR((Table48911128[[#This Row],[Invoice Value]]-Table48911128[[#This Row],[Total cost]])/Table48911128[[#This Row],[Invoice Value]],)</f>
        <v>0</v>
      </c>
      <c r="V185" s="676"/>
      <c r="W185" s="676"/>
      <c r="X185" s="676" t="str">
        <f t="shared" si="24"/>
        <v xml:space="preserve"> - </v>
      </c>
      <c r="Y185" s="676" t="str">
        <f t="shared" si="25"/>
        <v xml:space="preserve"> - </v>
      </c>
      <c r="Z185" s="685"/>
      <c r="AA185" s="423" t="str">
        <f t="shared" ca="1" si="26"/>
        <v>-</v>
      </c>
      <c r="AB185" s="423"/>
      <c r="AC185" s="423"/>
      <c r="AD185" s="550"/>
      <c r="AE185" s="550"/>
      <c r="AF185" s="423"/>
      <c r="AG185" s="423"/>
      <c r="AH185" s="423"/>
      <c r="AI185" s="677" t="s">
        <v>100</v>
      </c>
      <c r="AJ185" s="547" t="s">
        <v>67</v>
      </c>
      <c r="AK185" s="547" t="s">
        <v>67</v>
      </c>
      <c r="AL185" s="682"/>
      <c r="AM185" s="547"/>
      <c r="AN185" s="547"/>
      <c r="AO185" s="679"/>
      <c r="AP185" s="406"/>
      <c r="AQ185" s="406"/>
    </row>
    <row r="186" spans="1:43" ht="13.9">
      <c r="A186" s="423"/>
      <c r="B186" s="423"/>
      <c r="C186" s="548"/>
      <c r="E186" s="680"/>
      <c r="F186" s="423"/>
      <c r="G186" s="423"/>
      <c r="H186" s="423"/>
      <c r="I186" s="423" t="s">
        <v>3536</v>
      </c>
      <c r="J186" s="423"/>
      <c r="K186" s="681"/>
      <c r="L186" s="670"/>
      <c r="M186" s="423"/>
      <c r="N186" s="423"/>
      <c r="O186" s="423"/>
      <c r="P186" s="685"/>
      <c r="Q186" s="685"/>
      <c r="R186" s="423"/>
      <c r="S186" s="674"/>
      <c r="T186" s="674"/>
      <c r="U186" s="675">
        <f>IFERROR((Table48911128[[#This Row],[Invoice Value]]-Table48911128[[#This Row],[Total cost]])/Table48911128[[#This Row],[Invoice Value]],)</f>
        <v>0</v>
      </c>
      <c r="V186" s="676"/>
      <c r="W186" s="676"/>
      <c r="X186" s="676" t="str">
        <f t="shared" si="24"/>
        <v xml:space="preserve"> - </v>
      </c>
      <c r="Y186" s="676" t="str">
        <f t="shared" si="25"/>
        <v xml:space="preserve"> - </v>
      </c>
      <c r="Z186" s="685"/>
      <c r="AA186" s="423" t="str">
        <f t="shared" ca="1" si="26"/>
        <v>-</v>
      </c>
      <c r="AB186" s="423"/>
      <c r="AC186" s="423"/>
      <c r="AD186" s="550"/>
      <c r="AE186" s="550"/>
      <c r="AF186" s="423"/>
      <c r="AG186" s="423"/>
      <c r="AH186" s="423"/>
      <c r="AI186" s="677" t="s">
        <v>144</v>
      </c>
      <c r="AJ186" s="547" t="s">
        <v>100</v>
      </c>
      <c r="AK186" s="547" t="s">
        <v>67</v>
      </c>
      <c r="AL186" s="682"/>
      <c r="AM186" s="547"/>
      <c r="AN186" s="547"/>
      <c r="AO186" s="679"/>
      <c r="AP186" s="406"/>
      <c r="AQ186" s="406"/>
    </row>
    <row r="187" spans="1:43" ht="13.9">
      <c r="A187" s="423"/>
      <c r="B187" s="423"/>
      <c r="C187" s="548"/>
      <c r="E187" s="680"/>
      <c r="F187" s="423"/>
      <c r="G187" s="423"/>
      <c r="H187" s="423"/>
      <c r="I187" s="423" t="s">
        <v>3536</v>
      </c>
      <c r="J187" s="423"/>
      <c r="K187" s="681"/>
      <c r="L187" s="670"/>
      <c r="M187" s="423"/>
      <c r="N187" s="423"/>
      <c r="O187" s="423"/>
      <c r="P187" s="685"/>
      <c r="Q187" s="685"/>
      <c r="R187" s="423"/>
      <c r="S187" s="674"/>
      <c r="T187" s="674"/>
      <c r="U187" s="675">
        <f>IFERROR((Table48911128[[#This Row],[Invoice Value]]-Table48911128[[#This Row],[Total cost]])/Table48911128[[#This Row],[Invoice Value]],)</f>
        <v>0</v>
      </c>
      <c r="V187" s="676"/>
      <c r="W187" s="676"/>
      <c r="X187" s="676" t="str">
        <f t="shared" si="24"/>
        <v xml:space="preserve"> - </v>
      </c>
      <c r="Y187" s="676" t="str">
        <f t="shared" si="25"/>
        <v xml:space="preserve"> - </v>
      </c>
      <c r="Z187" s="685"/>
      <c r="AA187" s="423" t="str">
        <f t="shared" ca="1" si="26"/>
        <v>-</v>
      </c>
      <c r="AB187" s="423"/>
      <c r="AC187" s="423"/>
      <c r="AD187" s="550"/>
      <c r="AE187" s="550"/>
      <c r="AF187" s="423"/>
      <c r="AG187" s="423"/>
      <c r="AH187" s="423"/>
      <c r="AI187" s="677" t="s">
        <v>100</v>
      </c>
      <c r="AJ187" s="547" t="s">
        <v>100</v>
      </c>
      <c r="AK187" s="547" t="s">
        <v>67</v>
      </c>
      <c r="AL187" s="682"/>
      <c r="AM187" s="547"/>
      <c r="AN187" s="547"/>
      <c r="AO187" s="679"/>
      <c r="AP187" s="406"/>
      <c r="AQ187" s="406"/>
    </row>
    <row r="188" spans="1:43" ht="13.9">
      <c r="A188" s="423"/>
      <c r="B188" s="423"/>
      <c r="C188" s="548"/>
      <c r="E188" s="680"/>
      <c r="F188" s="423"/>
      <c r="G188" s="423"/>
      <c r="H188" s="423"/>
      <c r="I188" s="423" t="s">
        <v>3536</v>
      </c>
      <c r="J188" s="423"/>
      <c r="K188" s="681"/>
      <c r="L188" s="670"/>
      <c r="M188" s="423"/>
      <c r="N188" s="423"/>
      <c r="O188" s="423"/>
      <c r="P188" s="685"/>
      <c r="Q188" s="685"/>
      <c r="R188" s="685"/>
      <c r="S188" s="674"/>
      <c r="T188" s="674"/>
      <c r="U188" s="675">
        <f>IFERROR((Table48911128[[#This Row],[Invoice Value]]-Table48911128[[#This Row],[Total cost]])/Table48911128[[#This Row],[Invoice Value]],)</f>
        <v>0</v>
      </c>
      <c r="V188" s="676"/>
      <c r="W188" s="676"/>
      <c r="X188" s="676" t="str">
        <f t="shared" si="24"/>
        <v xml:space="preserve"> - </v>
      </c>
      <c r="Y188" s="676" t="str">
        <f t="shared" si="25"/>
        <v xml:space="preserve"> - </v>
      </c>
      <c r="Z188" s="685"/>
      <c r="AA188" s="423" t="str">
        <f t="shared" ca="1" si="26"/>
        <v>-</v>
      </c>
      <c r="AB188" s="423"/>
      <c r="AC188" s="423"/>
      <c r="AD188" s="550"/>
      <c r="AE188" s="550"/>
      <c r="AF188" s="423"/>
      <c r="AG188" s="423"/>
      <c r="AH188" s="423"/>
      <c r="AI188" s="677"/>
      <c r="AJ188" s="547"/>
      <c r="AK188" s="547"/>
      <c r="AL188" s="682"/>
      <c r="AM188" s="547"/>
      <c r="AN188" s="547"/>
      <c r="AO188" s="679"/>
      <c r="AP188" s="406"/>
      <c r="AQ188" s="406"/>
    </row>
    <row r="189" spans="1:43" ht="13.9">
      <c r="A189" s="423"/>
      <c r="B189" s="423"/>
      <c r="C189" s="548"/>
      <c r="E189" s="680"/>
      <c r="F189" s="423"/>
      <c r="G189" s="423"/>
      <c r="H189" s="423"/>
      <c r="I189" s="423" t="s">
        <v>3536</v>
      </c>
      <c r="J189" s="423"/>
      <c r="K189" s="681"/>
      <c r="L189" s="670"/>
      <c r="M189" s="423"/>
      <c r="N189" s="423"/>
      <c r="O189" s="423"/>
      <c r="P189" s="685"/>
      <c r="Q189" s="685"/>
      <c r="R189" s="423"/>
      <c r="S189" s="674"/>
      <c r="T189" s="674"/>
      <c r="U189" s="675">
        <f>IFERROR((Table48911128[[#This Row],[Invoice Value]]-Table48911128[[#This Row],[Total cost]])/Table48911128[[#This Row],[Invoice Value]],)</f>
        <v>0</v>
      </c>
      <c r="V189" s="676"/>
      <c r="W189" s="676"/>
      <c r="X189" s="676" t="str">
        <f t="shared" si="24"/>
        <v xml:space="preserve"> - </v>
      </c>
      <c r="Y189" s="676" t="str">
        <f t="shared" si="25"/>
        <v xml:space="preserve"> - </v>
      </c>
      <c r="Z189" s="685"/>
      <c r="AA189" s="423" t="str">
        <f t="shared" ca="1" si="26"/>
        <v>-</v>
      </c>
      <c r="AB189" s="423"/>
      <c r="AC189" s="423"/>
      <c r="AD189" s="550"/>
      <c r="AE189" s="550"/>
      <c r="AF189" s="423"/>
      <c r="AG189" s="423"/>
      <c r="AH189" s="423"/>
      <c r="AI189" s="677" t="s">
        <v>100</v>
      </c>
      <c r="AJ189" s="547" t="s">
        <v>100</v>
      </c>
      <c r="AK189" s="547" t="s">
        <v>100</v>
      </c>
      <c r="AL189" s="682"/>
      <c r="AM189" s="547"/>
      <c r="AN189" s="547"/>
      <c r="AO189" s="679"/>
      <c r="AP189" s="406"/>
      <c r="AQ189" s="406"/>
    </row>
    <row r="190" spans="1:43" ht="13.9">
      <c r="A190" s="423"/>
      <c r="B190" s="423"/>
      <c r="C190" s="548"/>
      <c r="E190" s="680"/>
      <c r="F190" s="423"/>
      <c r="G190" s="423"/>
      <c r="H190" s="423"/>
      <c r="I190" s="423" t="s">
        <v>3536</v>
      </c>
      <c r="J190" s="423"/>
      <c r="K190" s="681"/>
      <c r="L190" s="670"/>
      <c r="M190" s="423"/>
      <c r="N190" s="423"/>
      <c r="O190" s="423"/>
      <c r="P190" s="685"/>
      <c r="Q190" s="685"/>
      <c r="R190" s="423"/>
      <c r="S190" s="674"/>
      <c r="T190" s="674"/>
      <c r="U190" s="675">
        <f>IFERROR((Table48911128[[#This Row],[Invoice Value]]-Table48911128[[#This Row],[Total cost]])/Table48911128[[#This Row],[Invoice Value]],)</f>
        <v>0</v>
      </c>
      <c r="V190" s="676"/>
      <c r="W190" s="676"/>
      <c r="X190" s="676" t="str">
        <f t="shared" si="24"/>
        <v xml:space="preserve"> - </v>
      </c>
      <c r="Y190" s="676" t="str">
        <f t="shared" si="25"/>
        <v xml:space="preserve"> - </v>
      </c>
      <c r="Z190" s="685"/>
      <c r="AA190" s="423" t="str">
        <f t="shared" ca="1" si="26"/>
        <v>-</v>
      </c>
      <c r="AB190" s="423"/>
      <c r="AC190" s="423"/>
      <c r="AD190" s="550"/>
      <c r="AE190" s="550"/>
      <c r="AF190" s="423"/>
      <c r="AG190" s="423"/>
      <c r="AH190" s="423"/>
      <c r="AI190" s="677" t="s">
        <v>100</v>
      </c>
      <c r="AJ190" s="547" t="s">
        <v>100</v>
      </c>
      <c r="AK190" s="547" t="s">
        <v>67</v>
      </c>
      <c r="AL190" s="682"/>
      <c r="AM190" s="547"/>
      <c r="AN190" s="547"/>
      <c r="AO190" s="679"/>
      <c r="AP190" s="406"/>
      <c r="AQ190" s="406"/>
    </row>
    <row r="191" spans="1:43" ht="13.9">
      <c r="A191" s="423"/>
      <c r="B191" s="423"/>
      <c r="C191" s="548"/>
      <c r="E191" s="680"/>
      <c r="F191" s="423"/>
      <c r="G191" s="423"/>
      <c r="H191" s="423"/>
      <c r="I191" s="423" t="s">
        <v>3536</v>
      </c>
      <c r="J191" s="423"/>
      <c r="K191" s="681"/>
      <c r="L191" s="670"/>
      <c r="M191" s="423"/>
      <c r="N191" s="423"/>
      <c r="O191" s="423"/>
      <c r="P191" s="685"/>
      <c r="Q191" s="685"/>
      <c r="R191" s="423"/>
      <c r="S191" s="674"/>
      <c r="T191" s="674"/>
      <c r="U191" s="675">
        <f>IFERROR((Table48911128[[#This Row],[Invoice Value]]-Table48911128[[#This Row],[Total cost]])/Table48911128[[#This Row],[Invoice Value]],)</f>
        <v>0</v>
      </c>
      <c r="V191" s="676"/>
      <c r="W191" s="676"/>
      <c r="X191" s="676" t="str">
        <f t="shared" si="24"/>
        <v xml:space="preserve"> - </v>
      </c>
      <c r="Y191" s="676" t="str">
        <f t="shared" si="25"/>
        <v xml:space="preserve"> - </v>
      </c>
      <c r="Z191" s="685"/>
      <c r="AA191" s="423" t="str">
        <f t="shared" ca="1" si="26"/>
        <v>-</v>
      </c>
      <c r="AB191" s="423"/>
      <c r="AC191" s="423"/>
      <c r="AD191" s="550"/>
      <c r="AE191" s="550"/>
      <c r="AF191" s="423"/>
      <c r="AG191" s="423"/>
      <c r="AH191" s="423"/>
      <c r="AI191" s="423" t="s">
        <v>100</v>
      </c>
      <c r="AJ191" s="547" t="s">
        <v>100</v>
      </c>
      <c r="AK191" s="406" t="s">
        <v>67</v>
      </c>
      <c r="AL191" s="686"/>
      <c r="AM191" s="406"/>
      <c r="AN191" s="406"/>
      <c r="AO191" s="679"/>
      <c r="AP191" s="406"/>
      <c r="AQ191" s="406"/>
    </row>
    <row r="192" spans="1:43" ht="13.9">
      <c r="A192" s="423"/>
      <c r="B192" s="423"/>
      <c r="C192" s="548"/>
      <c r="E192" s="680"/>
      <c r="F192" s="423"/>
      <c r="G192" s="423"/>
      <c r="H192" s="423"/>
      <c r="I192" s="423" t="s">
        <v>3536</v>
      </c>
      <c r="J192" s="423"/>
      <c r="K192" s="681"/>
      <c r="L192" s="670"/>
      <c r="M192" s="423"/>
      <c r="N192" s="423"/>
      <c r="O192" s="423"/>
      <c r="P192" s="685"/>
      <c r="Q192" s="685"/>
      <c r="R192" s="423"/>
      <c r="S192" s="674"/>
      <c r="T192" s="674"/>
      <c r="U192" s="675">
        <f>IFERROR((Table48911128[[#This Row],[Invoice Value]]-Table48911128[[#This Row],[Total cost]])/Table48911128[[#This Row],[Invoice Value]],)</f>
        <v>0</v>
      </c>
      <c r="V192" s="676"/>
      <c r="W192" s="676"/>
      <c r="X192" s="676" t="str">
        <f t="shared" si="24"/>
        <v xml:space="preserve"> - </v>
      </c>
      <c r="Y192" s="676" t="str">
        <f t="shared" si="25"/>
        <v xml:space="preserve"> - </v>
      </c>
      <c r="Z192" s="685"/>
      <c r="AA192" s="423" t="str">
        <f t="shared" ca="1" si="26"/>
        <v>-</v>
      </c>
      <c r="AB192" s="423"/>
      <c r="AC192" s="423"/>
      <c r="AD192" s="550"/>
      <c r="AE192" s="550"/>
      <c r="AF192" s="423"/>
      <c r="AG192" s="423"/>
      <c r="AH192" s="423"/>
      <c r="AI192" s="677"/>
      <c r="AJ192" s="547"/>
      <c r="AK192" s="547"/>
      <c r="AL192" s="682"/>
      <c r="AM192" s="547"/>
      <c r="AN192" s="547"/>
      <c r="AO192" s="679"/>
      <c r="AP192" s="406"/>
      <c r="AQ192" s="406"/>
    </row>
    <row r="193" spans="1:43" ht="13.9">
      <c r="A193" s="423"/>
      <c r="B193" s="423"/>
      <c r="C193" s="548"/>
      <c r="E193" s="680"/>
      <c r="F193" s="423"/>
      <c r="G193" s="423"/>
      <c r="H193" s="423"/>
      <c r="I193" s="423" t="s">
        <v>3536</v>
      </c>
      <c r="J193" s="423"/>
      <c r="K193" s="681"/>
      <c r="L193" s="670"/>
      <c r="M193" s="423"/>
      <c r="N193" s="423"/>
      <c r="O193" s="423"/>
      <c r="P193" s="685"/>
      <c r="Q193" s="685"/>
      <c r="R193" s="423"/>
      <c r="S193" s="674"/>
      <c r="T193" s="674"/>
      <c r="U193" s="675">
        <f>IFERROR((Table48911128[[#This Row],[Invoice Value]]-Table48911128[[#This Row],[Total cost]])/Table48911128[[#This Row],[Invoice Value]],)</f>
        <v>0</v>
      </c>
      <c r="V193" s="676"/>
      <c r="W193" s="676"/>
      <c r="X193" s="676" t="str">
        <f t="shared" si="24"/>
        <v xml:space="preserve"> - </v>
      </c>
      <c r="Y193" s="676" t="str">
        <f t="shared" si="25"/>
        <v xml:space="preserve"> - </v>
      </c>
      <c r="Z193" s="685"/>
      <c r="AA193" s="423" t="str">
        <f t="shared" ca="1" si="26"/>
        <v>-</v>
      </c>
      <c r="AB193" s="423"/>
      <c r="AC193" s="423"/>
      <c r="AD193" s="550"/>
      <c r="AE193" s="550"/>
      <c r="AF193" s="423"/>
      <c r="AG193" s="423"/>
      <c r="AH193" s="423"/>
      <c r="AI193" s="677" t="s">
        <v>144</v>
      </c>
      <c r="AJ193" s="547" t="s">
        <v>144</v>
      </c>
      <c r="AK193" s="547" t="s">
        <v>67</v>
      </c>
      <c r="AL193" s="682"/>
      <c r="AM193" s="547"/>
      <c r="AN193" s="547"/>
      <c r="AO193" s="679"/>
      <c r="AP193" s="406"/>
      <c r="AQ193" s="406"/>
    </row>
    <row r="194" spans="1:43" ht="13.9">
      <c r="A194" s="423"/>
      <c r="B194" s="423"/>
      <c r="C194" s="548"/>
      <c r="E194" s="680"/>
      <c r="F194" s="423"/>
      <c r="G194" s="423"/>
      <c r="H194" s="423"/>
      <c r="I194" s="423" t="s">
        <v>3536</v>
      </c>
      <c r="J194" s="423"/>
      <c r="K194" s="681"/>
      <c r="L194" s="670"/>
      <c r="M194" s="423"/>
      <c r="N194" s="423"/>
      <c r="O194" s="423"/>
      <c r="P194" s="685"/>
      <c r="Q194" s="685"/>
      <c r="R194" s="423"/>
      <c r="S194" s="674"/>
      <c r="T194" s="674"/>
      <c r="U194" s="675">
        <f>IFERROR((Table48911128[[#This Row],[Invoice Value]]-Table48911128[[#This Row],[Total cost]])/Table48911128[[#This Row],[Invoice Value]],)</f>
        <v>0</v>
      </c>
      <c r="V194" s="676"/>
      <c r="W194" s="676"/>
      <c r="X194" s="676" t="str">
        <f t="shared" si="24"/>
        <v xml:space="preserve"> - </v>
      </c>
      <c r="Y194" s="676" t="str">
        <f t="shared" si="25"/>
        <v xml:space="preserve"> - </v>
      </c>
      <c r="Z194" s="685"/>
      <c r="AA194" s="423" t="str">
        <f t="shared" ca="1" si="26"/>
        <v>-</v>
      </c>
      <c r="AB194" s="423"/>
      <c r="AC194" s="423"/>
      <c r="AD194" s="550"/>
      <c r="AE194" s="550"/>
      <c r="AF194" s="423"/>
      <c r="AG194" s="423"/>
      <c r="AH194" s="677"/>
      <c r="AI194" s="423" t="s">
        <v>67</v>
      </c>
      <c r="AJ194" s="547" t="s">
        <v>67</v>
      </c>
      <c r="AK194" s="406" t="s">
        <v>67</v>
      </c>
      <c r="AL194" s="686"/>
      <c r="AM194" s="406"/>
      <c r="AN194" s="406"/>
      <c r="AO194" s="679"/>
      <c r="AP194" s="406"/>
      <c r="AQ194" s="406"/>
    </row>
    <row r="195" spans="1:43" ht="13.9">
      <c r="A195" s="677"/>
      <c r="B195" s="677"/>
      <c r="C195" s="689"/>
      <c r="E195" s="690"/>
      <c r="F195" s="677"/>
      <c r="G195" s="677"/>
      <c r="H195" s="677"/>
      <c r="I195" s="423" t="s">
        <v>3536</v>
      </c>
      <c r="J195" s="677"/>
      <c r="K195" s="691"/>
      <c r="L195" s="692"/>
      <c r="M195" s="677"/>
      <c r="N195" s="423"/>
      <c r="O195" s="677"/>
      <c r="P195" s="693"/>
      <c r="Q195" s="693"/>
      <c r="R195" s="677"/>
      <c r="S195" s="694"/>
      <c r="T195" s="694"/>
      <c r="U195" s="695">
        <f>IFERROR((Table48911128[[#This Row],[Invoice Value]]-Table48911128[[#This Row],[Total cost]])/Table48911128[[#This Row],[Invoice Value]],)</f>
        <v>0</v>
      </c>
      <c r="V195" s="696"/>
      <c r="W195" s="696"/>
      <c r="X195" s="696" t="str">
        <f t="shared" si="24"/>
        <v xml:space="preserve"> - </v>
      </c>
      <c r="Y195" s="696" t="str">
        <f t="shared" si="25"/>
        <v xml:space="preserve"> - </v>
      </c>
      <c r="Z195" s="693"/>
      <c r="AA195" s="677" t="str">
        <f t="shared" ca="1" si="26"/>
        <v>-</v>
      </c>
      <c r="AB195" s="677"/>
      <c r="AC195" s="677"/>
      <c r="AD195" s="664"/>
      <c r="AE195" s="664"/>
      <c r="AF195" s="677"/>
      <c r="AG195" s="677"/>
      <c r="AH195" s="677"/>
      <c r="AI195" s="423" t="s">
        <v>100</v>
      </c>
      <c r="AJ195" s="547" t="s">
        <v>144</v>
      </c>
      <c r="AK195" s="406" t="s">
        <v>67</v>
      </c>
      <c r="AL195" s="686"/>
      <c r="AM195" s="406"/>
      <c r="AN195" s="406"/>
      <c r="AO195" s="697"/>
      <c r="AP195" s="406"/>
      <c r="AQ195" s="406"/>
    </row>
    <row r="196" spans="1:43" ht="13.9">
      <c r="A196" s="698"/>
      <c r="B196" s="698"/>
      <c r="C196" s="699"/>
      <c r="E196" s="700"/>
      <c r="F196" s="701"/>
      <c r="G196" s="702"/>
      <c r="H196" s="703"/>
      <c r="I196" s="704" t="s">
        <v>3536</v>
      </c>
      <c r="J196" s="329"/>
      <c r="K196" s="330"/>
      <c r="L196" s="331"/>
      <c r="M196" s="329"/>
      <c r="N196" s="704"/>
      <c r="O196" s="329"/>
      <c r="P196" s="705"/>
      <c r="Q196" s="706"/>
      <c r="R196" s="701"/>
      <c r="S196" s="707"/>
      <c r="T196" s="707"/>
      <c r="U196" s="708">
        <f>IFERROR((Table48911128[[#This Row],[Invoice Value]]-Table48911128[[#This Row],[Total cost]])/Table48911128[[#This Row],[Invoice Value]],)</f>
        <v>0</v>
      </c>
      <c r="V196" s="709"/>
      <c r="W196" s="709"/>
      <c r="X196" s="709" t="str">
        <f t="shared" si="24"/>
        <v xml:space="preserve"> - </v>
      </c>
      <c r="Y196" s="709" t="str">
        <f t="shared" si="25"/>
        <v xml:space="preserve"> - </v>
      </c>
      <c r="Z196" s="705"/>
      <c r="AA196" s="702" t="str">
        <f t="shared" ca="1" si="26"/>
        <v>-</v>
      </c>
      <c r="AB196" s="702"/>
      <c r="AC196" s="702"/>
      <c r="AD196" s="710"/>
      <c r="AE196" s="710"/>
      <c r="AF196" s="702"/>
      <c r="AG196" s="702"/>
      <c r="AH196" s="703"/>
      <c r="AI196" s="711" t="s">
        <v>100</v>
      </c>
      <c r="AJ196" s="547" t="s">
        <v>100</v>
      </c>
      <c r="AK196" s="406" t="s">
        <v>100</v>
      </c>
      <c r="AL196" s="686"/>
      <c r="AM196" s="406"/>
      <c r="AN196" s="406"/>
      <c r="AO196" s="712"/>
      <c r="AP196" s="406"/>
      <c r="AQ196" s="406"/>
    </row>
    <row r="197" spans="1:43" ht="13.9">
      <c r="A197" s="713"/>
      <c r="B197" s="713"/>
      <c r="C197" s="714"/>
      <c r="E197" s="715"/>
      <c r="F197" s="713"/>
      <c r="G197" s="713"/>
      <c r="H197" s="713"/>
      <c r="I197" s="423" t="s">
        <v>3536</v>
      </c>
      <c r="J197" s="713"/>
      <c r="K197" s="716"/>
      <c r="L197" s="717"/>
      <c r="M197" s="713"/>
      <c r="N197" s="423"/>
      <c r="O197" s="713"/>
      <c r="P197" s="718"/>
      <c r="Q197" s="718"/>
      <c r="R197" s="713"/>
      <c r="S197" s="719"/>
      <c r="T197" s="719"/>
      <c r="U197" s="720">
        <f>IFERROR((Table48911128[[#This Row],[Invoice Value]]-Table48911128[[#This Row],[Total cost]])/Table48911128[[#This Row],[Invoice Value]],)</f>
        <v>0</v>
      </c>
      <c r="V197" s="721"/>
      <c r="W197" s="721"/>
      <c r="X197" s="721" t="str">
        <f t="shared" si="24"/>
        <v xml:space="preserve"> - </v>
      </c>
      <c r="Y197" s="721" t="str">
        <f t="shared" si="25"/>
        <v xml:space="preserve"> - </v>
      </c>
      <c r="Z197" s="718"/>
      <c r="AA197" s="713" t="str">
        <f t="shared" ca="1" si="26"/>
        <v>-</v>
      </c>
      <c r="AB197" s="713"/>
      <c r="AC197" s="713"/>
      <c r="AD197" s="643"/>
      <c r="AE197" s="643"/>
      <c r="AF197" s="713"/>
      <c r="AG197" s="713"/>
      <c r="AH197" s="722"/>
      <c r="AI197" s="423" t="s">
        <v>136</v>
      </c>
      <c r="AJ197" s="547" t="s">
        <v>100</v>
      </c>
      <c r="AK197" s="406" t="s">
        <v>67</v>
      </c>
      <c r="AL197" s="686"/>
      <c r="AM197" s="406"/>
      <c r="AN197" s="406"/>
      <c r="AO197" s="723"/>
      <c r="AP197" s="406"/>
      <c r="AQ197" s="406"/>
    </row>
    <row r="198" spans="1:43" ht="13.9">
      <c r="A198" s="423"/>
      <c r="B198" s="423"/>
      <c r="C198" s="548"/>
      <c r="E198" s="680"/>
      <c r="F198" s="423"/>
      <c r="G198" s="423"/>
      <c r="H198" s="423"/>
      <c r="I198" s="423" t="s">
        <v>3536</v>
      </c>
      <c r="J198" s="423"/>
      <c r="K198" s="681"/>
      <c r="L198" s="670"/>
      <c r="M198" s="423"/>
      <c r="N198" s="423"/>
      <c r="O198" s="423"/>
      <c r="P198" s="685"/>
      <c r="Q198" s="685"/>
      <c r="R198" s="423"/>
      <c r="S198" s="674"/>
      <c r="T198" s="674"/>
      <c r="U198" s="675">
        <f>IFERROR((Table48911128[[#This Row],[Invoice Value]]-Table48911128[[#This Row],[Total cost]])/Table48911128[[#This Row],[Invoice Value]],)</f>
        <v>0</v>
      </c>
      <c r="V198" s="676"/>
      <c r="W198" s="676"/>
      <c r="X198" s="676" t="str">
        <f t="shared" si="24"/>
        <v xml:space="preserve"> - </v>
      </c>
      <c r="Y198" s="676" t="str">
        <f t="shared" si="25"/>
        <v xml:space="preserve"> - </v>
      </c>
      <c r="Z198" s="685"/>
      <c r="AA198" s="423" t="str">
        <f t="shared" ca="1" si="26"/>
        <v>-</v>
      </c>
      <c r="AB198" s="423"/>
      <c r="AC198" s="423"/>
      <c r="AD198" s="550"/>
      <c r="AE198" s="550"/>
      <c r="AF198" s="423"/>
      <c r="AG198" s="423"/>
      <c r="AH198" s="423"/>
      <c r="AI198" s="423" t="s">
        <v>144</v>
      </c>
      <c r="AJ198" s="547" t="s">
        <v>144</v>
      </c>
      <c r="AK198" s="547" t="s">
        <v>67</v>
      </c>
      <c r="AL198" s="682"/>
      <c r="AM198" s="547"/>
      <c r="AN198" s="547"/>
      <c r="AO198" s="679"/>
      <c r="AP198" s="406"/>
      <c r="AQ198" s="406"/>
    </row>
    <row r="199" spans="1:43" ht="13.9">
      <c r="A199" s="423"/>
      <c r="B199" s="423"/>
      <c r="C199" s="548"/>
      <c r="E199" s="680"/>
      <c r="F199" s="423"/>
      <c r="G199" s="423"/>
      <c r="H199" s="423"/>
      <c r="I199" s="423" t="s">
        <v>3536</v>
      </c>
      <c r="J199" s="423"/>
      <c r="K199" s="681"/>
      <c r="L199" s="670"/>
      <c r="M199" s="423"/>
      <c r="N199" s="423"/>
      <c r="O199" s="423"/>
      <c r="P199" s="685"/>
      <c r="Q199" s="685"/>
      <c r="R199" s="423"/>
      <c r="S199" s="674"/>
      <c r="T199" s="674"/>
      <c r="U199" s="675">
        <f>IFERROR((Table48911128[[#This Row],[Invoice Value]]-Table48911128[[#This Row],[Total cost]])/Table48911128[[#This Row],[Invoice Value]],)</f>
        <v>0</v>
      </c>
      <c r="V199" s="676"/>
      <c r="W199" s="676"/>
      <c r="X199" s="676" t="str">
        <f t="shared" si="24"/>
        <v xml:space="preserve"> - </v>
      </c>
      <c r="Y199" s="676" t="str">
        <f t="shared" si="25"/>
        <v xml:space="preserve"> - </v>
      </c>
      <c r="Z199" s="685"/>
      <c r="AA199" s="423" t="str">
        <f t="shared" ca="1" si="26"/>
        <v>-</v>
      </c>
      <c r="AB199" s="423"/>
      <c r="AC199" s="423"/>
      <c r="AD199" s="550"/>
      <c r="AE199" s="550"/>
      <c r="AF199" s="423"/>
      <c r="AG199" s="423"/>
      <c r="AH199" s="423"/>
      <c r="AI199" s="423" t="s">
        <v>67</v>
      </c>
      <c r="AJ199" s="547" t="s">
        <v>67</v>
      </c>
      <c r="AK199" s="547" t="s">
        <v>67</v>
      </c>
      <c r="AL199" s="682"/>
      <c r="AM199" s="547"/>
      <c r="AN199" s="547"/>
      <c r="AO199" s="679"/>
      <c r="AP199" s="406"/>
      <c r="AQ199" s="406"/>
    </row>
    <row r="200" spans="1:43" ht="13.9">
      <c r="A200" s="423"/>
      <c r="B200" s="423"/>
      <c r="C200" s="548"/>
      <c r="E200" s="680"/>
      <c r="F200" s="423"/>
      <c r="G200" s="423"/>
      <c r="H200" s="423"/>
      <c r="I200" s="423" t="s">
        <v>3536</v>
      </c>
      <c r="J200" s="423"/>
      <c r="K200" s="681"/>
      <c r="L200" s="670"/>
      <c r="M200" s="423"/>
      <c r="N200" s="423"/>
      <c r="O200" s="423"/>
      <c r="P200" s="685"/>
      <c r="Q200" s="685"/>
      <c r="R200" s="423"/>
      <c r="S200" s="674"/>
      <c r="T200" s="674"/>
      <c r="U200" s="675">
        <f>IFERROR((Table48911128[[#This Row],[Invoice Value]]-Table48911128[[#This Row],[Total cost]])/Table48911128[[#This Row],[Invoice Value]],)</f>
        <v>0</v>
      </c>
      <c r="V200" s="676"/>
      <c r="W200" s="676"/>
      <c r="X200" s="676" t="str">
        <f t="shared" si="24"/>
        <v xml:space="preserve"> - </v>
      </c>
      <c r="Y200" s="676" t="str">
        <f t="shared" si="25"/>
        <v xml:space="preserve"> - </v>
      </c>
      <c r="Z200" s="685"/>
      <c r="AA200" s="423" t="str">
        <f t="shared" ca="1" si="26"/>
        <v>-</v>
      </c>
      <c r="AB200" s="423"/>
      <c r="AC200" s="423"/>
      <c r="AD200" s="550"/>
      <c r="AE200" s="550"/>
      <c r="AF200" s="423"/>
      <c r="AG200" s="423"/>
      <c r="AH200" s="423"/>
      <c r="AI200" s="423" t="s">
        <v>144</v>
      </c>
      <c r="AJ200" s="547" t="s">
        <v>100</v>
      </c>
      <c r="AK200" s="547" t="s">
        <v>67</v>
      </c>
      <c r="AL200" s="682"/>
      <c r="AM200" s="547"/>
      <c r="AN200" s="547"/>
      <c r="AO200" s="679"/>
      <c r="AP200" s="406"/>
      <c r="AQ200" s="406"/>
    </row>
    <row r="201" spans="1:43" ht="13.9">
      <c r="A201" s="423"/>
      <c r="B201" s="423"/>
      <c r="C201" s="548"/>
      <c r="E201" s="680"/>
      <c r="F201" s="423"/>
      <c r="G201" s="423"/>
      <c r="H201" s="423"/>
      <c r="I201" s="423" t="s">
        <v>3536</v>
      </c>
      <c r="J201" s="423"/>
      <c r="K201" s="681"/>
      <c r="L201" s="670"/>
      <c r="M201" s="423"/>
      <c r="N201" s="423"/>
      <c r="O201" s="423"/>
      <c r="P201" s="685"/>
      <c r="Q201" s="685"/>
      <c r="R201" s="423"/>
      <c r="S201" s="674"/>
      <c r="T201" s="674"/>
      <c r="U201" s="675">
        <f>IFERROR((Table48911128[[#This Row],[Invoice Value]]-Table48911128[[#This Row],[Total cost]])/Table48911128[[#This Row],[Invoice Value]],)</f>
        <v>0</v>
      </c>
      <c r="V201" s="676"/>
      <c r="W201" s="676"/>
      <c r="X201" s="676" t="str">
        <f t="shared" si="24"/>
        <v xml:space="preserve"> - </v>
      </c>
      <c r="Y201" s="676" t="str">
        <f t="shared" si="25"/>
        <v xml:space="preserve"> - </v>
      </c>
      <c r="Z201" s="685"/>
      <c r="AA201" s="423" t="str">
        <f t="shared" ca="1" si="26"/>
        <v>-</v>
      </c>
      <c r="AB201" s="423"/>
      <c r="AC201" s="423"/>
      <c r="AD201" s="550"/>
      <c r="AE201" s="550"/>
      <c r="AF201" s="423"/>
      <c r="AG201" s="423"/>
      <c r="AH201" s="423"/>
      <c r="AI201" s="423" t="s">
        <v>144</v>
      </c>
      <c r="AJ201" s="547" t="s">
        <v>144</v>
      </c>
      <c r="AK201" s="547" t="s">
        <v>67</v>
      </c>
      <c r="AL201" s="682"/>
      <c r="AM201" s="547"/>
      <c r="AN201" s="547"/>
      <c r="AO201" s="679"/>
      <c r="AP201" s="406"/>
      <c r="AQ201" s="406"/>
    </row>
    <row r="202" spans="1:43" ht="13.9">
      <c r="A202" s="423"/>
      <c r="B202" s="423"/>
      <c r="C202" s="548"/>
      <c r="E202" s="680"/>
      <c r="F202" s="423"/>
      <c r="G202" s="423"/>
      <c r="H202" s="423"/>
      <c r="I202" s="423" t="s">
        <v>3536</v>
      </c>
      <c r="J202" s="423"/>
      <c r="K202" s="681"/>
      <c r="L202" s="670"/>
      <c r="M202" s="423"/>
      <c r="N202" s="423"/>
      <c r="O202" s="423"/>
      <c r="P202" s="685"/>
      <c r="Q202" s="685"/>
      <c r="R202" s="423"/>
      <c r="S202" s="674"/>
      <c r="T202" s="674"/>
      <c r="U202" s="675">
        <f>IFERROR((Table48911128[[#This Row],[Invoice Value]]-Table48911128[[#This Row],[Total cost]])/Table48911128[[#This Row],[Invoice Value]],)</f>
        <v>0</v>
      </c>
      <c r="V202" s="676"/>
      <c r="W202" s="676"/>
      <c r="X202" s="676" t="str">
        <f t="shared" si="24"/>
        <v xml:space="preserve"> - </v>
      </c>
      <c r="Y202" s="676" t="str">
        <f t="shared" si="25"/>
        <v xml:space="preserve"> - </v>
      </c>
      <c r="Z202" s="685"/>
      <c r="AA202" s="423" t="str">
        <f t="shared" ca="1" si="26"/>
        <v>-</v>
      </c>
      <c r="AB202" s="423"/>
      <c r="AC202" s="423"/>
      <c r="AD202" s="550"/>
      <c r="AE202" s="550"/>
      <c r="AF202" s="423"/>
      <c r="AG202" s="423"/>
      <c r="AH202" s="423"/>
      <c r="AI202" s="423"/>
      <c r="AJ202" s="547"/>
      <c r="AK202" s="547"/>
      <c r="AL202" s="682"/>
      <c r="AM202" s="547"/>
      <c r="AN202" s="547"/>
      <c r="AO202" s="679"/>
      <c r="AP202" s="406"/>
      <c r="AQ202" s="406"/>
    </row>
    <row r="203" spans="1:43" ht="13.9">
      <c r="A203" s="423"/>
      <c r="B203" s="423"/>
      <c r="C203" s="548"/>
      <c r="E203" s="680"/>
      <c r="F203" s="423"/>
      <c r="G203" s="423"/>
      <c r="H203" s="423"/>
      <c r="I203" s="423" t="s">
        <v>3536</v>
      </c>
      <c r="J203" s="423"/>
      <c r="K203" s="681"/>
      <c r="L203" s="670"/>
      <c r="M203" s="423"/>
      <c r="N203" s="423"/>
      <c r="O203" s="423"/>
      <c r="P203" s="685"/>
      <c r="Q203" s="685"/>
      <c r="R203" s="423"/>
      <c r="S203" s="674"/>
      <c r="T203" s="674"/>
      <c r="U203" s="675">
        <f>IFERROR((Table48911128[[#This Row],[Invoice Value]]-Table48911128[[#This Row],[Total cost]])/Table48911128[[#This Row],[Invoice Value]],)</f>
        <v>0</v>
      </c>
      <c r="V203" s="676"/>
      <c r="W203" s="676"/>
      <c r="X203" s="676" t="str">
        <f t="shared" si="24"/>
        <v xml:space="preserve"> - </v>
      </c>
      <c r="Y203" s="676" t="str">
        <f t="shared" si="25"/>
        <v xml:space="preserve"> - </v>
      </c>
      <c r="Z203" s="685"/>
      <c r="AA203" s="423" t="str">
        <f t="shared" ca="1" si="26"/>
        <v>-</v>
      </c>
      <c r="AB203" s="423"/>
      <c r="AC203" s="423"/>
      <c r="AD203" s="550"/>
      <c r="AE203" s="550"/>
      <c r="AF203" s="423"/>
      <c r="AG203" s="423"/>
      <c r="AH203" s="423"/>
      <c r="AI203" s="423" t="s">
        <v>144</v>
      </c>
      <c r="AJ203" s="547" t="s">
        <v>100</v>
      </c>
      <c r="AK203" s="547" t="s">
        <v>67</v>
      </c>
      <c r="AL203" s="682"/>
      <c r="AM203" s="547"/>
      <c r="AN203" s="547"/>
      <c r="AO203" s="679"/>
      <c r="AP203" s="406"/>
      <c r="AQ203" s="406"/>
    </row>
    <row r="204" spans="1:43" ht="13.9">
      <c r="A204" s="423"/>
      <c r="B204" s="423"/>
      <c r="C204" s="548"/>
      <c r="E204" s="680"/>
      <c r="F204" s="423"/>
      <c r="G204" s="423"/>
      <c r="H204" s="423"/>
      <c r="I204" s="423" t="s">
        <v>3536</v>
      </c>
      <c r="J204" s="423"/>
      <c r="K204" s="681"/>
      <c r="L204" s="670"/>
      <c r="M204" s="423"/>
      <c r="N204" s="423"/>
      <c r="O204" s="423"/>
      <c r="P204" s="685"/>
      <c r="Q204" s="685"/>
      <c r="R204" s="423"/>
      <c r="S204" s="674"/>
      <c r="T204" s="674"/>
      <c r="U204" s="675">
        <f>IFERROR((Table48911128[[#This Row],[Invoice Value]]-Table48911128[[#This Row],[Total cost]])/Table48911128[[#This Row],[Invoice Value]],)</f>
        <v>0</v>
      </c>
      <c r="V204" s="676"/>
      <c r="W204" s="676"/>
      <c r="X204" s="676" t="str">
        <f t="shared" si="24"/>
        <v xml:space="preserve"> - </v>
      </c>
      <c r="Y204" s="676" t="str">
        <f t="shared" si="25"/>
        <v xml:space="preserve"> - </v>
      </c>
      <c r="Z204" s="685"/>
      <c r="AA204" s="423" t="str">
        <f t="shared" ca="1" si="26"/>
        <v>-</v>
      </c>
      <c r="AB204" s="423"/>
      <c r="AC204" s="423"/>
      <c r="AD204" s="550"/>
      <c r="AE204" s="550"/>
      <c r="AF204" s="423"/>
      <c r="AG204" s="423"/>
      <c r="AH204" s="423"/>
      <c r="AI204" s="423" t="s">
        <v>144</v>
      </c>
      <c r="AJ204" s="547" t="s">
        <v>100</v>
      </c>
      <c r="AK204" s="547" t="s">
        <v>67</v>
      </c>
      <c r="AL204" s="682"/>
      <c r="AM204" s="547"/>
      <c r="AN204" s="547"/>
      <c r="AO204" s="679"/>
      <c r="AP204" s="406"/>
      <c r="AQ204" s="406"/>
    </row>
    <row r="205" spans="1:43" ht="13.9">
      <c r="A205" s="423"/>
      <c r="B205" s="423"/>
      <c r="C205" s="548"/>
      <c r="E205" s="680"/>
      <c r="F205" s="423"/>
      <c r="G205" s="423"/>
      <c r="H205" s="423"/>
      <c r="I205" s="423" t="s">
        <v>3536</v>
      </c>
      <c r="J205" s="423"/>
      <c r="K205" s="681"/>
      <c r="L205" s="670"/>
      <c r="M205" s="423"/>
      <c r="N205" s="423"/>
      <c r="O205" s="423"/>
      <c r="P205" s="685"/>
      <c r="Q205" s="685"/>
      <c r="R205" s="423"/>
      <c r="S205" s="674"/>
      <c r="T205" s="674"/>
      <c r="U205" s="675">
        <f>IFERROR((Table48911128[[#This Row],[Invoice Value]]-Table48911128[[#This Row],[Total cost]])/Table48911128[[#This Row],[Invoice Value]],)</f>
        <v>0</v>
      </c>
      <c r="V205" s="676"/>
      <c r="W205" s="676"/>
      <c r="X205" s="676" t="str">
        <f t="shared" si="24"/>
        <v xml:space="preserve"> - </v>
      </c>
      <c r="Y205" s="676" t="str">
        <f t="shared" si="25"/>
        <v xml:space="preserve"> - </v>
      </c>
      <c r="Z205" s="685"/>
      <c r="AA205" s="423" t="str">
        <f t="shared" ca="1" si="26"/>
        <v>-</v>
      </c>
      <c r="AB205" s="423"/>
      <c r="AC205" s="423"/>
      <c r="AD205" s="550"/>
      <c r="AE205" s="550"/>
      <c r="AF205" s="423"/>
      <c r="AG205" s="423"/>
      <c r="AH205" s="423"/>
      <c r="AI205" s="423" t="s">
        <v>207</v>
      </c>
      <c r="AJ205" s="547" t="s">
        <v>100</v>
      </c>
      <c r="AK205" s="547" t="s">
        <v>67</v>
      </c>
      <c r="AL205" s="682"/>
      <c r="AM205" s="547"/>
      <c r="AN205" s="547"/>
      <c r="AO205" s="679"/>
      <c r="AP205" s="406"/>
      <c r="AQ205" s="406"/>
    </row>
    <row r="206" spans="1:43" ht="13.9">
      <c r="A206" s="423"/>
      <c r="B206" s="423"/>
      <c r="C206" s="548"/>
      <c r="E206" s="680"/>
      <c r="F206" s="423"/>
      <c r="G206" s="423"/>
      <c r="H206" s="423"/>
      <c r="I206" s="423" t="s">
        <v>3536</v>
      </c>
      <c r="J206" s="423"/>
      <c r="K206" s="681"/>
      <c r="L206" s="670"/>
      <c r="M206" s="423"/>
      <c r="N206" s="423"/>
      <c r="O206" s="423"/>
      <c r="P206" s="685"/>
      <c r="Q206" s="685"/>
      <c r="R206" s="423"/>
      <c r="S206" s="674"/>
      <c r="T206" s="674"/>
      <c r="U206" s="675">
        <f>IFERROR((Table48911128[[#This Row],[Invoice Value]]-Table48911128[[#This Row],[Total cost]])/Table48911128[[#This Row],[Invoice Value]],)</f>
        <v>0</v>
      </c>
      <c r="V206" s="676"/>
      <c r="W206" s="676"/>
      <c r="X206" s="676" t="str">
        <f t="shared" si="24"/>
        <v xml:space="preserve"> - </v>
      </c>
      <c r="Y206" s="676" t="str">
        <f t="shared" si="25"/>
        <v xml:space="preserve"> - </v>
      </c>
      <c r="Z206" s="685"/>
      <c r="AA206" s="423" t="str">
        <f t="shared" ca="1" si="26"/>
        <v>-</v>
      </c>
      <c r="AB206" s="423"/>
      <c r="AC206" s="423"/>
      <c r="AD206" s="550"/>
      <c r="AE206" s="550"/>
      <c r="AF206" s="423"/>
      <c r="AG206" s="423"/>
      <c r="AH206" s="423"/>
      <c r="AI206" s="423"/>
      <c r="AJ206" s="547"/>
      <c r="AK206" s="547"/>
      <c r="AL206" s="682"/>
      <c r="AM206" s="547"/>
      <c r="AN206" s="547"/>
      <c r="AO206" s="679"/>
      <c r="AP206" s="406"/>
      <c r="AQ206" s="406"/>
    </row>
    <row r="207" spans="1:43" ht="13.9">
      <c r="A207" s="423"/>
      <c r="B207" s="423"/>
      <c r="C207" s="548"/>
      <c r="E207" s="680"/>
      <c r="F207" s="423"/>
      <c r="G207" s="423"/>
      <c r="H207" s="423"/>
      <c r="I207" s="423" t="s">
        <v>3536</v>
      </c>
      <c r="J207" s="423"/>
      <c r="K207" s="681"/>
      <c r="L207" s="670"/>
      <c r="M207" s="423"/>
      <c r="N207" s="423"/>
      <c r="O207" s="423"/>
      <c r="P207" s="685"/>
      <c r="Q207" s="685"/>
      <c r="R207" s="423"/>
      <c r="S207" s="674"/>
      <c r="T207" s="674"/>
      <c r="U207" s="675">
        <f>IFERROR((Table48911128[[#This Row],[Invoice Value]]-Table48911128[[#This Row],[Total cost]])/Table48911128[[#This Row],[Invoice Value]],)</f>
        <v>0</v>
      </c>
      <c r="V207" s="676"/>
      <c r="W207" s="676"/>
      <c r="X207" s="676" t="str">
        <f t="shared" si="24"/>
        <v xml:space="preserve"> - </v>
      </c>
      <c r="Y207" s="676" t="str">
        <f t="shared" si="25"/>
        <v xml:space="preserve"> - </v>
      </c>
      <c r="Z207" s="685"/>
      <c r="AA207" s="423" t="str">
        <f t="shared" ca="1" si="26"/>
        <v>-</v>
      </c>
      <c r="AB207" s="423"/>
      <c r="AC207" s="423"/>
      <c r="AD207" s="550"/>
      <c r="AE207" s="550"/>
      <c r="AF207" s="423"/>
      <c r="AG207" s="423"/>
      <c r="AH207" s="423"/>
      <c r="AI207" s="423" t="s">
        <v>144</v>
      </c>
      <c r="AJ207" s="547" t="s">
        <v>100</v>
      </c>
      <c r="AK207" s="547" t="s">
        <v>100</v>
      </c>
      <c r="AL207" s="682"/>
      <c r="AM207" s="547"/>
      <c r="AN207" s="547"/>
      <c r="AO207" s="679"/>
      <c r="AP207" s="406"/>
      <c r="AQ207" s="406"/>
    </row>
    <row r="208" spans="1:43" ht="13.9">
      <c r="A208" s="677"/>
      <c r="B208" s="677"/>
      <c r="C208" s="689"/>
      <c r="E208" s="690"/>
      <c r="F208" s="677"/>
      <c r="G208" s="677"/>
      <c r="H208" s="677"/>
      <c r="I208" s="677" t="s">
        <v>3536</v>
      </c>
      <c r="J208" s="677"/>
      <c r="K208" s="691"/>
      <c r="L208" s="692"/>
      <c r="M208" s="677"/>
      <c r="N208" s="677"/>
      <c r="O208" s="677"/>
      <c r="P208" s="693"/>
      <c r="Q208" s="693"/>
      <c r="R208" s="677"/>
      <c r="S208" s="694"/>
      <c r="T208" s="694"/>
      <c r="U208" s="695">
        <f>IFERROR((Table48911128[[#This Row],[Invoice Value]]-Table48911128[[#This Row],[Total cost]])/Table48911128[[#This Row],[Invoice Value]],)</f>
        <v>0</v>
      </c>
      <c r="V208" s="696"/>
      <c r="W208" s="696"/>
      <c r="X208" s="696" t="str">
        <f t="shared" si="24"/>
        <v xml:space="preserve"> - </v>
      </c>
      <c r="Y208" s="696" t="str">
        <f t="shared" si="25"/>
        <v xml:space="preserve"> - </v>
      </c>
      <c r="Z208" s="693"/>
      <c r="AA208" s="677" t="str">
        <f t="shared" ca="1" si="26"/>
        <v>-</v>
      </c>
      <c r="AB208" s="677"/>
      <c r="AC208" s="677"/>
      <c r="AD208" s="664"/>
      <c r="AE208" s="664"/>
      <c r="AF208" s="677"/>
      <c r="AG208" s="677"/>
      <c r="AH208" s="677"/>
      <c r="AI208" s="722" t="s">
        <v>144</v>
      </c>
      <c r="AJ208" s="687" t="s">
        <v>100</v>
      </c>
      <c r="AK208" s="687" t="s">
        <v>100</v>
      </c>
      <c r="AL208" s="724"/>
      <c r="AM208" s="687"/>
      <c r="AN208" s="687"/>
      <c r="AO208" s="697"/>
      <c r="AP208" s="406"/>
      <c r="AQ208" s="406"/>
    </row>
    <row r="209" spans="1:43" ht="13.9">
      <c r="A209" s="423"/>
      <c r="B209" s="423"/>
      <c r="C209" s="548"/>
      <c r="E209" s="680"/>
      <c r="F209" s="423"/>
      <c r="G209" s="423"/>
      <c r="H209" s="423"/>
      <c r="I209" s="423" t="s">
        <v>3536</v>
      </c>
      <c r="J209" s="423"/>
      <c r="K209" s="681"/>
      <c r="L209" s="670"/>
      <c r="M209" s="423"/>
      <c r="N209" s="423"/>
      <c r="O209" s="423"/>
      <c r="P209" s="685"/>
      <c r="Q209" s="685"/>
      <c r="R209" s="423"/>
      <c r="S209" s="674"/>
      <c r="T209" s="674"/>
      <c r="U209" s="675">
        <f>IFERROR((Table48911128[[#This Row],[Invoice Value]]-Table48911128[[#This Row],[Total cost]])/Table48911128[[#This Row],[Invoice Value]],)</f>
        <v>0</v>
      </c>
      <c r="V209" s="676"/>
      <c r="W209" s="676"/>
      <c r="X209" s="676" t="str">
        <f t="shared" si="24"/>
        <v xml:space="preserve"> - </v>
      </c>
      <c r="Y209" s="676" t="str">
        <f t="shared" si="25"/>
        <v xml:space="preserve"> - </v>
      </c>
      <c r="Z209" s="685"/>
      <c r="AA209" s="423" t="str">
        <f t="shared" ca="1" si="26"/>
        <v>-</v>
      </c>
      <c r="AB209" s="423"/>
      <c r="AC209" s="423"/>
      <c r="AD209" s="550"/>
      <c r="AE209" s="550"/>
      <c r="AF209" s="423"/>
      <c r="AG209" s="423"/>
      <c r="AH209" s="423"/>
      <c r="AI209" s="677" t="s">
        <v>144</v>
      </c>
      <c r="AJ209" s="547" t="s">
        <v>100</v>
      </c>
      <c r="AK209" s="547" t="s">
        <v>100</v>
      </c>
      <c r="AL209" s="682"/>
      <c r="AM209" s="547"/>
      <c r="AN209" s="547"/>
      <c r="AO209" s="679"/>
      <c r="AP209" s="406"/>
      <c r="AQ209" s="406"/>
    </row>
    <row r="210" spans="1:43" ht="13.9">
      <c r="A210" s="677"/>
      <c r="B210" s="677"/>
      <c r="C210" s="689"/>
      <c r="E210" s="690"/>
      <c r="F210" s="677"/>
      <c r="G210" s="677"/>
      <c r="H210" s="677"/>
      <c r="I210" s="677" t="s">
        <v>3536</v>
      </c>
      <c r="J210" s="677"/>
      <c r="K210" s="691"/>
      <c r="L210" s="692"/>
      <c r="M210" s="677"/>
      <c r="N210" s="677"/>
      <c r="O210" s="677"/>
      <c r="P210" s="693"/>
      <c r="Q210" s="693"/>
      <c r="R210" s="677"/>
      <c r="S210" s="694"/>
      <c r="T210" s="694"/>
      <c r="U210" s="695">
        <f>IFERROR((Table48911128[[#This Row],[Invoice Value]]-Table48911128[[#This Row],[Total cost]])/Table48911128[[#This Row],[Invoice Value]],)</f>
        <v>0</v>
      </c>
      <c r="V210" s="696"/>
      <c r="W210" s="696"/>
      <c r="X210" s="696" t="str">
        <f t="shared" si="24"/>
        <v xml:space="preserve"> - </v>
      </c>
      <c r="Y210" s="696" t="str">
        <f t="shared" si="25"/>
        <v xml:space="preserve"> - </v>
      </c>
      <c r="Z210" s="693"/>
      <c r="AA210" s="677" t="str">
        <f t="shared" ca="1" si="26"/>
        <v>-</v>
      </c>
      <c r="AB210" s="677"/>
      <c r="AC210" s="677"/>
      <c r="AD210" s="664"/>
      <c r="AE210" s="664"/>
      <c r="AF210" s="677"/>
      <c r="AG210" s="677"/>
      <c r="AH210" s="677"/>
      <c r="AI210" s="677"/>
      <c r="AJ210" s="547"/>
      <c r="AK210" s="547"/>
      <c r="AL210" s="724"/>
      <c r="AM210" s="687"/>
      <c r="AN210" s="687"/>
      <c r="AO210" s="697"/>
      <c r="AP210" s="406"/>
      <c r="AQ210" s="406"/>
    </row>
    <row r="211" spans="1:43" ht="13.9">
      <c r="A211" s="423"/>
      <c r="B211" s="423"/>
      <c r="C211" s="548"/>
      <c r="E211" s="680"/>
      <c r="F211" s="423"/>
      <c r="G211" s="423"/>
      <c r="H211" s="423"/>
      <c r="I211" s="423" t="s">
        <v>3536</v>
      </c>
      <c r="J211" s="423"/>
      <c r="K211" s="681"/>
      <c r="L211" s="670"/>
      <c r="M211" s="423"/>
      <c r="N211" s="423"/>
      <c r="O211" s="423"/>
      <c r="P211" s="685"/>
      <c r="Q211" s="685"/>
      <c r="R211" s="423"/>
      <c r="S211" s="674"/>
      <c r="T211" s="674"/>
      <c r="U211" s="675">
        <f>IFERROR((Table48911128[[#This Row],[Invoice Value]]-Table48911128[[#This Row],[Total cost]])/Table48911128[[#This Row],[Invoice Value]],)</f>
        <v>0</v>
      </c>
      <c r="V211" s="676"/>
      <c r="W211" s="676"/>
      <c r="X211" s="676" t="str">
        <f t="shared" si="24"/>
        <v xml:space="preserve"> - </v>
      </c>
      <c r="Y211" s="676" t="str">
        <f t="shared" si="25"/>
        <v xml:space="preserve"> - </v>
      </c>
      <c r="Z211" s="685"/>
      <c r="AA211" s="423" t="str">
        <f t="shared" ca="1" si="26"/>
        <v>-</v>
      </c>
      <c r="AB211" s="423"/>
      <c r="AC211" s="423"/>
      <c r="AD211" s="550"/>
      <c r="AE211" s="550"/>
      <c r="AF211" s="423"/>
      <c r="AG211" s="423"/>
      <c r="AH211" s="423"/>
      <c r="AI211" s="677"/>
      <c r="AJ211" s="547"/>
      <c r="AK211" s="547"/>
      <c r="AL211" s="682"/>
      <c r="AM211" s="547"/>
      <c r="AN211" s="547"/>
      <c r="AO211" s="679"/>
      <c r="AP211" s="406"/>
      <c r="AQ211" s="406"/>
    </row>
    <row r="212" spans="1:43" ht="13.9">
      <c r="A212" s="423"/>
      <c r="B212" s="423"/>
      <c r="C212" s="548"/>
      <c r="E212" s="680"/>
      <c r="F212" s="423"/>
      <c r="G212" s="423"/>
      <c r="H212" s="423"/>
      <c r="I212" s="423" t="s">
        <v>3536</v>
      </c>
      <c r="J212" s="423"/>
      <c r="K212" s="681"/>
      <c r="L212" s="670"/>
      <c r="M212" s="423"/>
      <c r="N212" s="423"/>
      <c r="O212" s="423"/>
      <c r="P212" s="685"/>
      <c r="Q212" s="685"/>
      <c r="R212" s="423"/>
      <c r="S212" s="674"/>
      <c r="T212" s="674"/>
      <c r="U212" s="675">
        <f>IFERROR((Table48911128[[#This Row],[Invoice Value]]-Table48911128[[#This Row],[Total cost]])/Table48911128[[#This Row],[Invoice Value]],)</f>
        <v>0</v>
      </c>
      <c r="V212" s="676"/>
      <c r="W212" s="676"/>
      <c r="X212" s="676" t="str">
        <f t="shared" si="24"/>
        <v xml:space="preserve"> - </v>
      </c>
      <c r="Y212" s="676" t="str">
        <f t="shared" si="25"/>
        <v xml:space="preserve"> - </v>
      </c>
      <c r="Z212" s="685"/>
      <c r="AA212" s="423" t="str">
        <f t="shared" ca="1" si="26"/>
        <v>-</v>
      </c>
      <c r="AB212" s="423"/>
      <c r="AC212" s="423"/>
      <c r="AD212" s="550"/>
      <c r="AE212" s="550"/>
      <c r="AF212" s="423"/>
      <c r="AG212" s="423"/>
      <c r="AH212" s="423"/>
      <c r="AI212" s="677"/>
      <c r="AJ212" s="547" t="s">
        <v>100</v>
      </c>
      <c r="AK212" s="547" t="s">
        <v>67</v>
      </c>
      <c r="AL212" s="682"/>
      <c r="AM212" s="547"/>
      <c r="AN212" s="547"/>
      <c r="AO212" s="679"/>
      <c r="AP212" s="406"/>
      <c r="AQ212" s="406"/>
    </row>
    <row r="213" spans="1:43" ht="13.9">
      <c r="A213" s="423"/>
      <c r="B213" s="423"/>
      <c r="C213" s="548"/>
      <c r="E213" s="680"/>
      <c r="F213" s="423"/>
      <c r="G213" s="423"/>
      <c r="H213" s="423"/>
      <c r="I213" s="423" t="s">
        <v>3536</v>
      </c>
      <c r="J213" s="423"/>
      <c r="K213" s="681"/>
      <c r="L213" s="670"/>
      <c r="M213" s="423"/>
      <c r="N213" s="423"/>
      <c r="O213" s="423"/>
      <c r="P213" s="685"/>
      <c r="Q213" s="685"/>
      <c r="R213" s="423"/>
      <c r="S213" s="674"/>
      <c r="T213" s="674"/>
      <c r="U213" s="675">
        <f>IFERROR((Table48911128[[#This Row],[Invoice Value]]-Table48911128[[#This Row],[Total cost]])/Table48911128[[#This Row],[Invoice Value]],)</f>
        <v>0</v>
      </c>
      <c r="V213" s="676"/>
      <c r="W213" s="676"/>
      <c r="X213" s="676" t="str">
        <f t="shared" si="24"/>
        <v xml:space="preserve"> - </v>
      </c>
      <c r="Y213" s="676" t="str">
        <f t="shared" si="25"/>
        <v xml:space="preserve"> - </v>
      </c>
      <c r="Z213" s="685"/>
      <c r="AA213" s="423" t="str">
        <f t="shared" ca="1" si="26"/>
        <v>-</v>
      </c>
      <c r="AB213" s="423"/>
      <c r="AC213" s="423"/>
      <c r="AD213" s="550"/>
      <c r="AE213" s="550"/>
      <c r="AF213" s="423"/>
      <c r="AG213" s="423"/>
      <c r="AH213" s="423"/>
      <c r="AI213" s="677" t="s">
        <v>67</v>
      </c>
      <c r="AJ213" s="547" t="s">
        <v>67</v>
      </c>
      <c r="AK213" s="547" t="s">
        <v>67</v>
      </c>
      <c r="AL213" s="682"/>
      <c r="AM213" s="547"/>
      <c r="AN213" s="547"/>
      <c r="AO213" s="679"/>
      <c r="AP213" s="406"/>
      <c r="AQ213" s="406"/>
    </row>
    <row r="214" spans="1:43" ht="13.9">
      <c r="A214" s="423"/>
      <c r="B214" s="423"/>
      <c r="C214" s="548"/>
      <c r="E214" s="680"/>
      <c r="F214" s="423"/>
      <c r="G214" s="423"/>
      <c r="H214" s="423"/>
      <c r="I214" s="423" t="s">
        <v>3536</v>
      </c>
      <c r="J214" s="423"/>
      <c r="K214" s="681"/>
      <c r="L214" s="670"/>
      <c r="M214" s="423"/>
      <c r="N214" s="423"/>
      <c r="O214" s="423"/>
      <c r="P214" s="685"/>
      <c r="Q214" s="685"/>
      <c r="R214" s="423"/>
      <c r="S214" s="674"/>
      <c r="T214" s="674"/>
      <c r="U214" s="675">
        <f>IFERROR((Table48911128[[#This Row],[Invoice Value]]-Table48911128[[#This Row],[Total cost]])/Table48911128[[#This Row],[Invoice Value]],)</f>
        <v>0</v>
      </c>
      <c r="V214" s="676"/>
      <c r="W214" s="676"/>
      <c r="X214" s="676" t="str">
        <f t="shared" si="24"/>
        <v xml:space="preserve"> - </v>
      </c>
      <c r="Y214" s="676" t="str">
        <f t="shared" si="25"/>
        <v xml:space="preserve"> - </v>
      </c>
      <c r="Z214" s="423"/>
      <c r="AA214" s="423" t="str">
        <f t="shared" ca="1" si="26"/>
        <v>-</v>
      </c>
      <c r="AB214" s="423"/>
      <c r="AC214" s="423"/>
      <c r="AD214" s="550"/>
      <c r="AE214" s="550"/>
      <c r="AF214" s="423"/>
      <c r="AG214" s="423"/>
      <c r="AH214" s="423"/>
      <c r="AI214" s="687" t="s">
        <v>144</v>
      </c>
      <c r="AJ214" s="547" t="s">
        <v>144</v>
      </c>
      <c r="AK214" s="334" t="s">
        <v>67</v>
      </c>
      <c r="AL214" s="343"/>
      <c r="AM214" s="334"/>
      <c r="AN214" s="334"/>
      <c r="AO214" s="679"/>
      <c r="AP214" s="406"/>
      <c r="AQ214" s="406"/>
    </row>
    <row r="215" spans="1:43" ht="13.9">
      <c r="A215" s="423"/>
      <c r="B215" s="423"/>
      <c r="C215" s="548"/>
      <c r="E215" s="680"/>
      <c r="F215" s="423"/>
      <c r="G215" s="423"/>
      <c r="H215" s="423"/>
      <c r="I215" s="423" t="s">
        <v>3536</v>
      </c>
      <c r="J215" s="423"/>
      <c r="K215" s="681"/>
      <c r="L215" s="670"/>
      <c r="M215" s="423"/>
      <c r="N215" s="423"/>
      <c r="O215" s="423"/>
      <c r="P215" s="685"/>
      <c r="Q215" s="685"/>
      <c r="R215" s="423"/>
      <c r="S215" s="674"/>
      <c r="T215" s="674"/>
      <c r="U215" s="675">
        <f>IFERROR((Table48911128[[#This Row],[Invoice Value]]-Table48911128[[#This Row],[Total cost]])/Table48911128[[#This Row],[Invoice Value]],)</f>
        <v>0</v>
      </c>
      <c r="V215" s="676"/>
      <c r="W215" s="676"/>
      <c r="X215" s="676" t="str">
        <f t="shared" si="24"/>
        <v xml:space="preserve"> - </v>
      </c>
      <c r="Y215" s="676" t="str">
        <f t="shared" si="25"/>
        <v xml:space="preserve"> - </v>
      </c>
      <c r="Z215" s="685"/>
      <c r="AA215" s="423" t="str">
        <f t="shared" ca="1" si="26"/>
        <v>-</v>
      </c>
      <c r="AB215" s="423"/>
      <c r="AC215" s="423"/>
      <c r="AD215" s="550"/>
      <c r="AE215" s="550"/>
      <c r="AF215" s="423"/>
      <c r="AG215" s="423"/>
      <c r="AH215" s="423"/>
      <c r="AI215" s="677" t="s">
        <v>100</v>
      </c>
      <c r="AJ215" s="547" t="s">
        <v>100</v>
      </c>
      <c r="AK215" s="547" t="s">
        <v>100</v>
      </c>
      <c r="AL215" s="682"/>
      <c r="AM215" s="547"/>
      <c r="AN215" s="547"/>
      <c r="AO215" s="679"/>
      <c r="AP215" s="406"/>
      <c r="AQ215" s="406"/>
    </row>
    <row r="216" spans="1:43" ht="13.9">
      <c r="A216" s="423"/>
      <c r="B216" s="423"/>
      <c r="C216" s="548"/>
      <c r="E216" s="680"/>
      <c r="F216" s="423"/>
      <c r="G216" s="423"/>
      <c r="H216" s="423"/>
      <c r="I216" s="423" t="s">
        <v>3536</v>
      </c>
      <c r="J216" s="423"/>
      <c r="K216" s="681"/>
      <c r="L216" s="670"/>
      <c r="M216" s="423"/>
      <c r="N216" s="423"/>
      <c r="O216" s="423"/>
      <c r="P216" s="685"/>
      <c r="Q216" s="685"/>
      <c r="R216" s="423"/>
      <c r="S216" s="674"/>
      <c r="T216" s="674"/>
      <c r="U216" s="675">
        <f>IFERROR((Table48911128[[#This Row],[Invoice Value]]-Table48911128[[#This Row],[Total cost]])/Table48911128[[#This Row],[Invoice Value]],)</f>
        <v>0</v>
      </c>
      <c r="V216" s="676"/>
      <c r="W216" s="676"/>
      <c r="X216" s="676" t="str">
        <f t="shared" si="24"/>
        <v xml:space="preserve"> - </v>
      </c>
      <c r="Y216" s="685" t="str">
        <f t="shared" si="25"/>
        <v xml:space="preserve"> - </v>
      </c>
      <c r="Z216" s="676"/>
      <c r="AA216" s="423" t="str">
        <f t="shared" ca="1" si="26"/>
        <v>-</v>
      </c>
      <c r="AB216" s="423"/>
      <c r="AC216" s="423"/>
      <c r="AD216" s="550"/>
      <c r="AE216" s="550"/>
      <c r="AF216" s="423"/>
      <c r="AG216" s="423"/>
      <c r="AH216" s="423" t="s">
        <v>3539</v>
      </c>
      <c r="AI216" s="687"/>
      <c r="AJ216" s="547" t="s">
        <v>100</v>
      </c>
      <c r="AK216" s="334" t="s">
        <v>67</v>
      </c>
      <c r="AL216" s="343"/>
      <c r="AM216" s="334"/>
      <c r="AN216" s="334"/>
      <c r="AO216" s="679"/>
      <c r="AP216" s="406"/>
      <c r="AQ216" s="406"/>
    </row>
    <row r="217" spans="1:43" ht="13.9">
      <c r="A217" s="423"/>
      <c r="B217" s="423"/>
      <c r="C217" s="548">
        <f>SUBTOTAL(109,C3:C216)</f>
        <v>7220533.7800000003</v>
      </c>
      <c r="E217" s="725"/>
      <c r="F217" s="423"/>
      <c r="G217" s="423"/>
      <c r="H217" s="423"/>
      <c r="I217" s="423" t="s">
        <v>3536</v>
      </c>
      <c r="J217" s="329"/>
      <c r="K217" s="330"/>
      <c r="L217" s="331"/>
      <c r="M217" s="329"/>
      <c r="N217" s="423"/>
      <c r="O217" s="423"/>
      <c r="P217" s="685"/>
      <c r="Q217" s="685"/>
      <c r="R217" s="423"/>
      <c r="S217" s="674">
        <f>SUBTOTAL(109,S3:S216)</f>
        <v>89050.14</v>
      </c>
      <c r="T217" s="674">
        <f>SUBTOTAL(109,T3:T216)</f>
        <v>13064.42</v>
      </c>
      <c r="U217" s="726">
        <f>(Table48911128[[#This Row],[Invoice Value]]-Table48911128[[#This Row],[Total cost]])/Table48911128[[#This Row],[Invoice Value]]</f>
        <v>0.85329141537565245</v>
      </c>
      <c r="V217" s="676"/>
      <c r="W217" s="676"/>
      <c r="X217" s="676" t="str">
        <f t="shared" si="24"/>
        <v xml:space="preserve"> - </v>
      </c>
      <c r="Y217" s="685" t="str">
        <f t="shared" si="25"/>
        <v xml:space="preserve"> - </v>
      </c>
      <c r="Z217" s="423"/>
      <c r="AA217" s="423" t="str">
        <f t="shared" ca="1" si="26"/>
        <v>-</v>
      </c>
      <c r="AB217" s="423"/>
      <c r="AC217" s="423"/>
      <c r="AD217" s="550"/>
      <c r="AE217" s="550"/>
      <c r="AF217" s="423"/>
      <c r="AG217" s="423"/>
      <c r="AH217" s="423"/>
      <c r="AI217" s="547"/>
      <c r="AJ217" s="547"/>
      <c r="AK217" s="334"/>
      <c r="AL217" s="344"/>
      <c r="AM217" s="337"/>
      <c r="AN217" s="337"/>
      <c r="AO217" s="697"/>
      <c r="AP217" s="406"/>
      <c r="AQ217" s="406"/>
    </row>
    <row r="218" spans="1:43" ht="13.9">
      <c r="A218" s="423"/>
      <c r="B218" s="423"/>
      <c r="C218" s="548"/>
      <c r="E218" s="727"/>
      <c r="F218" s="423"/>
      <c r="G218" s="423"/>
      <c r="H218" s="423"/>
      <c r="I218" s="423"/>
      <c r="J218" s="329"/>
      <c r="K218" s="330"/>
      <c r="L218" s="331"/>
      <c r="M218" s="329"/>
      <c r="N218" s="423"/>
      <c r="O218" s="423"/>
      <c r="P218" s="685"/>
      <c r="Q218" s="685"/>
      <c r="R218" s="676"/>
      <c r="S218" s="674"/>
      <c r="T218" s="674"/>
      <c r="U218" s="675" t="e">
        <f>(Table48911128[[#This Row],[Invoice Value]]-Table48911128[[#This Row],[Total cost]])/Table48911128[[#This Row],[Invoice Value]]</f>
        <v>#DIV/0!</v>
      </c>
      <c r="V218" s="676"/>
      <c r="W218" s="676"/>
      <c r="X218" s="676" t="str">
        <f t="shared" si="24"/>
        <v xml:space="preserve"> - </v>
      </c>
      <c r="Y218" s="676" t="str">
        <f t="shared" si="25"/>
        <v xml:space="preserve"> - </v>
      </c>
      <c r="Z218" s="685"/>
      <c r="AA218" s="423" t="str">
        <f t="shared" ca="1" si="26"/>
        <v>-</v>
      </c>
      <c r="AB218" s="423"/>
      <c r="AC218" s="423"/>
      <c r="AD218" s="550"/>
      <c r="AE218" s="550"/>
      <c r="AF218" s="423"/>
      <c r="AG218" s="423"/>
      <c r="AH218" s="423"/>
      <c r="AI218" s="423"/>
      <c r="AJ218" s="547"/>
      <c r="AK218" s="547"/>
      <c r="AL218" s="724"/>
      <c r="AM218" s="687"/>
      <c r="AN218" s="687"/>
      <c r="AO218" s="697"/>
      <c r="AP218" s="406"/>
      <c r="AQ218" s="406"/>
    </row>
    <row r="219" spans="1:43" ht="13.9">
      <c r="A219" s="423"/>
      <c r="B219" s="683"/>
      <c r="C219" s="548"/>
      <c r="E219" s="328"/>
      <c r="F219" s="423"/>
      <c r="G219" s="423"/>
      <c r="H219" s="423"/>
      <c r="I219" s="423"/>
      <c r="J219" s="329"/>
      <c r="K219" s="330"/>
      <c r="L219" s="331"/>
      <c r="M219" s="329"/>
      <c r="N219" s="423"/>
      <c r="O219" s="423"/>
      <c r="P219" s="685"/>
      <c r="Q219" s="685"/>
      <c r="R219" s="423"/>
      <c r="S219" s="674"/>
      <c r="T219" s="674"/>
      <c r="U219" s="675" t="e">
        <f>(Table48911128[[#This Row],[Invoice Value]]-Table48911128[[#This Row],[Total cost]])/Table48911128[[#This Row],[Invoice Value]]</f>
        <v>#DIV/0!</v>
      </c>
      <c r="V219" s="676"/>
      <c r="W219" s="676"/>
      <c r="X219" s="676" t="str">
        <f t="shared" si="24"/>
        <v xml:space="preserve"> - </v>
      </c>
      <c r="Y219" s="676" t="str">
        <f t="shared" si="25"/>
        <v xml:space="preserve"> - </v>
      </c>
      <c r="Z219" s="685"/>
      <c r="AA219" s="423" t="str">
        <f t="shared" ca="1" si="26"/>
        <v>-</v>
      </c>
      <c r="AB219" s="423"/>
      <c r="AC219" s="423"/>
      <c r="AD219" s="550"/>
      <c r="AE219" s="550"/>
      <c r="AF219" s="423"/>
      <c r="AG219" s="423"/>
      <c r="AH219" s="423"/>
      <c r="AI219" s="677"/>
      <c r="AJ219" s="547"/>
      <c r="AK219" s="547"/>
      <c r="AL219" s="682"/>
      <c r="AM219" s="547"/>
      <c r="AN219" s="547"/>
      <c r="AO219" s="679"/>
      <c r="AP219" s="406"/>
      <c r="AQ219" s="406"/>
    </row>
    <row r="220" spans="1:43" ht="14.25" customHeight="1">
      <c r="A220" s="423"/>
      <c r="B220" s="423"/>
      <c r="C220" s="548"/>
      <c r="E220" s="728"/>
      <c r="F220" s="423"/>
      <c r="G220" s="423"/>
      <c r="H220" s="423"/>
      <c r="I220" s="423"/>
      <c r="J220" s="423"/>
      <c r="K220" s="681"/>
      <c r="L220" s="670"/>
      <c r="M220" s="423"/>
      <c r="N220" s="423"/>
      <c r="O220" s="423"/>
      <c r="P220" s="685"/>
      <c r="Q220" s="685"/>
      <c r="R220" s="423"/>
      <c r="S220" s="674"/>
      <c r="T220" s="674"/>
      <c r="U220" s="675" t="e">
        <f>(Table48911128[[#This Row],[Invoice Value]]-Table48911128[[#This Row],[Total cost]])/Table48911128[[#This Row],[Invoice Value]]</f>
        <v>#DIV/0!</v>
      </c>
      <c r="V220" s="676"/>
      <c r="W220" s="676"/>
      <c r="X220" s="676" t="str">
        <f t="shared" si="24"/>
        <v xml:space="preserve"> - </v>
      </c>
      <c r="Y220" s="676" t="str">
        <f t="shared" si="25"/>
        <v xml:space="preserve"> - </v>
      </c>
      <c r="Z220" s="685"/>
      <c r="AA220" s="423" t="str">
        <f t="shared" ca="1" si="26"/>
        <v>-</v>
      </c>
      <c r="AB220" s="423"/>
      <c r="AC220" s="423"/>
      <c r="AD220" s="550"/>
      <c r="AE220" s="550"/>
      <c r="AF220" s="423"/>
      <c r="AG220" s="423"/>
      <c r="AH220" s="423"/>
      <c r="AI220" s="677"/>
      <c r="AJ220" s="547"/>
      <c r="AK220" s="547"/>
      <c r="AL220" s="682"/>
      <c r="AM220" s="547"/>
      <c r="AN220" s="547"/>
      <c r="AO220" s="679"/>
      <c r="AP220" s="406"/>
      <c r="AQ220" s="406"/>
    </row>
    <row r="221" spans="1:43" ht="14.25" customHeight="1">
      <c r="A221" s="972"/>
      <c r="B221" s="972"/>
      <c r="C221" s="1022"/>
      <c r="E221" s="1023"/>
      <c r="F221" s="972"/>
      <c r="G221" s="972"/>
      <c r="H221" s="972" t="s">
        <v>3540</v>
      </c>
      <c r="I221" s="972"/>
      <c r="J221" s="329"/>
      <c r="K221" s="330"/>
      <c r="L221" s="1024"/>
      <c r="M221" s="1025"/>
      <c r="N221" s="972"/>
      <c r="O221" s="677"/>
      <c r="P221" s="1026"/>
      <c r="Q221" s="1026"/>
      <c r="R221" s="1027"/>
      <c r="S221" s="1028"/>
      <c r="T221" s="1028"/>
      <c r="U221" s="1029" t="e">
        <f>(Table48911128[[#This Row],[Invoice Value]]-Table48911128[[#This Row],[Total cost]])/Table48911128[[#This Row],[Invoice Value]]</f>
        <v>#DIV/0!</v>
      </c>
      <c r="V221" s="1027"/>
      <c r="W221" s="696"/>
      <c r="X221" s="1027" t="str">
        <f t="shared" si="24"/>
        <v xml:space="preserve"> - </v>
      </c>
      <c r="Y221" s="1027" t="str">
        <f t="shared" si="25"/>
        <v xml:space="preserve"> - </v>
      </c>
      <c r="Z221" s="1026"/>
      <c r="AA221" s="972" t="str">
        <f t="shared" ca="1" si="26"/>
        <v>-</v>
      </c>
      <c r="AB221" s="972"/>
      <c r="AC221" s="972"/>
      <c r="AD221" s="975"/>
      <c r="AE221" s="975"/>
      <c r="AF221" s="972"/>
      <c r="AG221" s="972"/>
      <c r="AH221" s="972"/>
      <c r="AI221" s="972"/>
      <c r="AJ221" s="687"/>
      <c r="AK221" s="687"/>
      <c r="AL221" s="724"/>
      <c r="AM221" s="687"/>
      <c r="AN221" s="687"/>
      <c r="AO221" s="729"/>
      <c r="AP221" s="406"/>
      <c r="AQ221" s="406"/>
    </row>
  </sheetData>
  <mergeCells count="5">
    <mergeCell ref="O1:U1"/>
    <mergeCell ref="W1:Z1"/>
    <mergeCell ref="AC1:AD1"/>
    <mergeCell ref="AE1:AF1"/>
    <mergeCell ref="AG1:AL1"/>
  </mergeCells>
  <phoneticPr fontId="25" type="noConversion"/>
  <pageMargins left="0.7" right="0.7" top="0.75" bottom="0.75" header="0.3" footer="0.3"/>
  <pageSetup paperSize="5" scale="26" fitToHeight="0" orientation="landscape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3C4F8-13F4-4DBB-B711-DB390671D3A9}">
  <sheetPr>
    <pageSetUpPr fitToPage="1"/>
  </sheetPr>
  <dimension ref="A1:AP251"/>
  <sheetViews>
    <sheetView zoomScale="80" zoomScaleNormal="80" workbookViewId="0">
      <pane xSplit="13" ySplit="2" topLeftCell="N53" activePane="bottomRight" state="frozen"/>
      <selection pane="bottomRight" activeCell="B29" sqref="B29"/>
      <selection pane="bottomLeft" activeCell="A3" sqref="A3"/>
      <selection pane="topRight" activeCell="L1" sqref="L1"/>
    </sheetView>
  </sheetViews>
  <sheetFormatPr defaultColWidth="8.5703125" defaultRowHeight="14.25" customHeight="1"/>
  <cols>
    <col min="1" max="1" width="18" style="328" customWidth="1"/>
    <col min="2" max="2" width="31.28515625" style="329" customWidth="1"/>
    <col min="3" max="3" width="17.42578125" style="336" customWidth="1"/>
    <col min="4" max="4" width="15.42578125" style="750" customWidth="1"/>
    <col min="5" max="5" width="44.42578125" style="329" customWidth="1"/>
    <col min="6" max="6" width="15" style="329" customWidth="1"/>
    <col min="7" max="7" width="15.42578125" style="329" customWidth="1"/>
    <col min="8" max="8" width="18" style="329" customWidth="1"/>
    <col min="9" max="9" width="19.42578125" style="329" customWidth="1"/>
    <col min="10" max="10" width="15.7109375" style="330" customWidth="1"/>
    <col min="11" max="11" width="15.140625" style="331" customWidth="1"/>
    <col min="12" max="12" width="13.85546875" style="328" customWidth="1"/>
    <col min="13" max="13" width="17.7109375" style="341" customWidth="1"/>
    <col min="14" max="14" width="34.140625" style="328" customWidth="1"/>
    <col min="15" max="15" width="24.85546875" style="339" customWidth="1"/>
    <col min="16" max="16" width="15.42578125" style="332" customWidth="1"/>
    <col min="17" max="17" width="15.5703125" style="328" customWidth="1"/>
    <col min="18" max="18" width="17.28515625" style="333" customWidth="1"/>
    <col min="19" max="19" width="14.140625" style="333" customWidth="1"/>
    <col min="20" max="20" width="14.7109375" style="336" customWidth="1"/>
    <col min="21" max="21" width="15.7109375" style="328" customWidth="1"/>
    <col min="22" max="22" width="16.140625" style="328" customWidth="1"/>
    <col min="23" max="23" width="18.85546875" style="328" customWidth="1" collapsed="1"/>
    <col min="24" max="24" width="17.85546875" style="328" customWidth="1"/>
    <col min="25" max="25" width="13.140625" style="328" customWidth="1"/>
    <col min="26" max="26" width="30.140625" style="328" customWidth="1"/>
    <col min="27" max="28" width="9.85546875" style="328" customWidth="1"/>
    <col min="29" max="29" width="8.5703125" style="335" customWidth="1"/>
    <col min="30" max="30" width="9.42578125" style="335" customWidth="1"/>
    <col min="31" max="31" width="11.85546875" style="328" customWidth="1"/>
    <col min="32" max="32" width="12.140625" style="328" customWidth="1"/>
    <col min="33" max="33" width="33.85546875" style="328" customWidth="1"/>
    <col min="34" max="34" width="21.140625" style="328" hidden="1" customWidth="1"/>
    <col min="35" max="36" width="0" style="328" hidden="1" customWidth="1"/>
    <col min="37" max="37" width="22.5703125" style="328" customWidth="1"/>
    <col min="38" max="38" width="27.7109375" style="342" customWidth="1"/>
    <col min="39" max="40" width="26.140625" style="328" customWidth="1"/>
    <col min="41" max="41" width="25.42578125" style="339" customWidth="1"/>
    <col min="42" max="16384" width="8.5703125" style="328"/>
  </cols>
  <sheetData>
    <row r="1" spans="1:42" s="375" customFormat="1" ht="22.5" customHeight="1">
      <c r="A1" s="372"/>
      <c r="B1" s="373"/>
      <c r="C1" s="374"/>
      <c r="D1" s="733"/>
      <c r="E1" s="372"/>
      <c r="F1" s="372"/>
      <c r="G1" s="372"/>
      <c r="H1" s="372"/>
      <c r="I1" s="372"/>
      <c r="J1" s="372"/>
      <c r="K1" s="372"/>
      <c r="L1" s="372"/>
      <c r="M1" s="372"/>
      <c r="N1" s="372"/>
      <c r="O1" s="1054" t="s">
        <v>3248</v>
      </c>
      <c r="P1" s="1054"/>
      <c r="Q1" s="1054"/>
      <c r="R1" s="1054"/>
      <c r="S1" s="1054"/>
      <c r="T1" s="1054"/>
      <c r="U1" s="1054"/>
      <c r="V1" s="376" t="s">
        <v>3249</v>
      </c>
      <c r="W1" s="1055" t="s">
        <v>3</v>
      </c>
      <c r="X1" s="1055"/>
      <c r="Y1" s="1055"/>
      <c r="Z1" s="1055"/>
      <c r="AA1" s="372"/>
      <c r="AB1" s="372"/>
      <c r="AC1" s="1055" t="s">
        <v>4</v>
      </c>
      <c r="AD1" s="1055"/>
      <c r="AE1" s="1055" t="s">
        <v>5</v>
      </c>
      <c r="AF1" s="1055"/>
      <c r="AG1" s="1055" t="s">
        <v>3250</v>
      </c>
      <c r="AH1" s="1055"/>
      <c r="AI1" s="1055"/>
      <c r="AJ1" s="1055"/>
      <c r="AK1" s="1055"/>
      <c r="AL1" s="1055"/>
      <c r="AM1" s="372" t="s">
        <v>3251</v>
      </c>
      <c r="AN1" s="372"/>
      <c r="AO1" s="377" t="s">
        <v>3252</v>
      </c>
    </row>
    <row r="2" spans="1:42" s="381" customFormat="1" ht="96.6">
      <c r="A2" s="378" t="s">
        <v>9</v>
      </c>
      <c r="B2" s="379" t="s">
        <v>34</v>
      </c>
      <c r="C2" s="380" t="s">
        <v>35</v>
      </c>
      <c r="D2" s="734" t="s">
        <v>3253</v>
      </c>
      <c r="E2" s="382" t="s">
        <v>15</v>
      </c>
      <c r="F2" s="378" t="s">
        <v>3254</v>
      </c>
      <c r="G2" s="383" t="s">
        <v>10</v>
      </c>
      <c r="H2" s="383" t="s">
        <v>11</v>
      </c>
      <c r="I2" s="383" t="s">
        <v>3255</v>
      </c>
      <c r="J2" s="383" t="s">
        <v>3256</v>
      </c>
      <c r="K2" s="384" t="s">
        <v>3257</v>
      </c>
      <c r="L2" s="385" t="s">
        <v>3258</v>
      </c>
      <c r="M2" s="383" t="s">
        <v>3259</v>
      </c>
      <c r="N2" s="383" t="s">
        <v>16</v>
      </c>
      <c r="O2" s="379" t="s">
        <v>3260</v>
      </c>
      <c r="P2" s="386" t="s">
        <v>36</v>
      </c>
      <c r="Q2" s="387" t="s">
        <v>37</v>
      </c>
      <c r="R2" s="379" t="s">
        <v>3261</v>
      </c>
      <c r="S2" s="388" t="s">
        <v>44</v>
      </c>
      <c r="T2" s="388" t="s">
        <v>45</v>
      </c>
      <c r="U2" s="389" t="s">
        <v>490</v>
      </c>
      <c r="V2" s="379" t="s">
        <v>46</v>
      </c>
      <c r="W2" s="379" t="s">
        <v>3262</v>
      </c>
      <c r="X2" s="379" t="s">
        <v>47</v>
      </c>
      <c r="Y2" s="390" t="s">
        <v>48</v>
      </c>
      <c r="Z2" s="390" t="s">
        <v>49</v>
      </c>
      <c r="AA2" s="378" t="s">
        <v>50</v>
      </c>
      <c r="AB2" s="378" t="s">
        <v>3263</v>
      </c>
      <c r="AC2" s="378" t="s">
        <v>3264</v>
      </c>
      <c r="AD2" s="383" t="s">
        <v>3265</v>
      </c>
      <c r="AE2" s="383" t="s">
        <v>3266</v>
      </c>
      <c r="AF2" s="383" t="s">
        <v>53</v>
      </c>
      <c r="AG2" s="383" t="s">
        <v>54</v>
      </c>
      <c r="AH2" s="383" t="s">
        <v>3267</v>
      </c>
      <c r="AI2" s="383" t="s">
        <v>3268</v>
      </c>
      <c r="AJ2" s="383" t="s">
        <v>3269</v>
      </c>
      <c r="AK2" s="383" t="s">
        <v>3270</v>
      </c>
      <c r="AL2" s="391" t="s">
        <v>3271</v>
      </c>
      <c r="AM2" s="379" t="s">
        <v>3272</v>
      </c>
      <c r="AN2" s="379" t="s">
        <v>3273</v>
      </c>
      <c r="AO2" s="392" t="s">
        <v>3274</v>
      </c>
      <c r="AP2" s="936" t="s">
        <v>3275</v>
      </c>
    </row>
    <row r="3" spans="1:42" s="395" customFormat="1" ht="30" customHeight="1">
      <c r="A3" s="393"/>
      <c r="B3" s="393">
        <v>4700601221</v>
      </c>
      <c r="C3" s="394">
        <v>229170</v>
      </c>
      <c r="D3" s="735"/>
      <c r="E3" s="396" t="s">
        <v>3541</v>
      </c>
      <c r="F3" s="393" t="s">
        <v>3542</v>
      </c>
      <c r="G3" s="393" t="s">
        <v>311</v>
      </c>
      <c r="H3" s="393" t="s">
        <v>311</v>
      </c>
      <c r="I3" s="393" t="s">
        <v>3543</v>
      </c>
      <c r="J3" s="393">
        <v>202406</v>
      </c>
      <c r="K3" s="397"/>
      <c r="L3" s="398" t="s">
        <v>3544</v>
      </c>
      <c r="M3" s="393"/>
      <c r="N3" s="393"/>
      <c r="O3" s="393" t="s">
        <v>3288</v>
      </c>
      <c r="P3" s="399"/>
      <c r="Q3" s="400"/>
      <c r="R3" s="400"/>
      <c r="S3" s="401"/>
      <c r="T3" s="401"/>
      <c r="U3" s="402" t="e">
        <f>(Table4891112[[#This Row],[Invoice Value]]-Table4891112[[#This Row],[Total cost]])/Table4891112[[#This Row],[Invoice Value]]</f>
        <v>#DIV/0!</v>
      </c>
      <c r="V3" s="400"/>
      <c r="W3" s="400"/>
      <c r="X3" s="400" t="str">
        <f t="shared" ref="X3:X24" si="0">IF(Q3&gt;0,Q3+3," - ")</f>
        <v xml:space="preserve"> - </v>
      </c>
      <c r="Y3" s="400" t="str">
        <f t="shared" ref="Y3:Y24" si="1">IF(Q3&gt;0,Q3+14," - ")</f>
        <v xml:space="preserve"> - </v>
      </c>
      <c r="Z3" s="400"/>
      <c r="AA3" s="393" t="str">
        <f t="shared" ref="AA3:AA24" ca="1" si="2">IF(P3=0,"-",IF(Z3&gt;0,"Delivered",IF(TODAY()&gt;Y3,"Overdue",IF(TODAY()&lt;Y3,"In Progress"))))</f>
        <v>-</v>
      </c>
      <c r="AB3" s="393"/>
      <c r="AC3" s="393"/>
      <c r="AD3" s="393"/>
      <c r="AE3" s="393"/>
      <c r="AF3" s="393"/>
      <c r="AG3" s="393"/>
      <c r="AH3" s="393" t="s">
        <v>3477</v>
      </c>
      <c r="AI3" s="403"/>
      <c r="AJ3" s="393"/>
      <c r="AK3" s="393"/>
      <c r="AL3" s="404" t="s">
        <v>3545</v>
      </c>
      <c r="AM3" s="393"/>
      <c r="AN3" s="393"/>
      <c r="AO3" s="405" t="s">
        <v>3546</v>
      </c>
      <c r="AP3" s="406"/>
    </row>
    <row r="4" spans="1:42" s="375" customFormat="1" ht="30" customHeight="1">
      <c r="A4" s="407" t="s">
        <v>3547</v>
      </c>
      <c r="B4" s="407" t="s">
        <v>3548</v>
      </c>
      <c r="C4" s="408">
        <v>69378.600000000006</v>
      </c>
      <c r="D4" s="733"/>
      <c r="E4" s="409" t="s">
        <v>3549</v>
      </c>
      <c r="F4" s="407" t="s">
        <v>3550</v>
      </c>
      <c r="G4" s="407" t="s">
        <v>3284</v>
      </c>
      <c r="H4" s="407" t="s">
        <v>185</v>
      </c>
      <c r="I4" s="407" t="s">
        <v>3551</v>
      </c>
      <c r="J4" s="407"/>
      <c r="K4" s="410"/>
      <c r="L4" s="411" t="s">
        <v>3552</v>
      </c>
      <c r="M4" s="412" t="s">
        <v>3553</v>
      </c>
      <c r="N4" s="407"/>
      <c r="O4" s="407" t="s">
        <v>3288</v>
      </c>
      <c r="P4" s="413" t="s">
        <v>3552</v>
      </c>
      <c r="Q4" s="412" t="s">
        <v>3553</v>
      </c>
      <c r="R4" s="412" t="s">
        <v>3554</v>
      </c>
      <c r="S4" s="414">
        <v>74597</v>
      </c>
      <c r="T4" s="414">
        <v>46816</v>
      </c>
      <c r="U4" s="415">
        <f>(Table4891112[[#This Row],[Invoice Value]]-Table4891112[[#This Row],[Total cost]])/Table4891112[[#This Row],[Invoice Value]]</f>
        <v>0.37241444025899167</v>
      </c>
      <c r="V4" s="412" t="s">
        <v>3555</v>
      </c>
      <c r="W4" s="412"/>
      <c r="X4" s="412" t="e">
        <f t="shared" si="0"/>
        <v>#VALUE!</v>
      </c>
      <c r="Y4" s="412" t="e">
        <f t="shared" si="1"/>
        <v>#VALUE!</v>
      </c>
      <c r="Z4" s="412"/>
      <c r="AA4" s="407" t="e">
        <f t="shared" ca="1" si="2"/>
        <v>#VALUE!</v>
      </c>
      <c r="AB4" s="407"/>
      <c r="AC4" s="407"/>
      <c r="AD4" s="416" t="s">
        <v>3476</v>
      </c>
      <c r="AE4" s="417" t="s">
        <v>3489</v>
      </c>
      <c r="AF4" s="407"/>
      <c r="AG4" s="407"/>
      <c r="AH4" s="407" t="s">
        <v>3477</v>
      </c>
      <c r="AI4" s="418"/>
      <c r="AJ4" s="407"/>
      <c r="AK4" s="407"/>
      <c r="AL4" s="419" t="s">
        <v>3556</v>
      </c>
      <c r="AM4" s="420" t="s">
        <v>3477</v>
      </c>
      <c r="AN4" s="420">
        <v>32</v>
      </c>
      <c r="AO4" s="421" t="s">
        <v>3557</v>
      </c>
      <c r="AP4" s="406"/>
    </row>
    <row r="5" spans="1:42" s="375" customFormat="1" ht="30" customHeight="1">
      <c r="A5" s="407" t="s">
        <v>3558</v>
      </c>
      <c r="B5" s="407" t="s">
        <v>3559</v>
      </c>
      <c r="C5" s="408">
        <v>78552</v>
      </c>
      <c r="D5" s="733"/>
      <c r="E5" s="409" t="s">
        <v>3560</v>
      </c>
      <c r="F5" s="407" t="s">
        <v>3561</v>
      </c>
      <c r="G5" s="407" t="s">
        <v>3562</v>
      </c>
      <c r="H5" s="407" t="s">
        <v>185</v>
      </c>
      <c r="I5" s="407" t="s">
        <v>3563</v>
      </c>
      <c r="J5" s="407"/>
      <c r="K5" s="410"/>
      <c r="L5" s="411" t="s">
        <v>3564</v>
      </c>
      <c r="M5" s="412" t="s">
        <v>3565</v>
      </c>
      <c r="N5" s="407"/>
      <c r="O5" s="407" t="s">
        <v>3288</v>
      </c>
      <c r="P5" s="413" t="s">
        <v>3564</v>
      </c>
      <c r="Q5" s="412" t="s">
        <v>3565</v>
      </c>
      <c r="R5" s="412" t="s">
        <v>3566</v>
      </c>
      <c r="S5" s="414">
        <v>58823</v>
      </c>
      <c r="T5" s="414">
        <v>40015</v>
      </c>
      <c r="U5" s="415">
        <f>(Table4891112[[#This Row],[Invoice Value]]-Table4891112[[#This Row],[Total cost]])/Table4891112[[#This Row],[Invoice Value]]</f>
        <v>0.31973887764989883</v>
      </c>
      <c r="V5" s="412" t="s">
        <v>3567</v>
      </c>
      <c r="W5" s="412"/>
      <c r="X5" s="412" t="e">
        <f t="shared" si="0"/>
        <v>#VALUE!</v>
      </c>
      <c r="Y5" s="412" t="e">
        <f t="shared" si="1"/>
        <v>#VALUE!</v>
      </c>
      <c r="Z5" s="412"/>
      <c r="AA5" s="407" t="e">
        <f t="shared" ca="1" si="2"/>
        <v>#VALUE!</v>
      </c>
      <c r="AB5" s="407"/>
      <c r="AC5" s="407"/>
      <c r="AD5" s="417" t="s">
        <v>3489</v>
      </c>
      <c r="AE5" s="417" t="s">
        <v>3489</v>
      </c>
      <c r="AF5" s="407"/>
      <c r="AG5" s="407"/>
      <c r="AH5" s="407" t="s">
        <v>3477</v>
      </c>
      <c r="AI5" s="418"/>
      <c r="AJ5" s="407"/>
      <c r="AK5" s="407"/>
      <c r="AL5" s="419" t="s">
        <v>3556</v>
      </c>
      <c r="AM5" s="420" t="s">
        <v>3477</v>
      </c>
      <c r="AN5" s="420">
        <v>35</v>
      </c>
      <c r="AO5" s="421" t="s">
        <v>3546</v>
      </c>
      <c r="AP5" s="406"/>
    </row>
    <row r="6" spans="1:42" s="375" customFormat="1" ht="30" customHeight="1">
      <c r="A6" s="407" t="s">
        <v>3568</v>
      </c>
      <c r="B6" s="407" t="s">
        <v>3569</v>
      </c>
      <c r="C6" s="408">
        <v>28155</v>
      </c>
      <c r="D6" s="733"/>
      <c r="E6" s="409" t="s">
        <v>3570</v>
      </c>
      <c r="F6" s="407" t="s">
        <v>3283</v>
      </c>
      <c r="G6" s="407" t="s">
        <v>3295</v>
      </c>
      <c r="H6" s="407" t="s">
        <v>185</v>
      </c>
      <c r="I6" s="407" t="s">
        <v>3481</v>
      </c>
      <c r="J6" s="407"/>
      <c r="K6" s="410"/>
      <c r="L6" s="411" t="s">
        <v>3571</v>
      </c>
      <c r="M6" s="407" t="s">
        <v>3572</v>
      </c>
      <c r="N6" s="407"/>
      <c r="O6" s="407" t="s">
        <v>3288</v>
      </c>
      <c r="P6" s="413" t="s">
        <v>3571</v>
      </c>
      <c r="Q6" s="412" t="s">
        <v>3572</v>
      </c>
      <c r="R6" s="412" t="s">
        <v>3573</v>
      </c>
      <c r="S6" s="414">
        <v>59197</v>
      </c>
      <c r="T6" s="414">
        <v>43135</v>
      </c>
      <c r="U6" s="415">
        <f>(Table4891112[[#This Row],[Invoice Value]]-Table4891112[[#This Row],[Total cost]])/Table4891112[[#This Row],[Invoice Value]]</f>
        <v>0.27133131746541211</v>
      </c>
      <c r="V6" s="412" t="s">
        <v>3574</v>
      </c>
      <c r="W6" s="412"/>
      <c r="X6" s="412" t="e">
        <f t="shared" si="0"/>
        <v>#VALUE!</v>
      </c>
      <c r="Y6" s="412" t="e">
        <f t="shared" si="1"/>
        <v>#VALUE!</v>
      </c>
      <c r="Z6" s="412"/>
      <c r="AA6" s="407" t="e">
        <f t="shared" ca="1" si="2"/>
        <v>#VALUE!</v>
      </c>
      <c r="AB6" s="407"/>
      <c r="AC6" s="407"/>
      <c r="AD6" s="416" t="s">
        <v>3476</v>
      </c>
      <c r="AE6" s="416" t="s">
        <v>3476</v>
      </c>
      <c r="AF6" s="407"/>
      <c r="AG6" s="407"/>
      <c r="AH6" s="407" t="s">
        <v>3477</v>
      </c>
      <c r="AI6" s="418"/>
      <c r="AJ6" s="407"/>
      <c r="AK6" s="407"/>
      <c r="AL6" s="419" t="s">
        <v>3575</v>
      </c>
      <c r="AM6" s="945" t="s">
        <v>3469</v>
      </c>
      <c r="AN6" s="946">
        <v>64</v>
      </c>
      <c r="AO6" s="422" t="s">
        <v>3557</v>
      </c>
      <c r="AP6" s="406"/>
    </row>
    <row r="7" spans="1:42" s="375" customFormat="1" ht="30" customHeight="1">
      <c r="A7" s="407" t="s">
        <v>3576</v>
      </c>
      <c r="B7" s="407" t="s">
        <v>3577</v>
      </c>
      <c r="C7" s="408">
        <v>32197</v>
      </c>
      <c r="D7" s="733"/>
      <c r="E7" s="409" t="s">
        <v>3578</v>
      </c>
      <c r="F7" s="407" t="s">
        <v>3283</v>
      </c>
      <c r="G7" s="407" t="s">
        <v>3295</v>
      </c>
      <c r="H7" s="407" t="s">
        <v>185</v>
      </c>
      <c r="I7" s="407" t="s">
        <v>3481</v>
      </c>
      <c r="J7" s="407"/>
      <c r="K7" s="410"/>
      <c r="L7" s="411" t="s">
        <v>3579</v>
      </c>
      <c r="M7" s="407" t="s">
        <v>3580</v>
      </c>
      <c r="N7" s="407"/>
      <c r="O7" s="407" t="s">
        <v>3288</v>
      </c>
      <c r="P7" s="413" t="s">
        <v>3579</v>
      </c>
      <c r="Q7" s="412" t="s">
        <v>3581</v>
      </c>
      <c r="R7" s="412" t="s">
        <v>3582</v>
      </c>
      <c r="S7" s="414">
        <v>48287</v>
      </c>
      <c r="T7" s="414">
        <v>25018</v>
      </c>
      <c r="U7" s="415">
        <f>(Table4891112[[#This Row],[Invoice Value]]-Table4891112[[#This Row],[Total cost]])/Table4891112[[#This Row],[Invoice Value]]</f>
        <v>0.48188953548574148</v>
      </c>
      <c r="V7" s="412" t="s">
        <v>3567</v>
      </c>
      <c r="W7" s="412"/>
      <c r="X7" s="412" t="e">
        <f t="shared" si="0"/>
        <v>#VALUE!</v>
      </c>
      <c r="Y7" s="412" t="e">
        <f t="shared" si="1"/>
        <v>#VALUE!</v>
      </c>
      <c r="Z7" s="412"/>
      <c r="AA7" s="407" t="e">
        <f t="shared" ca="1" si="2"/>
        <v>#VALUE!</v>
      </c>
      <c r="AB7" s="407"/>
      <c r="AC7" s="407"/>
      <c r="AD7" s="417" t="s">
        <v>3489</v>
      </c>
      <c r="AE7" s="417" t="s">
        <v>3489</v>
      </c>
      <c r="AF7" s="407"/>
      <c r="AG7" s="407"/>
      <c r="AH7" s="407" t="s">
        <v>3477</v>
      </c>
      <c r="AI7" s="418"/>
      <c r="AJ7" s="407"/>
      <c r="AK7" s="407"/>
      <c r="AL7" s="419" t="s">
        <v>3556</v>
      </c>
      <c r="AM7" s="420" t="s">
        <v>3477</v>
      </c>
      <c r="AN7" s="420">
        <v>27</v>
      </c>
      <c r="AO7" s="422" t="s">
        <v>3557</v>
      </c>
      <c r="AP7" s="406"/>
    </row>
    <row r="8" spans="1:42" s="375" customFormat="1" ht="30" customHeight="1">
      <c r="A8" s="407" t="s">
        <v>3576</v>
      </c>
      <c r="B8" s="407" t="s">
        <v>3577</v>
      </c>
      <c r="C8" s="408">
        <v>32197</v>
      </c>
      <c r="D8" s="733"/>
      <c r="E8" s="409" t="s">
        <v>3583</v>
      </c>
      <c r="F8" s="407" t="s">
        <v>3283</v>
      </c>
      <c r="G8" s="407" t="s">
        <v>3295</v>
      </c>
      <c r="H8" s="407" t="s">
        <v>185</v>
      </c>
      <c r="I8" s="407" t="s">
        <v>3481</v>
      </c>
      <c r="J8" s="407">
        <v>202405</v>
      </c>
      <c r="K8" s="410"/>
      <c r="L8" s="411" t="s">
        <v>3584</v>
      </c>
      <c r="M8" s="407" t="s">
        <v>3580</v>
      </c>
      <c r="N8" s="407"/>
      <c r="O8" s="407" t="s">
        <v>3288</v>
      </c>
      <c r="P8" s="413" t="s">
        <v>3585</v>
      </c>
      <c r="Q8" s="412" t="s">
        <v>3586</v>
      </c>
      <c r="R8" s="407" t="s">
        <v>3587</v>
      </c>
      <c r="S8" s="414">
        <v>45398</v>
      </c>
      <c r="T8" s="414">
        <v>31208</v>
      </c>
      <c r="U8" s="415">
        <f>IFERROR((Table4891112[[#This Row],[Invoice Value]]-Table4891112[[#This Row],[Total cost]])/Table4891112[[#This Row],[Invoice Value]],)</f>
        <v>0.3125688356315256</v>
      </c>
      <c r="V8" s="412" t="s">
        <v>3588</v>
      </c>
      <c r="W8" s="412"/>
      <c r="X8" s="412" t="e">
        <f t="shared" si="0"/>
        <v>#VALUE!</v>
      </c>
      <c r="Y8" s="412" t="e">
        <f t="shared" si="1"/>
        <v>#VALUE!</v>
      </c>
      <c r="Z8" s="412"/>
      <c r="AA8" s="407" t="e">
        <f t="shared" ca="1" si="2"/>
        <v>#VALUE!</v>
      </c>
      <c r="AB8" s="407"/>
      <c r="AC8" s="407"/>
      <c r="AD8" s="416" t="s">
        <v>3476</v>
      </c>
      <c r="AE8" s="416" t="s">
        <v>3476</v>
      </c>
      <c r="AF8" s="407"/>
      <c r="AG8" s="407"/>
      <c r="AH8" s="407" t="s">
        <v>3477</v>
      </c>
      <c r="AI8" s="418"/>
      <c r="AJ8" s="407"/>
      <c r="AK8" s="407"/>
      <c r="AL8" s="419" t="s">
        <v>3556</v>
      </c>
      <c r="AM8" s="420" t="s">
        <v>3477</v>
      </c>
      <c r="AN8" s="420">
        <v>16</v>
      </c>
      <c r="AO8" s="422" t="s">
        <v>3557</v>
      </c>
      <c r="AP8" s="406"/>
    </row>
    <row r="9" spans="1:42" s="375" customFormat="1" ht="30" customHeight="1">
      <c r="A9" s="407" t="s">
        <v>3589</v>
      </c>
      <c r="B9" s="407" t="s">
        <v>3590</v>
      </c>
      <c r="C9" s="408">
        <v>27307</v>
      </c>
      <c r="D9" s="733"/>
      <c r="E9" s="409" t="s">
        <v>3591</v>
      </c>
      <c r="F9" s="407" t="s">
        <v>3283</v>
      </c>
      <c r="G9" s="407" t="s">
        <v>3295</v>
      </c>
      <c r="H9" s="407" t="s">
        <v>185</v>
      </c>
      <c r="I9" s="407" t="s">
        <v>3481</v>
      </c>
      <c r="J9" s="407"/>
      <c r="K9" s="410"/>
      <c r="L9" s="411" t="s">
        <v>3579</v>
      </c>
      <c r="M9" s="407" t="s">
        <v>3592</v>
      </c>
      <c r="N9" s="407"/>
      <c r="O9" s="407" t="s">
        <v>3288</v>
      </c>
      <c r="P9" s="413" t="s">
        <v>3579</v>
      </c>
      <c r="Q9" s="412" t="s">
        <v>3572</v>
      </c>
      <c r="R9" s="412" t="s">
        <v>3593</v>
      </c>
      <c r="S9" s="414">
        <v>27007</v>
      </c>
      <c r="T9" s="414">
        <v>16866</v>
      </c>
      <c r="U9" s="415">
        <f>(Table4891112[[#This Row],[Invoice Value]]-Table4891112[[#This Row],[Total cost]])/Table4891112[[#This Row],[Invoice Value]]</f>
        <v>0.37549524197430295</v>
      </c>
      <c r="V9" s="412" t="s">
        <v>3592</v>
      </c>
      <c r="W9" s="412"/>
      <c r="X9" s="412" t="e">
        <f t="shared" si="0"/>
        <v>#VALUE!</v>
      </c>
      <c r="Y9" s="412" t="e">
        <f t="shared" si="1"/>
        <v>#VALUE!</v>
      </c>
      <c r="Z9" s="412"/>
      <c r="AA9" s="407" t="e">
        <f t="shared" ca="1" si="2"/>
        <v>#VALUE!</v>
      </c>
      <c r="AB9" s="407"/>
      <c r="AC9" s="407"/>
      <c r="AD9" s="416" t="s">
        <v>3476</v>
      </c>
      <c r="AE9" s="416" t="s">
        <v>3476</v>
      </c>
      <c r="AF9" s="407"/>
      <c r="AG9" s="407"/>
      <c r="AH9" s="407" t="s">
        <v>3477</v>
      </c>
      <c r="AI9" s="418"/>
      <c r="AJ9" s="407"/>
      <c r="AK9" s="407"/>
      <c r="AL9" s="419" t="s">
        <v>3556</v>
      </c>
      <c r="AM9" s="420" t="s">
        <v>3477</v>
      </c>
      <c r="AN9" s="420">
        <v>29</v>
      </c>
      <c r="AO9" s="422" t="s">
        <v>3557</v>
      </c>
      <c r="AP9" s="406"/>
    </row>
    <row r="10" spans="1:42" s="375" customFormat="1" ht="52.5" customHeight="1">
      <c r="A10" s="407" t="s">
        <v>3594</v>
      </c>
      <c r="B10" s="407" t="s">
        <v>3595</v>
      </c>
      <c r="C10" s="408">
        <v>1184</v>
      </c>
      <c r="D10" s="733"/>
      <c r="E10" s="409" t="s">
        <v>3596</v>
      </c>
      <c r="F10" s="407" t="s">
        <v>3283</v>
      </c>
      <c r="G10" s="407" t="s">
        <v>3562</v>
      </c>
      <c r="H10" s="407" t="s">
        <v>185</v>
      </c>
      <c r="I10" s="407" t="s">
        <v>3597</v>
      </c>
      <c r="J10" s="407"/>
      <c r="K10" s="410"/>
      <c r="L10" s="411" t="s">
        <v>3598</v>
      </c>
      <c r="M10" s="407" t="s">
        <v>3599</v>
      </c>
      <c r="N10" s="407"/>
      <c r="O10" s="407" t="s">
        <v>3288</v>
      </c>
      <c r="P10" s="413" t="s">
        <v>2332</v>
      </c>
      <c r="Q10" s="412" t="s">
        <v>2332</v>
      </c>
      <c r="R10" s="412" t="s">
        <v>3600</v>
      </c>
      <c r="S10" s="414">
        <v>1066</v>
      </c>
      <c r="T10" s="414">
        <v>772</v>
      </c>
      <c r="U10" s="415">
        <f>(Table4891112[[#This Row],[Invoice Value]]-Table4891112[[#This Row],[Total cost]])/Table4891112[[#This Row],[Invoice Value]]</f>
        <v>0.27579737335834897</v>
      </c>
      <c r="V10" s="412" t="s">
        <v>3574</v>
      </c>
      <c r="W10" s="412"/>
      <c r="X10" s="412" t="e">
        <f t="shared" si="0"/>
        <v>#VALUE!</v>
      </c>
      <c r="Y10" s="412" t="e">
        <f t="shared" si="1"/>
        <v>#VALUE!</v>
      </c>
      <c r="Z10" s="412"/>
      <c r="AA10" s="407" t="e">
        <f t="shared" ca="1" si="2"/>
        <v>#VALUE!</v>
      </c>
      <c r="AB10" s="407"/>
      <c r="AC10" s="407"/>
      <c r="AD10" s="417" t="s">
        <v>3489</v>
      </c>
      <c r="AE10" s="417" t="s">
        <v>3489</v>
      </c>
      <c r="AF10" s="407"/>
      <c r="AG10" s="407"/>
      <c r="AH10" s="407" t="s">
        <v>3477</v>
      </c>
      <c r="AI10" s="418"/>
      <c r="AJ10" s="407"/>
      <c r="AK10" s="407"/>
      <c r="AL10" s="419" t="s">
        <v>3601</v>
      </c>
      <c r="AM10" s="945" t="s">
        <v>3469</v>
      </c>
      <c r="AN10" s="945" t="s">
        <v>3602</v>
      </c>
      <c r="AO10" s="422" t="s">
        <v>3557</v>
      </c>
      <c r="AP10" s="406"/>
    </row>
    <row r="11" spans="1:42" s="375" customFormat="1" ht="30" customHeight="1">
      <c r="A11" s="407" t="s">
        <v>3603</v>
      </c>
      <c r="B11" s="407" t="s">
        <v>3604</v>
      </c>
      <c r="C11" s="408">
        <v>58287</v>
      </c>
      <c r="D11" s="733"/>
      <c r="E11" s="409" t="s">
        <v>3605</v>
      </c>
      <c r="F11" s="407" t="s">
        <v>3542</v>
      </c>
      <c r="G11" s="407" t="s">
        <v>3562</v>
      </c>
      <c r="H11" s="407" t="s">
        <v>185</v>
      </c>
      <c r="I11" s="407" t="s">
        <v>3551</v>
      </c>
      <c r="J11" s="407"/>
      <c r="K11" s="410"/>
      <c r="L11" s="411" t="s">
        <v>3581</v>
      </c>
      <c r="M11" s="407" t="s">
        <v>3606</v>
      </c>
      <c r="N11" s="407"/>
      <c r="O11" s="407" t="s">
        <v>3288</v>
      </c>
      <c r="P11" s="413" t="s">
        <v>3581</v>
      </c>
      <c r="Q11" s="412" t="s">
        <v>3607</v>
      </c>
      <c r="R11" s="412" t="s">
        <v>3608</v>
      </c>
      <c r="S11" s="414">
        <v>52458.47</v>
      </c>
      <c r="T11" s="414">
        <v>16623.47</v>
      </c>
      <c r="U11" s="415">
        <f>(Table4891112[[#This Row],[Invoice Value]]-Table4891112[[#This Row],[Total cost]])/Table4891112[[#This Row],[Invoice Value]]</f>
        <v>0.68311180253636827</v>
      </c>
      <c r="V11" s="412" t="s">
        <v>3606</v>
      </c>
      <c r="W11" s="412"/>
      <c r="X11" s="412" t="e">
        <f t="shared" si="0"/>
        <v>#VALUE!</v>
      </c>
      <c r="Y11" s="412" t="e">
        <f t="shared" si="1"/>
        <v>#VALUE!</v>
      </c>
      <c r="Z11" s="412"/>
      <c r="AA11" s="407" t="e">
        <f t="shared" ca="1" si="2"/>
        <v>#VALUE!</v>
      </c>
      <c r="AB11" s="407"/>
      <c r="AC11" s="407"/>
      <c r="AD11" s="417" t="s">
        <v>3489</v>
      </c>
      <c r="AE11" s="417" t="s">
        <v>3489</v>
      </c>
      <c r="AF11" s="407"/>
      <c r="AG11" s="407"/>
      <c r="AH11" s="407"/>
      <c r="AI11" s="418"/>
      <c r="AJ11" s="407"/>
      <c r="AK11" s="407"/>
      <c r="AL11" s="419" t="s">
        <v>3556</v>
      </c>
      <c r="AM11" s="420" t="s">
        <v>3477</v>
      </c>
      <c r="AN11" s="420">
        <v>76</v>
      </c>
      <c r="AO11" s="422" t="s">
        <v>3557</v>
      </c>
      <c r="AP11" s="406"/>
    </row>
    <row r="12" spans="1:42" s="375" customFormat="1" ht="30" customHeight="1">
      <c r="A12" s="407" t="s">
        <v>3603</v>
      </c>
      <c r="B12" s="407" t="s">
        <v>3604</v>
      </c>
      <c r="C12" s="408">
        <v>58287</v>
      </c>
      <c r="D12" s="733"/>
      <c r="E12" s="409" t="s">
        <v>3609</v>
      </c>
      <c r="F12" s="407" t="s">
        <v>3542</v>
      </c>
      <c r="G12" s="407" t="s">
        <v>3562</v>
      </c>
      <c r="H12" s="407" t="s">
        <v>185</v>
      </c>
      <c r="I12" s="407" t="s">
        <v>3551</v>
      </c>
      <c r="J12" s="407">
        <v>202404</v>
      </c>
      <c r="K12" s="410"/>
      <c r="L12" s="411" t="s">
        <v>3610</v>
      </c>
      <c r="M12" s="407" t="s">
        <v>3610</v>
      </c>
      <c r="N12" s="407"/>
      <c r="O12" s="423"/>
      <c r="P12" s="413" t="s">
        <v>3611</v>
      </c>
      <c r="Q12" s="412" t="s">
        <v>3611</v>
      </c>
      <c r="R12" s="412" t="s">
        <v>3612</v>
      </c>
      <c r="S12" s="414">
        <v>1524</v>
      </c>
      <c r="T12" s="414">
        <v>300</v>
      </c>
      <c r="U12" s="415">
        <f>(Table4891112[[#This Row],[Invoice Value]]-Table4891112[[#This Row],[Total cost]])/Table4891112[[#This Row],[Invoice Value]]</f>
        <v>0.80314960629921262</v>
      </c>
      <c r="V12" s="412" t="s">
        <v>3613</v>
      </c>
      <c r="W12" s="412"/>
      <c r="X12" s="412" t="e">
        <f t="shared" si="0"/>
        <v>#VALUE!</v>
      </c>
      <c r="Y12" s="412" t="e">
        <f t="shared" si="1"/>
        <v>#VALUE!</v>
      </c>
      <c r="Z12" s="412"/>
      <c r="AA12" s="407" t="e">
        <f t="shared" ca="1" si="2"/>
        <v>#VALUE!</v>
      </c>
      <c r="AB12" s="407"/>
      <c r="AC12" s="407"/>
      <c r="AD12" s="417" t="s">
        <v>3489</v>
      </c>
      <c r="AE12" s="417" t="s">
        <v>3489</v>
      </c>
      <c r="AF12" s="407"/>
      <c r="AG12" s="407"/>
      <c r="AH12" s="407" t="s">
        <v>3477</v>
      </c>
      <c r="AI12" s="418"/>
      <c r="AJ12" s="407"/>
      <c r="AK12" s="407"/>
      <c r="AL12" s="419" t="s">
        <v>3556</v>
      </c>
      <c r="AM12" s="420" t="s">
        <v>3477</v>
      </c>
      <c r="AN12" s="420"/>
      <c r="AO12" s="422" t="s">
        <v>3557</v>
      </c>
      <c r="AP12" s="406"/>
    </row>
    <row r="13" spans="1:42" s="424" customFormat="1" ht="30" customHeight="1">
      <c r="A13" s="407" t="s">
        <v>3614</v>
      </c>
      <c r="B13" s="407" t="s">
        <v>3615</v>
      </c>
      <c r="C13" s="408">
        <v>42701</v>
      </c>
      <c r="D13" s="736"/>
      <c r="E13" s="409" t="s">
        <v>3616</v>
      </c>
      <c r="F13" s="407" t="s">
        <v>3283</v>
      </c>
      <c r="G13" s="407" t="s">
        <v>3562</v>
      </c>
      <c r="H13" s="407" t="s">
        <v>185</v>
      </c>
      <c r="I13" s="407" t="s">
        <v>3563</v>
      </c>
      <c r="J13" s="407"/>
      <c r="K13" s="410"/>
      <c r="L13" s="411" t="s">
        <v>3581</v>
      </c>
      <c r="M13" s="407" t="s">
        <v>3617</v>
      </c>
      <c r="N13" s="407"/>
      <c r="O13" s="407" t="s">
        <v>3288</v>
      </c>
      <c r="P13" s="413" t="s">
        <v>3618</v>
      </c>
      <c r="Q13" s="412" t="s">
        <v>3619</v>
      </c>
      <c r="R13" s="407" t="s">
        <v>3620</v>
      </c>
      <c r="S13" s="414">
        <v>70079.759999999995</v>
      </c>
      <c r="T13" s="414">
        <v>54173</v>
      </c>
      <c r="U13" s="415">
        <f>IFERROR((Table4891112[[#This Row],[Invoice Value]]-Table4891112[[#This Row],[Total cost]])/Table4891112[[#This Row],[Invoice Value]],)</f>
        <v>0.22698080016255759</v>
      </c>
      <c r="V13" s="412" t="s">
        <v>3567</v>
      </c>
      <c r="W13" s="412"/>
      <c r="X13" s="412" t="e">
        <f t="shared" si="0"/>
        <v>#VALUE!</v>
      </c>
      <c r="Y13" s="412" t="e">
        <f t="shared" si="1"/>
        <v>#VALUE!</v>
      </c>
      <c r="Z13" s="412"/>
      <c r="AA13" s="407" t="e">
        <f t="shared" ca="1" si="2"/>
        <v>#VALUE!</v>
      </c>
      <c r="AB13" s="407"/>
      <c r="AC13" s="407"/>
      <c r="AD13" s="417" t="s">
        <v>3489</v>
      </c>
      <c r="AE13" s="417" t="s">
        <v>3489</v>
      </c>
      <c r="AF13" s="407"/>
      <c r="AG13" s="407"/>
      <c r="AH13" s="407" t="s">
        <v>3477</v>
      </c>
      <c r="AI13" s="418"/>
      <c r="AJ13" s="407"/>
      <c r="AK13" s="407"/>
      <c r="AL13" s="419" t="s">
        <v>3556</v>
      </c>
      <c r="AM13" s="420" t="s">
        <v>3477</v>
      </c>
      <c r="AN13" s="420">
        <v>42</v>
      </c>
      <c r="AO13" s="422" t="s">
        <v>3557</v>
      </c>
      <c r="AP13" s="406"/>
    </row>
    <row r="14" spans="1:42" s="424" customFormat="1" ht="30" customHeight="1">
      <c r="A14" s="407" t="s">
        <v>3614</v>
      </c>
      <c r="B14" s="407" t="s">
        <v>3615</v>
      </c>
      <c r="C14" s="408">
        <v>42701</v>
      </c>
      <c r="D14" s="736"/>
      <c r="E14" s="409" t="s">
        <v>3616</v>
      </c>
      <c r="F14" s="407" t="s">
        <v>3283</v>
      </c>
      <c r="G14" s="407" t="s">
        <v>3562</v>
      </c>
      <c r="H14" s="407" t="s">
        <v>185</v>
      </c>
      <c r="I14" s="407" t="s">
        <v>3621</v>
      </c>
      <c r="J14" s="407">
        <v>202404</v>
      </c>
      <c r="K14" s="410"/>
      <c r="L14" s="411" t="s">
        <v>3581</v>
      </c>
      <c r="M14" s="407"/>
      <c r="N14" s="407"/>
      <c r="O14" s="407" t="s">
        <v>3288</v>
      </c>
      <c r="P14" s="413" t="s">
        <v>3622</v>
      </c>
      <c r="Q14" s="412" t="s">
        <v>3623</v>
      </c>
      <c r="R14" s="407" t="s">
        <v>3624</v>
      </c>
      <c r="S14" s="414">
        <v>4402</v>
      </c>
      <c r="T14" s="414">
        <v>4001</v>
      </c>
      <c r="U14" s="415">
        <f>IFERROR((Table4891112[[#This Row],[Invoice Value]]-Table4891112[[#This Row],[Total cost]])/Table4891112[[#This Row],[Invoice Value]],)</f>
        <v>9.1094956837801E-2</v>
      </c>
      <c r="V14" s="412"/>
      <c r="W14" s="412"/>
      <c r="X14" s="412" t="e">
        <f t="shared" si="0"/>
        <v>#VALUE!</v>
      </c>
      <c r="Y14" s="412" t="e">
        <f t="shared" si="1"/>
        <v>#VALUE!</v>
      </c>
      <c r="Z14" s="412"/>
      <c r="AA14" s="407" t="e">
        <f t="shared" ca="1" si="2"/>
        <v>#VALUE!</v>
      </c>
      <c r="AB14" s="407"/>
      <c r="AC14" s="407"/>
      <c r="AD14" s="417" t="s">
        <v>3489</v>
      </c>
      <c r="AE14" s="417" t="s">
        <v>3489</v>
      </c>
      <c r="AF14" s="407"/>
      <c r="AG14" s="407"/>
      <c r="AH14" s="407" t="s">
        <v>3477</v>
      </c>
      <c r="AI14" s="418"/>
      <c r="AJ14" s="407"/>
      <c r="AK14" s="407"/>
      <c r="AL14" s="419" t="s">
        <v>3556</v>
      </c>
      <c r="AM14" s="420" t="s">
        <v>3477</v>
      </c>
      <c r="AN14" s="420"/>
      <c r="AO14" s="422" t="s">
        <v>3557</v>
      </c>
      <c r="AP14" s="406"/>
    </row>
    <row r="15" spans="1:42" s="375" customFormat="1" ht="30" customHeight="1">
      <c r="A15" s="407" t="s">
        <v>3625</v>
      </c>
      <c r="B15" s="407" t="s">
        <v>3626</v>
      </c>
      <c r="C15" s="408">
        <v>2490</v>
      </c>
      <c r="D15" s="733"/>
      <c r="E15" s="409" t="s">
        <v>3627</v>
      </c>
      <c r="F15" s="407" t="s">
        <v>3561</v>
      </c>
      <c r="G15" s="407" t="s">
        <v>3295</v>
      </c>
      <c r="H15" s="407" t="s">
        <v>185</v>
      </c>
      <c r="I15" s="407" t="s">
        <v>3481</v>
      </c>
      <c r="J15" s="407"/>
      <c r="K15" s="410"/>
      <c r="L15" s="411" t="s">
        <v>3607</v>
      </c>
      <c r="M15" s="407" t="s">
        <v>3628</v>
      </c>
      <c r="N15" s="407"/>
      <c r="O15" s="407" t="s">
        <v>3288</v>
      </c>
      <c r="P15" s="413" t="s">
        <v>2332</v>
      </c>
      <c r="Q15" s="412" t="s">
        <v>2332</v>
      </c>
      <c r="R15" s="412" t="s">
        <v>3629</v>
      </c>
      <c r="S15" s="414">
        <v>2490</v>
      </c>
      <c r="T15" s="414">
        <v>1287</v>
      </c>
      <c r="U15" s="415">
        <f>(Table4891112[[#This Row],[Invoice Value]]-Table4891112[[#This Row],[Total cost]])/Table4891112[[#This Row],[Invoice Value]]</f>
        <v>0.48313253012048191</v>
      </c>
      <c r="V15" s="412" t="s">
        <v>3628</v>
      </c>
      <c r="W15" s="412"/>
      <c r="X15" s="412" t="e">
        <f t="shared" si="0"/>
        <v>#VALUE!</v>
      </c>
      <c r="Y15" s="412" t="e">
        <f t="shared" si="1"/>
        <v>#VALUE!</v>
      </c>
      <c r="Z15" s="412"/>
      <c r="AA15" s="407" t="e">
        <f t="shared" ca="1" si="2"/>
        <v>#VALUE!</v>
      </c>
      <c r="AB15" s="407"/>
      <c r="AC15" s="407"/>
      <c r="AD15" s="417" t="s">
        <v>3489</v>
      </c>
      <c r="AE15" s="417" t="s">
        <v>3489</v>
      </c>
      <c r="AF15" s="407"/>
      <c r="AG15" s="407"/>
      <c r="AH15" s="407" t="s">
        <v>3630</v>
      </c>
      <c r="AI15" s="418"/>
      <c r="AJ15" s="407"/>
      <c r="AK15" s="407"/>
      <c r="AL15" s="419" t="s">
        <v>3631</v>
      </c>
      <c r="AM15" s="945" t="s">
        <v>3469</v>
      </c>
      <c r="AN15" s="945" t="s">
        <v>3632</v>
      </c>
      <c r="AO15" s="422" t="s">
        <v>3557</v>
      </c>
      <c r="AP15" s="406"/>
    </row>
    <row r="16" spans="1:42" s="375" customFormat="1" ht="30" customHeight="1">
      <c r="A16" s="407" t="s">
        <v>3633</v>
      </c>
      <c r="B16" s="407" t="s">
        <v>3634</v>
      </c>
      <c r="C16" s="408">
        <v>66522</v>
      </c>
      <c r="D16" s="733"/>
      <c r="E16" s="409" t="s">
        <v>3635</v>
      </c>
      <c r="F16" s="407" t="s">
        <v>3283</v>
      </c>
      <c r="G16" s="407" t="s">
        <v>3486</v>
      </c>
      <c r="H16" s="407" t="s">
        <v>185</v>
      </c>
      <c r="I16" s="407" t="s">
        <v>3487</v>
      </c>
      <c r="J16" s="407"/>
      <c r="K16" s="410"/>
      <c r="L16" s="411" t="s">
        <v>3636</v>
      </c>
      <c r="M16" s="407" t="s">
        <v>3637</v>
      </c>
      <c r="N16" s="407"/>
      <c r="O16" s="407" t="s">
        <v>3288</v>
      </c>
      <c r="P16" s="413" t="s">
        <v>3636</v>
      </c>
      <c r="Q16" s="412" t="s">
        <v>3637</v>
      </c>
      <c r="R16" s="338" t="s">
        <v>3638</v>
      </c>
      <c r="S16" s="414">
        <v>61356</v>
      </c>
      <c r="T16" s="414">
        <v>34328</v>
      </c>
      <c r="U16" s="415">
        <f>(Table4891112[[#This Row],[Invoice Value]]-Table4891112[[#This Row],[Total cost]])/Table4891112[[#This Row],[Invoice Value]]</f>
        <v>0.44051111545733096</v>
      </c>
      <c r="V16" s="412" t="s">
        <v>3639</v>
      </c>
      <c r="W16" s="412"/>
      <c r="X16" s="412" t="e">
        <f t="shared" si="0"/>
        <v>#VALUE!</v>
      </c>
      <c r="Y16" s="412" t="e">
        <f t="shared" si="1"/>
        <v>#VALUE!</v>
      </c>
      <c r="Z16" s="412"/>
      <c r="AA16" s="407" t="e">
        <f t="shared" ca="1" si="2"/>
        <v>#VALUE!</v>
      </c>
      <c r="AB16" s="407"/>
      <c r="AC16" s="407"/>
      <c r="AD16" s="407"/>
      <c r="AE16" s="407"/>
      <c r="AF16" s="407"/>
      <c r="AG16" s="407"/>
      <c r="AH16" s="407" t="s">
        <v>3477</v>
      </c>
      <c r="AI16" s="418"/>
      <c r="AJ16" s="407"/>
      <c r="AK16" s="407"/>
      <c r="AL16" s="419" t="s">
        <v>3556</v>
      </c>
      <c r="AM16" s="420" t="s">
        <v>3477</v>
      </c>
      <c r="AN16" s="420">
        <v>65</v>
      </c>
      <c r="AO16" s="422" t="s">
        <v>3557</v>
      </c>
      <c r="AP16" s="406"/>
    </row>
    <row r="17" spans="1:42" s="375" customFormat="1" ht="55.5" customHeight="1">
      <c r="A17" s="407" t="s">
        <v>3640</v>
      </c>
      <c r="B17" s="407" t="s">
        <v>3641</v>
      </c>
      <c r="C17" s="408">
        <v>95403</v>
      </c>
      <c r="D17" s="733"/>
      <c r="E17" s="409" t="s">
        <v>3642</v>
      </c>
      <c r="F17" s="407" t="s">
        <v>3283</v>
      </c>
      <c r="G17" s="407" t="s">
        <v>3643</v>
      </c>
      <c r="H17" s="407" t="s">
        <v>185</v>
      </c>
      <c r="I17" s="407" t="s">
        <v>3563</v>
      </c>
      <c r="J17" s="407"/>
      <c r="K17" s="410"/>
      <c r="L17" s="411" t="s">
        <v>3644</v>
      </c>
      <c r="M17" s="407"/>
      <c r="N17" s="407"/>
      <c r="O17" s="407" t="s">
        <v>3645</v>
      </c>
      <c r="P17" s="413" t="s">
        <v>3646</v>
      </c>
      <c r="Q17" s="412">
        <v>45466</v>
      </c>
      <c r="R17" s="412" t="s">
        <v>3647</v>
      </c>
      <c r="S17" s="414">
        <v>169620</v>
      </c>
      <c r="T17" s="414">
        <v>134244</v>
      </c>
      <c r="U17" s="415">
        <f>(Table4891112[[#This Row],[Invoice Value]]-Table4891112[[#This Row],[Total cost]])/Table4891112[[#This Row],[Invoice Value]]</f>
        <v>0.2085603112840467</v>
      </c>
      <c r="V17" s="412"/>
      <c r="W17" s="412"/>
      <c r="X17" s="412">
        <f t="shared" si="0"/>
        <v>45469</v>
      </c>
      <c r="Y17" s="412">
        <f t="shared" si="1"/>
        <v>45480</v>
      </c>
      <c r="Z17" s="412"/>
      <c r="AA17" s="407" t="str">
        <f t="shared" ca="1" si="2"/>
        <v>Overdue</v>
      </c>
      <c r="AB17" s="407"/>
      <c r="AC17" s="407"/>
      <c r="AD17" s="416" t="s">
        <v>3476</v>
      </c>
      <c r="AE17" s="416" t="s">
        <v>3476</v>
      </c>
      <c r="AF17" s="407"/>
      <c r="AG17" s="407"/>
      <c r="AH17" s="407" t="s">
        <v>3648</v>
      </c>
      <c r="AI17" s="418"/>
      <c r="AJ17" s="407"/>
      <c r="AK17" s="407"/>
      <c r="AL17" s="425" t="s">
        <v>3290</v>
      </c>
      <c r="AM17" s="426" t="s">
        <v>3477</v>
      </c>
      <c r="AN17" s="426">
        <v>39</v>
      </c>
      <c r="AO17" s="422" t="s">
        <v>3557</v>
      </c>
      <c r="AP17" s="406"/>
    </row>
    <row r="18" spans="1:42" s="375" customFormat="1" ht="51" customHeight="1">
      <c r="A18" s="407" t="s">
        <v>3640</v>
      </c>
      <c r="B18" s="407" t="s">
        <v>3641</v>
      </c>
      <c r="C18" s="408">
        <v>95403</v>
      </c>
      <c r="D18" s="733"/>
      <c r="E18" s="409" t="s">
        <v>3642</v>
      </c>
      <c r="F18" s="407" t="s">
        <v>3283</v>
      </c>
      <c r="G18" s="407" t="s">
        <v>3643</v>
      </c>
      <c r="H18" s="407" t="s">
        <v>185</v>
      </c>
      <c r="I18" s="407" t="s">
        <v>3563</v>
      </c>
      <c r="J18" s="407"/>
      <c r="K18" s="410"/>
      <c r="L18" s="411" t="s">
        <v>3644</v>
      </c>
      <c r="M18" s="407"/>
      <c r="N18" s="407"/>
      <c r="O18" s="947" t="s">
        <v>3288</v>
      </c>
      <c r="P18" s="413" t="s">
        <v>3646</v>
      </c>
      <c r="Q18" s="412">
        <v>45466</v>
      </c>
      <c r="R18" s="412" t="s">
        <v>3649</v>
      </c>
      <c r="S18" s="414">
        <v>75369</v>
      </c>
      <c r="T18" s="414">
        <v>48527</v>
      </c>
      <c r="U18" s="415">
        <f>(Table4891112[[#This Row],[Invoice Value]]-Table4891112[[#This Row],[Total cost]])/Table4891112[[#This Row],[Invoice Value]]</f>
        <v>0.35614111902771695</v>
      </c>
      <c r="V18" s="412"/>
      <c r="W18" s="412"/>
      <c r="X18" s="412">
        <f t="shared" si="0"/>
        <v>45469</v>
      </c>
      <c r="Y18" s="412">
        <f t="shared" si="1"/>
        <v>45480</v>
      </c>
      <c r="Z18" s="412"/>
      <c r="AA18" s="407" t="str">
        <f t="shared" ca="1" si="2"/>
        <v>Overdue</v>
      </c>
      <c r="AB18" s="407"/>
      <c r="AC18" s="407"/>
      <c r="AD18" s="416" t="s">
        <v>3476</v>
      </c>
      <c r="AE18" s="416" t="s">
        <v>3476</v>
      </c>
      <c r="AF18" s="407"/>
      <c r="AG18" s="407"/>
      <c r="AH18" s="407" t="s">
        <v>3648</v>
      </c>
      <c r="AI18" s="418"/>
      <c r="AJ18" s="407"/>
      <c r="AK18" s="407"/>
      <c r="AL18" s="425" t="s">
        <v>3290</v>
      </c>
      <c r="AM18" s="426" t="s">
        <v>3477</v>
      </c>
      <c r="AN18" s="426">
        <v>15</v>
      </c>
      <c r="AO18" s="422" t="s">
        <v>3557</v>
      </c>
      <c r="AP18" s="406"/>
    </row>
    <row r="19" spans="1:42" s="375" customFormat="1" ht="30" customHeight="1">
      <c r="A19" s="416" t="s">
        <v>3650</v>
      </c>
      <c r="B19" s="416" t="s">
        <v>3651</v>
      </c>
      <c r="C19" s="427">
        <v>17000</v>
      </c>
      <c r="D19" s="733"/>
      <c r="E19" s="428" t="s">
        <v>3652</v>
      </c>
      <c r="F19" s="416" t="s">
        <v>3283</v>
      </c>
      <c r="G19" s="416" t="s">
        <v>3295</v>
      </c>
      <c r="H19" s="416" t="s">
        <v>185</v>
      </c>
      <c r="I19" s="416" t="s">
        <v>3653</v>
      </c>
      <c r="J19" s="416"/>
      <c r="K19" s="429"/>
      <c r="L19" s="430" t="s">
        <v>3654</v>
      </c>
      <c r="M19" s="416"/>
      <c r="N19" s="407"/>
      <c r="O19" s="416" t="s">
        <v>3655</v>
      </c>
      <c r="P19" s="431"/>
      <c r="Q19" s="432"/>
      <c r="R19" s="432" t="s">
        <v>3656</v>
      </c>
      <c r="S19" s="433" t="s">
        <v>3657</v>
      </c>
      <c r="T19" s="433"/>
      <c r="U19" s="434" t="e">
        <f>(Table4891112[[#This Row],[Invoice Value]]-Table4891112[[#This Row],[Total cost]])/Table4891112[[#This Row],[Invoice Value]]</f>
        <v>#VALUE!</v>
      </c>
      <c r="V19" s="432"/>
      <c r="W19" s="432"/>
      <c r="X19" s="432" t="str">
        <f t="shared" si="0"/>
        <v xml:space="preserve"> - </v>
      </c>
      <c r="Y19" s="432" t="str">
        <f t="shared" si="1"/>
        <v xml:space="preserve"> - </v>
      </c>
      <c r="Z19" s="432"/>
      <c r="AA19" s="416" t="str">
        <f t="shared" ca="1" si="2"/>
        <v>-</v>
      </c>
      <c r="AB19" s="416"/>
      <c r="AC19" s="416"/>
      <c r="AD19" s="416" t="s">
        <v>3476</v>
      </c>
      <c r="AE19" s="417" t="s">
        <v>3489</v>
      </c>
      <c r="AF19" s="416"/>
      <c r="AG19" s="416"/>
      <c r="AH19" s="416"/>
      <c r="AI19" s="418"/>
      <c r="AJ19" s="407"/>
      <c r="AK19" s="407"/>
      <c r="AL19" s="419" t="s">
        <v>3545</v>
      </c>
      <c r="AM19" s="945" t="s">
        <v>3469</v>
      </c>
      <c r="AN19" s="946">
        <v>4</v>
      </c>
      <c r="AO19" s="435" t="s">
        <v>3546</v>
      </c>
      <c r="AP19" s="406"/>
    </row>
    <row r="20" spans="1:42" s="375" customFormat="1" ht="30" customHeight="1">
      <c r="A20" s="416" t="s">
        <v>3658</v>
      </c>
      <c r="B20" s="416" t="s">
        <v>3659</v>
      </c>
      <c r="C20" s="427">
        <v>2878</v>
      </c>
      <c r="D20" s="733"/>
      <c r="E20" s="428" t="s">
        <v>3652</v>
      </c>
      <c r="F20" s="416" t="s">
        <v>3283</v>
      </c>
      <c r="G20" s="416" t="s">
        <v>3562</v>
      </c>
      <c r="H20" s="416" t="s">
        <v>185</v>
      </c>
      <c r="I20" s="416" t="s">
        <v>3653</v>
      </c>
      <c r="J20" s="407"/>
      <c r="K20" s="429"/>
      <c r="L20" s="430" t="s">
        <v>3660</v>
      </c>
      <c r="M20" s="416"/>
      <c r="N20" s="407"/>
      <c r="O20" s="416" t="s">
        <v>3655</v>
      </c>
      <c r="P20" s="431"/>
      <c r="Q20" s="432"/>
      <c r="R20" s="432" t="s">
        <v>3661</v>
      </c>
      <c r="S20" s="433"/>
      <c r="T20" s="433"/>
      <c r="U20" s="434" t="e">
        <f>(Table4891112[[#This Row],[Invoice Value]]-Table4891112[[#This Row],[Total cost]])/Table4891112[[#This Row],[Invoice Value]]</f>
        <v>#DIV/0!</v>
      </c>
      <c r="V20" s="432"/>
      <c r="W20" s="432"/>
      <c r="X20" s="432" t="str">
        <f t="shared" si="0"/>
        <v xml:space="preserve"> - </v>
      </c>
      <c r="Y20" s="432" t="str">
        <f t="shared" si="1"/>
        <v xml:space="preserve"> - </v>
      </c>
      <c r="Z20" s="432"/>
      <c r="AA20" s="416" t="str">
        <f t="shared" ca="1" si="2"/>
        <v>-</v>
      </c>
      <c r="AB20" s="416"/>
      <c r="AC20" s="416"/>
      <c r="AD20" s="416" t="s">
        <v>3476</v>
      </c>
      <c r="AE20" s="417" t="s">
        <v>3489</v>
      </c>
      <c r="AF20" s="416"/>
      <c r="AG20" s="416"/>
      <c r="AH20" s="416" t="s">
        <v>3477</v>
      </c>
      <c r="AI20" s="418"/>
      <c r="AJ20" s="407"/>
      <c r="AK20" s="407"/>
      <c r="AL20" s="607" t="s">
        <v>3469</v>
      </c>
      <c r="AM20" s="945" t="s">
        <v>3469</v>
      </c>
      <c r="AN20" s="945"/>
      <c r="AO20" s="435" t="s">
        <v>3546</v>
      </c>
      <c r="AP20" s="406"/>
    </row>
    <row r="21" spans="1:42" s="424" customFormat="1" ht="51.75" customHeight="1">
      <c r="A21" s="407" t="s">
        <v>3662</v>
      </c>
      <c r="B21" s="407" t="s">
        <v>3663</v>
      </c>
      <c r="C21" s="408">
        <v>62248</v>
      </c>
      <c r="D21" s="736"/>
      <c r="E21" s="409" t="s">
        <v>3664</v>
      </c>
      <c r="F21" s="407" t="s">
        <v>3283</v>
      </c>
      <c r="G21" s="407" t="s">
        <v>3562</v>
      </c>
      <c r="H21" s="407" t="s">
        <v>185</v>
      </c>
      <c r="I21" s="407" t="s">
        <v>3563</v>
      </c>
      <c r="J21" s="407">
        <v>202405</v>
      </c>
      <c r="K21" s="410"/>
      <c r="L21" s="411" t="s">
        <v>3665</v>
      </c>
      <c r="M21" s="407"/>
      <c r="N21" s="407"/>
      <c r="O21" s="407" t="s">
        <v>3666</v>
      </c>
      <c r="P21" s="413" t="s">
        <v>3665</v>
      </c>
      <c r="Q21" s="412" t="s">
        <v>3660</v>
      </c>
      <c r="R21" s="412" t="s">
        <v>3667</v>
      </c>
      <c r="S21" s="414">
        <v>75529.75</v>
      </c>
      <c r="T21" s="414">
        <v>48925.440000000002</v>
      </c>
      <c r="U21" s="415">
        <f>(Table4891112[[#This Row],[Invoice Value]]-Table4891112[[#This Row],[Total cost]])/Table4891112[[#This Row],[Invoice Value]]</f>
        <v>0.35223617183957312</v>
      </c>
      <c r="V21" s="412"/>
      <c r="W21" s="412"/>
      <c r="X21" s="412" t="e">
        <f t="shared" si="0"/>
        <v>#VALUE!</v>
      </c>
      <c r="Y21" s="412" t="e">
        <f t="shared" si="1"/>
        <v>#VALUE!</v>
      </c>
      <c r="Z21" s="412"/>
      <c r="AA21" s="407" t="e">
        <f t="shared" ca="1" si="2"/>
        <v>#VALUE!</v>
      </c>
      <c r="AB21" s="407"/>
      <c r="AC21" s="407"/>
      <c r="AD21" s="416" t="s">
        <v>3476</v>
      </c>
      <c r="AE21" s="416" t="s">
        <v>3476</v>
      </c>
      <c r="AF21" s="407"/>
      <c r="AG21" s="407"/>
      <c r="AH21" s="407"/>
      <c r="AI21" s="418"/>
      <c r="AJ21" s="407"/>
      <c r="AK21" s="407"/>
      <c r="AL21" s="419" t="s">
        <v>3545</v>
      </c>
      <c r="AM21" s="420" t="s">
        <v>3477</v>
      </c>
      <c r="AN21" s="420">
        <v>49</v>
      </c>
      <c r="AO21" s="422" t="s">
        <v>3557</v>
      </c>
      <c r="AP21" s="406"/>
    </row>
    <row r="22" spans="1:42" s="375" customFormat="1" ht="30" customHeight="1">
      <c r="A22" s="416" t="s">
        <v>3668</v>
      </c>
      <c r="B22" s="416" t="s">
        <v>3669</v>
      </c>
      <c r="C22" s="427">
        <v>8404</v>
      </c>
      <c r="D22" s="733"/>
      <c r="E22" s="436" t="s">
        <v>3670</v>
      </c>
      <c r="F22" s="416" t="s">
        <v>3283</v>
      </c>
      <c r="G22" s="416" t="s">
        <v>3486</v>
      </c>
      <c r="H22" s="416" t="s">
        <v>185</v>
      </c>
      <c r="I22" s="416" t="s">
        <v>3653</v>
      </c>
      <c r="J22" s="416"/>
      <c r="K22" s="429"/>
      <c r="L22" s="430" t="s">
        <v>3671</v>
      </c>
      <c r="M22" s="416"/>
      <c r="N22" s="407"/>
      <c r="O22" s="416" t="s">
        <v>3655</v>
      </c>
      <c r="P22" s="431" t="s">
        <v>2332</v>
      </c>
      <c r="Q22" s="432" t="s">
        <v>2332</v>
      </c>
      <c r="R22" s="432" t="s">
        <v>3672</v>
      </c>
      <c r="S22" s="433"/>
      <c r="T22" s="433"/>
      <c r="U22" s="434" t="e">
        <f>(Table4891112[[#This Row],[Invoice Value]]-Table4891112[[#This Row],[Total cost]])/Table4891112[[#This Row],[Invoice Value]]</f>
        <v>#DIV/0!</v>
      </c>
      <c r="V22" s="432"/>
      <c r="W22" s="432"/>
      <c r="X22" s="432" t="e">
        <f t="shared" si="0"/>
        <v>#VALUE!</v>
      </c>
      <c r="Y22" s="432" t="e">
        <f t="shared" si="1"/>
        <v>#VALUE!</v>
      </c>
      <c r="Z22" s="432"/>
      <c r="AA22" s="416" t="e">
        <f t="shared" ca="1" si="2"/>
        <v>#VALUE!</v>
      </c>
      <c r="AB22" s="416"/>
      <c r="AC22" s="416"/>
      <c r="AD22" s="416" t="s">
        <v>3476</v>
      </c>
      <c r="AE22" s="417" t="s">
        <v>3489</v>
      </c>
      <c r="AF22" s="416"/>
      <c r="AG22" s="416"/>
      <c r="AH22" s="416" t="s">
        <v>3477</v>
      </c>
      <c r="AI22" s="418"/>
      <c r="AJ22" s="407"/>
      <c r="AK22" s="407"/>
      <c r="AL22" s="607" t="s">
        <v>3469</v>
      </c>
      <c r="AM22" s="945" t="s">
        <v>3469</v>
      </c>
      <c r="AN22" s="945"/>
      <c r="AO22" s="435" t="s">
        <v>3546</v>
      </c>
      <c r="AP22" s="406"/>
    </row>
    <row r="23" spans="1:42" s="424" customFormat="1" ht="30" customHeight="1">
      <c r="A23" s="407" t="s">
        <v>3673</v>
      </c>
      <c r="B23" s="407" t="s">
        <v>3674</v>
      </c>
      <c r="C23" s="408">
        <v>5367</v>
      </c>
      <c r="D23" s="736"/>
      <c r="E23" s="409" t="s">
        <v>3675</v>
      </c>
      <c r="F23" s="407" t="s">
        <v>3283</v>
      </c>
      <c r="G23" s="407" t="s">
        <v>3295</v>
      </c>
      <c r="H23" s="407" t="s">
        <v>185</v>
      </c>
      <c r="I23" s="407" t="s">
        <v>3481</v>
      </c>
      <c r="J23" s="407">
        <v>202404</v>
      </c>
      <c r="K23" s="410"/>
      <c r="L23" s="411" t="s">
        <v>3671</v>
      </c>
      <c r="M23" s="407" t="s">
        <v>3580</v>
      </c>
      <c r="N23" s="407"/>
      <c r="O23" s="407" t="s">
        <v>3676</v>
      </c>
      <c r="P23" s="413" t="s">
        <v>3677</v>
      </c>
      <c r="Q23" s="412" t="s">
        <v>3678</v>
      </c>
      <c r="R23" s="407" t="s">
        <v>3679</v>
      </c>
      <c r="S23" s="414">
        <v>6554</v>
      </c>
      <c r="T23" s="414">
        <v>2225</v>
      </c>
      <c r="U23" s="415">
        <f>IFERROR((Table4891112[[#This Row],[Invoice Value]]-Table4891112[[#This Row],[Total cost]])/Table4891112[[#This Row],[Invoice Value]],)</f>
        <v>0.66051266402197129</v>
      </c>
      <c r="V23" s="412" t="s">
        <v>3613</v>
      </c>
      <c r="W23" s="412"/>
      <c r="X23" s="412" t="e">
        <f t="shared" si="0"/>
        <v>#VALUE!</v>
      </c>
      <c r="Y23" s="412" t="e">
        <f t="shared" si="1"/>
        <v>#VALUE!</v>
      </c>
      <c r="Z23" s="412"/>
      <c r="AA23" s="407" t="e">
        <f t="shared" ca="1" si="2"/>
        <v>#VALUE!</v>
      </c>
      <c r="AB23" s="407"/>
      <c r="AC23" s="407"/>
      <c r="AD23" s="407" t="s">
        <v>3476</v>
      </c>
      <c r="AE23" s="407" t="s">
        <v>3476</v>
      </c>
      <c r="AF23" s="407"/>
      <c r="AG23" s="407"/>
      <c r="AH23" s="407" t="s">
        <v>3477</v>
      </c>
      <c r="AI23" s="418"/>
      <c r="AJ23" s="407"/>
      <c r="AK23" s="407"/>
      <c r="AL23" s="948" t="s">
        <v>3556</v>
      </c>
      <c r="AM23" s="949" t="s">
        <v>3477</v>
      </c>
      <c r="AN23" s="949">
        <v>10</v>
      </c>
      <c r="AO23" s="421" t="s">
        <v>3557</v>
      </c>
      <c r="AP23" s="437"/>
    </row>
    <row r="24" spans="1:42" s="424" customFormat="1" ht="30" customHeight="1">
      <c r="A24" s="407" t="s">
        <v>3680</v>
      </c>
      <c r="B24" s="407" t="s">
        <v>3681</v>
      </c>
      <c r="C24" s="408">
        <v>16608</v>
      </c>
      <c r="D24" s="736"/>
      <c r="E24" s="409" t="s">
        <v>3578</v>
      </c>
      <c r="F24" s="407" t="s">
        <v>3283</v>
      </c>
      <c r="G24" s="407" t="s">
        <v>3562</v>
      </c>
      <c r="H24" s="407" t="s">
        <v>185</v>
      </c>
      <c r="I24" s="407" t="s">
        <v>3551</v>
      </c>
      <c r="J24" s="407"/>
      <c r="K24" s="410"/>
      <c r="L24" s="411" t="s">
        <v>3682</v>
      </c>
      <c r="M24" s="412" t="s">
        <v>3683</v>
      </c>
      <c r="N24" s="407"/>
      <c r="O24" s="407" t="s">
        <v>3676</v>
      </c>
      <c r="P24" s="413" t="s">
        <v>3682</v>
      </c>
      <c r="Q24" s="412" t="s">
        <v>3683</v>
      </c>
      <c r="R24" s="407" t="s">
        <v>3684</v>
      </c>
      <c r="S24" s="414">
        <v>25404</v>
      </c>
      <c r="T24" s="414">
        <v>18124</v>
      </c>
      <c r="U24" s="415">
        <f>IFERROR((Table4891112[[#This Row],[Invoice Value]]-Table4891112[[#This Row],[Total cost]])/Table4891112[[#This Row],[Invoice Value]],)</f>
        <v>0.28656904424500079</v>
      </c>
      <c r="V24" s="412" t="s">
        <v>3580</v>
      </c>
      <c r="W24" s="412"/>
      <c r="X24" s="412" t="e">
        <f t="shared" si="0"/>
        <v>#VALUE!</v>
      </c>
      <c r="Y24" s="412" t="e">
        <f t="shared" si="1"/>
        <v>#VALUE!</v>
      </c>
      <c r="Z24" s="412"/>
      <c r="AA24" s="407" t="e">
        <f t="shared" ca="1" si="2"/>
        <v>#VALUE!</v>
      </c>
      <c r="AB24" s="407"/>
      <c r="AC24" s="407"/>
      <c r="AD24" s="407" t="s">
        <v>3489</v>
      </c>
      <c r="AE24" s="407" t="s">
        <v>3489</v>
      </c>
      <c r="AF24" s="407"/>
      <c r="AG24" s="407"/>
      <c r="AH24" s="407" t="s">
        <v>3477</v>
      </c>
      <c r="AI24" s="418"/>
      <c r="AJ24" s="407"/>
      <c r="AK24" s="407"/>
      <c r="AL24" s="948" t="s">
        <v>3545</v>
      </c>
      <c r="AM24" s="949" t="s">
        <v>3477</v>
      </c>
      <c r="AN24" s="949">
        <v>16</v>
      </c>
      <c r="AO24" s="421" t="s">
        <v>3557</v>
      </c>
      <c r="AP24" s="437"/>
    </row>
    <row r="25" spans="1:42" s="375" customFormat="1" ht="30" customHeight="1">
      <c r="A25" s="407" t="s">
        <v>3685</v>
      </c>
      <c r="B25" s="407" t="s">
        <v>3686</v>
      </c>
      <c r="C25" s="408">
        <v>1784</v>
      </c>
      <c r="D25" s="733"/>
      <c r="E25" s="409" t="s">
        <v>3687</v>
      </c>
      <c r="F25" s="407" t="s">
        <v>3283</v>
      </c>
      <c r="G25" s="407" t="s">
        <v>3562</v>
      </c>
      <c r="H25" s="407" t="s">
        <v>185</v>
      </c>
      <c r="I25" s="407" t="s">
        <v>3688</v>
      </c>
      <c r="J25" s="407"/>
      <c r="K25" s="410"/>
      <c r="L25" s="411" t="s">
        <v>3689</v>
      </c>
      <c r="M25" s="407" t="s">
        <v>3671</v>
      </c>
      <c r="N25" s="407"/>
      <c r="O25" s="407" t="s">
        <v>3690</v>
      </c>
      <c r="P25" s="413" t="s">
        <v>3691</v>
      </c>
      <c r="Q25" s="412" t="s">
        <v>3691</v>
      </c>
      <c r="R25" s="407" t="s">
        <v>3692</v>
      </c>
      <c r="S25" s="414">
        <v>1784</v>
      </c>
      <c r="T25" s="414">
        <v>543</v>
      </c>
      <c r="U25" s="415">
        <f>IFERROR((Table4891112[[#This Row],[Invoice Value]]-Table4891112[[#This Row],[Total cost]])/Table4891112[[#This Row],[Invoice Value]],)</f>
        <v>0.695627802690583</v>
      </c>
      <c r="V25" s="407" t="s">
        <v>3693</v>
      </c>
      <c r="W25" s="407"/>
      <c r="X25" s="412"/>
      <c r="Y25" s="412"/>
      <c r="Z25" s="412"/>
      <c r="AA25" s="407"/>
      <c r="AB25" s="407"/>
      <c r="AC25" s="407"/>
      <c r="AD25" s="416" t="s">
        <v>3476</v>
      </c>
      <c r="AE25" s="417" t="s">
        <v>3489</v>
      </c>
      <c r="AF25" s="407"/>
      <c r="AG25" s="407"/>
      <c r="AH25" s="407" t="s">
        <v>3477</v>
      </c>
      <c r="AI25" s="418"/>
      <c r="AJ25" s="407"/>
      <c r="AK25" s="407"/>
      <c r="AL25" s="607" t="s">
        <v>3468</v>
      </c>
      <c r="AM25" s="945" t="s">
        <v>3469</v>
      </c>
      <c r="AN25" s="945" t="s">
        <v>3469</v>
      </c>
      <c r="AO25" s="422" t="s">
        <v>3557</v>
      </c>
      <c r="AP25" s="406"/>
    </row>
    <row r="26" spans="1:42" s="375" customFormat="1" ht="30" customHeight="1">
      <c r="A26" s="407" t="s">
        <v>3694</v>
      </c>
      <c r="B26" s="407" t="s">
        <v>3695</v>
      </c>
      <c r="C26" s="408">
        <v>3138</v>
      </c>
      <c r="D26" s="733"/>
      <c r="E26" s="409" t="s">
        <v>3696</v>
      </c>
      <c r="F26" s="407" t="s">
        <v>3283</v>
      </c>
      <c r="G26" s="407" t="s">
        <v>3562</v>
      </c>
      <c r="H26" s="407" t="s">
        <v>185</v>
      </c>
      <c r="I26" s="407" t="s">
        <v>3697</v>
      </c>
      <c r="J26" s="407">
        <v>202404</v>
      </c>
      <c r="K26" s="410"/>
      <c r="L26" s="411" t="s">
        <v>3689</v>
      </c>
      <c r="M26" s="407" t="s">
        <v>3671</v>
      </c>
      <c r="N26" s="407"/>
      <c r="O26" s="407" t="s">
        <v>3698</v>
      </c>
      <c r="P26" s="413" t="s">
        <v>3699</v>
      </c>
      <c r="Q26" s="412" t="s">
        <v>3700</v>
      </c>
      <c r="R26" s="407" t="s">
        <v>3701</v>
      </c>
      <c r="S26" s="414">
        <v>4662</v>
      </c>
      <c r="T26" s="414">
        <v>1105</v>
      </c>
      <c r="U26" s="415">
        <f>(Table4891112[[#This Row],[Invoice Value]]-Table4891112[[#This Row],[Total cost]])/Table4891112[[#This Row],[Invoice Value]]</f>
        <v>0.76297726297726298</v>
      </c>
      <c r="V26" s="407"/>
      <c r="W26" s="407"/>
      <c r="X26" s="412" t="e">
        <f>IF(Q26&gt;0,Q26+3," - ")</f>
        <v>#VALUE!</v>
      </c>
      <c r="Y26" s="412" t="e">
        <f>IF(Q26&gt;0,Q26+14," - ")</f>
        <v>#VALUE!</v>
      </c>
      <c r="Z26" s="412"/>
      <c r="AA26" s="407" t="e">
        <f ca="1">IF(P26=0,"-",IF(Z26&gt;0,"Delivered",IF(TODAY()&gt;Y26,"Overdue",IF(TODAY()&lt;Y26,"In Progress"))))</f>
        <v>#VALUE!</v>
      </c>
      <c r="AB26" s="407"/>
      <c r="AC26" s="407"/>
      <c r="AD26" s="416" t="s">
        <v>3476</v>
      </c>
      <c r="AE26" s="417" t="s">
        <v>3489</v>
      </c>
      <c r="AF26" s="407"/>
      <c r="AG26" s="407"/>
      <c r="AH26" s="407" t="s">
        <v>3477</v>
      </c>
      <c r="AI26" s="418"/>
      <c r="AJ26" s="407"/>
      <c r="AK26" s="407"/>
      <c r="AL26" s="607" t="s">
        <v>3468</v>
      </c>
      <c r="AM26" s="945" t="s">
        <v>3469</v>
      </c>
      <c r="AN26" s="945" t="s">
        <v>3469</v>
      </c>
      <c r="AO26" s="421" t="s">
        <v>3546</v>
      </c>
      <c r="AP26" s="406"/>
    </row>
    <row r="27" spans="1:42" s="439" customFormat="1" ht="30" customHeight="1">
      <c r="A27" s="417" t="s">
        <v>3483</v>
      </c>
      <c r="B27" s="417" t="s">
        <v>3702</v>
      </c>
      <c r="C27" s="438">
        <v>76712</v>
      </c>
      <c r="D27" s="737"/>
      <c r="E27" s="440" t="s">
        <v>3703</v>
      </c>
      <c r="F27" s="417" t="s">
        <v>3283</v>
      </c>
      <c r="G27" s="417" t="s">
        <v>3486</v>
      </c>
      <c r="H27" s="417" t="s">
        <v>185</v>
      </c>
      <c r="I27" s="417" t="s">
        <v>3487</v>
      </c>
      <c r="J27" s="417"/>
      <c r="K27" s="441"/>
      <c r="L27" s="442" t="s">
        <v>3704</v>
      </c>
      <c r="M27" s="417" t="s">
        <v>3705</v>
      </c>
      <c r="N27" s="417"/>
      <c r="O27" s="417" t="s">
        <v>3706</v>
      </c>
      <c r="P27" s="443" t="s">
        <v>3707</v>
      </c>
      <c r="Q27" s="444" t="s">
        <v>3708</v>
      </c>
      <c r="R27" s="417" t="s">
        <v>3709</v>
      </c>
      <c r="S27" s="445">
        <v>6602</v>
      </c>
      <c r="T27" s="445">
        <v>6002</v>
      </c>
      <c r="U27" s="446">
        <f>IFERROR((Table4891112[[#This Row],[Invoice Value]]-Table4891112[[#This Row],[Total cost]])/Table4891112[[#This Row],[Invoice Value]],)</f>
        <v>9.0881551045137843E-2</v>
      </c>
      <c r="V27" s="417"/>
      <c r="W27" s="417"/>
      <c r="X27" s="444"/>
      <c r="Y27" s="444"/>
      <c r="Z27" s="444"/>
      <c r="AA27" s="417"/>
      <c r="AB27" s="417"/>
      <c r="AC27" s="417"/>
      <c r="AD27" s="417" t="s">
        <v>3489</v>
      </c>
      <c r="AE27" s="417" t="s">
        <v>3489</v>
      </c>
      <c r="AF27" s="417"/>
      <c r="AG27" s="417"/>
      <c r="AH27" s="417" t="s">
        <v>3710</v>
      </c>
      <c r="AI27" s="447"/>
      <c r="AJ27" s="417"/>
      <c r="AK27" s="417"/>
      <c r="AL27" s="419" t="s">
        <v>3490</v>
      </c>
      <c r="AM27" s="945" t="s">
        <v>3469</v>
      </c>
      <c r="AN27" s="945" t="s">
        <v>3469</v>
      </c>
      <c r="AO27" s="422" t="s">
        <v>3546</v>
      </c>
      <c r="AP27" s="406"/>
    </row>
    <row r="28" spans="1:42" s="439" customFormat="1" ht="30" customHeight="1">
      <c r="A28" s="417" t="s">
        <v>3711</v>
      </c>
      <c r="B28" s="417" t="s">
        <v>3712</v>
      </c>
      <c r="C28" s="438">
        <v>142070</v>
      </c>
      <c r="D28" s="737"/>
      <c r="E28" s="440" t="s">
        <v>3713</v>
      </c>
      <c r="F28" s="417" t="s">
        <v>3283</v>
      </c>
      <c r="G28" s="417" t="s">
        <v>3295</v>
      </c>
      <c r="H28" s="417" t="s">
        <v>185</v>
      </c>
      <c r="I28" s="417" t="s">
        <v>3481</v>
      </c>
      <c r="J28" s="417"/>
      <c r="K28" s="441"/>
      <c r="L28" s="442" t="s">
        <v>3714</v>
      </c>
      <c r="M28" s="444" t="s">
        <v>3715</v>
      </c>
      <c r="N28" s="417"/>
      <c r="O28" s="417" t="s">
        <v>3716</v>
      </c>
      <c r="P28" s="443" t="s">
        <v>3717</v>
      </c>
      <c r="Q28" s="444"/>
      <c r="R28" s="417"/>
      <c r="S28" s="445">
        <v>0</v>
      </c>
      <c r="T28" s="414">
        <v>6966</v>
      </c>
      <c r="U28" s="415" t="e">
        <f>(Table4891112[[#This Row],[Invoice Value]]-Table4891112[[#This Row],[Total cost]])/Table4891112[[#This Row],[Invoice Value]]</f>
        <v>#DIV/0!</v>
      </c>
      <c r="V28" s="444"/>
      <c r="W28" s="444"/>
      <c r="X28" s="444"/>
      <c r="Y28" s="444"/>
      <c r="Z28" s="444"/>
      <c r="AA28" s="417"/>
      <c r="AB28" s="417"/>
      <c r="AC28" s="417"/>
      <c r="AD28" s="417" t="s">
        <v>3489</v>
      </c>
      <c r="AE28" s="417" t="s">
        <v>3489</v>
      </c>
      <c r="AF28" s="417"/>
      <c r="AG28" s="417"/>
      <c r="AH28" s="417" t="s">
        <v>3718</v>
      </c>
      <c r="AI28" s="447"/>
      <c r="AJ28" s="417"/>
      <c r="AK28" s="417"/>
      <c r="AL28" s="607" t="s">
        <v>3468</v>
      </c>
      <c r="AM28" s="945" t="s">
        <v>3469</v>
      </c>
      <c r="AN28" s="945" t="s">
        <v>3469</v>
      </c>
      <c r="AO28" s="422" t="s">
        <v>3546</v>
      </c>
      <c r="AP28" s="406"/>
    </row>
    <row r="29" spans="1:42" s="424" customFormat="1" ht="50.25" customHeight="1">
      <c r="A29" s="407" t="s">
        <v>3719</v>
      </c>
      <c r="B29" s="407" t="s">
        <v>3720</v>
      </c>
      <c r="C29" s="408">
        <v>77662</v>
      </c>
      <c r="D29" s="736"/>
      <c r="E29" s="409" t="s">
        <v>3721</v>
      </c>
      <c r="F29" s="407" t="s">
        <v>3283</v>
      </c>
      <c r="G29" s="407" t="s">
        <v>3295</v>
      </c>
      <c r="H29" s="407" t="s">
        <v>185</v>
      </c>
      <c r="I29" s="407" t="s">
        <v>3722</v>
      </c>
      <c r="J29" s="407">
        <v>202408</v>
      </c>
      <c r="K29" s="410"/>
      <c r="L29" s="411" t="s">
        <v>3723</v>
      </c>
      <c r="M29" s="412">
        <v>45565</v>
      </c>
      <c r="N29" s="407"/>
      <c r="O29" s="407" t="s">
        <v>3724</v>
      </c>
      <c r="P29" s="413" t="s">
        <v>3723</v>
      </c>
      <c r="Q29" s="412"/>
      <c r="R29" s="412" t="s">
        <v>3725</v>
      </c>
      <c r="S29" s="414">
        <v>134987</v>
      </c>
      <c r="T29" s="414">
        <v>101158</v>
      </c>
      <c r="U29" s="415">
        <f>(Table4891112[[#This Row],[Invoice Value]]-Table4891112[[#This Row],[Total cost]])/Table4891112[[#This Row],[Invoice Value]]</f>
        <v>0.25060931793431962</v>
      </c>
      <c r="V29" s="412"/>
      <c r="W29" s="412"/>
      <c r="X29" s="412" t="str">
        <f>IF(Q29&gt;0,Q29+3," - ")</f>
        <v xml:space="preserve"> - </v>
      </c>
      <c r="Y29" s="412" t="str">
        <f>IF(Q29&gt;0,Q29+14," - ")</f>
        <v xml:space="preserve"> - </v>
      </c>
      <c r="Z29" s="412"/>
      <c r="AA29" s="407" t="str">
        <f ca="1">IF(P29=0,"-",IF(Z29&gt;0,"Delivered",IF(TODAY()&gt;Y29,"Overdue",IF(TODAY()&lt;Y29,"In Progress"))))</f>
        <v>In Progress</v>
      </c>
      <c r="AB29" s="407"/>
      <c r="AC29" s="407"/>
      <c r="AD29" s="407" t="s">
        <v>3489</v>
      </c>
      <c r="AE29" s="407" t="s">
        <v>3489</v>
      </c>
      <c r="AF29" s="407"/>
      <c r="AG29" s="407"/>
      <c r="AH29" s="407" t="s">
        <v>3718</v>
      </c>
      <c r="AI29" s="418"/>
      <c r="AJ29" s="407"/>
      <c r="AK29" s="407"/>
      <c r="AL29" s="419" t="s">
        <v>3556</v>
      </c>
      <c r="AM29" s="950" t="s">
        <v>3477</v>
      </c>
      <c r="AN29" s="950">
        <v>62</v>
      </c>
      <c r="AO29" s="421" t="s">
        <v>3546</v>
      </c>
      <c r="AP29" s="437"/>
    </row>
    <row r="30" spans="1:42" s="424" customFormat="1" ht="35.25" customHeight="1">
      <c r="A30" s="407" t="s">
        <v>3719</v>
      </c>
      <c r="B30" s="407" t="s">
        <v>3720</v>
      </c>
      <c r="C30" s="408">
        <v>77662</v>
      </c>
      <c r="D30" s="736"/>
      <c r="E30" s="409" t="s">
        <v>3726</v>
      </c>
      <c r="F30" s="407" t="s">
        <v>3283</v>
      </c>
      <c r="G30" s="407" t="s">
        <v>3295</v>
      </c>
      <c r="H30" s="407" t="s">
        <v>185</v>
      </c>
      <c r="I30" s="407" t="s">
        <v>3481</v>
      </c>
      <c r="J30" s="407">
        <v>202405</v>
      </c>
      <c r="K30" s="410"/>
      <c r="L30" s="411" t="s">
        <v>3727</v>
      </c>
      <c r="M30" s="407"/>
      <c r="N30" s="407"/>
      <c r="O30" s="407" t="s">
        <v>3288</v>
      </c>
      <c r="P30" s="413" t="s">
        <v>3727</v>
      </c>
      <c r="Q30" s="412" t="s">
        <v>3727</v>
      </c>
      <c r="R30" s="412" t="s">
        <v>3728</v>
      </c>
      <c r="S30" s="414">
        <v>1087</v>
      </c>
      <c r="T30" s="414">
        <v>100</v>
      </c>
      <c r="U30" s="415">
        <f>(Table4891112[[#This Row],[Invoice Value]]-Table4891112[[#This Row],[Total cost]])/Table4891112[[#This Row],[Invoice Value]]</f>
        <v>0.90800367985280583</v>
      </c>
      <c r="V30" s="412"/>
      <c r="W30" s="412"/>
      <c r="X30" s="412" t="e">
        <f>IF(Q30&gt;0,Q30+3," - ")</f>
        <v>#VALUE!</v>
      </c>
      <c r="Y30" s="412" t="e">
        <f>IF(Q30&gt;0,Q30+14," - ")</f>
        <v>#VALUE!</v>
      </c>
      <c r="Z30" s="412"/>
      <c r="AA30" s="407" t="e">
        <f ca="1">IF(P30=0,"-",IF(Z30&gt;0,"Delivered",IF(TODAY()&gt;Y30,"Overdue",IF(TODAY()&lt;Y30,"In Progress"))))</f>
        <v>#VALUE!</v>
      </c>
      <c r="AB30" s="407"/>
      <c r="AC30" s="407"/>
      <c r="AD30" s="407" t="s">
        <v>3489</v>
      </c>
      <c r="AE30" s="407" t="s">
        <v>3489</v>
      </c>
      <c r="AF30" s="407"/>
      <c r="AG30" s="407"/>
      <c r="AH30" s="407" t="s">
        <v>3718</v>
      </c>
      <c r="AI30" s="418"/>
      <c r="AJ30" s="407"/>
      <c r="AK30" s="407"/>
      <c r="AL30" s="419" t="s">
        <v>3556</v>
      </c>
      <c r="AM30" s="950" t="s">
        <v>3477</v>
      </c>
      <c r="AN30" s="950"/>
      <c r="AO30" s="421" t="s">
        <v>3546</v>
      </c>
      <c r="AP30" s="437"/>
    </row>
    <row r="31" spans="1:42" s="424" customFormat="1" ht="33" customHeight="1">
      <c r="A31" s="407" t="s">
        <v>3729</v>
      </c>
      <c r="B31" s="407" t="s">
        <v>3730</v>
      </c>
      <c r="C31" s="408">
        <v>16218</v>
      </c>
      <c r="D31" s="736"/>
      <c r="E31" s="409" t="s">
        <v>3731</v>
      </c>
      <c r="F31" s="407" t="s">
        <v>3283</v>
      </c>
      <c r="G31" s="407" t="s">
        <v>3486</v>
      </c>
      <c r="H31" s="407" t="s">
        <v>185</v>
      </c>
      <c r="I31" s="407" t="s">
        <v>3303</v>
      </c>
      <c r="J31" s="407">
        <v>202405</v>
      </c>
      <c r="K31" s="410"/>
      <c r="L31" s="411" t="s">
        <v>3732</v>
      </c>
      <c r="M31" s="407" t="s">
        <v>3733</v>
      </c>
      <c r="N31" s="407"/>
      <c r="O31" s="407" t="s">
        <v>3676</v>
      </c>
      <c r="P31" s="448" t="s">
        <v>3732</v>
      </c>
      <c r="Q31" s="407" t="s">
        <v>3733</v>
      </c>
      <c r="R31" s="412" t="s">
        <v>3734</v>
      </c>
      <c r="S31" s="414">
        <v>17640</v>
      </c>
      <c r="T31" s="414">
        <v>9696.56</v>
      </c>
      <c r="U31" s="415">
        <f>IFERROR((Table4891112[[#This Row],[Invoice Value]]-Table4891112[[#This Row],[Total cost]])/Table4891112[[#This Row],[Invoice Value]],)</f>
        <v>0.45030839002267575</v>
      </c>
      <c r="V31" s="407"/>
      <c r="W31" s="407"/>
      <c r="X31" s="412"/>
      <c r="Y31" s="412"/>
      <c r="Z31" s="412"/>
      <c r="AA31" s="407"/>
      <c r="AB31" s="407"/>
      <c r="AC31" s="407"/>
      <c r="AD31" s="407" t="s">
        <v>3489</v>
      </c>
      <c r="AE31" s="407" t="s">
        <v>3489</v>
      </c>
      <c r="AF31" s="407"/>
      <c r="AG31" s="407"/>
      <c r="AH31" s="407" t="s">
        <v>3718</v>
      </c>
      <c r="AI31" s="418"/>
      <c r="AJ31" s="407"/>
      <c r="AK31" s="407"/>
      <c r="AL31" s="419" t="s">
        <v>3556</v>
      </c>
      <c r="AM31" s="946" t="s">
        <v>3477</v>
      </c>
      <c r="AN31" s="950">
        <v>10</v>
      </c>
      <c r="AO31" s="421" t="s">
        <v>3546</v>
      </c>
      <c r="AP31" s="437"/>
    </row>
    <row r="32" spans="1:42" s="424" customFormat="1" ht="30" customHeight="1">
      <c r="A32" s="407" t="s">
        <v>3729</v>
      </c>
      <c r="B32" s="407" t="s">
        <v>3730</v>
      </c>
      <c r="C32" s="408">
        <v>16218</v>
      </c>
      <c r="D32" s="736"/>
      <c r="E32" s="409" t="s">
        <v>3735</v>
      </c>
      <c r="F32" s="407" t="s">
        <v>3283</v>
      </c>
      <c r="G32" s="407" t="s">
        <v>3486</v>
      </c>
      <c r="H32" s="407" t="s">
        <v>185</v>
      </c>
      <c r="I32" s="407" t="s">
        <v>3303</v>
      </c>
      <c r="J32" s="407">
        <v>202406</v>
      </c>
      <c r="K32" s="410"/>
      <c r="L32" s="411" t="s">
        <v>3736</v>
      </c>
      <c r="M32" s="407" t="s">
        <v>3736</v>
      </c>
      <c r="N32" s="407"/>
      <c r="O32" s="407" t="s">
        <v>3676</v>
      </c>
      <c r="P32" s="448" t="s">
        <v>3736</v>
      </c>
      <c r="Q32" s="407" t="s">
        <v>3737</v>
      </c>
      <c r="R32" s="412" t="s">
        <v>3734</v>
      </c>
      <c r="S32" s="414">
        <v>1971</v>
      </c>
      <c r="T32" s="414">
        <v>100</v>
      </c>
      <c r="U32" s="415">
        <f>IFERROR((Table4891112[[#This Row],[Invoice Value]]-Table4891112[[#This Row],[Total cost]])/Table4891112[[#This Row],[Invoice Value]],)</f>
        <v>0.94926433282597666</v>
      </c>
      <c r="V32" s="407"/>
      <c r="W32" s="407"/>
      <c r="X32" s="412"/>
      <c r="Y32" s="412"/>
      <c r="Z32" s="412"/>
      <c r="AA32" s="407"/>
      <c r="AB32" s="407"/>
      <c r="AC32" s="407"/>
      <c r="AD32" s="407" t="s">
        <v>3489</v>
      </c>
      <c r="AE32" s="407" t="s">
        <v>3489</v>
      </c>
      <c r="AF32" s="407"/>
      <c r="AG32" s="407"/>
      <c r="AH32" s="407" t="s">
        <v>3718</v>
      </c>
      <c r="AI32" s="418"/>
      <c r="AJ32" s="407"/>
      <c r="AK32" s="407"/>
      <c r="AL32" s="419" t="s">
        <v>3556</v>
      </c>
      <c r="AM32" s="946" t="s">
        <v>3477</v>
      </c>
      <c r="AN32" s="950"/>
      <c r="AO32" s="421" t="s">
        <v>3546</v>
      </c>
      <c r="AP32" s="437"/>
    </row>
    <row r="33" spans="1:42" s="451" customFormat="1" ht="48.75" customHeight="1">
      <c r="A33" s="449" t="s">
        <v>3738</v>
      </c>
      <c r="B33" s="449" t="s">
        <v>3739</v>
      </c>
      <c r="C33" s="450">
        <v>170443.42</v>
      </c>
      <c r="D33" s="738"/>
      <c r="E33" s="452" t="s">
        <v>3740</v>
      </c>
      <c r="F33" s="449" t="s">
        <v>3283</v>
      </c>
      <c r="G33" s="449" t="s">
        <v>3562</v>
      </c>
      <c r="H33" s="449" t="s">
        <v>185</v>
      </c>
      <c r="I33" s="449" t="s">
        <v>3551</v>
      </c>
      <c r="J33" s="449">
        <v>202407</v>
      </c>
      <c r="K33" s="453"/>
      <c r="L33" s="454" t="s">
        <v>3741</v>
      </c>
      <c r="M33" s="449"/>
      <c r="N33" s="449"/>
      <c r="O33" s="449" t="s">
        <v>3742</v>
      </c>
      <c r="P33" s="455" t="s">
        <v>2332</v>
      </c>
      <c r="Q33" s="456" t="s">
        <v>2332</v>
      </c>
      <c r="R33" s="449" t="s">
        <v>3743</v>
      </c>
      <c r="S33" s="457">
        <v>163892</v>
      </c>
      <c r="T33" s="458">
        <v>130420</v>
      </c>
      <c r="U33" s="459">
        <f>IFERROR((Table4891112[[#This Row],[Invoice Value]]-Table4891112[[#This Row],[Total cost]])/Table4891112[[#This Row],[Invoice Value]],)</f>
        <v>0.20423205525590021</v>
      </c>
      <c r="V33" s="458"/>
      <c r="W33" s="458"/>
      <c r="X33" s="456"/>
      <c r="Y33" s="456"/>
      <c r="Z33" s="456"/>
      <c r="AA33" s="449"/>
      <c r="AB33" s="449"/>
      <c r="AC33" s="449"/>
      <c r="AD33" s="449" t="s">
        <v>3489</v>
      </c>
      <c r="AE33" s="449" t="s">
        <v>3489</v>
      </c>
      <c r="AF33" s="449"/>
      <c r="AG33" s="449"/>
      <c r="AH33" s="449" t="s">
        <v>3718</v>
      </c>
      <c r="AI33" s="460"/>
      <c r="AJ33" s="449"/>
      <c r="AK33" s="449"/>
      <c r="AL33" s="578" t="s">
        <v>3744</v>
      </c>
      <c r="AM33" s="579" t="s">
        <v>3469</v>
      </c>
      <c r="AN33" s="579" t="s">
        <v>3744</v>
      </c>
      <c r="AO33" s="461" t="s">
        <v>3546</v>
      </c>
      <c r="AP33" s="462"/>
    </row>
    <row r="34" spans="1:42" s="424" customFormat="1" ht="38.25" customHeight="1">
      <c r="A34" s="407" t="s">
        <v>3745</v>
      </c>
      <c r="B34" s="407" t="s">
        <v>3746</v>
      </c>
      <c r="C34" s="408">
        <v>90027</v>
      </c>
      <c r="D34" s="736"/>
      <c r="E34" s="409" t="s">
        <v>3605</v>
      </c>
      <c r="F34" s="407" t="s">
        <v>3283</v>
      </c>
      <c r="G34" s="407" t="s">
        <v>3284</v>
      </c>
      <c r="H34" s="407" t="s">
        <v>185</v>
      </c>
      <c r="I34" s="407" t="s">
        <v>3551</v>
      </c>
      <c r="J34" s="407">
        <v>202407</v>
      </c>
      <c r="K34" s="410">
        <v>23852</v>
      </c>
      <c r="L34" s="411" t="s">
        <v>3747</v>
      </c>
      <c r="M34" s="407"/>
      <c r="N34" s="407"/>
      <c r="O34" s="407" t="s">
        <v>3748</v>
      </c>
      <c r="P34" s="413" t="s">
        <v>3749</v>
      </c>
      <c r="Q34" s="412"/>
      <c r="R34" s="407" t="s">
        <v>3750</v>
      </c>
      <c r="S34" s="414">
        <v>43308.5</v>
      </c>
      <c r="T34" s="414">
        <v>19802</v>
      </c>
      <c r="U34" s="415">
        <f>IFERROR((Table4891112[[#This Row],[Invoice Value]]-Table4891112[[#This Row],[Total cost]])/Table4891112[[#This Row],[Invoice Value]],)</f>
        <v>0.5427687405474676</v>
      </c>
      <c r="V34" s="412"/>
      <c r="W34" s="412"/>
      <c r="X34" s="412"/>
      <c r="Y34" s="412"/>
      <c r="Z34" s="412"/>
      <c r="AA34" s="407"/>
      <c r="AB34" s="407"/>
      <c r="AC34" s="407"/>
      <c r="AD34" s="416" t="s">
        <v>3476</v>
      </c>
      <c r="AE34" s="416" t="s">
        <v>3476</v>
      </c>
      <c r="AF34" s="407"/>
      <c r="AG34" s="407"/>
      <c r="AH34" s="407" t="s">
        <v>3718</v>
      </c>
      <c r="AI34" s="418"/>
      <c r="AJ34" s="407"/>
      <c r="AK34" s="407"/>
      <c r="AL34" s="419" t="s">
        <v>3556</v>
      </c>
      <c r="AM34" s="463" t="s">
        <v>3477</v>
      </c>
      <c r="AN34" s="950">
        <v>8</v>
      </c>
      <c r="AO34" s="421" t="s">
        <v>3546</v>
      </c>
      <c r="AP34" s="406"/>
    </row>
    <row r="35" spans="1:42" s="424" customFormat="1" ht="62.25" customHeight="1">
      <c r="A35" s="407" t="s">
        <v>3745</v>
      </c>
      <c r="B35" s="407" t="s">
        <v>3746</v>
      </c>
      <c r="C35" s="408">
        <v>95094</v>
      </c>
      <c r="D35" s="736" t="s">
        <v>3751</v>
      </c>
      <c r="E35" s="409" t="s">
        <v>3752</v>
      </c>
      <c r="F35" s="407" t="s">
        <v>3283</v>
      </c>
      <c r="G35" s="407" t="s">
        <v>3284</v>
      </c>
      <c r="H35" s="407" t="s">
        <v>185</v>
      </c>
      <c r="I35" s="407" t="s">
        <v>3551</v>
      </c>
      <c r="J35" s="407">
        <v>202407</v>
      </c>
      <c r="K35" s="410"/>
      <c r="L35" s="411" t="s">
        <v>3747</v>
      </c>
      <c r="M35" s="407"/>
      <c r="N35" s="407"/>
      <c r="O35" s="951" t="s">
        <v>3753</v>
      </c>
      <c r="P35" s="413" t="s">
        <v>3749</v>
      </c>
      <c r="Q35" s="412"/>
      <c r="R35" s="407" t="s">
        <v>3754</v>
      </c>
      <c r="S35" s="414">
        <v>95094</v>
      </c>
      <c r="T35" s="414"/>
      <c r="U35" s="415">
        <f>IFERROR((Table4891112[[#This Row],[Invoice Value]]-Table4891112[[#This Row],[Total cost]])/Table4891112[[#This Row],[Invoice Value]],)</f>
        <v>1</v>
      </c>
      <c r="V35" s="412"/>
      <c r="W35" s="412"/>
      <c r="X35" s="412"/>
      <c r="Y35" s="412"/>
      <c r="Z35" s="412"/>
      <c r="AA35" s="407"/>
      <c r="AB35" s="407"/>
      <c r="AC35" s="970"/>
      <c r="AD35" s="416" t="s">
        <v>3476</v>
      </c>
      <c r="AE35" s="416" t="s">
        <v>3476</v>
      </c>
      <c r="AF35" s="407"/>
      <c r="AG35" s="407"/>
      <c r="AH35" s="407" t="s">
        <v>3718</v>
      </c>
      <c r="AI35" s="418"/>
      <c r="AJ35" s="407"/>
      <c r="AK35" s="407"/>
      <c r="AL35" s="419" t="s">
        <v>3556</v>
      </c>
      <c r="AM35" s="463" t="s">
        <v>3477</v>
      </c>
      <c r="AN35" s="950">
        <v>17</v>
      </c>
      <c r="AO35" s="421" t="s">
        <v>3546</v>
      </c>
      <c r="AP35" s="406"/>
    </row>
    <row r="36" spans="1:42" s="424" customFormat="1" ht="38.25" customHeight="1">
      <c r="A36" s="407" t="s">
        <v>3755</v>
      </c>
      <c r="B36" s="407" t="s">
        <v>3756</v>
      </c>
      <c r="C36" s="408">
        <v>65328</v>
      </c>
      <c r="D36" s="736"/>
      <c r="E36" s="448" t="s">
        <v>3757</v>
      </c>
      <c r="F36" s="407" t="s">
        <v>3283</v>
      </c>
      <c r="G36" s="448" t="s">
        <v>3486</v>
      </c>
      <c r="H36" s="448" t="s">
        <v>185</v>
      </c>
      <c r="I36" s="407" t="s">
        <v>3487</v>
      </c>
      <c r="J36" s="448">
        <v>202406</v>
      </c>
      <c r="K36" s="464">
        <v>102923</v>
      </c>
      <c r="L36" s="413" t="s">
        <v>3758</v>
      </c>
      <c r="M36" s="407"/>
      <c r="N36" s="448"/>
      <c r="O36" s="952" t="s">
        <v>3759</v>
      </c>
      <c r="P36" s="413" t="s">
        <v>3758</v>
      </c>
      <c r="Q36" s="413"/>
      <c r="R36" s="407" t="s">
        <v>3760</v>
      </c>
      <c r="S36" s="465">
        <v>124384.76</v>
      </c>
      <c r="T36" s="465">
        <v>78375.61</v>
      </c>
      <c r="U36" s="415">
        <f>IFERROR((Table4891112[[#This Row],[Invoice Value]]-Table4891112[[#This Row],[Total cost]])/Table4891112[[#This Row],[Invoice Value]],)</f>
        <v>0.36989378763121783</v>
      </c>
      <c r="V36" s="413"/>
      <c r="W36" s="413"/>
      <c r="X36" s="413"/>
      <c r="Y36" s="413"/>
      <c r="Z36" s="413"/>
      <c r="AA36" s="448"/>
      <c r="AB36" s="448"/>
      <c r="AC36" s="448"/>
      <c r="AD36" s="417" t="s">
        <v>3489</v>
      </c>
      <c r="AE36" s="417" t="s">
        <v>3489</v>
      </c>
      <c r="AF36" s="448"/>
      <c r="AG36" s="448"/>
      <c r="AH36" s="448" t="s">
        <v>3718</v>
      </c>
      <c r="AI36" s="466"/>
      <c r="AJ36" s="448"/>
      <c r="AK36" s="448"/>
      <c r="AL36" s="419" t="s">
        <v>3556</v>
      </c>
      <c r="AM36" s="463" t="s">
        <v>3477</v>
      </c>
      <c r="AN36" s="950">
        <v>66</v>
      </c>
      <c r="AO36" s="421" t="s">
        <v>3546</v>
      </c>
      <c r="AP36" s="406"/>
    </row>
    <row r="37" spans="1:42" s="467" customFormat="1" ht="55.5" customHeight="1">
      <c r="A37" s="449" t="s">
        <v>3761</v>
      </c>
      <c r="B37" s="449" t="s">
        <v>3762</v>
      </c>
      <c r="C37" s="450">
        <v>117371</v>
      </c>
      <c r="D37" s="738"/>
      <c r="E37" s="452" t="s">
        <v>3763</v>
      </c>
      <c r="F37" s="449" t="s">
        <v>3283</v>
      </c>
      <c r="G37" s="449" t="s">
        <v>3295</v>
      </c>
      <c r="H37" s="449" t="s">
        <v>185</v>
      </c>
      <c r="I37" s="449" t="s">
        <v>3481</v>
      </c>
      <c r="J37" s="449">
        <v>202407</v>
      </c>
      <c r="K37" s="457">
        <v>52700</v>
      </c>
      <c r="L37" s="456" t="s">
        <v>3764</v>
      </c>
      <c r="M37" s="449"/>
      <c r="N37" s="449"/>
      <c r="O37" s="449" t="s">
        <v>3676</v>
      </c>
      <c r="P37" s="456"/>
      <c r="Q37" s="456"/>
      <c r="R37" s="449" t="s">
        <v>3765</v>
      </c>
      <c r="S37" s="458">
        <v>117371</v>
      </c>
      <c r="T37" s="458">
        <v>105182</v>
      </c>
      <c r="U37" s="459">
        <f>IFERROR((Table4891112[[#This Row],[Invoice Value]]-Table4891112[[#This Row],[Total cost]])/Table4891112[[#This Row],[Invoice Value]],)</f>
        <v>0.1038501844578303</v>
      </c>
      <c r="V37" s="456"/>
      <c r="W37" s="456"/>
      <c r="X37" s="456"/>
      <c r="Y37" s="456"/>
      <c r="Z37" s="456"/>
      <c r="AA37" s="449"/>
      <c r="AB37" s="449"/>
      <c r="AC37" s="449"/>
      <c r="AD37" s="449" t="s">
        <v>3489</v>
      </c>
      <c r="AE37" s="449" t="s">
        <v>3489</v>
      </c>
      <c r="AF37" s="449"/>
      <c r="AG37" s="449"/>
      <c r="AH37" s="449" t="s">
        <v>3718</v>
      </c>
      <c r="AI37" s="460"/>
      <c r="AJ37" s="449"/>
      <c r="AK37" s="449"/>
      <c r="AL37" s="578" t="s">
        <v>3744</v>
      </c>
      <c r="AM37" s="579" t="s">
        <v>3469</v>
      </c>
      <c r="AN37" s="579" t="s">
        <v>3744</v>
      </c>
      <c r="AO37" s="461" t="s">
        <v>3546</v>
      </c>
      <c r="AP37" s="462"/>
    </row>
    <row r="38" spans="1:42" s="424" customFormat="1" ht="30" customHeight="1">
      <c r="A38" s="407" t="s">
        <v>3766</v>
      </c>
      <c r="B38" s="407" t="s">
        <v>3767</v>
      </c>
      <c r="C38" s="408">
        <v>46645</v>
      </c>
      <c r="D38" s="736"/>
      <c r="E38" s="409" t="s">
        <v>3768</v>
      </c>
      <c r="F38" s="407" t="s">
        <v>3283</v>
      </c>
      <c r="G38" s="407" t="s">
        <v>3295</v>
      </c>
      <c r="H38" s="407" t="s">
        <v>185</v>
      </c>
      <c r="I38" s="407" t="s">
        <v>3481</v>
      </c>
      <c r="J38" s="407">
        <v>202406</v>
      </c>
      <c r="K38" s="410">
        <v>49714.37</v>
      </c>
      <c r="L38" s="411" t="s">
        <v>3769</v>
      </c>
      <c r="M38" s="407"/>
      <c r="N38" s="407"/>
      <c r="O38" s="358" t="s">
        <v>3676</v>
      </c>
      <c r="P38" s="413" t="s">
        <v>3770</v>
      </c>
      <c r="Q38" s="412"/>
      <c r="R38" s="407" t="s">
        <v>3771</v>
      </c>
      <c r="S38" s="414" t="s">
        <v>3772</v>
      </c>
      <c r="T38" s="414">
        <v>22461.25</v>
      </c>
      <c r="U38" s="415">
        <f>IFERROR((Table4891112[[#This Row],[Invoice Value]]-Table4891112[[#This Row],[Total cost]])/Table4891112[[#This Row],[Invoice Value]],)</f>
        <v>0</v>
      </c>
      <c r="V38" s="412"/>
      <c r="W38" s="412"/>
      <c r="X38" s="412"/>
      <c r="Y38" s="412"/>
      <c r="Z38" s="412"/>
      <c r="AA38" s="407"/>
      <c r="AB38" s="407"/>
      <c r="AC38" s="407"/>
      <c r="AD38" s="416" t="s">
        <v>3476</v>
      </c>
      <c r="AE38" s="416" t="s">
        <v>3476</v>
      </c>
      <c r="AF38" s="407"/>
      <c r="AG38" s="407"/>
      <c r="AH38" s="407" t="s">
        <v>3718</v>
      </c>
      <c r="AI38" s="418"/>
      <c r="AJ38" s="407"/>
      <c r="AK38" s="407"/>
      <c r="AL38" s="419" t="s">
        <v>3556</v>
      </c>
      <c r="AM38" s="463" t="s">
        <v>3477</v>
      </c>
      <c r="AN38" s="950">
        <v>71</v>
      </c>
      <c r="AO38" s="421" t="s">
        <v>3546</v>
      </c>
      <c r="AP38" s="406"/>
    </row>
    <row r="39" spans="1:42" s="424" customFormat="1" ht="30" customHeight="1">
      <c r="A39" s="468" t="s">
        <v>3773</v>
      </c>
      <c r="B39" s="468" t="s">
        <v>3774</v>
      </c>
      <c r="C39" s="469">
        <v>3022</v>
      </c>
      <c r="D39" s="736"/>
      <c r="E39" s="409" t="s">
        <v>3775</v>
      </c>
      <c r="F39" s="407" t="s">
        <v>3283</v>
      </c>
      <c r="G39" s="407" t="s">
        <v>3486</v>
      </c>
      <c r="H39" s="468" t="s">
        <v>185</v>
      </c>
      <c r="I39" s="468" t="s">
        <v>3776</v>
      </c>
      <c r="J39" s="468">
        <v>202408</v>
      </c>
      <c r="K39" s="470">
        <v>13455.5</v>
      </c>
      <c r="L39" s="471" t="s">
        <v>3758</v>
      </c>
      <c r="M39" s="472" t="s">
        <v>3777</v>
      </c>
      <c r="N39" s="468"/>
      <c r="O39" s="358" t="s">
        <v>3288</v>
      </c>
      <c r="P39" s="413" t="s">
        <v>2332</v>
      </c>
      <c r="Q39" s="412" t="s">
        <v>2332</v>
      </c>
      <c r="R39" s="468" t="s">
        <v>3778</v>
      </c>
      <c r="S39" s="473">
        <v>13455</v>
      </c>
      <c r="T39" s="473">
        <v>10832</v>
      </c>
      <c r="U39" s="415">
        <f>IFERROR((Table4891112[[#This Row],[Invoice Value]]-Table4891112[[#This Row],[Total cost]])/Table4891112[[#This Row],[Invoice Value]],)</f>
        <v>0.19494611668524711</v>
      </c>
      <c r="V39" s="472"/>
      <c r="W39" s="472"/>
      <c r="X39" s="472"/>
      <c r="Y39" s="472"/>
      <c r="Z39" s="412"/>
      <c r="AA39" s="468"/>
      <c r="AB39" s="468"/>
      <c r="AC39" s="468"/>
      <c r="AD39" s="407" t="s">
        <v>3489</v>
      </c>
      <c r="AE39" s="407" t="s">
        <v>3489</v>
      </c>
      <c r="AF39" s="468"/>
      <c r="AG39" s="468"/>
      <c r="AH39" s="468"/>
      <c r="AI39" s="474"/>
      <c r="AJ39" s="475"/>
      <c r="AK39" s="475"/>
      <c r="AL39" s="607" t="s">
        <v>3468</v>
      </c>
      <c r="AM39" s="608" t="s">
        <v>3469</v>
      </c>
      <c r="AN39" s="608" t="s">
        <v>3779</v>
      </c>
      <c r="AO39" s="476" t="s">
        <v>3557</v>
      </c>
      <c r="AP39" s="437"/>
    </row>
    <row r="40" spans="1:42" s="424" customFormat="1" ht="30" customHeight="1">
      <c r="A40" s="468" t="s">
        <v>3780</v>
      </c>
      <c r="B40" s="468" t="s">
        <v>3781</v>
      </c>
      <c r="C40" s="477">
        <v>2693.29</v>
      </c>
      <c r="D40" s="736"/>
      <c r="E40" s="409" t="s">
        <v>3782</v>
      </c>
      <c r="F40" s="468" t="s">
        <v>3783</v>
      </c>
      <c r="G40" s="407" t="s">
        <v>3295</v>
      </c>
      <c r="H40" s="468" t="s">
        <v>185</v>
      </c>
      <c r="I40" s="407" t="s">
        <v>3481</v>
      </c>
      <c r="J40" s="468">
        <v>202407</v>
      </c>
      <c r="K40" s="470" t="s">
        <v>3784</v>
      </c>
      <c r="L40" s="471">
        <v>45504</v>
      </c>
      <c r="M40" s="472">
        <v>45526</v>
      </c>
      <c r="N40" s="468"/>
      <c r="O40" s="358" t="s">
        <v>3288</v>
      </c>
      <c r="P40" s="478"/>
      <c r="Q40" s="479"/>
      <c r="R40" s="361" t="s">
        <v>3785</v>
      </c>
      <c r="S40" s="362">
        <v>2829.58</v>
      </c>
      <c r="T40" s="362">
        <v>1044.77</v>
      </c>
      <c r="U40" s="415">
        <f>IFERROR((Table4891112[[#This Row],[Invoice Value]]-Table4891112[[#This Row],[Total cost]])/Table4891112[[#This Row],[Invoice Value]],)</f>
        <v>0.63076852395055094</v>
      </c>
      <c r="V40" s="361"/>
      <c r="W40" s="472"/>
      <c r="X40" s="361" t="str">
        <f>IF(Q40&gt;0,Q40+3," - ")</f>
        <v xml:space="preserve"> - </v>
      </c>
      <c r="Y40" s="361" t="str">
        <f>IF(Q40&gt;0,Q40+14," - ")</f>
        <v xml:space="preserve"> - </v>
      </c>
      <c r="Z40" s="479"/>
      <c r="AA40" s="480" t="str">
        <f ca="1">IF(P40=0,"-",IF(Z40&gt;0,"Delivered",IF(TODAY()&gt;Y40,"Overdue",IF(TODAY()&lt;Y40,"In Progress"))))</f>
        <v>-</v>
      </c>
      <c r="AB40" s="468"/>
      <c r="AC40" s="468"/>
      <c r="AD40" s="407" t="s">
        <v>3489</v>
      </c>
      <c r="AE40" s="407" t="s">
        <v>3489</v>
      </c>
      <c r="AF40" s="480"/>
      <c r="AG40" s="480"/>
      <c r="AH40" s="480"/>
      <c r="AI40" s="481"/>
      <c r="AJ40" s="482"/>
      <c r="AK40" s="482"/>
      <c r="AL40" s="607" t="s">
        <v>3468</v>
      </c>
      <c r="AM40" s="608" t="s">
        <v>3469</v>
      </c>
      <c r="AN40" s="608" t="s">
        <v>3786</v>
      </c>
      <c r="AO40" s="476" t="s">
        <v>3557</v>
      </c>
      <c r="AP40" s="437"/>
    </row>
    <row r="41" spans="1:42" s="375" customFormat="1" ht="52.5" customHeight="1">
      <c r="A41" s="475" t="s">
        <v>3787</v>
      </c>
      <c r="B41" s="475" t="s">
        <v>3788</v>
      </c>
      <c r="C41" s="483">
        <v>0</v>
      </c>
      <c r="D41" s="733"/>
      <c r="E41" s="484" t="s">
        <v>3789</v>
      </c>
      <c r="F41" s="475" t="s">
        <v>3314</v>
      </c>
      <c r="G41" s="475" t="s">
        <v>3486</v>
      </c>
      <c r="H41" s="475" t="s">
        <v>185</v>
      </c>
      <c r="I41" s="475" t="s">
        <v>3487</v>
      </c>
      <c r="J41" s="485">
        <v>202408</v>
      </c>
      <c r="K41" s="486">
        <v>0</v>
      </c>
      <c r="L41" s="485" t="s">
        <v>3790</v>
      </c>
      <c r="M41" s="485"/>
      <c r="N41" s="484"/>
      <c r="O41" s="417" t="s">
        <v>3791</v>
      </c>
      <c r="P41" s="487">
        <v>45512</v>
      </c>
      <c r="Q41" s="487">
        <v>45516</v>
      </c>
      <c r="R41" s="484"/>
      <c r="S41" s="484"/>
      <c r="T41" s="484">
        <v>3000</v>
      </c>
      <c r="U41" s="488"/>
      <c r="V41" s="484"/>
      <c r="W41" s="484" t="s">
        <v>3792</v>
      </c>
      <c r="X41" s="484" t="s">
        <v>3792</v>
      </c>
      <c r="Y41" s="484" t="s">
        <v>3792</v>
      </c>
      <c r="Z41" s="487">
        <v>45537</v>
      </c>
      <c r="AA41" s="484" t="s">
        <v>3793</v>
      </c>
      <c r="AB41" s="484" t="s">
        <v>3792</v>
      </c>
      <c r="AC41" s="484"/>
      <c r="AD41" s="416" t="s">
        <v>3476</v>
      </c>
      <c r="AE41" s="416" t="s">
        <v>3476</v>
      </c>
      <c r="AF41" s="484" t="s">
        <v>2332</v>
      </c>
      <c r="AG41" s="484" t="s">
        <v>2332</v>
      </c>
      <c r="AH41" s="484"/>
      <c r="AI41" s="489"/>
      <c r="AJ41" s="484"/>
      <c r="AK41" s="484"/>
      <c r="AL41" s="419" t="s">
        <v>3556</v>
      </c>
      <c r="AM41" s="490" t="s">
        <v>3477</v>
      </c>
      <c r="AN41" s="953">
        <v>11</v>
      </c>
      <c r="AO41" s="421" t="s">
        <v>3546</v>
      </c>
      <c r="AP41" s="406" t="s">
        <v>3794</v>
      </c>
    </row>
    <row r="42" spans="1:42" s="491" customFormat="1" ht="30" customHeight="1">
      <c r="A42" s="468" t="s">
        <v>3795</v>
      </c>
      <c r="B42" s="468" t="s">
        <v>3796</v>
      </c>
      <c r="C42" s="469" t="s">
        <v>3797</v>
      </c>
      <c r="D42" s="739"/>
      <c r="E42" s="409" t="s">
        <v>3798</v>
      </c>
      <c r="F42" s="407" t="s">
        <v>3283</v>
      </c>
      <c r="G42" s="468" t="s">
        <v>3284</v>
      </c>
      <c r="H42" s="468" t="s">
        <v>185</v>
      </c>
      <c r="I42" s="468" t="s">
        <v>3799</v>
      </c>
      <c r="J42" s="468">
        <v>202407</v>
      </c>
      <c r="K42" s="470">
        <v>1554</v>
      </c>
      <c r="L42" s="471" t="s">
        <v>3777</v>
      </c>
      <c r="M42" s="472">
        <v>45535</v>
      </c>
      <c r="N42" s="468"/>
      <c r="O42" s="407" t="s">
        <v>3288</v>
      </c>
      <c r="P42" s="413"/>
      <c r="Q42" s="412"/>
      <c r="R42" s="492" t="s">
        <v>3800</v>
      </c>
      <c r="S42" s="473">
        <v>1554</v>
      </c>
      <c r="T42" s="473">
        <v>500</v>
      </c>
      <c r="U42" s="493"/>
      <c r="V42" s="472"/>
      <c r="W42" s="472"/>
      <c r="X42" s="472"/>
      <c r="Y42" s="472"/>
      <c r="Z42" s="412"/>
      <c r="AA42" s="468"/>
      <c r="AB42" s="468"/>
      <c r="AC42" s="468"/>
      <c r="AD42" s="407" t="s">
        <v>3489</v>
      </c>
      <c r="AE42" s="407" t="s">
        <v>3489</v>
      </c>
      <c r="AF42" s="468"/>
      <c r="AG42" s="468"/>
      <c r="AH42" s="468"/>
      <c r="AI42" s="474"/>
      <c r="AJ42" s="475"/>
      <c r="AK42" s="475"/>
      <c r="AL42" s="607" t="s">
        <v>3468</v>
      </c>
      <c r="AM42" s="608" t="s">
        <v>3469</v>
      </c>
      <c r="AN42" s="608" t="s">
        <v>3801</v>
      </c>
      <c r="AO42" s="421" t="s">
        <v>3546</v>
      </c>
      <c r="AP42" s="437"/>
    </row>
    <row r="43" spans="1:42" s="491" customFormat="1" ht="41.25" customHeight="1">
      <c r="A43" s="494" t="s">
        <v>3802</v>
      </c>
      <c r="B43" s="494" t="s">
        <v>3803</v>
      </c>
      <c r="C43" s="495" t="s">
        <v>3797</v>
      </c>
      <c r="D43" s="739"/>
      <c r="E43" s="496" t="s">
        <v>3804</v>
      </c>
      <c r="F43" s="494" t="s">
        <v>3283</v>
      </c>
      <c r="G43" s="494" t="s">
        <v>3284</v>
      </c>
      <c r="H43" s="494" t="s">
        <v>185</v>
      </c>
      <c r="I43" s="494" t="s">
        <v>3805</v>
      </c>
      <c r="J43" s="494">
        <v>202407</v>
      </c>
      <c r="K43" s="497">
        <v>1554</v>
      </c>
      <c r="L43" s="498" t="s">
        <v>3806</v>
      </c>
      <c r="M43" s="492">
        <v>45535</v>
      </c>
      <c r="N43" s="494"/>
      <c r="O43" s="407" t="s">
        <v>3807</v>
      </c>
      <c r="P43" s="499"/>
      <c r="Q43" s="500"/>
      <c r="R43" s="1018"/>
      <c r="S43" s="501">
        <v>1554</v>
      </c>
      <c r="T43" s="501">
        <v>500</v>
      </c>
      <c r="U43" s="502">
        <f>(Table4891112[[#This Row],[Invoice Value]]-Table4891112[[#This Row],[Total cost]])/Table4891112[[#This Row],[Invoice Value]]</f>
        <v>0.6782496782496783</v>
      </c>
      <c r="V43" s="492"/>
      <c r="W43" s="492"/>
      <c r="X43" s="492" t="str">
        <f>IF(Q43&gt;0,Q43+3," - ")</f>
        <v xml:space="preserve"> - </v>
      </c>
      <c r="Y43" s="492" t="str">
        <f>IF(Q43&gt;0,Q43+14," - ")</f>
        <v xml:space="preserve"> - </v>
      </c>
      <c r="Z43" s="500"/>
      <c r="AA43" s="494" t="str">
        <f ca="1">IF(P43=0,"-",IF(Z43&gt;0,"Delivered",IF(TODAY()&gt;Y43,"Overdue",IF(TODAY()&lt;Y43,"In Progress"))))</f>
        <v>-</v>
      </c>
      <c r="AB43" s="494"/>
      <c r="AC43" s="494"/>
      <c r="AD43" s="407" t="s">
        <v>3489</v>
      </c>
      <c r="AE43" s="407" t="s">
        <v>3489</v>
      </c>
      <c r="AF43" s="494"/>
      <c r="AG43" s="494"/>
      <c r="AH43" s="494"/>
      <c r="AI43" s="474"/>
      <c r="AJ43" s="474"/>
      <c r="AK43" s="474"/>
      <c r="AL43" s="607" t="s">
        <v>3468</v>
      </c>
      <c r="AM43" s="608" t="s">
        <v>3469</v>
      </c>
      <c r="AN43" s="954">
        <v>10</v>
      </c>
      <c r="AO43" s="421" t="s">
        <v>3546</v>
      </c>
      <c r="AP43" s="437"/>
    </row>
    <row r="44" spans="1:42" s="504" customFormat="1" ht="41.25" customHeight="1">
      <c r="A44" s="485" t="s">
        <v>3534</v>
      </c>
      <c r="B44" s="485" t="s">
        <v>3808</v>
      </c>
      <c r="C44" s="503">
        <v>75402</v>
      </c>
      <c r="D44" s="740"/>
      <c r="E44" s="505" t="s">
        <v>3809</v>
      </c>
      <c r="F44" s="485" t="s">
        <v>3283</v>
      </c>
      <c r="G44" s="485" t="s">
        <v>3284</v>
      </c>
      <c r="H44" s="485" t="s">
        <v>185</v>
      </c>
      <c r="I44" s="485" t="s">
        <v>3551</v>
      </c>
      <c r="J44" s="485">
        <v>202408</v>
      </c>
      <c r="K44" s="486"/>
      <c r="M44" s="485"/>
      <c r="O44" s="504" t="s">
        <v>3488</v>
      </c>
      <c r="U44" s="506"/>
      <c r="AD44" s="417" t="s">
        <v>3489</v>
      </c>
      <c r="AE44" s="417" t="s">
        <v>3489</v>
      </c>
      <c r="AL44" s="607" t="s">
        <v>3468</v>
      </c>
      <c r="AM44" s="608" t="s">
        <v>3469</v>
      </c>
      <c r="AN44" s="955" t="s">
        <v>3810</v>
      </c>
      <c r="AO44" s="421" t="s">
        <v>3546</v>
      </c>
      <c r="AP44" s="507"/>
    </row>
    <row r="45" spans="1:42" s="510" customFormat="1" ht="37.5" customHeight="1">
      <c r="A45" s="508" t="s">
        <v>3811</v>
      </c>
      <c r="B45" s="508" t="s">
        <v>3812</v>
      </c>
      <c r="C45" s="509">
        <v>9583</v>
      </c>
      <c r="D45" s="741"/>
      <c r="E45" s="511" t="s">
        <v>3813</v>
      </c>
      <c r="F45" s="508" t="s">
        <v>3283</v>
      </c>
      <c r="G45" s="512" t="s">
        <v>3302</v>
      </c>
      <c r="H45" s="508" t="s">
        <v>185</v>
      </c>
      <c r="I45" s="468" t="s">
        <v>3776</v>
      </c>
      <c r="J45" s="508">
        <v>202408</v>
      </c>
      <c r="K45" s="513">
        <v>6376</v>
      </c>
      <c r="L45" s="514" t="s">
        <v>3465</v>
      </c>
      <c r="M45" s="508" t="s">
        <v>3814</v>
      </c>
      <c r="N45" s="508"/>
      <c r="O45" s="358" t="s">
        <v>3815</v>
      </c>
      <c r="P45" s="515"/>
      <c r="Q45" s="516"/>
      <c r="R45" s="508" t="s">
        <v>3816</v>
      </c>
      <c r="S45" s="517">
        <v>6376</v>
      </c>
      <c r="T45" s="517">
        <v>2983</v>
      </c>
      <c r="U45" s="518">
        <f>(Table4891112[[#This Row],[Invoice Value]]-Table4891112[[#This Row],[Total cost]])/Table4891112[[#This Row],[Invoice Value]]</f>
        <v>0.53215181932245925</v>
      </c>
      <c r="V45" s="519"/>
      <c r="W45" s="519"/>
      <c r="X45" s="519"/>
      <c r="Y45" s="519"/>
      <c r="Z45" s="516"/>
      <c r="AA45" s="508"/>
      <c r="AB45" s="508"/>
      <c r="AC45" s="508"/>
      <c r="AD45" s="417" t="s">
        <v>3489</v>
      </c>
      <c r="AE45" s="417" t="s">
        <v>3489</v>
      </c>
      <c r="AF45" s="508"/>
      <c r="AG45" s="508"/>
      <c r="AH45" s="508"/>
      <c r="AI45" s="508"/>
      <c r="AJ45" s="508"/>
      <c r="AK45" s="508"/>
      <c r="AL45" s="419" t="s">
        <v>3556</v>
      </c>
      <c r="AM45" s="608" t="s">
        <v>3469</v>
      </c>
      <c r="AN45" s="956">
        <v>1</v>
      </c>
      <c r="AO45" s="520" t="s">
        <v>3557</v>
      </c>
      <c r="AP45" s="521"/>
    </row>
    <row r="46" spans="1:42" s="523" customFormat="1" ht="37.5" customHeight="1">
      <c r="A46" s="358" t="s">
        <v>3817</v>
      </c>
      <c r="B46" s="358" t="s">
        <v>3818</v>
      </c>
      <c r="C46" s="522">
        <v>11997</v>
      </c>
      <c r="D46" s="742"/>
      <c r="E46" s="524" t="s">
        <v>3819</v>
      </c>
      <c r="F46" s="358" t="s">
        <v>3283</v>
      </c>
      <c r="G46" s="525" t="s">
        <v>3295</v>
      </c>
      <c r="H46" s="358" t="s">
        <v>185</v>
      </c>
      <c r="I46" s="358" t="s">
        <v>3481</v>
      </c>
      <c r="J46" s="358">
        <v>202407</v>
      </c>
      <c r="K46" s="359">
        <v>11997</v>
      </c>
      <c r="L46" s="360">
        <v>45485</v>
      </c>
      <c r="M46" s="526">
        <v>45492</v>
      </c>
      <c r="N46" s="358"/>
      <c r="O46" s="358" t="s">
        <v>3815</v>
      </c>
      <c r="P46" s="527"/>
      <c r="Q46" s="528"/>
      <c r="R46" s="508" t="s">
        <v>3820</v>
      </c>
      <c r="S46" s="529">
        <v>11035</v>
      </c>
      <c r="T46" s="529">
        <v>8565.2000000000007</v>
      </c>
      <c r="U46" s="518">
        <f>(Table4891112[[#This Row],[Invoice Value]]-Table4891112[[#This Row],[Total cost]])/Table4891112[[#This Row],[Invoice Value]]</f>
        <v>0.22381513366560934</v>
      </c>
      <c r="V46" s="526"/>
      <c r="W46" s="526"/>
      <c r="X46" s="526" t="str">
        <f t="shared" ref="X46:X47" si="3">IF(Q46&gt;0,Q46+3," - ")</f>
        <v xml:space="preserve"> - </v>
      </c>
      <c r="Y46" s="526" t="str">
        <f t="shared" ref="Y46:Y47" si="4">IF(Q46&gt;0,Q46+14," - ")</f>
        <v xml:space="preserve"> - </v>
      </c>
      <c r="Z46" s="528"/>
      <c r="AA46" s="358" t="str">
        <f t="shared" ref="AA46:AA47" ca="1" si="5">IF(P46=0,"-",IF(Z46&gt;0,"Delivered",IF(TODAY()&gt;Y46,"Overdue",IF(TODAY()&lt;Y46,"In Progress"))))</f>
        <v>-</v>
      </c>
      <c r="AB46" s="358"/>
      <c r="AC46" s="358"/>
      <c r="AD46" s="417" t="s">
        <v>3489</v>
      </c>
      <c r="AE46" s="417" t="s">
        <v>3489</v>
      </c>
      <c r="AF46" s="358"/>
      <c r="AG46" s="358"/>
      <c r="AH46" s="358"/>
      <c r="AI46" s="358"/>
      <c r="AJ46" s="358"/>
      <c r="AK46" s="358"/>
      <c r="AL46" s="607" t="s">
        <v>3468</v>
      </c>
      <c r="AM46" s="608" t="s">
        <v>3821</v>
      </c>
      <c r="AN46" s="608" t="s">
        <v>3468</v>
      </c>
      <c r="AO46" s="520" t="s">
        <v>3557</v>
      </c>
      <c r="AP46" s="507"/>
    </row>
    <row r="47" spans="1:42" s="523" customFormat="1" ht="37.5" customHeight="1">
      <c r="A47" s="358" t="s">
        <v>3822</v>
      </c>
      <c r="B47" s="358" t="s">
        <v>3823</v>
      </c>
      <c r="C47" s="522">
        <v>6530</v>
      </c>
      <c r="D47" s="742"/>
      <c r="E47" s="524" t="s">
        <v>3824</v>
      </c>
      <c r="F47" s="358" t="s">
        <v>3283</v>
      </c>
      <c r="G47" s="525" t="s">
        <v>3295</v>
      </c>
      <c r="H47" s="358" t="s">
        <v>185</v>
      </c>
      <c r="I47" s="358" t="s">
        <v>3481</v>
      </c>
      <c r="J47" s="358">
        <v>202407</v>
      </c>
      <c r="K47" s="359">
        <v>6530</v>
      </c>
      <c r="L47" s="360">
        <v>45485</v>
      </c>
      <c r="M47" s="526">
        <v>45492</v>
      </c>
      <c r="N47" s="358"/>
      <c r="O47" s="358" t="s">
        <v>3815</v>
      </c>
      <c r="P47" s="527"/>
      <c r="Q47" s="528"/>
      <c r="R47" s="508" t="s">
        <v>3825</v>
      </c>
      <c r="S47" s="529">
        <v>6530</v>
      </c>
      <c r="T47" s="529">
        <v>3093</v>
      </c>
      <c r="U47" s="518">
        <f>(Table4891112[[#This Row],[Invoice Value]]-Table4891112[[#This Row],[Total cost]])/Table4891112[[#This Row],[Invoice Value]]</f>
        <v>0.52633996937212868</v>
      </c>
      <c r="V47" s="526"/>
      <c r="W47" s="526"/>
      <c r="X47" s="526" t="str">
        <f t="shared" si="3"/>
        <v xml:space="preserve"> - </v>
      </c>
      <c r="Y47" s="526" t="str">
        <f t="shared" si="4"/>
        <v xml:space="preserve"> - </v>
      </c>
      <c r="Z47" s="528"/>
      <c r="AA47" s="358" t="str">
        <f t="shared" ca="1" si="5"/>
        <v>-</v>
      </c>
      <c r="AB47" s="358"/>
      <c r="AC47" s="358"/>
      <c r="AD47" s="417" t="s">
        <v>3489</v>
      </c>
      <c r="AE47" s="417" t="s">
        <v>3489</v>
      </c>
      <c r="AF47" s="358"/>
      <c r="AG47" s="358"/>
      <c r="AH47" s="358"/>
      <c r="AI47" s="358"/>
      <c r="AJ47" s="358"/>
      <c r="AK47" s="358"/>
      <c r="AL47" s="607" t="s">
        <v>3468</v>
      </c>
      <c r="AM47" s="608" t="s">
        <v>3821</v>
      </c>
      <c r="AN47" s="608" t="s">
        <v>3468</v>
      </c>
      <c r="AO47" s="520" t="s">
        <v>3557</v>
      </c>
      <c r="AP47" s="507"/>
    </row>
    <row r="48" spans="1:42" s="530" customFormat="1" ht="39.75" customHeight="1">
      <c r="A48" s="358" t="s">
        <v>3826</v>
      </c>
      <c r="B48" s="358" t="s">
        <v>3827</v>
      </c>
      <c r="C48" s="359">
        <v>129095</v>
      </c>
      <c r="D48" s="743"/>
      <c r="E48" s="531" t="s">
        <v>3828</v>
      </c>
      <c r="F48" s="358" t="s">
        <v>3314</v>
      </c>
      <c r="G48" s="358" t="s">
        <v>3284</v>
      </c>
      <c r="H48" s="358" t="s">
        <v>3285</v>
      </c>
      <c r="I48" s="358" t="s">
        <v>3494</v>
      </c>
      <c r="J48" s="358">
        <v>202408</v>
      </c>
      <c r="K48" s="532">
        <v>72050</v>
      </c>
      <c r="L48" s="358" t="s">
        <v>3829</v>
      </c>
      <c r="M48" s="358" t="s">
        <v>3830</v>
      </c>
      <c r="N48" s="533"/>
      <c r="O48" s="358" t="s">
        <v>3815</v>
      </c>
      <c r="P48" s="526">
        <v>45502</v>
      </c>
      <c r="Q48" s="526">
        <v>45519</v>
      </c>
      <c r="R48" s="358" t="s">
        <v>3831</v>
      </c>
      <c r="S48" s="534">
        <v>72050</v>
      </c>
      <c r="T48" s="534">
        <v>36708</v>
      </c>
      <c r="U48" s="518">
        <f>(Table4891112[[#This Row],[Invoice Value]]-Table4891112[[#This Row],[Total cost]])/Table4891112[[#This Row],[Invoice Value]]</f>
        <v>0.4905204718945177</v>
      </c>
      <c r="V48" s="358"/>
      <c r="W48" s="535" t="s">
        <v>3792</v>
      </c>
      <c r="X48" s="535" t="s">
        <v>2332</v>
      </c>
      <c r="Y48" s="535" t="s">
        <v>2332</v>
      </c>
      <c r="Z48" s="535" t="s">
        <v>2332</v>
      </c>
      <c r="AA48" s="533"/>
      <c r="AB48" s="533"/>
      <c r="AC48" s="533"/>
      <c r="AD48" s="407" t="s">
        <v>3489</v>
      </c>
      <c r="AE48" s="407" t="s">
        <v>3489</v>
      </c>
      <c r="AF48" s="533"/>
      <c r="AG48" s="533"/>
      <c r="AH48" s="533"/>
      <c r="AI48" s="536"/>
      <c r="AJ48" s="537"/>
      <c r="AK48" s="537"/>
      <c r="AL48" s="419" t="s">
        <v>3556</v>
      </c>
      <c r="AM48" s="953" t="s">
        <v>3477</v>
      </c>
      <c r="AN48" s="957">
        <v>59</v>
      </c>
      <c r="AO48" s="538"/>
      <c r="AP48" s="539"/>
    </row>
    <row r="49" spans="1:42" s="530" customFormat="1" ht="42" customHeight="1">
      <c r="A49" s="358" t="s">
        <v>3832</v>
      </c>
      <c r="B49" s="358" t="s">
        <v>3833</v>
      </c>
      <c r="C49" s="359">
        <v>430</v>
      </c>
      <c r="D49" s="743"/>
      <c r="E49" s="531" t="s">
        <v>3834</v>
      </c>
      <c r="F49" s="358" t="s">
        <v>3314</v>
      </c>
      <c r="G49" s="358" t="s">
        <v>3284</v>
      </c>
      <c r="H49" s="358" t="s">
        <v>3285</v>
      </c>
      <c r="I49" s="358" t="s">
        <v>3551</v>
      </c>
      <c r="J49" s="358">
        <v>202408</v>
      </c>
      <c r="K49" s="532">
        <v>588.91</v>
      </c>
      <c r="L49" s="526">
        <v>45502</v>
      </c>
      <c r="M49" s="358"/>
      <c r="N49" s="533"/>
      <c r="O49" s="531" t="s">
        <v>3835</v>
      </c>
      <c r="P49" s="526" t="s">
        <v>2332</v>
      </c>
      <c r="Q49" s="540"/>
      <c r="R49" s="533" t="s">
        <v>3836</v>
      </c>
      <c r="S49" s="541">
        <v>588.91</v>
      </c>
      <c r="T49" s="541">
        <v>477.46</v>
      </c>
      <c r="U49" s="518">
        <f>(Table4891112[[#This Row],[Invoice Value]]-Table4891112[[#This Row],[Total cost]])/Table4891112[[#This Row],[Invoice Value]]</f>
        <v>0.18924793262128337</v>
      </c>
      <c r="V49" s="535"/>
      <c r="W49" s="535"/>
      <c r="X49" s="535"/>
      <c r="Y49" s="535"/>
      <c r="Z49" s="535"/>
      <c r="AA49" s="533"/>
      <c r="AB49" s="533"/>
      <c r="AC49" s="533"/>
      <c r="AD49" s="407" t="s">
        <v>3489</v>
      </c>
      <c r="AE49" s="407" t="s">
        <v>3489</v>
      </c>
      <c r="AF49" s="533"/>
      <c r="AG49" s="533"/>
      <c r="AH49" s="533"/>
      <c r="AI49" s="536"/>
      <c r="AJ49" s="537"/>
      <c r="AK49" s="537"/>
      <c r="AL49" s="607" t="s">
        <v>3468</v>
      </c>
      <c r="AM49" s="608" t="s">
        <v>3469</v>
      </c>
      <c r="AN49" s="956" t="s">
        <v>3810</v>
      </c>
      <c r="AO49" s="538"/>
      <c r="AP49" s="539"/>
    </row>
    <row r="50" spans="1:42" s="542" customFormat="1" ht="34.5" customHeight="1">
      <c r="A50" s="485" t="s">
        <v>3837</v>
      </c>
      <c r="B50" s="485" t="s">
        <v>3838</v>
      </c>
      <c r="C50" s="503">
        <v>10467</v>
      </c>
      <c r="D50" s="744"/>
      <c r="E50" s="505" t="s">
        <v>3839</v>
      </c>
      <c r="F50" s="485" t="s">
        <v>3314</v>
      </c>
      <c r="G50" s="485" t="s">
        <v>3284</v>
      </c>
      <c r="H50" s="485" t="s">
        <v>185</v>
      </c>
      <c r="I50" s="485" t="s">
        <v>3840</v>
      </c>
      <c r="J50" s="485">
        <v>202408</v>
      </c>
      <c r="K50" s="486">
        <v>10467</v>
      </c>
      <c r="L50" s="543">
        <v>45502</v>
      </c>
      <c r="M50" s="485"/>
      <c r="N50" s="504"/>
      <c r="O50" s="505" t="s">
        <v>3841</v>
      </c>
      <c r="P50" s="543">
        <v>45537</v>
      </c>
      <c r="Q50" s="504"/>
      <c r="R50" s="504"/>
      <c r="S50" s="504"/>
      <c r="T50" s="504"/>
      <c r="U50" s="544" t="e">
        <f>(Table4891112[[#This Row],[Invoice Value]]-Table4891112[[#This Row],[Total cost]])/Table4891112[[#This Row],[Invoice Value]]</f>
        <v>#DIV/0!</v>
      </c>
      <c r="V50" s="504"/>
      <c r="W50" s="504"/>
      <c r="X50" s="504"/>
      <c r="Y50" s="504"/>
      <c r="Z50" s="504"/>
      <c r="AA50" s="504"/>
      <c r="AB50" s="504"/>
      <c r="AC50" s="504"/>
      <c r="AD50" s="417" t="s">
        <v>3489</v>
      </c>
      <c r="AE50" s="417" t="s">
        <v>3489</v>
      </c>
      <c r="AF50" s="504"/>
      <c r="AG50" s="504"/>
      <c r="AH50" s="504"/>
      <c r="AI50" s="504"/>
      <c r="AJ50" s="504"/>
      <c r="AK50" s="504"/>
      <c r="AL50" s="545" t="s">
        <v>3556</v>
      </c>
      <c r="AM50" s="953" t="s">
        <v>3477</v>
      </c>
      <c r="AN50" s="956">
        <v>12</v>
      </c>
      <c r="AO50" s="546"/>
      <c r="AP50" s="507"/>
    </row>
    <row r="51" spans="1:42" s="542" customFormat="1" ht="34.5" customHeight="1">
      <c r="A51" s="970"/>
      <c r="B51" s="547"/>
      <c r="C51" s="548"/>
      <c r="D51" s="744"/>
      <c r="E51" s="1030"/>
      <c r="F51" s="971"/>
      <c r="G51" s="970"/>
      <c r="H51" s="970"/>
      <c r="I51" s="970"/>
      <c r="J51" s="536"/>
      <c r="K51" s="549"/>
      <c r="L51" s="1015"/>
      <c r="M51" s="1031"/>
      <c r="N51" s="970"/>
      <c r="O51" s="550"/>
      <c r="P51" s="1016"/>
      <c r="Q51" s="1016"/>
      <c r="R51" s="1018"/>
      <c r="S51" s="1019"/>
      <c r="T51" s="1019"/>
      <c r="U51" s="1020"/>
      <c r="V51" s="1018"/>
      <c r="W51" s="551"/>
      <c r="X51" s="1018">
        <f>IF(Q53&gt;0,Q53+3," - ")</f>
        <v>45639</v>
      </c>
      <c r="Y51" s="1018">
        <f>IF(Q53&gt;0,Q53+14," - ")</f>
        <v>45650</v>
      </c>
      <c r="Z51" s="1016"/>
      <c r="AA51" s="970" t="str">
        <f ca="1">IF(P53=0,"-",IF(Z51&gt;0,"Delivered",IF(TODAY()&gt;Y51,"Overdue",IF(TODAY()&lt;Y51,"In Progress"))))</f>
        <v>Overdue</v>
      </c>
      <c r="AB51" s="971"/>
      <c r="AC51" s="971"/>
      <c r="AD51" s="971"/>
      <c r="AE51" s="971"/>
      <c r="AF51" s="970"/>
      <c r="AG51" s="970"/>
      <c r="AH51" s="970"/>
      <c r="AI51" s="972"/>
      <c r="AJ51" s="547"/>
      <c r="AK51" s="547"/>
      <c r="AL51" s="552"/>
      <c r="AM51" s="553"/>
      <c r="AN51" s="553"/>
      <c r="AO51" s="554"/>
      <c r="AP51" s="507"/>
    </row>
    <row r="52" spans="1:42" s="542" customFormat="1" ht="43.5" customHeight="1">
      <c r="A52" s="555" t="s">
        <v>3842</v>
      </c>
      <c r="B52" s="485" t="s">
        <v>3843</v>
      </c>
      <c r="C52" s="503">
        <v>6477.4</v>
      </c>
      <c r="D52" s="744"/>
      <c r="E52" s="505" t="s">
        <v>3844</v>
      </c>
      <c r="F52" s="485" t="s">
        <v>3314</v>
      </c>
      <c r="G52" s="485" t="s">
        <v>3845</v>
      </c>
      <c r="H52" s="485" t="s">
        <v>3846</v>
      </c>
      <c r="I52" s="485" t="s">
        <v>3847</v>
      </c>
      <c r="J52" s="485">
        <v>202408</v>
      </c>
      <c r="K52" s="486">
        <v>4244</v>
      </c>
      <c r="L52" s="556"/>
      <c r="M52" s="485"/>
      <c r="N52" s="536"/>
      <c r="O52" s="358" t="s">
        <v>3815</v>
      </c>
      <c r="P52" s="543">
        <v>45516</v>
      </c>
      <c r="Q52" s="557">
        <v>45517</v>
      </c>
      <c r="R52" s="536">
        <v>401600064</v>
      </c>
      <c r="S52" s="558">
        <v>6477.4</v>
      </c>
      <c r="T52" s="558">
        <v>3894.82</v>
      </c>
      <c r="U52" s="544">
        <f>(Table4891112[[#This Row],[Invoice Value]]-Table4891112[[#This Row],[Total cost]])/Table4891112[[#This Row],[Invoice Value]]</f>
        <v>0.39870627103467432</v>
      </c>
      <c r="V52" s="559">
        <v>45539</v>
      </c>
      <c r="W52" s="559"/>
      <c r="X52" s="559"/>
      <c r="Y52" s="559"/>
      <c r="Z52" s="559"/>
      <c r="AA52" s="536"/>
      <c r="AB52" s="536"/>
      <c r="AC52" s="536"/>
      <c r="AD52" s="536"/>
      <c r="AE52" s="536"/>
      <c r="AF52" s="536"/>
      <c r="AG52" s="536"/>
      <c r="AH52" s="536"/>
      <c r="AI52" s="536"/>
      <c r="AJ52" s="537"/>
      <c r="AK52" s="537"/>
      <c r="AL52" s="545" t="s">
        <v>3556</v>
      </c>
      <c r="AM52" s="953" t="s">
        <v>3477</v>
      </c>
      <c r="AN52" s="958">
        <v>2</v>
      </c>
      <c r="AO52" s="560"/>
      <c r="AP52" s="507"/>
    </row>
    <row r="53" spans="1:42" s="563" customFormat="1" ht="43.5" customHeight="1">
      <c r="A53" s="365" t="s">
        <v>3848</v>
      </c>
      <c r="B53" s="561" t="s">
        <v>3849</v>
      </c>
      <c r="C53" s="562">
        <v>3381</v>
      </c>
      <c r="D53" s="745"/>
      <c r="E53" s="564" t="s">
        <v>3850</v>
      </c>
      <c r="F53" s="565" t="s">
        <v>3314</v>
      </c>
      <c r="G53" s="566" t="s">
        <v>185</v>
      </c>
      <c r="H53" s="567" t="s">
        <v>3851</v>
      </c>
      <c r="I53" s="567" t="s">
        <v>3852</v>
      </c>
      <c r="J53" s="565">
        <v>202412</v>
      </c>
      <c r="K53" s="568">
        <v>3381</v>
      </c>
      <c r="L53" s="569">
        <v>45636</v>
      </c>
      <c r="M53" s="570">
        <v>45636</v>
      </c>
      <c r="N53" s="566"/>
      <c r="O53" s="565" t="s">
        <v>3288</v>
      </c>
      <c r="P53" s="569">
        <v>45636</v>
      </c>
      <c r="Q53" s="569">
        <v>45636</v>
      </c>
      <c r="R53" s="571" t="s">
        <v>3853</v>
      </c>
      <c r="S53" s="572">
        <v>3381</v>
      </c>
      <c r="T53" s="572">
        <v>1900</v>
      </c>
      <c r="U53" s="573">
        <f>(Table4891112[[#This Row],[Invoice Value]]-Table4891112[[#This Row],[Total cost]])/Table4891112[[#This Row],[Invoice Value]]</f>
        <v>0.43803608399881694</v>
      </c>
      <c r="V53" s="574"/>
      <c r="W53" s="575"/>
      <c r="X53" s="574" t="e">
        <f>IF(#REF!&gt;0,#REF!+3," - ")</f>
        <v>#REF!</v>
      </c>
      <c r="Y53" s="574" t="e">
        <f>IF(#REF!&gt;0,#REF!+14," - ")</f>
        <v>#REF!</v>
      </c>
      <c r="Z53" s="574"/>
      <c r="AA53" s="566" t="e">
        <f ca="1">IF(#REF!=0,"-",IF(Z53&gt;0,"Delivered",IF(TODAY()&gt;Y53,"Overdue",IF(TODAY()&lt;Y53,"In Progress"))))</f>
        <v>#REF!</v>
      </c>
      <c r="AB53" s="576"/>
      <c r="AC53" s="576"/>
      <c r="AD53" s="576"/>
      <c r="AE53" s="576"/>
      <c r="AF53" s="566"/>
      <c r="AG53" s="566"/>
      <c r="AH53" s="566"/>
      <c r="AI53" s="577"/>
      <c r="AJ53" s="566"/>
      <c r="AK53" s="566"/>
      <c r="AL53" s="578" t="s">
        <v>3468</v>
      </c>
      <c r="AM53" s="579" t="s">
        <v>3469</v>
      </c>
      <c r="AN53" s="579" t="s">
        <v>3468</v>
      </c>
      <c r="AO53" s="580"/>
      <c r="AP53" s="581"/>
    </row>
    <row r="54" spans="1:42" s="368" customFormat="1" ht="50.25" customHeight="1">
      <c r="A54" s="352" t="s">
        <v>3854</v>
      </c>
      <c r="B54" s="582" t="s">
        <v>3855</v>
      </c>
      <c r="C54" s="583">
        <v>3540</v>
      </c>
      <c r="D54" s="746"/>
      <c r="E54" s="584" t="s">
        <v>3856</v>
      </c>
      <c r="F54" s="352" t="s">
        <v>3283</v>
      </c>
      <c r="G54" s="352" t="s">
        <v>3284</v>
      </c>
      <c r="H54" s="352">
        <v>202410</v>
      </c>
      <c r="I54" s="352">
        <v>202410</v>
      </c>
      <c r="J54" s="352">
        <v>202410</v>
      </c>
      <c r="K54" s="353">
        <v>3540</v>
      </c>
      <c r="L54" s="354" t="s">
        <v>3857</v>
      </c>
      <c r="M54" s="585">
        <v>45568</v>
      </c>
      <c r="N54" s="582"/>
      <c r="O54" s="586" t="s">
        <v>3858</v>
      </c>
      <c r="P54" s="354" t="s">
        <v>3857</v>
      </c>
      <c r="Q54" s="585">
        <v>45568</v>
      </c>
      <c r="R54" s="349"/>
      <c r="S54" s="350">
        <v>3540</v>
      </c>
      <c r="T54" s="350">
        <v>1400</v>
      </c>
      <c r="U54" s="351">
        <f>(Table4891112[[#This Row],[Invoice Value]]-Table4891112[[#This Row],[Total cost]])/Table4891112[[#This Row],[Invoice Value]]</f>
        <v>0.60451977401129942</v>
      </c>
      <c r="V54" s="349"/>
      <c r="W54" s="587"/>
      <c r="X54" s="349">
        <f t="shared" ref="X54" si="6">IF(Q54&gt;0,Q54+3," - ")</f>
        <v>45571</v>
      </c>
      <c r="Y54" s="349">
        <f t="shared" ref="Y54" si="7">IF(Q54&gt;0,Q54+14," - ")</f>
        <v>45582</v>
      </c>
      <c r="Z54" s="349"/>
      <c r="AA54" s="582" t="str">
        <f t="shared" ref="AA54" ca="1" si="8">IF(P54=0,"-",IF(Z54&gt;0,"Delivered",IF(TODAY()&gt;Y54,"Overdue",IF(TODAY()&lt;Y54,"In Progress"))))</f>
        <v>Overdue</v>
      </c>
      <c r="AB54" s="586"/>
      <c r="AC54" s="586"/>
      <c r="AD54" s="586"/>
      <c r="AE54" s="586"/>
      <c r="AF54" s="582"/>
      <c r="AG54" s="582"/>
      <c r="AH54" s="582"/>
      <c r="AI54" s="588"/>
      <c r="AJ54" s="582"/>
      <c r="AK54" s="582"/>
      <c r="AL54" s="959" t="s">
        <v>3290</v>
      </c>
      <c r="AM54" s="589" t="s">
        <v>3477</v>
      </c>
      <c r="AN54" s="589">
        <v>4</v>
      </c>
      <c r="AO54" s="590"/>
      <c r="AP54" s="591"/>
    </row>
    <row r="55" spans="1:42" s="592" customFormat="1" ht="43.5" customHeight="1">
      <c r="A55" s="352" t="s">
        <v>3859</v>
      </c>
      <c r="B55" s="352" t="s">
        <v>3860</v>
      </c>
      <c r="C55" s="353">
        <v>10910</v>
      </c>
      <c r="D55" s="747"/>
      <c r="E55" s="593" t="s">
        <v>3861</v>
      </c>
      <c r="F55" s="352" t="s">
        <v>3283</v>
      </c>
      <c r="G55" s="352" t="s">
        <v>3284</v>
      </c>
      <c r="H55" s="352" t="s">
        <v>3285</v>
      </c>
      <c r="I55" s="352" t="s">
        <v>3324</v>
      </c>
      <c r="J55" s="352">
        <v>202410</v>
      </c>
      <c r="K55" s="594">
        <v>10910</v>
      </c>
      <c r="L55" s="585">
        <v>45572</v>
      </c>
      <c r="M55" s="585">
        <v>45575</v>
      </c>
      <c r="N55" s="595"/>
      <c r="O55" s="754" t="s">
        <v>3288</v>
      </c>
      <c r="P55" s="585">
        <v>45572</v>
      </c>
      <c r="Q55" s="596">
        <v>45575</v>
      </c>
      <c r="R55" s="595"/>
      <c r="S55" s="597">
        <v>10910</v>
      </c>
      <c r="T55" s="597">
        <v>3645</v>
      </c>
      <c r="U55" s="598">
        <f>(Table4891112[[#This Row],[Invoice Value]]-Table4891112[[#This Row],[Total cost]])/Table4891112[[#This Row],[Invoice Value]]</f>
        <v>0.66590284142988088</v>
      </c>
      <c r="V55" s="599"/>
      <c r="W55" s="599"/>
      <c r="X55" s="599"/>
      <c r="Y55" s="599"/>
      <c r="Z55" s="599"/>
      <c r="AA55" s="595"/>
      <c r="AB55" s="595"/>
      <c r="AC55" s="595"/>
      <c r="AD55" s="595"/>
      <c r="AE55" s="595"/>
      <c r="AF55" s="595"/>
      <c r="AG55" s="595"/>
      <c r="AH55" s="595"/>
      <c r="AI55" s="595"/>
      <c r="AJ55" s="595"/>
      <c r="AK55" s="595"/>
      <c r="AL55" s="959" t="s">
        <v>3290</v>
      </c>
      <c r="AM55" s="589" t="s">
        <v>3477</v>
      </c>
      <c r="AN55" s="600">
        <v>12</v>
      </c>
      <c r="AO55" s="601"/>
      <c r="AP55" s="602"/>
    </row>
    <row r="56" spans="1:42" s="368" customFormat="1" ht="43.5" customHeight="1">
      <c r="A56" s="348" t="s">
        <v>3862</v>
      </c>
      <c r="B56" s="346" t="s">
        <v>3863</v>
      </c>
      <c r="C56" s="347" t="s">
        <v>3864</v>
      </c>
      <c r="D56" s="746"/>
      <c r="E56" s="603" t="s">
        <v>3865</v>
      </c>
      <c r="F56" s="352" t="s">
        <v>3283</v>
      </c>
      <c r="G56" s="352" t="s">
        <v>3284</v>
      </c>
      <c r="H56" s="352" t="s">
        <v>3285</v>
      </c>
      <c r="I56" s="582" t="s">
        <v>3286</v>
      </c>
      <c r="J56" s="352">
        <v>202502</v>
      </c>
      <c r="K56" s="353">
        <v>71193</v>
      </c>
      <c r="L56" s="354">
        <v>45701</v>
      </c>
      <c r="M56" s="585">
        <v>45712</v>
      </c>
      <c r="N56" s="582"/>
      <c r="O56" s="754" t="s">
        <v>3288</v>
      </c>
      <c r="P56" s="604"/>
      <c r="Q56" s="605"/>
      <c r="R56" s="349" t="s">
        <v>3866</v>
      </c>
      <c r="S56" s="350">
        <v>71193</v>
      </c>
      <c r="T56" s="350"/>
      <c r="U56" s="351">
        <f>(Table4891112[[#This Row],[Invoice Value]]-Table4891112[[#This Row],[Total cost]])/Table4891112[[#This Row],[Invoice Value]]</f>
        <v>1</v>
      </c>
      <c r="V56" s="349"/>
      <c r="W56" s="587"/>
      <c r="X56" s="349" t="str">
        <f t="shared" ref="X56:X57" si="9">IF(Q56&gt;0,Q56+3," - ")</f>
        <v xml:space="preserve"> - </v>
      </c>
      <c r="Y56" s="349" t="str">
        <f t="shared" ref="Y56:Y57" si="10">IF(Q56&gt;0,Q56+14," - ")</f>
        <v xml:space="preserve"> - </v>
      </c>
      <c r="Z56" s="349"/>
      <c r="AA56" s="582" t="str">
        <f t="shared" ref="AA56:AA57" ca="1" si="11">IF(P56=0,"-",IF(Z56&gt;0,"Delivered",IF(TODAY()&gt;Y56,"Overdue",IF(TODAY()&lt;Y56,"In Progress"))))</f>
        <v>-</v>
      </c>
      <c r="AB56" s="586"/>
      <c r="AC56" s="586"/>
      <c r="AD56" s="586"/>
      <c r="AE56" s="586"/>
      <c r="AF56" s="582"/>
      <c r="AG56" s="582"/>
      <c r="AH56" s="582"/>
      <c r="AI56" s="606"/>
      <c r="AJ56" s="582"/>
      <c r="AK56" s="582"/>
      <c r="AL56" s="607" t="s">
        <v>3468</v>
      </c>
      <c r="AM56" s="608" t="s">
        <v>3469</v>
      </c>
      <c r="AN56" s="608" t="s">
        <v>3468</v>
      </c>
      <c r="AO56" s="590"/>
      <c r="AP56" s="591"/>
    </row>
    <row r="57" spans="1:42" s="523" customFormat="1" ht="43.5" customHeight="1">
      <c r="A57" s="357" t="s">
        <v>3867</v>
      </c>
      <c r="B57" s="355" t="s">
        <v>3868</v>
      </c>
      <c r="C57" s="356" t="s">
        <v>3869</v>
      </c>
      <c r="D57" s="742"/>
      <c r="E57" s="609" t="s">
        <v>3870</v>
      </c>
      <c r="F57" s="358" t="s">
        <v>3283</v>
      </c>
      <c r="G57" s="358" t="s">
        <v>3295</v>
      </c>
      <c r="H57" s="358" t="s">
        <v>3285</v>
      </c>
      <c r="I57" s="358" t="s">
        <v>3871</v>
      </c>
      <c r="J57" s="358">
        <v>202411</v>
      </c>
      <c r="K57" s="359">
        <v>17467</v>
      </c>
      <c r="L57" s="360" t="s">
        <v>3872</v>
      </c>
      <c r="M57" s="526"/>
      <c r="N57" s="480"/>
      <c r="O57" s="358" t="s">
        <v>3288</v>
      </c>
      <c r="P57" s="610" t="s">
        <v>3873</v>
      </c>
      <c r="Q57" s="479" t="s">
        <v>3874</v>
      </c>
      <c r="R57" s="361" t="s">
        <v>3875</v>
      </c>
      <c r="S57" s="362">
        <v>17467</v>
      </c>
      <c r="T57" s="362">
        <v>12480</v>
      </c>
      <c r="U57" s="363">
        <f>(Table4891112[[#This Row],[Invoice Value]]-Table4891112[[#This Row],[Total cost]])/Table4891112[[#This Row],[Invoice Value]]</f>
        <v>0.28550981851491386</v>
      </c>
      <c r="V57" s="361"/>
      <c r="W57" s="472"/>
      <c r="X57" s="361" t="e">
        <f t="shared" si="9"/>
        <v>#VALUE!</v>
      </c>
      <c r="Y57" s="361" t="e">
        <f t="shared" si="10"/>
        <v>#VALUE!</v>
      </c>
      <c r="Z57" s="361"/>
      <c r="AA57" s="480" t="e">
        <f t="shared" ca="1" si="11"/>
        <v>#VALUE!</v>
      </c>
      <c r="AB57" s="468"/>
      <c r="AC57" s="468"/>
      <c r="AD57" s="468"/>
      <c r="AE57" s="468"/>
      <c r="AF57" s="480"/>
      <c r="AG57" s="480"/>
      <c r="AH57" s="480"/>
      <c r="AI57" s="611"/>
      <c r="AJ57" s="480"/>
      <c r="AK57" s="480"/>
      <c r="AL57" s="612" t="s">
        <v>3290</v>
      </c>
      <c r="AM57" s="613" t="s">
        <v>3469</v>
      </c>
      <c r="AN57" s="614">
        <v>12</v>
      </c>
      <c r="AO57" s="615"/>
      <c r="AP57" s="616"/>
    </row>
    <row r="58" spans="1:42" s="523" customFormat="1" ht="43.5" customHeight="1">
      <c r="A58" s="357" t="s">
        <v>3876</v>
      </c>
      <c r="B58" s="355" t="s">
        <v>3877</v>
      </c>
      <c r="C58" s="364">
        <v>12455.2</v>
      </c>
      <c r="D58" s="742"/>
      <c r="E58" s="609" t="s">
        <v>3878</v>
      </c>
      <c r="F58" s="358" t="s">
        <v>3283</v>
      </c>
      <c r="G58" s="358" t="s">
        <v>3284</v>
      </c>
      <c r="H58" s="358" t="s">
        <v>3285</v>
      </c>
      <c r="I58" s="358" t="s">
        <v>3871</v>
      </c>
      <c r="J58" s="358">
        <v>2024.11</v>
      </c>
      <c r="K58" s="359">
        <v>13154</v>
      </c>
      <c r="L58" s="360" t="s">
        <v>3879</v>
      </c>
      <c r="M58" s="526"/>
      <c r="N58" s="480"/>
      <c r="O58" s="358" t="s">
        <v>3288</v>
      </c>
      <c r="P58" s="610" t="s">
        <v>3880</v>
      </c>
      <c r="Q58" s="479" t="s">
        <v>3879</v>
      </c>
      <c r="R58" s="361" t="s">
        <v>3881</v>
      </c>
      <c r="S58" s="362">
        <v>13154</v>
      </c>
      <c r="T58" s="362">
        <v>10133</v>
      </c>
      <c r="U58" s="363">
        <f>(Table4891112[[#This Row],[Invoice Value]]-Table4891112[[#This Row],[Total cost]])/Table4891112[[#This Row],[Invoice Value]]</f>
        <v>0.22966398053823933</v>
      </c>
      <c r="V58" s="361"/>
      <c r="W58" s="472"/>
      <c r="X58" s="361" t="e">
        <f t="shared" ref="X58:X66" si="12">IF(Q58&gt;0,Q58+3," - ")</f>
        <v>#VALUE!</v>
      </c>
      <c r="Y58" s="361" t="e">
        <f t="shared" ref="Y58:Y66" si="13">IF(Q58&gt;0,Q58+14," - ")</f>
        <v>#VALUE!</v>
      </c>
      <c r="Z58" s="361"/>
      <c r="AA58" s="480" t="e">
        <f t="shared" ref="AA58:AA66" ca="1" si="14">IF(P58=0,"-",IF(Z58&gt;0,"Delivered",IF(TODAY()&gt;Y58,"Overdue",IF(TODAY()&lt;Y58,"In Progress"))))</f>
        <v>#VALUE!</v>
      </c>
      <c r="AB58" s="468"/>
      <c r="AC58" s="468"/>
      <c r="AD58" s="468"/>
      <c r="AE58" s="468"/>
      <c r="AF58" s="480"/>
      <c r="AG58" s="480"/>
      <c r="AH58" s="480"/>
      <c r="AI58" s="617"/>
      <c r="AJ58" s="480"/>
      <c r="AK58" s="480"/>
      <c r="AL58" s="612" t="s">
        <v>3290</v>
      </c>
      <c r="AM58" s="618" t="s">
        <v>3291</v>
      </c>
      <c r="AN58" s="618">
        <v>6</v>
      </c>
      <c r="AO58" s="615"/>
      <c r="AP58" s="616"/>
    </row>
    <row r="59" spans="1:42" s="523" customFormat="1" ht="43.5" customHeight="1">
      <c r="A59" s="970" t="s">
        <v>3882</v>
      </c>
      <c r="B59" s="547"/>
      <c r="C59" s="548"/>
      <c r="D59" s="742"/>
      <c r="E59" s="1030"/>
      <c r="F59" s="971"/>
      <c r="G59" s="970"/>
      <c r="H59" s="970"/>
      <c r="I59" s="970"/>
      <c r="J59" s="536"/>
      <c r="K59" s="549"/>
      <c r="L59" s="1015"/>
      <c r="M59" s="969"/>
      <c r="N59" s="970"/>
      <c r="O59" s="550"/>
      <c r="P59" s="1016"/>
      <c r="Q59" s="1032"/>
      <c r="R59" s="1018"/>
      <c r="S59" s="1019"/>
      <c r="T59" s="1019"/>
      <c r="U59" s="1020" t="e">
        <f>(Table4891112[[#This Row],[Invoice Value]]-Table4891112[[#This Row],[Total cost]])/Table4891112[[#This Row],[Invoice Value]]</f>
        <v>#DIV/0!</v>
      </c>
      <c r="V59" s="1018"/>
      <c r="W59" s="551"/>
      <c r="X59" s="1018" t="str">
        <f t="shared" si="12"/>
        <v xml:space="preserve"> - </v>
      </c>
      <c r="Y59" s="1018" t="str">
        <f t="shared" si="13"/>
        <v xml:space="preserve"> - </v>
      </c>
      <c r="Z59" s="1018"/>
      <c r="AA59" s="970" t="str">
        <f t="shared" ca="1" si="14"/>
        <v>-</v>
      </c>
      <c r="AB59" s="971"/>
      <c r="AC59" s="971"/>
      <c r="AD59" s="971"/>
      <c r="AE59" s="971"/>
      <c r="AF59" s="970"/>
      <c r="AG59" s="970"/>
      <c r="AH59" s="970"/>
      <c r="AI59" s="972"/>
      <c r="AJ59" s="547"/>
      <c r="AK59" s="547"/>
      <c r="AL59" s="552"/>
      <c r="AM59" s="553"/>
      <c r="AN59" s="553"/>
      <c r="AO59" s="554"/>
      <c r="AP59" s="507"/>
    </row>
    <row r="60" spans="1:42" s="523" customFormat="1" ht="43.5" customHeight="1">
      <c r="A60" s="357" t="s">
        <v>3883</v>
      </c>
      <c r="B60" s="355" t="s">
        <v>3884</v>
      </c>
      <c r="C60" s="364">
        <v>1641</v>
      </c>
      <c r="D60" s="742"/>
      <c r="E60" s="609" t="s">
        <v>3878</v>
      </c>
      <c r="F60" s="358" t="s">
        <v>3283</v>
      </c>
      <c r="G60" s="358" t="s">
        <v>3302</v>
      </c>
      <c r="H60" s="358" t="s">
        <v>3285</v>
      </c>
      <c r="I60" s="358" t="s">
        <v>3286</v>
      </c>
      <c r="J60" s="358" t="s">
        <v>3287</v>
      </c>
      <c r="K60" s="359">
        <v>1641</v>
      </c>
      <c r="L60" s="360">
        <v>45645</v>
      </c>
      <c r="M60" s="526"/>
      <c r="N60" s="480"/>
      <c r="O60" s="358" t="s">
        <v>3288</v>
      </c>
      <c r="P60" s="360">
        <v>45645</v>
      </c>
      <c r="Q60" s="360">
        <v>45645</v>
      </c>
      <c r="R60" s="361"/>
      <c r="S60" s="362">
        <v>1641</v>
      </c>
      <c r="T60" s="362">
        <v>700</v>
      </c>
      <c r="U60" s="363">
        <f>(Table4891112[[#This Row],[Invoice Value]]-Table4891112[[#This Row],[Total cost]])/Table4891112[[#This Row],[Invoice Value]]</f>
        <v>0.57343083485679469</v>
      </c>
      <c r="V60" s="361"/>
      <c r="W60" s="472"/>
      <c r="X60" s="361">
        <f t="shared" si="12"/>
        <v>45648</v>
      </c>
      <c r="Y60" s="361">
        <f t="shared" si="13"/>
        <v>45659</v>
      </c>
      <c r="Z60" s="361"/>
      <c r="AA60" s="480" t="str">
        <f t="shared" ca="1" si="14"/>
        <v>Overdue</v>
      </c>
      <c r="AB60" s="468"/>
      <c r="AC60" s="468"/>
      <c r="AD60" s="468"/>
      <c r="AE60" s="468"/>
      <c r="AF60" s="480"/>
      <c r="AG60" s="480"/>
      <c r="AH60" s="480"/>
      <c r="AI60" s="617"/>
      <c r="AJ60" s="480"/>
      <c r="AK60" s="480"/>
      <c r="AL60" s="612" t="s">
        <v>3290</v>
      </c>
      <c r="AM60" s="618" t="s">
        <v>3291</v>
      </c>
      <c r="AN60" s="618">
        <v>6</v>
      </c>
      <c r="AO60" s="615"/>
      <c r="AP60" s="616"/>
    </row>
    <row r="61" spans="1:42" s="523" customFormat="1" ht="43.5" customHeight="1">
      <c r="A61" s="357" t="s">
        <v>3885</v>
      </c>
      <c r="B61" s="355" t="s">
        <v>3886</v>
      </c>
      <c r="C61" s="364">
        <v>137383</v>
      </c>
      <c r="D61" s="742"/>
      <c r="E61" s="609" t="s">
        <v>3887</v>
      </c>
      <c r="F61" s="358" t="s">
        <v>3283</v>
      </c>
      <c r="G61" s="358" t="s">
        <v>3284</v>
      </c>
      <c r="H61" s="358" t="s">
        <v>3285</v>
      </c>
      <c r="I61" s="525" t="s">
        <v>3888</v>
      </c>
      <c r="J61" s="358"/>
      <c r="K61" s="359"/>
      <c r="L61" s="360"/>
      <c r="M61" s="526"/>
      <c r="N61" s="480"/>
      <c r="O61" s="358"/>
      <c r="P61" s="360"/>
      <c r="Q61" s="360"/>
      <c r="R61" s="361"/>
      <c r="S61" s="362"/>
      <c r="T61" s="362">
        <v>0</v>
      </c>
      <c r="U61" s="363" t="e">
        <f>(Table4891112[[#This Row],[Invoice Value]]-Table4891112[[#This Row],[Total cost]])/Table4891112[[#This Row],[Invoice Value]]</f>
        <v>#DIV/0!</v>
      </c>
      <c r="V61" s="361"/>
      <c r="W61" s="472"/>
      <c r="X61" s="361" t="str">
        <f t="shared" si="12"/>
        <v xml:space="preserve"> - </v>
      </c>
      <c r="Y61" s="361" t="str">
        <f t="shared" si="13"/>
        <v xml:space="preserve"> - </v>
      </c>
      <c r="Z61" s="361"/>
      <c r="AA61" s="480" t="str">
        <f t="shared" ca="1" si="14"/>
        <v>-</v>
      </c>
      <c r="AB61" s="468"/>
      <c r="AC61" s="468"/>
      <c r="AD61" s="468"/>
      <c r="AE61" s="468"/>
      <c r="AF61" s="480"/>
      <c r="AG61" s="480"/>
      <c r="AH61" s="480"/>
      <c r="AI61" s="617"/>
      <c r="AJ61" s="480"/>
      <c r="AK61" s="480"/>
      <c r="AL61" s="612" t="s">
        <v>3290</v>
      </c>
      <c r="AM61" s="618" t="s">
        <v>3291</v>
      </c>
      <c r="AN61" s="618">
        <v>6</v>
      </c>
      <c r="AO61" s="615"/>
      <c r="AP61" s="616"/>
    </row>
    <row r="62" spans="1:42" s="523" customFormat="1" ht="43.5" customHeight="1">
      <c r="A62" s="357" t="s">
        <v>3889</v>
      </c>
      <c r="B62" s="355" t="s">
        <v>3890</v>
      </c>
      <c r="C62" s="364">
        <v>15920</v>
      </c>
      <c r="D62" s="742"/>
      <c r="E62" s="609" t="s">
        <v>3891</v>
      </c>
      <c r="F62" s="358" t="s">
        <v>3283</v>
      </c>
      <c r="G62" s="358" t="s">
        <v>3284</v>
      </c>
      <c r="H62" s="358" t="s">
        <v>3285</v>
      </c>
      <c r="I62" s="525" t="s">
        <v>3892</v>
      </c>
      <c r="J62" s="358">
        <v>2025.01</v>
      </c>
      <c r="K62" s="359">
        <v>15601</v>
      </c>
      <c r="L62" s="360" t="s">
        <v>3893</v>
      </c>
      <c r="M62" s="526"/>
      <c r="N62" s="480"/>
      <c r="O62" s="358" t="s">
        <v>3288</v>
      </c>
      <c r="P62" s="360">
        <v>45645</v>
      </c>
      <c r="Q62" s="360">
        <v>45645</v>
      </c>
      <c r="R62" s="361" t="s">
        <v>3894</v>
      </c>
      <c r="S62" s="362">
        <v>1641</v>
      </c>
      <c r="T62" s="362">
        <v>700</v>
      </c>
      <c r="U62" s="363">
        <f>(Table4891112[[#This Row],[Invoice Value]]-Table4891112[[#This Row],[Total cost]])/Table4891112[[#This Row],[Invoice Value]]</f>
        <v>0.57343083485679469</v>
      </c>
      <c r="V62" s="361"/>
      <c r="W62" s="472"/>
      <c r="X62" s="361">
        <f t="shared" si="12"/>
        <v>45648</v>
      </c>
      <c r="Y62" s="361">
        <f t="shared" si="13"/>
        <v>45659</v>
      </c>
      <c r="Z62" s="361"/>
      <c r="AA62" s="480" t="str">
        <f t="shared" ca="1" si="14"/>
        <v>Overdue</v>
      </c>
      <c r="AB62" s="468"/>
      <c r="AC62" s="468"/>
      <c r="AD62" s="468"/>
      <c r="AE62" s="468"/>
      <c r="AF62" s="480"/>
      <c r="AG62" s="480"/>
      <c r="AH62" s="480"/>
      <c r="AI62" s="617"/>
      <c r="AJ62" s="480"/>
      <c r="AK62" s="480"/>
      <c r="AL62" s="612" t="s">
        <v>3290</v>
      </c>
      <c r="AM62" s="618" t="s">
        <v>3291</v>
      </c>
      <c r="AN62" s="618">
        <v>6</v>
      </c>
      <c r="AO62" s="615"/>
      <c r="AP62" s="616"/>
    </row>
    <row r="63" spans="1:42" s="523" customFormat="1" ht="43.5" customHeight="1">
      <c r="A63" s="970"/>
      <c r="B63" s="547"/>
      <c r="C63" s="548"/>
      <c r="D63" s="742"/>
      <c r="E63" s="1030"/>
      <c r="F63" s="971"/>
      <c r="G63" s="970"/>
      <c r="H63" s="970"/>
      <c r="I63" s="970"/>
      <c r="J63" s="536"/>
      <c r="K63" s="549"/>
      <c r="L63" s="1015"/>
      <c r="M63" s="969"/>
      <c r="N63" s="970"/>
      <c r="O63" s="550"/>
      <c r="P63" s="1016"/>
      <c r="Q63" s="1017"/>
      <c r="R63" s="1018"/>
      <c r="S63" s="1019"/>
      <c r="T63" s="1019"/>
      <c r="U63" s="1020" t="e">
        <f>(Table4891112[[#This Row],[Invoice Value]]-Table4891112[[#This Row],[Total cost]])/Table4891112[[#This Row],[Invoice Value]]</f>
        <v>#DIV/0!</v>
      </c>
      <c r="V63" s="1018"/>
      <c r="W63" s="551"/>
      <c r="X63" s="1018" t="str">
        <f t="shared" si="12"/>
        <v xml:space="preserve"> - </v>
      </c>
      <c r="Y63" s="1018" t="str">
        <f t="shared" si="13"/>
        <v xml:space="preserve"> - </v>
      </c>
      <c r="Z63" s="1018"/>
      <c r="AA63" s="970" t="str">
        <f t="shared" ca="1" si="14"/>
        <v>-</v>
      </c>
      <c r="AB63" s="971"/>
      <c r="AC63" s="971"/>
      <c r="AD63" s="971"/>
      <c r="AE63" s="971"/>
      <c r="AF63" s="970"/>
      <c r="AG63" s="970"/>
      <c r="AH63" s="970"/>
      <c r="AI63" s="972"/>
      <c r="AJ63" s="547"/>
      <c r="AK63" s="547"/>
      <c r="AL63" s="552"/>
      <c r="AM63" s="553"/>
      <c r="AN63" s="553"/>
      <c r="AO63" s="554"/>
      <c r="AP63" s="507"/>
    </row>
    <row r="64" spans="1:42" s="523" customFormat="1" ht="43.5" customHeight="1">
      <c r="A64" s="970"/>
      <c r="B64" s="547"/>
      <c r="C64" s="548"/>
      <c r="D64" s="742"/>
      <c r="E64" s="1030"/>
      <c r="F64" s="971"/>
      <c r="G64" s="970"/>
      <c r="H64" s="970"/>
      <c r="I64" s="970"/>
      <c r="J64" s="536"/>
      <c r="K64" s="549"/>
      <c r="L64" s="1015"/>
      <c r="M64" s="969"/>
      <c r="N64" s="970"/>
      <c r="O64" s="550"/>
      <c r="P64" s="1016"/>
      <c r="Q64" s="1017"/>
      <c r="R64" s="1018"/>
      <c r="S64" s="1019"/>
      <c r="T64" s="1019"/>
      <c r="U64" s="1020" t="e">
        <f>(Table4891112[[#This Row],[Invoice Value]]-Table4891112[[#This Row],[Total cost]])/Table4891112[[#This Row],[Invoice Value]]</f>
        <v>#DIV/0!</v>
      </c>
      <c r="V64" s="1018"/>
      <c r="W64" s="551"/>
      <c r="X64" s="1018" t="str">
        <f t="shared" si="12"/>
        <v xml:space="preserve"> - </v>
      </c>
      <c r="Y64" s="1018" t="str">
        <f t="shared" si="13"/>
        <v xml:space="preserve"> - </v>
      </c>
      <c r="Z64" s="1018"/>
      <c r="AA64" s="970" t="str">
        <f t="shared" ca="1" si="14"/>
        <v>-</v>
      </c>
      <c r="AB64" s="971"/>
      <c r="AC64" s="971"/>
      <c r="AD64" s="971"/>
      <c r="AE64" s="971"/>
      <c r="AF64" s="970"/>
      <c r="AG64" s="970"/>
      <c r="AH64" s="970"/>
      <c r="AI64" s="972"/>
      <c r="AJ64" s="547"/>
      <c r="AK64" s="547"/>
      <c r="AL64" s="552"/>
      <c r="AM64" s="553"/>
      <c r="AN64" s="553"/>
      <c r="AO64" s="554"/>
      <c r="AP64" s="507"/>
    </row>
    <row r="65" spans="1:42" s="523" customFormat="1" ht="43.5" customHeight="1">
      <c r="A65" s="357" t="s">
        <v>3280</v>
      </c>
      <c r="B65" s="355" t="s">
        <v>3281</v>
      </c>
      <c r="C65" s="364">
        <v>18271</v>
      </c>
      <c r="D65" s="742"/>
      <c r="E65" s="609" t="s">
        <v>3282</v>
      </c>
      <c r="F65" s="358" t="s">
        <v>3283</v>
      </c>
      <c r="G65" s="358" t="s">
        <v>3284</v>
      </c>
      <c r="H65" s="358" t="s">
        <v>3285</v>
      </c>
      <c r="I65" s="358" t="s">
        <v>3286</v>
      </c>
      <c r="J65" s="358" t="s">
        <v>3287</v>
      </c>
      <c r="K65" s="359">
        <v>16422.78</v>
      </c>
      <c r="L65" s="360">
        <v>45638</v>
      </c>
      <c r="M65" s="526"/>
      <c r="N65" s="480"/>
      <c r="O65" s="358" t="s">
        <v>3288</v>
      </c>
      <c r="P65" s="360">
        <v>45638</v>
      </c>
      <c r="Q65" s="360">
        <v>45638</v>
      </c>
      <c r="R65" s="361" t="s">
        <v>3289</v>
      </c>
      <c r="S65" s="362">
        <v>16422.78</v>
      </c>
      <c r="T65" s="362">
        <v>11686.42</v>
      </c>
      <c r="U65" s="363">
        <f>(Table4891112[[#This Row],[Invoice Value]]-Table4891112[[#This Row],[Total cost]])/Table4891112[[#This Row],[Invoice Value]]</f>
        <v>0.28840184183189443</v>
      </c>
      <c r="V65" s="361"/>
      <c r="W65" s="472"/>
      <c r="X65" s="361">
        <f t="shared" si="12"/>
        <v>45641</v>
      </c>
      <c r="Y65" s="361">
        <f t="shared" si="13"/>
        <v>45652</v>
      </c>
      <c r="Z65" s="361"/>
      <c r="AA65" s="480" t="str">
        <f t="shared" ca="1" si="14"/>
        <v>Overdue</v>
      </c>
      <c r="AB65" s="468"/>
      <c r="AC65" s="468"/>
      <c r="AD65" s="468"/>
      <c r="AE65" s="468"/>
      <c r="AF65" s="480"/>
      <c r="AG65" s="480"/>
      <c r="AH65" s="480"/>
      <c r="AI65" s="617"/>
      <c r="AJ65" s="480"/>
      <c r="AK65" s="480"/>
      <c r="AL65" s="612" t="s">
        <v>3290</v>
      </c>
      <c r="AM65" s="618" t="s">
        <v>3291</v>
      </c>
      <c r="AN65" s="618">
        <v>6</v>
      </c>
      <c r="AO65" s="615"/>
      <c r="AP65" s="616"/>
    </row>
    <row r="66" spans="1:42" s="619" customFormat="1" ht="43.5" customHeight="1">
      <c r="A66" s="970" t="s">
        <v>3292</v>
      </c>
      <c r="B66" s="547" t="s">
        <v>3293</v>
      </c>
      <c r="C66" s="548">
        <v>62674</v>
      </c>
      <c r="D66" s="732"/>
      <c r="E66" s="1030" t="s">
        <v>3294</v>
      </c>
      <c r="F66" s="971" t="s">
        <v>3283</v>
      </c>
      <c r="G66" s="970" t="s">
        <v>3295</v>
      </c>
      <c r="H66" s="970" t="s">
        <v>3285</v>
      </c>
      <c r="I66" s="970"/>
      <c r="J66" s="536">
        <v>2025.01</v>
      </c>
      <c r="K66" s="549">
        <v>59987</v>
      </c>
      <c r="L66" s="1015" t="s">
        <v>3296</v>
      </c>
      <c r="M66" s="969"/>
      <c r="N66" s="970"/>
      <c r="O66" s="550" t="s">
        <v>3288</v>
      </c>
      <c r="P66" s="1016" t="s">
        <v>3297</v>
      </c>
      <c r="Q66" s="1017"/>
      <c r="R66" s="1018" t="s">
        <v>3298</v>
      </c>
      <c r="S66" s="1019"/>
      <c r="T66" s="1019"/>
      <c r="U66" s="1020" t="e">
        <f>(Table4891112[[#This Row],[Invoice Value]]-Table4891112[[#This Row],[Total cost]])/Table4891112[[#This Row],[Invoice Value]]</f>
        <v>#DIV/0!</v>
      </c>
      <c r="V66" s="1018"/>
      <c r="W66" s="551"/>
      <c r="X66" s="1018" t="str">
        <f t="shared" si="12"/>
        <v xml:space="preserve"> - </v>
      </c>
      <c r="Y66" s="1018" t="str">
        <f t="shared" si="13"/>
        <v xml:space="preserve"> - </v>
      </c>
      <c r="Z66" s="1018"/>
      <c r="AA66" s="970" t="str">
        <f t="shared" ca="1" si="14"/>
        <v>In Progress</v>
      </c>
      <c r="AB66" s="971"/>
      <c r="AC66" s="971"/>
      <c r="AD66" s="971"/>
      <c r="AE66" s="971"/>
      <c r="AF66" s="970"/>
      <c r="AG66" s="970"/>
      <c r="AH66" s="970"/>
      <c r="AI66" s="972"/>
      <c r="AJ66" s="547"/>
      <c r="AK66" s="547"/>
      <c r="AL66" s="552"/>
      <c r="AM66" s="553"/>
      <c r="AN66" s="553"/>
      <c r="AO66" s="554"/>
      <c r="AP66" s="507"/>
    </row>
    <row r="67" spans="1:42" s="619" customFormat="1" ht="43.5" customHeight="1">
      <c r="A67" s="620" t="s">
        <v>3299</v>
      </c>
      <c r="B67" s="567" t="s">
        <v>3300</v>
      </c>
      <c r="C67" s="621">
        <v>9070</v>
      </c>
      <c r="D67" s="732">
        <v>8770</v>
      </c>
      <c r="E67" s="960" t="s">
        <v>3301</v>
      </c>
      <c r="F67" s="961" t="s">
        <v>3283</v>
      </c>
      <c r="G67" s="620" t="s">
        <v>3302</v>
      </c>
      <c r="H67" s="620" t="s">
        <v>3285</v>
      </c>
      <c r="I67" s="620" t="s">
        <v>3303</v>
      </c>
      <c r="J67" s="565" t="s">
        <v>3304</v>
      </c>
      <c r="K67" s="568">
        <v>8770</v>
      </c>
      <c r="L67" s="622">
        <v>45642</v>
      </c>
      <c r="M67" s="962">
        <v>45652</v>
      </c>
      <c r="N67" s="620"/>
      <c r="O67" s="754" t="s">
        <v>3288</v>
      </c>
      <c r="P67" s="624"/>
      <c r="Q67" s="625"/>
      <c r="R67" s="626" t="s">
        <v>3305</v>
      </c>
      <c r="S67" s="627">
        <v>8770</v>
      </c>
      <c r="T67" s="627"/>
      <c r="U67" s="628">
        <f>(Table4891112[[#This Row],[Invoice Value]]-Table4891112[[#This Row],[Total cost]])/Table4891112[[#This Row],[Invoice Value]]</f>
        <v>1</v>
      </c>
      <c r="V67" s="626"/>
      <c r="W67" s="629"/>
      <c r="X67" s="626" t="str">
        <f t="shared" ref="X67:X82" si="15">IF(Q67&gt;0,Q67+3," - ")</f>
        <v xml:space="preserve"> - </v>
      </c>
      <c r="Y67" s="626" t="str">
        <f t="shared" ref="Y67:Y82" si="16">IF(Q67&gt;0,Q67+14," - ")</f>
        <v xml:space="preserve"> - </v>
      </c>
      <c r="Z67" s="626"/>
      <c r="AA67" s="620" t="str">
        <f t="shared" ref="AA67:AA82" ca="1" si="17">IF(P67=0,"-",IF(Z67&gt;0,"Delivered",IF(TODAY()&gt;Y67,"Overdue",IF(TODAY()&lt;Y67,"In Progress"))))</f>
        <v>-</v>
      </c>
      <c r="AB67" s="961"/>
      <c r="AC67" s="961"/>
      <c r="AD67" s="961"/>
      <c r="AE67" s="961"/>
      <c r="AF67" s="620"/>
      <c r="AG67" s="620"/>
      <c r="AH67" s="620"/>
      <c r="AI67" s="963"/>
      <c r="AJ67" s="567"/>
      <c r="AK67" s="567"/>
      <c r="AL67" s="630"/>
      <c r="AM67" s="631"/>
      <c r="AN67" s="631"/>
      <c r="AO67" s="632"/>
      <c r="AP67" s="633"/>
    </row>
    <row r="68" spans="1:42" s="619" customFormat="1" ht="43.5" customHeight="1">
      <c r="A68" s="634" t="s">
        <v>3306</v>
      </c>
      <c r="B68" s="635" t="s">
        <v>3307</v>
      </c>
      <c r="C68" s="636">
        <v>18877</v>
      </c>
      <c r="D68" s="732">
        <v>17805</v>
      </c>
      <c r="E68" s="731" t="s">
        <v>3308</v>
      </c>
      <c r="F68" s="637" t="s">
        <v>3283</v>
      </c>
      <c r="G68" s="565" t="s">
        <v>3284</v>
      </c>
      <c r="H68" s="638" t="s">
        <v>3285</v>
      </c>
      <c r="I68" s="570" t="s">
        <v>3309</v>
      </c>
      <c r="J68" s="565"/>
      <c r="K68" s="568">
        <v>17805</v>
      </c>
      <c r="L68" s="622"/>
      <c r="M68" s="964"/>
      <c r="N68" s="620"/>
      <c r="O68" s="754" t="s">
        <v>3288</v>
      </c>
      <c r="P68" s="624"/>
      <c r="Q68" s="625"/>
      <c r="R68" s="626" t="s">
        <v>3310</v>
      </c>
      <c r="S68" s="627">
        <v>17804.54</v>
      </c>
      <c r="T68" s="627"/>
      <c r="U68" s="628">
        <f>(Table4891112[[#This Row],[Invoice Value]]-Table4891112[[#This Row],[Total cost]])/Table4891112[[#This Row],[Invoice Value]]</f>
        <v>1</v>
      </c>
      <c r="V68" s="626"/>
      <c r="W68" s="629"/>
      <c r="X68" s="626" t="str">
        <f t="shared" si="15"/>
        <v xml:space="preserve"> - </v>
      </c>
      <c r="Y68" s="626" t="str">
        <f t="shared" si="16"/>
        <v xml:space="preserve"> - </v>
      </c>
      <c r="Z68" s="626"/>
      <c r="AA68" s="620" t="str">
        <f t="shared" ca="1" si="17"/>
        <v>-</v>
      </c>
      <c r="AB68" s="961"/>
      <c r="AC68" s="961"/>
      <c r="AD68" s="961"/>
      <c r="AE68" s="961"/>
      <c r="AF68" s="620"/>
      <c r="AG68" s="620"/>
      <c r="AH68" s="620"/>
      <c r="AI68" s="965"/>
      <c r="AJ68" s="567"/>
      <c r="AK68" s="567"/>
      <c r="AL68" s="630"/>
      <c r="AM68" s="631"/>
      <c r="AN68" s="631"/>
      <c r="AO68" s="632"/>
      <c r="AP68" s="633"/>
    </row>
    <row r="69" spans="1:42" s="619" customFormat="1" ht="43.5" customHeight="1">
      <c r="A69" s="634" t="s">
        <v>3311</v>
      </c>
      <c r="B69" s="547"/>
      <c r="C69" s="548"/>
      <c r="D69" s="748"/>
      <c r="E69" s="340" t="s">
        <v>3313</v>
      </c>
      <c r="F69" s="971" t="s">
        <v>3314</v>
      </c>
      <c r="G69" s="970"/>
      <c r="H69" s="970"/>
      <c r="I69" s="970"/>
      <c r="J69" s="536"/>
      <c r="K69" s="549"/>
      <c r="L69" s="1015"/>
      <c r="M69" s="1031"/>
      <c r="N69" s="970"/>
      <c r="O69" s="550"/>
      <c r="P69" s="1016"/>
      <c r="Q69" s="1017"/>
      <c r="R69" s="1018"/>
      <c r="S69" s="1019"/>
      <c r="T69" s="1019"/>
      <c r="U69" s="1020" t="e">
        <f>(Table4891112[[#This Row],[Invoice Value]]-Table4891112[[#This Row],[Total cost]])/Table4891112[[#This Row],[Invoice Value]]</f>
        <v>#DIV/0!</v>
      </c>
      <c r="V69" s="1018"/>
      <c r="W69" s="551"/>
      <c r="X69" s="1018" t="str">
        <f t="shared" ref="X69:X70" si="18">IF(Q69&gt;0,Q69+3," - ")</f>
        <v xml:space="preserve"> - </v>
      </c>
      <c r="Y69" s="1018" t="str">
        <f t="shared" ref="Y69:Y70" si="19">IF(Q69&gt;0,Q69+14," - ")</f>
        <v xml:space="preserve"> - </v>
      </c>
      <c r="Z69" s="1018"/>
      <c r="AA69" s="970" t="str">
        <f t="shared" ref="AA69:AA70" ca="1" si="20">IF(P69=0,"-",IF(Z69&gt;0,"Delivered",IF(TODAY()&gt;Y69,"Overdue",IF(TODAY()&lt;Y69,"In Progress"))))</f>
        <v>-</v>
      </c>
      <c r="AB69" s="971"/>
      <c r="AC69" s="971"/>
      <c r="AD69" s="971"/>
      <c r="AE69" s="971"/>
      <c r="AF69" s="970"/>
      <c r="AG69" s="970"/>
      <c r="AH69" s="970"/>
      <c r="AI69" s="972"/>
      <c r="AJ69" s="547"/>
      <c r="AK69" s="547"/>
      <c r="AL69" s="552"/>
      <c r="AM69" s="553"/>
      <c r="AN69" s="553"/>
      <c r="AO69" s="554"/>
      <c r="AP69" s="507"/>
    </row>
    <row r="70" spans="1:42" s="619" customFormat="1" ht="43.5" customHeight="1">
      <c r="A70" s="634" t="s">
        <v>3317</v>
      </c>
      <c r="B70" s="547"/>
      <c r="C70" s="548"/>
      <c r="D70" s="748"/>
      <c r="E70" s="542" t="s">
        <v>3318</v>
      </c>
      <c r="F70" s="971" t="s">
        <v>3314</v>
      </c>
      <c r="G70" s="970"/>
      <c r="H70" s="1033"/>
      <c r="I70" s="1018"/>
      <c r="J70" s="536"/>
      <c r="K70" s="549"/>
      <c r="L70" s="1015"/>
      <c r="M70" s="969"/>
      <c r="N70" s="970"/>
      <c r="O70" s="550"/>
      <c r="P70" s="1016"/>
      <c r="Q70" s="1017"/>
      <c r="R70" s="1018"/>
      <c r="S70" s="1019"/>
      <c r="T70" s="1019"/>
      <c r="U70" s="1020" t="e">
        <f>(Table4891112[[#This Row],[Invoice Value]]-Table4891112[[#This Row],[Total cost]])/Table4891112[[#This Row],[Invoice Value]]</f>
        <v>#DIV/0!</v>
      </c>
      <c r="V70" s="1018"/>
      <c r="W70" s="551"/>
      <c r="X70" s="1018" t="str">
        <f t="shared" si="18"/>
        <v xml:space="preserve"> - </v>
      </c>
      <c r="Y70" s="1018" t="str">
        <f t="shared" si="19"/>
        <v xml:space="preserve"> - </v>
      </c>
      <c r="Z70" s="1018"/>
      <c r="AA70" s="970" t="str">
        <f t="shared" ca="1" si="20"/>
        <v>-</v>
      </c>
      <c r="AB70" s="971"/>
      <c r="AC70" s="971"/>
      <c r="AD70" s="971"/>
      <c r="AE70" s="971"/>
      <c r="AF70" s="970"/>
      <c r="AG70" s="970"/>
      <c r="AH70" s="970"/>
      <c r="AI70" s="1021"/>
      <c r="AJ70" s="547"/>
      <c r="AK70" s="547"/>
      <c r="AL70" s="552"/>
      <c r="AM70" s="553"/>
      <c r="AN70" s="553"/>
      <c r="AO70" s="554"/>
      <c r="AP70" s="507"/>
    </row>
    <row r="71" spans="1:42" s="619" customFormat="1" ht="43.5" customHeight="1">
      <c r="A71" s="634" t="s">
        <v>3319</v>
      </c>
      <c r="B71" s="547"/>
      <c r="C71" s="548"/>
      <c r="D71" s="748"/>
      <c r="E71" s="340" t="s">
        <v>3322</v>
      </c>
      <c r="F71" s="971" t="s">
        <v>3314</v>
      </c>
      <c r="G71" s="970"/>
      <c r="H71" s="1033"/>
      <c r="I71" s="1018"/>
      <c r="J71" s="536"/>
      <c r="K71" s="549"/>
      <c r="L71" s="1015"/>
      <c r="M71" s="969"/>
      <c r="N71" s="970"/>
      <c r="O71" s="550"/>
      <c r="P71" s="1016"/>
      <c r="Q71" s="1017"/>
      <c r="R71" s="1018"/>
      <c r="S71" s="1019"/>
      <c r="T71" s="1019"/>
      <c r="U71" s="1020" t="e">
        <f>(Table4891112[[#This Row],[Invoice Value]]-Table4891112[[#This Row],[Total cost]])/Table4891112[[#This Row],[Invoice Value]]</f>
        <v>#DIV/0!</v>
      </c>
      <c r="V71" s="1018"/>
      <c r="W71" s="551"/>
      <c r="X71" s="1018" t="str">
        <f t="shared" ref="X71:X72" si="21">IF(Q71&gt;0,Q71+3," - ")</f>
        <v xml:space="preserve"> - </v>
      </c>
      <c r="Y71" s="1018" t="str">
        <f t="shared" ref="Y71:Y72" si="22">IF(Q71&gt;0,Q71+14," - ")</f>
        <v xml:space="preserve"> - </v>
      </c>
      <c r="Z71" s="1018"/>
      <c r="AA71" s="970" t="str">
        <f t="shared" ref="AA71:AA72" ca="1" si="23">IF(P71=0,"-",IF(Z71&gt;0,"Delivered",IF(TODAY()&gt;Y71,"Overdue",IF(TODAY()&lt;Y71,"In Progress"))))</f>
        <v>-</v>
      </c>
      <c r="AB71" s="971"/>
      <c r="AC71" s="971"/>
      <c r="AD71" s="971"/>
      <c r="AE71" s="971"/>
      <c r="AF71" s="970"/>
      <c r="AG71" s="970"/>
      <c r="AH71" s="970"/>
      <c r="AI71" s="972"/>
      <c r="AJ71" s="547"/>
      <c r="AK71" s="547"/>
      <c r="AL71" s="552"/>
      <c r="AM71" s="553"/>
      <c r="AN71" s="553"/>
      <c r="AO71" s="554"/>
      <c r="AP71" s="507"/>
    </row>
    <row r="72" spans="1:42" s="619" customFormat="1" ht="43.5" customHeight="1">
      <c r="A72" s="634" t="s">
        <v>3325</v>
      </c>
      <c r="B72" s="547"/>
      <c r="C72" s="548"/>
      <c r="D72" s="748"/>
      <c r="E72" s="335" t="s">
        <v>3327</v>
      </c>
      <c r="F72" s="971"/>
      <c r="G72" s="970"/>
      <c r="H72" s="1033"/>
      <c r="I72" s="1018"/>
      <c r="J72" s="536"/>
      <c r="K72" s="549"/>
      <c r="L72" s="1015"/>
      <c r="M72" s="969"/>
      <c r="N72" s="970"/>
      <c r="O72" s="550"/>
      <c r="P72" s="1016"/>
      <c r="Q72" s="1017"/>
      <c r="R72" s="1018"/>
      <c r="S72" s="1019"/>
      <c r="T72" s="1019"/>
      <c r="U72" s="1020" t="e">
        <f>(Table4891112[[#This Row],[Invoice Value]]-Table4891112[[#This Row],[Total cost]])/Table4891112[[#This Row],[Invoice Value]]</f>
        <v>#DIV/0!</v>
      </c>
      <c r="V72" s="1018"/>
      <c r="W72" s="551"/>
      <c r="X72" s="1018" t="str">
        <f t="shared" si="21"/>
        <v xml:space="preserve"> - </v>
      </c>
      <c r="Y72" s="1018" t="str">
        <f t="shared" si="22"/>
        <v xml:space="preserve"> - </v>
      </c>
      <c r="Z72" s="1018"/>
      <c r="AA72" s="970" t="str">
        <f t="shared" ca="1" si="23"/>
        <v>-</v>
      </c>
      <c r="AB72" s="971"/>
      <c r="AC72" s="971"/>
      <c r="AD72" s="971"/>
      <c r="AE72" s="971"/>
      <c r="AF72" s="970"/>
      <c r="AG72" s="970"/>
      <c r="AH72" s="970"/>
      <c r="AI72" s="1021"/>
      <c r="AJ72" s="547"/>
      <c r="AK72" s="547"/>
      <c r="AL72" s="552"/>
      <c r="AM72" s="553"/>
      <c r="AN72" s="553"/>
      <c r="AO72" s="554"/>
      <c r="AP72" s="507"/>
    </row>
    <row r="73" spans="1:42" s="619" customFormat="1" ht="43.5" customHeight="1">
      <c r="A73" s="634" t="s">
        <v>3329</v>
      </c>
      <c r="B73" s="547"/>
      <c r="C73" s="548"/>
      <c r="D73" s="732"/>
      <c r="E73" s="966" t="s">
        <v>3331</v>
      </c>
      <c r="F73" s="971"/>
      <c r="G73" s="970"/>
      <c r="H73" s="970"/>
      <c r="I73" s="970"/>
      <c r="J73" s="536"/>
      <c r="K73" s="549"/>
      <c r="L73" s="1015"/>
      <c r="M73" s="969"/>
      <c r="N73" s="970"/>
      <c r="O73" s="550"/>
      <c r="P73" s="1016"/>
      <c r="Q73" s="1017"/>
      <c r="R73" s="1018"/>
      <c r="S73" s="1019"/>
      <c r="T73" s="1019"/>
      <c r="U73" s="1020" t="e">
        <f>(Table4891112[[#This Row],[Invoice Value]]-Table4891112[[#This Row],[Total cost]])/Table4891112[[#This Row],[Invoice Value]]</f>
        <v>#DIV/0!</v>
      </c>
      <c r="V73" s="1018"/>
      <c r="W73" s="551"/>
      <c r="X73" s="1018" t="str">
        <f>IF(Q73&gt;0,Q73+3," - ")</f>
        <v xml:space="preserve"> - </v>
      </c>
      <c r="Y73" s="1018" t="str">
        <f>IF(Q73&gt;0,Q73+14," - ")</f>
        <v xml:space="preserve"> - </v>
      </c>
      <c r="Z73" s="1018"/>
      <c r="AA73" s="970" t="str">
        <f ca="1">IF(P73=0,"-",IF(Z73&gt;0,"Delivered",IF(TODAY()&gt;Y73,"Overdue",IF(TODAY()&lt;Y73,"In Progress"))))</f>
        <v>-</v>
      </c>
      <c r="AB73" s="971"/>
      <c r="AC73" s="971"/>
      <c r="AD73" s="971"/>
      <c r="AE73" s="971"/>
      <c r="AF73" s="970"/>
      <c r="AG73" s="970"/>
      <c r="AH73" s="970"/>
      <c r="AI73" s="1021"/>
      <c r="AJ73" s="547"/>
      <c r="AK73" s="547"/>
      <c r="AL73" s="552"/>
      <c r="AM73" s="553"/>
      <c r="AN73" s="553"/>
      <c r="AO73" s="554"/>
      <c r="AP73" s="507"/>
    </row>
    <row r="74" spans="1:42" s="619" customFormat="1" ht="43.5" customHeight="1">
      <c r="A74" s="634" t="s">
        <v>3334</v>
      </c>
      <c r="B74" s="547" t="s">
        <v>3335</v>
      </c>
      <c r="C74" s="548">
        <v>14233</v>
      </c>
      <c r="D74" s="748">
        <v>13543</v>
      </c>
      <c r="E74" s="751" t="s">
        <v>3336</v>
      </c>
      <c r="F74" s="637" t="s">
        <v>3283</v>
      </c>
      <c r="G74" s="565" t="s">
        <v>3284</v>
      </c>
      <c r="H74" s="638" t="s">
        <v>3285</v>
      </c>
      <c r="I74" s="1018" t="s">
        <v>3337</v>
      </c>
      <c r="J74" s="536" t="s">
        <v>3338</v>
      </c>
      <c r="K74" s="549">
        <v>13543</v>
      </c>
      <c r="L74" s="1015">
        <v>45698</v>
      </c>
      <c r="M74" s="969">
        <v>45704</v>
      </c>
      <c r="N74" s="970"/>
      <c r="O74" s="623" t="s">
        <v>3339</v>
      </c>
      <c r="P74" s="1016"/>
      <c r="Q74" s="1017"/>
      <c r="R74" s="1018"/>
      <c r="S74" s="1019"/>
      <c r="T74" s="1019"/>
      <c r="U74" s="1020" t="e">
        <f>(Table4891112[[#This Row],[Invoice Value]]-Table4891112[[#This Row],[Total cost]])/Table4891112[[#This Row],[Invoice Value]]</f>
        <v>#DIV/0!</v>
      </c>
      <c r="V74" s="1018"/>
      <c r="W74" s="551"/>
      <c r="X74" s="1018" t="str">
        <f t="shared" ref="X74:X76" si="24">IF(Q74&gt;0,Q74+3," - ")</f>
        <v xml:space="preserve"> - </v>
      </c>
      <c r="Y74" s="1018" t="str">
        <f t="shared" ref="Y74:Y76" si="25">IF(Q74&gt;0,Q74+14," - ")</f>
        <v xml:space="preserve"> - </v>
      </c>
      <c r="Z74" s="1018"/>
      <c r="AA74" s="970" t="str">
        <f t="shared" ref="AA74:AA76" ca="1" si="26">IF(P74=0,"-",IF(Z74&gt;0,"Delivered",IF(TODAY()&gt;Y74,"Overdue",IF(TODAY()&lt;Y74,"In Progress"))))</f>
        <v>-</v>
      </c>
      <c r="AB74" s="971"/>
      <c r="AC74" s="971"/>
      <c r="AD74" s="971"/>
      <c r="AE74" s="971"/>
      <c r="AF74" s="970"/>
      <c r="AG74" s="970"/>
      <c r="AH74" s="970"/>
      <c r="AI74" s="972"/>
      <c r="AJ74" s="547"/>
      <c r="AK74" s="547"/>
      <c r="AL74" s="552"/>
      <c r="AM74" s="553"/>
      <c r="AN74" s="553"/>
      <c r="AO74" s="554"/>
      <c r="AP74" s="507"/>
    </row>
    <row r="75" spans="1:42" s="619" customFormat="1" ht="43.5" customHeight="1">
      <c r="A75" s="634" t="s">
        <v>3340</v>
      </c>
      <c r="B75" s="547" t="s">
        <v>3341</v>
      </c>
      <c r="C75" s="548">
        <v>9395</v>
      </c>
      <c r="D75" s="748">
        <v>9035</v>
      </c>
      <c r="E75" s="728" t="s">
        <v>3342</v>
      </c>
      <c r="F75" s="637" t="s">
        <v>3283</v>
      </c>
      <c r="G75" s="970" t="s">
        <v>3295</v>
      </c>
      <c r="H75" s="970" t="s">
        <v>3285</v>
      </c>
      <c r="I75" s="970" t="s">
        <v>3328</v>
      </c>
      <c r="J75" s="536" t="s">
        <v>3338</v>
      </c>
      <c r="K75" s="549">
        <v>9035</v>
      </c>
      <c r="L75" s="1015">
        <v>45701</v>
      </c>
      <c r="M75" s="969">
        <v>45705</v>
      </c>
      <c r="N75" s="970"/>
      <c r="O75" s="754" t="s">
        <v>3288</v>
      </c>
      <c r="P75" s="1016"/>
      <c r="Q75" s="1017"/>
      <c r="R75" s="1018" t="s">
        <v>3343</v>
      </c>
      <c r="S75" s="1019">
        <v>9035</v>
      </c>
      <c r="T75" s="1019"/>
      <c r="U75" s="1020">
        <f>(Table4891112[[#This Row],[Invoice Value]]-Table4891112[[#This Row],[Total cost]])/Table4891112[[#This Row],[Invoice Value]]</f>
        <v>1</v>
      </c>
      <c r="V75" s="1018">
        <v>45742</v>
      </c>
      <c r="W75" s="551"/>
      <c r="X75" s="1018" t="str">
        <f t="shared" si="24"/>
        <v xml:space="preserve"> - </v>
      </c>
      <c r="Y75" s="1018" t="str">
        <f t="shared" si="25"/>
        <v xml:space="preserve"> - </v>
      </c>
      <c r="Z75" s="1018"/>
      <c r="AA75" s="970" t="str">
        <f t="shared" ca="1" si="26"/>
        <v>-</v>
      </c>
      <c r="AB75" s="971"/>
      <c r="AC75" s="971"/>
      <c r="AD75" s="971"/>
      <c r="AE75" s="971"/>
      <c r="AF75" s="970"/>
      <c r="AG75" s="970"/>
      <c r="AH75" s="970"/>
      <c r="AI75" s="1021"/>
      <c r="AJ75" s="547"/>
      <c r="AK75" s="547"/>
      <c r="AL75" s="552"/>
      <c r="AM75" s="553"/>
      <c r="AN75" s="553"/>
      <c r="AO75" s="554"/>
      <c r="AP75" s="507"/>
    </row>
    <row r="76" spans="1:42" s="619" customFormat="1" ht="43.5" customHeight="1">
      <c r="A76" s="634" t="s">
        <v>3344</v>
      </c>
      <c r="B76" s="753" t="s">
        <v>3345</v>
      </c>
      <c r="C76" s="548">
        <v>37221</v>
      </c>
      <c r="D76" s="748">
        <v>32355.82</v>
      </c>
      <c r="E76" s="334" t="s">
        <v>3346</v>
      </c>
      <c r="F76" s="637" t="s">
        <v>3283</v>
      </c>
      <c r="G76" s="970" t="s">
        <v>3295</v>
      </c>
      <c r="H76" s="970" t="s">
        <v>3285</v>
      </c>
      <c r="I76" s="970" t="s">
        <v>3328</v>
      </c>
      <c r="J76" s="536" t="s">
        <v>3347</v>
      </c>
      <c r="K76" s="549">
        <v>32355.82</v>
      </c>
      <c r="L76" s="1015">
        <v>45722</v>
      </c>
      <c r="M76" s="969">
        <v>45729</v>
      </c>
      <c r="N76" s="970"/>
      <c r="O76" s="754" t="s">
        <v>3288</v>
      </c>
      <c r="P76" s="1016"/>
      <c r="Q76" s="1017"/>
      <c r="R76" s="1018" t="s">
        <v>3348</v>
      </c>
      <c r="S76" s="1019">
        <v>32355.82</v>
      </c>
      <c r="T76" s="1019"/>
      <c r="U76" s="1020">
        <f>(Table4891112[[#This Row],[Invoice Value]]-Table4891112[[#This Row],[Total cost]])/Table4891112[[#This Row],[Invoice Value]]</f>
        <v>1</v>
      </c>
      <c r="V76" s="1018">
        <v>45742</v>
      </c>
      <c r="W76" s="551"/>
      <c r="X76" s="1018" t="str">
        <f t="shared" si="24"/>
        <v xml:space="preserve"> - </v>
      </c>
      <c r="Y76" s="1018" t="str">
        <f t="shared" si="25"/>
        <v xml:space="preserve"> - </v>
      </c>
      <c r="Z76" s="1018"/>
      <c r="AA76" s="970" t="str">
        <f t="shared" ca="1" si="26"/>
        <v>-</v>
      </c>
      <c r="AB76" s="971"/>
      <c r="AC76" s="971"/>
      <c r="AD76" s="971"/>
      <c r="AE76" s="971"/>
      <c r="AF76" s="970"/>
      <c r="AG76" s="970"/>
      <c r="AH76" s="970"/>
      <c r="AI76" s="1021"/>
      <c r="AJ76" s="547"/>
      <c r="AK76" s="547"/>
      <c r="AL76" s="552"/>
      <c r="AM76" s="553"/>
      <c r="AN76" s="553"/>
      <c r="AO76" s="554"/>
      <c r="AP76" s="507"/>
    </row>
    <row r="77" spans="1:42" s="619" customFormat="1" ht="43.5" customHeight="1">
      <c r="A77" s="634" t="s">
        <v>3349</v>
      </c>
      <c r="B77" s="547"/>
      <c r="C77" s="548"/>
      <c r="D77" s="748"/>
      <c r="E77" s="334"/>
      <c r="F77" s="971"/>
      <c r="G77" s="970"/>
      <c r="H77" s="970"/>
      <c r="I77" s="970"/>
      <c r="J77" s="536"/>
      <c r="K77" s="549"/>
      <c r="L77" s="1015"/>
      <c r="M77" s="969"/>
      <c r="N77" s="970"/>
      <c r="O77" s="550"/>
      <c r="P77" s="1016"/>
      <c r="Q77" s="1017"/>
      <c r="R77" s="1018"/>
      <c r="S77" s="1019"/>
      <c r="T77" s="1019"/>
      <c r="U77" s="1020" t="e">
        <f>(Table4891112[[#This Row],[Invoice Value]]-Table4891112[[#This Row],[Total cost]])/Table4891112[[#This Row],[Invoice Value]]</f>
        <v>#DIV/0!</v>
      </c>
      <c r="V77" s="1018"/>
      <c r="W77" s="551"/>
      <c r="X77" s="1018" t="str">
        <f t="shared" ref="X77:X79" si="27">IF(Q77&gt;0,Q77+3," - ")</f>
        <v xml:space="preserve"> - </v>
      </c>
      <c r="Y77" s="1018" t="str">
        <f t="shared" ref="Y77:Y79" si="28">IF(Q77&gt;0,Q77+14," - ")</f>
        <v xml:space="preserve"> - </v>
      </c>
      <c r="Z77" s="1018"/>
      <c r="AA77" s="970" t="str">
        <f t="shared" ref="AA77:AA79" ca="1" si="29">IF(P77=0,"-",IF(Z77&gt;0,"Delivered",IF(TODAY()&gt;Y77,"Overdue",IF(TODAY()&lt;Y77,"In Progress"))))</f>
        <v>-</v>
      </c>
      <c r="AB77" s="971"/>
      <c r="AC77" s="971"/>
      <c r="AD77" s="971"/>
      <c r="AE77" s="971"/>
      <c r="AF77" s="970"/>
      <c r="AG77" s="970"/>
      <c r="AH77" s="970"/>
      <c r="AI77" s="972"/>
      <c r="AJ77" s="547"/>
      <c r="AK77" s="547"/>
      <c r="AL77" s="552"/>
      <c r="AM77" s="553"/>
      <c r="AN77" s="553"/>
      <c r="AO77" s="554"/>
      <c r="AP77" s="507"/>
    </row>
    <row r="78" spans="1:42" s="619" customFormat="1" ht="43.5" customHeight="1">
      <c r="A78" s="634" t="s">
        <v>3353</v>
      </c>
      <c r="B78" s="547"/>
      <c r="C78" s="548"/>
      <c r="D78" s="748"/>
      <c r="E78" s="334"/>
      <c r="F78" s="971"/>
      <c r="G78" s="970"/>
      <c r="H78" s="970"/>
      <c r="I78" s="970"/>
      <c r="J78" s="536"/>
      <c r="K78" s="549"/>
      <c r="L78" s="1015"/>
      <c r="M78" s="969"/>
      <c r="N78" s="970"/>
      <c r="O78" s="550"/>
      <c r="P78" s="1016"/>
      <c r="Q78" s="1017"/>
      <c r="R78" s="1018"/>
      <c r="S78" s="1019"/>
      <c r="T78" s="1019"/>
      <c r="U78" s="1020" t="e">
        <f>(Table4891112[[#This Row],[Invoice Value]]-Table4891112[[#This Row],[Total cost]])/Table4891112[[#This Row],[Invoice Value]]</f>
        <v>#DIV/0!</v>
      </c>
      <c r="V78" s="1018"/>
      <c r="W78" s="551"/>
      <c r="X78" s="1018" t="str">
        <f t="shared" si="27"/>
        <v xml:space="preserve"> - </v>
      </c>
      <c r="Y78" s="1018" t="str">
        <f t="shared" si="28"/>
        <v xml:space="preserve"> - </v>
      </c>
      <c r="Z78" s="1018"/>
      <c r="AA78" s="970" t="str">
        <f t="shared" ca="1" si="29"/>
        <v>-</v>
      </c>
      <c r="AB78" s="971"/>
      <c r="AC78" s="971"/>
      <c r="AD78" s="971"/>
      <c r="AE78" s="971"/>
      <c r="AF78" s="970"/>
      <c r="AG78" s="970"/>
      <c r="AH78" s="970"/>
      <c r="AI78" s="1021"/>
      <c r="AJ78" s="547"/>
      <c r="AK78" s="547"/>
      <c r="AL78" s="552"/>
      <c r="AM78" s="553"/>
      <c r="AN78" s="553"/>
      <c r="AO78" s="554"/>
      <c r="AP78" s="507"/>
    </row>
    <row r="79" spans="1:42" s="619" customFormat="1" ht="43.5" customHeight="1">
      <c r="A79" s="634" t="s">
        <v>3355</v>
      </c>
      <c r="B79" s="547"/>
      <c r="C79" s="548"/>
      <c r="D79" s="748"/>
      <c r="E79" s="334"/>
      <c r="F79" s="971"/>
      <c r="G79" s="970"/>
      <c r="H79" s="970"/>
      <c r="I79" s="970"/>
      <c r="J79" s="536"/>
      <c r="K79" s="549"/>
      <c r="L79" s="1015"/>
      <c r="M79" s="969"/>
      <c r="N79" s="970"/>
      <c r="O79" s="550"/>
      <c r="P79" s="1016"/>
      <c r="Q79" s="1017"/>
      <c r="R79" s="1018"/>
      <c r="S79" s="1019"/>
      <c r="T79" s="1019"/>
      <c r="U79" s="1020" t="e">
        <f>(Table4891112[[#This Row],[Invoice Value]]-Table4891112[[#This Row],[Total cost]])/Table4891112[[#This Row],[Invoice Value]]</f>
        <v>#DIV/0!</v>
      </c>
      <c r="V79" s="1018"/>
      <c r="W79" s="551"/>
      <c r="X79" s="1018" t="str">
        <f t="shared" si="27"/>
        <v xml:space="preserve"> - </v>
      </c>
      <c r="Y79" s="1018" t="str">
        <f t="shared" si="28"/>
        <v xml:space="preserve"> - </v>
      </c>
      <c r="Z79" s="1018"/>
      <c r="AA79" s="970" t="str">
        <f t="shared" ca="1" si="29"/>
        <v>-</v>
      </c>
      <c r="AB79" s="971"/>
      <c r="AC79" s="971"/>
      <c r="AD79" s="971"/>
      <c r="AE79" s="971"/>
      <c r="AF79" s="970"/>
      <c r="AG79" s="970"/>
      <c r="AH79" s="970"/>
      <c r="AI79" s="1021"/>
      <c r="AJ79" s="547"/>
      <c r="AK79" s="547"/>
      <c r="AL79" s="552"/>
      <c r="AM79" s="553"/>
      <c r="AN79" s="553"/>
      <c r="AO79" s="554"/>
      <c r="AP79" s="507"/>
    </row>
    <row r="80" spans="1:42" s="619" customFormat="1" ht="43.5" customHeight="1">
      <c r="A80" s="634" t="s">
        <v>3357</v>
      </c>
      <c r="B80" s="547"/>
      <c r="C80" s="548"/>
      <c r="D80" s="748"/>
      <c r="E80" s="334"/>
      <c r="F80" s="971"/>
      <c r="G80" s="970"/>
      <c r="H80" s="970"/>
      <c r="I80" s="970"/>
      <c r="J80" s="536"/>
      <c r="K80" s="549"/>
      <c r="L80" s="1015"/>
      <c r="M80" s="969"/>
      <c r="N80" s="970"/>
      <c r="O80" s="550"/>
      <c r="P80" s="1016"/>
      <c r="Q80" s="1017"/>
      <c r="R80" s="1018"/>
      <c r="S80" s="1019"/>
      <c r="T80" s="1019"/>
      <c r="U80" s="1020" t="e">
        <f>(Table4891112[[#This Row],[Invoice Value]]-Table4891112[[#This Row],[Total cost]])/Table4891112[[#This Row],[Invoice Value]]</f>
        <v>#DIV/0!</v>
      </c>
      <c r="V80" s="1018"/>
      <c r="W80" s="551"/>
      <c r="X80" s="1018" t="str">
        <f t="shared" ref="X80:X81" si="30">IF(Q80&gt;0,Q80+3," - ")</f>
        <v xml:space="preserve"> - </v>
      </c>
      <c r="Y80" s="1018" t="str">
        <f t="shared" ref="Y80:Y81" si="31">IF(Q80&gt;0,Q80+14," - ")</f>
        <v xml:space="preserve"> - </v>
      </c>
      <c r="Z80" s="1018"/>
      <c r="AA80" s="970" t="str">
        <f t="shared" ref="AA80:AA81" ca="1" si="32">IF(P80=0,"-",IF(Z80&gt;0,"Delivered",IF(TODAY()&gt;Y80,"Overdue",IF(TODAY()&lt;Y80,"In Progress"))))</f>
        <v>-</v>
      </c>
      <c r="AB80" s="971"/>
      <c r="AC80" s="971"/>
      <c r="AD80" s="971"/>
      <c r="AE80" s="971"/>
      <c r="AF80" s="970"/>
      <c r="AG80" s="970"/>
      <c r="AH80" s="970"/>
      <c r="AI80" s="972"/>
      <c r="AJ80" s="547"/>
      <c r="AK80" s="547"/>
      <c r="AL80" s="552"/>
      <c r="AM80" s="553"/>
      <c r="AN80" s="553"/>
      <c r="AO80" s="554"/>
      <c r="AP80" s="507"/>
    </row>
    <row r="81" spans="1:42" s="619" customFormat="1" ht="43.5" customHeight="1">
      <c r="A81" s="730"/>
      <c r="B81" s="547"/>
      <c r="C81" s="548"/>
      <c r="D81" s="748"/>
      <c r="E81" s="334"/>
      <c r="F81" s="971"/>
      <c r="G81" s="970"/>
      <c r="H81" s="970"/>
      <c r="I81" s="970"/>
      <c r="J81" s="536"/>
      <c r="K81" s="549"/>
      <c r="L81" s="1015"/>
      <c r="M81" s="969"/>
      <c r="N81" s="970"/>
      <c r="O81" s="550"/>
      <c r="P81" s="1016"/>
      <c r="Q81" s="1017"/>
      <c r="R81" s="1018"/>
      <c r="S81" s="1019"/>
      <c r="T81" s="1019"/>
      <c r="U81" s="1020" t="e">
        <f>(Table4891112[[#This Row],[Invoice Value]]-Table4891112[[#This Row],[Total cost]])/Table4891112[[#This Row],[Invoice Value]]</f>
        <v>#DIV/0!</v>
      </c>
      <c r="V81" s="1018"/>
      <c r="W81" s="551"/>
      <c r="X81" s="1018" t="str">
        <f t="shared" si="30"/>
        <v xml:space="preserve"> - </v>
      </c>
      <c r="Y81" s="1018" t="str">
        <f t="shared" si="31"/>
        <v xml:space="preserve"> - </v>
      </c>
      <c r="Z81" s="1018"/>
      <c r="AA81" s="970" t="str">
        <f t="shared" ca="1" si="32"/>
        <v>-</v>
      </c>
      <c r="AB81" s="971"/>
      <c r="AC81" s="971"/>
      <c r="AD81" s="971"/>
      <c r="AE81" s="971"/>
      <c r="AF81" s="970"/>
      <c r="AG81" s="970"/>
      <c r="AH81" s="970"/>
      <c r="AI81" s="1021"/>
      <c r="AJ81" s="547"/>
      <c r="AK81" s="547"/>
      <c r="AL81" s="552"/>
      <c r="AM81" s="553"/>
      <c r="AN81" s="553"/>
      <c r="AO81" s="554"/>
      <c r="AP81" s="507"/>
    </row>
    <row r="82" spans="1:42" s="530" customFormat="1" ht="51" customHeight="1">
      <c r="A82" s="970"/>
      <c r="B82" s="547"/>
      <c r="C82" s="548"/>
      <c r="D82" s="743"/>
      <c r="E82" s="1030"/>
      <c r="F82" s="971"/>
      <c r="G82" s="970"/>
      <c r="H82" s="970"/>
      <c r="I82" s="970"/>
      <c r="J82" s="536"/>
      <c r="K82" s="549"/>
      <c r="L82" s="1015"/>
      <c r="M82" s="969"/>
      <c r="N82" s="970"/>
      <c r="O82" s="550"/>
      <c r="P82" s="1016"/>
      <c r="Q82" s="1017"/>
      <c r="R82" s="1018"/>
      <c r="S82" s="1019"/>
      <c r="T82" s="1019"/>
      <c r="U82" s="1020" t="e">
        <f>(Table4891112[[#This Row],[Invoice Value]]-Table4891112[[#This Row],[Total cost]])/Table4891112[[#This Row],[Invoice Value]]</f>
        <v>#DIV/0!</v>
      </c>
      <c r="V82" s="1018"/>
      <c r="W82" s="551"/>
      <c r="X82" s="1018" t="str">
        <f t="shared" si="15"/>
        <v xml:space="preserve"> - </v>
      </c>
      <c r="Y82" s="1018" t="str">
        <f t="shared" si="16"/>
        <v xml:space="preserve"> - </v>
      </c>
      <c r="Z82" s="1018"/>
      <c r="AA82" s="970" t="str">
        <f t="shared" ca="1" si="17"/>
        <v>-</v>
      </c>
      <c r="AB82" s="971"/>
      <c r="AC82" s="971"/>
      <c r="AD82" s="971"/>
      <c r="AE82" s="971"/>
      <c r="AF82" s="970"/>
      <c r="AG82" s="970"/>
      <c r="AH82" s="970"/>
      <c r="AI82" s="1021"/>
      <c r="AJ82" s="547"/>
      <c r="AK82" s="547"/>
      <c r="AL82" s="552"/>
      <c r="AM82" s="553"/>
      <c r="AN82" s="553"/>
      <c r="AO82" s="554"/>
      <c r="AP82" s="507"/>
    </row>
    <row r="83" spans="1:42" s="335" customFormat="1" ht="54.75" customHeight="1">
      <c r="A83" s="358" t="s">
        <v>3459</v>
      </c>
      <c r="B83" s="358" t="s">
        <v>3460</v>
      </c>
      <c r="C83" s="522">
        <v>4662</v>
      </c>
      <c r="D83" s="749"/>
      <c r="E83" s="531" t="s">
        <v>3461</v>
      </c>
      <c r="F83" s="358" t="s">
        <v>3283</v>
      </c>
      <c r="G83" s="639" t="s">
        <v>3462</v>
      </c>
      <c r="H83" s="525" t="s">
        <v>3463</v>
      </c>
      <c r="I83" s="358" t="s">
        <v>3464</v>
      </c>
      <c r="J83" s="358">
        <v>202408</v>
      </c>
      <c r="K83" s="359">
        <v>4662</v>
      </c>
      <c r="L83" s="526" t="s">
        <v>3465</v>
      </c>
      <c r="M83" s="358"/>
      <c r="N83" s="358"/>
      <c r="O83" s="525" t="s">
        <v>3466</v>
      </c>
      <c r="P83" s="640"/>
      <c r="Q83" s="640"/>
      <c r="R83" s="526" t="s">
        <v>3467</v>
      </c>
      <c r="S83" s="529">
        <v>4662</v>
      </c>
      <c r="T83" s="529">
        <v>1378</v>
      </c>
      <c r="U83" s="518">
        <f>(Table4891112[[#This Row],[Invoice Value]]-Table4891112[[#This Row],[Total cost]])/Table4891112[[#This Row],[Invoice Value]]</f>
        <v>0.70441870441870447</v>
      </c>
      <c r="V83" s="526"/>
      <c r="W83" s="526"/>
      <c r="X83" s="526" t="str">
        <f>IF(Q83&gt;0,Q83+3," - ")</f>
        <v xml:space="preserve"> - </v>
      </c>
      <c r="Y83" s="526" t="str">
        <f>IF(Q83&gt;0,Q83+14," - ")</f>
        <v xml:space="preserve"> - </v>
      </c>
      <c r="Z83" s="640"/>
      <c r="AA83" s="358" t="str">
        <f ca="1">IF(P83=0,"-",IF(Z83&gt;0,"Delivered",IF(TODAY()&gt;Y83,"Overdue",IF(TODAY()&lt;Y83,"In Progress"))))</f>
        <v>-</v>
      </c>
      <c r="AB83" s="358"/>
      <c r="AC83" s="358"/>
      <c r="AD83" s="358"/>
      <c r="AE83" s="358"/>
      <c r="AF83" s="358"/>
      <c r="AG83" s="358"/>
      <c r="AH83" s="358"/>
      <c r="AI83" s="358"/>
      <c r="AJ83" s="358"/>
      <c r="AK83" s="358"/>
      <c r="AL83" s="607" t="s">
        <v>3468</v>
      </c>
      <c r="AM83" s="608" t="s">
        <v>3469</v>
      </c>
      <c r="AN83" s="608" t="s">
        <v>3468</v>
      </c>
      <c r="AO83" s="641"/>
      <c r="AP83" s="539"/>
    </row>
    <row r="84" spans="1:42" s="335" customFormat="1" ht="43.5" customHeight="1">
      <c r="A84" s="642" t="s">
        <v>3470</v>
      </c>
      <c r="B84" s="643"/>
      <c r="C84" s="644">
        <v>8120</v>
      </c>
      <c r="D84" s="749"/>
      <c r="E84" s="645" t="s">
        <v>3471</v>
      </c>
      <c r="F84" s="485" t="s">
        <v>3283</v>
      </c>
      <c r="G84" s="967" t="s">
        <v>3472</v>
      </c>
      <c r="H84" s="642" t="s">
        <v>3473</v>
      </c>
      <c r="I84" s="642" t="s">
        <v>3474</v>
      </c>
      <c r="J84" s="642">
        <v>202408</v>
      </c>
      <c r="K84" s="646">
        <v>8120</v>
      </c>
      <c r="L84" s="647">
        <v>45506</v>
      </c>
      <c r="M84" s="642"/>
      <c r="N84" s="643"/>
      <c r="O84" s="648" t="s">
        <v>3475</v>
      </c>
      <c r="P84" s="649"/>
      <c r="Q84" s="650"/>
      <c r="R84" s="643"/>
      <c r="S84" s="651"/>
      <c r="T84" s="651"/>
      <c r="U84" s="652"/>
      <c r="V84" s="653"/>
      <c r="W84" s="653"/>
      <c r="X84" s="653"/>
      <c r="Y84" s="653"/>
      <c r="Z84" s="653"/>
      <c r="AA84" s="643"/>
      <c r="AB84" s="643"/>
      <c r="AC84" s="643"/>
      <c r="AD84" s="416" t="s">
        <v>3476</v>
      </c>
      <c r="AE84" s="416" t="s">
        <v>3476</v>
      </c>
      <c r="AF84" s="643"/>
      <c r="AG84" s="643"/>
      <c r="AH84" s="643"/>
      <c r="AI84" s="654"/>
      <c r="AJ84" s="655"/>
      <c r="AK84" s="655"/>
      <c r="AL84" s="545" t="s">
        <v>3290</v>
      </c>
      <c r="AM84" s="490" t="s">
        <v>3477</v>
      </c>
      <c r="AN84" s="944">
        <v>4</v>
      </c>
      <c r="AO84" s="656"/>
      <c r="AP84" s="406"/>
    </row>
    <row r="85" spans="1:42" s="335" customFormat="1" ht="45.75" customHeight="1">
      <c r="A85" s="657" t="s">
        <v>3478</v>
      </c>
      <c r="B85" s="550"/>
      <c r="C85" s="658"/>
      <c r="D85" s="749"/>
      <c r="E85" s="645" t="s">
        <v>3480</v>
      </c>
      <c r="F85" s="659" t="s">
        <v>3314</v>
      </c>
      <c r="G85" s="645" t="s">
        <v>3295</v>
      </c>
      <c r="H85" s="645" t="s">
        <v>3285</v>
      </c>
      <c r="I85" s="657" t="s">
        <v>3481</v>
      </c>
      <c r="J85" s="645"/>
      <c r="K85" s="645"/>
      <c r="L85" s="645"/>
      <c r="M85" s="657"/>
      <c r="N85" s="550"/>
      <c r="O85" s="659" t="s">
        <v>3482</v>
      </c>
      <c r="P85" s="660"/>
      <c r="Q85" s="661"/>
      <c r="R85" s="550"/>
      <c r="S85" s="662"/>
      <c r="T85" s="662"/>
      <c r="U85" s="663"/>
      <c r="V85" s="551"/>
      <c r="W85" s="551"/>
      <c r="X85" s="551"/>
      <c r="Y85" s="551"/>
      <c r="Z85" s="661"/>
      <c r="AA85" s="550"/>
      <c r="AB85" s="550"/>
      <c r="AC85" s="550"/>
      <c r="AD85" s="550"/>
      <c r="AE85" s="550"/>
      <c r="AF85" s="550"/>
      <c r="AG85" s="550"/>
      <c r="AH85" s="550"/>
      <c r="AI85" s="664"/>
      <c r="AJ85" s="665"/>
      <c r="AK85" s="665"/>
      <c r="AL85" s="607" t="s">
        <v>3468</v>
      </c>
      <c r="AM85" s="608" t="s">
        <v>3469</v>
      </c>
      <c r="AN85" s="608" t="s">
        <v>3468</v>
      </c>
      <c r="AO85" s="666"/>
      <c r="AP85" s="406"/>
    </row>
    <row r="86" spans="1:42" s="335" customFormat="1" ht="66" customHeight="1">
      <c r="A86" s="657" t="s">
        <v>3483</v>
      </c>
      <c r="B86" s="667" t="s">
        <v>3484</v>
      </c>
      <c r="C86" s="668">
        <v>76712</v>
      </c>
      <c r="D86" s="749"/>
      <c r="E86" s="645" t="s">
        <v>3485</v>
      </c>
      <c r="F86" s="657" t="s">
        <v>3314</v>
      </c>
      <c r="G86" s="657" t="s">
        <v>3486</v>
      </c>
      <c r="H86" s="657" t="s">
        <v>185</v>
      </c>
      <c r="I86" s="657" t="s">
        <v>3487</v>
      </c>
      <c r="J86" s="657">
        <v>202408</v>
      </c>
      <c r="K86" s="657">
        <v>76712</v>
      </c>
      <c r="L86" s="647">
        <v>45526</v>
      </c>
      <c r="M86" s="657"/>
      <c r="N86" s="550"/>
      <c r="O86" s="659" t="s">
        <v>3488</v>
      </c>
      <c r="P86" s="543">
        <v>45561</v>
      </c>
      <c r="Q86" s="661"/>
      <c r="R86" s="550"/>
      <c r="S86" s="662"/>
      <c r="T86" s="662"/>
      <c r="U86" s="663"/>
      <c r="V86" s="551"/>
      <c r="W86" s="551"/>
      <c r="X86" s="551"/>
      <c r="Y86" s="551"/>
      <c r="Z86" s="661"/>
      <c r="AA86" s="550"/>
      <c r="AB86" s="550"/>
      <c r="AC86" s="550"/>
      <c r="AD86" s="417" t="s">
        <v>3489</v>
      </c>
      <c r="AE86" s="417" t="s">
        <v>3489</v>
      </c>
      <c r="AF86" s="550"/>
      <c r="AG86" s="550"/>
      <c r="AH86" s="550"/>
      <c r="AI86" s="664"/>
      <c r="AJ86" s="665"/>
      <c r="AK86" s="665"/>
      <c r="AL86" s="419" t="s">
        <v>3490</v>
      </c>
      <c r="AM86" s="608" t="s">
        <v>3469</v>
      </c>
      <c r="AN86" s="608" t="s">
        <v>3469</v>
      </c>
      <c r="AO86" s="666"/>
      <c r="AP86" s="406"/>
    </row>
    <row r="87" spans="1:42" ht="20.100000000000001" customHeight="1">
      <c r="A87" s="657" t="s">
        <v>3491</v>
      </c>
      <c r="B87" s="667" t="s">
        <v>3492</v>
      </c>
      <c r="C87" s="658"/>
      <c r="E87" s="645" t="s">
        <v>3493</v>
      </c>
      <c r="F87" s="657" t="s">
        <v>3314</v>
      </c>
      <c r="G87" s="657" t="s">
        <v>3284</v>
      </c>
      <c r="H87" s="657" t="s">
        <v>3285</v>
      </c>
      <c r="I87" s="657" t="s">
        <v>3494</v>
      </c>
      <c r="J87" s="657">
        <v>202406</v>
      </c>
      <c r="K87" s="657">
        <v>214000</v>
      </c>
      <c r="L87" s="647" t="s">
        <v>3495</v>
      </c>
      <c r="M87" s="550"/>
      <c r="N87" s="550"/>
      <c r="O87" s="669" t="s">
        <v>3496</v>
      </c>
      <c r="P87" s="660"/>
      <c r="Q87" s="661"/>
      <c r="R87" s="550"/>
      <c r="S87" s="662"/>
      <c r="T87" s="662"/>
      <c r="U87" s="663"/>
      <c r="V87" s="551"/>
      <c r="W87" s="551"/>
      <c r="X87" s="551"/>
      <c r="Y87" s="551"/>
      <c r="Z87" s="661"/>
      <c r="AA87" s="550"/>
      <c r="AB87" s="550"/>
      <c r="AC87" s="550"/>
      <c r="AD87" s="550"/>
      <c r="AE87" s="550"/>
      <c r="AF87" s="550"/>
      <c r="AG87" s="550"/>
      <c r="AH87" s="550"/>
      <c r="AI87" s="664"/>
      <c r="AJ87" s="665"/>
      <c r="AK87" s="665"/>
      <c r="AL87" s="607" t="s">
        <v>3468</v>
      </c>
      <c r="AM87" s="608" t="s">
        <v>3469</v>
      </c>
      <c r="AN87" s="608" t="s">
        <v>3468</v>
      </c>
      <c r="AO87" s="666"/>
      <c r="AP87" s="406"/>
    </row>
    <row r="88" spans="1:42" ht="20.100000000000001" customHeight="1">
      <c r="A88" s="657" t="s">
        <v>3497</v>
      </c>
      <c r="B88" s="423"/>
      <c r="C88" s="548"/>
      <c r="E88" s="645" t="s">
        <v>3499</v>
      </c>
      <c r="F88" s="657" t="s">
        <v>3314</v>
      </c>
      <c r="G88" s="657" t="s">
        <v>3284</v>
      </c>
      <c r="H88" s="657" t="s">
        <v>3285</v>
      </c>
      <c r="I88" s="657" t="s">
        <v>3500</v>
      </c>
      <c r="J88" s="657">
        <v>202407</v>
      </c>
      <c r="K88" s="657"/>
      <c r="L88" s="670"/>
      <c r="M88" s="423"/>
      <c r="N88" s="671"/>
      <c r="O88" s="671"/>
      <c r="P88" s="672"/>
      <c r="Q88" s="673"/>
      <c r="R88" s="423"/>
      <c r="S88" s="674"/>
      <c r="T88" s="674"/>
      <c r="U88" s="675"/>
      <c r="V88" s="676"/>
      <c r="W88" s="676"/>
      <c r="X88" s="676"/>
      <c r="Y88" s="676"/>
      <c r="Z88" s="673"/>
      <c r="AA88" s="423"/>
      <c r="AB88" s="423"/>
      <c r="AC88" s="423"/>
      <c r="AD88" s="550"/>
      <c r="AE88" s="550"/>
      <c r="AF88" s="423"/>
      <c r="AG88" s="423"/>
      <c r="AH88" s="423"/>
      <c r="AI88" s="677"/>
      <c r="AJ88" s="547"/>
      <c r="AK88" s="547"/>
      <c r="AL88" s="678" t="s">
        <v>3501</v>
      </c>
      <c r="AM88" s="345" t="s">
        <v>3502</v>
      </c>
      <c r="AN88" s="345">
        <v>1829</v>
      </c>
      <c r="AO88" s="679"/>
      <c r="AP88" s="406"/>
    </row>
    <row r="89" spans="1:42" ht="20.100000000000001" customHeight="1">
      <c r="A89" s="657" t="s">
        <v>3503</v>
      </c>
      <c r="B89" s="423"/>
      <c r="C89" s="548"/>
      <c r="E89" s="645" t="s">
        <v>3499</v>
      </c>
      <c r="F89" s="657" t="s">
        <v>3314</v>
      </c>
      <c r="G89" s="657" t="s">
        <v>3302</v>
      </c>
      <c r="H89" s="657" t="s">
        <v>3285</v>
      </c>
      <c r="I89" s="657" t="s">
        <v>3500</v>
      </c>
      <c r="J89" s="657">
        <v>202407</v>
      </c>
      <c r="K89" s="657"/>
      <c r="L89" s="670"/>
      <c r="M89" s="423"/>
      <c r="N89" s="671"/>
      <c r="O89" s="671"/>
      <c r="P89" s="672"/>
      <c r="Q89" s="673"/>
      <c r="R89" s="423"/>
      <c r="S89" s="674"/>
      <c r="T89" s="674"/>
      <c r="U89" s="675"/>
      <c r="V89" s="676"/>
      <c r="W89" s="676"/>
      <c r="X89" s="676"/>
      <c r="Y89" s="676"/>
      <c r="Z89" s="673"/>
      <c r="AA89" s="423"/>
      <c r="AB89" s="423"/>
      <c r="AC89" s="423"/>
      <c r="AD89" s="550"/>
      <c r="AE89" s="550"/>
      <c r="AF89" s="423"/>
      <c r="AG89" s="423"/>
      <c r="AH89" s="423"/>
      <c r="AI89" s="677"/>
      <c r="AJ89" s="547"/>
      <c r="AK89" s="547"/>
      <c r="AL89" s="678" t="s">
        <v>3501</v>
      </c>
      <c r="AM89" s="345" t="s">
        <v>3502</v>
      </c>
      <c r="AN89" s="345">
        <v>1685</v>
      </c>
      <c r="AO89" s="679"/>
      <c r="AP89" s="406"/>
    </row>
    <row r="90" spans="1:42" ht="20.100000000000001" customHeight="1">
      <c r="A90" s="423"/>
      <c r="B90" s="423"/>
      <c r="C90" s="548"/>
      <c r="E90" s="680"/>
      <c r="F90" s="423"/>
      <c r="G90" s="423"/>
      <c r="H90" s="423"/>
      <c r="I90" s="423"/>
      <c r="J90" s="423"/>
      <c r="K90" s="681"/>
      <c r="L90" s="670"/>
      <c r="M90" s="423"/>
      <c r="N90" s="671"/>
      <c r="O90" s="671"/>
      <c r="P90" s="672"/>
      <c r="Q90" s="673"/>
      <c r="R90" s="423"/>
      <c r="S90" s="674"/>
      <c r="T90" s="674"/>
      <c r="U90" s="675"/>
      <c r="V90" s="676"/>
      <c r="W90" s="676"/>
      <c r="X90" s="676"/>
      <c r="Y90" s="676"/>
      <c r="Z90" s="673"/>
      <c r="AA90" s="423"/>
      <c r="AB90" s="423"/>
      <c r="AC90" s="423"/>
      <c r="AD90" s="550"/>
      <c r="AE90" s="550"/>
      <c r="AF90" s="423"/>
      <c r="AG90" s="423"/>
      <c r="AH90" s="423"/>
      <c r="AI90" s="677"/>
      <c r="AJ90" s="547"/>
      <c r="AK90" s="547"/>
      <c r="AL90" s="682"/>
      <c r="AM90" s="547"/>
      <c r="AN90" s="547"/>
      <c r="AO90" s="679"/>
      <c r="AP90" s="406"/>
    </row>
    <row r="91" spans="1:42" ht="20.100000000000001" customHeight="1">
      <c r="A91" s="423"/>
      <c r="B91" s="423"/>
      <c r="C91" s="548"/>
      <c r="E91" s="680"/>
      <c r="F91" s="423"/>
      <c r="G91" s="423"/>
      <c r="H91" s="423"/>
      <c r="I91" s="423"/>
      <c r="J91" s="423"/>
      <c r="K91" s="681"/>
      <c r="L91" s="670"/>
      <c r="M91" s="423"/>
      <c r="N91" s="671"/>
      <c r="O91" s="671"/>
      <c r="P91" s="672"/>
      <c r="Q91" s="673"/>
      <c r="R91" s="423"/>
      <c r="S91" s="674"/>
      <c r="T91" s="674"/>
      <c r="U91" s="675"/>
      <c r="V91" s="676"/>
      <c r="W91" s="676"/>
      <c r="X91" s="676"/>
      <c r="Y91" s="676"/>
      <c r="Z91" s="673"/>
      <c r="AA91" s="423"/>
      <c r="AB91" s="423"/>
      <c r="AC91" s="423"/>
      <c r="AD91" s="550"/>
      <c r="AE91" s="550"/>
      <c r="AF91" s="423"/>
      <c r="AG91" s="423"/>
      <c r="AH91" s="423"/>
      <c r="AI91" s="677"/>
      <c r="AJ91" s="547"/>
      <c r="AK91" s="547"/>
      <c r="AL91" s="682"/>
      <c r="AM91" s="547"/>
      <c r="AN91" s="547"/>
      <c r="AO91" s="679"/>
      <c r="AP91" s="406"/>
    </row>
    <row r="92" spans="1:42" ht="20.100000000000001" customHeight="1">
      <c r="A92" s="423"/>
      <c r="B92" s="423"/>
      <c r="C92" s="548"/>
      <c r="E92" s="680"/>
      <c r="F92" s="423"/>
      <c r="G92" s="423"/>
      <c r="H92" s="423"/>
      <c r="I92" s="423"/>
      <c r="J92" s="423"/>
      <c r="K92" s="681"/>
      <c r="L92" s="670"/>
      <c r="M92" s="423"/>
      <c r="N92" s="671"/>
      <c r="O92" s="671"/>
      <c r="P92" s="672"/>
      <c r="Q92" s="673"/>
      <c r="R92" s="423"/>
      <c r="S92" s="674"/>
      <c r="T92" s="674"/>
      <c r="U92" s="675"/>
      <c r="V92" s="676"/>
      <c r="W92" s="676"/>
      <c r="X92" s="676"/>
      <c r="Y92" s="676"/>
      <c r="Z92" s="673"/>
      <c r="AA92" s="423"/>
      <c r="AB92" s="423"/>
      <c r="AC92" s="423"/>
      <c r="AD92" s="550"/>
      <c r="AE92" s="550"/>
      <c r="AF92" s="423"/>
      <c r="AG92" s="423"/>
      <c r="AH92" s="423"/>
      <c r="AI92" s="677"/>
      <c r="AJ92" s="547"/>
      <c r="AK92" s="547"/>
      <c r="AL92" s="682"/>
      <c r="AM92" s="547"/>
      <c r="AN92" s="547"/>
      <c r="AO92" s="679"/>
      <c r="AP92" s="406"/>
    </row>
    <row r="93" spans="1:42" ht="20.100000000000001" customHeight="1">
      <c r="A93" s="423"/>
      <c r="B93" s="423"/>
      <c r="C93" s="548"/>
      <c r="E93" s="680"/>
      <c r="F93" s="423"/>
      <c r="G93" s="423"/>
      <c r="H93" s="423"/>
      <c r="I93" s="423"/>
      <c r="J93" s="423"/>
      <c r="K93" s="681"/>
      <c r="L93" s="670"/>
      <c r="M93" s="423"/>
      <c r="N93" s="671"/>
      <c r="O93" s="671"/>
      <c r="P93" s="672"/>
      <c r="Q93" s="673"/>
      <c r="R93" s="423"/>
      <c r="S93" s="674"/>
      <c r="T93" s="674"/>
      <c r="U93" s="675"/>
      <c r="V93" s="676"/>
      <c r="W93" s="676"/>
      <c r="X93" s="676"/>
      <c r="Y93" s="676"/>
      <c r="Z93" s="673"/>
      <c r="AA93" s="423"/>
      <c r="AB93" s="423"/>
      <c r="AC93" s="423"/>
      <c r="AD93" s="550"/>
      <c r="AE93" s="550"/>
      <c r="AF93" s="423"/>
      <c r="AG93" s="423"/>
      <c r="AH93" s="423"/>
      <c r="AI93" s="677"/>
      <c r="AJ93" s="547"/>
      <c r="AK93" s="547"/>
      <c r="AL93" s="682"/>
      <c r="AM93" s="547"/>
      <c r="AN93" s="547"/>
      <c r="AO93" s="679"/>
      <c r="AP93" s="406"/>
    </row>
    <row r="94" spans="1:42" ht="20.100000000000001" customHeight="1">
      <c r="A94" s="423"/>
      <c r="B94" s="423"/>
      <c r="C94" s="548"/>
      <c r="E94" s="680"/>
      <c r="F94" s="423"/>
      <c r="G94" s="423"/>
      <c r="H94" s="423"/>
      <c r="I94" s="423"/>
      <c r="J94" s="423"/>
      <c r="K94" s="681"/>
      <c r="L94" s="670"/>
      <c r="M94" s="423"/>
      <c r="N94" s="671"/>
      <c r="O94" s="671"/>
      <c r="P94" s="672"/>
      <c r="Q94" s="673"/>
      <c r="R94" s="423"/>
      <c r="S94" s="674"/>
      <c r="T94" s="674"/>
      <c r="U94" s="675"/>
      <c r="V94" s="676"/>
      <c r="W94" s="676"/>
      <c r="X94" s="676"/>
      <c r="Y94" s="676"/>
      <c r="Z94" s="673"/>
      <c r="AA94" s="423"/>
      <c r="AB94" s="423"/>
      <c r="AC94" s="423"/>
      <c r="AD94" s="550"/>
      <c r="AE94" s="550"/>
      <c r="AF94" s="423"/>
      <c r="AG94" s="423"/>
      <c r="AH94" s="423"/>
      <c r="AI94" s="677"/>
      <c r="AJ94" s="547"/>
      <c r="AK94" s="547"/>
      <c r="AL94" s="682"/>
      <c r="AM94" s="547"/>
      <c r="AN94" s="547"/>
      <c r="AO94" s="679"/>
      <c r="AP94" s="406"/>
    </row>
    <row r="95" spans="1:42" ht="20.100000000000001" customHeight="1">
      <c r="A95" s="423"/>
      <c r="B95" s="423"/>
      <c r="C95" s="548"/>
      <c r="E95" s="680"/>
      <c r="F95" s="423"/>
      <c r="G95" s="423"/>
      <c r="H95" s="423"/>
      <c r="I95" s="423"/>
      <c r="J95" s="423"/>
      <c r="K95" s="681"/>
      <c r="L95" s="670"/>
      <c r="M95" s="423"/>
      <c r="N95" s="671"/>
      <c r="O95" s="671"/>
      <c r="P95" s="672"/>
      <c r="Q95" s="673"/>
      <c r="R95" s="423"/>
      <c r="S95" s="674"/>
      <c r="T95" s="674"/>
      <c r="U95" s="675"/>
      <c r="V95" s="676"/>
      <c r="W95" s="676"/>
      <c r="X95" s="676"/>
      <c r="Y95" s="676"/>
      <c r="Z95" s="673"/>
      <c r="AA95" s="423"/>
      <c r="AB95" s="423"/>
      <c r="AC95" s="423"/>
      <c r="AD95" s="550"/>
      <c r="AE95" s="550"/>
      <c r="AF95" s="423"/>
      <c r="AG95" s="423"/>
      <c r="AH95" s="423"/>
      <c r="AI95" s="677"/>
      <c r="AJ95" s="547"/>
      <c r="AK95" s="547"/>
      <c r="AL95" s="682"/>
      <c r="AM95" s="547"/>
      <c r="AN95" s="547"/>
      <c r="AO95" s="679"/>
      <c r="AP95" s="406"/>
    </row>
    <row r="96" spans="1:42" ht="20.100000000000001" customHeight="1">
      <c r="A96" s="423"/>
      <c r="B96" s="423"/>
      <c r="C96" s="548"/>
      <c r="E96" s="680"/>
      <c r="F96" s="423"/>
      <c r="G96" s="423"/>
      <c r="H96" s="423"/>
      <c r="I96" s="423"/>
      <c r="J96" s="423"/>
      <c r="K96" s="681"/>
      <c r="L96" s="670"/>
      <c r="M96" s="423"/>
      <c r="N96" s="671"/>
      <c r="O96" s="671"/>
      <c r="P96" s="672"/>
      <c r="Q96" s="673"/>
      <c r="R96" s="423"/>
      <c r="S96" s="674"/>
      <c r="T96" s="674"/>
      <c r="U96" s="675"/>
      <c r="V96" s="676"/>
      <c r="W96" s="676"/>
      <c r="X96" s="676"/>
      <c r="Y96" s="676"/>
      <c r="Z96" s="673"/>
      <c r="AA96" s="423"/>
      <c r="AB96" s="423"/>
      <c r="AC96" s="423"/>
      <c r="AD96" s="550"/>
      <c r="AE96" s="550"/>
      <c r="AF96" s="423"/>
      <c r="AG96" s="423"/>
      <c r="AH96" s="423"/>
      <c r="AI96" s="677"/>
      <c r="AJ96" s="547"/>
      <c r="AK96" s="547"/>
      <c r="AL96" s="682"/>
      <c r="AM96" s="547"/>
      <c r="AN96" s="547"/>
      <c r="AO96" s="679"/>
      <c r="AP96" s="406"/>
    </row>
    <row r="97" spans="1:42" ht="20.100000000000001" customHeight="1">
      <c r="A97" s="423"/>
      <c r="B97" s="423"/>
      <c r="C97" s="548"/>
      <c r="E97" s="680"/>
      <c r="F97" s="423"/>
      <c r="G97" s="423"/>
      <c r="H97" s="423"/>
      <c r="I97" s="423"/>
      <c r="J97" s="423"/>
      <c r="K97" s="681"/>
      <c r="L97" s="670"/>
      <c r="M97" s="423"/>
      <c r="N97" s="671"/>
      <c r="O97" s="671"/>
      <c r="P97" s="672"/>
      <c r="Q97" s="673"/>
      <c r="R97" s="423"/>
      <c r="S97" s="674"/>
      <c r="T97" s="674"/>
      <c r="U97" s="675"/>
      <c r="V97" s="676"/>
      <c r="W97" s="676"/>
      <c r="X97" s="676"/>
      <c r="Y97" s="676"/>
      <c r="Z97" s="673"/>
      <c r="AA97" s="423"/>
      <c r="AB97" s="423"/>
      <c r="AC97" s="423"/>
      <c r="AD97" s="550"/>
      <c r="AE97" s="550"/>
      <c r="AF97" s="423"/>
      <c r="AG97" s="423"/>
      <c r="AH97" s="423"/>
      <c r="AI97" s="677"/>
      <c r="AJ97" s="547"/>
      <c r="AK97" s="547"/>
      <c r="AL97" s="682"/>
      <c r="AM97" s="547"/>
      <c r="AN97" s="547"/>
      <c r="AO97" s="679"/>
      <c r="AP97" s="406"/>
    </row>
    <row r="98" spans="1:42" ht="20.100000000000001" customHeight="1">
      <c r="A98" s="423"/>
      <c r="B98" s="423"/>
      <c r="C98" s="548"/>
      <c r="E98" s="680"/>
      <c r="F98" s="423"/>
      <c r="G98" s="423"/>
      <c r="H98" s="423"/>
      <c r="I98" s="423"/>
      <c r="J98" s="423"/>
      <c r="K98" s="681"/>
      <c r="L98" s="670"/>
      <c r="M98" s="423"/>
      <c r="N98" s="671"/>
      <c r="O98" s="671"/>
      <c r="P98" s="672"/>
      <c r="Q98" s="673"/>
      <c r="R98" s="423"/>
      <c r="S98" s="674"/>
      <c r="T98" s="674"/>
      <c r="U98" s="675"/>
      <c r="V98" s="676"/>
      <c r="W98" s="676"/>
      <c r="X98" s="676"/>
      <c r="Y98" s="676"/>
      <c r="Z98" s="673"/>
      <c r="AA98" s="423"/>
      <c r="AB98" s="423"/>
      <c r="AC98" s="423"/>
      <c r="AD98" s="550"/>
      <c r="AE98" s="550"/>
      <c r="AF98" s="423"/>
      <c r="AG98" s="423"/>
      <c r="AH98" s="423"/>
      <c r="AI98" s="677"/>
      <c r="AJ98" s="547"/>
      <c r="AK98" s="547"/>
      <c r="AL98" s="682"/>
      <c r="AM98" s="547"/>
      <c r="AN98" s="547"/>
      <c r="AO98" s="679"/>
      <c r="AP98" s="406"/>
    </row>
    <row r="99" spans="1:42" ht="20.100000000000001" customHeight="1">
      <c r="A99" s="423"/>
      <c r="B99" s="423"/>
      <c r="C99" s="548"/>
      <c r="E99" s="680"/>
      <c r="F99" s="423"/>
      <c r="G99" s="423"/>
      <c r="H99" s="423"/>
      <c r="I99" s="423"/>
      <c r="J99" s="423"/>
      <c r="K99" s="681"/>
      <c r="L99" s="670"/>
      <c r="M99" s="423"/>
      <c r="N99" s="671"/>
      <c r="O99" s="671"/>
      <c r="P99" s="672"/>
      <c r="Q99" s="673"/>
      <c r="R99" s="423"/>
      <c r="S99" s="674"/>
      <c r="T99" s="674"/>
      <c r="U99" s="675"/>
      <c r="V99" s="676"/>
      <c r="W99" s="676"/>
      <c r="X99" s="676"/>
      <c r="Y99" s="676"/>
      <c r="Z99" s="673"/>
      <c r="AA99" s="423"/>
      <c r="AB99" s="423"/>
      <c r="AC99" s="423"/>
      <c r="AD99" s="550"/>
      <c r="AE99" s="550"/>
      <c r="AF99" s="423"/>
      <c r="AG99" s="423"/>
      <c r="AH99" s="423"/>
      <c r="AI99" s="677"/>
      <c r="AJ99" s="547"/>
      <c r="AK99" s="547"/>
      <c r="AL99" s="682"/>
      <c r="AM99" s="547"/>
      <c r="AN99" s="547"/>
      <c r="AO99" s="679"/>
      <c r="AP99" s="406"/>
    </row>
    <row r="100" spans="1:42" ht="20.100000000000001" customHeight="1">
      <c r="A100" s="423"/>
      <c r="B100" s="423"/>
      <c r="C100" s="548"/>
      <c r="E100" s="680"/>
      <c r="F100" s="423"/>
      <c r="G100" s="423"/>
      <c r="H100" s="423"/>
      <c r="I100" s="423"/>
      <c r="J100" s="423"/>
      <c r="K100" s="681"/>
      <c r="L100" s="670"/>
      <c r="M100" s="423"/>
      <c r="N100" s="671"/>
      <c r="O100" s="671"/>
      <c r="P100" s="672"/>
      <c r="Q100" s="673"/>
      <c r="R100" s="423"/>
      <c r="S100" s="674"/>
      <c r="T100" s="674"/>
      <c r="U100" s="675"/>
      <c r="V100" s="676"/>
      <c r="W100" s="676"/>
      <c r="X100" s="676"/>
      <c r="Y100" s="676"/>
      <c r="Z100" s="673"/>
      <c r="AA100" s="423"/>
      <c r="AB100" s="423"/>
      <c r="AC100" s="423"/>
      <c r="AD100" s="550"/>
      <c r="AE100" s="550"/>
      <c r="AF100" s="423"/>
      <c r="AG100" s="423"/>
      <c r="AH100" s="423"/>
      <c r="AI100" s="677"/>
      <c r="AJ100" s="547"/>
      <c r="AK100" s="547"/>
      <c r="AL100" s="682"/>
      <c r="AM100" s="547"/>
      <c r="AN100" s="547"/>
      <c r="AO100" s="679"/>
      <c r="AP100" s="406"/>
    </row>
    <row r="101" spans="1:42" ht="20.100000000000001" customHeight="1">
      <c r="A101" s="423"/>
      <c r="B101" s="423"/>
      <c r="C101" s="548"/>
      <c r="E101" s="680"/>
      <c r="F101" s="423"/>
      <c r="G101" s="423"/>
      <c r="H101" s="423"/>
      <c r="I101" s="423"/>
      <c r="J101" s="423"/>
      <c r="K101" s="681"/>
      <c r="L101" s="670"/>
      <c r="M101" s="423"/>
      <c r="N101" s="671"/>
      <c r="O101" s="671"/>
      <c r="P101" s="672"/>
      <c r="Q101" s="673"/>
      <c r="R101" s="423"/>
      <c r="S101" s="674"/>
      <c r="T101" s="674"/>
      <c r="U101" s="675"/>
      <c r="V101" s="676"/>
      <c r="W101" s="676"/>
      <c r="X101" s="676"/>
      <c r="Y101" s="676"/>
      <c r="Z101" s="673"/>
      <c r="AA101" s="423"/>
      <c r="AB101" s="423"/>
      <c r="AC101" s="423"/>
      <c r="AD101" s="550"/>
      <c r="AE101" s="550"/>
      <c r="AF101" s="423"/>
      <c r="AG101" s="423"/>
      <c r="AH101" s="423"/>
      <c r="AI101" s="677"/>
      <c r="AJ101" s="547"/>
      <c r="AK101" s="547"/>
      <c r="AL101" s="682"/>
      <c r="AM101" s="547"/>
      <c r="AN101" s="547"/>
      <c r="AO101" s="679"/>
      <c r="AP101" s="406"/>
    </row>
    <row r="102" spans="1:42" ht="20.100000000000001" customHeight="1">
      <c r="A102" s="423"/>
      <c r="B102" s="423"/>
      <c r="C102" s="548"/>
      <c r="E102" s="680"/>
      <c r="F102" s="423"/>
      <c r="G102" s="423"/>
      <c r="H102" s="423"/>
      <c r="I102" s="423"/>
      <c r="J102" s="423"/>
      <c r="K102" s="681"/>
      <c r="L102" s="670"/>
      <c r="M102" s="423"/>
      <c r="N102" s="671"/>
      <c r="O102" s="671"/>
      <c r="P102" s="672"/>
      <c r="Q102" s="673"/>
      <c r="R102" s="423"/>
      <c r="S102" s="674"/>
      <c r="T102" s="674"/>
      <c r="U102" s="675"/>
      <c r="V102" s="676"/>
      <c r="W102" s="676"/>
      <c r="X102" s="676"/>
      <c r="Y102" s="676"/>
      <c r="Z102" s="673"/>
      <c r="AA102" s="423"/>
      <c r="AB102" s="423"/>
      <c r="AC102" s="423"/>
      <c r="AD102" s="550"/>
      <c r="AE102" s="550"/>
      <c r="AF102" s="423"/>
      <c r="AG102" s="423"/>
      <c r="AH102" s="423"/>
      <c r="AI102" s="677"/>
      <c r="AJ102" s="547"/>
      <c r="AK102" s="547"/>
      <c r="AL102" s="682"/>
      <c r="AM102" s="547"/>
      <c r="AN102" s="547"/>
      <c r="AO102" s="679"/>
      <c r="AP102" s="406"/>
    </row>
    <row r="103" spans="1:42" ht="13.9">
      <c r="A103" s="423"/>
      <c r="B103" s="423"/>
      <c r="C103" s="548"/>
      <c r="E103" s="680"/>
      <c r="F103" s="423"/>
      <c r="G103" s="423"/>
      <c r="H103" s="423"/>
      <c r="I103" s="423"/>
      <c r="J103" s="423"/>
      <c r="K103" s="681"/>
      <c r="L103" s="670"/>
      <c r="M103" s="423"/>
      <c r="N103" s="671"/>
      <c r="O103" s="671"/>
      <c r="P103" s="672"/>
      <c r="Q103" s="673"/>
      <c r="R103" s="423"/>
      <c r="S103" s="674"/>
      <c r="T103" s="674"/>
      <c r="U103" s="675"/>
      <c r="V103" s="676"/>
      <c r="W103" s="676"/>
      <c r="X103" s="676"/>
      <c r="Y103" s="676"/>
      <c r="Z103" s="673"/>
      <c r="AA103" s="423"/>
      <c r="AB103" s="423"/>
      <c r="AC103" s="423"/>
      <c r="AD103" s="550"/>
      <c r="AE103" s="550"/>
      <c r="AF103" s="423"/>
      <c r="AG103" s="423"/>
      <c r="AH103" s="423"/>
      <c r="AI103" s="677"/>
      <c r="AJ103" s="547"/>
      <c r="AK103" s="547"/>
      <c r="AL103" s="682"/>
      <c r="AM103" s="547"/>
      <c r="AN103" s="547"/>
      <c r="AO103" s="679"/>
      <c r="AP103" s="406"/>
    </row>
    <row r="104" spans="1:42" ht="13.9">
      <c r="A104" s="423"/>
      <c r="B104" s="423"/>
      <c r="C104" s="548"/>
      <c r="E104" s="680"/>
      <c r="F104" s="423"/>
      <c r="G104" s="423"/>
      <c r="H104" s="423"/>
      <c r="I104" s="423"/>
      <c r="J104" s="423"/>
      <c r="K104" s="681"/>
      <c r="L104" s="670"/>
      <c r="M104" s="423"/>
      <c r="N104" s="671"/>
      <c r="O104" s="671"/>
      <c r="P104" s="672"/>
      <c r="Q104" s="673"/>
      <c r="R104" s="423"/>
      <c r="S104" s="674"/>
      <c r="T104" s="674"/>
      <c r="U104" s="675"/>
      <c r="V104" s="676"/>
      <c r="W104" s="676"/>
      <c r="X104" s="676"/>
      <c r="Y104" s="676"/>
      <c r="Z104" s="673"/>
      <c r="AA104" s="423"/>
      <c r="AB104" s="423"/>
      <c r="AC104" s="423"/>
      <c r="AD104" s="550"/>
      <c r="AE104" s="550"/>
      <c r="AF104" s="423"/>
      <c r="AG104" s="423"/>
      <c r="AH104" s="423"/>
      <c r="AI104" s="423"/>
      <c r="AJ104" s="547"/>
      <c r="AK104" s="547"/>
      <c r="AL104" s="682"/>
      <c r="AM104" s="547"/>
      <c r="AN104" s="547"/>
      <c r="AO104" s="679"/>
      <c r="AP104" s="406"/>
    </row>
    <row r="105" spans="1:42" ht="13.9">
      <c r="A105" s="423"/>
      <c r="B105" s="423"/>
      <c r="C105" s="548"/>
      <c r="E105" s="680"/>
      <c r="F105" s="423"/>
      <c r="G105" s="423"/>
      <c r="H105" s="423"/>
      <c r="I105" s="423"/>
      <c r="J105" s="423"/>
      <c r="K105" s="681"/>
      <c r="L105" s="670"/>
      <c r="M105" s="423"/>
      <c r="N105" s="671"/>
      <c r="O105" s="671"/>
      <c r="P105" s="672"/>
      <c r="Q105" s="673"/>
      <c r="R105" s="423"/>
      <c r="S105" s="674"/>
      <c r="T105" s="674"/>
      <c r="U105" s="675"/>
      <c r="V105" s="676"/>
      <c r="W105" s="676"/>
      <c r="X105" s="676"/>
      <c r="Y105" s="676"/>
      <c r="Z105" s="673"/>
      <c r="AA105" s="423"/>
      <c r="AB105" s="423"/>
      <c r="AC105" s="423"/>
      <c r="AD105" s="550"/>
      <c r="AE105" s="550"/>
      <c r="AF105" s="423"/>
      <c r="AG105" s="423"/>
      <c r="AH105" s="423"/>
      <c r="AI105" s="423"/>
      <c r="AJ105" s="547"/>
      <c r="AK105" s="547"/>
      <c r="AL105" s="682"/>
      <c r="AM105" s="547"/>
      <c r="AN105" s="547"/>
      <c r="AO105" s="679"/>
      <c r="AP105" s="406"/>
    </row>
    <row r="106" spans="1:42" ht="13.9">
      <c r="A106" s="423"/>
      <c r="B106" s="423"/>
      <c r="C106" s="548"/>
      <c r="E106" s="680"/>
      <c r="F106" s="423"/>
      <c r="G106" s="423"/>
      <c r="H106" s="423"/>
      <c r="I106" s="423"/>
      <c r="J106" s="423"/>
      <c r="K106" s="681"/>
      <c r="L106" s="670"/>
      <c r="M106" s="423"/>
      <c r="N106" s="423"/>
      <c r="O106" s="423"/>
      <c r="P106" s="672"/>
      <c r="Q106" s="673"/>
      <c r="R106" s="423"/>
      <c r="S106" s="674"/>
      <c r="T106" s="674"/>
      <c r="U106" s="675"/>
      <c r="V106" s="676"/>
      <c r="W106" s="676"/>
      <c r="X106" s="676"/>
      <c r="Y106" s="676"/>
      <c r="Z106" s="673"/>
      <c r="AA106" s="423"/>
      <c r="AB106" s="423"/>
      <c r="AC106" s="423"/>
      <c r="AD106" s="550"/>
      <c r="AE106" s="550"/>
      <c r="AF106" s="423"/>
      <c r="AG106" s="423"/>
      <c r="AH106" s="423"/>
      <c r="AI106" s="423"/>
      <c r="AJ106" s="547"/>
      <c r="AK106" s="547"/>
      <c r="AL106" s="682"/>
      <c r="AM106" s="547"/>
      <c r="AN106" s="547"/>
      <c r="AO106" s="679"/>
      <c r="AP106" s="406"/>
    </row>
    <row r="107" spans="1:42" ht="13.9">
      <c r="A107" s="423"/>
      <c r="B107" s="423"/>
      <c r="C107" s="548"/>
      <c r="E107" s="680"/>
      <c r="F107" s="423"/>
      <c r="G107" s="423"/>
      <c r="H107" s="423"/>
      <c r="I107" s="423"/>
      <c r="J107" s="423"/>
      <c r="K107" s="681"/>
      <c r="L107" s="670"/>
      <c r="M107" s="423"/>
      <c r="N107" s="671"/>
      <c r="O107" s="671"/>
      <c r="P107" s="672"/>
      <c r="Q107" s="673"/>
      <c r="R107" s="423"/>
      <c r="S107" s="674"/>
      <c r="T107" s="674"/>
      <c r="U107" s="675"/>
      <c r="V107" s="676"/>
      <c r="W107" s="676"/>
      <c r="X107" s="676"/>
      <c r="Y107" s="676"/>
      <c r="Z107" s="673"/>
      <c r="AA107" s="423"/>
      <c r="AB107" s="423"/>
      <c r="AC107" s="423"/>
      <c r="AD107" s="550"/>
      <c r="AE107" s="550"/>
      <c r="AF107" s="423"/>
      <c r="AG107" s="423"/>
      <c r="AH107" s="423"/>
      <c r="AI107" s="423"/>
      <c r="AJ107" s="547"/>
      <c r="AK107" s="547"/>
      <c r="AL107" s="682"/>
      <c r="AM107" s="547"/>
      <c r="AN107" s="547"/>
      <c r="AO107" s="679"/>
      <c r="AP107" s="406"/>
    </row>
    <row r="108" spans="1:42" ht="13.9">
      <c r="A108" s="423"/>
      <c r="B108" s="423"/>
      <c r="C108" s="548"/>
      <c r="E108" s="680"/>
      <c r="F108" s="423"/>
      <c r="G108" s="423"/>
      <c r="H108" s="423"/>
      <c r="I108" s="423"/>
      <c r="J108" s="423"/>
      <c r="K108" s="681"/>
      <c r="L108" s="670"/>
      <c r="M108" s="423"/>
      <c r="N108" s="671"/>
      <c r="O108" s="671"/>
      <c r="P108" s="672"/>
      <c r="Q108" s="673"/>
      <c r="R108" s="423"/>
      <c r="S108" s="674"/>
      <c r="T108" s="674"/>
      <c r="U108" s="675"/>
      <c r="V108" s="676"/>
      <c r="W108" s="676"/>
      <c r="X108" s="676"/>
      <c r="Y108" s="676"/>
      <c r="Z108" s="673"/>
      <c r="AA108" s="423"/>
      <c r="AB108" s="423"/>
      <c r="AC108" s="423"/>
      <c r="AD108" s="550"/>
      <c r="AE108" s="550"/>
      <c r="AF108" s="423"/>
      <c r="AG108" s="423"/>
      <c r="AH108" s="423"/>
      <c r="AI108" s="677"/>
      <c r="AJ108" s="547"/>
      <c r="AK108" s="547"/>
      <c r="AL108" s="682"/>
      <c r="AM108" s="547"/>
      <c r="AN108" s="547"/>
      <c r="AO108" s="679"/>
      <c r="AP108" s="406"/>
    </row>
    <row r="109" spans="1:42" ht="13.9">
      <c r="A109" s="423"/>
      <c r="B109" s="423"/>
      <c r="C109" s="548"/>
      <c r="E109" s="680"/>
      <c r="F109" s="423"/>
      <c r="G109" s="423"/>
      <c r="H109" s="423"/>
      <c r="I109" s="423"/>
      <c r="J109" s="423"/>
      <c r="K109" s="681"/>
      <c r="L109" s="670"/>
      <c r="M109" s="423"/>
      <c r="N109" s="671"/>
      <c r="O109" s="671"/>
      <c r="P109" s="672"/>
      <c r="Q109" s="673"/>
      <c r="R109" s="423"/>
      <c r="S109" s="674"/>
      <c r="T109" s="674"/>
      <c r="U109" s="675"/>
      <c r="V109" s="676"/>
      <c r="W109" s="676"/>
      <c r="X109" s="676"/>
      <c r="Y109" s="676"/>
      <c r="Z109" s="673"/>
      <c r="AA109" s="423"/>
      <c r="AB109" s="423"/>
      <c r="AC109" s="423"/>
      <c r="AD109" s="550"/>
      <c r="AE109" s="550"/>
      <c r="AF109" s="423"/>
      <c r="AG109" s="423"/>
      <c r="AH109" s="423"/>
      <c r="AI109" s="677"/>
      <c r="AJ109" s="547"/>
      <c r="AK109" s="547"/>
      <c r="AL109" s="682"/>
      <c r="AM109" s="547"/>
      <c r="AN109" s="547"/>
      <c r="AO109" s="679"/>
      <c r="AP109" s="406"/>
    </row>
    <row r="110" spans="1:42" ht="13.9">
      <c r="A110" s="423"/>
      <c r="B110" s="423"/>
      <c r="C110" s="548"/>
      <c r="E110" s="680"/>
      <c r="F110" s="423"/>
      <c r="G110" s="423"/>
      <c r="H110" s="423"/>
      <c r="I110" s="423"/>
      <c r="J110" s="423"/>
      <c r="K110" s="681"/>
      <c r="L110" s="670"/>
      <c r="M110" s="423"/>
      <c r="N110" s="671"/>
      <c r="O110" s="671"/>
      <c r="P110" s="672"/>
      <c r="Q110" s="673"/>
      <c r="R110" s="423"/>
      <c r="S110" s="674"/>
      <c r="T110" s="674"/>
      <c r="U110" s="675"/>
      <c r="V110" s="676"/>
      <c r="W110" s="676"/>
      <c r="X110" s="676"/>
      <c r="Y110" s="676"/>
      <c r="Z110" s="673"/>
      <c r="AA110" s="423"/>
      <c r="AB110" s="423"/>
      <c r="AC110" s="423"/>
      <c r="AD110" s="550"/>
      <c r="AE110" s="550"/>
      <c r="AF110" s="423"/>
      <c r="AG110" s="423"/>
      <c r="AH110" s="423"/>
      <c r="AI110" s="677"/>
      <c r="AJ110" s="547"/>
      <c r="AK110" s="547"/>
      <c r="AL110" s="682"/>
      <c r="AM110" s="547"/>
      <c r="AN110" s="547"/>
      <c r="AO110" s="679"/>
      <c r="AP110" s="406"/>
    </row>
    <row r="111" spans="1:42" ht="13.9">
      <c r="A111" s="423"/>
      <c r="B111" s="423"/>
      <c r="C111" s="548"/>
      <c r="E111" s="680"/>
      <c r="F111" s="423"/>
      <c r="G111" s="423"/>
      <c r="H111" s="423"/>
      <c r="I111" s="423"/>
      <c r="J111" s="423"/>
      <c r="K111" s="681"/>
      <c r="L111" s="670"/>
      <c r="M111" s="423"/>
      <c r="N111" s="671"/>
      <c r="O111" s="671"/>
      <c r="P111" s="672"/>
      <c r="Q111" s="673"/>
      <c r="R111" s="423"/>
      <c r="S111" s="674"/>
      <c r="T111" s="674"/>
      <c r="U111" s="675"/>
      <c r="V111" s="676"/>
      <c r="W111" s="676"/>
      <c r="X111" s="676"/>
      <c r="Y111" s="676"/>
      <c r="Z111" s="673"/>
      <c r="AA111" s="423"/>
      <c r="AB111" s="423"/>
      <c r="AC111" s="423"/>
      <c r="AD111" s="550"/>
      <c r="AE111" s="550"/>
      <c r="AF111" s="423"/>
      <c r="AG111" s="423"/>
      <c r="AH111" s="423"/>
      <c r="AI111" s="423"/>
      <c r="AJ111" s="547"/>
      <c r="AK111" s="547"/>
      <c r="AL111" s="682"/>
      <c r="AM111" s="547"/>
      <c r="AN111" s="547"/>
      <c r="AO111" s="679"/>
      <c r="AP111" s="406"/>
    </row>
    <row r="112" spans="1:42" ht="13.9">
      <c r="A112" s="423"/>
      <c r="B112" s="423"/>
      <c r="C112" s="548"/>
      <c r="E112" s="680"/>
      <c r="F112" s="423"/>
      <c r="G112" s="423"/>
      <c r="H112" s="423"/>
      <c r="I112" s="423"/>
      <c r="J112" s="423"/>
      <c r="K112" s="681"/>
      <c r="L112" s="670"/>
      <c r="M112" s="423"/>
      <c r="N112" s="671"/>
      <c r="O112" s="671"/>
      <c r="P112" s="672"/>
      <c r="Q112" s="673"/>
      <c r="R112" s="423"/>
      <c r="S112" s="674"/>
      <c r="T112" s="674"/>
      <c r="U112" s="675"/>
      <c r="V112" s="676"/>
      <c r="W112" s="676"/>
      <c r="X112" s="676"/>
      <c r="Y112" s="676"/>
      <c r="Z112" s="673"/>
      <c r="AA112" s="423"/>
      <c r="AB112" s="423"/>
      <c r="AC112" s="423"/>
      <c r="AD112" s="550"/>
      <c r="AE112" s="550"/>
      <c r="AF112" s="423"/>
      <c r="AG112" s="423"/>
      <c r="AH112" s="423"/>
      <c r="AI112" s="423"/>
      <c r="AJ112" s="547"/>
      <c r="AK112" s="547"/>
      <c r="AL112" s="682"/>
      <c r="AM112" s="547"/>
      <c r="AN112" s="547"/>
      <c r="AO112" s="679"/>
      <c r="AP112" s="406"/>
    </row>
    <row r="113" spans="1:42" ht="13.9">
      <c r="A113" s="423"/>
      <c r="B113" s="423"/>
      <c r="C113" s="548"/>
      <c r="E113" s="680"/>
      <c r="F113" s="423"/>
      <c r="G113" s="423"/>
      <c r="H113" s="423"/>
      <c r="I113" s="423"/>
      <c r="J113" s="423"/>
      <c r="K113" s="681"/>
      <c r="L113" s="670"/>
      <c r="M113" s="423"/>
      <c r="N113" s="671"/>
      <c r="O113" s="671"/>
      <c r="P113" s="672"/>
      <c r="Q113" s="673"/>
      <c r="R113" s="423"/>
      <c r="S113" s="674"/>
      <c r="T113" s="674"/>
      <c r="U113" s="675"/>
      <c r="V113" s="676"/>
      <c r="W113" s="676"/>
      <c r="X113" s="676"/>
      <c r="Y113" s="676"/>
      <c r="Z113" s="673"/>
      <c r="AA113" s="423"/>
      <c r="AB113" s="423"/>
      <c r="AC113" s="423"/>
      <c r="AD113" s="550"/>
      <c r="AE113" s="550"/>
      <c r="AF113" s="423"/>
      <c r="AG113" s="423"/>
      <c r="AH113" s="423"/>
      <c r="AI113" s="423"/>
      <c r="AJ113" s="547"/>
      <c r="AK113" s="547"/>
      <c r="AL113" s="682"/>
      <c r="AM113" s="547"/>
      <c r="AN113" s="547"/>
      <c r="AO113" s="679"/>
      <c r="AP113" s="406"/>
    </row>
    <row r="114" spans="1:42" ht="13.9">
      <c r="A114" s="423"/>
      <c r="B114" s="423"/>
      <c r="C114" s="548"/>
      <c r="E114" s="680"/>
      <c r="F114" s="423"/>
      <c r="G114" s="423"/>
      <c r="H114" s="423"/>
      <c r="I114" s="423"/>
      <c r="J114" s="423"/>
      <c r="K114" s="681"/>
      <c r="L114" s="670"/>
      <c r="M114" s="423"/>
      <c r="N114" s="671"/>
      <c r="O114" s="671"/>
      <c r="P114" s="672"/>
      <c r="Q114" s="673"/>
      <c r="R114" s="423"/>
      <c r="S114" s="674"/>
      <c r="T114" s="674"/>
      <c r="U114" s="675"/>
      <c r="V114" s="676"/>
      <c r="W114" s="676"/>
      <c r="X114" s="676"/>
      <c r="Y114" s="676"/>
      <c r="Z114" s="673"/>
      <c r="AA114" s="423"/>
      <c r="AB114" s="423"/>
      <c r="AC114" s="423"/>
      <c r="AD114" s="550"/>
      <c r="AE114" s="550"/>
      <c r="AF114" s="423"/>
      <c r="AG114" s="423"/>
      <c r="AH114" s="423"/>
      <c r="AI114" s="423"/>
      <c r="AJ114" s="547"/>
      <c r="AK114" s="547"/>
      <c r="AL114" s="682"/>
      <c r="AM114" s="547"/>
      <c r="AN114" s="547"/>
      <c r="AO114" s="679"/>
      <c r="AP114" s="406"/>
    </row>
    <row r="115" spans="1:42" ht="13.9">
      <c r="A115" s="423"/>
      <c r="B115" s="423"/>
      <c r="C115" s="548"/>
      <c r="E115" s="680"/>
      <c r="F115" s="423"/>
      <c r="G115" s="423"/>
      <c r="H115" s="423"/>
      <c r="I115" s="423"/>
      <c r="J115" s="423"/>
      <c r="K115" s="681"/>
      <c r="L115" s="670"/>
      <c r="M115" s="423"/>
      <c r="N115" s="671"/>
      <c r="O115" s="671"/>
      <c r="P115" s="672"/>
      <c r="Q115" s="673"/>
      <c r="R115" s="423"/>
      <c r="S115" s="674"/>
      <c r="T115" s="674"/>
      <c r="U115" s="675"/>
      <c r="V115" s="676"/>
      <c r="W115" s="676"/>
      <c r="X115" s="676"/>
      <c r="Y115" s="676"/>
      <c r="Z115" s="673"/>
      <c r="AA115" s="423"/>
      <c r="AB115" s="423"/>
      <c r="AC115" s="423"/>
      <c r="AD115" s="550"/>
      <c r="AE115" s="550"/>
      <c r="AF115" s="423"/>
      <c r="AG115" s="423"/>
      <c r="AH115" s="423"/>
      <c r="AI115" s="423"/>
      <c r="AJ115" s="547"/>
      <c r="AK115" s="547"/>
      <c r="AL115" s="682"/>
      <c r="AM115" s="547"/>
      <c r="AN115" s="547"/>
      <c r="AO115" s="679"/>
      <c r="AP115" s="406"/>
    </row>
    <row r="116" spans="1:42" ht="13.9">
      <c r="A116" s="423"/>
      <c r="B116" s="423"/>
      <c r="C116" s="548"/>
      <c r="E116" s="680"/>
      <c r="F116" s="423"/>
      <c r="G116" s="423"/>
      <c r="H116" s="423"/>
      <c r="I116" s="423"/>
      <c r="J116" s="423"/>
      <c r="K116" s="681"/>
      <c r="L116" s="670"/>
      <c r="M116" s="423"/>
      <c r="N116" s="671"/>
      <c r="O116" s="671"/>
      <c r="P116" s="672"/>
      <c r="Q116" s="673"/>
      <c r="R116" s="423"/>
      <c r="S116" s="674"/>
      <c r="T116" s="674"/>
      <c r="U116" s="675"/>
      <c r="V116" s="676"/>
      <c r="W116" s="676"/>
      <c r="X116" s="676"/>
      <c r="Y116" s="676"/>
      <c r="Z116" s="673"/>
      <c r="AA116" s="423"/>
      <c r="AB116" s="423"/>
      <c r="AC116" s="423"/>
      <c r="AD116" s="550"/>
      <c r="AE116" s="550"/>
      <c r="AF116" s="423"/>
      <c r="AG116" s="423"/>
      <c r="AH116" s="423"/>
      <c r="AI116" s="423"/>
      <c r="AJ116" s="547"/>
      <c r="AK116" s="547"/>
      <c r="AL116" s="682"/>
      <c r="AM116" s="547"/>
      <c r="AN116" s="547"/>
      <c r="AO116" s="679"/>
      <c r="AP116" s="406"/>
    </row>
    <row r="117" spans="1:42" ht="13.9">
      <c r="A117" s="423"/>
      <c r="B117" s="683"/>
      <c r="C117" s="548"/>
      <c r="E117" s="680"/>
      <c r="F117" s="423"/>
      <c r="G117" s="423"/>
      <c r="H117" s="423"/>
      <c r="I117" s="423"/>
      <c r="J117" s="423"/>
      <c r="K117" s="681"/>
      <c r="L117" s="670"/>
      <c r="M117" s="423"/>
      <c r="N117" s="423"/>
      <c r="O117" s="423"/>
      <c r="P117" s="672"/>
      <c r="Q117" s="673"/>
      <c r="R117" s="684"/>
      <c r="S117" s="674"/>
      <c r="T117" s="674"/>
      <c r="U117" s="675"/>
      <c r="V117" s="676"/>
      <c r="W117" s="676"/>
      <c r="X117" s="676"/>
      <c r="Y117" s="676"/>
      <c r="Z117" s="676"/>
      <c r="AA117" s="423"/>
      <c r="AB117" s="676"/>
      <c r="AC117" s="676"/>
      <c r="AD117" s="550"/>
      <c r="AE117" s="550"/>
      <c r="AF117" s="423"/>
      <c r="AG117" s="423"/>
      <c r="AH117" s="423"/>
      <c r="AI117" s="423"/>
      <c r="AJ117" s="547"/>
      <c r="AK117" s="547"/>
      <c r="AL117" s="682"/>
      <c r="AM117" s="547"/>
      <c r="AN117" s="547"/>
      <c r="AO117" s="679"/>
      <c r="AP117" s="406"/>
    </row>
    <row r="118" spans="1:42" ht="13.9">
      <c r="A118" s="423"/>
      <c r="B118" s="683"/>
      <c r="C118" s="548"/>
      <c r="E118" s="680"/>
      <c r="F118" s="423"/>
      <c r="G118" s="423"/>
      <c r="H118" s="423"/>
      <c r="I118" s="423"/>
      <c r="J118" s="423"/>
      <c r="K118" s="681"/>
      <c r="L118" s="670"/>
      <c r="M118" s="423"/>
      <c r="N118" s="423"/>
      <c r="O118" s="423"/>
      <c r="P118" s="672"/>
      <c r="Q118" s="673"/>
      <c r="R118" s="684"/>
      <c r="S118" s="674"/>
      <c r="T118" s="674"/>
      <c r="U118" s="675"/>
      <c r="V118" s="676"/>
      <c r="W118" s="676"/>
      <c r="X118" s="676"/>
      <c r="Y118" s="676"/>
      <c r="Z118" s="676"/>
      <c r="AA118" s="423"/>
      <c r="AB118" s="676"/>
      <c r="AC118" s="676"/>
      <c r="AD118" s="550"/>
      <c r="AE118" s="550"/>
      <c r="AF118" s="423"/>
      <c r="AG118" s="423"/>
      <c r="AH118" s="423"/>
      <c r="AI118" s="677"/>
      <c r="AJ118" s="547"/>
      <c r="AK118" s="547"/>
      <c r="AL118" s="682"/>
      <c r="AM118" s="547"/>
      <c r="AN118" s="547"/>
      <c r="AO118" s="679"/>
      <c r="AP118" s="406"/>
    </row>
    <row r="119" spans="1:42" ht="13.9">
      <c r="A119" s="423"/>
      <c r="B119" s="423"/>
      <c r="C119" s="548"/>
      <c r="E119" s="680"/>
      <c r="F119" s="423"/>
      <c r="G119" s="423"/>
      <c r="H119" s="423"/>
      <c r="I119" s="423"/>
      <c r="J119" s="423"/>
      <c r="K119" s="681"/>
      <c r="L119" s="670"/>
      <c r="M119" s="423"/>
      <c r="N119" s="423"/>
      <c r="O119" s="423"/>
      <c r="P119" s="672"/>
      <c r="Q119" s="673"/>
      <c r="R119" s="423"/>
      <c r="S119" s="674"/>
      <c r="T119" s="674"/>
      <c r="U119" s="675"/>
      <c r="V119" s="676"/>
      <c r="W119" s="676"/>
      <c r="X119" s="676"/>
      <c r="Y119" s="676"/>
      <c r="Z119" s="676"/>
      <c r="AA119" s="423"/>
      <c r="AB119" s="676"/>
      <c r="AC119" s="676"/>
      <c r="AD119" s="550"/>
      <c r="AE119" s="550"/>
      <c r="AF119" s="423"/>
      <c r="AG119" s="423"/>
      <c r="AH119" s="423"/>
      <c r="AI119" s="423"/>
      <c r="AJ119" s="547"/>
      <c r="AK119" s="547"/>
      <c r="AL119" s="682"/>
      <c r="AM119" s="547"/>
      <c r="AN119" s="547"/>
      <c r="AO119" s="679"/>
      <c r="AP119" s="406"/>
    </row>
    <row r="120" spans="1:42" ht="13.9">
      <c r="A120" s="423"/>
      <c r="B120" s="423"/>
      <c r="C120" s="548"/>
      <c r="E120" s="680"/>
      <c r="F120" s="423"/>
      <c r="G120" s="423"/>
      <c r="H120" s="423"/>
      <c r="I120" s="423"/>
      <c r="J120" s="423"/>
      <c r="K120" s="681"/>
      <c r="L120" s="670"/>
      <c r="M120" s="423"/>
      <c r="N120" s="423"/>
      <c r="O120" s="423"/>
      <c r="P120" s="672"/>
      <c r="Q120" s="673"/>
      <c r="R120" s="423"/>
      <c r="S120" s="674"/>
      <c r="T120" s="674"/>
      <c r="U120" s="675"/>
      <c r="V120" s="676"/>
      <c r="W120" s="676"/>
      <c r="X120" s="676"/>
      <c r="Y120" s="676"/>
      <c r="Z120" s="673"/>
      <c r="AA120" s="423"/>
      <c r="AB120" s="676"/>
      <c r="AC120" s="423"/>
      <c r="AD120" s="550"/>
      <c r="AE120" s="550"/>
      <c r="AF120" s="423"/>
      <c r="AG120" s="423"/>
      <c r="AH120" s="423"/>
      <c r="AI120" s="423"/>
      <c r="AJ120" s="547"/>
      <c r="AK120" s="547"/>
      <c r="AL120" s="682"/>
      <c r="AM120" s="547"/>
      <c r="AN120" s="547"/>
      <c r="AO120" s="679"/>
      <c r="AP120" s="406"/>
    </row>
    <row r="121" spans="1:42" ht="13.9">
      <c r="A121" s="423"/>
      <c r="B121" s="423"/>
      <c r="C121" s="548"/>
      <c r="E121" s="680"/>
      <c r="F121" s="423"/>
      <c r="G121" s="423"/>
      <c r="H121" s="423"/>
      <c r="I121" s="423"/>
      <c r="J121" s="423"/>
      <c r="K121" s="681"/>
      <c r="L121" s="670"/>
      <c r="M121" s="423"/>
      <c r="N121" s="423"/>
      <c r="O121" s="423"/>
      <c r="P121" s="672"/>
      <c r="Q121" s="673"/>
      <c r="R121" s="423"/>
      <c r="S121" s="674"/>
      <c r="T121" s="674"/>
      <c r="U121" s="675"/>
      <c r="V121" s="676"/>
      <c r="W121" s="676"/>
      <c r="X121" s="676"/>
      <c r="Y121" s="676"/>
      <c r="Z121" s="673"/>
      <c r="AA121" s="423"/>
      <c r="AB121" s="676"/>
      <c r="AC121" s="423"/>
      <c r="AD121" s="550"/>
      <c r="AE121" s="550"/>
      <c r="AF121" s="423"/>
      <c r="AG121" s="423"/>
      <c r="AH121" s="423"/>
      <c r="AI121" s="423"/>
      <c r="AJ121" s="547"/>
      <c r="AK121" s="547"/>
      <c r="AL121" s="682"/>
      <c r="AM121" s="547"/>
      <c r="AN121" s="547"/>
      <c r="AO121" s="679"/>
      <c r="AP121" s="406"/>
    </row>
    <row r="122" spans="1:42" ht="13.9">
      <c r="A122" s="423"/>
      <c r="B122" s="423"/>
      <c r="C122" s="548"/>
      <c r="E122" s="680"/>
      <c r="F122" s="423"/>
      <c r="G122" s="423"/>
      <c r="H122" s="423"/>
      <c r="I122" s="423"/>
      <c r="J122" s="423"/>
      <c r="K122" s="681"/>
      <c r="L122" s="670"/>
      <c r="M122" s="423"/>
      <c r="N122" s="423"/>
      <c r="O122" s="423"/>
      <c r="P122" s="672"/>
      <c r="Q122" s="673"/>
      <c r="R122" s="423"/>
      <c r="S122" s="674"/>
      <c r="T122" s="674"/>
      <c r="U122" s="675"/>
      <c r="V122" s="676"/>
      <c r="W122" s="676"/>
      <c r="X122" s="676"/>
      <c r="Y122" s="676"/>
      <c r="Z122" s="676"/>
      <c r="AA122" s="423"/>
      <c r="AB122" s="676"/>
      <c r="AC122" s="676"/>
      <c r="AD122" s="550"/>
      <c r="AE122" s="550"/>
      <c r="AF122" s="423"/>
      <c r="AG122" s="423"/>
      <c r="AH122" s="423"/>
      <c r="AI122" s="423"/>
      <c r="AJ122" s="547"/>
      <c r="AK122" s="547"/>
      <c r="AL122" s="682"/>
      <c r="AM122" s="547"/>
      <c r="AN122" s="547"/>
      <c r="AO122" s="679"/>
      <c r="AP122" s="406"/>
    </row>
    <row r="123" spans="1:42" ht="13.9">
      <c r="A123" s="423"/>
      <c r="B123" s="423"/>
      <c r="C123" s="548"/>
      <c r="E123" s="680"/>
      <c r="F123" s="423"/>
      <c r="G123" s="423"/>
      <c r="H123" s="423"/>
      <c r="I123" s="423"/>
      <c r="J123" s="423"/>
      <c r="K123" s="681"/>
      <c r="L123" s="670"/>
      <c r="M123" s="423"/>
      <c r="N123" s="423"/>
      <c r="O123" s="423"/>
      <c r="P123" s="672"/>
      <c r="Q123" s="673"/>
      <c r="R123" s="423"/>
      <c r="S123" s="674"/>
      <c r="T123" s="674"/>
      <c r="U123" s="675"/>
      <c r="V123" s="676"/>
      <c r="W123" s="676"/>
      <c r="X123" s="676"/>
      <c r="Y123" s="676"/>
      <c r="Z123" s="673"/>
      <c r="AA123" s="423"/>
      <c r="AB123" s="676"/>
      <c r="AC123" s="423"/>
      <c r="AD123" s="550"/>
      <c r="AE123" s="550"/>
      <c r="AF123" s="423"/>
      <c r="AG123" s="423"/>
      <c r="AH123" s="423"/>
      <c r="AI123" s="423"/>
      <c r="AJ123" s="547"/>
      <c r="AK123" s="547"/>
      <c r="AL123" s="682"/>
      <c r="AM123" s="547"/>
      <c r="AN123" s="547"/>
      <c r="AO123" s="679"/>
      <c r="AP123" s="406"/>
    </row>
    <row r="124" spans="1:42" ht="13.9">
      <c r="A124" s="423"/>
      <c r="B124" s="423"/>
      <c r="C124" s="548"/>
      <c r="E124" s="680"/>
      <c r="F124" s="423"/>
      <c r="G124" s="423"/>
      <c r="H124" s="423"/>
      <c r="I124" s="423"/>
      <c r="J124" s="423"/>
      <c r="K124" s="681"/>
      <c r="L124" s="670"/>
      <c r="M124" s="423"/>
      <c r="N124" s="423"/>
      <c r="O124" s="423"/>
      <c r="P124" s="672"/>
      <c r="Q124" s="673"/>
      <c r="R124" s="423"/>
      <c r="S124" s="674"/>
      <c r="T124" s="674"/>
      <c r="U124" s="675"/>
      <c r="V124" s="676"/>
      <c r="W124" s="676"/>
      <c r="X124" s="676"/>
      <c r="Y124" s="676"/>
      <c r="Z124" s="673"/>
      <c r="AA124" s="423"/>
      <c r="AB124" s="423"/>
      <c r="AC124" s="423"/>
      <c r="AD124" s="550"/>
      <c r="AE124" s="550"/>
      <c r="AF124" s="423"/>
      <c r="AG124" s="423"/>
      <c r="AH124" s="423"/>
      <c r="AI124" s="423"/>
      <c r="AJ124" s="547"/>
      <c r="AK124" s="547"/>
      <c r="AL124" s="682"/>
      <c r="AM124" s="547"/>
      <c r="AN124" s="547"/>
      <c r="AO124" s="679"/>
      <c r="AP124" s="406"/>
    </row>
    <row r="125" spans="1:42" ht="13.9">
      <c r="A125" s="423"/>
      <c r="B125" s="423"/>
      <c r="C125" s="548"/>
      <c r="E125" s="680"/>
      <c r="F125" s="423"/>
      <c r="G125" s="423"/>
      <c r="H125" s="423"/>
      <c r="I125" s="423"/>
      <c r="J125" s="423"/>
      <c r="K125" s="681"/>
      <c r="L125" s="670"/>
      <c r="M125" s="423"/>
      <c r="N125" s="423"/>
      <c r="O125" s="423"/>
      <c r="P125" s="672"/>
      <c r="Q125" s="673"/>
      <c r="R125" s="423"/>
      <c r="S125" s="674"/>
      <c r="T125" s="674"/>
      <c r="U125" s="675"/>
      <c r="V125" s="676"/>
      <c r="W125" s="676"/>
      <c r="X125" s="676"/>
      <c r="Y125" s="676"/>
      <c r="Z125" s="673"/>
      <c r="AA125" s="423"/>
      <c r="AB125" s="423"/>
      <c r="AC125" s="423"/>
      <c r="AD125" s="550"/>
      <c r="AE125" s="550"/>
      <c r="AF125" s="423"/>
      <c r="AG125" s="423"/>
      <c r="AH125" s="423"/>
      <c r="AI125" s="423"/>
      <c r="AJ125" s="547"/>
      <c r="AK125" s="547"/>
      <c r="AL125" s="682"/>
      <c r="AM125" s="547"/>
      <c r="AN125" s="547"/>
      <c r="AO125" s="679"/>
      <c r="AP125" s="406"/>
    </row>
    <row r="126" spans="1:42" ht="13.9">
      <c r="A126" s="423"/>
      <c r="B126" s="423"/>
      <c r="C126" s="548"/>
      <c r="E126" s="680"/>
      <c r="F126" s="423"/>
      <c r="G126" s="423"/>
      <c r="H126" s="423"/>
      <c r="I126" s="423"/>
      <c r="J126" s="423"/>
      <c r="K126" s="681"/>
      <c r="L126" s="670"/>
      <c r="M126" s="423"/>
      <c r="N126" s="423"/>
      <c r="O126" s="423"/>
      <c r="P126" s="672"/>
      <c r="Q126" s="673"/>
      <c r="R126" s="423"/>
      <c r="S126" s="674"/>
      <c r="T126" s="674"/>
      <c r="U126" s="675"/>
      <c r="V126" s="676"/>
      <c r="W126" s="676"/>
      <c r="X126" s="676"/>
      <c r="Y126" s="676"/>
      <c r="Z126" s="673"/>
      <c r="AA126" s="423"/>
      <c r="AB126" s="423"/>
      <c r="AC126" s="423"/>
      <c r="AD126" s="550"/>
      <c r="AE126" s="550"/>
      <c r="AF126" s="423"/>
      <c r="AG126" s="423"/>
      <c r="AH126" s="423"/>
      <c r="AI126" s="423"/>
      <c r="AJ126" s="547"/>
      <c r="AK126" s="547"/>
      <c r="AL126" s="682"/>
      <c r="AM126" s="547"/>
      <c r="AN126" s="547"/>
      <c r="AO126" s="679"/>
      <c r="AP126" s="406"/>
    </row>
    <row r="127" spans="1:42" ht="13.9">
      <c r="A127" s="423"/>
      <c r="B127" s="423"/>
      <c r="C127" s="548"/>
      <c r="E127" s="680"/>
      <c r="F127" s="423"/>
      <c r="G127" s="423"/>
      <c r="H127" s="423"/>
      <c r="I127" s="423"/>
      <c r="J127" s="423"/>
      <c r="K127" s="681"/>
      <c r="L127" s="670"/>
      <c r="M127" s="423"/>
      <c r="N127" s="423"/>
      <c r="O127" s="423"/>
      <c r="P127" s="672"/>
      <c r="Q127" s="673"/>
      <c r="R127" s="423"/>
      <c r="S127" s="674"/>
      <c r="T127" s="674"/>
      <c r="U127" s="675"/>
      <c r="V127" s="676"/>
      <c r="W127" s="676"/>
      <c r="X127" s="676"/>
      <c r="Y127" s="676"/>
      <c r="Z127" s="673"/>
      <c r="AA127" s="423"/>
      <c r="AB127" s="423"/>
      <c r="AC127" s="423"/>
      <c r="AD127" s="550"/>
      <c r="AE127" s="550"/>
      <c r="AF127" s="423"/>
      <c r="AG127" s="423"/>
      <c r="AH127" s="423"/>
      <c r="AI127" s="423"/>
      <c r="AJ127" s="547"/>
      <c r="AK127" s="547"/>
      <c r="AL127" s="682"/>
      <c r="AM127" s="547"/>
      <c r="AN127" s="547"/>
      <c r="AO127" s="679"/>
      <c r="AP127" s="406"/>
    </row>
    <row r="128" spans="1:42" ht="13.9">
      <c r="A128" s="423"/>
      <c r="B128" s="423"/>
      <c r="C128" s="548"/>
      <c r="E128" s="680"/>
      <c r="F128" s="423"/>
      <c r="G128" s="423"/>
      <c r="H128" s="423"/>
      <c r="I128" s="423"/>
      <c r="J128" s="423"/>
      <c r="K128" s="681"/>
      <c r="L128" s="670"/>
      <c r="M128" s="423"/>
      <c r="N128" s="423"/>
      <c r="O128" s="423"/>
      <c r="P128" s="672"/>
      <c r="Q128" s="673"/>
      <c r="R128" s="423"/>
      <c r="S128" s="674"/>
      <c r="T128" s="674"/>
      <c r="U128" s="675"/>
      <c r="V128" s="676"/>
      <c r="W128" s="676"/>
      <c r="X128" s="676"/>
      <c r="Y128" s="676"/>
      <c r="Z128" s="673"/>
      <c r="AA128" s="423"/>
      <c r="AB128" s="423"/>
      <c r="AC128" s="423"/>
      <c r="AD128" s="550"/>
      <c r="AE128" s="550"/>
      <c r="AF128" s="423"/>
      <c r="AG128" s="423"/>
      <c r="AH128" s="423"/>
      <c r="AI128" s="423"/>
      <c r="AJ128" s="547"/>
      <c r="AK128" s="547"/>
      <c r="AL128" s="682"/>
      <c r="AM128" s="547"/>
      <c r="AN128" s="547"/>
      <c r="AO128" s="679"/>
      <c r="AP128" s="406"/>
    </row>
    <row r="129" spans="1:42" ht="13.9">
      <c r="A129" s="423"/>
      <c r="B129" s="423"/>
      <c r="C129" s="548"/>
      <c r="E129" s="680"/>
      <c r="F129" s="423"/>
      <c r="G129" s="423"/>
      <c r="H129" s="423"/>
      <c r="I129" s="423"/>
      <c r="J129" s="423"/>
      <c r="K129" s="681"/>
      <c r="L129" s="670"/>
      <c r="M129" s="423"/>
      <c r="N129" s="423"/>
      <c r="O129" s="423"/>
      <c r="P129" s="672"/>
      <c r="Q129" s="673"/>
      <c r="R129" s="423"/>
      <c r="S129" s="674"/>
      <c r="T129" s="674"/>
      <c r="U129" s="675"/>
      <c r="V129" s="676"/>
      <c r="W129" s="676"/>
      <c r="X129" s="676"/>
      <c r="Y129" s="676"/>
      <c r="Z129" s="673"/>
      <c r="AA129" s="423"/>
      <c r="AB129" s="423"/>
      <c r="AC129" s="423"/>
      <c r="AD129" s="550"/>
      <c r="AE129" s="550"/>
      <c r="AF129" s="423"/>
      <c r="AG129" s="423"/>
      <c r="AH129" s="423"/>
      <c r="AI129" s="423"/>
      <c r="AJ129" s="547"/>
      <c r="AK129" s="547"/>
      <c r="AL129" s="682"/>
      <c r="AM129" s="547"/>
      <c r="AN129" s="547"/>
      <c r="AO129" s="679"/>
      <c r="AP129" s="406"/>
    </row>
    <row r="130" spans="1:42" ht="13.9">
      <c r="A130" s="423"/>
      <c r="B130" s="423"/>
      <c r="C130" s="548"/>
      <c r="E130" s="680"/>
      <c r="F130" s="423"/>
      <c r="G130" s="423"/>
      <c r="H130" s="423"/>
      <c r="I130" s="423"/>
      <c r="J130" s="423"/>
      <c r="K130" s="681"/>
      <c r="L130" s="670"/>
      <c r="M130" s="423"/>
      <c r="N130" s="423"/>
      <c r="O130" s="423"/>
      <c r="P130" s="672"/>
      <c r="Q130" s="673"/>
      <c r="R130" s="423"/>
      <c r="S130" s="674"/>
      <c r="T130" s="674"/>
      <c r="U130" s="675"/>
      <c r="V130" s="676"/>
      <c r="W130" s="676"/>
      <c r="X130" s="676"/>
      <c r="Y130" s="676"/>
      <c r="Z130" s="673"/>
      <c r="AA130" s="423"/>
      <c r="AB130" s="423"/>
      <c r="AC130" s="423"/>
      <c r="AD130" s="550"/>
      <c r="AE130" s="550"/>
      <c r="AF130" s="423"/>
      <c r="AG130" s="423"/>
      <c r="AH130" s="423"/>
      <c r="AI130" s="423"/>
      <c r="AJ130" s="547"/>
      <c r="AK130" s="547"/>
      <c r="AL130" s="682"/>
      <c r="AM130" s="547"/>
      <c r="AN130" s="547"/>
      <c r="AO130" s="679"/>
      <c r="AP130" s="406"/>
    </row>
    <row r="131" spans="1:42" ht="13.9">
      <c r="A131" s="423"/>
      <c r="B131" s="423"/>
      <c r="C131" s="548"/>
      <c r="E131" s="680"/>
      <c r="F131" s="423"/>
      <c r="G131" s="423"/>
      <c r="H131" s="423"/>
      <c r="I131" s="423"/>
      <c r="J131" s="423"/>
      <c r="K131" s="681"/>
      <c r="L131" s="670"/>
      <c r="M131" s="423"/>
      <c r="N131" s="423"/>
      <c r="O131" s="423"/>
      <c r="P131" s="672"/>
      <c r="Q131" s="673"/>
      <c r="R131" s="423"/>
      <c r="S131" s="674"/>
      <c r="T131" s="674"/>
      <c r="U131" s="675"/>
      <c r="V131" s="676"/>
      <c r="W131" s="676"/>
      <c r="X131" s="676"/>
      <c r="Y131" s="676"/>
      <c r="Z131" s="673"/>
      <c r="AA131" s="423"/>
      <c r="AB131" s="423"/>
      <c r="AC131" s="423"/>
      <c r="AD131" s="550"/>
      <c r="AE131" s="550"/>
      <c r="AF131" s="423"/>
      <c r="AG131" s="423"/>
      <c r="AH131" s="423"/>
      <c r="AI131" s="677"/>
      <c r="AJ131" s="547"/>
      <c r="AK131" s="547"/>
      <c r="AL131" s="682"/>
      <c r="AM131" s="547"/>
      <c r="AN131" s="547"/>
      <c r="AO131" s="679"/>
      <c r="AP131" s="406"/>
    </row>
    <row r="132" spans="1:42" ht="13.9">
      <c r="A132" s="423"/>
      <c r="B132" s="423"/>
      <c r="C132" s="548"/>
      <c r="E132" s="680"/>
      <c r="F132" s="423"/>
      <c r="G132" s="423"/>
      <c r="H132" s="423"/>
      <c r="I132" s="423"/>
      <c r="J132" s="423"/>
      <c r="K132" s="681"/>
      <c r="L132" s="670"/>
      <c r="M132" s="423"/>
      <c r="N132" s="423"/>
      <c r="O132" s="423"/>
      <c r="P132" s="672"/>
      <c r="Q132" s="673"/>
      <c r="R132" s="423"/>
      <c r="S132" s="674"/>
      <c r="T132" s="674"/>
      <c r="U132" s="675"/>
      <c r="V132" s="676"/>
      <c r="W132" s="676"/>
      <c r="X132" s="676"/>
      <c r="Y132" s="676"/>
      <c r="Z132" s="673"/>
      <c r="AA132" s="423"/>
      <c r="AB132" s="423"/>
      <c r="AC132" s="423"/>
      <c r="AD132" s="550"/>
      <c r="AE132" s="550"/>
      <c r="AF132" s="423"/>
      <c r="AG132" s="423"/>
      <c r="AH132" s="423"/>
      <c r="AI132" s="677"/>
      <c r="AJ132" s="547"/>
      <c r="AK132" s="547"/>
      <c r="AL132" s="682"/>
      <c r="AM132" s="547"/>
      <c r="AN132" s="547"/>
      <c r="AO132" s="679"/>
      <c r="AP132" s="406"/>
    </row>
    <row r="133" spans="1:42" ht="20.100000000000001" customHeight="1">
      <c r="A133" s="423"/>
      <c r="B133" s="423"/>
      <c r="C133" s="548"/>
      <c r="E133" s="680"/>
      <c r="F133" s="423"/>
      <c r="G133" s="423"/>
      <c r="H133" s="423"/>
      <c r="I133" s="423"/>
      <c r="J133" s="423"/>
      <c r="K133" s="681"/>
      <c r="L133" s="670"/>
      <c r="M133" s="423"/>
      <c r="N133" s="423"/>
      <c r="O133" s="423"/>
      <c r="P133" s="672"/>
      <c r="Q133" s="673"/>
      <c r="R133" s="423"/>
      <c r="S133" s="674"/>
      <c r="T133" s="674"/>
      <c r="U133" s="675"/>
      <c r="V133" s="676"/>
      <c r="W133" s="676"/>
      <c r="X133" s="676"/>
      <c r="Y133" s="676"/>
      <c r="Z133" s="673"/>
      <c r="AA133" s="423"/>
      <c r="AB133" s="423"/>
      <c r="AC133" s="423"/>
      <c r="AD133" s="550"/>
      <c r="AE133" s="550"/>
      <c r="AF133" s="423"/>
      <c r="AG133" s="423"/>
      <c r="AH133" s="423"/>
      <c r="AI133" s="423"/>
      <c r="AJ133" s="547"/>
      <c r="AK133" s="547"/>
      <c r="AL133" s="682"/>
      <c r="AM133" s="547"/>
      <c r="AN133" s="547"/>
      <c r="AO133" s="679"/>
      <c r="AP133" s="406"/>
    </row>
    <row r="134" spans="1:42" ht="20.100000000000001" customHeight="1">
      <c r="A134" s="423"/>
      <c r="B134" s="423"/>
      <c r="C134" s="548"/>
      <c r="E134" s="680"/>
      <c r="F134" s="423"/>
      <c r="G134" s="423"/>
      <c r="H134" s="423"/>
      <c r="I134" s="423"/>
      <c r="J134" s="423"/>
      <c r="K134" s="681"/>
      <c r="L134" s="670"/>
      <c r="M134" s="423"/>
      <c r="N134" s="423"/>
      <c r="O134" s="423"/>
      <c r="P134" s="672"/>
      <c r="Q134" s="673"/>
      <c r="R134" s="423"/>
      <c r="S134" s="674"/>
      <c r="T134" s="674"/>
      <c r="U134" s="675"/>
      <c r="V134" s="676"/>
      <c r="W134" s="676"/>
      <c r="X134" s="676"/>
      <c r="Y134" s="676"/>
      <c r="Z134" s="673"/>
      <c r="AA134" s="423"/>
      <c r="AB134" s="423"/>
      <c r="AC134" s="423"/>
      <c r="AD134" s="550"/>
      <c r="AE134" s="550"/>
      <c r="AF134" s="423"/>
      <c r="AG134" s="423"/>
      <c r="AH134" s="423"/>
      <c r="AI134" s="677"/>
      <c r="AJ134" s="547"/>
      <c r="AK134" s="547"/>
      <c r="AL134" s="682"/>
      <c r="AM134" s="547"/>
      <c r="AN134" s="547"/>
      <c r="AO134" s="679"/>
      <c r="AP134" s="406"/>
    </row>
    <row r="135" spans="1:42" ht="20.100000000000001" customHeight="1">
      <c r="A135" s="423"/>
      <c r="B135" s="423"/>
      <c r="C135" s="548"/>
      <c r="E135" s="680"/>
      <c r="F135" s="423"/>
      <c r="G135" s="423"/>
      <c r="H135" s="423"/>
      <c r="I135" s="423"/>
      <c r="J135" s="423"/>
      <c r="K135" s="681"/>
      <c r="L135" s="670"/>
      <c r="M135" s="423"/>
      <c r="N135" s="423"/>
      <c r="O135" s="423"/>
      <c r="P135" s="672"/>
      <c r="Q135" s="673"/>
      <c r="R135" s="423"/>
      <c r="S135" s="674"/>
      <c r="T135" s="674"/>
      <c r="U135" s="675"/>
      <c r="V135" s="676"/>
      <c r="W135" s="676"/>
      <c r="X135" s="676"/>
      <c r="Y135" s="676"/>
      <c r="Z135" s="673"/>
      <c r="AA135" s="423"/>
      <c r="AB135" s="423"/>
      <c r="AC135" s="423"/>
      <c r="AD135" s="550"/>
      <c r="AE135" s="550"/>
      <c r="AF135" s="423"/>
      <c r="AG135" s="423"/>
      <c r="AH135" s="423"/>
      <c r="AI135" s="423"/>
      <c r="AJ135" s="547"/>
      <c r="AK135" s="547"/>
      <c r="AL135" s="682"/>
      <c r="AM135" s="547"/>
      <c r="AN135" s="547"/>
      <c r="AO135" s="679"/>
      <c r="AP135" s="406"/>
    </row>
    <row r="136" spans="1:42" ht="20.100000000000001" customHeight="1">
      <c r="A136" s="423"/>
      <c r="B136" s="423"/>
      <c r="C136" s="548"/>
      <c r="E136" s="680"/>
      <c r="F136" s="423"/>
      <c r="G136" s="423"/>
      <c r="H136" s="423"/>
      <c r="I136" s="423"/>
      <c r="J136" s="423"/>
      <c r="K136" s="681"/>
      <c r="L136" s="670"/>
      <c r="M136" s="423"/>
      <c r="N136" s="423"/>
      <c r="O136" s="423"/>
      <c r="P136" s="672"/>
      <c r="Q136" s="673"/>
      <c r="R136" s="423"/>
      <c r="S136" s="674"/>
      <c r="T136" s="674"/>
      <c r="U136" s="675"/>
      <c r="V136" s="676"/>
      <c r="W136" s="676"/>
      <c r="X136" s="676"/>
      <c r="Y136" s="676"/>
      <c r="Z136" s="673"/>
      <c r="AA136" s="423"/>
      <c r="AB136" s="423"/>
      <c r="AC136" s="423"/>
      <c r="AD136" s="550"/>
      <c r="AE136" s="550"/>
      <c r="AF136" s="423"/>
      <c r="AG136" s="423"/>
      <c r="AH136" s="423"/>
      <c r="AI136" s="423"/>
      <c r="AJ136" s="547"/>
      <c r="AK136" s="547"/>
      <c r="AL136" s="682"/>
      <c r="AM136" s="547"/>
      <c r="AN136" s="547"/>
      <c r="AO136" s="679"/>
      <c r="AP136" s="406"/>
    </row>
    <row r="137" spans="1:42" ht="20.100000000000001" customHeight="1">
      <c r="A137" s="423"/>
      <c r="B137" s="423"/>
      <c r="C137" s="548"/>
      <c r="E137" s="680"/>
      <c r="F137" s="423"/>
      <c r="G137" s="423"/>
      <c r="H137" s="423"/>
      <c r="I137" s="423"/>
      <c r="J137" s="423"/>
      <c r="K137" s="681"/>
      <c r="L137" s="670"/>
      <c r="M137" s="423"/>
      <c r="N137" s="423"/>
      <c r="O137" s="423"/>
      <c r="P137" s="672"/>
      <c r="Q137" s="673"/>
      <c r="R137" s="676"/>
      <c r="S137" s="674"/>
      <c r="T137" s="674"/>
      <c r="U137" s="675"/>
      <c r="V137" s="676"/>
      <c r="W137" s="676"/>
      <c r="X137" s="676"/>
      <c r="Y137" s="676"/>
      <c r="Z137" s="673"/>
      <c r="AA137" s="423"/>
      <c r="AB137" s="423"/>
      <c r="AC137" s="423"/>
      <c r="AD137" s="550"/>
      <c r="AE137" s="550"/>
      <c r="AF137" s="423"/>
      <c r="AG137" s="423"/>
      <c r="AH137" s="423"/>
      <c r="AI137" s="423"/>
      <c r="AJ137" s="547"/>
      <c r="AK137" s="547"/>
      <c r="AL137" s="682"/>
      <c r="AM137" s="547"/>
      <c r="AN137" s="547"/>
      <c r="AO137" s="679"/>
      <c r="AP137" s="406"/>
    </row>
    <row r="138" spans="1:42" ht="20.100000000000001" customHeight="1">
      <c r="A138" s="423"/>
      <c r="B138" s="423"/>
      <c r="C138" s="548"/>
      <c r="E138" s="680"/>
      <c r="F138" s="423"/>
      <c r="G138" s="423"/>
      <c r="H138" s="423"/>
      <c r="I138" s="423"/>
      <c r="J138" s="423"/>
      <c r="K138" s="681"/>
      <c r="L138" s="670"/>
      <c r="M138" s="423"/>
      <c r="N138" s="423"/>
      <c r="O138" s="423"/>
      <c r="P138" s="672"/>
      <c r="Q138" s="673"/>
      <c r="R138" s="423"/>
      <c r="S138" s="674"/>
      <c r="T138" s="674"/>
      <c r="U138" s="675"/>
      <c r="V138" s="676"/>
      <c r="W138" s="676"/>
      <c r="X138" s="676"/>
      <c r="Y138" s="676"/>
      <c r="Z138" s="673"/>
      <c r="AA138" s="423"/>
      <c r="AB138" s="423"/>
      <c r="AC138" s="423"/>
      <c r="AD138" s="550"/>
      <c r="AE138" s="550"/>
      <c r="AF138" s="423"/>
      <c r="AG138" s="423"/>
      <c r="AH138" s="423"/>
      <c r="AI138" s="423"/>
      <c r="AJ138" s="547"/>
      <c r="AK138" s="547"/>
      <c r="AL138" s="682"/>
      <c r="AM138" s="547"/>
      <c r="AN138" s="547"/>
      <c r="AO138" s="679"/>
      <c r="AP138" s="406"/>
    </row>
    <row r="139" spans="1:42" ht="20.100000000000001" customHeight="1">
      <c r="A139" s="423"/>
      <c r="B139" s="423"/>
      <c r="C139" s="548"/>
      <c r="E139" s="680"/>
      <c r="F139" s="423"/>
      <c r="G139" s="423"/>
      <c r="H139" s="423"/>
      <c r="I139" s="423"/>
      <c r="J139" s="423"/>
      <c r="K139" s="681"/>
      <c r="L139" s="670"/>
      <c r="M139" s="423"/>
      <c r="N139" s="423"/>
      <c r="O139" s="423"/>
      <c r="P139" s="672"/>
      <c r="Q139" s="673"/>
      <c r="R139" s="423"/>
      <c r="S139" s="674"/>
      <c r="T139" s="674"/>
      <c r="U139" s="675"/>
      <c r="V139" s="676"/>
      <c r="W139" s="676"/>
      <c r="X139" s="676"/>
      <c r="Y139" s="676"/>
      <c r="Z139" s="673"/>
      <c r="AA139" s="423"/>
      <c r="AB139" s="423"/>
      <c r="AC139" s="423"/>
      <c r="AD139" s="550"/>
      <c r="AE139" s="550"/>
      <c r="AF139" s="423"/>
      <c r="AG139" s="423"/>
      <c r="AH139" s="423"/>
      <c r="AI139" s="423"/>
      <c r="AJ139" s="547"/>
      <c r="AK139" s="547"/>
      <c r="AL139" s="682"/>
      <c r="AM139" s="547"/>
      <c r="AN139" s="547"/>
      <c r="AO139" s="679"/>
      <c r="AP139" s="406"/>
    </row>
    <row r="140" spans="1:42" ht="20.100000000000001" customHeight="1">
      <c r="A140" s="423"/>
      <c r="B140" s="423"/>
      <c r="C140" s="548"/>
      <c r="E140" s="680"/>
      <c r="F140" s="423"/>
      <c r="G140" s="423"/>
      <c r="H140" s="423"/>
      <c r="I140" s="423"/>
      <c r="J140" s="423"/>
      <c r="K140" s="681"/>
      <c r="L140" s="670"/>
      <c r="M140" s="423"/>
      <c r="N140" s="423"/>
      <c r="O140" s="423"/>
      <c r="P140" s="672"/>
      <c r="Q140" s="673"/>
      <c r="R140" s="423"/>
      <c r="S140" s="674"/>
      <c r="T140" s="674"/>
      <c r="U140" s="675"/>
      <c r="V140" s="676"/>
      <c r="W140" s="676"/>
      <c r="X140" s="676"/>
      <c r="Y140" s="676"/>
      <c r="Z140" s="673"/>
      <c r="AA140" s="423"/>
      <c r="AB140" s="423"/>
      <c r="AC140" s="423"/>
      <c r="AD140" s="550"/>
      <c r="AE140" s="550"/>
      <c r="AF140" s="423"/>
      <c r="AG140" s="423"/>
      <c r="AH140" s="423"/>
      <c r="AI140" s="423"/>
      <c r="AJ140" s="547"/>
      <c r="AK140" s="547"/>
      <c r="AL140" s="682"/>
      <c r="AM140" s="547"/>
      <c r="AN140" s="547"/>
      <c r="AO140" s="679"/>
      <c r="AP140" s="406"/>
    </row>
    <row r="141" spans="1:42" ht="20.100000000000001" customHeight="1">
      <c r="A141" s="423"/>
      <c r="B141" s="423"/>
      <c r="C141" s="548"/>
      <c r="E141" s="680"/>
      <c r="F141" s="423"/>
      <c r="G141" s="423"/>
      <c r="H141" s="423"/>
      <c r="I141" s="423"/>
      <c r="J141" s="423"/>
      <c r="K141" s="681"/>
      <c r="L141" s="670"/>
      <c r="M141" s="423"/>
      <c r="N141" s="423"/>
      <c r="O141" s="423"/>
      <c r="P141" s="672"/>
      <c r="Q141" s="673"/>
      <c r="R141" s="423"/>
      <c r="S141" s="674"/>
      <c r="T141" s="674"/>
      <c r="U141" s="675"/>
      <c r="V141" s="676"/>
      <c r="W141" s="676"/>
      <c r="X141" s="676"/>
      <c r="Y141" s="676"/>
      <c r="Z141" s="673"/>
      <c r="AA141" s="423"/>
      <c r="AB141" s="423"/>
      <c r="AC141" s="423"/>
      <c r="AD141" s="550"/>
      <c r="AE141" s="550"/>
      <c r="AF141" s="423"/>
      <c r="AG141" s="423"/>
      <c r="AH141" s="423"/>
      <c r="AI141" s="423"/>
      <c r="AJ141" s="547"/>
      <c r="AK141" s="547"/>
      <c r="AL141" s="682"/>
      <c r="AM141" s="547"/>
      <c r="AN141" s="547"/>
      <c r="AO141" s="679"/>
      <c r="AP141" s="406"/>
    </row>
    <row r="142" spans="1:42" ht="20.100000000000001" customHeight="1">
      <c r="A142" s="423"/>
      <c r="B142" s="423"/>
      <c r="C142" s="548"/>
      <c r="E142" s="680"/>
      <c r="F142" s="423"/>
      <c r="G142" s="423"/>
      <c r="H142" s="423"/>
      <c r="I142" s="423"/>
      <c r="J142" s="423"/>
      <c r="K142" s="681"/>
      <c r="L142" s="670"/>
      <c r="M142" s="423"/>
      <c r="N142" s="423"/>
      <c r="O142" s="423"/>
      <c r="P142" s="672"/>
      <c r="Q142" s="673"/>
      <c r="R142" s="423"/>
      <c r="S142" s="674"/>
      <c r="T142" s="674"/>
      <c r="U142" s="675"/>
      <c r="V142" s="676"/>
      <c r="W142" s="676"/>
      <c r="X142" s="676"/>
      <c r="Y142" s="676"/>
      <c r="Z142" s="673"/>
      <c r="AA142" s="423"/>
      <c r="AB142" s="423"/>
      <c r="AC142" s="423"/>
      <c r="AD142" s="550"/>
      <c r="AE142" s="550"/>
      <c r="AF142" s="423"/>
      <c r="AG142" s="423"/>
      <c r="AH142" s="423"/>
      <c r="AI142" s="677"/>
      <c r="AJ142" s="547"/>
      <c r="AK142" s="547"/>
      <c r="AL142" s="682"/>
      <c r="AM142" s="547"/>
      <c r="AN142" s="547"/>
      <c r="AO142" s="679"/>
      <c r="AP142" s="406"/>
    </row>
    <row r="143" spans="1:42" ht="20.100000000000001" customHeight="1">
      <c r="A143" s="423"/>
      <c r="B143" s="423"/>
      <c r="C143" s="548"/>
      <c r="E143" s="680"/>
      <c r="F143" s="423"/>
      <c r="G143" s="423"/>
      <c r="H143" s="423"/>
      <c r="I143" s="423"/>
      <c r="J143" s="423"/>
      <c r="K143" s="681"/>
      <c r="L143" s="670"/>
      <c r="M143" s="423"/>
      <c r="N143" s="423"/>
      <c r="O143" s="423"/>
      <c r="P143" s="672"/>
      <c r="Q143" s="673"/>
      <c r="R143" s="423"/>
      <c r="S143" s="674"/>
      <c r="T143" s="674"/>
      <c r="U143" s="675"/>
      <c r="V143" s="676"/>
      <c r="W143" s="676"/>
      <c r="X143" s="676"/>
      <c r="Y143" s="676"/>
      <c r="Z143" s="673"/>
      <c r="AA143" s="423"/>
      <c r="AB143" s="423"/>
      <c r="AC143" s="423"/>
      <c r="AD143" s="550"/>
      <c r="AE143" s="550"/>
      <c r="AF143" s="423"/>
      <c r="AG143" s="423"/>
      <c r="AH143" s="423"/>
      <c r="AI143" s="677"/>
      <c r="AJ143" s="547"/>
      <c r="AK143" s="547"/>
      <c r="AL143" s="682"/>
      <c r="AM143" s="547"/>
      <c r="AN143" s="547"/>
      <c r="AO143" s="679"/>
      <c r="AP143" s="406"/>
    </row>
    <row r="144" spans="1:42" ht="20.100000000000001" customHeight="1">
      <c r="A144" s="423"/>
      <c r="B144" s="423"/>
      <c r="C144" s="548"/>
      <c r="E144" s="680"/>
      <c r="F144" s="423"/>
      <c r="G144" s="423"/>
      <c r="H144" s="423"/>
      <c r="I144" s="423"/>
      <c r="J144" s="423"/>
      <c r="K144" s="681"/>
      <c r="L144" s="670"/>
      <c r="M144" s="423"/>
      <c r="N144" s="423"/>
      <c r="O144" s="423"/>
      <c r="P144" s="672"/>
      <c r="Q144" s="673"/>
      <c r="R144" s="423"/>
      <c r="S144" s="674"/>
      <c r="T144" s="674"/>
      <c r="U144" s="675"/>
      <c r="V144" s="676"/>
      <c r="W144" s="676"/>
      <c r="X144" s="676"/>
      <c r="Y144" s="676"/>
      <c r="Z144" s="673"/>
      <c r="AA144" s="423"/>
      <c r="AB144" s="423"/>
      <c r="AC144" s="423"/>
      <c r="AD144" s="550"/>
      <c r="AE144" s="550"/>
      <c r="AF144" s="423"/>
      <c r="AG144" s="423"/>
      <c r="AH144" s="423"/>
      <c r="AI144" s="677"/>
      <c r="AJ144" s="547"/>
      <c r="AK144" s="547"/>
      <c r="AL144" s="682"/>
      <c r="AM144" s="547"/>
      <c r="AN144" s="547"/>
      <c r="AO144" s="679"/>
      <c r="AP144" s="406"/>
    </row>
    <row r="145" spans="1:42" ht="20.100000000000001" customHeight="1">
      <c r="A145" s="423"/>
      <c r="B145" s="423"/>
      <c r="C145" s="548"/>
      <c r="E145" s="680"/>
      <c r="F145" s="423"/>
      <c r="G145" s="423"/>
      <c r="H145" s="423"/>
      <c r="I145" s="423"/>
      <c r="J145" s="423"/>
      <c r="K145" s="681"/>
      <c r="L145" s="670"/>
      <c r="M145" s="423"/>
      <c r="N145" s="423"/>
      <c r="O145" s="423"/>
      <c r="P145" s="672"/>
      <c r="Q145" s="673"/>
      <c r="R145" s="423"/>
      <c r="S145" s="674"/>
      <c r="T145" s="674"/>
      <c r="U145" s="675">
        <f>IFERROR((Table4891112[[#This Row],[Invoice Value]]-Table4891112[[#This Row],[Total cost]])/Table4891112[[#This Row],[Invoice Value]],)</f>
        <v>0</v>
      </c>
      <c r="V145" s="676"/>
      <c r="W145" s="676"/>
      <c r="X145" s="676" t="str">
        <f t="shared" ref="X145:X176" si="33">IF(Q145&gt;0,Q145+3," - ")</f>
        <v xml:space="preserve"> - </v>
      </c>
      <c r="Y145" s="676" t="str">
        <f t="shared" ref="Y145:Y176" si="34">IF(Q145&gt;0,Q145+14," - ")</f>
        <v xml:space="preserve"> - </v>
      </c>
      <c r="Z145" s="673"/>
      <c r="AA145" s="423" t="str">
        <f t="shared" ref="AA145:AA176" ca="1" si="35">IF(P145=0,"-",IF(Z145&gt;0,"Delivered",IF(TODAY()&gt;Y145,"Overdue",IF(TODAY()&lt;Y145,"In Progress"))))</f>
        <v>-</v>
      </c>
      <c r="AB145" s="423"/>
      <c r="AC145" s="423"/>
      <c r="AD145" s="550"/>
      <c r="AE145" s="550"/>
      <c r="AF145" s="423"/>
      <c r="AG145" s="423"/>
      <c r="AH145" s="423"/>
      <c r="AI145" s="677"/>
      <c r="AJ145" s="547"/>
      <c r="AK145" s="547"/>
      <c r="AL145" s="682"/>
      <c r="AM145" s="547"/>
      <c r="AN145" s="547"/>
      <c r="AO145" s="679"/>
      <c r="AP145" s="406"/>
    </row>
    <row r="146" spans="1:42" ht="13.9">
      <c r="A146" s="423"/>
      <c r="B146" s="423"/>
      <c r="C146" s="548"/>
      <c r="E146" s="680"/>
      <c r="F146" s="423"/>
      <c r="G146" s="423"/>
      <c r="H146" s="423"/>
      <c r="I146" s="423"/>
      <c r="J146" s="423"/>
      <c r="K146" s="681"/>
      <c r="L146" s="670"/>
      <c r="M146" s="423"/>
      <c r="N146" s="423"/>
      <c r="O146" s="423"/>
      <c r="P146" s="672"/>
      <c r="Q146" s="673"/>
      <c r="R146" s="423"/>
      <c r="S146" s="674"/>
      <c r="T146" s="674"/>
      <c r="U146" s="675">
        <f>IFERROR((Table4891112[[#This Row],[Invoice Value]]-Table4891112[[#This Row],[Total cost]])/Table4891112[[#This Row],[Invoice Value]],)</f>
        <v>0</v>
      </c>
      <c r="V146" s="676"/>
      <c r="W146" s="676"/>
      <c r="X146" s="676" t="str">
        <f t="shared" si="33"/>
        <v xml:space="preserve"> - </v>
      </c>
      <c r="Y146" s="676" t="str">
        <f t="shared" si="34"/>
        <v xml:space="preserve"> - </v>
      </c>
      <c r="Z146" s="673"/>
      <c r="AA146" s="423" t="str">
        <f t="shared" ca="1" si="35"/>
        <v>-</v>
      </c>
      <c r="AB146" s="423"/>
      <c r="AC146" s="423"/>
      <c r="AD146" s="550"/>
      <c r="AE146" s="550"/>
      <c r="AF146" s="423"/>
      <c r="AG146" s="423"/>
      <c r="AH146" s="423"/>
      <c r="AI146" s="677"/>
      <c r="AJ146" s="547"/>
      <c r="AK146" s="547"/>
      <c r="AL146" s="682"/>
      <c r="AM146" s="547"/>
      <c r="AN146" s="547"/>
      <c r="AO146" s="679"/>
      <c r="AP146" s="406"/>
    </row>
    <row r="147" spans="1:42" ht="13.9">
      <c r="A147" s="423"/>
      <c r="B147" s="423"/>
      <c r="C147" s="548"/>
      <c r="E147" s="680"/>
      <c r="F147" s="423"/>
      <c r="G147" s="423"/>
      <c r="H147" s="423"/>
      <c r="I147" s="423"/>
      <c r="J147" s="423"/>
      <c r="K147" s="681"/>
      <c r="L147" s="670"/>
      <c r="M147" s="423"/>
      <c r="N147" s="423"/>
      <c r="O147" s="423"/>
      <c r="P147" s="672"/>
      <c r="Q147" s="673"/>
      <c r="R147" s="423"/>
      <c r="S147" s="674"/>
      <c r="T147" s="674"/>
      <c r="U147" s="675">
        <f>IFERROR((Table4891112[[#This Row],[Invoice Value]]-Table4891112[[#This Row],[Total cost]])/Table4891112[[#This Row],[Invoice Value]],)</f>
        <v>0</v>
      </c>
      <c r="V147" s="676"/>
      <c r="W147" s="676"/>
      <c r="X147" s="676" t="str">
        <f t="shared" si="33"/>
        <v xml:space="preserve"> - </v>
      </c>
      <c r="Y147" s="676" t="str">
        <f t="shared" si="34"/>
        <v xml:space="preserve"> - </v>
      </c>
      <c r="Z147" s="673"/>
      <c r="AA147" s="423" t="str">
        <f t="shared" ca="1" si="35"/>
        <v>-</v>
      </c>
      <c r="AB147" s="423"/>
      <c r="AC147" s="423"/>
      <c r="AD147" s="550"/>
      <c r="AE147" s="550"/>
      <c r="AF147" s="423"/>
      <c r="AG147" s="423"/>
      <c r="AH147" s="423"/>
      <c r="AI147" s="677"/>
      <c r="AJ147" s="547"/>
      <c r="AK147" s="547"/>
      <c r="AL147" s="682"/>
      <c r="AM147" s="547"/>
      <c r="AN147" s="547"/>
      <c r="AO147" s="679"/>
      <c r="AP147" s="406"/>
    </row>
    <row r="148" spans="1:42" ht="13.9">
      <c r="A148" s="423"/>
      <c r="B148" s="423"/>
      <c r="C148" s="548"/>
      <c r="E148" s="680"/>
      <c r="F148" s="423"/>
      <c r="G148" s="423"/>
      <c r="H148" s="423"/>
      <c r="I148" s="423"/>
      <c r="J148" s="423"/>
      <c r="K148" s="681"/>
      <c r="L148" s="670"/>
      <c r="M148" s="423"/>
      <c r="N148" s="423"/>
      <c r="O148" s="423"/>
      <c r="P148" s="672"/>
      <c r="Q148" s="673"/>
      <c r="R148" s="423"/>
      <c r="S148" s="674"/>
      <c r="T148" s="674"/>
      <c r="U148" s="675">
        <f>IFERROR((Table4891112[[#This Row],[Invoice Value]]-Table4891112[[#This Row],[Total cost]])/Table4891112[[#This Row],[Invoice Value]],)</f>
        <v>0</v>
      </c>
      <c r="V148" s="676"/>
      <c r="W148" s="676"/>
      <c r="X148" s="676" t="str">
        <f t="shared" si="33"/>
        <v xml:space="preserve"> - </v>
      </c>
      <c r="Y148" s="676" t="str">
        <f t="shared" si="34"/>
        <v xml:space="preserve"> - </v>
      </c>
      <c r="Z148" s="673"/>
      <c r="AA148" s="423" t="str">
        <f t="shared" ca="1" si="35"/>
        <v>-</v>
      </c>
      <c r="AB148" s="423"/>
      <c r="AC148" s="423"/>
      <c r="AD148" s="550"/>
      <c r="AE148" s="550"/>
      <c r="AF148" s="423"/>
      <c r="AG148" s="423"/>
      <c r="AH148" s="423"/>
      <c r="AI148" s="423"/>
      <c r="AJ148" s="547"/>
      <c r="AK148" s="547"/>
      <c r="AL148" s="682"/>
      <c r="AM148" s="547"/>
      <c r="AN148" s="547"/>
      <c r="AO148" s="679"/>
      <c r="AP148" s="406"/>
    </row>
    <row r="149" spans="1:42" ht="13.9">
      <c r="A149" s="423"/>
      <c r="B149" s="423"/>
      <c r="C149" s="548"/>
      <c r="E149" s="680"/>
      <c r="F149" s="423"/>
      <c r="G149" s="423"/>
      <c r="H149" s="423"/>
      <c r="I149" s="423"/>
      <c r="J149" s="423"/>
      <c r="K149" s="681"/>
      <c r="L149" s="670"/>
      <c r="M149" s="423"/>
      <c r="N149" s="423"/>
      <c r="O149" s="423"/>
      <c r="P149" s="672"/>
      <c r="Q149" s="673"/>
      <c r="R149" s="423"/>
      <c r="S149" s="674"/>
      <c r="T149" s="674"/>
      <c r="U149" s="675">
        <f>IFERROR((Table4891112[[#This Row],[Invoice Value]]-Table4891112[[#This Row],[Total cost]])/Table4891112[[#This Row],[Invoice Value]],)</f>
        <v>0</v>
      </c>
      <c r="V149" s="676"/>
      <c r="W149" s="676"/>
      <c r="X149" s="676" t="str">
        <f t="shared" si="33"/>
        <v xml:space="preserve"> - </v>
      </c>
      <c r="Y149" s="676" t="str">
        <f t="shared" si="34"/>
        <v xml:space="preserve"> - </v>
      </c>
      <c r="Z149" s="673"/>
      <c r="AA149" s="423" t="str">
        <f t="shared" ca="1" si="35"/>
        <v>-</v>
      </c>
      <c r="AB149" s="423"/>
      <c r="AC149" s="423"/>
      <c r="AD149" s="550"/>
      <c r="AE149" s="550"/>
      <c r="AF149" s="423"/>
      <c r="AG149" s="423"/>
      <c r="AH149" s="423"/>
      <c r="AI149" s="677"/>
      <c r="AJ149" s="547"/>
      <c r="AK149" s="547"/>
      <c r="AL149" s="682"/>
      <c r="AM149" s="547"/>
      <c r="AN149" s="547"/>
      <c r="AO149" s="679"/>
      <c r="AP149" s="406"/>
    </row>
    <row r="150" spans="1:42" ht="13.9">
      <c r="A150" s="423"/>
      <c r="B150" s="423"/>
      <c r="C150" s="548"/>
      <c r="E150" s="680"/>
      <c r="F150" s="423"/>
      <c r="G150" s="423"/>
      <c r="H150" s="423"/>
      <c r="I150" s="423"/>
      <c r="J150" s="423"/>
      <c r="K150" s="681"/>
      <c r="L150" s="670"/>
      <c r="M150" s="423"/>
      <c r="N150" s="423"/>
      <c r="O150" s="423"/>
      <c r="P150" s="672"/>
      <c r="Q150" s="673"/>
      <c r="R150" s="423"/>
      <c r="S150" s="674"/>
      <c r="T150" s="674"/>
      <c r="U150" s="675">
        <f>IFERROR((Table4891112[[#This Row],[Invoice Value]]-Table4891112[[#This Row],[Total cost]])/Table4891112[[#This Row],[Invoice Value]],)</f>
        <v>0</v>
      </c>
      <c r="V150" s="676"/>
      <c r="W150" s="676"/>
      <c r="X150" s="676" t="str">
        <f t="shared" si="33"/>
        <v xml:space="preserve"> - </v>
      </c>
      <c r="Y150" s="676" t="str">
        <f t="shared" si="34"/>
        <v xml:space="preserve"> - </v>
      </c>
      <c r="Z150" s="673"/>
      <c r="AA150" s="423" t="str">
        <f t="shared" ca="1" si="35"/>
        <v>-</v>
      </c>
      <c r="AB150" s="423"/>
      <c r="AC150" s="423"/>
      <c r="AD150" s="550"/>
      <c r="AE150" s="550"/>
      <c r="AF150" s="423"/>
      <c r="AG150" s="423"/>
      <c r="AH150" s="423"/>
      <c r="AI150" s="423"/>
      <c r="AJ150" s="547"/>
      <c r="AK150" s="547"/>
      <c r="AL150" s="682"/>
      <c r="AM150" s="547"/>
      <c r="AN150" s="547"/>
      <c r="AO150" s="679"/>
      <c r="AP150" s="406"/>
    </row>
    <row r="151" spans="1:42" ht="13.9">
      <c r="A151" s="423"/>
      <c r="B151" s="423"/>
      <c r="C151" s="548"/>
      <c r="E151" s="680"/>
      <c r="F151" s="423"/>
      <c r="G151" s="423"/>
      <c r="H151" s="423"/>
      <c r="I151" s="423"/>
      <c r="J151" s="423"/>
      <c r="K151" s="681"/>
      <c r="L151" s="670"/>
      <c r="M151" s="423"/>
      <c r="N151" s="423"/>
      <c r="O151" s="423"/>
      <c r="P151" s="672"/>
      <c r="Q151" s="673"/>
      <c r="R151" s="423"/>
      <c r="S151" s="674"/>
      <c r="T151" s="674"/>
      <c r="U151" s="675">
        <f>IFERROR((Table4891112[[#This Row],[Invoice Value]]-Table4891112[[#This Row],[Total cost]])/Table4891112[[#This Row],[Invoice Value]],)</f>
        <v>0</v>
      </c>
      <c r="V151" s="676"/>
      <c r="W151" s="676"/>
      <c r="X151" s="676" t="str">
        <f t="shared" si="33"/>
        <v xml:space="preserve"> - </v>
      </c>
      <c r="Y151" s="676" t="str">
        <f t="shared" si="34"/>
        <v xml:space="preserve"> - </v>
      </c>
      <c r="Z151" s="673"/>
      <c r="AA151" s="423" t="str">
        <f t="shared" ca="1" si="35"/>
        <v>-</v>
      </c>
      <c r="AB151" s="423"/>
      <c r="AC151" s="423"/>
      <c r="AD151" s="550"/>
      <c r="AE151" s="550"/>
      <c r="AF151" s="423"/>
      <c r="AG151" s="423"/>
      <c r="AH151" s="423"/>
      <c r="AI151" s="423"/>
      <c r="AJ151" s="547"/>
      <c r="AK151" s="547"/>
      <c r="AL151" s="682"/>
      <c r="AM151" s="547"/>
      <c r="AN151" s="547"/>
      <c r="AO151" s="679"/>
      <c r="AP151" s="406"/>
    </row>
    <row r="152" spans="1:42" ht="13.9">
      <c r="A152" s="423"/>
      <c r="B152" s="423"/>
      <c r="C152" s="548"/>
      <c r="E152" s="680"/>
      <c r="F152" s="423"/>
      <c r="G152" s="423"/>
      <c r="H152" s="423"/>
      <c r="I152" s="423"/>
      <c r="J152" s="423"/>
      <c r="K152" s="681"/>
      <c r="L152" s="670"/>
      <c r="M152" s="423"/>
      <c r="N152" s="423"/>
      <c r="O152" s="423"/>
      <c r="P152" s="672"/>
      <c r="Q152" s="673"/>
      <c r="R152" s="676"/>
      <c r="S152" s="674"/>
      <c r="T152" s="674"/>
      <c r="U152" s="675">
        <f>IFERROR((Table4891112[[#This Row],[Invoice Value]]-Table4891112[[#This Row],[Total cost]])/Table4891112[[#This Row],[Invoice Value]],)</f>
        <v>0</v>
      </c>
      <c r="V152" s="676"/>
      <c r="W152" s="676"/>
      <c r="X152" s="676" t="str">
        <f t="shared" si="33"/>
        <v xml:space="preserve"> - </v>
      </c>
      <c r="Y152" s="676" t="str">
        <f t="shared" si="34"/>
        <v xml:space="preserve"> - </v>
      </c>
      <c r="Z152" s="673"/>
      <c r="AA152" s="423" t="str">
        <f t="shared" ca="1" si="35"/>
        <v>-</v>
      </c>
      <c r="AB152" s="423"/>
      <c r="AC152" s="423"/>
      <c r="AD152" s="550"/>
      <c r="AE152" s="550"/>
      <c r="AF152" s="423"/>
      <c r="AG152" s="423"/>
      <c r="AH152" s="423"/>
      <c r="AI152" s="677"/>
      <c r="AJ152" s="547"/>
      <c r="AK152" s="547"/>
      <c r="AL152" s="682"/>
      <c r="AM152" s="547"/>
      <c r="AN152" s="547"/>
      <c r="AO152" s="679"/>
      <c r="AP152" s="406"/>
    </row>
    <row r="153" spans="1:42" ht="13.9">
      <c r="A153" s="423"/>
      <c r="B153" s="423"/>
      <c r="C153" s="548"/>
      <c r="E153" s="680"/>
      <c r="F153" s="423"/>
      <c r="G153" s="423"/>
      <c r="H153" s="423"/>
      <c r="I153" s="423"/>
      <c r="J153" s="423"/>
      <c r="K153" s="681"/>
      <c r="L153" s="670"/>
      <c r="M153" s="423"/>
      <c r="N153" s="423"/>
      <c r="O153" s="423"/>
      <c r="P153" s="672"/>
      <c r="Q153" s="673"/>
      <c r="R153" s="423"/>
      <c r="S153" s="674"/>
      <c r="T153" s="674"/>
      <c r="U153" s="675">
        <f>IFERROR((Table4891112[[#This Row],[Invoice Value]]-Table4891112[[#This Row],[Total cost]])/Table4891112[[#This Row],[Invoice Value]],)</f>
        <v>0</v>
      </c>
      <c r="V153" s="676"/>
      <c r="W153" s="676"/>
      <c r="X153" s="676" t="str">
        <f t="shared" si="33"/>
        <v xml:space="preserve"> - </v>
      </c>
      <c r="Y153" s="676" t="str">
        <f t="shared" si="34"/>
        <v xml:space="preserve"> - </v>
      </c>
      <c r="Z153" s="673"/>
      <c r="AA153" s="423" t="str">
        <f t="shared" ca="1" si="35"/>
        <v>-</v>
      </c>
      <c r="AB153" s="423"/>
      <c r="AC153" s="423"/>
      <c r="AD153" s="550"/>
      <c r="AE153" s="550"/>
      <c r="AF153" s="423"/>
      <c r="AG153" s="423"/>
      <c r="AH153" s="423"/>
      <c r="AI153" s="677"/>
      <c r="AJ153" s="547"/>
      <c r="AK153" s="547"/>
      <c r="AL153" s="682"/>
      <c r="AM153" s="547"/>
      <c r="AN153" s="547"/>
      <c r="AO153" s="679"/>
      <c r="AP153" s="406"/>
    </row>
    <row r="154" spans="1:42" ht="13.9">
      <c r="A154" s="423"/>
      <c r="B154" s="423"/>
      <c r="C154" s="548"/>
      <c r="E154" s="680"/>
      <c r="F154" s="423"/>
      <c r="G154" s="423"/>
      <c r="H154" s="423"/>
      <c r="I154" s="423"/>
      <c r="J154" s="423"/>
      <c r="K154" s="681"/>
      <c r="L154" s="670"/>
      <c r="M154" s="423"/>
      <c r="N154" s="423"/>
      <c r="O154" s="423"/>
      <c r="P154" s="672"/>
      <c r="Q154" s="673"/>
      <c r="R154" s="423"/>
      <c r="S154" s="674"/>
      <c r="T154" s="674"/>
      <c r="U154" s="675">
        <f>IFERROR((Table4891112[[#This Row],[Invoice Value]]-Table4891112[[#This Row],[Total cost]])/Table4891112[[#This Row],[Invoice Value]],)</f>
        <v>0</v>
      </c>
      <c r="V154" s="676"/>
      <c r="W154" s="676"/>
      <c r="X154" s="676" t="str">
        <f t="shared" si="33"/>
        <v xml:space="preserve"> - </v>
      </c>
      <c r="Y154" s="676" t="str">
        <f t="shared" si="34"/>
        <v xml:space="preserve"> - </v>
      </c>
      <c r="Z154" s="673"/>
      <c r="AA154" s="423" t="str">
        <f t="shared" ca="1" si="35"/>
        <v>-</v>
      </c>
      <c r="AB154" s="423"/>
      <c r="AC154" s="423"/>
      <c r="AD154" s="550"/>
      <c r="AE154" s="550"/>
      <c r="AF154" s="423"/>
      <c r="AG154" s="423"/>
      <c r="AH154" s="423"/>
      <c r="AI154" s="677"/>
      <c r="AJ154" s="547"/>
      <c r="AK154" s="547"/>
      <c r="AL154" s="682"/>
      <c r="AM154" s="547"/>
      <c r="AN154" s="547"/>
      <c r="AO154" s="679"/>
      <c r="AP154" s="406"/>
    </row>
    <row r="155" spans="1:42" ht="13.9">
      <c r="A155" s="423"/>
      <c r="B155" s="423"/>
      <c r="C155" s="548"/>
      <c r="E155" s="680"/>
      <c r="F155" s="423"/>
      <c r="G155" s="423"/>
      <c r="H155" s="423"/>
      <c r="I155" s="423"/>
      <c r="J155" s="423"/>
      <c r="K155" s="681"/>
      <c r="L155" s="670"/>
      <c r="M155" s="423"/>
      <c r="N155" s="423"/>
      <c r="O155" s="423"/>
      <c r="P155" s="672"/>
      <c r="Q155" s="673"/>
      <c r="R155" s="423"/>
      <c r="S155" s="674"/>
      <c r="T155" s="674"/>
      <c r="U155" s="675">
        <f>IFERROR((Table4891112[[#This Row],[Invoice Value]]-Table4891112[[#This Row],[Total cost]])/Table4891112[[#This Row],[Invoice Value]],)</f>
        <v>0</v>
      </c>
      <c r="V155" s="676"/>
      <c r="W155" s="676"/>
      <c r="X155" s="676" t="str">
        <f t="shared" si="33"/>
        <v xml:space="preserve"> - </v>
      </c>
      <c r="Y155" s="676" t="str">
        <f t="shared" si="34"/>
        <v xml:space="preserve"> - </v>
      </c>
      <c r="Z155" s="673"/>
      <c r="AA155" s="423" t="str">
        <f t="shared" ca="1" si="35"/>
        <v>-</v>
      </c>
      <c r="AB155" s="423"/>
      <c r="AC155" s="423"/>
      <c r="AD155" s="550"/>
      <c r="AE155" s="550"/>
      <c r="AF155" s="423"/>
      <c r="AG155" s="423"/>
      <c r="AH155" s="423"/>
      <c r="AI155" s="677"/>
      <c r="AJ155" s="547"/>
      <c r="AK155" s="547"/>
      <c r="AL155" s="682"/>
      <c r="AM155" s="547"/>
      <c r="AN155" s="547"/>
      <c r="AO155" s="679"/>
      <c r="AP155" s="406"/>
    </row>
    <row r="156" spans="1:42" ht="13.9">
      <c r="A156" s="423"/>
      <c r="B156" s="423"/>
      <c r="C156" s="548"/>
      <c r="E156" s="680"/>
      <c r="F156" s="423"/>
      <c r="G156" s="423"/>
      <c r="H156" s="423"/>
      <c r="I156" s="423"/>
      <c r="J156" s="423"/>
      <c r="K156" s="681"/>
      <c r="L156" s="670"/>
      <c r="M156" s="423"/>
      <c r="N156" s="423"/>
      <c r="O156" s="423"/>
      <c r="P156" s="672"/>
      <c r="Q156" s="673"/>
      <c r="R156" s="423"/>
      <c r="S156" s="674"/>
      <c r="T156" s="674"/>
      <c r="U156" s="675">
        <f>IFERROR((Table4891112[[#This Row],[Invoice Value]]-Table4891112[[#This Row],[Total cost]])/Table4891112[[#This Row],[Invoice Value]],)</f>
        <v>0</v>
      </c>
      <c r="V156" s="676"/>
      <c r="W156" s="676"/>
      <c r="X156" s="676" t="str">
        <f t="shared" si="33"/>
        <v xml:space="preserve"> - </v>
      </c>
      <c r="Y156" s="676" t="str">
        <f t="shared" si="34"/>
        <v xml:space="preserve"> - </v>
      </c>
      <c r="Z156" s="673"/>
      <c r="AA156" s="423" t="str">
        <f t="shared" ca="1" si="35"/>
        <v>-</v>
      </c>
      <c r="AB156" s="423"/>
      <c r="AC156" s="423"/>
      <c r="AD156" s="550"/>
      <c r="AE156" s="550"/>
      <c r="AF156" s="423"/>
      <c r="AG156" s="423"/>
      <c r="AH156" s="423"/>
      <c r="AI156" s="677"/>
      <c r="AJ156" s="547"/>
      <c r="AK156" s="547"/>
      <c r="AL156" s="682"/>
      <c r="AM156" s="547"/>
      <c r="AN156" s="547"/>
      <c r="AO156" s="679"/>
      <c r="AP156" s="406"/>
    </row>
    <row r="157" spans="1:42" ht="20.100000000000001" customHeight="1">
      <c r="A157" s="423"/>
      <c r="B157" s="423"/>
      <c r="C157" s="548"/>
      <c r="E157" s="680"/>
      <c r="F157" s="423"/>
      <c r="G157" s="423"/>
      <c r="H157" s="423"/>
      <c r="I157" s="423"/>
      <c r="J157" s="423"/>
      <c r="K157" s="681"/>
      <c r="L157" s="670"/>
      <c r="M157" s="423"/>
      <c r="N157" s="423"/>
      <c r="O157" s="423"/>
      <c r="P157" s="672"/>
      <c r="Q157" s="673"/>
      <c r="R157" s="423"/>
      <c r="S157" s="674"/>
      <c r="T157" s="674"/>
      <c r="U157" s="675">
        <f>IFERROR((Table4891112[[#This Row],[Invoice Value]]-Table4891112[[#This Row],[Total cost]])/Table4891112[[#This Row],[Invoice Value]],)</f>
        <v>0</v>
      </c>
      <c r="V157" s="676"/>
      <c r="W157" s="676"/>
      <c r="X157" s="676" t="str">
        <f t="shared" si="33"/>
        <v xml:space="preserve"> - </v>
      </c>
      <c r="Y157" s="676" t="str">
        <f t="shared" si="34"/>
        <v xml:space="preserve"> - </v>
      </c>
      <c r="Z157" s="673"/>
      <c r="AA157" s="423" t="str">
        <f t="shared" ca="1" si="35"/>
        <v>-</v>
      </c>
      <c r="AB157" s="423"/>
      <c r="AC157" s="423"/>
      <c r="AD157" s="550"/>
      <c r="AE157" s="550"/>
      <c r="AF157" s="423"/>
      <c r="AG157" s="423"/>
      <c r="AH157" s="423"/>
      <c r="AI157" s="677"/>
      <c r="AJ157" s="547"/>
      <c r="AK157" s="547"/>
      <c r="AL157" s="682"/>
      <c r="AM157" s="547"/>
      <c r="AN157" s="547"/>
      <c r="AO157" s="679"/>
      <c r="AP157" s="406"/>
    </row>
    <row r="158" spans="1:42" ht="20.100000000000001" customHeight="1">
      <c r="A158" s="423"/>
      <c r="B158" s="423"/>
      <c r="C158" s="548"/>
      <c r="E158" s="680"/>
      <c r="F158" s="423"/>
      <c r="G158" s="423"/>
      <c r="H158" s="423"/>
      <c r="I158" s="423"/>
      <c r="J158" s="423"/>
      <c r="K158" s="681"/>
      <c r="L158" s="670"/>
      <c r="M158" s="423"/>
      <c r="N158" s="423"/>
      <c r="O158" s="423"/>
      <c r="P158" s="672"/>
      <c r="Q158" s="673"/>
      <c r="R158" s="423"/>
      <c r="S158" s="674"/>
      <c r="T158" s="674"/>
      <c r="U158" s="675">
        <f>IFERROR((Table4891112[[#This Row],[Invoice Value]]-Table4891112[[#This Row],[Total cost]])/Table4891112[[#This Row],[Invoice Value]],)</f>
        <v>0</v>
      </c>
      <c r="V158" s="676"/>
      <c r="W158" s="676"/>
      <c r="X158" s="676" t="str">
        <f t="shared" si="33"/>
        <v xml:space="preserve"> - </v>
      </c>
      <c r="Y158" s="676" t="str">
        <f t="shared" si="34"/>
        <v xml:space="preserve"> - </v>
      </c>
      <c r="Z158" s="673"/>
      <c r="AA158" s="423" t="str">
        <f t="shared" ca="1" si="35"/>
        <v>-</v>
      </c>
      <c r="AB158" s="423"/>
      <c r="AC158" s="423"/>
      <c r="AD158" s="550"/>
      <c r="AE158" s="550"/>
      <c r="AF158" s="423"/>
      <c r="AG158" s="423"/>
      <c r="AH158" s="423"/>
      <c r="AI158" s="677"/>
      <c r="AJ158" s="547"/>
      <c r="AK158" s="547"/>
      <c r="AL158" s="682"/>
      <c r="AM158" s="547"/>
      <c r="AN158" s="547"/>
      <c r="AO158" s="679"/>
      <c r="AP158" s="406"/>
    </row>
    <row r="159" spans="1:42" ht="20.100000000000001" customHeight="1">
      <c r="A159" s="423"/>
      <c r="B159" s="423"/>
      <c r="C159" s="548"/>
      <c r="E159" s="680"/>
      <c r="F159" s="423"/>
      <c r="G159" s="423"/>
      <c r="H159" s="423"/>
      <c r="I159" s="423"/>
      <c r="J159" s="423"/>
      <c r="K159" s="681"/>
      <c r="L159" s="670"/>
      <c r="M159" s="423"/>
      <c r="N159" s="423"/>
      <c r="O159" s="423"/>
      <c r="P159" s="672"/>
      <c r="Q159" s="673"/>
      <c r="R159" s="423"/>
      <c r="S159" s="674"/>
      <c r="T159" s="674"/>
      <c r="U159" s="675">
        <f>IFERROR((Table4891112[[#This Row],[Invoice Value]]-Table4891112[[#This Row],[Total cost]])/Table4891112[[#This Row],[Invoice Value]],)</f>
        <v>0</v>
      </c>
      <c r="V159" s="676"/>
      <c r="W159" s="676"/>
      <c r="X159" s="676" t="str">
        <f t="shared" si="33"/>
        <v xml:space="preserve"> - </v>
      </c>
      <c r="Y159" s="676" t="str">
        <f t="shared" si="34"/>
        <v xml:space="preserve"> - </v>
      </c>
      <c r="Z159" s="673"/>
      <c r="AA159" s="423" t="str">
        <f t="shared" ca="1" si="35"/>
        <v>-</v>
      </c>
      <c r="AB159" s="423"/>
      <c r="AC159" s="423"/>
      <c r="AD159" s="550"/>
      <c r="AE159" s="550"/>
      <c r="AF159" s="423"/>
      <c r="AG159" s="423"/>
      <c r="AH159" s="423"/>
      <c r="AI159" s="677"/>
      <c r="AJ159" s="547"/>
      <c r="AK159" s="547"/>
      <c r="AL159" s="682"/>
      <c r="AM159" s="547"/>
      <c r="AN159" s="547"/>
      <c r="AO159" s="679"/>
      <c r="AP159" s="406"/>
    </row>
    <row r="160" spans="1:42" ht="20.100000000000001" customHeight="1">
      <c r="A160" s="423"/>
      <c r="B160" s="423"/>
      <c r="C160" s="548"/>
      <c r="E160" s="680"/>
      <c r="F160" s="423"/>
      <c r="G160" s="423"/>
      <c r="H160" s="423"/>
      <c r="I160" s="423"/>
      <c r="J160" s="423"/>
      <c r="K160" s="681"/>
      <c r="L160" s="670"/>
      <c r="M160" s="423"/>
      <c r="N160" s="423"/>
      <c r="O160" s="423"/>
      <c r="P160" s="672"/>
      <c r="Q160" s="673"/>
      <c r="R160" s="423"/>
      <c r="S160" s="674"/>
      <c r="T160" s="674"/>
      <c r="U160" s="675">
        <f>IFERROR((Table4891112[[#This Row],[Invoice Value]]-Table4891112[[#This Row],[Total cost]])/Table4891112[[#This Row],[Invoice Value]],)</f>
        <v>0</v>
      </c>
      <c r="V160" s="676"/>
      <c r="W160" s="676"/>
      <c r="X160" s="676" t="str">
        <f t="shared" si="33"/>
        <v xml:space="preserve"> - </v>
      </c>
      <c r="Y160" s="676" t="str">
        <f t="shared" si="34"/>
        <v xml:space="preserve"> - </v>
      </c>
      <c r="Z160" s="673"/>
      <c r="AA160" s="423" t="str">
        <f t="shared" ca="1" si="35"/>
        <v>-</v>
      </c>
      <c r="AB160" s="423"/>
      <c r="AC160" s="423"/>
      <c r="AD160" s="550"/>
      <c r="AE160" s="550"/>
      <c r="AF160" s="423"/>
      <c r="AG160" s="423"/>
      <c r="AH160" s="423"/>
      <c r="AI160" s="677"/>
      <c r="AJ160" s="547"/>
      <c r="AK160" s="547"/>
      <c r="AL160" s="682"/>
      <c r="AM160" s="547"/>
      <c r="AN160" s="547"/>
      <c r="AO160" s="679"/>
      <c r="AP160" s="406"/>
    </row>
    <row r="161" spans="1:42" ht="20.100000000000001" customHeight="1">
      <c r="A161" s="423"/>
      <c r="B161" s="423"/>
      <c r="C161" s="548"/>
      <c r="E161" s="680"/>
      <c r="F161" s="423"/>
      <c r="G161" s="423"/>
      <c r="H161" s="423"/>
      <c r="I161" s="423"/>
      <c r="J161" s="423"/>
      <c r="K161" s="681"/>
      <c r="L161" s="670"/>
      <c r="M161" s="423"/>
      <c r="N161" s="423"/>
      <c r="O161" s="423"/>
      <c r="P161" s="672"/>
      <c r="Q161" s="673"/>
      <c r="R161" s="423"/>
      <c r="S161" s="674"/>
      <c r="T161" s="674"/>
      <c r="U161" s="675">
        <f>IFERROR((Table4891112[[#This Row],[Invoice Value]]-Table4891112[[#This Row],[Total cost]])/Table4891112[[#This Row],[Invoice Value]],)</f>
        <v>0</v>
      </c>
      <c r="V161" s="676"/>
      <c r="W161" s="676"/>
      <c r="X161" s="676" t="str">
        <f t="shared" si="33"/>
        <v xml:space="preserve"> - </v>
      </c>
      <c r="Y161" s="676" t="str">
        <f t="shared" si="34"/>
        <v xml:space="preserve"> - </v>
      </c>
      <c r="Z161" s="673"/>
      <c r="AA161" s="423" t="str">
        <f t="shared" ca="1" si="35"/>
        <v>-</v>
      </c>
      <c r="AB161" s="423"/>
      <c r="AC161" s="423"/>
      <c r="AD161" s="550"/>
      <c r="AE161" s="550"/>
      <c r="AF161" s="423"/>
      <c r="AG161" s="423"/>
      <c r="AH161" s="423"/>
      <c r="AI161" s="677"/>
      <c r="AJ161" s="547"/>
      <c r="AK161" s="547"/>
      <c r="AL161" s="682"/>
      <c r="AM161" s="547"/>
      <c r="AN161" s="547"/>
      <c r="AO161" s="679"/>
      <c r="AP161" s="406"/>
    </row>
    <row r="162" spans="1:42" ht="20.100000000000001" customHeight="1">
      <c r="A162" s="423"/>
      <c r="B162" s="423"/>
      <c r="C162" s="548"/>
      <c r="E162" s="680"/>
      <c r="F162" s="423"/>
      <c r="G162" s="423"/>
      <c r="H162" s="423"/>
      <c r="I162" s="423"/>
      <c r="J162" s="423"/>
      <c r="K162" s="681"/>
      <c r="L162" s="670"/>
      <c r="M162" s="423"/>
      <c r="N162" s="423"/>
      <c r="O162" s="423"/>
      <c r="P162" s="672"/>
      <c r="Q162" s="673"/>
      <c r="R162" s="423"/>
      <c r="S162" s="674"/>
      <c r="T162" s="674"/>
      <c r="U162" s="675">
        <f>IFERROR((Table4891112[[#This Row],[Invoice Value]]-Table4891112[[#This Row],[Total cost]])/Table4891112[[#This Row],[Invoice Value]],)</f>
        <v>0</v>
      </c>
      <c r="V162" s="676"/>
      <c r="W162" s="676"/>
      <c r="X162" s="676" t="str">
        <f t="shared" si="33"/>
        <v xml:space="preserve"> - </v>
      </c>
      <c r="Y162" s="676" t="str">
        <f t="shared" si="34"/>
        <v xml:space="preserve"> - </v>
      </c>
      <c r="Z162" s="673"/>
      <c r="AA162" s="423" t="str">
        <f t="shared" ca="1" si="35"/>
        <v>-</v>
      </c>
      <c r="AB162" s="423"/>
      <c r="AC162" s="423"/>
      <c r="AD162" s="550"/>
      <c r="AE162" s="550"/>
      <c r="AF162" s="423"/>
      <c r="AG162" s="423"/>
      <c r="AH162" s="423"/>
      <c r="AI162" s="677"/>
      <c r="AJ162" s="547"/>
      <c r="AK162" s="547"/>
      <c r="AL162" s="682"/>
      <c r="AM162" s="547"/>
      <c r="AN162" s="547"/>
      <c r="AO162" s="679"/>
      <c r="AP162" s="406"/>
    </row>
    <row r="163" spans="1:42" ht="20.100000000000001" customHeight="1">
      <c r="A163" s="423"/>
      <c r="B163" s="423"/>
      <c r="C163" s="548"/>
      <c r="E163" s="680"/>
      <c r="F163" s="423"/>
      <c r="G163" s="423"/>
      <c r="H163" s="423"/>
      <c r="I163" s="423"/>
      <c r="J163" s="423"/>
      <c r="K163" s="681"/>
      <c r="L163" s="670"/>
      <c r="M163" s="423"/>
      <c r="N163" s="423"/>
      <c r="O163" s="423"/>
      <c r="P163" s="672"/>
      <c r="Q163" s="673"/>
      <c r="R163" s="423"/>
      <c r="S163" s="674"/>
      <c r="T163" s="674"/>
      <c r="U163" s="675">
        <f>IFERROR((Table4891112[[#This Row],[Invoice Value]]-Table4891112[[#This Row],[Total cost]])/Table4891112[[#This Row],[Invoice Value]],)</f>
        <v>0</v>
      </c>
      <c r="V163" s="676"/>
      <c r="W163" s="676"/>
      <c r="X163" s="676" t="str">
        <f t="shared" si="33"/>
        <v xml:space="preserve"> - </v>
      </c>
      <c r="Y163" s="676" t="str">
        <f t="shared" si="34"/>
        <v xml:space="preserve"> - </v>
      </c>
      <c r="Z163" s="673"/>
      <c r="AA163" s="423" t="str">
        <f t="shared" ca="1" si="35"/>
        <v>-</v>
      </c>
      <c r="AB163" s="423"/>
      <c r="AC163" s="423"/>
      <c r="AD163" s="550"/>
      <c r="AE163" s="550"/>
      <c r="AF163" s="423"/>
      <c r="AG163" s="423"/>
      <c r="AH163" s="423"/>
      <c r="AI163" s="677"/>
      <c r="AJ163" s="547"/>
      <c r="AK163" s="547"/>
      <c r="AL163" s="682"/>
      <c r="AM163" s="547"/>
      <c r="AN163" s="547"/>
      <c r="AO163" s="679"/>
      <c r="AP163" s="406"/>
    </row>
    <row r="164" spans="1:42" ht="20.100000000000001" customHeight="1">
      <c r="A164" s="423"/>
      <c r="B164" s="423"/>
      <c r="C164" s="548"/>
      <c r="E164" s="680"/>
      <c r="F164" s="423"/>
      <c r="G164" s="423"/>
      <c r="H164" s="423"/>
      <c r="I164" s="423"/>
      <c r="J164" s="423"/>
      <c r="K164" s="681"/>
      <c r="L164" s="670"/>
      <c r="M164" s="423"/>
      <c r="N164" s="423"/>
      <c r="O164" s="423"/>
      <c r="P164" s="672"/>
      <c r="Q164" s="673"/>
      <c r="R164" s="423"/>
      <c r="S164" s="674"/>
      <c r="T164" s="674"/>
      <c r="U164" s="675">
        <f>IFERROR((Table4891112[[#This Row],[Invoice Value]]-Table4891112[[#This Row],[Total cost]])/Table4891112[[#This Row],[Invoice Value]],)</f>
        <v>0</v>
      </c>
      <c r="V164" s="676"/>
      <c r="W164" s="676"/>
      <c r="X164" s="676" t="str">
        <f t="shared" si="33"/>
        <v xml:space="preserve"> - </v>
      </c>
      <c r="Y164" s="676" t="str">
        <f t="shared" si="34"/>
        <v xml:space="preserve"> - </v>
      </c>
      <c r="Z164" s="673"/>
      <c r="AA164" s="423" t="str">
        <f t="shared" ca="1" si="35"/>
        <v>-</v>
      </c>
      <c r="AB164" s="423"/>
      <c r="AC164" s="423"/>
      <c r="AD164" s="550"/>
      <c r="AE164" s="550"/>
      <c r="AF164" s="423"/>
      <c r="AG164" s="423"/>
      <c r="AH164" s="423"/>
      <c r="AI164" s="677"/>
      <c r="AJ164" s="547"/>
      <c r="AK164" s="547"/>
      <c r="AL164" s="682"/>
      <c r="AM164" s="547"/>
      <c r="AN164" s="547"/>
      <c r="AO164" s="679"/>
      <c r="AP164" s="406"/>
    </row>
    <row r="165" spans="1:42" ht="20.100000000000001" customHeight="1">
      <c r="A165" s="423"/>
      <c r="B165" s="423"/>
      <c r="C165" s="548"/>
      <c r="E165" s="680"/>
      <c r="F165" s="423"/>
      <c r="G165" s="423"/>
      <c r="H165" s="423"/>
      <c r="I165" s="423" t="s">
        <v>3536</v>
      </c>
      <c r="J165" s="423"/>
      <c r="K165" s="681"/>
      <c r="L165" s="670"/>
      <c r="M165" s="423"/>
      <c r="N165" s="423" t="s">
        <v>3537</v>
      </c>
      <c r="O165" s="423"/>
      <c r="P165" s="685"/>
      <c r="Q165" s="676"/>
      <c r="R165" s="423"/>
      <c r="S165" s="674"/>
      <c r="T165" s="674"/>
      <c r="U165" s="675">
        <f>IFERROR((Table4891112[[#This Row],[Invoice Value]]-Table4891112[[#This Row],[Total cost]])/Table4891112[[#This Row],[Invoice Value]],)</f>
        <v>0</v>
      </c>
      <c r="V165" s="676"/>
      <c r="W165" s="676"/>
      <c r="X165" s="676" t="str">
        <f t="shared" si="33"/>
        <v xml:space="preserve"> - </v>
      </c>
      <c r="Y165" s="676" t="str">
        <f t="shared" si="34"/>
        <v xml:space="preserve"> - </v>
      </c>
      <c r="Z165" s="685"/>
      <c r="AA165" s="423" t="str">
        <f t="shared" ca="1" si="35"/>
        <v>-</v>
      </c>
      <c r="AB165" s="423"/>
      <c r="AC165" s="423"/>
      <c r="AD165" s="550"/>
      <c r="AE165" s="550"/>
      <c r="AF165" s="423"/>
      <c r="AG165" s="423"/>
      <c r="AH165" s="423"/>
      <c r="AI165" s="677"/>
      <c r="AJ165" s="547" t="s">
        <v>100</v>
      </c>
      <c r="AK165" s="547" t="s">
        <v>67</v>
      </c>
      <c r="AL165" s="682"/>
      <c r="AM165" s="547"/>
      <c r="AN165" s="547"/>
      <c r="AO165" s="679"/>
      <c r="AP165" s="406"/>
    </row>
    <row r="166" spans="1:42" ht="20.100000000000001" customHeight="1">
      <c r="A166" s="423"/>
      <c r="B166" s="423"/>
      <c r="C166" s="548"/>
      <c r="E166" s="680"/>
      <c r="F166" s="423"/>
      <c r="G166" s="423"/>
      <c r="H166" s="423"/>
      <c r="I166" s="423" t="s">
        <v>3536</v>
      </c>
      <c r="J166" s="423"/>
      <c r="K166" s="681"/>
      <c r="L166" s="670"/>
      <c r="M166" s="423"/>
      <c r="N166" s="423" t="s">
        <v>3537</v>
      </c>
      <c r="O166" s="423"/>
      <c r="P166" s="685"/>
      <c r="Q166" s="685"/>
      <c r="R166" s="423"/>
      <c r="S166" s="674"/>
      <c r="T166" s="674"/>
      <c r="U166" s="675">
        <f>IFERROR((Table4891112[[#This Row],[Invoice Value]]-Table4891112[[#This Row],[Total cost]])/Table4891112[[#This Row],[Invoice Value]],)</f>
        <v>0</v>
      </c>
      <c r="V166" s="676"/>
      <c r="W166" s="676"/>
      <c r="X166" s="676" t="str">
        <f t="shared" si="33"/>
        <v xml:space="preserve"> - </v>
      </c>
      <c r="Y166" s="676" t="str">
        <f t="shared" si="34"/>
        <v xml:space="preserve"> - </v>
      </c>
      <c r="Z166" s="685"/>
      <c r="AA166" s="423" t="str">
        <f t="shared" ca="1" si="35"/>
        <v>-</v>
      </c>
      <c r="AB166" s="423"/>
      <c r="AC166" s="423"/>
      <c r="AD166" s="550"/>
      <c r="AE166" s="550"/>
      <c r="AF166" s="423"/>
      <c r="AG166" s="423"/>
      <c r="AH166" s="423"/>
      <c r="AI166" s="677"/>
      <c r="AJ166" s="547" t="s">
        <v>67</v>
      </c>
      <c r="AK166" s="547" t="s">
        <v>67</v>
      </c>
      <c r="AL166" s="682"/>
      <c r="AM166" s="547"/>
      <c r="AN166" s="547"/>
      <c r="AO166" s="679"/>
      <c r="AP166" s="406"/>
    </row>
    <row r="167" spans="1:42" ht="20.100000000000001" customHeight="1">
      <c r="A167" s="423"/>
      <c r="B167" s="423"/>
      <c r="C167" s="548"/>
      <c r="E167" s="680"/>
      <c r="F167" s="423"/>
      <c r="G167" s="423"/>
      <c r="H167" s="423"/>
      <c r="I167" s="423" t="s">
        <v>3536</v>
      </c>
      <c r="J167" s="423"/>
      <c r="K167" s="681"/>
      <c r="L167" s="670"/>
      <c r="M167" s="423"/>
      <c r="N167" s="423" t="s">
        <v>71</v>
      </c>
      <c r="O167" s="423"/>
      <c r="P167" s="685"/>
      <c r="Q167" s="685"/>
      <c r="R167" s="423"/>
      <c r="S167" s="674"/>
      <c r="T167" s="674"/>
      <c r="U167" s="675">
        <f>IFERROR((Table4891112[[#This Row],[Invoice Value]]-Table4891112[[#This Row],[Total cost]])/Table4891112[[#This Row],[Invoice Value]],)</f>
        <v>0</v>
      </c>
      <c r="V167" s="676"/>
      <c r="W167" s="676"/>
      <c r="X167" s="676" t="str">
        <f t="shared" si="33"/>
        <v xml:space="preserve"> - </v>
      </c>
      <c r="Y167" s="676" t="str">
        <f t="shared" si="34"/>
        <v xml:space="preserve"> - </v>
      </c>
      <c r="Z167" s="685"/>
      <c r="AA167" s="423" t="str">
        <f t="shared" ca="1" si="35"/>
        <v>-</v>
      </c>
      <c r="AB167" s="423"/>
      <c r="AC167" s="423"/>
      <c r="AD167" s="550"/>
      <c r="AE167" s="550"/>
      <c r="AF167" s="423"/>
      <c r="AG167" s="423"/>
      <c r="AH167" s="677"/>
      <c r="AI167" s="423"/>
      <c r="AJ167" s="547" t="s">
        <v>100</v>
      </c>
      <c r="AK167" s="406" t="s">
        <v>100</v>
      </c>
      <c r="AL167" s="686"/>
      <c r="AM167" s="406"/>
      <c r="AN167" s="406"/>
      <c r="AO167" s="679"/>
      <c r="AP167" s="406"/>
    </row>
    <row r="168" spans="1:42" ht="20.100000000000001" customHeight="1">
      <c r="A168" s="423"/>
      <c r="B168" s="423"/>
      <c r="C168" s="548"/>
      <c r="E168" s="680"/>
      <c r="F168" s="423"/>
      <c r="G168" s="423"/>
      <c r="H168" s="423"/>
      <c r="I168" s="423" t="s">
        <v>3536</v>
      </c>
      <c r="J168" s="423"/>
      <c r="K168" s="681"/>
      <c r="L168" s="670"/>
      <c r="M168" s="423"/>
      <c r="N168" s="423" t="s">
        <v>3538</v>
      </c>
      <c r="O168" s="423"/>
      <c r="P168" s="685"/>
      <c r="Q168" s="685"/>
      <c r="R168" s="423"/>
      <c r="S168" s="674"/>
      <c r="T168" s="674"/>
      <c r="U168" s="675">
        <f>IFERROR((Table4891112[[#This Row],[Invoice Value]]-Table4891112[[#This Row],[Total cost]])/Table4891112[[#This Row],[Invoice Value]],)</f>
        <v>0</v>
      </c>
      <c r="V168" s="676"/>
      <c r="W168" s="676"/>
      <c r="X168" s="676" t="str">
        <f t="shared" si="33"/>
        <v xml:space="preserve"> - </v>
      </c>
      <c r="Y168" s="676" t="str">
        <f t="shared" si="34"/>
        <v xml:space="preserve"> - </v>
      </c>
      <c r="Z168" s="685"/>
      <c r="AA168" s="423" t="str">
        <f t="shared" ca="1" si="35"/>
        <v>-</v>
      </c>
      <c r="AB168" s="423"/>
      <c r="AC168" s="423"/>
      <c r="AD168" s="550"/>
      <c r="AE168" s="550"/>
      <c r="AF168" s="423"/>
      <c r="AG168" s="423"/>
      <c r="AH168" s="423"/>
      <c r="AI168" s="677"/>
      <c r="AJ168" s="547" t="s">
        <v>67</v>
      </c>
      <c r="AK168" s="547" t="s">
        <v>67</v>
      </c>
      <c r="AL168" s="682"/>
      <c r="AM168" s="547"/>
      <c r="AN168" s="547"/>
      <c r="AO168" s="679"/>
      <c r="AP168" s="406"/>
    </row>
    <row r="169" spans="1:42" ht="20.100000000000001" customHeight="1">
      <c r="A169" s="423"/>
      <c r="B169" s="683"/>
      <c r="C169" s="548"/>
      <c r="E169" s="680"/>
      <c r="F169" s="423"/>
      <c r="G169" s="423"/>
      <c r="H169" s="423"/>
      <c r="I169" s="423"/>
      <c r="J169" s="423"/>
      <c r="K169" s="681"/>
      <c r="L169" s="670"/>
      <c r="M169" s="423"/>
      <c r="N169" s="423"/>
      <c r="O169" s="423"/>
      <c r="P169" s="685"/>
      <c r="Q169" s="685"/>
      <c r="R169" s="676"/>
      <c r="S169" s="674"/>
      <c r="T169" s="674"/>
      <c r="U169" s="675">
        <f>IFERROR((Table4891112[[#This Row],[Invoice Value]]-Table4891112[[#This Row],[Total cost]])/Table4891112[[#This Row],[Invoice Value]],)</f>
        <v>0</v>
      </c>
      <c r="V169" s="676"/>
      <c r="W169" s="676"/>
      <c r="X169" s="676" t="str">
        <f t="shared" si="33"/>
        <v xml:space="preserve"> - </v>
      </c>
      <c r="Y169" s="676" t="str">
        <f t="shared" si="34"/>
        <v xml:space="preserve"> - </v>
      </c>
      <c r="Z169" s="685"/>
      <c r="AA169" s="423" t="str">
        <f t="shared" ca="1" si="35"/>
        <v>-</v>
      </c>
      <c r="AB169" s="423"/>
      <c r="AC169" s="423"/>
      <c r="AD169" s="550"/>
      <c r="AE169" s="550"/>
      <c r="AF169" s="423"/>
      <c r="AG169" s="423"/>
      <c r="AH169" s="423"/>
      <c r="AI169" s="677"/>
      <c r="AJ169" s="547"/>
      <c r="AK169" s="547"/>
      <c r="AL169" s="682"/>
      <c r="AM169" s="547"/>
      <c r="AN169" s="547"/>
      <c r="AO169" s="679"/>
      <c r="AP169" s="406"/>
    </row>
    <row r="170" spans="1:42" ht="20.100000000000001" customHeight="1">
      <c r="A170" s="423"/>
      <c r="B170" s="423"/>
      <c r="C170" s="548"/>
      <c r="E170" s="680"/>
      <c r="F170" s="423"/>
      <c r="G170" s="423"/>
      <c r="H170" s="423"/>
      <c r="I170" s="423" t="s">
        <v>3536</v>
      </c>
      <c r="J170" s="423"/>
      <c r="K170" s="681"/>
      <c r="L170" s="670"/>
      <c r="M170" s="423"/>
      <c r="N170" s="423" t="s">
        <v>71</v>
      </c>
      <c r="O170" s="423"/>
      <c r="P170" s="685"/>
      <c r="Q170" s="685"/>
      <c r="R170" s="423"/>
      <c r="S170" s="674"/>
      <c r="T170" s="674"/>
      <c r="U170" s="675">
        <f>IFERROR((Table4891112[[#This Row],[Invoice Value]]-Table4891112[[#This Row],[Total cost]])/Table4891112[[#This Row],[Invoice Value]],)</f>
        <v>0</v>
      </c>
      <c r="V170" s="676"/>
      <c r="W170" s="676"/>
      <c r="X170" s="676" t="str">
        <f t="shared" si="33"/>
        <v xml:space="preserve"> - </v>
      </c>
      <c r="Y170" s="676" t="str">
        <f t="shared" si="34"/>
        <v xml:space="preserve"> - </v>
      </c>
      <c r="Z170" s="685"/>
      <c r="AA170" s="423" t="str">
        <f t="shared" ca="1" si="35"/>
        <v>-</v>
      </c>
      <c r="AB170" s="423"/>
      <c r="AC170" s="423"/>
      <c r="AD170" s="550"/>
      <c r="AE170" s="550"/>
      <c r="AF170" s="423"/>
      <c r="AG170" s="423"/>
      <c r="AH170" s="423"/>
      <c r="AI170" s="687"/>
      <c r="AJ170" s="423" t="s">
        <v>100</v>
      </c>
      <c r="AK170" s="423" t="s">
        <v>100</v>
      </c>
      <c r="AL170" s="343"/>
      <c r="AM170" s="423"/>
      <c r="AN170" s="423"/>
      <c r="AO170" s="679"/>
      <c r="AP170" s="406"/>
    </row>
    <row r="171" spans="1:42" ht="20.100000000000001" customHeight="1">
      <c r="A171" s="423"/>
      <c r="B171" s="423"/>
      <c r="C171" s="548"/>
      <c r="E171" s="680"/>
      <c r="F171" s="423"/>
      <c r="G171" s="423"/>
      <c r="H171" s="423"/>
      <c r="I171" s="423" t="s">
        <v>3536</v>
      </c>
      <c r="J171" s="423"/>
      <c r="K171" s="681"/>
      <c r="L171" s="670"/>
      <c r="M171" s="423"/>
      <c r="N171" s="423" t="s">
        <v>3009</v>
      </c>
      <c r="O171" s="423"/>
      <c r="P171" s="685"/>
      <c r="Q171" s="685"/>
      <c r="R171" s="423"/>
      <c r="S171" s="674"/>
      <c r="T171" s="674"/>
      <c r="U171" s="675">
        <f>IFERROR((Table4891112[[#This Row],[Invoice Value]]-Table4891112[[#This Row],[Total cost]])/Table4891112[[#This Row],[Invoice Value]],)</f>
        <v>0</v>
      </c>
      <c r="V171" s="676"/>
      <c r="W171" s="676"/>
      <c r="X171" s="676" t="str">
        <f t="shared" si="33"/>
        <v xml:space="preserve"> - </v>
      </c>
      <c r="Y171" s="676" t="str">
        <f t="shared" si="34"/>
        <v xml:space="preserve"> - </v>
      </c>
      <c r="Z171" s="685"/>
      <c r="AA171" s="423" t="str">
        <f t="shared" ca="1" si="35"/>
        <v>-</v>
      </c>
      <c r="AB171" s="423"/>
      <c r="AC171" s="423"/>
      <c r="AD171" s="550"/>
      <c r="AE171" s="550"/>
      <c r="AF171" s="423"/>
      <c r="AG171" s="423"/>
      <c r="AH171" s="423"/>
      <c r="AI171" s="687"/>
      <c r="AJ171" s="423" t="s">
        <v>100</v>
      </c>
      <c r="AK171" s="423" t="s">
        <v>100</v>
      </c>
      <c r="AL171" s="343"/>
      <c r="AM171" s="423"/>
      <c r="AN171" s="423"/>
      <c r="AO171" s="679"/>
      <c r="AP171" s="406"/>
    </row>
    <row r="172" spans="1:42" ht="20.100000000000001" customHeight="1">
      <c r="A172" s="423"/>
      <c r="B172" s="423"/>
      <c r="C172" s="548"/>
      <c r="E172" s="680"/>
      <c r="F172" s="423"/>
      <c r="G172" s="423"/>
      <c r="H172" s="423"/>
      <c r="I172" s="423" t="s">
        <v>3536</v>
      </c>
      <c r="J172" s="423"/>
      <c r="K172" s="681"/>
      <c r="L172" s="670"/>
      <c r="M172" s="423"/>
      <c r="N172" s="423"/>
      <c r="O172" s="423"/>
      <c r="P172" s="685"/>
      <c r="Q172" s="685"/>
      <c r="R172" s="423"/>
      <c r="S172" s="674"/>
      <c r="T172" s="674"/>
      <c r="U172" s="675">
        <f>IFERROR((Table4891112[[#This Row],[Invoice Value]]-Table4891112[[#This Row],[Total cost]])/Table4891112[[#This Row],[Invoice Value]],)</f>
        <v>0</v>
      </c>
      <c r="V172" s="676"/>
      <c r="W172" s="676"/>
      <c r="X172" s="676" t="str">
        <f t="shared" si="33"/>
        <v xml:space="preserve"> - </v>
      </c>
      <c r="Y172" s="676" t="str">
        <f t="shared" si="34"/>
        <v xml:space="preserve"> - </v>
      </c>
      <c r="Z172" s="685"/>
      <c r="AA172" s="423" t="str">
        <f t="shared" ca="1" si="35"/>
        <v>-</v>
      </c>
      <c r="AB172" s="423"/>
      <c r="AC172" s="423"/>
      <c r="AD172" s="550"/>
      <c r="AE172" s="550"/>
      <c r="AF172" s="423"/>
      <c r="AG172" s="423"/>
      <c r="AH172" s="423"/>
      <c r="AI172" s="687"/>
      <c r="AJ172" s="423" t="s">
        <v>100</v>
      </c>
      <c r="AK172" s="423" t="s">
        <v>67</v>
      </c>
      <c r="AL172" s="343"/>
      <c r="AM172" s="423"/>
      <c r="AN172" s="423"/>
      <c r="AO172" s="679"/>
      <c r="AP172" s="406"/>
    </row>
    <row r="173" spans="1:42" ht="20.100000000000001" customHeight="1">
      <c r="A173" s="423"/>
      <c r="B173" s="423"/>
      <c r="C173" s="548"/>
      <c r="E173" s="680"/>
      <c r="F173" s="423"/>
      <c r="G173" s="423"/>
      <c r="H173" s="423"/>
      <c r="I173" s="423" t="s">
        <v>3536</v>
      </c>
      <c r="J173" s="423"/>
      <c r="K173" s="681"/>
      <c r="L173" s="670"/>
      <c r="M173" s="423"/>
      <c r="N173" s="423"/>
      <c r="O173" s="423"/>
      <c r="P173" s="685"/>
      <c r="Q173" s="685"/>
      <c r="R173" s="423"/>
      <c r="S173" s="674"/>
      <c r="T173" s="674"/>
      <c r="U173" s="675">
        <f>IFERROR((Table4891112[[#This Row],[Invoice Value]]-Table4891112[[#This Row],[Total cost]])/Table4891112[[#This Row],[Invoice Value]],)</f>
        <v>0</v>
      </c>
      <c r="V173" s="676"/>
      <c r="W173" s="676"/>
      <c r="X173" s="676" t="str">
        <f t="shared" si="33"/>
        <v xml:space="preserve"> - </v>
      </c>
      <c r="Y173" s="676" t="str">
        <f t="shared" si="34"/>
        <v xml:space="preserve"> - </v>
      </c>
      <c r="Z173" s="685"/>
      <c r="AA173" s="423" t="str">
        <f t="shared" ca="1" si="35"/>
        <v>-</v>
      </c>
      <c r="AB173" s="423"/>
      <c r="AC173" s="423"/>
      <c r="AD173" s="550"/>
      <c r="AE173" s="550"/>
      <c r="AF173" s="423"/>
      <c r="AG173" s="423"/>
      <c r="AH173" s="423"/>
      <c r="AI173" s="687"/>
      <c r="AJ173" s="423" t="s">
        <v>100</v>
      </c>
      <c r="AK173" s="423" t="s">
        <v>67</v>
      </c>
      <c r="AL173" s="343"/>
      <c r="AM173" s="423"/>
      <c r="AN173" s="423"/>
      <c r="AO173" s="679"/>
      <c r="AP173" s="406"/>
    </row>
    <row r="174" spans="1:42" ht="20.100000000000001" customHeight="1">
      <c r="A174" s="423"/>
      <c r="B174" s="423"/>
      <c r="C174" s="548"/>
      <c r="E174" s="680"/>
      <c r="F174" s="423"/>
      <c r="G174" s="423"/>
      <c r="H174" s="423"/>
      <c r="I174" s="423" t="s">
        <v>3536</v>
      </c>
      <c r="J174" s="423"/>
      <c r="K174" s="681"/>
      <c r="L174" s="670"/>
      <c r="M174" s="423"/>
      <c r="N174" s="423"/>
      <c r="O174" s="423"/>
      <c r="P174" s="685"/>
      <c r="Q174" s="685"/>
      <c r="R174" s="423"/>
      <c r="S174" s="674"/>
      <c r="T174" s="674"/>
      <c r="U174" s="675">
        <f>IFERROR((Table4891112[[#This Row],[Invoice Value]]-Table4891112[[#This Row],[Total cost]])/Table4891112[[#This Row],[Invoice Value]],)</f>
        <v>0</v>
      </c>
      <c r="V174" s="676"/>
      <c r="W174" s="676"/>
      <c r="X174" s="676" t="str">
        <f t="shared" si="33"/>
        <v xml:space="preserve"> - </v>
      </c>
      <c r="Y174" s="676" t="str">
        <f t="shared" si="34"/>
        <v xml:space="preserve"> - </v>
      </c>
      <c r="Z174" s="685"/>
      <c r="AA174" s="423" t="str">
        <f t="shared" ca="1" si="35"/>
        <v>-</v>
      </c>
      <c r="AB174" s="423"/>
      <c r="AC174" s="423"/>
      <c r="AD174" s="550"/>
      <c r="AE174" s="550"/>
      <c r="AF174" s="423"/>
      <c r="AG174" s="423"/>
      <c r="AH174" s="423"/>
      <c r="AI174" s="687"/>
      <c r="AJ174" s="423" t="s">
        <v>144</v>
      </c>
      <c r="AK174" s="423" t="s">
        <v>67</v>
      </c>
      <c r="AL174" s="343"/>
      <c r="AM174" s="423"/>
      <c r="AN174" s="423"/>
      <c r="AO174" s="679"/>
      <c r="AP174" s="406"/>
    </row>
    <row r="175" spans="1:42" ht="20.100000000000001" customHeight="1">
      <c r="A175" s="423"/>
      <c r="B175" s="423"/>
      <c r="C175" s="548"/>
      <c r="E175" s="680"/>
      <c r="F175" s="423"/>
      <c r="G175" s="423"/>
      <c r="H175" s="423"/>
      <c r="I175" s="423" t="s">
        <v>3536</v>
      </c>
      <c r="J175" s="423"/>
      <c r="K175" s="681"/>
      <c r="L175" s="670"/>
      <c r="M175" s="423"/>
      <c r="N175" s="423"/>
      <c r="O175" s="423"/>
      <c r="P175" s="685"/>
      <c r="Q175" s="685"/>
      <c r="R175" s="423"/>
      <c r="S175" s="674"/>
      <c r="T175" s="674"/>
      <c r="U175" s="675">
        <f>IFERROR((Table4891112[[#This Row],[Invoice Value]]-Table4891112[[#This Row],[Total cost]])/Table4891112[[#This Row],[Invoice Value]],)</f>
        <v>0</v>
      </c>
      <c r="V175" s="676"/>
      <c r="W175" s="676"/>
      <c r="X175" s="676" t="str">
        <f t="shared" si="33"/>
        <v xml:space="preserve"> - </v>
      </c>
      <c r="Y175" s="676" t="str">
        <f t="shared" si="34"/>
        <v xml:space="preserve"> - </v>
      </c>
      <c r="Z175" s="685"/>
      <c r="AA175" s="423" t="str">
        <f t="shared" ca="1" si="35"/>
        <v>-</v>
      </c>
      <c r="AB175" s="423"/>
      <c r="AC175" s="423"/>
      <c r="AD175" s="550"/>
      <c r="AE175" s="550"/>
      <c r="AF175" s="423"/>
      <c r="AG175" s="423"/>
      <c r="AH175" s="423"/>
      <c r="AI175" s="687"/>
      <c r="AJ175" s="423"/>
      <c r="AK175" s="423"/>
      <c r="AL175" s="343"/>
      <c r="AM175" s="423"/>
      <c r="AN175" s="423"/>
      <c r="AO175" s="679"/>
      <c r="AP175" s="406"/>
    </row>
    <row r="176" spans="1:42" ht="20.100000000000001" customHeight="1">
      <c r="A176" s="423"/>
      <c r="B176" s="423"/>
      <c r="C176" s="548"/>
      <c r="E176" s="680"/>
      <c r="F176" s="423"/>
      <c r="G176" s="423"/>
      <c r="H176" s="423"/>
      <c r="I176" s="423" t="s">
        <v>3536</v>
      </c>
      <c r="J176" s="423"/>
      <c r="K176" s="681"/>
      <c r="L176" s="670"/>
      <c r="M176" s="423"/>
      <c r="N176" s="423"/>
      <c r="O176" s="423"/>
      <c r="P176" s="685"/>
      <c r="Q176" s="685"/>
      <c r="R176" s="423"/>
      <c r="S176" s="674"/>
      <c r="T176" s="674"/>
      <c r="U176" s="675">
        <f>IFERROR((Table4891112[[#This Row],[Invoice Value]]-Table4891112[[#This Row],[Total cost]])/Table4891112[[#This Row],[Invoice Value]],)</f>
        <v>0</v>
      </c>
      <c r="V176" s="676"/>
      <c r="W176" s="676"/>
      <c r="X176" s="676" t="str">
        <f t="shared" si="33"/>
        <v xml:space="preserve"> - </v>
      </c>
      <c r="Y176" s="676" t="str">
        <f t="shared" si="34"/>
        <v xml:space="preserve"> - </v>
      </c>
      <c r="Z176" s="685"/>
      <c r="AA176" s="423" t="str">
        <f t="shared" ca="1" si="35"/>
        <v>-</v>
      </c>
      <c r="AB176" s="423"/>
      <c r="AC176" s="423"/>
      <c r="AD176" s="550"/>
      <c r="AE176" s="550"/>
      <c r="AF176" s="423"/>
      <c r="AG176" s="423"/>
      <c r="AH176" s="423"/>
      <c r="AI176" s="687"/>
      <c r="AJ176" s="423" t="s">
        <v>67</v>
      </c>
      <c r="AK176" s="423" t="s">
        <v>67</v>
      </c>
      <c r="AL176" s="343"/>
      <c r="AM176" s="423"/>
      <c r="AN176" s="423"/>
      <c r="AO176" s="679"/>
      <c r="AP176" s="406"/>
    </row>
    <row r="177" spans="1:42" ht="20.100000000000001" customHeight="1">
      <c r="A177" s="423"/>
      <c r="B177" s="423"/>
      <c r="C177" s="548"/>
      <c r="E177" s="680"/>
      <c r="F177" s="423"/>
      <c r="G177" s="423"/>
      <c r="H177" s="423"/>
      <c r="I177" s="423" t="s">
        <v>3536</v>
      </c>
      <c r="J177" s="423"/>
      <c r="K177" s="681"/>
      <c r="L177" s="670"/>
      <c r="M177" s="423"/>
      <c r="N177" s="423"/>
      <c r="O177" s="423"/>
      <c r="P177" s="685"/>
      <c r="Q177" s="685"/>
      <c r="R177" s="423"/>
      <c r="S177" s="674"/>
      <c r="T177" s="674"/>
      <c r="U177" s="675">
        <f>IFERROR((Table4891112[[#This Row],[Invoice Value]]-Table4891112[[#This Row],[Total cost]])/Table4891112[[#This Row],[Invoice Value]],)</f>
        <v>0</v>
      </c>
      <c r="V177" s="676"/>
      <c r="W177" s="676"/>
      <c r="X177" s="676" t="str">
        <f t="shared" ref="X177:X208" si="36">IF(Q177&gt;0,Q177+3," - ")</f>
        <v xml:space="preserve"> - </v>
      </c>
      <c r="Y177" s="676" t="str">
        <f t="shared" ref="Y177:Y208" si="37">IF(Q177&gt;0,Q177+14," - ")</f>
        <v xml:space="preserve"> - </v>
      </c>
      <c r="Z177" s="685"/>
      <c r="AA177" s="423" t="str">
        <f t="shared" ref="AA177:AA208" ca="1" si="38">IF(P177=0,"-",IF(Z177&gt;0,"Delivered",IF(TODAY()&gt;Y177,"Overdue",IF(TODAY()&lt;Y177,"In Progress"))))</f>
        <v>-</v>
      </c>
      <c r="AB177" s="423"/>
      <c r="AC177" s="423"/>
      <c r="AD177" s="550"/>
      <c r="AE177" s="550"/>
      <c r="AF177" s="423"/>
      <c r="AG177" s="423"/>
      <c r="AH177" s="423"/>
      <c r="AI177" s="677"/>
      <c r="AJ177" s="547" t="s">
        <v>100</v>
      </c>
      <c r="AK177" s="547" t="s">
        <v>100</v>
      </c>
      <c r="AL177" s="682"/>
      <c r="AM177" s="547"/>
      <c r="AN177" s="547"/>
      <c r="AO177" s="679"/>
      <c r="AP177" s="406"/>
    </row>
    <row r="178" spans="1:42" ht="20.100000000000001" customHeight="1">
      <c r="A178" s="423"/>
      <c r="B178" s="423"/>
      <c r="C178" s="548"/>
      <c r="E178" s="680"/>
      <c r="F178" s="423"/>
      <c r="G178" s="423"/>
      <c r="H178" s="423"/>
      <c r="I178" s="423" t="s">
        <v>3536</v>
      </c>
      <c r="J178" s="423"/>
      <c r="K178" s="681"/>
      <c r="L178" s="670"/>
      <c r="M178" s="423"/>
      <c r="N178" s="423"/>
      <c r="O178" s="423"/>
      <c r="P178" s="685"/>
      <c r="Q178" s="685"/>
      <c r="R178" s="423"/>
      <c r="S178" s="674"/>
      <c r="T178" s="674"/>
      <c r="U178" s="675">
        <f>IFERROR((Table4891112[[#This Row],[Invoice Value]]-Table4891112[[#This Row],[Total cost]])/Table4891112[[#This Row],[Invoice Value]],)</f>
        <v>0</v>
      </c>
      <c r="V178" s="676"/>
      <c r="W178" s="676"/>
      <c r="X178" s="676" t="str">
        <f t="shared" si="36"/>
        <v xml:space="preserve"> - </v>
      </c>
      <c r="Y178" s="676" t="str">
        <f t="shared" si="37"/>
        <v xml:space="preserve"> - </v>
      </c>
      <c r="Z178" s="685"/>
      <c r="AA178" s="423" t="str">
        <f t="shared" ca="1" si="38"/>
        <v>-</v>
      </c>
      <c r="AB178" s="423"/>
      <c r="AC178" s="423"/>
      <c r="AD178" s="550"/>
      <c r="AE178" s="550"/>
      <c r="AF178" s="423"/>
      <c r="AG178" s="423"/>
      <c r="AH178" s="423"/>
      <c r="AI178" s="677"/>
      <c r="AJ178" s="547" t="s">
        <v>100</v>
      </c>
      <c r="AK178" s="547" t="s">
        <v>67</v>
      </c>
      <c r="AL178" s="682"/>
      <c r="AM178" s="547"/>
      <c r="AN178" s="547"/>
      <c r="AO178" s="679"/>
      <c r="AP178" s="406"/>
    </row>
    <row r="179" spans="1:42" ht="20.100000000000001" customHeight="1">
      <c r="A179" s="423"/>
      <c r="B179" s="423"/>
      <c r="C179" s="548"/>
      <c r="E179" s="680"/>
      <c r="F179" s="423"/>
      <c r="G179" s="423"/>
      <c r="H179" s="423"/>
      <c r="I179" s="423" t="s">
        <v>3536</v>
      </c>
      <c r="J179" s="423"/>
      <c r="K179" s="681"/>
      <c r="L179" s="670"/>
      <c r="M179" s="423"/>
      <c r="N179" s="423"/>
      <c r="O179" s="423"/>
      <c r="P179" s="685"/>
      <c r="Q179" s="685"/>
      <c r="R179" s="423"/>
      <c r="S179" s="674"/>
      <c r="T179" s="674"/>
      <c r="U179" s="675">
        <f>IFERROR((Table4891112[[#This Row],[Invoice Value]]-Table4891112[[#This Row],[Total cost]])/Table4891112[[#This Row],[Invoice Value]],)</f>
        <v>0</v>
      </c>
      <c r="V179" s="676"/>
      <c r="W179" s="676"/>
      <c r="X179" s="676" t="str">
        <f t="shared" si="36"/>
        <v xml:space="preserve"> - </v>
      </c>
      <c r="Y179" s="676" t="str">
        <f t="shared" si="37"/>
        <v xml:space="preserve"> - </v>
      </c>
      <c r="Z179" s="685"/>
      <c r="AA179" s="423" t="str">
        <f t="shared" ca="1" si="38"/>
        <v>-</v>
      </c>
      <c r="AB179" s="423"/>
      <c r="AC179" s="423"/>
      <c r="AD179" s="550"/>
      <c r="AE179" s="550"/>
      <c r="AF179" s="423"/>
      <c r="AG179" s="423"/>
      <c r="AH179" s="423"/>
      <c r="AI179" s="677"/>
      <c r="AJ179" s="547" t="s">
        <v>100</v>
      </c>
      <c r="AK179" s="547" t="s">
        <v>67</v>
      </c>
      <c r="AL179" s="682"/>
      <c r="AM179" s="547"/>
      <c r="AN179" s="547"/>
      <c r="AO179" s="679"/>
      <c r="AP179" s="406"/>
    </row>
    <row r="180" spans="1:42" ht="20.100000000000001" customHeight="1">
      <c r="A180" s="423"/>
      <c r="B180" s="423"/>
      <c r="C180" s="548"/>
      <c r="E180" s="680"/>
      <c r="F180" s="423"/>
      <c r="G180" s="423"/>
      <c r="H180" s="423"/>
      <c r="I180" s="423" t="s">
        <v>3536</v>
      </c>
      <c r="J180" s="423"/>
      <c r="K180" s="681"/>
      <c r="L180" s="670"/>
      <c r="M180" s="423"/>
      <c r="N180" s="423"/>
      <c r="O180" s="423"/>
      <c r="P180" s="685"/>
      <c r="Q180" s="685"/>
      <c r="R180" s="688"/>
      <c r="S180" s="674"/>
      <c r="T180" s="674"/>
      <c r="U180" s="675">
        <f>IFERROR((Table4891112[[#This Row],[Invoice Value]]-Table4891112[[#This Row],[Total cost]])/Table4891112[[#This Row],[Invoice Value]],)</f>
        <v>0</v>
      </c>
      <c r="V180" s="676"/>
      <c r="W180" s="676"/>
      <c r="X180" s="676" t="str">
        <f t="shared" si="36"/>
        <v xml:space="preserve"> - </v>
      </c>
      <c r="Y180" s="676" t="str">
        <f t="shared" si="37"/>
        <v xml:space="preserve"> - </v>
      </c>
      <c r="Z180" s="685"/>
      <c r="AA180" s="423" t="str">
        <f t="shared" ca="1" si="38"/>
        <v>-</v>
      </c>
      <c r="AB180" s="423"/>
      <c r="AC180" s="423"/>
      <c r="AD180" s="550"/>
      <c r="AE180" s="550"/>
      <c r="AF180" s="423"/>
      <c r="AG180" s="423"/>
      <c r="AH180" s="423"/>
      <c r="AI180" s="677"/>
      <c r="AJ180" s="547" t="s">
        <v>100</v>
      </c>
      <c r="AK180" s="547" t="s">
        <v>100</v>
      </c>
      <c r="AL180" s="682"/>
      <c r="AM180" s="547"/>
      <c r="AN180" s="547"/>
      <c r="AO180" s="679"/>
      <c r="AP180" s="406"/>
    </row>
    <row r="181" spans="1:42" ht="20.100000000000001" customHeight="1">
      <c r="A181" s="423"/>
      <c r="B181" s="423"/>
      <c r="C181" s="548"/>
      <c r="E181" s="680"/>
      <c r="F181" s="423"/>
      <c r="G181" s="423"/>
      <c r="H181" s="423"/>
      <c r="I181" s="423" t="s">
        <v>3536</v>
      </c>
      <c r="J181" s="423"/>
      <c r="K181" s="681"/>
      <c r="L181" s="670"/>
      <c r="M181" s="423"/>
      <c r="N181" s="423"/>
      <c r="O181" s="423"/>
      <c r="P181" s="685"/>
      <c r="Q181" s="685"/>
      <c r="R181" s="423"/>
      <c r="S181" s="674"/>
      <c r="T181" s="674"/>
      <c r="U181" s="675">
        <f>IFERROR((Table4891112[[#This Row],[Invoice Value]]-Table4891112[[#This Row],[Total cost]])/Table4891112[[#This Row],[Invoice Value]],)</f>
        <v>0</v>
      </c>
      <c r="V181" s="676"/>
      <c r="W181" s="676"/>
      <c r="X181" s="676" t="str">
        <f t="shared" si="36"/>
        <v xml:space="preserve"> - </v>
      </c>
      <c r="Y181" s="676" t="str">
        <f t="shared" si="37"/>
        <v xml:space="preserve"> - </v>
      </c>
      <c r="Z181" s="685"/>
      <c r="AA181" s="423" t="str">
        <f t="shared" ca="1" si="38"/>
        <v>-</v>
      </c>
      <c r="AB181" s="423"/>
      <c r="AC181" s="423"/>
      <c r="AD181" s="550"/>
      <c r="AE181" s="550"/>
      <c r="AF181" s="423"/>
      <c r="AG181" s="423"/>
      <c r="AH181" s="423"/>
      <c r="AI181" s="677" t="s">
        <v>144</v>
      </c>
      <c r="AJ181" s="547" t="s">
        <v>100</v>
      </c>
      <c r="AK181" s="547" t="s">
        <v>67</v>
      </c>
      <c r="AL181" s="682"/>
      <c r="AM181" s="547"/>
      <c r="AN181" s="547"/>
      <c r="AO181" s="679"/>
      <c r="AP181" s="406"/>
    </row>
    <row r="182" spans="1:42" ht="20.100000000000001" customHeight="1">
      <c r="A182" s="423"/>
      <c r="B182" s="423"/>
      <c r="C182" s="548"/>
      <c r="E182" s="680"/>
      <c r="F182" s="423"/>
      <c r="G182" s="423"/>
      <c r="H182" s="423"/>
      <c r="I182" s="423" t="s">
        <v>3536</v>
      </c>
      <c r="J182" s="423"/>
      <c r="K182" s="681"/>
      <c r="L182" s="670"/>
      <c r="M182" s="423"/>
      <c r="N182" s="423"/>
      <c r="O182" s="423"/>
      <c r="P182" s="685"/>
      <c r="Q182" s="685"/>
      <c r="R182" s="423"/>
      <c r="S182" s="674"/>
      <c r="T182" s="674"/>
      <c r="U182" s="675">
        <f>IFERROR((Table4891112[[#This Row],[Invoice Value]]-Table4891112[[#This Row],[Total cost]])/Table4891112[[#This Row],[Invoice Value]],)</f>
        <v>0</v>
      </c>
      <c r="V182" s="676"/>
      <c r="W182" s="676"/>
      <c r="X182" s="676" t="str">
        <f t="shared" si="36"/>
        <v xml:space="preserve"> - </v>
      </c>
      <c r="Y182" s="676" t="str">
        <f t="shared" si="37"/>
        <v xml:space="preserve"> - </v>
      </c>
      <c r="Z182" s="685"/>
      <c r="AA182" s="423" t="str">
        <f t="shared" ca="1" si="38"/>
        <v>-</v>
      </c>
      <c r="AB182" s="423"/>
      <c r="AC182" s="423"/>
      <c r="AD182" s="550"/>
      <c r="AE182" s="550"/>
      <c r="AF182" s="423"/>
      <c r="AG182" s="423"/>
      <c r="AH182" s="423"/>
      <c r="AI182" s="677" t="s">
        <v>100</v>
      </c>
      <c r="AJ182" s="547" t="s">
        <v>100</v>
      </c>
      <c r="AK182" s="547" t="s">
        <v>67</v>
      </c>
      <c r="AL182" s="682"/>
      <c r="AM182" s="547"/>
      <c r="AN182" s="547"/>
      <c r="AO182" s="679"/>
      <c r="AP182" s="406"/>
    </row>
    <row r="183" spans="1:42" ht="20.100000000000001" customHeight="1">
      <c r="A183" s="423"/>
      <c r="B183" s="423"/>
      <c r="C183" s="548"/>
      <c r="E183" s="680"/>
      <c r="F183" s="423"/>
      <c r="G183" s="423"/>
      <c r="H183" s="423"/>
      <c r="I183" s="423" t="s">
        <v>3536</v>
      </c>
      <c r="J183" s="423"/>
      <c r="K183" s="681"/>
      <c r="L183" s="670"/>
      <c r="M183" s="423"/>
      <c r="N183" s="423"/>
      <c r="O183" s="423"/>
      <c r="P183" s="685"/>
      <c r="Q183" s="685"/>
      <c r="R183" s="423"/>
      <c r="S183" s="674"/>
      <c r="T183" s="674"/>
      <c r="U183" s="675">
        <f>IFERROR((Table4891112[[#This Row],[Invoice Value]]-Table4891112[[#This Row],[Total cost]])/Table4891112[[#This Row],[Invoice Value]],)</f>
        <v>0</v>
      </c>
      <c r="V183" s="676"/>
      <c r="W183" s="676"/>
      <c r="X183" s="676" t="str">
        <f t="shared" si="36"/>
        <v xml:space="preserve"> - </v>
      </c>
      <c r="Y183" s="676" t="str">
        <f t="shared" si="37"/>
        <v xml:space="preserve"> - </v>
      </c>
      <c r="Z183" s="685"/>
      <c r="AA183" s="423" t="str">
        <f t="shared" ca="1" si="38"/>
        <v>-</v>
      </c>
      <c r="AB183" s="423"/>
      <c r="AC183" s="423"/>
      <c r="AD183" s="550"/>
      <c r="AE183" s="550"/>
      <c r="AF183" s="423"/>
      <c r="AG183" s="423"/>
      <c r="AH183" s="423"/>
      <c r="AI183" s="677"/>
      <c r="AJ183" s="547"/>
      <c r="AK183" s="547"/>
      <c r="AL183" s="682"/>
      <c r="AM183" s="547"/>
      <c r="AN183" s="547"/>
      <c r="AO183" s="679"/>
      <c r="AP183" s="406"/>
    </row>
    <row r="184" spans="1:42" ht="20.100000000000001" customHeight="1">
      <c r="A184" s="423"/>
      <c r="B184" s="423"/>
      <c r="C184" s="548"/>
      <c r="E184" s="680"/>
      <c r="F184" s="423"/>
      <c r="G184" s="423"/>
      <c r="H184" s="423"/>
      <c r="I184" s="423" t="s">
        <v>3536</v>
      </c>
      <c r="J184" s="423"/>
      <c r="K184" s="681"/>
      <c r="L184" s="670"/>
      <c r="M184" s="423"/>
      <c r="N184" s="423"/>
      <c r="O184" s="423"/>
      <c r="P184" s="685"/>
      <c r="Q184" s="685"/>
      <c r="R184" s="423"/>
      <c r="S184" s="674"/>
      <c r="T184" s="674"/>
      <c r="U184" s="675">
        <f>IFERROR((Table4891112[[#This Row],[Invoice Value]]-Table4891112[[#This Row],[Total cost]])/Table4891112[[#This Row],[Invoice Value]],)</f>
        <v>0</v>
      </c>
      <c r="V184" s="676"/>
      <c r="W184" s="676"/>
      <c r="X184" s="676" t="str">
        <f t="shared" si="36"/>
        <v xml:space="preserve"> - </v>
      </c>
      <c r="Y184" s="676" t="str">
        <f t="shared" si="37"/>
        <v xml:space="preserve"> - </v>
      </c>
      <c r="Z184" s="685"/>
      <c r="AA184" s="423" t="str">
        <f t="shared" ca="1" si="38"/>
        <v>-</v>
      </c>
      <c r="AB184" s="423"/>
      <c r="AC184" s="423"/>
      <c r="AD184" s="550"/>
      <c r="AE184" s="550"/>
      <c r="AF184" s="423"/>
      <c r="AG184" s="423"/>
      <c r="AH184" s="423"/>
      <c r="AI184" s="677" t="s">
        <v>207</v>
      </c>
      <c r="AJ184" s="547" t="s">
        <v>100</v>
      </c>
      <c r="AK184" s="547" t="s">
        <v>100</v>
      </c>
      <c r="AL184" s="682"/>
      <c r="AM184" s="547"/>
      <c r="AN184" s="547"/>
      <c r="AO184" s="679"/>
      <c r="AP184" s="406"/>
    </row>
    <row r="185" spans="1:42" ht="20.100000000000001" customHeight="1">
      <c r="A185" s="423"/>
      <c r="B185" s="423"/>
      <c r="C185" s="548"/>
      <c r="E185" s="680"/>
      <c r="F185" s="423"/>
      <c r="G185" s="423"/>
      <c r="H185" s="423"/>
      <c r="I185" s="423" t="s">
        <v>3536</v>
      </c>
      <c r="J185" s="423"/>
      <c r="K185" s="681"/>
      <c r="L185" s="670"/>
      <c r="M185" s="423"/>
      <c r="N185" s="423"/>
      <c r="O185" s="423"/>
      <c r="P185" s="685"/>
      <c r="Q185" s="685"/>
      <c r="R185" s="423"/>
      <c r="S185" s="674"/>
      <c r="T185" s="674"/>
      <c r="U185" s="675">
        <f>IFERROR((Table4891112[[#This Row],[Invoice Value]]-Table4891112[[#This Row],[Total cost]])/Table4891112[[#This Row],[Invoice Value]],)</f>
        <v>0</v>
      </c>
      <c r="V185" s="676"/>
      <c r="W185" s="676"/>
      <c r="X185" s="676" t="str">
        <f t="shared" si="36"/>
        <v xml:space="preserve"> - </v>
      </c>
      <c r="Y185" s="676" t="str">
        <f t="shared" si="37"/>
        <v xml:space="preserve"> - </v>
      </c>
      <c r="Z185" s="685"/>
      <c r="AA185" s="423" t="str">
        <f t="shared" ca="1" si="38"/>
        <v>-</v>
      </c>
      <c r="AB185" s="423"/>
      <c r="AC185" s="423"/>
      <c r="AD185" s="550"/>
      <c r="AE185" s="550"/>
      <c r="AF185" s="423"/>
      <c r="AG185" s="423"/>
      <c r="AH185" s="423"/>
      <c r="AI185" s="677" t="s">
        <v>136</v>
      </c>
      <c r="AJ185" s="547" t="s">
        <v>136</v>
      </c>
      <c r="AK185" s="547" t="s">
        <v>136</v>
      </c>
      <c r="AL185" s="682"/>
      <c r="AM185" s="547"/>
      <c r="AN185" s="547"/>
      <c r="AO185" s="679"/>
      <c r="AP185" s="406"/>
    </row>
    <row r="186" spans="1:42" ht="20.100000000000001" customHeight="1">
      <c r="A186" s="423"/>
      <c r="B186" s="423"/>
      <c r="C186" s="548"/>
      <c r="E186" s="680"/>
      <c r="F186" s="423"/>
      <c r="G186" s="423"/>
      <c r="H186" s="423"/>
      <c r="I186" s="423" t="s">
        <v>3536</v>
      </c>
      <c r="J186" s="423"/>
      <c r="K186" s="681"/>
      <c r="L186" s="670"/>
      <c r="M186" s="423"/>
      <c r="N186" s="423"/>
      <c r="O186" s="423"/>
      <c r="P186" s="685"/>
      <c r="Q186" s="685"/>
      <c r="R186" s="423"/>
      <c r="S186" s="674"/>
      <c r="T186" s="674"/>
      <c r="U186" s="675">
        <f>IFERROR((Table4891112[[#This Row],[Invoice Value]]-Table4891112[[#This Row],[Total cost]])/Table4891112[[#This Row],[Invoice Value]],)</f>
        <v>0</v>
      </c>
      <c r="V186" s="676"/>
      <c r="W186" s="676"/>
      <c r="X186" s="676" t="str">
        <f t="shared" si="36"/>
        <v xml:space="preserve"> - </v>
      </c>
      <c r="Y186" s="676" t="str">
        <f t="shared" si="37"/>
        <v xml:space="preserve"> - </v>
      </c>
      <c r="Z186" s="685"/>
      <c r="AA186" s="423" t="str">
        <f t="shared" ca="1" si="38"/>
        <v>-</v>
      </c>
      <c r="AB186" s="423"/>
      <c r="AC186" s="423"/>
      <c r="AD186" s="550"/>
      <c r="AE186" s="550"/>
      <c r="AF186" s="423"/>
      <c r="AG186" s="423"/>
      <c r="AH186" s="677"/>
      <c r="AI186" s="423"/>
      <c r="AJ186" s="547" t="s">
        <v>136</v>
      </c>
      <c r="AK186" s="406" t="s">
        <v>67</v>
      </c>
      <c r="AL186" s="686"/>
      <c r="AM186" s="406"/>
      <c r="AN186" s="406"/>
      <c r="AO186" s="679"/>
      <c r="AP186" s="406"/>
    </row>
    <row r="187" spans="1:42" ht="20.100000000000001" customHeight="1">
      <c r="A187" s="423"/>
      <c r="B187" s="423"/>
      <c r="C187" s="548"/>
      <c r="E187" s="680"/>
      <c r="F187" s="423"/>
      <c r="G187" s="423"/>
      <c r="H187" s="423"/>
      <c r="I187" s="423" t="s">
        <v>3536</v>
      </c>
      <c r="J187" s="423"/>
      <c r="K187" s="681"/>
      <c r="L187" s="670"/>
      <c r="M187" s="423"/>
      <c r="N187" s="423"/>
      <c r="O187" s="423"/>
      <c r="P187" s="685"/>
      <c r="Q187" s="685"/>
      <c r="R187" s="423"/>
      <c r="S187" s="674"/>
      <c r="T187" s="674"/>
      <c r="U187" s="675">
        <f>IFERROR((Table4891112[[#This Row],[Invoice Value]]-Table4891112[[#This Row],[Total cost]])/Table4891112[[#This Row],[Invoice Value]],)</f>
        <v>0</v>
      </c>
      <c r="V187" s="676"/>
      <c r="W187" s="676"/>
      <c r="X187" s="676" t="str">
        <f t="shared" si="36"/>
        <v xml:space="preserve"> - </v>
      </c>
      <c r="Y187" s="676" t="str">
        <f t="shared" si="37"/>
        <v xml:space="preserve"> - </v>
      </c>
      <c r="Z187" s="685"/>
      <c r="AA187" s="423" t="str">
        <f t="shared" ca="1" si="38"/>
        <v>-</v>
      </c>
      <c r="AB187" s="423"/>
      <c r="AC187" s="423"/>
      <c r="AD187" s="550"/>
      <c r="AE187" s="550"/>
      <c r="AF187" s="423"/>
      <c r="AG187" s="423"/>
      <c r="AH187" s="677"/>
      <c r="AI187" s="423"/>
      <c r="AJ187" s="547"/>
      <c r="AK187" s="406"/>
      <c r="AL187" s="686"/>
      <c r="AM187" s="406"/>
      <c r="AN187" s="406"/>
      <c r="AO187" s="679"/>
      <c r="AP187" s="406"/>
    </row>
    <row r="188" spans="1:42" ht="13.9">
      <c r="A188" s="423"/>
      <c r="B188" s="423"/>
      <c r="C188" s="548"/>
      <c r="E188" s="680"/>
      <c r="F188" s="423"/>
      <c r="G188" s="423"/>
      <c r="H188" s="423"/>
      <c r="I188" s="423" t="s">
        <v>3536</v>
      </c>
      <c r="J188" s="423"/>
      <c r="K188" s="681"/>
      <c r="L188" s="670"/>
      <c r="M188" s="423"/>
      <c r="N188" s="423"/>
      <c r="O188" s="423"/>
      <c r="P188" s="685"/>
      <c r="Q188" s="685"/>
      <c r="R188" s="423"/>
      <c r="S188" s="674"/>
      <c r="T188" s="674"/>
      <c r="U188" s="675">
        <f>IFERROR((Table4891112[[#This Row],[Invoice Value]]-Table4891112[[#This Row],[Total cost]])/Table4891112[[#This Row],[Invoice Value]],)</f>
        <v>0</v>
      </c>
      <c r="V188" s="676"/>
      <c r="W188" s="676"/>
      <c r="X188" s="676" t="str">
        <f t="shared" si="36"/>
        <v xml:space="preserve"> - </v>
      </c>
      <c r="Y188" s="676" t="str">
        <f t="shared" si="37"/>
        <v xml:space="preserve"> - </v>
      </c>
      <c r="Z188" s="685"/>
      <c r="AA188" s="423" t="str">
        <f t="shared" ca="1" si="38"/>
        <v>-</v>
      </c>
      <c r="AB188" s="423"/>
      <c r="AC188" s="423"/>
      <c r="AD188" s="550"/>
      <c r="AE188" s="550"/>
      <c r="AF188" s="423"/>
      <c r="AG188" s="423"/>
      <c r="AH188" s="423"/>
      <c r="AI188" s="677" t="s">
        <v>136</v>
      </c>
      <c r="AJ188" s="547" t="s">
        <v>144</v>
      </c>
      <c r="AK188" s="547" t="s">
        <v>67</v>
      </c>
      <c r="AL188" s="682"/>
      <c r="AM188" s="547"/>
      <c r="AN188" s="547"/>
      <c r="AO188" s="679"/>
      <c r="AP188" s="406"/>
    </row>
    <row r="189" spans="1:42" ht="13.9">
      <c r="A189" s="423"/>
      <c r="B189" s="423"/>
      <c r="C189" s="548"/>
      <c r="E189" s="680"/>
      <c r="F189" s="423"/>
      <c r="G189" s="423"/>
      <c r="H189" s="423"/>
      <c r="I189" s="423" t="s">
        <v>3536</v>
      </c>
      <c r="J189" s="423"/>
      <c r="K189" s="681"/>
      <c r="L189" s="670"/>
      <c r="M189" s="423"/>
      <c r="N189" s="423"/>
      <c r="O189" s="423"/>
      <c r="P189" s="685"/>
      <c r="Q189" s="685"/>
      <c r="R189" s="423"/>
      <c r="S189" s="674"/>
      <c r="T189" s="674"/>
      <c r="U189" s="675">
        <f>IFERROR((Table4891112[[#This Row],[Invoice Value]]-Table4891112[[#This Row],[Total cost]])/Table4891112[[#This Row],[Invoice Value]],)</f>
        <v>0</v>
      </c>
      <c r="V189" s="676"/>
      <c r="W189" s="676"/>
      <c r="X189" s="676" t="str">
        <f t="shared" si="36"/>
        <v xml:space="preserve"> - </v>
      </c>
      <c r="Y189" s="676" t="str">
        <f t="shared" si="37"/>
        <v xml:space="preserve"> - </v>
      </c>
      <c r="Z189" s="685"/>
      <c r="AA189" s="423" t="str">
        <f t="shared" ca="1" si="38"/>
        <v>-</v>
      </c>
      <c r="AB189" s="423"/>
      <c r="AC189" s="423"/>
      <c r="AD189" s="550"/>
      <c r="AE189" s="550"/>
      <c r="AF189" s="423"/>
      <c r="AG189" s="423"/>
      <c r="AH189" s="423"/>
      <c r="AI189" s="677"/>
      <c r="AJ189" s="547"/>
      <c r="AK189" s="547"/>
      <c r="AL189" s="682"/>
      <c r="AM189" s="547"/>
      <c r="AN189" s="547"/>
      <c r="AO189" s="679"/>
      <c r="AP189" s="406"/>
    </row>
    <row r="190" spans="1:42" ht="13.9">
      <c r="A190" s="423"/>
      <c r="B190" s="423"/>
      <c r="C190" s="548"/>
      <c r="E190" s="680"/>
      <c r="F190" s="423"/>
      <c r="G190" s="423"/>
      <c r="H190" s="423"/>
      <c r="I190" s="423" t="s">
        <v>3536</v>
      </c>
      <c r="J190" s="423"/>
      <c r="K190" s="681"/>
      <c r="L190" s="670"/>
      <c r="M190" s="423"/>
      <c r="N190" s="423"/>
      <c r="O190" s="423"/>
      <c r="P190" s="685"/>
      <c r="Q190" s="685"/>
      <c r="R190" s="423"/>
      <c r="S190" s="674"/>
      <c r="T190" s="674"/>
      <c r="U190" s="675">
        <f>IFERROR((Table4891112[[#This Row],[Invoice Value]]-Table4891112[[#This Row],[Total cost]])/Table4891112[[#This Row],[Invoice Value]],)</f>
        <v>0</v>
      </c>
      <c r="V190" s="676"/>
      <c r="W190" s="676"/>
      <c r="X190" s="676" t="str">
        <f t="shared" si="36"/>
        <v xml:space="preserve"> - </v>
      </c>
      <c r="Y190" s="676" t="str">
        <f t="shared" si="37"/>
        <v xml:space="preserve"> - </v>
      </c>
      <c r="Z190" s="685"/>
      <c r="AA190" s="423" t="str">
        <f t="shared" ca="1" si="38"/>
        <v>-</v>
      </c>
      <c r="AB190" s="423"/>
      <c r="AC190" s="423"/>
      <c r="AD190" s="550"/>
      <c r="AE190" s="550"/>
      <c r="AF190" s="423"/>
      <c r="AG190" s="423"/>
      <c r="AH190" s="423"/>
      <c r="AI190" s="677" t="s">
        <v>67</v>
      </c>
      <c r="AJ190" s="547" t="s">
        <v>67</v>
      </c>
      <c r="AK190" s="547" t="s">
        <v>67</v>
      </c>
      <c r="AL190" s="682"/>
      <c r="AM190" s="547"/>
      <c r="AN190" s="547"/>
      <c r="AO190" s="679"/>
      <c r="AP190" s="406"/>
    </row>
    <row r="191" spans="1:42" ht="13.9">
      <c r="A191" s="423"/>
      <c r="B191" s="423"/>
      <c r="C191" s="548"/>
      <c r="E191" s="680"/>
      <c r="F191" s="423"/>
      <c r="G191" s="423"/>
      <c r="H191" s="423"/>
      <c r="I191" s="423" t="s">
        <v>3536</v>
      </c>
      <c r="J191" s="423"/>
      <c r="K191" s="681"/>
      <c r="L191" s="670"/>
      <c r="M191" s="423"/>
      <c r="N191" s="423"/>
      <c r="O191" s="423"/>
      <c r="P191" s="685"/>
      <c r="Q191" s="685"/>
      <c r="R191" s="423"/>
      <c r="S191" s="674"/>
      <c r="T191" s="674"/>
      <c r="U191" s="675">
        <f>IFERROR((Table4891112[[#This Row],[Invoice Value]]-Table4891112[[#This Row],[Total cost]])/Table4891112[[#This Row],[Invoice Value]],)</f>
        <v>0</v>
      </c>
      <c r="V191" s="676"/>
      <c r="W191" s="676"/>
      <c r="X191" s="676" t="str">
        <f t="shared" si="36"/>
        <v xml:space="preserve"> - </v>
      </c>
      <c r="Y191" s="676" t="str">
        <f t="shared" si="37"/>
        <v xml:space="preserve"> - </v>
      </c>
      <c r="Z191" s="676"/>
      <c r="AA191" s="423" t="str">
        <f t="shared" ca="1" si="38"/>
        <v>-</v>
      </c>
      <c r="AB191" s="423"/>
      <c r="AC191" s="423"/>
      <c r="AD191" s="550"/>
      <c r="AE191" s="550"/>
      <c r="AF191" s="423"/>
      <c r="AG191" s="423"/>
      <c r="AH191" s="423"/>
      <c r="AI191" s="687" t="s">
        <v>100</v>
      </c>
      <c r="AJ191" s="547" t="s">
        <v>100</v>
      </c>
      <c r="AK191" s="334" t="s">
        <v>67</v>
      </c>
      <c r="AL191" s="343"/>
      <c r="AM191" s="334"/>
      <c r="AN191" s="334"/>
      <c r="AO191" s="679"/>
      <c r="AP191" s="406"/>
    </row>
    <row r="192" spans="1:42" ht="13.9">
      <c r="A192" s="423"/>
      <c r="B192" s="423"/>
      <c r="C192" s="548"/>
      <c r="E192" s="680"/>
      <c r="F192" s="423"/>
      <c r="G192" s="423"/>
      <c r="H192" s="423"/>
      <c r="I192" s="423" t="s">
        <v>3536</v>
      </c>
      <c r="J192" s="423"/>
      <c r="K192" s="681"/>
      <c r="L192" s="670"/>
      <c r="M192" s="423"/>
      <c r="N192" s="423"/>
      <c r="O192" s="423"/>
      <c r="P192" s="685"/>
      <c r="Q192" s="685"/>
      <c r="R192" s="423"/>
      <c r="S192" s="674"/>
      <c r="T192" s="674"/>
      <c r="U192" s="675">
        <f>IFERROR((Table4891112[[#This Row],[Invoice Value]]-Table4891112[[#This Row],[Total cost]])/Table4891112[[#This Row],[Invoice Value]],)</f>
        <v>0</v>
      </c>
      <c r="V192" s="676"/>
      <c r="W192" s="676"/>
      <c r="X192" s="676" t="str">
        <f t="shared" si="36"/>
        <v xml:space="preserve"> - </v>
      </c>
      <c r="Y192" s="676" t="str">
        <f t="shared" si="37"/>
        <v xml:space="preserve"> - </v>
      </c>
      <c r="Z192" s="676"/>
      <c r="AA192" s="423" t="str">
        <f t="shared" ca="1" si="38"/>
        <v>-</v>
      </c>
      <c r="AB192" s="423"/>
      <c r="AC192" s="423"/>
      <c r="AD192" s="550"/>
      <c r="AE192" s="550"/>
      <c r="AF192" s="423"/>
      <c r="AG192" s="423"/>
      <c r="AH192" s="423"/>
      <c r="AI192" s="677" t="s">
        <v>100</v>
      </c>
      <c r="AJ192" s="547" t="s">
        <v>100</v>
      </c>
      <c r="AK192" s="547" t="s">
        <v>100</v>
      </c>
      <c r="AL192" s="682"/>
      <c r="AM192" s="547"/>
      <c r="AN192" s="547"/>
      <c r="AO192" s="679"/>
      <c r="AP192" s="406"/>
    </row>
    <row r="193" spans="1:42" ht="13.9">
      <c r="A193" s="423"/>
      <c r="B193" s="423"/>
      <c r="C193" s="548"/>
      <c r="E193" s="680"/>
      <c r="F193" s="423"/>
      <c r="G193" s="423"/>
      <c r="H193" s="423"/>
      <c r="I193" s="423" t="s">
        <v>3536</v>
      </c>
      <c r="J193" s="423"/>
      <c r="K193" s="681"/>
      <c r="L193" s="670"/>
      <c r="M193" s="423"/>
      <c r="N193" s="423"/>
      <c r="O193" s="423"/>
      <c r="P193" s="685"/>
      <c r="Q193" s="685"/>
      <c r="R193" s="423"/>
      <c r="S193" s="674"/>
      <c r="T193" s="674"/>
      <c r="U193" s="675">
        <f>IFERROR((Table4891112[[#This Row],[Invoice Value]]-Table4891112[[#This Row],[Total cost]])/Table4891112[[#This Row],[Invoice Value]],)</f>
        <v>0</v>
      </c>
      <c r="V193" s="676"/>
      <c r="W193" s="676"/>
      <c r="X193" s="676" t="str">
        <f t="shared" si="36"/>
        <v xml:space="preserve"> - </v>
      </c>
      <c r="Y193" s="676" t="str">
        <f t="shared" si="37"/>
        <v xml:space="preserve"> - </v>
      </c>
      <c r="Z193" s="676"/>
      <c r="AA193" s="423" t="str">
        <f t="shared" ca="1" si="38"/>
        <v>-</v>
      </c>
      <c r="AB193" s="423"/>
      <c r="AC193" s="423"/>
      <c r="AD193" s="550"/>
      <c r="AE193" s="550"/>
      <c r="AF193" s="423"/>
      <c r="AG193" s="423"/>
      <c r="AH193" s="423"/>
      <c r="AI193" s="677" t="s">
        <v>67</v>
      </c>
      <c r="AJ193" s="547" t="s">
        <v>67</v>
      </c>
      <c r="AK193" s="547" t="s">
        <v>67</v>
      </c>
      <c r="AL193" s="682"/>
      <c r="AM193" s="547"/>
      <c r="AN193" s="547"/>
      <c r="AO193" s="679"/>
      <c r="AP193" s="406"/>
    </row>
    <row r="194" spans="1:42" ht="13.9">
      <c r="A194" s="423"/>
      <c r="B194" s="423"/>
      <c r="C194" s="548"/>
      <c r="E194" s="680"/>
      <c r="F194" s="423"/>
      <c r="G194" s="423"/>
      <c r="H194" s="423"/>
      <c r="I194" s="423" t="s">
        <v>3536</v>
      </c>
      <c r="J194" s="423"/>
      <c r="K194" s="681"/>
      <c r="L194" s="670"/>
      <c r="M194" s="423"/>
      <c r="N194" s="423"/>
      <c r="O194" s="423"/>
      <c r="P194" s="685"/>
      <c r="Q194" s="685"/>
      <c r="R194" s="423"/>
      <c r="S194" s="674"/>
      <c r="T194" s="674"/>
      <c r="U194" s="675">
        <f>IFERROR((Table4891112[[#This Row],[Invoice Value]]-Table4891112[[#This Row],[Total cost]])/Table4891112[[#This Row],[Invoice Value]],)</f>
        <v>0</v>
      </c>
      <c r="V194" s="676"/>
      <c r="W194" s="676"/>
      <c r="X194" s="676" t="str">
        <f t="shared" si="36"/>
        <v xml:space="preserve"> - </v>
      </c>
      <c r="Y194" s="676" t="str">
        <f t="shared" si="37"/>
        <v xml:space="preserve"> - </v>
      </c>
      <c r="Z194" s="676"/>
      <c r="AA194" s="423" t="str">
        <f t="shared" ca="1" si="38"/>
        <v>-</v>
      </c>
      <c r="AB194" s="423"/>
      <c r="AC194" s="423"/>
      <c r="AD194" s="550"/>
      <c r="AE194" s="550"/>
      <c r="AF194" s="423"/>
      <c r="AG194" s="423"/>
      <c r="AH194" s="423"/>
      <c r="AI194" s="677" t="s">
        <v>100</v>
      </c>
      <c r="AJ194" s="547" t="s">
        <v>100</v>
      </c>
      <c r="AK194" s="547" t="s">
        <v>100</v>
      </c>
      <c r="AL194" s="682"/>
      <c r="AM194" s="547"/>
      <c r="AN194" s="547"/>
      <c r="AO194" s="679"/>
      <c r="AP194" s="406"/>
    </row>
    <row r="195" spans="1:42" ht="13.9">
      <c r="A195" s="423"/>
      <c r="B195" s="423"/>
      <c r="C195" s="548"/>
      <c r="E195" s="680"/>
      <c r="F195" s="423"/>
      <c r="G195" s="423"/>
      <c r="H195" s="423"/>
      <c r="I195" s="423" t="s">
        <v>3536</v>
      </c>
      <c r="J195" s="423"/>
      <c r="K195" s="681"/>
      <c r="L195" s="670"/>
      <c r="M195" s="423"/>
      <c r="N195" s="423"/>
      <c r="O195" s="423"/>
      <c r="P195" s="685"/>
      <c r="Q195" s="685"/>
      <c r="R195" s="423"/>
      <c r="S195" s="674"/>
      <c r="T195" s="674"/>
      <c r="U195" s="675">
        <f>IFERROR((Table4891112[[#This Row],[Invoice Value]]-Table4891112[[#This Row],[Total cost]])/Table4891112[[#This Row],[Invoice Value]],)</f>
        <v>0</v>
      </c>
      <c r="V195" s="676"/>
      <c r="W195" s="676"/>
      <c r="X195" s="676" t="str">
        <f t="shared" si="36"/>
        <v xml:space="preserve"> - </v>
      </c>
      <c r="Y195" s="676" t="str">
        <f t="shared" si="37"/>
        <v xml:space="preserve"> - </v>
      </c>
      <c r="Z195" s="676"/>
      <c r="AA195" s="423" t="str">
        <f t="shared" ca="1" si="38"/>
        <v>-</v>
      </c>
      <c r="AB195" s="423"/>
      <c r="AC195" s="423"/>
      <c r="AD195" s="550"/>
      <c r="AE195" s="550"/>
      <c r="AF195" s="423"/>
      <c r="AG195" s="423"/>
      <c r="AH195" s="423"/>
      <c r="AI195" s="677" t="s">
        <v>67</v>
      </c>
      <c r="AJ195" s="547" t="s">
        <v>67</v>
      </c>
      <c r="AK195" s="547" t="s">
        <v>67</v>
      </c>
      <c r="AL195" s="682"/>
      <c r="AM195" s="547"/>
      <c r="AN195" s="547"/>
      <c r="AO195" s="679"/>
      <c r="AP195" s="406"/>
    </row>
    <row r="196" spans="1:42" ht="13.9">
      <c r="A196" s="423"/>
      <c r="B196" s="423"/>
      <c r="C196" s="548"/>
      <c r="E196" s="680"/>
      <c r="F196" s="423"/>
      <c r="G196" s="423"/>
      <c r="H196" s="423"/>
      <c r="I196" s="423" t="s">
        <v>3536</v>
      </c>
      <c r="J196" s="423"/>
      <c r="K196" s="681"/>
      <c r="L196" s="670"/>
      <c r="M196" s="423"/>
      <c r="N196" s="423"/>
      <c r="O196" s="423"/>
      <c r="P196" s="685"/>
      <c r="Q196" s="685"/>
      <c r="R196" s="423"/>
      <c r="S196" s="674"/>
      <c r="T196" s="674"/>
      <c r="U196" s="675">
        <f>IFERROR((Table4891112[[#This Row],[Invoice Value]]-Table4891112[[#This Row],[Total cost]])/Table4891112[[#This Row],[Invoice Value]],)</f>
        <v>0</v>
      </c>
      <c r="V196" s="676"/>
      <c r="W196" s="676"/>
      <c r="X196" s="676" t="str">
        <f t="shared" si="36"/>
        <v xml:space="preserve"> - </v>
      </c>
      <c r="Y196" s="676" t="str">
        <f t="shared" si="37"/>
        <v xml:space="preserve"> - </v>
      </c>
      <c r="Z196" s="685"/>
      <c r="AA196" s="423" t="str">
        <f t="shared" ca="1" si="38"/>
        <v>-</v>
      </c>
      <c r="AB196" s="423"/>
      <c r="AC196" s="423"/>
      <c r="AD196" s="550"/>
      <c r="AE196" s="550"/>
      <c r="AF196" s="423"/>
      <c r="AG196" s="423"/>
      <c r="AH196" s="423"/>
      <c r="AI196" s="677" t="s">
        <v>67</v>
      </c>
      <c r="AJ196" s="547" t="s">
        <v>67</v>
      </c>
      <c r="AK196" s="547" t="s">
        <v>67</v>
      </c>
      <c r="AL196" s="682"/>
      <c r="AM196" s="547"/>
      <c r="AN196" s="547"/>
      <c r="AO196" s="679"/>
      <c r="AP196" s="406"/>
    </row>
    <row r="197" spans="1:42" ht="13.9">
      <c r="A197" s="423"/>
      <c r="B197" s="423"/>
      <c r="C197" s="548"/>
      <c r="E197" s="680"/>
      <c r="F197" s="423"/>
      <c r="G197" s="423"/>
      <c r="H197" s="423"/>
      <c r="I197" s="423" t="s">
        <v>3536</v>
      </c>
      <c r="J197" s="423"/>
      <c r="K197" s="681"/>
      <c r="L197" s="670"/>
      <c r="M197" s="423"/>
      <c r="N197" s="423"/>
      <c r="O197" s="423"/>
      <c r="P197" s="685"/>
      <c r="Q197" s="685"/>
      <c r="R197" s="423"/>
      <c r="S197" s="674"/>
      <c r="T197" s="674"/>
      <c r="U197" s="675">
        <f>IFERROR((Table4891112[[#This Row],[Invoice Value]]-Table4891112[[#This Row],[Total cost]])/Table4891112[[#This Row],[Invoice Value]],)</f>
        <v>0</v>
      </c>
      <c r="V197" s="676"/>
      <c r="W197" s="676"/>
      <c r="X197" s="676" t="str">
        <f t="shared" si="36"/>
        <v xml:space="preserve"> - </v>
      </c>
      <c r="Y197" s="676" t="str">
        <f t="shared" si="37"/>
        <v xml:space="preserve"> - </v>
      </c>
      <c r="Z197" s="685"/>
      <c r="AA197" s="423" t="str">
        <f t="shared" ca="1" si="38"/>
        <v>-</v>
      </c>
      <c r="AB197" s="423"/>
      <c r="AC197" s="423"/>
      <c r="AD197" s="550"/>
      <c r="AE197" s="550"/>
      <c r="AF197" s="423"/>
      <c r="AG197" s="423"/>
      <c r="AH197" s="423"/>
      <c r="AI197" s="677" t="s">
        <v>144</v>
      </c>
      <c r="AJ197" s="547" t="s">
        <v>144</v>
      </c>
      <c r="AK197" s="547" t="s">
        <v>100</v>
      </c>
      <c r="AL197" s="682"/>
      <c r="AM197" s="547"/>
      <c r="AN197" s="547"/>
      <c r="AO197" s="679"/>
      <c r="AP197" s="406"/>
    </row>
    <row r="198" spans="1:42" ht="13.9">
      <c r="A198" s="423"/>
      <c r="B198" s="423"/>
      <c r="C198" s="548"/>
      <c r="E198" s="680"/>
      <c r="F198" s="423"/>
      <c r="G198" s="423"/>
      <c r="H198" s="423"/>
      <c r="I198" s="423" t="s">
        <v>3536</v>
      </c>
      <c r="J198" s="423"/>
      <c r="K198" s="681"/>
      <c r="L198" s="670"/>
      <c r="M198" s="423"/>
      <c r="N198" s="423"/>
      <c r="O198" s="423"/>
      <c r="P198" s="685"/>
      <c r="Q198" s="685"/>
      <c r="R198" s="423"/>
      <c r="S198" s="674"/>
      <c r="T198" s="674"/>
      <c r="U198" s="675">
        <f>IFERROR((Table4891112[[#This Row],[Invoice Value]]-Table4891112[[#This Row],[Total cost]])/Table4891112[[#This Row],[Invoice Value]],)</f>
        <v>0</v>
      </c>
      <c r="V198" s="676"/>
      <c r="W198" s="676"/>
      <c r="X198" s="676" t="str">
        <f t="shared" si="36"/>
        <v xml:space="preserve"> - </v>
      </c>
      <c r="Y198" s="676" t="str">
        <f t="shared" si="37"/>
        <v xml:space="preserve"> - </v>
      </c>
      <c r="Z198" s="685"/>
      <c r="AA198" s="423" t="str">
        <f t="shared" ca="1" si="38"/>
        <v>-</v>
      </c>
      <c r="AB198" s="423"/>
      <c r="AC198" s="423"/>
      <c r="AD198" s="550"/>
      <c r="AE198" s="550"/>
      <c r="AF198" s="423"/>
      <c r="AG198" s="423"/>
      <c r="AH198" s="423"/>
      <c r="AI198" s="677" t="s">
        <v>144</v>
      </c>
      <c r="AJ198" s="547" t="s">
        <v>144</v>
      </c>
      <c r="AK198" s="547" t="s">
        <v>67</v>
      </c>
      <c r="AL198" s="682"/>
      <c r="AM198" s="547"/>
      <c r="AN198" s="547"/>
      <c r="AO198" s="679"/>
      <c r="AP198" s="406"/>
    </row>
    <row r="199" spans="1:42" ht="13.9">
      <c r="A199" s="423"/>
      <c r="B199" s="423"/>
      <c r="C199" s="548"/>
      <c r="E199" s="680"/>
      <c r="F199" s="423"/>
      <c r="G199" s="423"/>
      <c r="H199" s="423"/>
      <c r="I199" s="423" t="s">
        <v>3536</v>
      </c>
      <c r="J199" s="423"/>
      <c r="K199" s="681"/>
      <c r="L199" s="670"/>
      <c r="M199" s="423"/>
      <c r="N199" s="423"/>
      <c r="O199" s="423"/>
      <c r="P199" s="685"/>
      <c r="Q199" s="685"/>
      <c r="R199" s="423"/>
      <c r="S199" s="674"/>
      <c r="T199" s="674"/>
      <c r="U199" s="675">
        <f>IFERROR((Table4891112[[#This Row],[Invoice Value]]-Table4891112[[#This Row],[Total cost]])/Table4891112[[#This Row],[Invoice Value]],)</f>
        <v>0</v>
      </c>
      <c r="V199" s="676"/>
      <c r="W199" s="676"/>
      <c r="X199" s="676" t="str">
        <f t="shared" si="36"/>
        <v xml:space="preserve"> - </v>
      </c>
      <c r="Y199" s="676" t="str">
        <f t="shared" si="37"/>
        <v xml:space="preserve"> - </v>
      </c>
      <c r="Z199" s="685"/>
      <c r="AA199" s="423" t="str">
        <f t="shared" ca="1" si="38"/>
        <v>-</v>
      </c>
      <c r="AB199" s="423"/>
      <c r="AC199" s="423"/>
      <c r="AD199" s="550"/>
      <c r="AE199" s="550"/>
      <c r="AF199" s="423"/>
      <c r="AG199" s="423"/>
      <c r="AH199" s="423"/>
      <c r="AI199" s="677" t="s">
        <v>144</v>
      </c>
      <c r="AJ199" s="547" t="s">
        <v>100</v>
      </c>
      <c r="AK199" s="547" t="s">
        <v>67</v>
      </c>
      <c r="AL199" s="682"/>
      <c r="AM199" s="547"/>
      <c r="AN199" s="547"/>
      <c r="AO199" s="679"/>
      <c r="AP199" s="406"/>
    </row>
    <row r="200" spans="1:42" ht="13.9">
      <c r="A200" s="423"/>
      <c r="B200" s="423"/>
      <c r="C200" s="548"/>
      <c r="E200" s="680"/>
      <c r="F200" s="423"/>
      <c r="G200" s="423"/>
      <c r="H200" s="423"/>
      <c r="I200" s="423" t="s">
        <v>3536</v>
      </c>
      <c r="J200" s="423"/>
      <c r="K200" s="681"/>
      <c r="L200" s="670"/>
      <c r="M200" s="423"/>
      <c r="N200" s="423"/>
      <c r="O200" s="423"/>
      <c r="P200" s="685"/>
      <c r="Q200" s="685"/>
      <c r="R200" s="423"/>
      <c r="S200" s="674"/>
      <c r="T200" s="674"/>
      <c r="U200" s="675">
        <f>IFERROR((Table4891112[[#This Row],[Invoice Value]]-Table4891112[[#This Row],[Total cost]])/Table4891112[[#This Row],[Invoice Value]],)</f>
        <v>0</v>
      </c>
      <c r="V200" s="676"/>
      <c r="W200" s="676"/>
      <c r="X200" s="676" t="str">
        <f t="shared" si="36"/>
        <v xml:space="preserve"> - </v>
      </c>
      <c r="Y200" s="676" t="str">
        <f t="shared" si="37"/>
        <v xml:space="preserve"> - </v>
      </c>
      <c r="Z200" s="685"/>
      <c r="AA200" s="423" t="str">
        <f t="shared" ca="1" si="38"/>
        <v>-</v>
      </c>
      <c r="AB200" s="423"/>
      <c r="AC200" s="423"/>
      <c r="AD200" s="550"/>
      <c r="AE200" s="550"/>
      <c r="AF200" s="423"/>
      <c r="AG200" s="423"/>
      <c r="AH200" s="423"/>
      <c r="AI200" s="677" t="s">
        <v>100</v>
      </c>
      <c r="AJ200" s="547" t="s">
        <v>100</v>
      </c>
      <c r="AK200" s="547" t="s">
        <v>67</v>
      </c>
      <c r="AL200" s="682"/>
      <c r="AM200" s="547"/>
      <c r="AN200" s="547"/>
      <c r="AO200" s="679"/>
      <c r="AP200" s="406"/>
    </row>
    <row r="201" spans="1:42" ht="13.9">
      <c r="A201" s="423"/>
      <c r="B201" s="423"/>
      <c r="C201" s="548"/>
      <c r="E201" s="680"/>
      <c r="F201" s="423"/>
      <c r="G201" s="423"/>
      <c r="H201" s="423"/>
      <c r="I201" s="423" t="s">
        <v>3536</v>
      </c>
      <c r="J201" s="423"/>
      <c r="K201" s="681"/>
      <c r="L201" s="670"/>
      <c r="M201" s="423"/>
      <c r="N201" s="423"/>
      <c r="O201" s="423"/>
      <c r="P201" s="685"/>
      <c r="Q201" s="685"/>
      <c r="R201" s="423"/>
      <c r="S201" s="674"/>
      <c r="T201" s="674"/>
      <c r="U201" s="675">
        <f>IFERROR((Table4891112[[#This Row],[Invoice Value]]-Table4891112[[#This Row],[Total cost]])/Table4891112[[#This Row],[Invoice Value]],)</f>
        <v>0</v>
      </c>
      <c r="V201" s="676"/>
      <c r="W201" s="676"/>
      <c r="X201" s="676" t="str">
        <f t="shared" si="36"/>
        <v xml:space="preserve"> - </v>
      </c>
      <c r="Y201" s="676" t="str">
        <f t="shared" si="37"/>
        <v xml:space="preserve"> - </v>
      </c>
      <c r="Z201" s="685"/>
      <c r="AA201" s="423" t="str">
        <f t="shared" ca="1" si="38"/>
        <v>-</v>
      </c>
      <c r="AB201" s="423"/>
      <c r="AC201" s="423"/>
      <c r="AD201" s="550"/>
      <c r="AE201" s="550"/>
      <c r="AF201" s="423"/>
      <c r="AG201" s="423"/>
      <c r="AH201" s="423"/>
      <c r="AI201" s="677" t="s">
        <v>100</v>
      </c>
      <c r="AJ201" s="547" t="s">
        <v>100</v>
      </c>
      <c r="AK201" s="547" t="s">
        <v>100</v>
      </c>
      <c r="AL201" s="682"/>
      <c r="AM201" s="547"/>
      <c r="AN201" s="547"/>
      <c r="AO201" s="679"/>
      <c r="AP201" s="406"/>
    </row>
    <row r="202" spans="1:42" ht="13.9">
      <c r="A202" s="423"/>
      <c r="B202" s="423"/>
      <c r="C202" s="548"/>
      <c r="E202" s="680"/>
      <c r="F202" s="423"/>
      <c r="G202" s="423"/>
      <c r="H202" s="423"/>
      <c r="I202" s="423" t="s">
        <v>3536</v>
      </c>
      <c r="J202" s="423"/>
      <c r="K202" s="681"/>
      <c r="L202" s="670"/>
      <c r="M202" s="423"/>
      <c r="N202" s="423"/>
      <c r="O202" s="423"/>
      <c r="P202" s="685"/>
      <c r="Q202" s="685"/>
      <c r="R202" s="423"/>
      <c r="S202" s="674"/>
      <c r="T202" s="674"/>
      <c r="U202" s="675">
        <f>IFERROR((Table4891112[[#This Row],[Invoice Value]]-Table4891112[[#This Row],[Total cost]])/Table4891112[[#This Row],[Invoice Value]],)</f>
        <v>0</v>
      </c>
      <c r="V202" s="676"/>
      <c r="W202" s="676"/>
      <c r="X202" s="676" t="str">
        <f t="shared" si="36"/>
        <v xml:space="preserve"> - </v>
      </c>
      <c r="Y202" s="676" t="str">
        <f t="shared" si="37"/>
        <v xml:space="preserve"> - </v>
      </c>
      <c r="Z202" s="685"/>
      <c r="AA202" s="423" t="str">
        <f t="shared" ca="1" si="38"/>
        <v>-</v>
      </c>
      <c r="AB202" s="423"/>
      <c r="AC202" s="423"/>
      <c r="AD202" s="550"/>
      <c r="AE202" s="550"/>
      <c r="AF202" s="423"/>
      <c r="AG202" s="423"/>
      <c r="AH202" s="423"/>
      <c r="AI202" s="677" t="s">
        <v>100</v>
      </c>
      <c r="AJ202" s="547" t="s">
        <v>100</v>
      </c>
      <c r="AK202" s="547" t="s">
        <v>100</v>
      </c>
      <c r="AL202" s="682"/>
      <c r="AM202" s="547"/>
      <c r="AN202" s="547"/>
      <c r="AO202" s="679"/>
      <c r="AP202" s="406"/>
    </row>
    <row r="203" spans="1:42" ht="13.9">
      <c r="A203" s="423"/>
      <c r="B203" s="423"/>
      <c r="C203" s="548"/>
      <c r="E203" s="680"/>
      <c r="F203" s="423"/>
      <c r="G203" s="423"/>
      <c r="H203" s="423"/>
      <c r="I203" s="423" t="s">
        <v>3536</v>
      </c>
      <c r="J203" s="423"/>
      <c r="K203" s="681"/>
      <c r="L203" s="670"/>
      <c r="M203" s="423"/>
      <c r="N203" s="423"/>
      <c r="O203" s="423"/>
      <c r="P203" s="685"/>
      <c r="Q203" s="685"/>
      <c r="R203" s="423"/>
      <c r="S203" s="674"/>
      <c r="T203" s="674"/>
      <c r="U203" s="675">
        <f>IFERROR((Table4891112[[#This Row],[Invoice Value]]-Table4891112[[#This Row],[Total cost]])/Table4891112[[#This Row],[Invoice Value]],)</f>
        <v>0</v>
      </c>
      <c r="V203" s="676"/>
      <c r="W203" s="676"/>
      <c r="X203" s="676" t="str">
        <f t="shared" si="36"/>
        <v xml:space="preserve"> - </v>
      </c>
      <c r="Y203" s="676" t="str">
        <f t="shared" si="37"/>
        <v xml:space="preserve"> - </v>
      </c>
      <c r="Z203" s="685"/>
      <c r="AA203" s="423" t="str">
        <f t="shared" ca="1" si="38"/>
        <v>-</v>
      </c>
      <c r="AB203" s="423"/>
      <c r="AC203" s="423"/>
      <c r="AD203" s="550"/>
      <c r="AE203" s="550"/>
      <c r="AF203" s="423"/>
      <c r="AG203" s="423"/>
      <c r="AH203" s="423"/>
      <c r="AI203" s="677" t="s">
        <v>100</v>
      </c>
      <c r="AJ203" s="547" t="s">
        <v>100</v>
      </c>
      <c r="AK203" s="547" t="s">
        <v>67</v>
      </c>
      <c r="AL203" s="682"/>
      <c r="AM203" s="547"/>
      <c r="AN203" s="547"/>
      <c r="AO203" s="679"/>
      <c r="AP203" s="406"/>
    </row>
    <row r="204" spans="1:42" ht="13.9">
      <c r="A204" s="423"/>
      <c r="B204" s="423"/>
      <c r="C204" s="548"/>
      <c r="E204" s="680"/>
      <c r="F204" s="423"/>
      <c r="G204" s="423"/>
      <c r="H204" s="423"/>
      <c r="I204" s="423" t="s">
        <v>3536</v>
      </c>
      <c r="J204" s="423"/>
      <c r="K204" s="681"/>
      <c r="L204" s="670"/>
      <c r="M204" s="423"/>
      <c r="N204" s="423"/>
      <c r="O204" s="423"/>
      <c r="P204" s="685"/>
      <c r="Q204" s="685"/>
      <c r="R204" s="423"/>
      <c r="S204" s="674"/>
      <c r="T204" s="674"/>
      <c r="U204" s="675">
        <f>IFERROR((Table4891112[[#This Row],[Invoice Value]]-Table4891112[[#This Row],[Total cost]])/Table4891112[[#This Row],[Invoice Value]],)</f>
        <v>0</v>
      </c>
      <c r="V204" s="676"/>
      <c r="W204" s="676"/>
      <c r="X204" s="676" t="str">
        <f t="shared" si="36"/>
        <v xml:space="preserve"> - </v>
      </c>
      <c r="Y204" s="676" t="str">
        <f t="shared" si="37"/>
        <v xml:space="preserve"> - </v>
      </c>
      <c r="Z204" s="685"/>
      <c r="AA204" s="423" t="str">
        <f t="shared" ca="1" si="38"/>
        <v>-</v>
      </c>
      <c r="AB204" s="423"/>
      <c r="AC204" s="423"/>
      <c r="AD204" s="550"/>
      <c r="AE204" s="550"/>
      <c r="AF204" s="423"/>
      <c r="AG204" s="423"/>
      <c r="AH204" s="423"/>
      <c r="AI204" s="677" t="s">
        <v>67</v>
      </c>
      <c r="AJ204" s="547" t="s">
        <v>67</v>
      </c>
      <c r="AK204" s="547" t="s">
        <v>67</v>
      </c>
      <c r="AL204" s="682"/>
      <c r="AM204" s="547"/>
      <c r="AN204" s="547"/>
      <c r="AO204" s="679"/>
      <c r="AP204" s="406"/>
    </row>
    <row r="205" spans="1:42" ht="13.9">
      <c r="A205" s="423"/>
      <c r="B205" s="423"/>
      <c r="C205" s="548"/>
      <c r="E205" s="680"/>
      <c r="F205" s="423"/>
      <c r="G205" s="423"/>
      <c r="H205" s="423"/>
      <c r="I205" s="423" t="s">
        <v>3536</v>
      </c>
      <c r="J205" s="423"/>
      <c r="K205" s="681"/>
      <c r="L205" s="670"/>
      <c r="M205" s="423"/>
      <c r="N205" s="423"/>
      <c r="O205" s="423"/>
      <c r="P205" s="685"/>
      <c r="Q205" s="685"/>
      <c r="R205" s="685"/>
      <c r="S205" s="674"/>
      <c r="T205" s="674"/>
      <c r="U205" s="675">
        <f>IFERROR((Table4891112[[#This Row],[Invoice Value]]-Table4891112[[#This Row],[Total cost]])/Table4891112[[#This Row],[Invoice Value]],)</f>
        <v>0</v>
      </c>
      <c r="V205" s="676"/>
      <c r="W205" s="676"/>
      <c r="X205" s="676" t="str">
        <f t="shared" si="36"/>
        <v xml:space="preserve"> - </v>
      </c>
      <c r="Y205" s="676" t="str">
        <f t="shared" si="37"/>
        <v xml:space="preserve"> - </v>
      </c>
      <c r="Z205" s="685"/>
      <c r="AA205" s="423" t="str">
        <f t="shared" ca="1" si="38"/>
        <v>-</v>
      </c>
      <c r="AB205" s="423"/>
      <c r="AC205" s="423"/>
      <c r="AD205" s="550"/>
      <c r="AE205" s="550"/>
      <c r="AF205" s="423"/>
      <c r="AG205" s="423"/>
      <c r="AH205" s="423"/>
      <c r="AI205" s="677"/>
      <c r="AJ205" s="547"/>
      <c r="AK205" s="547"/>
      <c r="AL205" s="682"/>
      <c r="AM205" s="547"/>
      <c r="AN205" s="547"/>
      <c r="AO205" s="679"/>
      <c r="AP205" s="406"/>
    </row>
    <row r="206" spans="1:42" ht="13.9">
      <c r="A206" s="423"/>
      <c r="B206" s="423"/>
      <c r="C206" s="548"/>
      <c r="E206" s="680"/>
      <c r="F206" s="423"/>
      <c r="G206" s="423"/>
      <c r="H206" s="423"/>
      <c r="I206" s="423" t="s">
        <v>3536</v>
      </c>
      <c r="J206" s="423"/>
      <c r="K206" s="681"/>
      <c r="L206" s="670"/>
      <c r="M206" s="423"/>
      <c r="N206" s="423"/>
      <c r="O206" s="423"/>
      <c r="P206" s="685"/>
      <c r="Q206" s="685"/>
      <c r="R206" s="423"/>
      <c r="S206" s="674"/>
      <c r="T206" s="674"/>
      <c r="U206" s="675">
        <f>IFERROR((Table4891112[[#This Row],[Invoice Value]]-Table4891112[[#This Row],[Total cost]])/Table4891112[[#This Row],[Invoice Value]],)</f>
        <v>0</v>
      </c>
      <c r="V206" s="676"/>
      <c r="W206" s="676"/>
      <c r="X206" s="676" t="str">
        <f t="shared" si="36"/>
        <v xml:space="preserve"> - </v>
      </c>
      <c r="Y206" s="676" t="str">
        <f t="shared" si="37"/>
        <v xml:space="preserve"> - </v>
      </c>
      <c r="Z206" s="685"/>
      <c r="AA206" s="423" t="str">
        <f t="shared" ca="1" si="38"/>
        <v>-</v>
      </c>
      <c r="AB206" s="423"/>
      <c r="AC206" s="423"/>
      <c r="AD206" s="550"/>
      <c r="AE206" s="550"/>
      <c r="AF206" s="423"/>
      <c r="AG206" s="423"/>
      <c r="AH206" s="423"/>
      <c r="AI206" s="677" t="s">
        <v>100</v>
      </c>
      <c r="AJ206" s="547" t="s">
        <v>144</v>
      </c>
      <c r="AK206" s="547" t="s">
        <v>144</v>
      </c>
      <c r="AL206" s="682"/>
      <c r="AM206" s="547"/>
      <c r="AN206" s="547"/>
      <c r="AO206" s="679"/>
      <c r="AP206" s="406"/>
    </row>
    <row r="207" spans="1:42" ht="13.9">
      <c r="A207" s="423"/>
      <c r="B207" s="423"/>
      <c r="C207" s="548"/>
      <c r="E207" s="680"/>
      <c r="F207" s="423"/>
      <c r="G207" s="423"/>
      <c r="H207" s="423"/>
      <c r="I207" s="423" t="s">
        <v>3536</v>
      </c>
      <c r="J207" s="423"/>
      <c r="K207" s="681"/>
      <c r="L207" s="670"/>
      <c r="M207" s="423"/>
      <c r="N207" s="423"/>
      <c r="O207" s="423"/>
      <c r="P207" s="685"/>
      <c r="Q207" s="685"/>
      <c r="R207" s="685"/>
      <c r="S207" s="674"/>
      <c r="T207" s="674"/>
      <c r="U207" s="675">
        <f>IFERROR((Table4891112[[#This Row],[Invoice Value]]-Table4891112[[#This Row],[Total cost]])/Table4891112[[#This Row],[Invoice Value]],)</f>
        <v>0</v>
      </c>
      <c r="V207" s="676"/>
      <c r="W207" s="676"/>
      <c r="X207" s="676" t="str">
        <f t="shared" si="36"/>
        <v xml:space="preserve"> - </v>
      </c>
      <c r="Y207" s="676" t="str">
        <f t="shared" si="37"/>
        <v xml:space="preserve"> - </v>
      </c>
      <c r="Z207" s="685"/>
      <c r="AA207" s="423" t="str">
        <f t="shared" ca="1" si="38"/>
        <v>-</v>
      </c>
      <c r="AB207" s="423"/>
      <c r="AC207" s="423"/>
      <c r="AD207" s="550"/>
      <c r="AE207" s="550"/>
      <c r="AF207" s="423"/>
      <c r="AG207" s="423"/>
      <c r="AH207" s="423"/>
      <c r="AI207" s="677"/>
      <c r="AJ207" s="547"/>
      <c r="AK207" s="547"/>
      <c r="AL207" s="682"/>
      <c r="AM207" s="547"/>
      <c r="AN207" s="547"/>
      <c r="AO207" s="679"/>
      <c r="AP207" s="406"/>
    </row>
    <row r="208" spans="1:42" ht="13.9">
      <c r="A208" s="423"/>
      <c r="B208" s="423"/>
      <c r="C208" s="548"/>
      <c r="E208" s="680"/>
      <c r="F208" s="423"/>
      <c r="G208" s="423"/>
      <c r="H208" s="423"/>
      <c r="I208" s="423" t="s">
        <v>3536</v>
      </c>
      <c r="J208" s="423"/>
      <c r="K208" s="681"/>
      <c r="L208" s="670"/>
      <c r="M208" s="423"/>
      <c r="N208" s="423"/>
      <c r="O208" s="423"/>
      <c r="P208" s="685"/>
      <c r="Q208" s="685"/>
      <c r="R208" s="423"/>
      <c r="S208" s="674"/>
      <c r="T208" s="674"/>
      <c r="U208" s="675">
        <f>IFERROR((Table4891112[[#This Row],[Invoice Value]]-Table4891112[[#This Row],[Total cost]])/Table4891112[[#This Row],[Invoice Value]],)</f>
        <v>0</v>
      </c>
      <c r="V208" s="676"/>
      <c r="W208" s="676"/>
      <c r="X208" s="676" t="str">
        <f t="shared" si="36"/>
        <v xml:space="preserve"> - </v>
      </c>
      <c r="Y208" s="676" t="str">
        <f t="shared" si="37"/>
        <v xml:space="preserve"> - </v>
      </c>
      <c r="Z208" s="685"/>
      <c r="AA208" s="423" t="str">
        <f t="shared" ca="1" si="38"/>
        <v>-</v>
      </c>
      <c r="AB208" s="423"/>
      <c r="AC208" s="423"/>
      <c r="AD208" s="550"/>
      <c r="AE208" s="550"/>
      <c r="AF208" s="423"/>
      <c r="AG208" s="423"/>
      <c r="AH208" s="423"/>
      <c r="AI208" s="677" t="s">
        <v>100</v>
      </c>
      <c r="AJ208" s="547" t="s">
        <v>100</v>
      </c>
      <c r="AK208" s="547" t="s">
        <v>100</v>
      </c>
      <c r="AL208" s="682"/>
      <c r="AM208" s="547"/>
      <c r="AN208" s="547"/>
      <c r="AO208" s="679"/>
      <c r="AP208" s="406"/>
    </row>
    <row r="209" spans="1:42" ht="13.9">
      <c r="A209" s="423"/>
      <c r="B209" s="423"/>
      <c r="C209" s="548"/>
      <c r="E209" s="680"/>
      <c r="F209" s="423"/>
      <c r="G209" s="423"/>
      <c r="H209" s="423"/>
      <c r="I209" s="423" t="s">
        <v>3536</v>
      </c>
      <c r="J209" s="423"/>
      <c r="K209" s="681"/>
      <c r="L209" s="670"/>
      <c r="M209" s="423"/>
      <c r="N209" s="423"/>
      <c r="O209" s="423"/>
      <c r="P209" s="685"/>
      <c r="Q209" s="685"/>
      <c r="R209" s="423"/>
      <c r="S209" s="674"/>
      <c r="T209" s="674"/>
      <c r="U209" s="675">
        <f>IFERROR((Table4891112[[#This Row],[Invoice Value]]-Table4891112[[#This Row],[Total cost]])/Table4891112[[#This Row],[Invoice Value]],)</f>
        <v>0</v>
      </c>
      <c r="V209" s="676"/>
      <c r="W209" s="676"/>
      <c r="X209" s="676" t="str">
        <f t="shared" ref="X209:X240" si="39">IF(Q209&gt;0,Q209+3," - ")</f>
        <v xml:space="preserve"> - </v>
      </c>
      <c r="Y209" s="676" t="str">
        <f t="shared" ref="Y209:Y240" si="40">IF(Q209&gt;0,Q209+14," - ")</f>
        <v xml:space="preserve"> - </v>
      </c>
      <c r="Z209" s="685"/>
      <c r="AA209" s="423" t="str">
        <f t="shared" ref="AA209:AA240" ca="1" si="41">IF(P209=0,"-",IF(Z209&gt;0,"Delivered",IF(TODAY()&gt;Y209,"Overdue",IF(TODAY()&lt;Y209,"In Progress"))))</f>
        <v>-</v>
      </c>
      <c r="AB209" s="423"/>
      <c r="AC209" s="423"/>
      <c r="AD209" s="550"/>
      <c r="AE209" s="550"/>
      <c r="AF209" s="423"/>
      <c r="AG209" s="423"/>
      <c r="AH209" s="423"/>
      <c r="AI209" s="677" t="s">
        <v>100</v>
      </c>
      <c r="AJ209" s="547" t="s">
        <v>100</v>
      </c>
      <c r="AK209" s="547" t="s">
        <v>100</v>
      </c>
      <c r="AL209" s="682"/>
      <c r="AM209" s="547"/>
      <c r="AN209" s="547"/>
      <c r="AO209" s="679"/>
      <c r="AP209" s="406"/>
    </row>
    <row r="210" spans="1:42" ht="13.9">
      <c r="A210" s="423"/>
      <c r="B210" s="423"/>
      <c r="C210" s="548"/>
      <c r="E210" s="680"/>
      <c r="F210" s="423"/>
      <c r="G210" s="423"/>
      <c r="H210" s="423"/>
      <c r="I210" s="423" t="s">
        <v>3536</v>
      </c>
      <c r="J210" s="423"/>
      <c r="K210" s="681"/>
      <c r="L210" s="670"/>
      <c r="M210" s="423"/>
      <c r="N210" s="423"/>
      <c r="O210" s="423"/>
      <c r="P210" s="685"/>
      <c r="Q210" s="685"/>
      <c r="R210" s="423"/>
      <c r="S210" s="674"/>
      <c r="T210" s="674"/>
      <c r="U210" s="675">
        <f>IFERROR((Table4891112[[#This Row],[Invoice Value]]-Table4891112[[#This Row],[Total cost]])/Table4891112[[#This Row],[Invoice Value]],)</f>
        <v>0</v>
      </c>
      <c r="V210" s="676"/>
      <c r="W210" s="676"/>
      <c r="X210" s="676" t="str">
        <f t="shared" si="39"/>
        <v xml:space="preserve"> - </v>
      </c>
      <c r="Y210" s="676" t="str">
        <f t="shared" si="40"/>
        <v xml:space="preserve"> - </v>
      </c>
      <c r="Z210" s="676"/>
      <c r="AA210" s="423" t="str">
        <f t="shared" ca="1" si="41"/>
        <v>-</v>
      </c>
      <c r="AB210" s="423"/>
      <c r="AC210" s="423"/>
      <c r="AD210" s="550"/>
      <c r="AE210" s="550"/>
      <c r="AF210" s="423"/>
      <c r="AG210" s="423"/>
      <c r="AH210" s="423"/>
      <c r="AI210" s="687" t="s">
        <v>100</v>
      </c>
      <c r="AJ210" s="547" t="s">
        <v>100</v>
      </c>
      <c r="AK210" s="334" t="s">
        <v>67</v>
      </c>
      <c r="AL210" s="343"/>
      <c r="AM210" s="334"/>
      <c r="AN210" s="334"/>
      <c r="AO210" s="679"/>
      <c r="AP210" s="406"/>
    </row>
    <row r="211" spans="1:42" ht="13.9">
      <c r="A211" s="423"/>
      <c r="B211" s="423"/>
      <c r="C211" s="548"/>
      <c r="E211" s="680"/>
      <c r="F211" s="423"/>
      <c r="G211" s="423"/>
      <c r="H211" s="423"/>
      <c r="I211" s="423" t="s">
        <v>3536</v>
      </c>
      <c r="J211" s="423"/>
      <c r="K211" s="681"/>
      <c r="L211" s="670"/>
      <c r="M211" s="423"/>
      <c r="N211" s="423"/>
      <c r="O211" s="423"/>
      <c r="P211" s="685"/>
      <c r="Q211" s="685"/>
      <c r="R211" s="423"/>
      <c r="S211" s="674"/>
      <c r="T211" s="674"/>
      <c r="U211" s="675">
        <f>IFERROR((Table4891112[[#This Row],[Invoice Value]]-Table4891112[[#This Row],[Total cost]])/Table4891112[[#This Row],[Invoice Value]],)</f>
        <v>0</v>
      </c>
      <c r="V211" s="676"/>
      <c r="W211" s="676"/>
      <c r="X211" s="676" t="str">
        <f t="shared" si="39"/>
        <v xml:space="preserve"> - </v>
      </c>
      <c r="Y211" s="676" t="str">
        <f t="shared" si="40"/>
        <v xml:space="preserve"> - </v>
      </c>
      <c r="Z211" s="423"/>
      <c r="AA211" s="423" t="str">
        <f t="shared" ca="1" si="41"/>
        <v>-</v>
      </c>
      <c r="AB211" s="423"/>
      <c r="AC211" s="423"/>
      <c r="AD211" s="550"/>
      <c r="AE211" s="550"/>
      <c r="AF211" s="423"/>
      <c r="AG211" s="423"/>
      <c r="AH211" s="423"/>
      <c r="AI211" s="687" t="s">
        <v>67</v>
      </c>
      <c r="AJ211" s="547" t="s">
        <v>67</v>
      </c>
      <c r="AK211" s="334" t="s">
        <v>67</v>
      </c>
      <c r="AL211" s="343"/>
      <c r="AM211" s="334"/>
      <c r="AN211" s="334"/>
      <c r="AO211" s="679"/>
      <c r="AP211" s="406"/>
    </row>
    <row r="212" spans="1:42" ht="13.9">
      <c r="A212" s="423"/>
      <c r="B212" s="423"/>
      <c r="C212" s="548"/>
      <c r="E212" s="680"/>
      <c r="F212" s="423"/>
      <c r="G212" s="423"/>
      <c r="H212" s="423"/>
      <c r="I212" s="423" t="s">
        <v>3536</v>
      </c>
      <c r="J212" s="423"/>
      <c r="K212" s="681"/>
      <c r="L212" s="670"/>
      <c r="M212" s="423"/>
      <c r="N212" s="423"/>
      <c r="O212" s="423"/>
      <c r="P212" s="685"/>
      <c r="Q212" s="685"/>
      <c r="R212" s="423"/>
      <c r="S212" s="674"/>
      <c r="T212" s="674"/>
      <c r="U212" s="675">
        <f>IFERROR((Table4891112[[#This Row],[Invoice Value]]-Table4891112[[#This Row],[Total cost]])/Table4891112[[#This Row],[Invoice Value]],)</f>
        <v>0</v>
      </c>
      <c r="V212" s="676"/>
      <c r="W212" s="676"/>
      <c r="X212" s="676" t="str">
        <f t="shared" si="39"/>
        <v xml:space="preserve"> - </v>
      </c>
      <c r="Y212" s="676" t="str">
        <f t="shared" si="40"/>
        <v xml:space="preserve"> - </v>
      </c>
      <c r="Z212" s="685"/>
      <c r="AA212" s="423" t="str">
        <f t="shared" ca="1" si="41"/>
        <v>-</v>
      </c>
      <c r="AB212" s="423"/>
      <c r="AC212" s="423"/>
      <c r="AD212" s="550"/>
      <c r="AE212" s="550"/>
      <c r="AF212" s="423"/>
      <c r="AG212" s="423"/>
      <c r="AH212" s="423"/>
      <c r="AI212" s="677" t="s">
        <v>144</v>
      </c>
      <c r="AJ212" s="547" t="s">
        <v>100</v>
      </c>
      <c r="AK212" s="547" t="s">
        <v>67</v>
      </c>
      <c r="AL212" s="682"/>
      <c r="AM212" s="547"/>
      <c r="AN212" s="547"/>
      <c r="AO212" s="679"/>
      <c r="AP212" s="406"/>
    </row>
    <row r="213" spans="1:42" ht="13.9">
      <c r="A213" s="423"/>
      <c r="B213" s="423"/>
      <c r="C213" s="548"/>
      <c r="E213" s="680"/>
      <c r="F213" s="423"/>
      <c r="G213" s="423"/>
      <c r="H213" s="423"/>
      <c r="I213" s="423" t="s">
        <v>3536</v>
      </c>
      <c r="J213" s="423"/>
      <c r="K213" s="681"/>
      <c r="L213" s="670"/>
      <c r="M213" s="423"/>
      <c r="N213" s="423"/>
      <c r="O213" s="423"/>
      <c r="P213" s="685"/>
      <c r="Q213" s="685"/>
      <c r="R213" s="423"/>
      <c r="S213" s="674"/>
      <c r="T213" s="674"/>
      <c r="U213" s="675">
        <f>IFERROR((Table4891112[[#This Row],[Invoice Value]]-Table4891112[[#This Row],[Total cost]])/Table4891112[[#This Row],[Invoice Value]],)</f>
        <v>0</v>
      </c>
      <c r="V213" s="676"/>
      <c r="W213" s="676"/>
      <c r="X213" s="676" t="str">
        <f t="shared" si="39"/>
        <v xml:space="preserve"> - </v>
      </c>
      <c r="Y213" s="676" t="str">
        <f t="shared" si="40"/>
        <v xml:space="preserve"> - </v>
      </c>
      <c r="Z213" s="685"/>
      <c r="AA213" s="423" t="str">
        <f t="shared" ca="1" si="41"/>
        <v>-</v>
      </c>
      <c r="AB213" s="423"/>
      <c r="AC213" s="423"/>
      <c r="AD213" s="550"/>
      <c r="AE213" s="550"/>
      <c r="AF213" s="423"/>
      <c r="AG213" s="423"/>
      <c r="AH213" s="423"/>
      <c r="AI213" s="677" t="s">
        <v>67</v>
      </c>
      <c r="AJ213" s="547" t="s">
        <v>67</v>
      </c>
      <c r="AK213" s="547" t="s">
        <v>67</v>
      </c>
      <c r="AL213" s="682"/>
      <c r="AM213" s="547"/>
      <c r="AN213" s="547"/>
      <c r="AO213" s="679"/>
      <c r="AP213" s="406"/>
    </row>
    <row r="214" spans="1:42" ht="13.9">
      <c r="A214" s="423"/>
      <c r="B214" s="423"/>
      <c r="C214" s="548"/>
      <c r="E214" s="680"/>
      <c r="F214" s="423"/>
      <c r="G214" s="423"/>
      <c r="H214" s="423"/>
      <c r="I214" s="423" t="s">
        <v>3536</v>
      </c>
      <c r="J214" s="423"/>
      <c r="K214" s="681"/>
      <c r="L214" s="670"/>
      <c r="M214" s="423"/>
      <c r="N214" s="423"/>
      <c r="O214" s="423"/>
      <c r="P214" s="685"/>
      <c r="Q214" s="685"/>
      <c r="R214" s="423"/>
      <c r="S214" s="674"/>
      <c r="T214" s="674"/>
      <c r="U214" s="675">
        <f>IFERROR((Table4891112[[#This Row],[Invoice Value]]-Table4891112[[#This Row],[Total cost]])/Table4891112[[#This Row],[Invoice Value]],)</f>
        <v>0</v>
      </c>
      <c r="V214" s="676"/>
      <c r="W214" s="676"/>
      <c r="X214" s="676" t="str">
        <f t="shared" si="39"/>
        <v xml:space="preserve"> - </v>
      </c>
      <c r="Y214" s="676" t="str">
        <f t="shared" si="40"/>
        <v xml:space="preserve"> - </v>
      </c>
      <c r="Z214" s="685"/>
      <c r="AA214" s="423" t="str">
        <f t="shared" ca="1" si="41"/>
        <v>-</v>
      </c>
      <c r="AB214" s="423"/>
      <c r="AC214" s="423"/>
      <c r="AD214" s="550"/>
      <c r="AE214" s="550"/>
      <c r="AF214" s="423"/>
      <c r="AG214" s="423"/>
      <c r="AH214" s="423"/>
      <c r="AI214" s="677" t="s">
        <v>144</v>
      </c>
      <c r="AJ214" s="547" t="s">
        <v>100</v>
      </c>
      <c r="AK214" s="547" t="s">
        <v>100</v>
      </c>
      <c r="AL214" s="682"/>
      <c r="AM214" s="547"/>
      <c r="AN214" s="547"/>
      <c r="AO214" s="679"/>
      <c r="AP214" s="406"/>
    </row>
    <row r="215" spans="1:42" ht="13.9">
      <c r="A215" s="423"/>
      <c r="B215" s="423"/>
      <c r="C215" s="548"/>
      <c r="E215" s="680"/>
      <c r="F215" s="423"/>
      <c r="G215" s="423"/>
      <c r="H215" s="423"/>
      <c r="I215" s="423" t="s">
        <v>3536</v>
      </c>
      <c r="J215" s="423"/>
      <c r="K215" s="681"/>
      <c r="L215" s="670"/>
      <c r="M215" s="423"/>
      <c r="N215" s="423"/>
      <c r="O215" s="423"/>
      <c r="P215" s="685"/>
      <c r="Q215" s="685"/>
      <c r="R215" s="423"/>
      <c r="S215" s="674"/>
      <c r="T215" s="674"/>
      <c r="U215" s="675">
        <f>IFERROR((Table4891112[[#This Row],[Invoice Value]]-Table4891112[[#This Row],[Total cost]])/Table4891112[[#This Row],[Invoice Value]],)</f>
        <v>0</v>
      </c>
      <c r="V215" s="676"/>
      <c r="W215" s="676"/>
      <c r="X215" s="676" t="str">
        <f t="shared" si="39"/>
        <v xml:space="preserve"> - </v>
      </c>
      <c r="Y215" s="676" t="str">
        <f t="shared" si="40"/>
        <v xml:space="preserve"> - </v>
      </c>
      <c r="Z215" s="685"/>
      <c r="AA215" s="423" t="str">
        <f t="shared" ca="1" si="41"/>
        <v>-</v>
      </c>
      <c r="AB215" s="423"/>
      <c r="AC215" s="423"/>
      <c r="AD215" s="550"/>
      <c r="AE215" s="550"/>
      <c r="AF215" s="423"/>
      <c r="AG215" s="423"/>
      <c r="AH215" s="423"/>
      <c r="AI215" s="677" t="s">
        <v>100</v>
      </c>
      <c r="AJ215" s="547" t="s">
        <v>67</v>
      </c>
      <c r="AK215" s="547" t="s">
        <v>67</v>
      </c>
      <c r="AL215" s="682"/>
      <c r="AM215" s="547"/>
      <c r="AN215" s="547"/>
      <c r="AO215" s="679"/>
      <c r="AP215" s="406"/>
    </row>
    <row r="216" spans="1:42" ht="13.9">
      <c r="A216" s="423"/>
      <c r="B216" s="423"/>
      <c r="C216" s="548"/>
      <c r="E216" s="680"/>
      <c r="F216" s="423"/>
      <c r="G216" s="423"/>
      <c r="H216" s="423"/>
      <c r="I216" s="423" t="s">
        <v>3536</v>
      </c>
      <c r="J216" s="423"/>
      <c r="K216" s="681"/>
      <c r="L216" s="670"/>
      <c r="M216" s="423"/>
      <c r="N216" s="423"/>
      <c r="O216" s="423"/>
      <c r="P216" s="685"/>
      <c r="Q216" s="685"/>
      <c r="R216" s="423"/>
      <c r="S216" s="674"/>
      <c r="T216" s="674"/>
      <c r="U216" s="675">
        <f>IFERROR((Table4891112[[#This Row],[Invoice Value]]-Table4891112[[#This Row],[Total cost]])/Table4891112[[#This Row],[Invoice Value]],)</f>
        <v>0</v>
      </c>
      <c r="V216" s="676"/>
      <c r="W216" s="676"/>
      <c r="X216" s="676" t="str">
        <f t="shared" si="39"/>
        <v xml:space="preserve"> - </v>
      </c>
      <c r="Y216" s="676" t="str">
        <f t="shared" si="40"/>
        <v xml:space="preserve"> - </v>
      </c>
      <c r="Z216" s="685"/>
      <c r="AA216" s="423" t="str">
        <f t="shared" ca="1" si="41"/>
        <v>-</v>
      </c>
      <c r="AB216" s="423"/>
      <c r="AC216" s="423"/>
      <c r="AD216" s="550"/>
      <c r="AE216" s="550"/>
      <c r="AF216" s="423"/>
      <c r="AG216" s="423"/>
      <c r="AH216" s="423"/>
      <c r="AI216" s="677" t="s">
        <v>144</v>
      </c>
      <c r="AJ216" s="547" t="s">
        <v>100</v>
      </c>
      <c r="AK216" s="547" t="s">
        <v>67</v>
      </c>
      <c r="AL216" s="682"/>
      <c r="AM216" s="547"/>
      <c r="AN216" s="547"/>
      <c r="AO216" s="679"/>
      <c r="AP216" s="406"/>
    </row>
    <row r="217" spans="1:42" ht="13.9">
      <c r="A217" s="423"/>
      <c r="B217" s="423"/>
      <c r="C217" s="548"/>
      <c r="E217" s="680"/>
      <c r="F217" s="423"/>
      <c r="G217" s="423"/>
      <c r="H217" s="423"/>
      <c r="I217" s="423" t="s">
        <v>3536</v>
      </c>
      <c r="J217" s="423"/>
      <c r="K217" s="681"/>
      <c r="L217" s="670"/>
      <c r="M217" s="423"/>
      <c r="N217" s="423"/>
      <c r="O217" s="423"/>
      <c r="P217" s="685"/>
      <c r="Q217" s="685"/>
      <c r="R217" s="423"/>
      <c r="S217" s="674"/>
      <c r="T217" s="674"/>
      <c r="U217" s="675">
        <f>IFERROR((Table4891112[[#This Row],[Invoice Value]]-Table4891112[[#This Row],[Total cost]])/Table4891112[[#This Row],[Invoice Value]],)</f>
        <v>0</v>
      </c>
      <c r="V217" s="676"/>
      <c r="W217" s="676"/>
      <c r="X217" s="676" t="str">
        <f t="shared" si="39"/>
        <v xml:space="preserve"> - </v>
      </c>
      <c r="Y217" s="676" t="str">
        <f t="shared" si="40"/>
        <v xml:space="preserve"> - </v>
      </c>
      <c r="Z217" s="685"/>
      <c r="AA217" s="423" t="str">
        <f t="shared" ca="1" si="41"/>
        <v>-</v>
      </c>
      <c r="AB217" s="423"/>
      <c r="AC217" s="423"/>
      <c r="AD217" s="550"/>
      <c r="AE217" s="550"/>
      <c r="AF217" s="423"/>
      <c r="AG217" s="423"/>
      <c r="AH217" s="423"/>
      <c r="AI217" s="677" t="s">
        <v>100</v>
      </c>
      <c r="AJ217" s="547" t="s">
        <v>100</v>
      </c>
      <c r="AK217" s="547" t="s">
        <v>67</v>
      </c>
      <c r="AL217" s="682"/>
      <c r="AM217" s="547"/>
      <c r="AN217" s="547"/>
      <c r="AO217" s="679"/>
      <c r="AP217" s="406"/>
    </row>
    <row r="218" spans="1:42" ht="13.9">
      <c r="A218" s="423"/>
      <c r="B218" s="423"/>
      <c r="C218" s="548"/>
      <c r="E218" s="680"/>
      <c r="F218" s="423"/>
      <c r="G218" s="423"/>
      <c r="H218" s="423"/>
      <c r="I218" s="423" t="s">
        <v>3536</v>
      </c>
      <c r="J218" s="423"/>
      <c r="K218" s="681"/>
      <c r="L218" s="670"/>
      <c r="M218" s="423"/>
      <c r="N218" s="423"/>
      <c r="O218" s="423"/>
      <c r="P218" s="685"/>
      <c r="Q218" s="685"/>
      <c r="R218" s="685"/>
      <c r="S218" s="674"/>
      <c r="T218" s="674"/>
      <c r="U218" s="675">
        <f>IFERROR((Table4891112[[#This Row],[Invoice Value]]-Table4891112[[#This Row],[Total cost]])/Table4891112[[#This Row],[Invoice Value]],)</f>
        <v>0</v>
      </c>
      <c r="V218" s="676"/>
      <c r="W218" s="676"/>
      <c r="X218" s="676" t="str">
        <f t="shared" si="39"/>
        <v xml:space="preserve"> - </v>
      </c>
      <c r="Y218" s="676" t="str">
        <f t="shared" si="40"/>
        <v xml:space="preserve"> - </v>
      </c>
      <c r="Z218" s="685"/>
      <c r="AA218" s="423" t="str">
        <f t="shared" ca="1" si="41"/>
        <v>-</v>
      </c>
      <c r="AB218" s="423"/>
      <c r="AC218" s="423"/>
      <c r="AD218" s="550"/>
      <c r="AE218" s="550"/>
      <c r="AF218" s="423"/>
      <c r="AG218" s="423"/>
      <c r="AH218" s="423"/>
      <c r="AI218" s="677"/>
      <c r="AJ218" s="547"/>
      <c r="AK218" s="547"/>
      <c r="AL218" s="682"/>
      <c r="AM218" s="547"/>
      <c r="AN218" s="547"/>
      <c r="AO218" s="679"/>
      <c r="AP218" s="406"/>
    </row>
    <row r="219" spans="1:42" ht="13.9">
      <c r="A219" s="423"/>
      <c r="B219" s="423"/>
      <c r="C219" s="548"/>
      <c r="E219" s="680"/>
      <c r="F219" s="423"/>
      <c r="G219" s="423"/>
      <c r="H219" s="423"/>
      <c r="I219" s="423" t="s">
        <v>3536</v>
      </c>
      <c r="J219" s="423"/>
      <c r="K219" s="681"/>
      <c r="L219" s="670"/>
      <c r="M219" s="423"/>
      <c r="N219" s="423"/>
      <c r="O219" s="423"/>
      <c r="P219" s="685"/>
      <c r="Q219" s="685"/>
      <c r="R219" s="423"/>
      <c r="S219" s="674"/>
      <c r="T219" s="674"/>
      <c r="U219" s="675">
        <f>IFERROR((Table4891112[[#This Row],[Invoice Value]]-Table4891112[[#This Row],[Total cost]])/Table4891112[[#This Row],[Invoice Value]],)</f>
        <v>0</v>
      </c>
      <c r="V219" s="676"/>
      <c r="W219" s="676"/>
      <c r="X219" s="676" t="str">
        <f t="shared" si="39"/>
        <v xml:space="preserve"> - </v>
      </c>
      <c r="Y219" s="676" t="str">
        <f t="shared" si="40"/>
        <v xml:space="preserve"> - </v>
      </c>
      <c r="Z219" s="685"/>
      <c r="AA219" s="423" t="str">
        <f t="shared" ca="1" si="41"/>
        <v>-</v>
      </c>
      <c r="AB219" s="423"/>
      <c r="AC219" s="423"/>
      <c r="AD219" s="550"/>
      <c r="AE219" s="550"/>
      <c r="AF219" s="423"/>
      <c r="AG219" s="423"/>
      <c r="AH219" s="423"/>
      <c r="AI219" s="677" t="s">
        <v>100</v>
      </c>
      <c r="AJ219" s="547" t="s">
        <v>100</v>
      </c>
      <c r="AK219" s="547" t="s">
        <v>100</v>
      </c>
      <c r="AL219" s="682"/>
      <c r="AM219" s="547"/>
      <c r="AN219" s="547"/>
      <c r="AO219" s="679"/>
      <c r="AP219" s="406"/>
    </row>
    <row r="220" spans="1:42" ht="13.9">
      <c r="A220" s="423"/>
      <c r="B220" s="423"/>
      <c r="C220" s="548"/>
      <c r="E220" s="680"/>
      <c r="F220" s="423"/>
      <c r="G220" s="423"/>
      <c r="H220" s="423"/>
      <c r="I220" s="423" t="s">
        <v>3536</v>
      </c>
      <c r="J220" s="423"/>
      <c r="K220" s="681"/>
      <c r="L220" s="670"/>
      <c r="M220" s="423"/>
      <c r="N220" s="423"/>
      <c r="O220" s="423"/>
      <c r="P220" s="685"/>
      <c r="Q220" s="685"/>
      <c r="R220" s="423"/>
      <c r="S220" s="674"/>
      <c r="T220" s="674"/>
      <c r="U220" s="675">
        <f>IFERROR((Table4891112[[#This Row],[Invoice Value]]-Table4891112[[#This Row],[Total cost]])/Table4891112[[#This Row],[Invoice Value]],)</f>
        <v>0</v>
      </c>
      <c r="V220" s="676"/>
      <c r="W220" s="676"/>
      <c r="X220" s="676" t="str">
        <f t="shared" si="39"/>
        <v xml:space="preserve"> - </v>
      </c>
      <c r="Y220" s="676" t="str">
        <f t="shared" si="40"/>
        <v xml:space="preserve"> - </v>
      </c>
      <c r="Z220" s="685"/>
      <c r="AA220" s="423" t="str">
        <f t="shared" ca="1" si="41"/>
        <v>-</v>
      </c>
      <c r="AB220" s="423"/>
      <c r="AC220" s="423"/>
      <c r="AD220" s="550"/>
      <c r="AE220" s="550"/>
      <c r="AF220" s="423"/>
      <c r="AG220" s="423"/>
      <c r="AH220" s="423"/>
      <c r="AI220" s="677" t="s">
        <v>100</v>
      </c>
      <c r="AJ220" s="547" t="s">
        <v>100</v>
      </c>
      <c r="AK220" s="547" t="s">
        <v>67</v>
      </c>
      <c r="AL220" s="682"/>
      <c r="AM220" s="547"/>
      <c r="AN220" s="547"/>
      <c r="AO220" s="679"/>
      <c r="AP220" s="406"/>
    </row>
    <row r="221" spans="1:42" ht="13.9">
      <c r="A221" s="423"/>
      <c r="B221" s="423"/>
      <c r="C221" s="548"/>
      <c r="E221" s="680"/>
      <c r="F221" s="423"/>
      <c r="G221" s="423"/>
      <c r="H221" s="423"/>
      <c r="I221" s="423" t="s">
        <v>3536</v>
      </c>
      <c r="J221" s="423"/>
      <c r="K221" s="681"/>
      <c r="L221" s="670"/>
      <c r="M221" s="423"/>
      <c r="N221" s="423"/>
      <c r="O221" s="423"/>
      <c r="P221" s="685"/>
      <c r="Q221" s="685"/>
      <c r="R221" s="423"/>
      <c r="S221" s="674"/>
      <c r="T221" s="674"/>
      <c r="U221" s="675">
        <f>IFERROR((Table4891112[[#This Row],[Invoice Value]]-Table4891112[[#This Row],[Total cost]])/Table4891112[[#This Row],[Invoice Value]],)</f>
        <v>0</v>
      </c>
      <c r="V221" s="676"/>
      <c r="W221" s="676"/>
      <c r="X221" s="676" t="str">
        <f t="shared" si="39"/>
        <v xml:space="preserve"> - </v>
      </c>
      <c r="Y221" s="676" t="str">
        <f t="shared" si="40"/>
        <v xml:space="preserve"> - </v>
      </c>
      <c r="Z221" s="685"/>
      <c r="AA221" s="423" t="str">
        <f t="shared" ca="1" si="41"/>
        <v>-</v>
      </c>
      <c r="AB221" s="423"/>
      <c r="AC221" s="423"/>
      <c r="AD221" s="550"/>
      <c r="AE221" s="550"/>
      <c r="AF221" s="423"/>
      <c r="AG221" s="423"/>
      <c r="AH221" s="423"/>
      <c r="AI221" s="423" t="s">
        <v>100</v>
      </c>
      <c r="AJ221" s="547" t="s">
        <v>100</v>
      </c>
      <c r="AK221" s="406" t="s">
        <v>67</v>
      </c>
      <c r="AL221" s="686"/>
      <c r="AM221" s="406"/>
      <c r="AN221" s="406"/>
      <c r="AO221" s="679"/>
      <c r="AP221" s="406"/>
    </row>
    <row r="222" spans="1:42" ht="13.9">
      <c r="A222" s="423"/>
      <c r="B222" s="423"/>
      <c r="C222" s="548"/>
      <c r="E222" s="680"/>
      <c r="F222" s="423"/>
      <c r="G222" s="423"/>
      <c r="H222" s="423"/>
      <c r="I222" s="423" t="s">
        <v>3536</v>
      </c>
      <c r="J222" s="423"/>
      <c r="K222" s="681"/>
      <c r="L222" s="670"/>
      <c r="M222" s="423"/>
      <c r="N222" s="423"/>
      <c r="O222" s="423"/>
      <c r="P222" s="685"/>
      <c r="Q222" s="685"/>
      <c r="R222" s="423"/>
      <c r="S222" s="674"/>
      <c r="T222" s="674"/>
      <c r="U222" s="675">
        <f>IFERROR((Table4891112[[#This Row],[Invoice Value]]-Table4891112[[#This Row],[Total cost]])/Table4891112[[#This Row],[Invoice Value]],)</f>
        <v>0</v>
      </c>
      <c r="V222" s="676"/>
      <c r="W222" s="676"/>
      <c r="X222" s="676" t="str">
        <f t="shared" si="39"/>
        <v xml:space="preserve"> - </v>
      </c>
      <c r="Y222" s="676" t="str">
        <f t="shared" si="40"/>
        <v xml:space="preserve"> - </v>
      </c>
      <c r="Z222" s="685"/>
      <c r="AA222" s="423" t="str">
        <f t="shared" ca="1" si="41"/>
        <v>-</v>
      </c>
      <c r="AB222" s="423"/>
      <c r="AC222" s="423"/>
      <c r="AD222" s="550"/>
      <c r="AE222" s="550"/>
      <c r="AF222" s="423"/>
      <c r="AG222" s="423"/>
      <c r="AH222" s="423"/>
      <c r="AI222" s="677"/>
      <c r="AJ222" s="547"/>
      <c r="AK222" s="547"/>
      <c r="AL222" s="682"/>
      <c r="AM222" s="547"/>
      <c r="AN222" s="547"/>
      <c r="AO222" s="679"/>
      <c r="AP222" s="406"/>
    </row>
    <row r="223" spans="1:42" ht="13.9">
      <c r="A223" s="423"/>
      <c r="B223" s="423"/>
      <c r="C223" s="548"/>
      <c r="E223" s="680"/>
      <c r="F223" s="423"/>
      <c r="G223" s="423"/>
      <c r="H223" s="423"/>
      <c r="I223" s="423" t="s">
        <v>3536</v>
      </c>
      <c r="J223" s="423"/>
      <c r="K223" s="681"/>
      <c r="L223" s="670"/>
      <c r="M223" s="423"/>
      <c r="N223" s="423"/>
      <c r="O223" s="423"/>
      <c r="P223" s="685"/>
      <c r="Q223" s="685"/>
      <c r="R223" s="423"/>
      <c r="S223" s="674"/>
      <c r="T223" s="674"/>
      <c r="U223" s="675">
        <f>IFERROR((Table4891112[[#This Row],[Invoice Value]]-Table4891112[[#This Row],[Total cost]])/Table4891112[[#This Row],[Invoice Value]],)</f>
        <v>0</v>
      </c>
      <c r="V223" s="676"/>
      <c r="W223" s="676"/>
      <c r="X223" s="676" t="str">
        <f t="shared" si="39"/>
        <v xml:space="preserve"> - </v>
      </c>
      <c r="Y223" s="676" t="str">
        <f t="shared" si="40"/>
        <v xml:space="preserve"> - </v>
      </c>
      <c r="Z223" s="685"/>
      <c r="AA223" s="423" t="str">
        <f t="shared" ca="1" si="41"/>
        <v>-</v>
      </c>
      <c r="AB223" s="423"/>
      <c r="AC223" s="423"/>
      <c r="AD223" s="550"/>
      <c r="AE223" s="550"/>
      <c r="AF223" s="423"/>
      <c r="AG223" s="423"/>
      <c r="AH223" s="423"/>
      <c r="AI223" s="677" t="s">
        <v>144</v>
      </c>
      <c r="AJ223" s="547" t="s">
        <v>144</v>
      </c>
      <c r="AK223" s="547" t="s">
        <v>67</v>
      </c>
      <c r="AL223" s="682"/>
      <c r="AM223" s="547"/>
      <c r="AN223" s="547"/>
      <c r="AO223" s="679"/>
      <c r="AP223" s="406"/>
    </row>
    <row r="224" spans="1:42" ht="13.9">
      <c r="A224" s="423"/>
      <c r="B224" s="423"/>
      <c r="C224" s="548"/>
      <c r="E224" s="680"/>
      <c r="F224" s="423"/>
      <c r="G224" s="423"/>
      <c r="H224" s="423"/>
      <c r="I224" s="423" t="s">
        <v>3536</v>
      </c>
      <c r="J224" s="423"/>
      <c r="K224" s="681"/>
      <c r="L224" s="670"/>
      <c r="M224" s="423"/>
      <c r="N224" s="423"/>
      <c r="O224" s="423"/>
      <c r="P224" s="685"/>
      <c r="Q224" s="685"/>
      <c r="R224" s="423"/>
      <c r="S224" s="674"/>
      <c r="T224" s="674"/>
      <c r="U224" s="675">
        <f>IFERROR((Table4891112[[#This Row],[Invoice Value]]-Table4891112[[#This Row],[Total cost]])/Table4891112[[#This Row],[Invoice Value]],)</f>
        <v>0</v>
      </c>
      <c r="V224" s="676"/>
      <c r="W224" s="676"/>
      <c r="X224" s="676" t="str">
        <f t="shared" si="39"/>
        <v xml:space="preserve"> - </v>
      </c>
      <c r="Y224" s="676" t="str">
        <f t="shared" si="40"/>
        <v xml:space="preserve"> - </v>
      </c>
      <c r="Z224" s="685"/>
      <c r="AA224" s="423" t="str">
        <f t="shared" ca="1" si="41"/>
        <v>-</v>
      </c>
      <c r="AB224" s="423"/>
      <c r="AC224" s="423"/>
      <c r="AD224" s="550"/>
      <c r="AE224" s="550"/>
      <c r="AF224" s="423"/>
      <c r="AG224" s="423"/>
      <c r="AH224" s="677"/>
      <c r="AI224" s="423" t="s">
        <v>67</v>
      </c>
      <c r="AJ224" s="547" t="s">
        <v>67</v>
      </c>
      <c r="AK224" s="406" t="s">
        <v>67</v>
      </c>
      <c r="AL224" s="686"/>
      <c r="AM224" s="406"/>
      <c r="AN224" s="406"/>
      <c r="AO224" s="679"/>
      <c r="AP224" s="406"/>
    </row>
    <row r="225" spans="1:42" ht="13.9">
      <c r="A225" s="677"/>
      <c r="B225" s="677"/>
      <c r="C225" s="689"/>
      <c r="E225" s="690"/>
      <c r="F225" s="677"/>
      <c r="G225" s="677"/>
      <c r="H225" s="677"/>
      <c r="I225" s="423" t="s">
        <v>3536</v>
      </c>
      <c r="J225" s="677"/>
      <c r="K225" s="691"/>
      <c r="L225" s="692"/>
      <c r="M225" s="677"/>
      <c r="N225" s="423"/>
      <c r="O225" s="677"/>
      <c r="P225" s="693"/>
      <c r="Q225" s="693"/>
      <c r="R225" s="677"/>
      <c r="S225" s="694"/>
      <c r="T225" s="694"/>
      <c r="U225" s="695">
        <f>IFERROR((Table4891112[[#This Row],[Invoice Value]]-Table4891112[[#This Row],[Total cost]])/Table4891112[[#This Row],[Invoice Value]],)</f>
        <v>0</v>
      </c>
      <c r="V225" s="696"/>
      <c r="W225" s="696"/>
      <c r="X225" s="696" t="str">
        <f t="shared" si="39"/>
        <v xml:space="preserve"> - </v>
      </c>
      <c r="Y225" s="696" t="str">
        <f t="shared" si="40"/>
        <v xml:space="preserve"> - </v>
      </c>
      <c r="Z225" s="693"/>
      <c r="AA225" s="677" t="str">
        <f t="shared" ca="1" si="41"/>
        <v>-</v>
      </c>
      <c r="AB225" s="677"/>
      <c r="AC225" s="677"/>
      <c r="AD225" s="664"/>
      <c r="AE225" s="664"/>
      <c r="AF225" s="677"/>
      <c r="AG225" s="677"/>
      <c r="AH225" s="677"/>
      <c r="AI225" s="423" t="s">
        <v>100</v>
      </c>
      <c r="AJ225" s="547" t="s">
        <v>144</v>
      </c>
      <c r="AK225" s="406" t="s">
        <v>67</v>
      </c>
      <c r="AL225" s="686"/>
      <c r="AM225" s="406"/>
      <c r="AN225" s="406"/>
      <c r="AO225" s="697"/>
      <c r="AP225" s="406"/>
    </row>
    <row r="226" spans="1:42" ht="13.9">
      <c r="A226" s="698"/>
      <c r="B226" s="698"/>
      <c r="C226" s="699"/>
      <c r="E226" s="700"/>
      <c r="F226" s="701"/>
      <c r="G226" s="702"/>
      <c r="H226" s="703"/>
      <c r="I226" s="704" t="s">
        <v>3536</v>
      </c>
      <c r="J226" s="329"/>
      <c r="K226" s="330"/>
      <c r="L226" s="331"/>
      <c r="M226" s="329"/>
      <c r="N226" s="704"/>
      <c r="O226" s="329"/>
      <c r="P226" s="705"/>
      <c r="Q226" s="706"/>
      <c r="R226" s="701"/>
      <c r="S226" s="707"/>
      <c r="T226" s="707"/>
      <c r="U226" s="708">
        <f>IFERROR((Table4891112[[#This Row],[Invoice Value]]-Table4891112[[#This Row],[Total cost]])/Table4891112[[#This Row],[Invoice Value]],)</f>
        <v>0</v>
      </c>
      <c r="V226" s="709"/>
      <c r="W226" s="709"/>
      <c r="X226" s="709" t="str">
        <f t="shared" si="39"/>
        <v xml:space="preserve"> - </v>
      </c>
      <c r="Y226" s="709" t="str">
        <f t="shared" si="40"/>
        <v xml:space="preserve"> - </v>
      </c>
      <c r="Z226" s="705"/>
      <c r="AA226" s="702" t="str">
        <f t="shared" ca="1" si="41"/>
        <v>-</v>
      </c>
      <c r="AB226" s="702"/>
      <c r="AC226" s="702"/>
      <c r="AD226" s="710"/>
      <c r="AE226" s="710"/>
      <c r="AF226" s="702"/>
      <c r="AG226" s="702"/>
      <c r="AH226" s="703"/>
      <c r="AI226" s="711" t="s">
        <v>100</v>
      </c>
      <c r="AJ226" s="547" t="s">
        <v>100</v>
      </c>
      <c r="AK226" s="406" t="s">
        <v>100</v>
      </c>
      <c r="AL226" s="686"/>
      <c r="AM226" s="406"/>
      <c r="AN226" s="406"/>
      <c r="AO226" s="712"/>
      <c r="AP226" s="406"/>
    </row>
    <row r="227" spans="1:42" ht="13.9">
      <c r="A227" s="713"/>
      <c r="B227" s="713"/>
      <c r="C227" s="714"/>
      <c r="E227" s="715"/>
      <c r="F227" s="713"/>
      <c r="G227" s="713"/>
      <c r="H227" s="713"/>
      <c r="I227" s="423" t="s">
        <v>3536</v>
      </c>
      <c r="J227" s="713"/>
      <c r="K227" s="716"/>
      <c r="L227" s="717"/>
      <c r="M227" s="713"/>
      <c r="N227" s="423"/>
      <c r="O227" s="713"/>
      <c r="P227" s="718"/>
      <c r="Q227" s="718"/>
      <c r="R227" s="713"/>
      <c r="S227" s="719"/>
      <c r="T227" s="719"/>
      <c r="U227" s="720">
        <f>IFERROR((Table4891112[[#This Row],[Invoice Value]]-Table4891112[[#This Row],[Total cost]])/Table4891112[[#This Row],[Invoice Value]],)</f>
        <v>0</v>
      </c>
      <c r="V227" s="721"/>
      <c r="W227" s="721"/>
      <c r="X227" s="721" t="str">
        <f t="shared" si="39"/>
        <v xml:space="preserve"> - </v>
      </c>
      <c r="Y227" s="721" t="str">
        <f t="shared" si="40"/>
        <v xml:space="preserve"> - </v>
      </c>
      <c r="Z227" s="718"/>
      <c r="AA227" s="713" t="str">
        <f t="shared" ca="1" si="41"/>
        <v>-</v>
      </c>
      <c r="AB227" s="713"/>
      <c r="AC227" s="713"/>
      <c r="AD227" s="643"/>
      <c r="AE227" s="643"/>
      <c r="AF227" s="713"/>
      <c r="AG227" s="713"/>
      <c r="AH227" s="722"/>
      <c r="AI227" s="423" t="s">
        <v>136</v>
      </c>
      <c r="AJ227" s="547" t="s">
        <v>100</v>
      </c>
      <c r="AK227" s="406" t="s">
        <v>67</v>
      </c>
      <c r="AL227" s="686"/>
      <c r="AM227" s="406"/>
      <c r="AN227" s="406"/>
      <c r="AO227" s="723"/>
      <c r="AP227" s="406"/>
    </row>
    <row r="228" spans="1:42" ht="13.9">
      <c r="A228" s="423"/>
      <c r="B228" s="423"/>
      <c r="C228" s="548"/>
      <c r="E228" s="680"/>
      <c r="F228" s="423"/>
      <c r="G228" s="423"/>
      <c r="H228" s="423"/>
      <c r="I228" s="423" t="s">
        <v>3536</v>
      </c>
      <c r="J228" s="423"/>
      <c r="K228" s="681"/>
      <c r="L228" s="670"/>
      <c r="M228" s="423"/>
      <c r="N228" s="423"/>
      <c r="O228" s="423"/>
      <c r="P228" s="685"/>
      <c r="Q228" s="685"/>
      <c r="R228" s="423"/>
      <c r="S228" s="674"/>
      <c r="T228" s="674"/>
      <c r="U228" s="675">
        <f>IFERROR((Table4891112[[#This Row],[Invoice Value]]-Table4891112[[#This Row],[Total cost]])/Table4891112[[#This Row],[Invoice Value]],)</f>
        <v>0</v>
      </c>
      <c r="V228" s="676"/>
      <c r="W228" s="676"/>
      <c r="X228" s="676" t="str">
        <f t="shared" si="39"/>
        <v xml:space="preserve"> - </v>
      </c>
      <c r="Y228" s="676" t="str">
        <f t="shared" si="40"/>
        <v xml:space="preserve"> - </v>
      </c>
      <c r="Z228" s="685"/>
      <c r="AA228" s="423" t="str">
        <f t="shared" ca="1" si="41"/>
        <v>-</v>
      </c>
      <c r="AB228" s="423"/>
      <c r="AC228" s="423"/>
      <c r="AD228" s="550"/>
      <c r="AE228" s="550"/>
      <c r="AF228" s="423"/>
      <c r="AG228" s="423"/>
      <c r="AH228" s="423"/>
      <c r="AI228" s="423" t="s">
        <v>144</v>
      </c>
      <c r="AJ228" s="547" t="s">
        <v>144</v>
      </c>
      <c r="AK228" s="547" t="s">
        <v>67</v>
      </c>
      <c r="AL228" s="682"/>
      <c r="AM228" s="547"/>
      <c r="AN228" s="547"/>
      <c r="AO228" s="679"/>
      <c r="AP228" s="406"/>
    </row>
    <row r="229" spans="1:42" ht="13.9">
      <c r="A229" s="423"/>
      <c r="B229" s="423"/>
      <c r="C229" s="548"/>
      <c r="E229" s="680"/>
      <c r="F229" s="423"/>
      <c r="G229" s="423"/>
      <c r="H229" s="423"/>
      <c r="I229" s="423" t="s">
        <v>3536</v>
      </c>
      <c r="J229" s="423"/>
      <c r="K229" s="681"/>
      <c r="L229" s="670"/>
      <c r="M229" s="423"/>
      <c r="N229" s="423"/>
      <c r="O229" s="423"/>
      <c r="P229" s="685"/>
      <c r="Q229" s="685"/>
      <c r="R229" s="423"/>
      <c r="S229" s="674"/>
      <c r="T229" s="674"/>
      <c r="U229" s="675">
        <f>IFERROR((Table4891112[[#This Row],[Invoice Value]]-Table4891112[[#This Row],[Total cost]])/Table4891112[[#This Row],[Invoice Value]],)</f>
        <v>0</v>
      </c>
      <c r="V229" s="676"/>
      <c r="W229" s="676"/>
      <c r="X229" s="676" t="str">
        <f t="shared" si="39"/>
        <v xml:space="preserve"> - </v>
      </c>
      <c r="Y229" s="676" t="str">
        <f t="shared" si="40"/>
        <v xml:space="preserve"> - </v>
      </c>
      <c r="Z229" s="685"/>
      <c r="AA229" s="423" t="str">
        <f t="shared" ca="1" si="41"/>
        <v>-</v>
      </c>
      <c r="AB229" s="423"/>
      <c r="AC229" s="423"/>
      <c r="AD229" s="550"/>
      <c r="AE229" s="550"/>
      <c r="AF229" s="423"/>
      <c r="AG229" s="423"/>
      <c r="AH229" s="423"/>
      <c r="AI229" s="423" t="s">
        <v>67</v>
      </c>
      <c r="AJ229" s="547" t="s">
        <v>67</v>
      </c>
      <c r="AK229" s="547" t="s">
        <v>67</v>
      </c>
      <c r="AL229" s="682"/>
      <c r="AM229" s="547"/>
      <c r="AN229" s="547"/>
      <c r="AO229" s="679"/>
      <c r="AP229" s="406"/>
    </row>
    <row r="230" spans="1:42" ht="13.9">
      <c r="A230" s="423"/>
      <c r="B230" s="423"/>
      <c r="C230" s="548"/>
      <c r="E230" s="680"/>
      <c r="F230" s="423"/>
      <c r="G230" s="423"/>
      <c r="H230" s="423"/>
      <c r="I230" s="423" t="s">
        <v>3536</v>
      </c>
      <c r="J230" s="423"/>
      <c r="K230" s="681"/>
      <c r="L230" s="670"/>
      <c r="M230" s="423"/>
      <c r="N230" s="423"/>
      <c r="O230" s="423"/>
      <c r="P230" s="685"/>
      <c r="Q230" s="685"/>
      <c r="R230" s="423"/>
      <c r="S230" s="674"/>
      <c r="T230" s="674"/>
      <c r="U230" s="675">
        <f>IFERROR((Table4891112[[#This Row],[Invoice Value]]-Table4891112[[#This Row],[Total cost]])/Table4891112[[#This Row],[Invoice Value]],)</f>
        <v>0</v>
      </c>
      <c r="V230" s="676"/>
      <c r="W230" s="676"/>
      <c r="X230" s="676" t="str">
        <f t="shared" si="39"/>
        <v xml:space="preserve"> - </v>
      </c>
      <c r="Y230" s="676" t="str">
        <f t="shared" si="40"/>
        <v xml:space="preserve"> - </v>
      </c>
      <c r="Z230" s="685"/>
      <c r="AA230" s="423" t="str">
        <f t="shared" ca="1" si="41"/>
        <v>-</v>
      </c>
      <c r="AB230" s="423"/>
      <c r="AC230" s="423"/>
      <c r="AD230" s="550"/>
      <c r="AE230" s="550"/>
      <c r="AF230" s="423"/>
      <c r="AG230" s="423"/>
      <c r="AH230" s="423"/>
      <c r="AI230" s="423" t="s">
        <v>144</v>
      </c>
      <c r="AJ230" s="547" t="s">
        <v>100</v>
      </c>
      <c r="AK230" s="547" t="s">
        <v>67</v>
      </c>
      <c r="AL230" s="682"/>
      <c r="AM230" s="547"/>
      <c r="AN230" s="547"/>
      <c r="AO230" s="679"/>
      <c r="AP230" s="406"/>
    </row>
    <row r="231" spans="1:42" ht="13.9">
      <c r="A231" s="423"/>
      <c r="B231" s="423"/>
      <c r="C231" s="548"/>
      <c r="E231" s="680"/>
      <c r="F231" s="423"/>
      <c r="G231" s="423"/>
      <c r="H231" s="423"/>
      <c r="I231" s="423" t="s">
        <v>3536</v>
      </c>
      <c r="J231" s="423"/>
      <c r="K231" s="681"/>
      <c r="L231" s="670"/>
      <c r="M231" s="423"/>
      <c r="N231" s="423"/>
      <c r="O231" s="423"/>
      <c r="P231" s="685"/>
      <c r="Q231" s="685"/>
      <c r="R231" s="423"/>
      <c r="S231" s="674"/>
      <c r="T231" s="674"/>
      <c r="U231" s="675">
        <f>IFERROR((Table4891112[[#This Row],[Invoice Value]]-Table4891112[[#This Row],[Total cost]])/Table4891112[[#This Row],[Invoice Value]],)</f>
        <v>0</v>
      </c>
      <c r="V231" s="676"/>
      <c r="W231" s="676"/>
      <c r="X231" s="676" t="str">
        <f t="shared" si="39"/>
        <v xml:space="preserve"> - </v>
      </c>
      <c r="Y231" s="676" t="str">
        <f t="shared" si="40"/>
        <v xml:space="preserve"> - </v>
      </c>
      <c r="Z231" s="685"/>
      <c r="AA231" s="423" t="str">
        <f t="shared" ca="1" si="41"/>
        <v>-</v>
      </c>
      <c r="AB231" s="423"/>
      <c r="AC231" s="423"/>
      <c r="AD231" s="550"/>
      <c r="AE231" s="550"/>
      <c r="AF231" s="423"/>
      <c r="AG231" s="423"/>
      <c r="AH231" s="423"/>
      <c r="AI231" s="423" t="s">
        <v>144</v>
      </c>
      <c r="AJ231" s="547" t="s">
        <v>144</v>
      </c>
      <c r="AK231" s="547" t="s">
        <v>67</v>
      </c>
      <c r="AL231" s="682"/>
      <c r="AM231" s="547"/>
      <c r="AN231" s="547"/>
      <c r="AO231" s="679"/>
      <c r="AP231" s="406"/>
    </row>
    <row r="232" spans="1:42" ht="13.9">
      <c r="A232" s="423"/>
      <c r="B232" s="423"/>
      <c r="C232" s="548"/>
      <c r="E232" s="680"/>
      <c r="F232" s="423"/>
      <c r="G232" s="423"/>
      <c r="H232" s="423"/>
      <c r="I232" s="423" t="s">
        <v>3536</v>
      </c>
      <c r="J232" s="423"/>
      <c r="K232" s="681"/>
      <c r="L232" s="670"/>
      <c r="M232" s="423"/>
      <c r="N232" s="423"/>
      <c r="O232" s="423"/>
      <c r="P232" s="685"/>
      <c r="Q232" s="685"/>
      <c r="R232" s="423"/>
      <c r="S232" s="674"/>
      <c r="T232" s="674"/>
      <c r="U232" s="675">
        <f>IFERROR((Table4891112[[#This Row],[Invoice Value]]-Table4891112[[#This Row],[Total cost]])/Table4891112[[#This Row],[Invoice Value]],)</f>
        <v>0</v>
      </c>
      <c r="V232" s="676"/>
      <c r="W232" s="676"/>
      <c r="X232" s="676" t="str">
        <f t="shared" si="39"/>
        <v xml:space="preserve"> - </v>
      </c>
      <c r="Y232" s="676" t="str">
        <f t="shared" si="40"/>
        <v xml:space="preserve"> - </v>
      </c>
      <c r="Z232" s="685"/>
      <c r="AA232" s="423" t="str">
        <f t="shared" ca="1" si="41"/>
        <v>-</v>
      </c>
      <c r="AB232" s="423"/>
      <c r="AC232" s="423"/>
      <c r="AD232" s="550"/>
      <c r="AE232" s="550"/>
      <c r="AF232" s="423"/>
      <c r="AG232" s="423"/>
      <c r="AH232" s="423"/>
      <c r="AI232" s="423"/>
      <c r="AJ232" s="547"/>
      <c r="AK232" s="547"/>
      <c r="AL232" s="682"/>
      <c r="AM232" s="547"/>
      <c r="AN232" s="547"/>
      <c r="AO232" s="679"/>
      <c r="AP232" s="406"/>
    </row>
    <row r="233" spans="1:42" ht="13.9">
      <c r="A233" s="423"/>
      <c r="B233" s="423"/>
      <c r="C233" s="548"/>
      <c r="E233" s="680"/>
      <c r="F233" s="423"/>
      <c r="G233" s="423"/>
      <c r="H233" s="423"/>
      <c r="I233" s="423" t="s">
        <v>3536</v>
      </c>
      <c r="J233" s="423"/>
      <c r="K233" s="681"/>
      <c r="L233" s="670"/>
      <c r="M233" s="423"/>
      <c r="N233" s="423"/>
      <c r="O233" s="423"/>
      <c r="P233" s="685"/>
      <c r="Q233" s="685"/>
      <c r="R233" s="423"/>
      <c r="S233" s="674"/>
      <c r="T233" s="674"/>
      <c r="U233" s="675">
        <f>IFERROR((Table4891112[[#This Row],[Invoice Value]]-Table4891112[[#This Row],[Total cost]])/Table4891112[[#This Row],[Invoice Value]],)</f>
        <v>0</v>
      </c>
      <c r="V233" s="676"/>
      <c r="W233" s="676"/>
      <c r="X233" s="676" t="str">
        <f t="shared" si="39"/>
        <v xml:space="preserve"> - </v>
      </c>
      <c r="Y233" s="676" t="str">
        <f t="shared" si="40"/>
        <v xml:space="preserve"> - </v>
      </c>
      <c r="Z233" s="685"/>
      <c r="AA233" s="423" t="str">
        <f t="shared" ca="1" si="41"/>
        <v>-</v>
      </c>
      <c r="AB233" s="423"/>
      <c r="AC233" s="423"/>
      <c r="AD233" s="550"/>
      <c r="AE233" s="550"/>
      <c r="AF233" s="423"/>
      <c r="AG233" s="423"/>
      <c r="AH233" s="423"/>
      <c r="AI233" s="423" t="s">
        <v>144</v>
      </c>
      <c r="AJ233" s="547" t="s">
        <v>100</v>
      </c>
      <c r="AK233" s="547" t="s">
        <v>67</v>
      </c>
      <c r="AL233" s="682"/>
      <c r="AM233" s="547"/>
      <c r="AN233" s="547"/>
      <c r="AO233" s="679"/>
      <c r="AP233" s="406"/>
    </row>
    <row r="234" spans="1:42" ht="13.9">
      <c r="A234" s="423"/>
      <c r="B234" s="423"/>
      <c r="C234" s="548"/>
      <c r="E234" s="680"/>
      <c r="F234" s="423"/>
      <c r="G234" s="423"/>
      <c r="H234" s="423"/>
      <c r="I234" s="423" t="s">
        <v>3536</v>
      </c>
      <c r="J234" s="423"/>
      <c r="K234" s="681"/>
      <c r="L234" s="670"/>
      <c r="M234" s="423"/>
      <c r="N234" s="423"/>
      <c r="O234" s="423"/>
      <c r="P234" s="685"/>
      <c r="Q234" s="685"/>
      <c r="R234" s="423"/>
      <c r="S234" s="674"/>
      <c r="T234" s="674"/>
      <c r="U234" s="675">
        <f>IFERROR((Table4891112[[#This Row],[Invoice Value]]-Table4891112[[#This Row],[Total cost]])/Table4891112[[#This Row],[Invoice Value]],)</f>
        <v>0</v>
      </c>
      <c r="V234" s="676"/>
      <c r="W234" s="676"/>
      <c r="X234" s="676" t="str">
        <f t="shared" si="39"/>
        <v xml:space="preserve"> - </v>
      </c>
      <c r="Y234" s="676" t="str">
        <f t="shared" si="40"/>
        <v xml:space="preserve"> - </v>
      </c>
      <c r="Z234" s="685"/>
      <c r="AA234" s="423" t="str">
        <f t="shared" ca="1" si="41"/>
        <v>-</v>
      </c>
      <c r="AB234" s="423"/>
      <c r="AC234" s="423"/>
      <c r="AD234" s="550"/>
      <c r="AE234" s="550"/>
      <c r="AF234" s="423"/>
      <c r="AG234" s="423"/>
      <c r="AH234" s="423"/>
      <c r="AI234" s="423" t="s">
        <v>144</v>
      </c>
      <c r="AJ234" s="547" t="s">
        <v>100</v>
      </c>
      <c r="AK234" s="547" t="s">
        <v>67</v>
      </c>
      <c r="AL234" s="682"/>
      <c r="AM234" s="547"/>
      <c r="AN234" s="547"/>
      <c r="AO234" s="679"/>
      <c r="AP234" s="406"/>
    </row>
    <row r="235" spans="1:42" ht="13.9">
      <c r="A235" s="423"/>
      <c r="B235" s="423"/>
      <c r="C235" s="548"/>
      <c r="E235" s="680"/>
      <c r="F235" s="423"/>
      <c r="G235" s="423"/>
      <c r="H235" s="423"/>
      <c r="I235" s="423" t="s">
        <v>3536</v>
      </c>
      <c r="J235" s="423"/>
      <c r="K235" s="681"/>
      <c r="L235" s="670"/>
      <c r="M235" s="423"/>
      <c r="N235" s="423"/>
      <c r="O235" s="423"/>
      <c r="P235" s="685"/>
      <c r="Q235" s="685"/>
      <c r="R235" s="423"/>
      <c r="S235" s="674"/>
      <c r="T235" s="674"/>
      <c r="U235" s="675">
        <f>IFERROR((Table4891112[[#This Row],[Invoice Value]]-Table4891112[[#This Row],[Total cost]])/Table4891112[[#This Row],[Invoice Value]],)</f>
        <v>0</v>
      </c>
      <c r="V235" s="676"/>
      <c r="W235" s="676"/>
      <c r="X235" s="676" t="str">
        <f t="shared" si="39"/>
        <v xml:space="preserve"> - </v>
      </c>
      <c r="Y235" s="676" t="str">
        <f t="shared" si="40"/>
        <v xml:space="preserve"> - </v>
      </c>
      <c r="Z235" s="685"/>
      <c r="AA235" s="423" t="str">
        <f t="shared" ca="1" si="41"/>
        <v>-</v>
      </c>
      <c r="AB235" s="423"/>
      <c r="AC235" s="423"/>
      <c r="AD235" s="550"/>
      <c r="AE235" s="550"/>
      <c r="AF235" s="423"/>
      <c r="AG235" s="423"/>
      <c r="AH235" s="423"/>
      <c r="AI235" s="423" t="s">
        <v>207</v>
      </c>
      <c r="AJ235" s="547" t="s">
        <v>100</v>
      </c>
      <c r="AK235" s="547" t="s">
        <v>67</v>
      </c>
      <c r="AL235" s="682"/>
      <c r="AM235" s="547"/>
      <c r="AN235" s="547"/>
      <c r="AO235" s="679"/>
      <c r="AP235" s="406"/>
    </row>
    <row r="236" spans="1:42" ht="13.9">
      <c r="A236" s="423"/>
      <c r="B236" s="423"/>
      <c r="C236" s="548"/>
      <c r="E236" s="680"/>
      <c r="F236" s="423"/>
      <c r="G236" s="423"/>
      <c r="H236" s="423"/>
      <c r="I236" s="423" t="s">
        <v>3536</v>
      </c>
      <c r="J236" s="423"/>
      <c r="K236" s="681"/>
      <c r="L236" s="670"/>
      <c r="M236" s="423"/>
      <c r="N236" s="423"/>
      <c r="O236" s="423"/>
      <c r="P236" s="685"/>
      <c r="Q236" s="685"/>
      <c r="R236" s="423"/>
      <c r="S236" s="674"/>
      <c r="T236" s="674"/>
      <c r="U236" s="675">
        <f>IFERROR((Table4891112[[#This Row],[Invoice Value]]-Table4891112[[#This Row],[Total cost]])/Table4891112[[#This Row],[Invoice Value]],)</f>
        <v>0</v>
      </c>
      <c r="V236" s="676"/>
      <c r="W236" s="676"/>
      <c r="X236" s="676" t="str">
        <f t="shared" si="39"/>
        <v xml:space="preserve"> - </v>
      </c>
      <c r="Y236" s="676" t="str">
        <f t="shared" si="40"/>
        <v xml:space="preserve"> - </v>
      </c>
      <c r="Z236" s="685"/>
      <c r="AA236" s="423" t="str">
        <f t="shared" ca="1" si="41"/>
        <v>-</v>
      </c>
      <c r="AB236" s="423"/>
      <c r="AC236" s="423"/>
      <c r="AD236" s="550"/>
      <c r="AE236" s="550"/>
      <c r="AF236" s="423"/>
      <c r="AG236" s="423"/>
      <c r="AH236" s="423"/>
      <c r="AI236" s="423"/>
      <c r="AJ236" s="547"/>
      <c r="AK236" s="547"/>
      <c r="AL236" s="682"/>
      <c r="AM236" s="547"/>
      <c r="AN236" s="547"/>
      <c r="AO236" s="679"/>
      <c r="AP236" s="406"/>
    </row>
    <row r="237" spans="1:42" ht="13.9">
      <c r="A237" s="423"/>
      <c r="B237" s="423"/>
      <c r="C237" s="548"/>
      <c r="E237" s="680"/>
      <c r="F237" s="423"/>
      <c r="G237" s="423"/>
      <c r="H237" s="423"/>
      <c r="I237" s="423" t="s">
        <v>3536</v>
      </c>
      <c r="J237" s="423"/>
      <c r="K237" s="681"/>
      <c r="L237" s="670"/>
      <c r="M237" s="423"/>
      <c r="N237" s="423"/>
      <c r="O237" s="423"/>
      <c r="P237" s="685"/>
      <c r="Q237" s="685"/>
      <c r="R237" s="423"/>
      <c r="S237" s="674"/>
      <c r="T237" s="674"/>
      <c r="U237" s="675">
        <f>IFERROR((Table4891112[[#This Row],[Invoice Value]]-Table4891112[[#This Row],[Total cost]])/Table4891112[[#This Row],[Invoice Value]],)</f>
        <v>0</v>
      </c>
      <c r="V237" s="676"/>
      <c r="W237" s="676"/>
      <c r="X237" s="676" t="str">
        <f t="shared" si="39"/>
        <v xml:space="preserve"> - </v>
      </c>
      <c r="Y237" s="676" t="str">
        <f t="shared" si="40"/>
        <v xml:space="preserve"> - </v>
      </c>
      <c r="Z237" s="685"/>
      <c r="AA237" s="423" t="str">
        <f t="shared" ca="1" si="41"/>
        <v>-</v>
      </c>
      <c r="AB237" s="423"/>
      <c r="AC237" s="423"/>
      <c r="AD237" s="550"/>
      <c r="AE237" s="550"/>
      <c r="AF237" s="423"/>
      <c r="AG237" s="423"/>
      <c r="AH237" s="423"/>
      <c r="AI237" s="423" t="s">
        <v>144</v>
      </c>
      <c r="AJ237" s="547" t="s">
        <v>100</v>
      </c>
      <c r="AK237" s="547" t="s">
        <v>100</v>
      </c>
      <c r="AL237" s="682"/>
      <c r="AM237" s="547"/>
      <c r="AN237" s="547"/>
      <c r="AO237" s="679"/>
      <c r="AP237" s="406"/>
    </row>
    <row r="238" spans="1:42" ht="13.9">
      <c r="A238" s="677"/>
      <c r="B238" s="677"/>
      <c r="C238" s="689"/>
      <c r="E238" s="690"/>
      <c r="F238" s="677"/>
      <c r="G238" s="677"/>
      <c r="H238" s="677"/>
      <c r="I238" s="677" t="s">
        <v>3536</v>
      </c>
      <c r="J238" s="677"/>
      <c r="K238" s="691"/>
      <c r="L238" s="692"/>
      <c r="M238" s="677"/>
      <c r="N238" s="677"/>
      <c r="O238" s="677"/>
      <c r="P238" s="693"/>
      <c r="Q238" s="693"/>
      <c r="R238" s="677"/>
      <c r="S238" s="694"/>
      <c r="T238" s="694"/>
      <c r="U238" s="695">
        <f>IFERROR((Table4891112[[#This Row],[Invoice Value]]-Table4891112[[#This Row],[Total cost]])/Table4891112[[#This Row],[Invoice Value]],)</f>
        <v>0</v>
      </c>
      <c r="V238" s="696"/>
      <c r="W238" s="696"/>
      <c r="X238" s="696" t="str">
        <f t="shared" si="39"/>
        <v xml:space="preserve"> - </v>
      </c>
      <c r="Y238" s="696" t="str">
        <f t="shared" si="40"/>
        <v xml:space="preserve"> - </v>
      </c>
      <c r="Z238" s="693"/>
      <c r="AA238" s="677" t="str">
        <f t="shared" ca="1" si="41"/>
        <v>-</v>
      </c>
      <c r="AB238" s="677"/>
      <c r="AC238" s="677"/>
      <c r="AD238" s="664"/>
      <c r="AE238" s="664"/>
      <c r="AF238" s="677"/>
      <c r="AG238" s="677"/>
      <c r="AH238" s="677"/>
      <c r="AI238" s="722" t="s">
        <v>144</v>
      </c>
      <c r="AJ238" s="687" t="s">
        <v>100</v>
      </c>
      <c r="AK238" s="687" t="s">
        <v>100</v>
      </c>
      <c r="AL238" s="724"/>
      <c r="AM238" s="687"/>
      <c r="AN238" s="687"/>
      <c r="AO238" s="697"/>
      <c r="AP238" s="406"/>
    </row>
    <row r="239" spans="1:42" ht="13.9">
      <c r="A239" s="423"/>
      <c r="B239" s="423"/>
      <c r="C239" s="548"/>
      <c r="E239" s="680"/>
      <c r="F239" s="423"/>
      <c r="G239" s="423"/>
      <c r="H239" s="423"/>
      <c r="I239" s="423" t="s">
        <v>3536</v>
      </c>
      <c r="J239" s="423"/>
      <c r="K239" s="681"/>
      <c r="L239" s="670"/>
      <c r="M239" s="423"/>
      <c r="N239" s="423"/>
      <c r="O239" s="423"/>
      <c r="P239" s="685"/>
      <c r="Q239" s="685"/>
      <c r="R239" s="423"/>
      <c r="S239" s="674"/>
      <c r="T239" s="674"/>
      <c r="U239" s="675">
        <f>IFERROR((Table4891112[[#This Row],[Invoice Value]]-Table4891112[[#This Row],[Total cost]])/Table4891112[[#This Row],[Invoice Value]],)</f>
        <v>0</v>
      </c>
      <c r="V239" s="676"/>
      <c r="W239" s="676"/>
      <c r="X239" s="676" t="str">
        <f t="shared" si="39"/>
        <v xml:space="preserve"> - </v>
      </c>
      <c r="Y239" s="676" t="str">
        <f t="shared" si="40"/>
        <v xml:space="preserve"> - </v>
      </c>
      <c r="Z239" s="685"/>
      <c r="AA239" s="423" t="str">
        <f t="shared" ca="1" si="41"/>
        <v>-</v>
      </c>
      <c r="AB239" s="423"/>
      <c r="AC239" s="423"/>
      <c r="AD239" s="550"/>
      <c r="AE239" s="550"/>
      <c r="AF239" s="423"/>
      <c r="AG239" s="423"/>
      <c r="AH239" s="423"/>
      <c r="AI239" s="677" t="s">
        <v>144</v>
      </c>
      <c r="AJ239" s="547" t="s">
        <v>100</v>
      </c>
      <c r="AK239" s="547" t="s">
        <v>100</v>
      </c>
      <c r="AL239" s="682"/>
      <c r="AM239" s="547"/>
      <c r="AN239" s="547"/>
      <c r="AO239" s="679"/>
      <c r="AP239" s="406"/>
    </row>
    <row r="240" spans="1:42" ht="13.9">
      <c r="A240" s="677"/>
      <c r="B240" s="677"/>
      <c r="C240" s="689"/>
      <c r="E240" s="690"/>
      <c r="F240" s="677"/>
      <c r="G240" s="677"/>
      <c r="H240" s="677"/>
      <c r="I240" s="677" t="s">
        <v>3536</v>
      </c>
      <c r="J240" s="677"/>
      <c r="K240" s="691"/>
      <c r="L240" s="692"/>
      <c r="M240" s="677"/>
      <c r="N240" s="677"/>
      <c r="O240" s="677"/>
      <c r="P240" s="693"/>
      <c r="Q240" s="693"/>
      <c r="R240" s="677"/>
      <c r="S240" s="694"/>
      <c r="T240" s="694"/>
      <c r="U240" s="695">
        <f>IFERROR((Table4891112[[#This Row],[Invoice Value]]-Table4891112[[#This Row],[Total cost]])/Table4891112[[#This Row],[Invoice Value]],)</f>
        <v>0</v>
      </c>
      <c r="V240" s="696"/>
      <c r="W240" s="696"/>
      <c r="X240" s="696" t="str">
        <f t="shared" si="39"/>
        <v xml:space="preserve"> - </v>
      </c>
      <c r="Y240" s="696" t="str">
        <f t="shared" si="40"/>
        <v xml:space="preserve"> - </v>
      </c>
      <c r="Z240" s="693"/>
      <c r="AA240" s="677" t="str">
        <f t="shared" ca="1" si="41"/>
        <v>-</v>
      </c>
      <c r="AB240" s="677"/>
      <c r="AC240" s="677"/>
      <c r="AD240" s="664"/>
      <c r="AE240" s="664"/>
      <c r="AF240" s="677"/>
      <c r="AG240" s="677"/>
      <c r="AH240" s="677"/>
      <c r="AI240" s="677"/>
      <c r="AJ240" s="547"/>
      <c r="AK240" s="547"/>
      <c r="AL240" s="724"/>
      <c r="AM240" s="687"/>
      <c r="AN240" s="687"/>
      <c r="AO240" s="697"/>
      <c r="AP240" s="406"/>
    </row>
    <row r="241" spans="1:42" ht="13.9">
      <c r="A241" s="423"/>
      <c r="B241" s="423"/>
      <c r="C241" s="548"/>
      <c r="E241" s="680"/>
      <c r="F241" s="423"/>
      <c r="G241" s="423"/>
      <c r="H241" s="423"/>
      <c r="I241" s="423" t="s">
        <v>3536</v>
      </c>
      <c r="J241" s="423"/>
      <c r="K241" s="681"/>
      <c r="L241" s="670"/>
      <c r="M241" s="423"/>
      <c r="N241" s="423"/>
      <c r="O241" s="423"/>
      <c r="P241" s="685"/>
      <c r="Q241" s="685"/>
      <c r="R241" s="423"/>
      <c r="S241" s="674"/>
      <c r="T241" s="674"/>
      <c r="U241" s="675">
        <f>IFERROR((Table4891112[[#This Row],[Invoice Value]]-Table4891112[[#This Row],[Total cost]])/Table4891112[[#This Row],[Invoice Value]],)</f>
        <v>0</v>
      </c>
      <c r="V241" s="676"/>
      <c r="W241" s="676"/>
      <c r="X241" s="676" t="str">
        <f t="shared" ref="X241:X251" si="42">IF(Q241&gt;0,Q241+3," - ")</f>
        <v xml:space="preserve"> - </v>
      </c>
      <c r="Y241" s="676" t="str">
        <f t="shared" ref="Y241:Y251" si="43">IF(Q241&gt;0,Q241+14," - ")</f>
        <v xml:space="preserve"> - </v>
      </c>
      <c r="Z241" s="685"/>
      <c r="AA241" s="423" t="str">
        <f t="shared" ref="AA241:AA251" ca="1" si="44">IF(P241=0,"-",IF(Z241&gt;0,"Delivered",IF(TODAY()&gt;Y241,"Overdue",IF(TODAY()&lt;Y241,"In Progress"))))</f>
        <v>-</v>
      </c>
      <c r="AB241" s="423"/>
      <c r="AC241" s="423"/>
      <c r="AD241" s="550"/>
      <c r="AE241" s="550"/>
      <c r="AF241" s="423"/>
      <c r="AG241" s="423"/>
      <c r="AH241" s="423"/>
      <c r="AI241" s="677"/>
      <c r="AJ241" s="547"/>
      <c r="AK241" s="547"/>
      <c r="AL241" s="682"/>
      <c r="AM241" s="547"/>
      <c r="AN241" s="547"/>
      <c r="AO241" s="679"/>
      <c r="AP241" s="406"/>
    </row>
    <row r="242" spans="1:42" ht="13.9">
      <c r="A242" s="423"/>
      <c r="B242" s="423"/>
      <c r="C242" s="548"/>
      <c r="E242" s="680"/>
      <c r="F242" s="423"/>
      <c r="G242" s="423"/>
      <c r="H242" s="423"/>
      <c r="I242" s="423" t="s">
        <v>3536</v>
      </c>
      <c r="J242" s="423"/>
      <c r="K242" s="681"/>
      <c r="L242" s="670"/>
      <c r="M242" s="423"/>
      <c r="N242" s="423"/>
      <c r="O242" s="423"/>
      <c r="P242" s="685"/>
      <c r="Q242" s="685"/>
      <c r="R242" s="423"/>
      <c r="S242" s="674"/>
      <c r="T242" s="674"/>
      <c r="U242" s="675">
        <f>IFERROR((Table4891112[[#This Row],[Invoice Value]]-Table4891112[[#This Row],[Total cost]])/Table4891112[[#This Row],[Invoice Value]],)</f>
        <v>0</v>
      </c>
      <c r="V242" s="676"/>
      <c r="W242" s="676"/>
      <c r="X242" s="676" t="str">
        <f t="shared" si="42"/>
        <v xml:space="preserve"> - </v>
      </c>
      <c r="Y242" s="676" t="str">
        <f t="shared" si="43"/>
        <v xml:space="preserve"> - </v>
      </c>
      <c r="Z242" s="685"/>
      <c r="AA242" s="423" t="str">
        <f t="shared" ca="1" si="44"/>
        <v>-</v>
      </c>
      <c r="AB242" s="423"/>
      <c r="AC242" s="423"/>
      <c r="AD242" s="550"/>
      <c r="AE242" s="550"/>
      <c r="AF242" s="423"/>
      <c r="AG242" s="423"/>
      <c r="AH242" s="423"/>
      <c r="AI242" s="677"/>
      <c r="AJ242" s="547" t="s">
        <v>100</v>
      </c>
      <c r="AK242" s="547" t="s">
        <v>67</v>
      </c>
      <c r="AL242" s="682"/>
      <c r="AM242" s="547"/>
      <c r="AN242" s="547"/>
      <c r="AO242" s="679"/>
      <c r="AP242" s="406"/>
    </row>
    <row r="243" spans="1:42" ht="13.9">
      <c r="A243" s="423"/>
      <c r="B243" s="423"/>
      <c r="C243" s="548"/>
      <c r="E243" s="680"/>
      <c r="F243" s="423"/>
      <c r="G243" s="423"/>
      <c r="H243" s="423"/>
      <c r="I243" s="423" t="s">
        <v>3536</v>
      </c>
      <c r="J243" s="423"/>
      <c r="K243" s="681"/>
      <c r="L243" s="670"/>
      <c r="M243" s="423"/>
      <c r="N243" s="423"/>
      <c r="O243" s="423"/>
      <c r="P243" s="685"/>
      <c r="Q243" s="685"/>
      <c r="R243" s="423"/>
      <c r="S243" s="674"/>
      <c r="T243" s="674"/>
      <c r="U243" s="675">
        <f>IFERROR((Table4891112[[#This Row],[Invoice Value]]-Table4891112[[#This Row],[Total cost]])/Table4891112[[#This Row],[Invoice Value]],)</f>
        <v>0</v>
      </c>
      <c r="V243" s="676"/>
      <c r="W243" s="676"/>
      <c r="X243" s="676" t="str">
        <f t="shared" si="42"/>
        <v xml:space="preserve"> - </v>
      </c>
      <c r="Y243" s="676" t="str">
        <f t="shared" si="43"/>
        <v xml:space="preserve"> - </v>
      </c>
      <c r="Z243" s="685"/>
      <c r="AA243" s="423" t="str">
        <f t="shared" ca="1" si="44"/>
        <v>-</v>
      </c>
      <c r="AB243" s="423"/>
      <c r="AC243" s="423"/>
      <c r="AD243" s="550"/>
      <c r="AE243" s="550"/>
      <c r="AF243" s="423"/>
      <c r="AG243" s="423"/>
      <c r="AH243" s="423"/>
      <c r="AI243" s="677" t="s">
        <v>67</v>
      </c>
      <c r="AJ243" s="547" t="s">
        <v>67</v>
      </c>
      <c r="AK243" s="547" t="s">
        <v>67</v>
      </c>
      <c r="AL243" s="682"/>
      <c r="AM243" s="547"/>
      <c r="AN243" s="547"/>
      <c r="AO243" s="679"/>
      <c r="AP243" s="406"/>
    </row>
    <row r="244" spans="1:42" ht="13.9">
      <c r="A244" s="423"/>
      <c r="B244" s="423"/>
      <c r="C244" s="548"/>
      <c r="E244" s="680"/>
      <c r="F244" s="423"/>
      <c r="G244" s="423"/>
      <c r="H244" s="423"/>
      <c r="I244" s="423" t="s">
        <v>3536</v>
      </c>
      <c r="J244" s="423"/>
      <c r="K244" s="681"/>
      <c r="L244" s="670"/>
      <c r="M244" s="423"/>
      <c r="N244" s="423"/>
      <c r="O244" s="423"/>
      <c r="P244" s="685"/>
      <c r="Q244" s="685"/>
      <c r="R244" s="423"/>
      <c r="S244" s="674"/>
      <c r="T244" s="674"/>
      <c r="U244" s="675">
        <f>IFERROR((Table4891112[[#This Row],[Invoice Value]]-Table4891112[[#This Row],[Total cost]])/Table4891112[[#This Row],[Invoice Value]],)</f>
        <v>0</v>
      </c>
      <c r="V244" s="676"/>
      <c r="W244" s="676"/>
      <c r="X244" s="676" t="str">
        <f t="shared" si="42"/>
        <v xml:space="preserve"> - </v>
      </c>
      <c r="Y244" s="676" t="str">
        <f t="shared" si="43"/>
        <v xml:space="preserve"> - </v>
      </c>
      <c r="Z244" s="423"/>
      <c r="AA244" s="423" t="str">
        <f t="shared" ca="1" si="44"/>
        <v>-</v>
      </c>
      <c r="AB244" s="423"/>
      <c r="AC244" s="423"/>
      <c r="AD244" s="550"/>
      <c r="AE244" s="550"/>
      <c r="AF244" s="423"/>
      <c r="AG244" s="423"/>
      <c r="AH244" s="423"/>
      <c r="AI244" s="687" t="s">
        <v>144</v>
      </c>
      <c r="AJ244" s="547" t="s">
        <v>144</v>
      </c>
      <c r="AK244" s="334" t="s">
        <v>67</v>
      </c>
      <c r="AL244" s="343"/>
      <c r="AM244" s="334"/>
      <c r="AN244" s="334"/>
      <c r="AO244" s="679"/>
      <c r="AP244" s="406"/>
    </row>
    <row r="245" spans="1:42" ht="13.9">
      <c r="A245" s="423"/>
      <c r="B245" s="423"/>
      <c r="C245" s="548"/>
      <c r="E245" s="680"/>
      <c r="F245" s="423"/>
      <c r="G245" s="423"/>
      <c r="H245" s="423"/>
      <c r="I245" s="423" t="s">
        <v>3536</v>
      </c>
      <c r="J245" s="423"/>
      <c r="K245" s="681"/>
      <c r="L245" s="670"/>
      <c r="M245" s="423"/>
      <c r="N245" s="423"/>
      <c r="O245" s="423"/>
      <c r="P245" s="685"/>
      <c r="Q245" s="685"/>
      <c r="R245" s="423"/>
      <c r="S245" s="674"/>
      <c r="T245" s="674"/>
      <c r="U245" s="675">
        <f>IFERROR((Table4891112[[#This Row],[Invoice Value]]-Table4891112[[#This Row],[Total cost]])/Table4891112[[#This Row],[Invoice Value]],)</f>
        <v>0</v>
      </c>
      <c r="V245" s="676"/>
      <c r="W245" s="676"/>
      <c r="X245" s="676" t="str">
        <f t="shared" si="42"/>
        <v xml:space="preserve"> - </v>
      </c>
      <c r="Y245" s="676" t="str">
        <f t="shared" si="43"/>
        <v xml:space="preserve"> - </v>
      </c>
      <c r="Z245" s="685"/>
      <c r="AA245" s="423" t="str">
        <f t="shared" ca="1" si="44"/>
        <v>-</v>
      </c>
      <c r="AB245" s="423"/>
      <c r="AC245" s="423"/>
      <c r="AD245" s="550"/>
      <c r="AE245" s="550"/>
      <c r="AF245" s="423"/>
      <c r="AG245" s="423"/>
      <c r="AH245" s="423"/>
      <c r="AI245" s="677" t="s">
        <v>100</v>
      </c>
      <c r="AJ245" s="547" t="s">
        <v>100</v>
      </c>
      <c r="AK245" s="547" t="s">
        <v>100</v>
      </c>
      <c r="AL245" s="682"/>
      <c r="AM245" s="547"/>
      <c r="AN245" s="547"/>
      <c r="AO245" s="679"/>
      <c r="AP245" s="406"/>
    </row>
    <row r="246" spans="1:42" ht="13.9">
      <c r="A246" s="423"/>
      <c r="B246" s="423"/>
      <c r="C246" s="548"/>
      <c r="E246" s="680"/>
      <c r="F246" s="423"/>
      <c r="G246" s="423"/>
      <c r="H246" s="423"/>
      <c r="I246" s="423" t="s">
        <v>3536</v>
      </c>
      <c r="J246" s="423"/>
      <c r="K246" s="681"/>
      <c r="L246" s="670"/>
      <c r="M246" s="423"/>
      <c r="N246" s="423"/>
      <c r="O246" s="423"/>
      <c r="P246" s="685"/>
      <c r="Q246" s="685"/>
      <c r="R246" s="423"/>
      <c r="S246" s="674"/>
      <c r="T246" s="674"/>
      <c r="U246" s="675">
        <f>IFERROR((Table4891112[[#This Row],[Invoice Value]]-Table4891112[[#This Row],[Total cost]])/Table4891112[[#This Row],[Invoice Value]],)</f>
        <v>0</v>
      </c>
      <c r="V246" s="676"/>
      <c r="W246" s="676"/>
      <c r="X246" s="676" t="str">
        <f t="shared" si="42"/>
        <v xml:space="preserve"> - </v>
      </c>
      <c r="Y246" s="685" t="str">
        <f t="shared" si="43"/>
        <v xml:space="preserve"> - </v>
      </c>
      <c r="Z246" s="676"/>
      <c r="AA246" s="423" t="str">
        <f t="shared" ca="1" si="44"/>
        <v>-</v>
      </c>
      <c r="AB246" s="423"/>
      <c r="AC246" s="423"/>
      <c r="AD246" s="550"/>
      <c r="AE246" s="550"/>
      <c r="AF246" s="423"/>
      <c r="AG246" s="423"/>
      <c r="AH246" s="423" t="s">
        <v>3539</v>
      </c>
      <c r="AI246" s="687"/>
      <c r="AJ246" s="547" t="s">
        <v>100</v>
      </c>
      <c r="AK246" s="334" t="s">
        <v>67</v>
      </c>
      <c r="AL246" s="343"/>
      <c r="AM246" s="334"/>
      <c r="AN246" s="334"/>
      <c r="AO246" s="679"/>
      <c r="AP246" s="406"/>
    </row>
    <row r="247" spans="1:42" ht="13.9">
      <c r="A247" s="423"/>
      <c r="B247" s="423"/>
      <c r="C247" s="548">
        <f>SUBTOTAL(109,C4:C246)</f>
        <v>2539803.91</v>
      </c>
      <c r="E247" s="725"/>
      <c r="F247" s="423"/>
      <c r="G247" s="423"/>
      <c r="H247" s="423"/>
      <c r="I247" s="423" t="s">
        <v>3536</v>
      </c>
      <c r="J247" s="329"/>
      <c r="K247" s="330"/>
      <c r="L247" s="331"/>
      <c r="M247" s="329"/>
      <c r="N247" s="423"/>
      <c r="O247" s="423"/>
      <c r="P247" s="685"/>
      <c r="Q247" s="685"/>
      <c r="R247" s="423"/>
      <c r="S247" s="674">
        <f>SUBTOTAL(109,S4:S246)</f>
        <v>1906372.27</v>
      </c>
      <c r="T247" s="674">
        <f>SUBTOTAL(109,T4:T246)</f>
        <v>1164120</v>
      </c>
      <c r="U247" s="726">
        <f>(Table4891112[[#This Row],[Invoice Value]]-Table4891112[[#This Row],[Total cost]])/Table4891112[[#This Row],[Invoice Value]]</f>
        <v>0.38935326624321914</v>
      </c>
      <c r="V247" s="676"/>
      <c r="W247" s="676"/>
      <c r="X247" s="676" t="str">
        <f t="shared" si="42"/>
        <v xml:space="preserve"> - </v>
      </c>
      <c r="Y247" s="685" t="str">
        <f t="shared" si="43"/>
        <v xml:space="preserve"> - </v>
      </c>
      <c r="Z247" s="423"/>
      <c r="AA247" s="423" t="str">
        <f t="shared" ca="1" si="44"/>
        <v>-</v>
      </c>
      <c r="AB247" s="423"/>
      <c r="AC247" s="423"/>
      <c r="AD247" s="550"/>
      <c r="AE247" s="550"/>
      <c r="AF247" s="423"/>
      <c r="AG247" s="423"/>
      <c r="AH247" s="423"/>
      <c r="AI247" s="547"/>
      <c r="AJ247" s="547"/>
      <c r="AK247" s="334"/>
      <c r="AL247" s="344"/>
      <c r="AM247" s="337"/>
      <c r="AN247" s="337"/>
      <c r="AO247" s="697"/>
      <c r="AP247" s="406"/>
    </row>
    <row r="248" spans="1:42" ht="13.9">
      <c r="A248" s="423"/>
      <c r="B248" s="423"/>
      <c r="C248" s="548"/>
      <c r="E248" s="727"/>
      <c r="F248" s="423"/>
      <c r="G248" s="423"/>
      <c r="H248" s="423"/>
      <c r="I248" s="423"/>
      <c r="J248" s="329"/>
      <c r="K248" s="330"/>
      <c r="L248" s="331"/>
      <c r="M248" s="329"/>
      <c r="N248" s="423"/>
      <c r="O248" s="423"/>
      <c r="P248" s="685"/>
      <c r="Q248" s="685"/>
      <c r="R248" s="676"/>
      <c r="S248" s="674"/>
      <c r="T248" s="674"/>
      <c r="U248" s="675" t="e">
        <f>(Table4891112[[#This Row],[Invoice Value]]-Table4891112[[#This Row],[Total cost]])/Table4891112[[#This Row],[Invoice Value]]</f>
        <v>#DIV/0!</v>
      </c>
      <c r="V248" s="676"/>
      <c r="W248" s="676"/>
      <c r="X248" s="676" t="str">
        <f t="shared" si="42"/>
        <v xml:space="preserve"> - </v>
      </c>
      <c r="Y248" s="676" t="str">
        <f t="shared" si="43"/>
        <v xml:space="preserve"> - </v>
      </c>
      <c r="Z248" s="685"/>
      <c r="AA248" s="423" t="str">
        <f t="shared" ca="1" si="44"/>
        <v>-</v>
      </c>
      <c r="AB248" s="423"/>
      <c r="AC248" s="423"/>
      <c r="AD248" s="550"/>
      <c r="AE248" s="550"/>
      <c r="AF248" s="423"/>
      <c r="AG248" s="423"/>
      <c r="AH248" s="423"/>
      <c r="AI248" s="423"/>
      <c r="AJ248" s="547"/>
      <c r="AK248" s="547"/>
      <c r="AL248" s="724"/>
      <c r="AM248" s="687"/>
      <c r="AN248" s="687"/>
      <c r="AO248" s="697"/>
      <c r="AP248" s="406"/>
    </row>
    <row r="249" spans="1:42" ht="13.9">
      <c r="A249" s="423"/>
      <c r="B249" s="683"/>
      <c r="C249" s="548"/>
      <c r="E249" s="328"/>
      <c r="F249" s="423"/>
      <c r="G249" s="423"/>
      <c r="H249" s="423"/>
      <c r="I249" s="423"/>
      <c r="J249" s="329"/>
      <c r="K249" s="330"/>
      <c r="L249" s="331"/>
      <c r="M249" s="329"/>
      <c r="N249" s="423"/>
      <c r="O249" s="423"/>
      <c r="P249" s="685"/>
      <c r="Q249" s="685"/>
      <c r="R249" s="423"/>
      <c r="S249" s="674"/>
      <c r="T249" s="674"/>
      <c r="U249" s="675" t="e">
        <f>(Table4891112[[#This Row],[Invoice Value]]-Table4891112[[#This Row],[Total cost]])/Table4891112[[#This Row],[Invoice Value]]</f>
        <v>#DIV/0!</v>
      </c>
      <c r="V249" s="676"/>
      <c r="W249" s="676"/>
      <c r="X249" s="676" t="str">
        <f t="shared" si="42"/>
        <v xml:space="preserve"> - </v>
      </c>
      <c r="Y249" s="676" t="str">
        <f t="shared" si="43"/>
        <v xml:space="preserve"> - </v>
      </c>
      <c r="Z249" s="685"/>
      <c r="AA249" s="423" t="str">
        <f t="shared" ca="1" si="44"/>
        <v>-</v>
      </c>
      <c r="AB249" s="423"/>
      <c r="AC249" s="423"/>
      <c r="AD249" s="550"/>
      <c r="AE249" s="550"/>
      <c r="AF249" s="423"/>
      <c r="AG249" s="423"/>
      <c r="AH249" s="423"/>
      <c r="AI249" s="677"/>
      <c r="AJ249" s="547"/>
      <c r="AK249" s="547"/>
      <c r="AL249" s="682"/>
      <c r="AM249" s="547"/>
      <c r="AN249" s="547"/>
      <c r="AO249" s="679"/>
      <c r="AP249" s="406"/>
    </row>
    <row r="250" spans="1:42" ht="14.25" customHeight="1">
      <c r="A250" s="423"/>
      <c r="B250" s="423"/>
      <c r="C250" s="548"/>
      <c r="E250" s="728"/>
      <c r="F250" s="423"/>
      <c r="G250" s="423"/>
      <c r="H250" s="423"/>
      <c r="I250" s="423"/>
      <c r="J250" s="423"/>
      <c r="K250" s="681"/>
      <c r="L250" s="670"/>
      <c r="M250" s="423"/>
      <c r="N250" s="423"/>
      <c r="O250" s="423"/>
      <c r="P250" s="685"/>
      <c r="Q250" s="685"/>
      <c r="R250" s="423"/>
      <c r="S250" s="674"/>
      <c r="T250" s="674"/>
      <c r="U250" s="675" t="e">
        <f>(Table4891112[[#This Row],[Invoice Value]]-Table4891112[[#This Row],[Total cost]])/Table4891112[[#This Row],[Invoice Value]]</f>
        <v>#DIV/0!</v>
      </c>
      <c r="V250" s="676"/>
      <c r="W250" s="676"/>
      <c r="X250" s="676" t="str">
        <f t="shared" si="42"/>
        <v xml:space="preserve"> - </v>
      </c>
      <c r="Y250" s="676" t="str">
        <f t="shared" si="43"/>
        <v xml:space="preserve"> - </v>
      </c>
      <c r="Z250" s="685"/>
      <c r="AA250" s="423" t="str">
        <f t="shared" ca="1" si="44"/>
        <v>-</v>
      </c>
      <c r="AB250" s="423"/>
      <c r="AC250" s="423"/>
      <c r="AD250" s="550"/>
      <c r="AE250" s="550"/>
      <c r="AF250" s="423"/>
      <c r="AG250" s="423"/>
      <c r="AH250" s="423"/>
      <c r="AI250" s="677"/>
      <c r="AJ250" s="547"/>
      <c r="AK250" s="547"/>
      <c r="AL250" s="682"/>
      <c r="AM250" s="547"/>
      <c r="AN250" s="547"/>
      <c r="AO250" s="679"/>
      <c r="AP250" s="406"/>
    </row>
    <row r="251" spans="1:42" ht="14.25" customHeight="1">
      <c r="A251" s="972"/>
      <c r="B251" s="972"/>
      <c r="C251" s="1022"/>
      <c r="E251" s="1023"/>
      <c r="F251" s="972"/>
      <c r="G251" s="972"/>
      <c r="H251" s="972" t="s">
        <v>3540</v>
      </c>
      <c r="I251" s="972"/>
      <c r="J251" s="329"/>
      <c r="K251" s="330"/>
      <c r="L251" s="1024"/>
      <c r="M251" s="1025"/>
      <c r="N251" s="972"/>
      <c r="O251" s="677"/>
      <c r="P251" s="1026"/>
      <c r="Q251" s="1026"/>
      <c r="R251" s="1027"/>
      <c r="S251" s="1028"/>
      <c r="T251" s="1028"/>
      <c r="U251" s="1029" t="e">
        <f>(Table4891112[[#This Row],[Invoice Value]]-Table4891112[[#This Row],[Total cost]])/Table4891112[[#This Row],[Invoice Value]]</f>
        <v>#DIV/0!</v>
      </c>
      <c r="V251" s="1027"/>
      <c r="W251" s="696"/>
      <c r="X251" s="1027" t="str">
        <f t="shared" si="42"/>
        <v xml:space="preserve"> - </v>
      </c>
      <c r="Y251" s="1027" t="str">
        <f t="shared" si="43"/>
        <v xml:space="preserve"> - </v>
      </c>
      <c r="Z251" s="1026"/>
      <c r="AA251" s="972" t="str">
        <f t="shared" ca="1" si="44"/>
        <v>-</v>
      </c>
      <c r="AB251" s="972"/>
      <c r="AC251" s="972"/>
      <c r="AD251" s="975"/>
      <c r="AE251" s="975"/>
      <c r="AF251" s="972"/>
      <c r="AG251" s="972"/>
      <c r="AH251" s="972"/>
      <c r="AI251" s="972"/>
      <c r="AJ251" s="687"/>
      <c r="AK251" s="687"/>
      <c r="AL251" s="724"/>
      <c r="AM251" s="687"/>
      <c r="AN251" s="687"/>
      <c r="AO251" s="729"/>
      <c r="AP251" s="406"/>
    </row>
  </sheetData>
  <mergeCells count="5">
    <mergeCell ref="AG1:AL1"/>
    <mergeCell ref="O1:U1"/>
    <mergeCell ref="W1:Z1"/>
    <mergeCell ref="AC1:AD1"/>
    <mergeCell ref="AE1:AF1"/>
  </mergeCells>
  <pageMargins left="0.7" right="0.7" top="0.75" bottom="0.75" header="0.3" footer="0.3"/>
  <pageSetup paperSize="5" scale="26" fitToHeight="0" orientation="landscape"/>
  <legacyDrawing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3063-C0A0-4EBA-A1DB-92E937EA7A83}">
  <dimension ref="A1:AP16"/>
  <sheetViews>
    <sheetView topLeftCell="A6" workbookViewId="0">
      <selection activeCell="L15" sqref="L15:M15"/>
    </sheetView>
  </sheetViews>
  <sheetFormatPr defaultColWidth="9.140625" defaultRowHeight="35.25" customHeight="1"/>
  <cols>
    <col min="1" max="1" width="19.7109375" style="366" customWidth="1"/>
    <col min="2" max="2" width="32.42578125" style="366" customWidth="1"/>
    <col min="3" max="3" width="18.140625" style="369" customWidth="1"/>
    <col min="4" max="4" width="19.5703125" style="369" customWidth="1"/>
    <col min="5" max="5" width="50.5703125" style="371" customWidth="1"/>
    <col min="6" max="6" width="13.42578125" style="366" customWidth="1"/>
    <col min="7" max="7" width="18.140625" style="367" customWidth="1"/>
    <col min="8" max="8" width="12" style="367" customWidth="1"/>
    <col min="9" max="9" width="25.28515625" style="755" customWidth="1"/>
    <col min="10" max="10" width="19.42578125" style="370" customWidth="1"/>
    <col min="11" max="11" width="19.5703125" style="752" customWidth="1"/>
    <col min="12" max="12" width="16.42578125" style="366" customWidth="1"/>
    <col min="13" max="13" width="12.28515625" style="366" customWidth="1"/>
    <col min="14" max="14" width="68.5703125" style="367" customWidth="1"/>
    <col min="15" max="15" width="17.7109375" style="367" customWidth="1"/>
    <col min="16" max="16" width="25.140625" style="367" customWidth="1"/>
    <col min="17" max="17" width="13.85546875" style="367" customWidth="1"/>
    <col min="18" max="16384" width="9.140625" style="367"/>
  </cols>
  <sheetData>
    <row r="1" spans="1:42" s="764" customFormat="1" ht="71.25" customHeight="1">
      <c r="A1" s="756" t="s">
        <v>9</v>
      </c>
      <c r="B1" s="756" t="s">
        <v>34</v>
      </c>
      <c r="C1" s="757" t="s">
        <v>35</v>
      </c>
      <c r="D1" s="757" t="s">
        <v>3253</v>
      </c>
      <c r="E1" s="758" t="s">
        <v>15</v>
      </c>
      <c r="F1" s="756" t="s">
        <v>3254</v>
      </c>
      <c r="G1" s="756" t="s">
        <v>10</v>
      </c>
      <c r="H1" s="756" t="s">
        <v>11</v>
      </c>
      <c r="I1" s="759" t="s">
        <v>3255</v>
      </c>
      <c r="J1" s="760" t="s">
        <v>3895</v>
      </c>
      <c r="K1" s="760" t="s">
        <v>3896</v>
      </c>
      <c r="L1" s="756" t="s">
        <v>3897</v>
      </c>
      <c r="M1" s="756" t="s">
        <v>3898</v>
      </c>
      <c r="N1" s="756" t="s">
        <v>3260</v>
      </c>
      <c r="O1" s="761" t="s">
        <v>3899</v>
      </c>
      <c r="P1" s="762" t="s">
        <v>3900</v>
      </c>
      <c r="Q1" s="760" t="s">
        <v>3901</v>
      </c>
      <c r="R1" s="760"/>
      <c r="S1" s="756"/>
      <c r="T1" s="763"/>
      <c r="U1" s="763"/>
      <c r="V1" s="756"/>
      <c r="W1" s="756"/>
      <c r="X1" s="756"/>
      <c r="Y1" s="756"/>
      <c r="Z1" s="756"/>
      <c r="AA1" s="756"/>
      <c r="AB1" s="756"/>
      <c r="AC1" s="756"/>
      <c r="AD1" s="756"/>
      <c r="AE1" s="756"/>
      <c r="AF1" s="756"/>
      <c r="AG1" s="756"/>
      <c r="AH1" s="756"/>
      <c r="AI1" s="756"/>
      <c r="AJ1" s="756"/>
      <c r="AK1" s="756"/>
      <c r="AL1" s="756"/>
      <c r="AM1" s="756"/>
      <c r="AN1" s="762"/>
      <c r="AO1" s="762"/>
      <c r="AP1" s="762"/>
    </row>
    <row r="2" spans="1:42" s="778" customFormat="1" ht="60.75" customHeight="1">
      <c r="A2" s="779" t="s">
        <v>3280</v>
      </c>
      <c r="B2" s="779"/>
      <c r="C2" s="789"/>
      <c r="D2" s="790"/>
      <c r="E2" s="791"/>
      <c r="F2" s="779"/>
      <c r="G2" s="779"/>
      <c r="H2" s="779"/>
      <c r="I2" s="781"/>
      <c r="J2" s="782"/>
      <c r="K2" s="792"/>
      <c r="L2" s="793"/>
      <c r="M2" s="793">
        <f t="shared" ref="M2:M7" si="0">_xlfn.DAYS(K2,J2)</f>
        <v>0</v>
      </c>
      <c r="N2" s="794"/>
      <c r="O2" s="795"/>
    </row>
    <row r="3" spans="1:42" s="778" customFormat="1" ht="59.25" customHeight="1">
      <c r="A3" s="779" t="s">
        <v>3292</v>
      </c>
      <c r="B3" s="796" t="s">
        <v>3293</v>
      </c>
      <c r="C3" s="775">
        <v>62674</v>
      </c>
      <c r="D3" s="797"/>
      <c r="E3" s="776" t="s">
        <v>3294</v>
      </c>
      <c r="F3" s="765" t="s">
        <v>3283</v>
      </c>
      <c r="G3" s="765" t="s">
        <v>3295</v>
      </c>
      <c r="H3" s="765" t="s">
        <v>3285</v>
      </c>
      <c r="I3" s="781" t="s">
        <v>3286</v>
      </c>
      <c r="J3" s="785"/>
      <c r="K3" s="792"/>
      <c r="L3" s="793"/>
      <c r="M3" s="793">
        <f t="shared" si="0"/>
        <v>0</v>
      </c>
      <c r="N3" s="778" t="s">
        <v>3902</v>
      </c>
    </row>
    <row r="4" spans="1:42" s="778" customFormat="1" ht="59.25" customHeight="1">
      <c r="A4" s="798" t="s">
        <v>3299</v>
      </c>
      <c r="B4" s="798" t="s">
        <v>3300</v>
      </c>
      <c r="C4" s="799">
        <v>9070</v>
      </c>
      <c r="D4" s="780">
        <v>8770</v>
      </c>
      <c r="E4" s="800" t="s">
        <v>3301</v>
      </c>
      <c r="F4" s="798" t="s">
        <v>3283</v>
      </c>
      <c r="G4" s="798" t="s">
        <v>3302</v>
      </c>
      <c r="H4" s="798" t="s">
        <v>3285</v>
      </c>
      <c r="I4" s="796" t="s">
        <v>3303</v>
      </c>
      <c r="J4" s="785">
        <v>45702</v>
      </c>
      <c r="K4" s="792">
        <v>45715</v>
      </c>
      <c r="L4" s="793">
        <v>12</v>
      </c>
      <c r="M4" s="793">
        <f t="shared" si="0"/>
        <v>13</v>
      </c>
      <c r="N4" s="778" t="s">
        <v>3902</v>
      </c>
    </row>
    <row r="5" spans="1:42" s="778" customFormat="1" ht="35.25" customHeight="1">
      <c r="A5" s="779" t="s">
        <v>3306</v>
      </c>
      <c r="B5" s="801" t="s">
        <v>3307</v>
      </c>
      <c r="C5" s="802">
        <v>18877</v>
      </c>
      <c r="D5" s="789">
        <v>17805</v>
      </c>
      <c r="E5" s="777" t="s">
        <v>3308</v>
      </c>
      <c r="F5" s="803" t="s">
        <v>3283</v>
      </c>
      <c r="G5" s="779" t="s">
        <v>3284</v>
      </c>
      <c r="H5" s="804" t="s">
        <v>3285</v>
      </c>
      <c r="I5" s="786" t="s">
        <v>3309</v>
      </c>
      <c r="J5" s="785">
        <v>45695</v>
      </c>
      <c r="K5" s="805"/>
      <c r="L5" s="798"/>
      <c r="M5" s="793">
        <f t="shared" si="0"/>
        <v>-45695</v>
      </c>
      <c r="N5" s="778" t="s">
        <v>3902</v>
      </c>
      <c r="O5" s="779"/>
      <c r="P5" s="806"/>
      <c r="Q5" s="807"/>
      <c r="R5" s="807"/>
      <c r="S5" s="808"/>
      <c r="T5" s="806"/>
      <c r="U5" s="806"/>
      <c r="V5" s="806"/>
      <c r="W5" s="806"/>
      <c r="X5" s="806"/>
      <c r="Y5" s="798"/>
      <c r="Z5" s="798"/>
      <c r="AA5" s="798"/>
      <c r="AB5" s="798"/>
      <c r="AC5" s="798"/>
      <c r="AD5" s="798"/>
      <c r="AE5" s="798"/>
      <c r="AF5" s="798"/>
      <c r="AG5" s="809"/>
      <c r="AH5" s="798"/>
      <c r="AI5" s="798"/>
      <c r="AJ5" s="810"/>
      <c r="AK5" s="811"/>
      <c r="AL5" s="811"/>
      <c r="AM5" s="812"/>
      <c r="AN5" s="779"/>
    </row>
    <row r="6" spans="1:42" s="778" customFormat="1" ht="35.25" customHeight="1">
      <c r="A6" s="779" t="s">
        <v>3311</v>
      </c>
      <c r="B6" s="779"/>
      <c r="C6" s="790"/>
      <c r="D6" s="790"/>
      <c r="E6" s="777"/>
      <c r="F6" s="779"/>
      <c r="G6" s="779"/>
      <c r="H6" s="779"/>
      <c r="I6" s="781"/>
      <c r="J6" s="782"/>
      <c r="K6" s="792"/>
      <c r="L6" s="793"/>
      <c r="M6" s="793">
        <f t="shared" si="0"/>
        <v>0</v>
      </c>
      <c r="O6" s="795"/>
    </row>
    <row r="7" spans="1:42" s="778" customFormat="1" ht="35.25" customHeight="1">
      <c r="A7" s="779" t="s">
        <v>3317</v>
      </c>
      <c r="B7" s="779"/>
      <c r="C7" s="790"/>
      <c r="D7" s="790"/>
      <c r="E7" s="791"/>
      <c r="F7" s="779"/>
      <c r="G7" s="779"/>
      <c r="H7" s="779"/>
      <c r="I7" s="781"/>
      <c r="J7" s="782"/>
      <c r="K7" s="792"/>
      <c r="L7" s="793"/>
      <c r="M7" s="793">
        <f t="shared" si="0"/>
        <v>0</v>
      </c>
      <c r="O7" s="795"/>
    </row>
    <row r="8" spans="1:42" s="778" customFormat="1" ht="35.25" customHeight="1">
      <c r="A8" s="779" t="s">
        <v>3319</v>
      </c>
      <c r="B8" s="779"/>
      <c r="C8" s="790"/>
      <c r="D8" s="790"/>
      <c r="E8" s="791"/>
      <c r="F8" s="779"/>
      <c r="G8" s="779"/>
      <c r="H8" s="779"/>
      <c r="I8" s="781"/>
      <c r="J8" s="782"/>
      <c r="K8" s="792"/>
      <c r="L8" s="793"/>
      <c r="M8" s="793"/>
      <c r="O8" s="795"/>
    </row>
    <row r="9" spans="1:42" s="778" customFormat="1" ht="35.25" customHeight="1">
      <c r="A9" s="779" t="s">
        <v>3325</v>
      </c>
      <c r="B9" s="779"/>
      <c r="C9" s="790"/>
      <c r="D9" s="790"/>
      <c r="E9" s="791"/>
      <c r="F9" s="779"/>
      <c r="G9" s="779"/>
      <c r="H9" s="779"/>
      <c r="I9" s="781"/>
      <c r="J9" s="782"/>
      <c r="K9" s="792"/>
      <c r="L9" s="793"/>
      <c r="M9" s="793"/>
      <c r="O9" s="795"/>
    </row>
    <row r="10" spans="1:42" s="778" customFormat="1" ht="35.25" customHeight="1">
      <c r="A10" s="779" t="s">
        <v>3329</v>
      </c>
      <c r="B10" s="779"/>
      <c r="C10" s="780"/>
      <c r="D10" s="780"/>
      <c r="E10" s="777"/>
      <c r="F10" s="779"/>
      <c r="G10" s="779"/>
      <c r="H10" s="779"/>
      <c r="I10" s="781"/>
      <c r="J10" s="782"/>
      <c r="K10" s="782"/>
      <c r="L10" s="779"/>
      <c r="M10" s="779"/>
    </row>
    <row r="11" spans="1:42" s="778" customFormat="1" ht="35.25" customHeight="1">
      <c r="A11" s="779" t="s">
        <v>3334</v>
      </c>
      <c r="B11" s="796" t="s">
        <v>3335</v>
      </c>
      <c r="C11" s="775">
        <v>14233</v>
      </c>
      <c r="D11" s="783">
        <v>13543</v>
      </c>
      <c r="E11" s="766" t="s">
        <v>3336</v>
      </c>
      <c r="F11" s="803" t="s">
        <v>3283</v>
      </c>
      <c r="G11" s="779" t="s">
        <v>3284</v>
      </c>
      <c r="H11" s="813" t="s">
        <v>3285</v>
      </c>
      <c r="I11" s="784" t="s">
        <v>3337</v>
      </c>
      <c r="J11" s="785">
        <v>45727</v>
      </c>
      <c r="K11" s="786">
        <v>45743</v>
      </c>
      <c r="L11" s="779">
        <v>12</v>
      </c>
      <c r="M11" s="793">
        <f t="shared" ref="M11:M12" si="1">_xlfn.DAYS(K11,J11)</f>
        <v>16</v>
      </c>
    </row>
    <row r="12" spans="1:42" s="778" customFormat="1" ht="35.25" customHeight="1">
      <c r="A12" s="779" t="s">
        <v>3340</v>
      </c>
      <c r="B12" s="796" t="s">
        <v>3341</v>
      </c>
      <c r="C12" s="775">
        <v>9395</v>
      </c>
      <c r="D12" s="783">
        <v>9035</v>
      </c>
      <c r="E12" s="787" t="s">
        <v>3342</v>
      </c>
      <c r="F12" s="803" t="s">
        <v>3283</v>
      </c>
      <c r="G12" s="765" t="s">
        <v>3295</v>
      </c>
      <c r="H12" s="765" t="s">
        <v>3285</v>
      </c>
      <c r="I12" s="765" t="s">
        <v>3328</v>
      </c>
      <c r="J12" s="785"/>
      <c r="K12" s="782"/>
      <c r="L12" s="779">
        <v>12</v>
      </c>
      <c r="M12" s="793">
        <f t="shared" si="1"/>
        <v>0</v>
      </c>
      <c r="N12" s="778" t="s">
        <v>3903</v>
      </c>
    </row>
    <row r="13" spans="1:42" s="778" customFormat="1" ht="35.25" customHeight="1">
      <c r="A13" s="779" t="s">
        <v>3344</v>
      </c>
      <c r="B13" s="814" t="s">
        <v>3345</v>
      </c>
      <c r="C13" s="775">
        <v>37221</v>
      </c>
      <c r="D13" s="783">
        <v>32355.82</v>
      </c>
      <c r="E13" s="788" t="s">
        <v>3346</v>
      </c>
      <c r="F13" s="803" t="s">
        <v>3283</v>
      </c>
      <c r="G13" s="765" t="s">
        <v>3295</v>
      </c>
      <c r="H13" s="765" t="s">
        <v>3285</v>
      </c>
      <c r="I13" s="765" t="s">
        <v>3328</v>
      </c>
      <c r="J13" s="785"/>
      <c r="K13" s="786"/>
      <c r="L13" s="779">
        <v>12</v>
      </c>
      <c r="M13" s="793">
        <f t="shared" ref="M13:M16" si="2">_xlfn.DAYS(K13,J13)</f>
        <v>0</v>
      </c>
      <c r="N13" s="778" t="s">
        <v>3903</v>
      </c>
    </row>
    <row r="14" spans="1:42" s="778" customFormat="1" ht="35.25" customHeight="1">
      <c r="A14" s="767" t="s">
        <v>3373</v>
      </c>
      <c r="B14" s="767" t="s">
        <v>3374</v>
      </c>
      <c r="C14" s="768">
        <v>24033</v>
      </c>
      <c r="D14" s="815" t="s">
        <v>3904</v>
      </c>
      <c r="E14" s="769" t="s">
        <v>3905</v>
      </c>
      <c r="F14" s="770" t="s">
        <v>3283</v>
      </c>
      <c r="G14" s="771" t="s">
        <v>3295</v>
      </c>
      <c r="H14" s="771" t="s">
        <v>3285</v>
      </c>
      <c r="I14" s="767" t="s">
        <v>3376</v>
      </c>
      <c r="J14" s="772">
        <v>45790</v>
      </c>
      <c r="K14" s="772">
        <v>45790</v>
      </c>
      <c r="L14" s="767">
        <v>12</v>
      </c>
      <c r="M14" s="773">
        <f t="shared" ref="M14" si="3">_xlfn.DAYS(K14,J14)</f>
        <v>0</v>
      </c>
      <c r="N14" s="774"/>
      <c r="O14" s="774"/>
      <c r="P14" s="774"/>
      <c r="Q14" s="774"/>
      <c r="R14" s="774"/>
      <c r="S14" s="774"/>
      <c r="T14" s="774"/>
      <c r="U14" s="774"/>
      <c r="V14" s="774"/>
      <c r="W14" s="774"/>
      <c r="X14" s="774"/>
      <c r="Y14" s="774"/>
      <c r="Z14" s="774"/>
      <c r="AA14" s="774"/>
      <c r="AB14" s="774"/>
      <c r="AC14" s="774"/>
      <c r="AD14" s="774"/>
      <c r="AE14" s="774"/>
      <c r="AF14" s="774"/>
      <c r="AG14" s="774"/>
      <c r="AH14" s="774"/>
      <c r="AI14" s="774"/>
      <c r="AJ14" s="774"/>
      <c r="AK14" s="774"/>
      <c r="AL14" s="774"/>
      <c r="AM14" s="774"/>
      <c r="AN14" s="774"/>
      <c r="AO14" s="774"/>
      <c r="AP14" s="774"/>
    </row>
    <row r="15" spans="1:42" s="778" customFormat="1" ht="35.25" customHeight="1">
      <c r="A15" s="767" t="s">
        <v>3381</v>
      </c>
      <c r="B15" s="767" t="s">
        <v>3382</v>
      </c>
      <c r="C15" s="768">
        <v>9720</v>
      </c>
      <c r="D15" s="815">
        <v>9740</v>
      </c>
      <c r="E15" s="769" t="s">
        <v>3906</v>
      </c>
      <c r="F15" s="770" t="s">
        <v>3283</v>
      </c>
      <c r="G15" s="771" t="s">
        <v>3295</v>
      </c>
      <c r="H15" s="771" t="s">
        <v>3285</v>
      </c>
      <c r="I15" s="767" t="s">
        <v>3907</v>
      </c>
      <c r="J15" s="772">
        <v>45790</v>
      </c>
      <c r="K15" s="772">
        <v>45790</v>
      </c>
      <c r="L15" s="767">
        <v>12</v>
      </c>
      <c r="M15" s="773">
        <f t="shared" ref="M15" si="4">_xlfn.DAYS(K15,J15)</f>
        <v>0</v>
      </c>
      <c r="N15" s="774"/>
      <c r="O15" s="774"/>
      <c r="P15" s="774"/>
      <c r="Q15" s="774"/>
      <c r="R15" s="774"/>
      <c r="S15" s="774"/>
      <c r="T15" s="774"/>
      <c r="U15" s="774"/>
      <c r="V15" s="774"/>
      <c r="W15" s="774"/>
      <c r="X15" s="774"/>
      <c r="Y15" s="774"/>
      <c r="Z15" s="774"/>
      <c r="AA15" s="774"/>
      <c r="AB15" s="774"/>
      <c r="AC15" s="774"/>
      <c r="AD15" s="774"/>
      <c r="AE15" s="774"/>
      <c r="AF15" s="774"/>
      <c r="AG15" s="774"/>
      <c r="AH15" s="774"/>
      <c r="AI15" s="774"/>
      <c r="AJ15" s="774"/>
      <c r="AK15" s="774"/>
      <c r="AL15" s="774"/>
      <c r="AM15" s="774"/>
      <c r="AN15" s="774"/>
      <c r="AO15" s="774"/>
      <c r="AP15" s="774"/>
    </row>
    <row r="16" spans="1:42" s="774" customFormat="1" ht="35.25" customHeight="1">
      <c r="A16" s="767" t="s">
        <v>3397</v>
      </c>
      <c r="B16" s="767" t="s">
        <v>3356</v>
      </c>
      <c r="C16" s="768">
        <v>8864</v>
      </c>
      <c r="D16" s="768">
        <v>37410</v>
      </c>
      <c r="E16" s="769" t="s">
        <v>3908</v>
      </c>
      <c r="F16" s="770" t="s">
        <v>3283</v>
      </c>
      <c r="G16" s="771" t="s">
        <v>3302</v>
      </c>
      <c r="H16" s="771" t="s">
        <v>3285</v>
      </c>
      <c r="I16" s="767" t="s">
        <v>3286</v>
      </c>
      <c r="J16" s="772">
        <v>45790</v>
      </c>
      <c r="K16" s="772">
        <v>45790</v>
      </c>
      <c r="L16" s="767">
        <v>12</v>
      </c>
      <c r="M16" s="773">
        <f t="shared" si="2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0561af-2895-47dc-87e9-36394829a4a9">
      <Terms xmlns="http://schemas.microsoft.com/office/infopath/2007/PartnerControls"/>
    </lcf76f155ced4ddcb4097134ff3c332f>
    <TaxCatchAll xmlns="3cc8ce39-fdfc-434e-b708-eaba2967ff3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26582B216001499862CCB93F68E0B5" ma:contentTypeVersion="14" ma:contentTypeDescription="Create a new document." ma:contentTypeScope="" ma:versionID="30e2d4afaccb7818d91b0ad2b390dab0">
  <xsd:schema xmlns:xsd="http://www.w3.org/2001/XMLSchema" xmlns:xs="http://www.w3.org/2001/XMLSchema" xmlns:p="http://schemas.microsoft.com/office/2006/metadata/properties" xmlns:ns2="840561af-2895-47dc-87e9-36394829a4a9" xmlns:ns3="3cc8ce39-fdfc-434e-b708-eaba2967ff31" targetNamespace="http://schemas.microsoft.com/office/2006/metadata/properties" ma:root="true" ma:fieldsID="178166179e77798795489cf0cec427e2" ns2:_="" ns3:_="">
    <xsd:import namespace="840561af-2895-47dc-87e9-36394829a4a9"/>
    <xsd:import namespace="3cc8ce39-fdfc-434e-b708-eaba2967f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561af-2895-47dc-87e9-36394829a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d937da3-1fbe-4307-addd-e1c900bfb2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8ce39-fdfc-434e-b708-eaba2967ff3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52150cf-b47f-4756-b77f-12ec597202da}" ma:internalName="TaxCatchAll" ma:showField="CatchAllData" ma:web="3cc8ce39-fdfc-434e-b708-eaba2967ff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F318FF-8468-45F2-AEDA-1E7B51C30F2A}"/>
</file>

<file path=customXml/itemProps2.xml><?xml version="1.0" encoding="utf-8"?>
<ds:datastoreItem xmlns:ds="http://schemas.openxmlformats.org/officeDocument/2006/customXml" ds:itemID="{F883078C-5DC7-41BB-8CB4-F7ADA46A8865}"/>
</file>

<file path=customXml/itemProps3.xml><?xml version="1.0" encoding="utf-8"?>
<ds:datastoreItem xmlns:ds="http://schemas.openxmlformats.org/officeDocument/2006/customXml" ds:itemID="{7788688B-3C95-44CF-A669-84EA58A60D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Darrin Stringfield</dc:creator>
  <cp:keywords/>
  <dc:description/>
  <cp:lastModifiedBy>Viviana Quijano</cp:lastModifiedBy>
  <cp:revision/>
  <dcterms:created xsi:type="dcterms:W3CDTF">2017-10-12T16:07:42Z</dcterms:created>
  <dcterms:modified xsi:type="dcterms:W3CDTF">2026-02-16T15:17:03Z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0x0101000E26582B216001499862CCB93F68E0B5</vt:lpwstr>
  </property>
  <property fmtid="{D5CDD505-2E9C-101B-9397-08002B2CF9AE}" pid="3" name="AuthorIds_UIVersion_47104">
    <vt:lpwstr>55,72</vt:lpwstr>
  </property>
  <property fmtid="{D5CDD505-2E9C-101B-9397-08002B2CF9AE}" pid="4" name="MediaServiceImageTags">
    <vt:lpwstr/>
  </property>
</Properties>
</file>